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A22AFD7-46A5-425D-8235-5B6EB71F3E30}" xr6:coauthVersionLast="47" xr6:coauthVersionMax="47" xr10:uidLastSave="{00000000-0000-0000-0000-000000000000}"/>
  <bookViews>
    <workbookView xWindow="-120" yWindow="-120" windowWidth="29040" windowHeight="15720" xr2:uid="{142D21E2-0FC8-41A3-8D0C-427508763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4" i="1" l="1"/>
  <c r="G163" i="1"/>
  <c r="G43" i="1"/>
  <c r="G42" i="1"/>
  <c r="G190" i="1"/>
  <c r="G189" i="1"/>
  <c r="G174" i="1"/>
  <c r="G175" i="1"/>
  <c r="G176" i="1"/>
  <c r="G177" i="1"/>
  <c r="G178" i="1"/>
  <c r="G179" i="1"/>
  <c r="G180" i="1"/>
  <c r="G181" i="1"/>
  <c r="G173" i="1"/>
  <c r="G150" i="1"/>
  <c r="G158" i="1" s="1"/>
  <c r="H149" i="1" s="1"/>
  <c r="G61" i="1"/>
  <c r="G62" i="1"/>
  <c r="G63" i="1"/>
  <c r="G60" i="1"/>
  <c r="G116" i="1"/>
  <c r="G117" i="1"/>
  <c r="G118" i="1"/>
  <c r="G119" i="1"/>
  <c r="G120" i="1"/>
  <c r="G121" i="1"/>
  <c r="G122" i="1"/>
  <c r="G123" i="1"/>
  <c r="G124" i="1"/>
  <c r="G125" i="1"/>
  <c r="G115" i="1"/>
  <c r="G137" i="1"/>
  <c r="G275" i="1"/>
  <c r="G276" i="1"/>
  <c r="G277" i="1"/>
  <c r="G278" i="1"/>
  <c r="G279" i="1"/>
  <c r="G280" i="1"/>
  <c r="G106" i="1"/>
  <c r="G255" i="1"/>
  <c r="G166" i="1" l="1"/>
  <c r="H162" i="1" s="1"/>
  <c r="G192" i="1"/>
  <c r="H188" i="1" s="1"/>
  <c r="G184" i="1"/>
  <c r="H172" i="1" s="1"/>
  <c r="G129" i="1"/>
  <c r="H114" i="1" s="1"/>
  <c r="G109" i="1"/>
  <c r="H105" i="1" s="1"/>
  <c r="G96" i="1"/>
  <c r="G145" i="1" l="1"/>
  <c r="H136" i="1" s="1"/>
  <c r="G100" i="1"/>
  <c r="H95" i="1" s="1"/>
  <c r="D265" i="1"/>
  <c r="D264" i="1"/>
  <c r="D84" i="1"/>
  <c r="G283" i="1" l="1"/>
  <c r="H273" i="1" s="1"/>
  <c r="G246" i="1" l="1"/>
  <c r="G249" i="1" s="1"/>
  <c r="H245" i="1" s="1"/>
  <c r="G238" i="1"/>
  <c r="G241" i="1" s="1"/>
  <c r="H237" i="1" s="1"/>
  <c r="G229" i="1"/>
  <c r="G232" i="1" s="1"/>
  <c r="H228" i="1" s="1"/>
  <c r="G222" i="1"/>
  <c r="G221" i="1"/>
  <c r="G206" i="1"/>
  <c r="G207" i="1"/>
  <c r="G208" i="1"/>
  <c r="G209" i="1"/>
  <c r="G210" i="1"/>
  <c r="G211" i="1"/>
  <c r="G212" i="1"/>
  <c r="G213" i="1"/>
  <c r="G205" i="1"/>
  <c r="G197" i="1"/>
  <c r="G200" i="1" s="1"/>
  <c r="H196" i="1" s="1"/>
  <c r="G83" i="1"/>
  <c r="G84" i="1"/>
  <c r="G90" i="1" l="1"/>
  <c r="H81" i="1" s="1"/>
  <c r="G259" i="1"/>
  <c r="H253" i="1" s="1"/>
  <c r="G224" i="1"/>
  <c r="H220" i="1" s="1"/>
  <c r="G216" i="1"/>
  <c r="H204" i="1" s="1"/>
  <c r="G265" i="1"/>
  <c r="G264" i="1"/>
  <c r="G57" i="1"/>
  <c r="G39" i="1"/>
  <c r="G72" i="1"/>
  <c r="G71" i="1"/>
  <c r="G36" i="1"/>
  <c r="G55" i="1"/>
  <c r="G54" i="1"/>
  <c r="G30" i="1"/>
  <c r="H29" i="1" s="1"/>
  <c r="G24" i="1"/>
  <c r="H23" i="1" s="1"/>
  <c r="G18" i="1"/>
  <c r="H17" i="1" s="1"/>
  <c r="G12" i="1"/>
  <c r="H11" i="1" s="1"/>
  <c r="G6" i="1"/>
  <c r="G66" i="1" l="1"/>
  <c r="H53" i="1" s="1"/>
  <c r="G269" i="1"/>
  <c r="H263" i="1" s="1"/>
  <c r="G75" i="1"/>
  <c r="H70" i="1" s="1"/>
  <c r="G49" i="1"/>
  <c r="H35" i="1" s="1"/>
  <c r="H287" i="1" l="1"/>
</calcChain>
</file>

<file path=xl/sharedStrings.xml><?xml version="1.0" encoding="utf-8"?>
<sst xmlns="http://schemas.openxmlformats.org/spreadsheetml/2006/main" count="286" uniqueCount="105">
  <si>
    <t xml:space="preserve">ANTICIPADOS </t>
  </si>
  <si>
    <t xml:space="preserve">DISTRIBUIDORA DE PRODUCTOS DE CONSUMO MASIVOS </t>
  </si>
  <si>
    <t xml:space="preserve">FECHA </t>
  </si>
  <si>
    <t xml:space="preserve">CANTIDAD </t>
  </si>
  <si>
    <t>PRODUCTO</t>
  </si>
  <si>
    <t xml:space="preserve">PRECIO UNITARIO </t>
  </si>
  <si>
    <t xml:space="preserve">TOTAL </t>
  </si>
  <si>
    <t>PIEDRA CHANCADA 1/2</t>
  </si>
  <si>
    <t xml:space="preserve">HERNANDEZ LLACSAHUANGA MARIO CESAR </t>
  </si>
  <si>
    <t xml:space="preserve">N° VALE </t>
  </si>
  <si>
    <t>F001-1944</t>
  </si>
  <si>
    <t>B001-1260</t>
  </si>
  <si>
    <t xml:space="preserve">AFIRMADO </t>
  </si>
  <si>
    <t xml:space="preserve">SR. OMAR </t>
  </si>
  <si>
    <t>P001-17909</t>
  </si>
  <si>
    <t xml:space="preserve">FIERRO 1/2 SIDERPERU </t>
  </si>
  <si>
    <t xml:space="preserve">HERNANDEZ MORALES HERMINIO </t>
  </si>
  <si>
    <t>P001-14270</t>
  </si>
  <si>
    <t xml:space="preserve">JUAN CLIENTE </t>
  </si>
  <si>
    <t>P001-20876</t>
  </si>
  <si>
    <t xml:space="preserve">JIBAJA NEYRA KEVIN OVET </t>
  </si>
  <si>
    <t xml:space="preserve">CEMENTO AZUL PACASMAYO </t>
  </si>
  <si>
    <t>ALAMBRE 16</t>
  </si>
  <si>
    <t xml:space="preserve">FIERRO 8MM SIDERPERU </t>
  </si>
  <si>
    <t xml:space="preserve">PEREZ DIAZ MIGUEL </t>
  </si>
  <si>
    <t>P001-36495</t>
  </si>
  <si>
    <t xml:space="preserve">FIERRO 3/8 SIDERPERU </t>
  </si>
  <si>
    <t>P001-36692</t>
  </si>
  <si>
    <t xml:space="preserve">CEMENTO AZUL PACASMYAO </t>
  </si>
  <si>
    <t xml:space="preserve">FIERRO 6MM SIDERPERU </t>
  </si>
  <si>
    <t>TORRES RUIZ LUZ ANGELICA</t>
  </si>
  <si>
    <t>P001-37178</t>
  </si>
  <si>
    <t>ARENA AMARILLA</t>
  </si>
  <si>
    <t>P001-36693</t>
  </si>
  <si>
    <t>P001-38090</t>
  </si>
  <si>
    <t xml:space="preserve">CEMENTO ROJO PACASMAYO </t>
  </si>
  <si>
    <t xml:space="preserve">FIERRO 5/8 SIDERPERU </t>
  </si>
  <si>
    <t xml:space="preserve">LADRILLO TECHO 12 ITAL </t>
  </si>
  <si>
    <t xml:space="preserve">YDROGO GALVEZ YONATAN </t>
  </si>
  <si>
    <t>P002-30422</t>
  </si>
  <si>
    <t>FIERRO 3/8 SIDERPERU</t>
  </si>
  <si>
    <t xml:space="preserve">CORONEL REGALADO DIONY JOSE </t>
  </si>
  <si>
    <t>P001-40490</t>
  </si>
  <si>
    <t xml:space="preserve">CEMENTO ROJO MOCHICA </t>
  </si>
  <si>
    <t xml:space="preserve">TARRILLO VASQUEZ CLARA ESTHER </t>
  </si>
  <si>
    <t>P002-8967</t>
  </si>
  <si>
    <t xml:space="preserve">LUIS MEDINA </t>
  </si>
  <si>
    <t>P002-12046</t>
  </si>
  <si>
    <t>FIERRO 1/2 SIDERPERU</t>
  </si>
  <si>
    <t xml:space="preserve">CLAVO 2.5 </t>
  </si>
  <si>
    <t>CEMENTO AZUL PACASMAYO</t>
  </si>
  <si>
    <t xml:space="preserve">LACHE HERNANDEZ ORFELINDA </t>
  </si>
  <si>
    <t>P002-28299</t>
  </si>
  <si>
    <t xml:space="preserve">LADRILLO PANDERETA SIPAN </t>
  </si>
  <si>
    <t xml:space="preserve">CARHUAJULCA IRURETA LUZ ANGELICA </t>
  </si>
  <si>
    <t>P002-29187</t>
  </si>
  <si>
    <t xml:space="preserve">PESANTES CORTIJO MARTINA </t>
  </si>
  <si>
    <t>P002-29931</t>
  </si>
  <si>
    <t xml:space="preserve">PIEDRA BASE </t>
  </si>
  <si>
    <t xml:space="preserve">PEREZ PEREZ JUAN CARLOS </t>
  </si>
  <si>
    <t>P002-30094</t>
  </si>
  <si>
    <t xml:space="preserve">LADRILLO CONCRETO TIPO 12 </t>
  </si>
  <si>
    <t xml:space="preserve">WALTER -CASA BLANCA </t>
  </si>
  <si>
    <t xml:space="preserve">CAMISAN AQUINO ESTHER </t>
  </si>
  <si>
    <t>P002-31344</t>
  </si>
  <si>
    <t xml:space="preserve">AUTOFACIL </t>
  </si>
  <si>
    <t>P001-41821</t>
  </si>
  <si>
    <t>BUENAÑO TAPIA MERY EMILIN</t>
  </si>
  <si>
    <t xml:space="preserve">Piedra Base </t>
  </si>
  <si>
    <t>P001-41961</t>
  </si>
  <si>
    <t xml:space="preserve">Alambre Negro 16 PRODAC                                                                             </t>
  </si>
  <si>
    <t xml:space="preserve">Fierro 1/2 SIDERPERU                                                                                </t>
  </si>
  <si>
    <t xml:space="preserve">Fierro 5/8 SIDERPERU                                                                                </t>
  </si>
  <si>
    <t>P002-31999</t>
  </si>
  <si>
    <t xml:space="preserve">Arena Amarilla S/M                                                                                  </t>
  </si>
  <si>
    <t xml:space="preserve">CEMENTO ROJO PACASMAYO                                                                              </t>
  </si>
  <si>
    <t xml:space="preserve">Piedra Chancada 3/4 S/M                                                                             </t>
  </si>
  <si>
    <t xml:space="preserve">MILAGROS HERRERA </t>
  </si>
  <si>
    <t xml:space="preserve">LADRILLO ARTESANAL BODOQUE </t>
  </si>
  <si>
    <t>P001-43586</t>
  </si>
  <si>
    <t xml:space="preserve">ARENA AMARILLA </t>
  </si>
  <si>
    <t xml:space="preserve">BUSTAMANTE GONZALES RIGOBERTO </t>
  </si>
  <si>
    <t>P001-43645</t>
  </si>
  <si>
    <t xml:space="preserve">PIEDRA CHNACADA </t>
  </si>
  <si>
    <t>LADRILLO TECHO 12 SIPAN</t>
  </si>
  <si>
    <t xml:space="preserve">Piedra Chancada 1/2 S/M </t>
  </si>
  <si>
    <t>Arena Amarilla S/M</t>
  </si>
  <si>
    <t xml:space="preserve">Ladrillo Estandart 18h TAYSON  </t>
  </si>
  <si>
    <t xml:space="preserve">PLASTICO AZUL-NEGRO 2METROS(ROLLO80MTS) S/M </t>
  </si>
  <si>
    <t xml:space="preserve">MEJIA HERNANDEZ KAREN STEPHANY </t>
  </si>
  <si>
    <t>P001-43700</t>
  </si>
  <si>
    <t xml:space="preserve">LADRILLO PANDERETA FORTES </t>
  </si>
  <si>
    <t xml:space="preserve">MORETO ALTAMIRANO ZARELA NOEMI </t>
  </si>
  <si>
    <t>P001-43762</t>
  </si>
  <si>
    <t>CLAVO 2.5</t>
  </si>
  <si>
    <t>CLAVO 3</t>
  </si>
  <si>
    <t>ALAMBRE 8</t>
  </si>
  <si>
    <t xml:space="preserve">BURGA MALDONADO ALBERTO ANANIAS </t>
  </si>
  <si>
    <t>P001-43820</t>
  </si>
  <si>
    <t xml:space="preserve">PANDERETA TAYSON </t>
  </si>
  <si>
    <t>P001-43843</t>
  </si>
  <si>
    <t xml:space="preserve">PEREZ VILLALOBOS ELVIS </t>
  </si>
  <si>
    <t>P001-43896</t>
  </si>
  <si>
    <t>LADRILLO CONCRETO TIPO 12</t>
  </si>
  <si>
    <t xml:space="preserve">LASRILLO SUPER KINKON CERAMICOS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</si>
</sst>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/>
    <xf numFmtId="164" fontId="1" fillId="0" borderId="7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/>
    <xf numFmtId="14" fontId="0" fillId="0" borderId="14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6" fillId="0" borderId="15" xfId="0" applyNumberFormat="1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1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2B0D-6C89-4616-881B-7C6F17C192B2}">
  <sheetPr>
    <pageSetUpPr fitToPage="1"/>
  </sheetPr>
  <dimension ref="B1:J287"/>
  <sheetViews>
    <sheetView tabSelected="1" topLeftCell="A16" zoomScale="85" zoomScaleNormal="85" workbookViewId="0">
      <selection activeCell="K40" sqref="K40"/>
    </sheetView>
  </sheetViews>
  <sheetFormatPr baseColWidth="10" defaultRowHeight="15" x14ac:dyDescent="0.25"/>
  <cols>
    <col min="1" max="1" width="8.85546875" customWidth="1"/>
    <col min="2" max="2" width="11.85546875" style="1" bestFit="1" customWidth="1"/>
    <col min="3" max="3" width="13.7109375" style="1" customWidth="1"/>
    <col min="4" max="4" width="10.7109375" style="1" bestFit="1" customWidth="1"/>
    <col min="5" max="5" width="69.28515625" style="1" bestFit="1" customWidth="1"/>
    <col min="6" max="6" width="17.140625" style="5" bestFit="1" customWidth="1"/>
    <col min="7" max="7" width="12.5703125" style="5" bestFit="1" customWidth="1"/>
    <col min="8" max="8" width="22" style="6" customWidth="1"/>
  </cols>
  <sheetData>
    <row r="1" spans="2:9" ht="33.75" x14ac:dyDescent="0.5">
      <c r="B1" s="35" t="s">
        <v>0</v>
      </c>
      <c r="C1" s="35"/>
      <c r="D1" s="35"/>
      <c r="E1" s="35"/>
      <c r="F1" s="35"/>
      <c r="G1" s="35"/>
      <c r="H1" s="35"/>
    </row>
    <row r="2" spans="2:9" x14ac:dyDescent="0.25">
      <c r="B2" s="37"/>
      <c r="C2" s="37"/>
      <c r="D2" s="37"/>
      <c r="E2" s="37"/>
      <c r="F2" s="37"/>
      <c r="G2" s="37"/>
      <c r="H2" s="37"/>
    </row>
    <row r="3" spans="2:9" ht="15.75" thickBot="1" x14ac:dyDescent="0.3"/>
    <row r="4" spans="2:9" x14ac:dyDescent="0.25">
      <c r="B4" s="30" t="s">
        <v>1</v>
      </c>
      <c r="C4" s="31"/>
      <c r="D4" s="31"/>
      <c r="E4" s="31"/>
      <c r="F4" s="31"/>
      <c r="G4" s="31"/>
      <c r="H4" s="7"/>
    </row>
    <row r="5" spans="2:9" x14ac:dyDescent="0.25">
      <c r="B5" s="8" t="s">
        <v>2</v>
      </c>
      <c r="C5" s="2" t="s">
        <v>9</v>
      </c>
      <c r="D5" s="2" t="s">
        <v>3</v>
      </c>
      <c r="E5" s="2" t="s">
        <v>4</v>
      </c>
      <c r="F5" s="4" t="s">
        <v>5</v>
      </c>
      <c r="G5" s="4" t="s">
        <v>6</v>
      </c>
      <c r="H5" s="36">
        <v>34</v>
      </c>
      <c r="I5" s="38"/>
    </row>
    <row r="6" spans="2:9" x14ac:dyDescent="0.25">
      <c r="B6" s="9">
        <v>45680</v>
      </c>
      <c r="C6" s="3" t="s">
        <v>10</v>
      </c>
      <c r="D6" s="2">
        <v>0.5</v>
      </c>
      <c r="E6" s="2" t="s">
        <v>7</v>
      </c>
      <c r="F6" s="4">
        <v>68</v>
      </c>
      <c r="G6" s="4">
        <f>+F6*D6</f>
        <v>34</v>
      </c>
      <c r="H6" s="36"/>
    </row>
    <row r="7" spans="2:9" ht="15.75" thickBot="1" x14ac:dyDescent="0.3">
      <c r="B7" s="10"/>
      <c r="C7" s="11"/>
      <c r="D7" s="11"/>
      <c r="E7" s="11"/>
      <c r="F7" s="12"/>
      <c r="G7" s="12"/>
      <c r="H7" s="13"/>
    </row>
    <row r="9" spans="2:9" ht="15.75" thickBot="1" x14ac:dyDescent="0.3"/>
    <row r="10" spans="2:9" x14ac:dyDescent="0.25">
      <c r="B10" s="30" t="s">
        <v>8</v>
      </c>
      <c r="C10" s="31"/>
      <c r="D10" s="31"/>
      <c r="E10" s="31"/>
      <c r="F10" s="31"/>
      <c r="G10" s="31"/>
      <c r="H10" s="7"/>
    </row>
    <row r="11" spans="2:9" x14ac:dyDescent="0.25">
      <c r="B11" s="8" t="s">
        <v>2</v>
      </c>
      <c r="C11" s="2" t="s">
        <v>9</v>
      </c>
      <c r="D11" s="2" t="s">
        <v>3</v>
      </c>
      <c r="E11" s="2" t="s">
        <v>4</v>
      </c>
      <c r="F11" s="4" t="s">
        <v>5</v>
      </c>
      <c r="G11" s="4" t="s">
        <v>6</v>
      </c>
      <c r="H11" s="36">
        <f>+G12</f>
        <v>114</v>
      </c>
    </row>
    <row r="12" spans="2:9" x14ac:dyDescent="0.25">
      <c r="B12" s="9">
        <v>45014</v>
      </c>
      <c r="C12" s="3" t="s">
        <v>11</v>
      </c>
      <c r="D12" s="2">
        <v>3</v>
      </c>
      <c r="E12" s="2" t="s">
        <v>12</v>
      </c>
      <c r="F12" s="4">
        <v>38</v>
      </c>
      <c r="G12" s="4">
        <f>+D12*F12</f>
        <v>114</v>
      </c>
      <c r="H12" s="36"/>
      <c r="I12" s="38"/>
    </row>
    <row r="13" spans="2:9" ht="15.75" thickBot="1" x14ac:dyDescent="0.3">
      <c r="B13" s="10"/>
      <c r="C13" s="11"/>
      <c r="D13" s="11"/>
      <c r="E13" s="11"/>
      <c r="F13" s="12"/>
      <c r="G13" s="12"/>
      <c r="H13" s="13"/>
    </row>
    <row r="15" spans="2:9" ht="15.75" thickBot="1" x14ac:dyDescent="0.3"/>
    <row r="16" spans="2:9" x14ac:dyDescent="0.25">
      <c r="B16" s="30" t="s">
        <v>13</v>
      </c>
      <c r="C16" s="31"/>
      <c r="D16" s="31"/>
      <c r="E16" s="31"/>
      <c r="F16" s="31"/>
      <c r="G16" s="31"/>
      <c r="H16" s="7"/>
    </row>
    <row r="17" spans="2:9" x14ac:dyDescent="0.25">
      <c r="B17" s="8" t="s">
        <v>2</v>
      </c>
      <c r="C17" s="2" t="s">
        <v>9</v>
      </c>
      <c r="D17" s="2" t="s">
        <v>3</v>
      </c>
      <c r="E17" s="2" t="s">
        <v>4</v>
      </c>
      <c r="F17" s="4" t="s">
        <v>5</v>
      </c>
      <c r="G17" s="4" t="s">
        <v>6</v>
      </c>
      <c r="H17" s="36">
        <f>+G18</f>
        <v>70</v>
      </c>
      <c r="I17" s="38"/>
    </row>
    <row r="18" spans="2:9" x14ac:dyDescent="0.25">
      <c r="B18" s="9">
        <v>45309</v>
      </c>
      <c r="C18" s="3" t="s">
        <v>14</v>
      </c>
      <c r="D18" s="2">
        <v>2</v>
      </c>
      <c r="E18" s="2" t="s">
        <v>15</v>
      </c>
      <c r="F18" s="4">
        <v>35</v>
      </c>
      <c r="G18" s="4">
        <f>+D18*F18</f>
        <v>70</v>
      </c>
      <c r="H18" s="36"/>
    </row>
    <row r="19" spans="2:9" ht="15.75" thickBot="1" x14ac:dyDescent="0.3">
      <c r="B19" s="10"/>
      <c r="C19" s="11"/>
      <c r="D19" s="11"/>
      <c r="E19" s="11"/>
      <c r="F19" s="12"/>
      <c r="G19" s="12"/>
      <c r="H19" s="13"/>
    </row>
    <row r="21" spans="2:9" ht="15.75" thickBot="1" x14ac:dyDescent="0.3"/>
    <row r="22" spans="2:9" x14ac:dyDescent="0.25">
      <c r="B22" s="30" t="s">
        <v>16</v>
      </c>
      <c r="C22" s="31"/>
      <c r="D22" s="31"/>
      <c r="E22" s="31"/>
      <c r="F22" s="31"/>
      <c r="G22" s="31"/>
      <c r="H22" s="7"/>
    </row>
    <row r="23" spans="2:9" x14ac:dyDescent="0.25">
      <c r="B23" s="8" t="s">
        <v>2</v>
      </c>
      <c r="C23" s="2" t="s">
        <v>9</v>
      </c>
      <c r="D23" s="2" t="s">
        <v>3</v>
      </c>
      <c r="E23" s="2" t="s">
        <v>4</v>
      </c>
      <c r="F23" s="4" t="s">
        <v>5</v>
      </c>
      <c r="G23" s="4" t="s">
        <v>6</v>
      </c>
      <c r="H23" s="36">
        <f>+G24</f>
        <v>547.5</v>
      </c>
    </row>
    <row r="24" spans="2:9" x14ac:dyDescent="0.25">
      <c r="B24" s="9">
        <v>45167</v>
      </c>
      <c r="C24" s="3" t="s">
        <v>17</v>
      </c>
      <c r="D24" s="2">
        <v>15</v>
      </c>
      <c r="E24" s="2" t="s">
        <v>15</v>
      </c>
      <c r="F24" s="4">
        <v>36.5</v>
      </c>
      <c r="G24" s="4">
        <f>+D24*F24</f>
        <v>547.5</v>
      </c>
      <c r="H24" s="36"/>
    </row>
    <row r="25" spans="2:9" ht="15.75" thickBot="1" x14ac:dyDescent="0.3">
      <c r="B25" s="10"/>
      <c r="C25" s="11"/>
      <c r="D25" s="11"/>
      <c r="E25" s="11"/>
      <c r="F25" s="12"/>
      <c r="G25" s="12"/>
      <c r="H25" s="13"/>
    </row>
    <row r="27" spans="2:9" ht="15.75" thickBot="1" x14ac:dyDescent="0.3"/>
    <row r="28" spans="2:9" x14ac:dyDescent="0.25">
      <c r="B28" s="30" t="s">
        <v>18</v>
      </c>
      <c r="C28" s="31"/>
      <c r="D28" s="31"/>
      <c r="E28" s="31"/>
      <c r="F28" s="31"/>
      <c r="G28" s="31"/>
      <c r="H28" s="7"/>
    </row>
    <row r="29" spans="2:9" x14ac:dyDescent="0.25">
      <c r="B29" s="8" t="s">
        <v>2</v>
      </c>
      <c r="C29" s="2" t="s">
        <v>9</v>
      </c>
      <c r="D29" s="2" t="s">
        <v>3</v>
      </c>
      <c r="E29" s="2" t="s">
        <v>4</v>
      </c>
      <c r="F29" s="4" t="s">
        <v>5</v>
      </c>
      <c r="G29" s="4" t="s">
        <v>6</v>
      </c>
      <c r="H29" s="36">
        <f>+G30</f>
        <v>51.8</v>
      </c>
    </row>
    <row r="30" spans="2:9" x14ac:dyDescent="0.25">
      <c r="B30" s="9">
        <v>45453</v>
      </c>
      <c r="C30" s="3" t="s">
        <v>19</v>
      </c>
      <c r="D30" s="2">
        <v>2</v>
      </c>
      <c r="E30" s="2" t="s">
        <v>15</v>
      </c>
      <c r="F30" s="4">
        <v>25.9</v>
      </c>
      <c r="G30" s="4">
        <f>+D30*F30</f>
        <v>51.8</v>
      </c>
      <c r="H30" s="36"/>
      <c r="I30" s="38"/>
    </row>
    <row r="31" spans="2:9" ht="15.75" thickBot="1" x14ac:dyDescent="0.3">
      <c r="B31" s="10"/>
      <c r="C31" s="11"/>
      <c r="D31" s="11"/>
      <c r="E31" s="11"/>
      <c r="F31" s="12"/>
      <c r="G31" s="12"/>
      <c r="H31" s="13"/>
    </row>
    <row r="33" spans="2:8" ht="15.75" thickBot="1" x14ac:dyDescent="0.3"/>
    <row r="34" spans="2:8" x14ac:dyDescent="0.25">
      <c r="B34" s="30" t="s">
        <v>20</v>
      </c>
      <c r="C34" s="31"/>
      <c r="D34" s="31"/>
      <c r="E34" s="31"/>
      <c r="F34" s="31"/>
      <c r="G34" s="31"/>
      <c r="H34" s="7"/>
    </row>
    <row r="35" spans="2:8" x14ac:dyDescent="0.25">
      <c r="B35" s="8" t="s">
        <v>2</v>
      </c>
      <c r="C35" s="2" t="s">
        <v>9</v>
      </c>
      <c r="D35" s="2" t="s">
        <v>3</v>
      </c>
      <c r="E35" s="2" t="s">
        <v>4</v>
      </c>
      <c r="F35" s="4" t="s">
        <v>5</v>
      </c>
      <c r="G35" s="4" t="s">
        <v>6</v>
      </c>
      <c r="H35" s="27">
        <f>+G49</f>
        <v>1225.2</v>
      </c>
    </row>
    <row r="36" spans="2:8" x14ac:dyDescent="0.25">
      <c r="B36" s="9">
        <v>45997</v>
      </c>
      <c r="C36" s="3" t="s">
        <v>27</v>
      </c>
      <c r="D36" s="39">
        <v>10</v>
      </c>
      <c r="E36" s="2" t="s">
        <v>28</v>
      </c>
      <c r="F36" s="4">
        <v>32.5</v>
      </c>
      <c r="G36" s="4">
        <f t="shared" ref="G36:G39" si="0">+D36*F36</f>
        <v>325</v>
      </c>
      <c r="H36" s="28"/>
    </row>
    <row r="37" spans="2:8" x14ac:dyDescent="0.25">
      <c r="B37" s="9"/>
      <c r="C37" s="3"/>
      <c r="D37" s="2"/>
      <c r="E37" s="2"/>
      <c r="F37" s="4"/>
      <c r="G37" s="4"/>
      <c r="H37" s="28"/>
    </row>
    <row r="38" spans="2:8" x14ac:dyDescent="0.25">
      <c r="B38" s="9"/>
      <c r="C38" s="3"/>
      <c r="D38" s="2"/>
      <c r="E38" s="2"/>
      <c r="F38" s="4"/>
      <c r="G38" s="4"/>
      <c r="H38" s="28"/>
    </row>
    <row r="39" spans="2:8" x14ac:dyDescent="0.25">
      <c r="B39" s="9">
        <v>45997</v>
      </c>
      <c r="C39" s="3" t="s">
        <v>33</v>
      </c>
      <c r="D39" s="39">
        <v>10</v>
      </c>
      <c r="E39" s="2" t="s">
        <v>21</v>
      </c>
      <c r="F39" s="4">
        <v>32.5</v>
      </c>
      <c r="G39" s="4">
        <f t="shared" si="0"/>
        <v>325</v>
      </c>
      <c r="H39" s="28"/>
    </row>
    <row r="40" spans="2:8" x14ac:dyDescent="0.25">
      <c r="B40" s="9"/>
      <c r="C40" s="3"/>
      <c r="D40" s="2"/>
      <c r="E40" s="2"/>
      <c r="F40" s="4"/>
      <c r="G40" s="4"/>
      <c r="H40" s="28"/>
    </row>
    <row r="41" spans="2:8" x14ac:dyDescent="0.25">
      <c r="B41" s="9"/>
      <c r="C41" s="3"/>
      <c r="D41" s="2"/>
      <c r="E41" s="2"/>
      <c r="F41" s="4"/>
      <c r="G41" s="4"/>
      <c r="H41" s="28"/>
    </row>
    <row r="42" spans="2:8" x14ac:dyDescent="0.25">
      <c r="B42" s="9">
        <v>46214</v>
      </c>
      <c r="C42" s="3" t="s">
        <v>100</v>
      </c>
      <c r="D42" s="39">
        <v>11</v>
      </c>
      <c r="E42" s="2" t="s">
        <v>15</v>
      </c>
      <c r="F42" s="4">
        <v>33.200000000000003</v>
      </c>
      <c r="G42" s="4">
        <f>+D42*F42</f>
        <v>365.20000000000005</v>
      </c>
      <c r="H42" s="28"/>
    </row>
    <row r="43" spans="2:8" x14ac:dyDescent="0.25">
      <c r="B43" s="9"/>
      <c r="C43" s="3"/>
      <c r="D43" s="39">
        <v>4</v>
      </c>
      <c r="E43" s="2" t="s">
        <v>36</v>
      </c>
      <c r="F43" s="4">
        <v>52.5</v>
      </c>
      <c r="G43" s="4">
        <f>+D43*F43</f>
        <v>210</v>
      </c>
      <c r="H43" s="28"/>
    </row>
    <row r="44" spans="2:8" x14ac:dyDescent="0.25">
      <c r="B44" s="9"/>
      <c r="C44" s="3"/>
      <c r="D44" s="2"/>
      <c r="E44" s="2"/>
      <c r="F44" s="4"/>
      <c r="G44" s="4"/>
      <c r="H44" s="29"/>
    </row>
    <row r="45" spans="2:8" x14ac:dyDescent="0.25">
      <c r="B45" s="9"/>
      <c r="C45" s="3"/>
      <c r="D45" s="2"/>
      <c r="E45" s="2"/>
      <c r="F45" s="4"/>
      <c r="G45" s="4"/>
      <c r="H45" s="16"/>
    </row>
    <row r="46" spans="2:8" x14ac:dyDescent="0.25">
      <c r="B46" s="9"/>
      <c r="C46" s="3"/>
      <c r="D46" s="2"/>
      <c r="E46" s="2"/>
      <c r="F46" s="4"/>
      <c r="G46" s="4"/>
      <c r="H46" s="16"/>
    </row>
    <row r="47" spans="2:8" x14ac:dyDescent="0.25">
      <c r="B47" s="9"/>
      <c r="C47" s="3"/>
      <c r="D47" s="2"/>
      <c r="E47" s="2"/>
      <c r="F47" s="4"/>
      <c r="G47" s="4"/>
      <c r="H47" s="16"/>
    </row>
    <row r="48" spans="2:8" x14ac:dyDescent="0.25">
      <c r="B48" s="9"/>
      <c r="C48" s="3"/>
      <c r="D48" s="2"/>
      <c r="E48" s="2"/>
      <c r="F48" s="4"/>
      <c r="G48" s="4"/>
      <c r="H48" s="14"/>
    </row>
    <row r="49" spans="2:9" ht="15.75" thickBot="1" x14ac:dyDescent="0.3">
      <c r="B49" s="10"/>
      <c r="C49" s="11"/>
      <c r="D49" s="11"/>
      <c r="E49" s="11"/>
      <c r="F49" s="12"/>
      <c r="G49" s="12">
        <f>SUM(G36:G48)</f>
        <v>1225.2</v>
      </c>
      <c r="H49" s="13"/>
    </row>
    <row r="51" spans="2:9" ht="15.75" thickBot="1" x14ac:dyDescent="0.3"/>
    <row r="52" spans="2:9" x14ac:dyDescent="0.25">
      <c r="B52" s="30" t="s">
        <v>24</v>
      </c>
      <c r="C52" s="31"/>
      <c r="D52" s="31"/>
      <c r="E52" s="31"/>
      <c r="F52" s="31"/>
      <c r="G52" s="31"/>
      <c r="H52" s="7"/>
    </row>
    <row r="53" spans="2:9" x14ac:dyDescent="0.25">
      <c r="B53" s="8" t="s">
        <v>2</v>
      </c>
      <c r="C53" s="2" t="s">
        <v>9</v>
      </c>
      <c r="D53" s="2" t="s">
        <v>3</v>
      </c>
      <c r="E53" s="2" t="s">
        <v>4</v>
      </c>
      <c r="F53" s="4" t="s">
        <v>5</v>
      </c>
      <c r="G53" s="4" t="s">
        <v>6</v>
      </c>
      <c r="H53" s="27">
        <f>+G66</f>
        <v>4054.7</v>
      </c>
    </row>
    <row r="54" spans="2:9" x14ac:dyDescent="0.25">
      <c r="B54" s="9">
        <v>45992</v>
      </c>
      <c r="C54" s="3" t="s">
        <v>25</v>
      </c>
      <c r="D54" s="2">
        <v>20</v>
      </c>
      <c r="E54" s="2" t="s">
        <v>15</v>
      </c>
      <c r="F54" s="4">
        <v>33.200000000000003</v>
      </c>
      <c r="G54" s="4">
        <f>+D54*F54</f>
        <v>664</v>
      </c>
      <c r="H54" s="28"/>
      <c r="I54" s="38"/>
    </row>
    <row r="55" spans="2:9" x14ac:dyDescent="0.25">
      <c r="B55" s="9"/>
      <c r="C55" s="3"/>
      <c r="D55" s="2">
        <v>13</v>
      </c>
      <c r="E55" s="2" t="s">
        <v>26</v>
      </c>
      <c r="F55" s="4">
        <v>18.899999999999999</v>
      </c>
      <c r="G55" s="4">
        <f>+D55*F55</f>
        <v>245.7</v>
      </c>
      <c r="H55" s="28"/>
    </row>
    <row r="56" spans="2:9" x14ac:dyDescent="0.25">
      <c r="B56" s="9"/>
      <c r="C56" s="3"/>
      <c r="D56" s="2"/>
      <c r="E56" s="2"/>
      <c r="F56" s="4"/>
      <c r="G56" s="4"/>
      <c r="H56" s="28"/>
    </row>
    <row r="57" spans="2:9" x14ac:dyDescent="0.25">
      <c r="B57" s="9">
        <v>46032</v>
      </c>
      <c r="C57" s="3" t="s">
        <v>34</v>
      </c>
      <c r="D57" s="2">
        <v>30</v>
      </c>
      <c r="E57" s="2" t="s">
        <v>35</v>
      </c>
      <c r="F57" s="4">
        <v>30</v>
      </c>
      <c r="G57" s="4">
        <f t="shared" ref="G57" si="1">+D57*F57</f>
        <v>900</v>
      </c>
      <c r="H57" s="28"/>
      <c r="I57" s="38"/>
    </row>
    <row r="58" spans="2:9" x14ac:dyDescent="0.25">
      <c r="B58" s="9"/>
      <c r="C58" s="3"/>
      <c r="D58" s="2"/>
      <c r="E58" s="2"/>
      <c r="F58" s="4"/>
      <c r="G58" s="4"/>
      <c r="H58" s="28"/>
    </row>
    <row r="59" spans="2:9" x14ac:dyDescent="0.25">
      <c r="B59" s="9"/>
      <c r="C59" s="3"/>
      <c r="D59" s="2"/>
      <c r="E59" s="2"/>
      <c r="F59" s="4"/>
      <c r="G59" s="4"/>
      <c r="H59" s="28"/>
    </row>
    <row r="60" spans="2:9" x14ac:dyDescent="0.25">
      <c r="B60" s="9">
        <v>46207</v>
      </c>
      <c r="C60" s="3" t="s">
        <v>82</v>
      </c>
      <c r="D60" s="2">
        <v>5</v>
      </c>
      <c r="E60" s="2" t="s">
        <v>85</v>
      </c>
      <c r="F60" s="4">
        <v>70</v>
      </c>
      <c r="G60" s="4">
        <f>+D60*F60</f>
        <v>350</v>
      </c>
      <c r="H60" s="28"/>
    </row>
    <row r="61" spans="2:9" x14ac:dyDescent="0.25">
      <c r="B61" s="9"/>
      <c r="C61" s="3"/>
      <c r="D61" s="2">
        <v>5</v>
      </c>
      <c r="E61" s="2" t="s">
        <v>86</v>
      </c>
      <c r="F61" s="4">
        <v>48</v>
      </c>
      <c r="G61" s="4">
        <f t="shared" ref="G61:G63" si="2">+D61*F61</f>
        <v>240</v>
      </c>
      <c r="H61" s="28"/>
    </row>
    <row r="62" spans="2:9" x14ac:dyDescent="0.25">
      <c r="B62" s="9"/>
      <c r="C62" s="3"/>
      <c r="D62" s="2">
        <v>1500</v>
      </c>
      <c r="E62" s="2" t="s">
        <v>87</v>
      </c>
      <c r="F62" s="4">
        <v>1.01</v>
      </c>
      <c r="G62" s="4">
        <f t="shared" si="2"/>
        <v>1515</v>
      </c>
      <c r="H62" s="28"/>
    </row>
    <row r="63" spans="2:9" x14ac:dyDescent="0.25">
      <c r="B63" s="9"/>
      <c r="C63" s="3"/>
      <c r="D63" s="2">
        <v>20</v>
      </c>
      <c r="E63" s="2" t="s">
        <v>88</v>
      </c>
      <c r="F63" s="4">
        <v>7</v>
      </c>
      <c r="G63" s="4">
        <f t="shared" si="2"/>
        <v>140</v>
      </c>
      <c r="H63" s="28"/>
    </row>
    <row r="64" spans="2:9" x14ac:dyDescent="0.25">
      <c r="B64" s="9"/>
      <c r="C64" s="3"/>
      <c r="D64" s="2"/>
      <c r="E64" s="2"/>
      <c r="F64" s="4"/>
      <c r="G64" s="4"/>
      <c r="H64" s="29"/>
    </row>
    <row r="65" spans="2:9" x14ac:dyDescent="0.25">
      <c r="B65" s="9"/>
      <c r="C65" s="3"/>
      <c r="D65" s="2"/>
      <c r="E65" s="2"/>
      <c r="F65" s="4"/>
      <c r="G65" s="4"/>
      <c r="H65" s="14"/>
    </row>
    <row r="66" spans="2:9" ht="15.75" thickBot="1" x14ac:dyDescent="0.3">
      <c r="B66" s="10"/>
      <c r="C66" s="11"/>
      <c r="D66" s="11"/>
      <c r="E66" s="11"/>
      <c r="F66" s="12"/>
      <c r="G66" s="12">
        <f>SUM(G54:G65)</f>
        <v>4054.7</v>
      </c>
      <c r="H66" s="13"/>
    </row>
    <row r="68" spans="2:9" ht="15.75" thickBot="1" x14ac:dyDescent="0.3"/>
    <row r="69" spans="2:9" x14ac:dyDescent="0.25">
      <c r="B69" s="30" t="s">
        <v>30</v>
      </c>
      <c r="C69" s="31"/>
      <c r="D69" s="31"/>
      <c r="E69" s="31"/>
      <c r="F69" s="31"/>
      <c r="G69" s="31"/>
      <c r="H69" s="7"/>
    </row>
    <row r="70" spans="2:9" x14ac:dyDescent="0.25">
      <c r="B70" s="8" t="s">
        <v>2</v>
      </c>
      <c r="C70" s="2" t="s">
        <v>9</v>
      </c>
      <c r="D70" s="2" t="s">
        <v>3</v>
      </c>
      <c r="E70" s="2" t="s">
        <v>4</v>
      </c>
      <c r="F70" s="4" t="s">
        <v>5</v>
      </c>
      <c r="G70" s="4" t="s">
        <v>6</v>
      </c>
      <c r="H70" s="27">
        <f>+G75</f>
        <v>311</v>
      </c>
    </row>
    <row r="71" spans="2:9" x14ac:dyDescent="0.25">
      <c r="B71" s="9">
        <v>46008</v>
      </c>
      <c r="C71" s="3" t="s">
        <v>31</v>
      </c>
      <c r="D71" s="2">
        <v>8</v>
      </c>
      <c r="E71" s="2" t="s">
        <v>21</v>
      </c>
      <c r="F71" s="4">
        <v>33</v>
      </c>
      <c r="G71" s="4">
        <f>+D71*F71</f>
        <v>264</v>
      </c>
      <c r="H71" s="28"/>
    </row>
    <row r="72" spans="2:9" x14ac:dyDescent="0.25">
      <c r="B72" s="9"/>
      <c r="C72" s="3"/>
      <c r="D72" s="2">
        <v>1</v>
      </c>
      <c r="E72" s="2" t="s">
        <v>32</v>
      </c>
      <c r="F72" s="4">
        <v>47</v>
      </c>
      <c r="G72" s="4">
        <f>+D72*F72</f>
        <v>47</v>
      </c>
      <c r="H72" s="28"/>
      <c r="I72" s="38"/>
    </row>
    <row r="73" spans="2:9" x14ac:dyDescent="0.25">
      <c r="B73" s="9"/>
      <c r="C73" s="3"/>
      <c r="D73" s="2"/>
      <c r="E73" s="2"/>
      <c r="F73" s="4"/>
      <c r="G73" s="4"/>
      <c r="H73" s="29"/>
    </row>
    <row r="74" spans="2:9" x14ac:dyDescent="0.25">
      <c r="B74" s="9"/>
      <c r="C74" s="3"/>
      <c r="D74" s="2"/>
      <c r="E74" s="2"/>
      <c r="F74" s="4"/>
      <c r="G74" s="4"/>
      <c r="H74" s="14"/>
    </row>
    <row r="75" spans="2:9" ht="15.75" thickBot="1" x14ac:dyDescent="0.3">
      <c r="B75" s="10"/>
      <c r="C75" s="11"/>
      <c r="D75" s="11"/>
      <c r="E75" s="11"/>
      <c r="F75" s="12"/>
      <c r="G75" s="12">
        <f>SUM(G71:G74)</f>
        <v>311</v>
      </c>
      <c r="H75" s="13"/>
    </row>
    <row r="79" spans="2:9" ht="15.75" thickBot="1" x14ac:dyDescent="0.3"/>
    <row r="80" spans="2:9" x14ac:dyDescent="0.25">
      <c r="B80" s="30" t="s">
        <v>41</v>
      </c>
      <c r="C80" s="31"/>
      <c r="D80" s="31"/>
      <c r="E80" s="31"/>
      <c r="F80" s="31"/>
      <c r="G80" s="31"/>
      <c r="H80" s="7"/>
    </row>
    <row r="81" spans="2:9" x14ac:dyDescent="0.25">
      <c r="B81" s="8" t="s">
        <v>2</v>
      </c>
      <c r="C81" s="2" t="s">
        <v>9</v>
      </c>
      <c r="D81" s="2" t="s">
        <v>3</v>
      </c>
      <c r="E81" s="2" t="s">
        <v>4</v>
      </c>
      <c r="F81" s="4" t="s">
        <v>5</v>
      </c>
      <c r="G81" s="4" t="s">
        <v>6</v>
      </c>
      <c r="H81" s="27">
        <f>+G90</f>
        <v>6960</v>
      </c>
    </row>
    <row r="82" spans="2:9" x14ac:dyDescent="0.25">
      <c r="B82" s="9"/>
      <c r="C82" s="3"/>
      <c r="D82" s="2"/>
      <c r="E82" s="2"/>
      <c r="F82" s="4"/>
      <c r="G82" s="4"/>
      <c r="H82" s="28"/>
    </row>
    <row r="83" spans="2:9" x14ac:dyDescent="0.25">
      <c r="B83" s="9">
        <v>46094</v>
      </c>
      <c r="C83" s="3" t="s">
        <v>42</v>
      </c>
      <c r="D83" s="2">
        <v>1400</v>
      </c>
      <c r="E83" s="2" t="s">
        <v>37</v>
      </c>
      <c r="F83" s="4">
        <v>2.85</v>
      </c>
      <c r="G83" s="4">
        <f t="shared" ref="G83:G84" si="3">+D83*F83</f>
        <v>3990</v>
      </c>
      <c r="H83" s="28"/>
      <c r="I83" s="38"/>
    </row>
    <row r="84" spans="2:9" x14ac:dyDescent="0.25">
      <c r="B84" s="9"/>
      <c r="C84" s="3"/>
      <c r="D84" s="2">
        <f>250-150</f>
        <v>100</v>
      </c>
      <c r="E84" s="2" t="s">
        <v>43</v>
      </c>
      <c r="F84" s="4">
        <v>29.7</v>
      </c>
      <c r="G84" s="4">
        <f t="shared" si="3"/>
        <v>2970</v>
      </c>
      <c r="H84" s="28"/>
    </row>
    <row r="85" spans="2:9" x14ac:dyDescent="0.25">
      <c r="B85" s="9"/>
      <c r="C85" s="3"/>
      <c r="D85" s="2"/>
      <c r="E85" s="2"/>
      <c r="F85" s="4"/>
      <c r="G85" s="4"/>
      <c r="H85" s="28"/>
    </row>
    <row r="86" spans="2:9" x14ac:dyDescent="0.25">
      <c r="B86" s="9"/>
      <c r="C86" s="3"/>
      <c r="D86" s="2"/>
      <c r="E86" s="2"/>
      <c r="F86" s="4"/>
      <c r="G86" s="4"/>
      <c r="H86" s="29"/>
    </row>
    <row r="87" spans="2:9" x14ac:dyDescent="0.25">
      <c r="B87" s="9"/>
      <c r="C87" s="3"/>
      <c r="D87" s="2"/>
      <c r="E87" s="2"/>
      <c r="F87" s="4"/>
      <c r="G87" s="4"/>
      <c r="H87" s="16"/>
    </row>
    <row r="88" spans="2:9" x14ac:dyDescent="0.25">
      <c r="B88" s="9"/>
      <c r="C88" s="3"/>
      <c r="D88" s="2"/>
      <c r="E88" s="2"/>
      <c r="F88" s="4"/>
      <c r="G88" s="4"/>
      <c r="H88" s="16"/>
    </row>
    <row r="89" spans="2:9" x14ac:dyDescent="0.25">
      <c r="B89" s="9"/>
      <c r="C89" s="3"/>
      <c r="D89" s="2"/>
      <c r="E89" s="2"/>
      <c r="F89" s="4"/>
      <c r="G89" s="4"/>
      <c r="H89" s="14"/>
    </row>
    <row r="90" spans="2:9" ht="15.75" thickBot="1" x14ac:dyDescent="0.3">
      <c r="B90" s="10"/>
      <c r="C90" s="11"/>
      <c r="D90" s="11"/>
      <c r="E90" s="11"/>
      <c r="F90" s="12"/>
      <c r="G90" s="12">
        <f>SUM(G82:G89)</f>
        <v>6960</v>
      </c>
      <c r="H90" s="13"/>
    </row>
    <row r="93" spans="2:9" ht="15.75" thickBot="1" x14ac:dyDescent="0.3"/>
    <row r="94" spans="2:9" x14ac:dyDescent="0.25">
      <c r="B94" s="30" t="s">
        <v>65</v>
      </c>
      <c r="C94" s="31"/>
      <c r="D94" s="31"/>
      <c r="E94" s="31"/>
      <c r="F94" s="31"/>
      <c r="G94" s="31"/>
      <c r="H94" s="7"/>
    </row>
    <row r="95" spans="2:9" x14ac:dyDescent="0.25">
      <c r="B95" s="8" t="s">
        <v>2</v>
      </c>
      <c r="C95" s="2" t="s">
        <v>9</v>
      </c>
      <c r="D95" s="2" t="s">
        <v>3</v>
      </c>
      <c r="E95" s="2" t="s">
        <v>4</v>
      </c>
      <c r="F95" s="4" t="s">
        <v>5</v>
      </c>
      <c r="G95" s="4" t="s">
        <v>6</v>
      </c>
      <c r="H95" s="27">
        <f>+G100</f>
        <v>420</v>
      </c>
    </row>
    <row r="96" spans="2:9" x14ac:dyDescent="0.25">
      <c r="B96" s="9">
        <v>46136</v>
      </c>
      <c r="C96" s="3" t="s">
        <v>66</v>
      </c>
      <c r="D96" s="2">
        <v>6</v>
      </c>
      <c r="E96" s="2" t="s">
        <v>7</v>
      </c>
      <c r="F96" s="4">
        <v>70</v>
      </c>
      <c r="G96" s="4">
        <f t="shared" ref="G96" si="4">+D96*F96</f>
        <v>420</v>
      </c>
      <c r="H96" s="28"/>
    </row>
    <row r="97" spans="2:10" x14ac:dyDescent="0.25">
      <c r="B97" s="9"/>
      <c r="C97" s="3"/>
      <c r="D97" s="2"/>
      <c r="E97" s="2"/>
      <c r="F97" s="4"/>
      <c r="G97" s="4"/>
      <c r="H97" s="28"/>
      <c r="I97" s="38"/>
    </row>
    <row r="98" spans="2:10" x14ac:dyDescent="0.25">
      <c r="B98" s="9"/>
      <c r="C98" s="3"/>
      <c r="D98" s="2"/>
      <c r="E98" s="2"/>
      <c r="F98" s="4"/>
      <c r="G98" s="4"/>
      <c r="H98" s="28"/>
    </row>
    <row r="99" spans="2:10" x14ac:dyDescent="0.25">
      <c r="B99" s="9"/>
      <c r="C99" s="3"/>
      <c r="D99" s="2"/>
      <c r="E99" s="2"/>
      <c r="F99" s="4"/>
      <c r="G99" s="4"/>
      <c r="H99" s="28"/>
    </row>
    <row r="100" spans="2:10" ht="15.75" thickBot="1" x14ac:dyDescent="0.3">
      <c r="B100" s="10"/>
      <c r="C100" s="11"/>
      <c r="D100" s="11"/>
      <c r="E100" s="11"/>
      <c r="F100" s="12"/>
      <c r="G100" s="12">
        <f>SUM(G96:G99)</f>
        <v>420</v>
      </c>
      <c r="H100" s="13"/>
    </row>
    <row r="103" spans="2:10" ht="15.75" thickBot="1" x14ac:dyDescent="0.3"/>
    <row r="104" spans="2:10" x14ac:dyDescent="0.25">
      <c r="B104" s="30" t="s">
        <v>67</v>
      </c>
      <c r="C104" s="31"/>
      <c r="D104" s="31"/>
      <c r="E104" s="31"/>
      <c r="F104" s="31"/>
      <c r="G104" s="31"/>
      <c r="H104" s="7"/>
    </row>
    <row r="105" spans="2:10" x14ac:dyDescent="0.25">
      <c r="B105" s="8" t="s">
        <v>2</v>
      </c>
      <c r="C105" s="2" t="s">
        <v>9</v>
      </c>
      <c r="D105" s="2" t="s">
        <v>3</v>
      </c>
      <c r="E105" s="2" t="s">
        <v>4</v>
      </c>
      <c r="F105" s="4" t="s">
        <v>5</v>
      </c>
      <c r="G105" s="4" t="s">
        <v>6</v>
      </c>
      <c r="H105" s="27">
        <f>+G109</f>
        <v>55</v>
      </c>
    </row>
    <row r="106" spans="2:10" x14ac:dyDescent="0.25">
      <c r="B106" s="9">
        <v>46141</v>
      </c>
      <c r="C106" s="3" t="s">
        <v>69</v>
      </c>
      <c r="D106" s="2">
        <v>1</v>
      </c>
      <c r="E106" s="2" t="s">
        <v>68</v>
      </c>
      <c r="F106" s="4">
        <v>55</v>
      </c>
      <c r="G106" s="4">
        <f t="shared" ref="G106" si="5">+D106*F106</f>
        <v>55</v>
      </c>
      <c r="H106" s="28"/>
      <c r="I106" s="38"/>
    </row>
    <row r="107" spans="2:10" x14ac:dyDescent="0.25">
      <c r="B107" s="9"/>
      <c r="C107" s="3"/>
      <c r="D107" s="2"/>
      <c r="E107" s="2"/>
      <c r="F107" s="4"/>
      <c r="G107" s="4"/>
      <c r="H107" s="28"/>
      <c r="J107" s="23"/>
    </row>
    <row r="108" spans="2:10" x14ac:dyDescent="0.25">
      <c r="B108" s="9"/>
      <c r="C108" s="3"/>
      <c r="D108" s="2"/>
      <c r="E108" s="2"/>
      <c r="F108" s="4"/>
      <c r="G108" s="4"/>
      <c r="H108" s="28"/>
      <c r="J108" s="23"/>
    </row>
    <row r="109" spans="2:10" ht="15.75" thickBot="1" x14ac:dyDescent="0.3">
      <c r="B109" s="10"/>
      <c r="C109" s="11"/>
      <c r="D109" s="11"/>
      <c r="E109" s="11"/>
      <c r="F109" s="12"/>
      <c r="G109" s="12">
        <f>SUM(G106:G108)</f>
        <v>55</v>
      </c>
      <c r="H109" s="13"/>
      <c r="J109" s="23"/>
    </row>
    <row r="110" spans="2:10" x14ac:dyDescent="0.25">
      <c r="J110" s="23"/>
    </row>
    <row r="112" spans="2:10" ht="15.75" thickBot="1" x14ac:dyDescent="0.3"/>
    <row r="113" spans="2:9" x14ac:dyDescent="0.25">
      <c r="B113" s="30" t="s">
        <v>81</v>
      </c>
      <c r="C113" s="31"/>
      <c r="D113" s="31"/>
      <c r="E113" s="31"/>
      <c r="F113" s="31"/>
      <c r="G113" s="31"/>
      <c r="H113" s="7"/>
    </row>
    <row r="114" spans="2:9" x14ac:dyDescent="0.25">
      <c r="B114" s="8" t="s">
        <v>2</v>
      </c>
      <c r="C114" s="2" t="s">
        <v>9</v>
      </c>
      <c r="D114" s="2" t="s">
        <v>3</v>
      </c>
      <c r="E114" s="2" t="s">
        <v>4</v>
      </c>
      <c r="F114" s="4" t="s">
        <v>5</v>
      </c>
      <c r="G114" s="4" t="s">
        <v>6</v>
      </c>
      <c r="H114" s="27">
        <f>+G129</f>
        <v>10150.040000000001</v>
      </c>
    </row>
    <row r="115" spans="2:9" x14ac:dyDescent="0.25">
      <c r="B115" s="9">
        <v>46206</v>
      </c>
      <c r="C115" s="3" t="s">
        <v>82</v>
      </c>
      <c r="D115" s="2">
        <v>16</v>
      </c>
      <c r="E115" s="25" t="s">
        <v>36</v>
      </c>
      <c r="F115" s="4">
        <v>51.5</v>
      </c>
      <c r="G115" s="4">
        <f>+F115*D115</f>
        <v>824</v>
      </c>
      <c r="H115" s="28"/>
    </row>
    <row r="116" spans="2:9" x14ac:dyDescent="0.25">
      <c r="B116" s="9"/>
      <c r="C116" s="3"/>
      <c r="D116" s="2">
        <v>85</v>
      </c>
      <c r="E116" s="25" t="s">
        <v>15</v>
      </c>
      <c r="F116" s="4">
        <v>33</v>
      </c>
      <c r="G116" s="4">
        <f t="shared" ref="G116:G125" si="6">+F116*D116</f>
        <v>2805</v>
      </c>
      <c r="H116" s="28"/>
    </row>
    <row r="117" spans="2:9" x14ac:dyDescent="0.25">
      <c r="B117" s="9"/>
      <c r="C117" s="3"/>
      <c r="D117" s="2">
        <v>48</v>
      </c>
      <c r="E117" s="25" t="s">
        <v>26</v>
      </c>
      <c r="F117" s="4">
        <v>18.7</v>
      </c>
      <c r="G117" s="4">
        <f t="shared" si="6"/>
        <v>897.59999999999991</v>
      </c>
      <c r="H117" s="28"/>
    </row>
    <row r="118" spans="2:9" x14ac:dyDescent="0.25">
      <c r="B118" s="9"/>
      <c r="C118" s="3"/>
      <c r="D118" s="2">
        <v>29</v>
      </c>
      <c r="E118" s="25" t="s">
        <v>29</v>
      </c>
      <c r="F118" s="4">
        <v>8</v>
      </c>
      <c r="G118" s="4">
        <f t="shared" si="6"/>
        <v>232</v>
      </c>
      <c r="H118" s="28"/>
    </row>
    <row r="119" spans="2:9" x14ac:dyDescent="0.25">
      <c r="B119" s="9"/>
      <c r="C119" s="3"/>
      <c r="D119" s="2">
        <v>28</v>
      </c>
      <c r="E119" s="25" t="s">
        <v>22</v>
      </c>
      <c r="F119" s="4">
        <v>4</v>
      </c>
      <c r="G119" s="4">
        <f t="shared" si="6"/>
        <v>112</v>
      </c>
      <c r="H119" s="28"/>
    </row>
    <row r="120" spans="2:9" x14ac:dyDescent="0.25">
      <c r="B120" s="9"/>
      <c r="C120" s="3"/>
      <c r="D120" s="2">
        <v>10</v>
      </c>
      <c r="E120" s="25" t="s">
        <v>49</v>
      </c>
      <c r="F120" s="4">
        <v>4.4000000000000004</v>
      </c>
      <c r="G120" s="4">
        <f t="shared" si="6"/>
        <v>44</v>
      </c>
      <c r="H120" s="28"/>
      <c r="I120" s="38"/>
    </row>
    <row r="121" spans="2:9" x14ac:dyDescent="0.25">
      <c r="B121" s="9"/>
      <c r="C121" s="3"/>
      <c r="D121" s="2">
        <v>70</v>
      </c>
      <c r="E121" s="25" t="s">
        <v>35</v>
      </c>
      <c r="F121" s="4">
        <v>31.7</v>
      </c>
      <c r="G121" s="4">
        <f t="shared" si="6"/>
        <v>2219</v>
      </c>
      <c r="H121" s="28"/>
    </row>
    <row r="122" spans="2:9" x14ac:dyDescent="0.25">
      <c r="B122" s="9"/>
      <c r="C122" s="3"/>
      <c r="D122" s="2">
        <v>37</v>
      </c>
      <c r="E122" s="25" t="s">
        <v>21</v>
      </c>
      <c r="F122" s="4">
        <v>34.200000000000003</v>
      </c>
      <c r="G122" s="4">
        <f t="shared" si="6"/>
        <v>1265.4000000000001</v>
      </c>
      <c r="H122" s="28"/>
    </row>
    <row r="123" spans="2:9" x14ac:dyDescent="0.25">
      <c r="B123" s="19"/>
      <c r="C123" s="20"/>
      <c r="D123" s="21">
        <v>5</v>
      </c>
      <c r="E123" s="26" t="s">
        <v>80</v>
      </c>
      <c r="F123" s="22">
        <v>50</v>
      </c>
      <c r="G123" s="4">
        <f t="shared" si="6"/>
        <v>250</v>
      </c>
      <c r="H123" s="28"/>
    </row>
    <row r="124" spans="2:9" x14ac:dyDescent="0.25">
      <c r="B124" s="19"/>
      <c r="C124" s="20"/>
      <c r="D124" s="21">
        <v>5</v>
      </c>
      <c r="E124" s="26" t="s">
        <v>83</v>
      </c>
      <c r="F124" s="22">
        <v>70</v>
      </c>
      <c r="G124" s="4">
        <f t="shared" si="6"/>
        <v>350</v>
      </c>
      <c r="H124" s="28"/>
    </row>
    <row r="125" spans="2:9" x14ac:dyDescent="0.25">
      <c r="B125" s="19"/>
      <c r="C125" s="20"/>
      <c r="D125" s="21">
        <v>436</v>
      </c>
      <c r="E125" s="26" t="s">
        <v>84</v>
      </c>
      <c r="F125" s="22">
        <v>2.64</v>
      </c>
      <c r="G125" s="4">
        <f t="shared" si="6"/>
        <v>1151.04</v>
      </c>
      <c r="H125" s="28"/>
    </row>
    <row r="126" spans="2:9" x14ac:dyDescent="0.25">
      <c r="B126" s="19"/>
      <c r="C126" s="20"/>
      <c r="D126" s="21"/>
      <c r="E126" s="21"/>
      <c r="F126" s="22"/>
      <c r="G126" s="22"/>
      <c r="H126" s="15"/>
    </row>
    <row r="127" spans="2:9" x14ac:dyDescent="0.25">
      <c r="B127" s="19"/>
      <c r="C127" s="20"/>
      <c r="D127" s="21"/>
      <c r="E127" s="21"/>
      <c r="F127" s="22"/>
      <c r="G127" s="22"/>
      <c r="H127" s="15"/>
    </row>
    <row r="128" spans="2:9" x14ac:dyDescent="0.25">
      <c r="B128" s="19"/>
      <c r="C128" s="20"/>
      <c r="D128" s="21"/>
      <c r="E128" s="21"/>
      <c r="F128" s="22"/>
      <c r="G128" s="22"/>
      <c r="H128" s="15"/>
    </row>
    <row r="129" spans="2:9" ht="15.75" thickBot="1" x14ac:dyDescent="0.3">
      <c r="B129" s="10"/>
      <c r="C129" s="11"/>
      <c r="D129" s="11"/>
      <c r="E129" s="11"/>
      <c r="F129" s="12"/>
      <c r="G129" s="12">
        <f>SUM(G115:G125)</f>
        <v>10150.040000000001</v>
      </c>
      <c r="H129" s="13"/>
    </row>
    <row r="134" spans="2:9" ht="15.75" thickBot="1" x14ac:dyDescent="0.3"/>
    <row r="135" spans="2:9" x14ac:dyDescent="0.25">
      <c r="B135" s="32" t="s">
        <v>77</v>
      </c>
      <c r="C135" s="33"/>
      <c r="D135" s="33"/>
      <c r="E135" s="33"/>
      <c r="F135" s="33"/>
      <c r="G135" s="34"/>
      <c r="H135" s="7"/>
    </row>
    <row r="136" spans="2:9" x14ac:dyDescent="0.25">
      <c r="B136" s="8" t="s">
        <v>2</v>
      </c>
      <c r="C136" s="2" t="s">
        <v>9</v>
      </c>
      <c r="D136" s="2" t="s">
        <v>3</v>
      </c>
      <c r="E136" s="2" t="s">
        <v>4</v>
      </c>
      <c r="F136" s="4" t="s">
        <v>5</v>
      </c>
      <c r="G136" s="4" t="s">
        <v>6</v>
      </c>
      <c r="H136" s="27">
        <f>+G145</f>
        <v>2205</v>
      </c>
    </row>
    <row r="137" spans="2:9" x14ac:dyDescent="0.25">
      <c r="B137" s="9">
        <v>46202</v>
      </c>
      <c r="C137" s="3" t="s">
        <v>79</v>
      </c>
      <c r="D137" s="2">
        <v>3500</v>
      </c>
      <c r="E137" s="2" t="s">
        <v>78</v>
      </c>
      <c r="F137" s="4">
        <v>0.63</v>
      </c>
      <c r="G137" s="4">
        <f>+F137*D137</f>
        <v>2205</v>
      </c>
      <c r="H137" s="28"/>
    </row>
    <row r="138" spans="2:9" x14ac:dyDescent="0.25">
      <c r="B138" s="9"/>
      <c r="C138" s="3"/>
      <c r="D138" s="2"/>
      <c r="E138" s="2"/>
      <c r="F138" s="4"/>
      <c r="G138" s="4"/>
      <c r="H138" s="28"/>
    </row>
    <row r="139" spans="2:9" x14ac:dyDescent="0.25">
      <c r="B139" s="9"/>
      <c r="C139" s="3"/>
      <c r="D139" s="2"/>
      <c r="E139" s="2"/>
      <c r="F139" s="4"/>
      <c r="G139" s="4"/>
      <c r="H139" s="28"/>
      <c r="I139" s="38"/>
    </row>
    <row r="140" spans="2:9" x14ac:dyDescent="0.25">
      <c r="B140" s="9"/>
      <c r="C140" s="3"/>
      <c r="D140" s="2"/>
      <c r="E140" s="2"/>
      <c r="F140" s="4"/>
      <c r="G140" s="4"/>
      <c r="H140" s="28"/>
    </row>
    <row r="141" spans="2:9" x14ac:dyDescent="0.25">
      <c r="B141" s="9"/>
      <c r="C141" s="3"/>
      <c r="D141" s="2"/>
      <c r="E141" s="2"/>
      <c r="F141" s="4"/>
      <c r="G141" s="4"/>
      <c r="H141" s="28"/>
    </row>
    <row r="142" spans="2:9" x14ac:dyDescent="0.25">
      <c r="B142" s="9"/>
      <c r="C142" s="3"/>
      <c r="D142" s="2"/>
      <c r="E142" s="2"/>
      <c r="F142" s="4"/>
      <c r="G142" s="4"/>
      <c r="H142" s="28"/>
    </row>
    <row r="143" spans="2:9" x14ac:dyDescent="0.25">
      <c r="B143" s="9"/>
      <c r="C143" s="3"/>
      <c r="D143" s="2"/>
      <c r="E143" s="2"/>
      <c r="F143" s="4"/>
      <c r="G143" s="4"/>
      <c r="H143" s="28"/>
    </row>
    <row r="144" spans="2:9" x14ac:dyDescent="0.25">
      <c r="B144" s="9"/>
      <c r="C144" s="3"/>
      <c r="D144" s="2"/>
      <c r="E144" s="2"/>
      <c r="F144" s="4"/>
      <c r="G144" s="4"/>
      <c r="H144" s="28"/>
    </row>
    <row r="145" spans="2:9" ht="15.75" thickBot="1" x14ac:dyDescent="0.3">
      <c r="B145" s="10"/>
      <c r="C145" s="11"/>
      <c r="D145" s="11"/>
      <c r="E145" s="11"/>
      <c r="F145" s="12"/>
      <c r="G145" s="12">
        <f>SUM(G137:G144)</f>
        <v>2205</v>
      </c>
      <c r="H145" s="13"/>
    </row>
    <row r="147" spans="2:9" ht="15.75" thickBot="1" x14ac:dyDescent="0.3"/>
    <row r="148" spans="2:9" x14ac:dyDescent="0.25">
      <c r="B148" s="32" t="s">
        <v>89</v>
      </c>
      <c r="C148" s="33"/>
      <c r="D148" s="33"/>
      <c r="E148" s="33"/>
      <c r="F148" s="33"/>
      <c r="G148" s="34"/>
      <c r="H148" s="7"/>
    </row>
    <row r="149" spans="2:9" x14ac:dyDescent="0.25">
      <c r="B149" s="8" t="s">
        <v>2</v>
      </c>
      <c r="C149" s="2" t="s">
        <v>9</v>
      </c>
      <c r="D149" s="2" t="s">
        <v>3</v>
      </c>
      <c r="E149" s="2" t="s">
        <v>4</v>
      </c>
      <c r="F149" s="4" t="s">
        <v>5</v>
      </c>
      <c r="G149" s="4" t="s">
        <v>6</v>
      </c>
      <c r="H149" s="27">
        <f>+G158</f>
        <v>720</v>
      </c>
    </row>
    <row r="150" spans="2:9" x14ac:dyDescent="0.25">
      <c r="B150" s="9">
        <v>46209</v>
      </c>
      <c r="C150" s="3" t="s">
        <v>90</v>
      </c>
      <c r="D150" s="2">
        <v>1000</v>
      </c>
      <c r="E150" s="2" t="s">
        <v>91</v>
      </c>
      <c r="F150" s="4">
        <v>0.72</v>
      </c>
      <c r="G150" s="4">
        <f>+F150*D150</f>
        <v>720</v>
      </c>
      <c r="H150" s="28"/>
    </row>
    <row r="151" spans="2:9" x14ac:dyDescent="0.25">
      <c r="B151" s="9"/>
      <c r="C151" s="3"/>
      <c r="D151" s="2"/>
      <c r="E151" s="2"/>
      <c r="F151" s="4"/>
      <c r="G151" s="4"/>
      <c r="H151" s="28"/>
    </row>
    <row r="152" spans="2:9" x14ac:dyDescent="0.25">
      <c r="B152" s="9"/>
      <c r="C152" s="3"/>
      <c r="D152" s="2"/>
      <c r="E152" s="2"/>
      <c r="F152" s="4"/>
      <c r="G152" s="4"/>
      <c r="H152" s="28"/>
      <c r="I152" s="38"/>
    </row>
    <row r="153" spans="2:9" x14ac:dyDescent="0.25">
      <c r="B153" s="9"/>
      <c r="C153" s="3"/>
      <c r="D153" s="2"/>
      <c r="E153" s="2"/>
      <c r="F153" s="4"/>
      <c r="G153" s="4"/>
      <c r="H153" s="28"/>
    </row>
    <row r="154" spans="2:9" x14ac:dyDescent="0.25">
      <c r="B154" s="9"/>
      <c r="C154" s="3"/>
      <c r="D154" s="2"/>
      <c r="E154" s="2"/>
      <c r="F154" s="4"/>
      <c r="G154" s="4"/>
      <c r="H154" s="28"/>
    </row>
    <row r="155" spans="2:9" x14ac:dyDescent="0.25">
      <c r="B155" s="9"/>
      <c r="C155" s="3"/>
      <c r="D155" s="2"/>
      <c r="E155" s="2"/>
      <c r="F155" s="4"/>
      <c r="G155" s="4"/>
      <c r="H155" s="28"/>
    </row>
    <row r="156" spans="2:9" x14ac:dyDescent="0.25">
      <c r="B156" s="9"/>
      <c r="C156" s="3"/>
      <c r="D156" s="2"/>
      <c r="E156" s="2"/>
      <c r="F156" s="4"/>
      <c r="G156" s="4"/>
      <c r="H156" s="28"/>
    </row>
    <row r="157" spans="2:9" x14ac:dyDescent="0.25">
      <c r="B157" s="9"/>
      <c r="C157" s="3"/>
      <c r="D157" s="2"/>
      <c r="E157" s="2"/>
      <c r="F157" s="4"/>
      <c r="G157" s="4"/>
      <c r="H157" s="28"/>
    </row>
    <row r="158" spans="2:9" ht="15.75" thickBot="1" x14ac:dyDescent="0.3">
      <c r="B158" s="10"/>
      <c r="C158" s="11"/>
      <c r="D158" s="11"/>
      <c r="E158" s="11"/>
      <c r="F158" s="12"/>
      <c r="G158" s="12">
        <f>SUM(G150:G157)</f>
        <v>720</v>
      </c>
      <c r="H158" s="13"/>
    </row>
    <row r="160" spans="2:9" ht="15.75" thickBot="1" x14ac:dyDescent="0.3"/>
    <row r="161" spans="2:9" x14ac:dyDescent="0.25">
      <c r="B161" s="32" t="s">
        <v>101</v>
      </c>
      <c r="C161" s="33"/>
      <c r="D161" s="33"/>
      <c r="E161" s="33"/>
      <c r="F161" s="33"/>
      <c r="G161" s="34"/>
      <c r="H161" s="7"/>
    </row>
    <row r="162" spans="2:9" x14ac:dyDescent="0.25">
      <c r="B162" s="8" t="s">
        <v>2</v>
      </c>
      <c r="C162" s="2" t="s">
        <v>9</v>
      </c>
      <c r="D162" s="2" t="s">
        <v>3</v>
      </c>
      <c r="E162" s="2" t="s">
        <v>4</v>
      </c>
      <c r="F162" s="4" t="s">
        <v>5</v>
      </c>
      <c r="G162" s="4" t="s">
        <v>6</v>
      </c>
      <c r="H162" s="27">
        <f>+G166</f>
        <v>5675</v>
      </c>
    </row>
    <row r="163" spans="2:9" x14ac:dyDescent="0.25">
      <c r="B163" s="9">
        <v>46216</v>
      </c>
      <c r="C163" s="3" t="s">
        <v>102</v>
      </c>
      <c r="D163" s="2">
        <v>1500</v>
      </c>
      <c r="E163" s="2" t="s">
        <v>104</v>
      </c>
      <c r="F163" s="4">
        <v>3.2</v>
      </c>
      <c r="G163" s="4">
        <f>+D163*F163</f>
        <v>4800</v>
      </c>
      <c r="H163" s="28"/>
      <c r="I163" s="38"/>
    </row>
    <row r="164" spans="2:9" x14ac:dyDescent="0.25">
      <c r="B164" s="9"/>
      <c r="C164" s="3"/>
      <c r="D164" s="2">
        <v>500</v>
      </c>
      <c r="E164" s="2" t="s">
        <v>103</v>
      </c>
      <c r="F164" s="4">
        <v>1.75</v>
      </c>
      <c r="G164" s="4">
        <f>+D164*F164</f>
        <v>875</v>
      </c>
      <c r="H164" s="29"/>
    </row>
    <row r="165" spans="2:9" x14ac:dyDescent="0.25">
      <c r="B165" s="9"/>
      <c r="C165" s="3"/>
      <c r="D165" s="2"/>
      <c r="E165" s="2"/>
      <c r="F165" s="4"/>
      <c r="G165" s="4"/>
      <c r="H165" s="14"/>
    </row>
    <row r="166" spans="2:9" ht="15.75" thickBot="1" x14ac:dyDescent="0.3">
      <c r="B166" s="10"/>
      <c r="C166" s="11"/>
      <c r="D166" s="11"/>
      <c r="E166" s="11"/>
      <c r="F166" s="12"/>
      <c r="G166" s="12">
        <f>SUM(G163:G165)</f>
        <v>5675</v>
      </c>
      <c r="H166" s="13"/>
    </row>
    <row r="170" spans="2:9" ht="15.75" thickBot="1" x14ac:dyDescent="0.3"/>
    <row r="171" spans="2:9" x14ac:dyDescent="0.25">
      <c r="B171" s="32" t="s">
        <v>92</v>
      </c>
      <c r="C171" s="33"/>
      <c r="D171" s="33"/>
      <c r="E171" s="33"/>
      <c r="F171" s="33"/>
      <c r="G171" s="34"/>
      <c r="H171" s="7"/>
    </row>
    <row r="172" spans="2:9" x14ac:dyDescent="0.25">
      <c r="B172" s="8" t="s">
        <v>2</v>
      </c>
      <c r="C172" s="2" t="s">
        <v>9</v>
      </c>
      <c r="D172" s="2" t="s">
        <v>3</v>
      </c>
      <c r="E172" s="2" t="s">
        <v>4</v>
      </c>
      <c r="F172" s="4" t="s">
        <v>5</v>
      </c>
      <c r="G172" s="4" t="s">
        <v>6</v>
      </c>
      <c r="H172" s="27">
        <f>+G184</f>
        <v>19420</v>
      </c>
    </row>
    <row r="173" spans="2:9" x14ac:dyDescent="0.25">
      <c r="B173" s="9">
        <v>46211</v>
      </c>
      <c r="C173" s="3" t="s">
        <v>93</v>
      </c>
      <c r="D173" s="2">
        <v>200</v>
      </c>
      <c r="E173" s="2" t="s">
        <v>15</v>
      </c>
      <c r="F173" s="4">
        <v>33.1</v>
      </c>
      <c r="G173" s="4">
        <f>+F173*D173</f>
        <v>6620</v>
      </c>
      <c r="H173" s="28"/>
    </row>
    <row r="174" spans="2:9" x14ac:dyDescent="0.25">
      <c r="B174" s="9"/>
      <c r="C174" s="3"/>
      <c r="D174" s="2">
        <v>70</v>
      </c>
      <c r="E174" s="2" t="s">
        <v>36</v>
      </c>
      <c r="F174" s="4">
        <v>51.7</v>
      </c>
      <c r="G174" s="4">
        <f t="shared" ref="G174:G181" si="7">+F174*D174</f>
        <v>3619</v>
      </c>
      <c r="H174" s="28"/>
    </row>
    <row r="175" spans="2:9" x14ac:dyDescent="0.25">
      <c r="B175" s="9"/>
      <c r="C175" s="3"/>
      <c r="D175" s="2">
        <v>150</v>
      </c>
      <c r="E175" s="2" t="s">
        <v>21</v>
      </c>
      <c r="F175" s="4">
        <v>34.299999999999997</v>
      </c>
      <c r="G175" s="4">
        <f t="shared" si="7"/>
        <v>5145</v>
      </c>
      <c r="H175" s="28"/>
    </row>
    <row r="176" spans="2:9" x14ac:dyDescent="0.25">
      <c r="B176" s="9"/>
      <c r="C176" s="3"/>
      <c r="D176" s="2">
        <v>100</v>
      </c>
      <c r="E176" s="2" t="s">
        <v>35</v>
      </c>
      <c r="F176" s="4">
        <v>31.7</v>
      </c>
      <c r="G176" s="4">
        <f t="shared" si="7"/>
        <v>3170</v>
      </c>
      <c r="H176" s="28"/>
    </row>
    <row r="177" spans="2:9" x14ac:dyDescent="0.25">
      <c r="B177" s="9"/>
      <c r="C177" s="3"/>
      <c r="D177" s="2">
        <v>50</v>
      </c>
      <c r="E177" s="2" t="s">
        <v>23</v>
      </c>
      <c r="F177" s="4">
        <v>13.75</v>
      </c>
      <c r="G177" s="4">
        <f t="shared" si="7"/>
        <v>687.5</v>
      </c>
      <c r="H177" s="28"/>
      <c r="I177" s="38"/>
    </row>
    <row r="178" spans="2:9" x14ac:dyDescent="0.25">
      <c r="B178" s="9"/>
      <c r="C178" s="3"/>
      <c r="D178" s="2">
        <v>25</v>
      </c>
      <c r="E178" s="2" t="s">
        <v>22</v>
      </c>
      <c r="F178" s="4">
        <v>3.8</v>
      </c>
      <c r="G178" s="4">
        <f t="shared" si="7"/>
        <v>95</v>
      </c>
      <c r="H178" s="28"/>
    </row>
    <row r="179" spans="2:9" x14ac:dyDescent="0.25">
      <c r="B179" s="9"/>
      <c r="C179" s="3"/>
      <c r="D179" s="2">
        <v>10</v>
      </c>
      <c r="E179" s="2" t="s">
        <v>96</v>
      </c>
      <c r="F179" s="4">
        <v>3.9</v>
      </c>
      <c r="G179" s="4">
        <f t="shared" si="7"/>
        <v>39</v>
      </c>
      <c r="H179" s="28"/>
    </row>
    <row r="180" spans="2:9" x14ac:dyDescent="0.25">
      <c r="B180" s="9"/>
      <c r="C180" s="3"/>
      <c r="D180" s="2">
        <v>5</v>
      </c>
      <c r="E180" s="2" t="s">
        <v>94</v>
      </c>
      <c r="F180" s="4">
        <v>4.4000000000000004</v>
      </c>
      <c r="G180" s="4">
        <f t="shared" si="7"/>
        <v>22</v>
      </c>
      <c r="H180" s="28"/>
    </row>
    <row r="181" spans="2:9" x14ac:dyDescent="0.25">
      <c r="B181" s="9"/>
      <c r="C181" s="3"/>
      <c r="D181" s="2">
        <v>5</v>
      </c>
      <c r="E181" s="2" t="s">
        <v>95</v>
      </c>
      <c r="F181" s="4">
        <v>4.5</v>
      </c>
      <c r="G181" s="4">
        <f t="shared" si="7"/>
        <v>22.5</v>
      </c>
      <c r="H181" s="28"/>
    </row>
    <row r="182" spans="2:9" x14ac:dyDescent="0.25">
      <c r="B182" s="9"/>
      <c r="C182" s="3"/>
      <c r="D182" s="2"/>
      <c r="E182" s="2"/>
      <c r="F182" s="4"/>
      <c r="G182" s="4"/>
      <c r="H182" s="28"/>
    </row>
    <row r="183" spans="2:9" x14ac:dyDescent="0.25">
      <c r="B183" s="9"/>
      <c r="C183" s="3"/>
      <c r="D183" s="2"/>
      <c r="E183" s="2"/>
      <c r="F183" s="4"/>
      <c r="G183" s="4"/>
      <c r="H183" s="28"/>
    </row>
    <row r="184" spans="2:9" ht="15.75" thickBot="1" x14ac:dyDescent="0.3">
      <c r="B184" s="10"/>
      <c r="C184" s="11"/>
      <c r="D184" s="11"/>
      <c r="E184" s="11"/>
      <c r="F184" s="12"/>
      <c r="G184" s="12">
        <f>SUM(G173:G183)</f>
        <v>19420</v>
      </c>
      <c r="H184" s="13"/>
    </row>
    <row r="186" spans="2:9" ht="15.75" thickBot="1" x14ac:dyDescent="0.3"/>
    <row r="187" spans="2:9" x14ac:dyDescent="0.25">
      <c r="B187" s="32" t="s">
        <v>97</v>
      </c>
      <c r="C187" s="33"/>
      <c r="D187" s="33"/>
      <c r="E187" s="33"/>
      <c r="F187" s="33"/>
      <c r="G187" s="34"/>
      <c r="H187" s="7"/>
    </row>
    <row r="188" spans="2:9" x14ac:dyDescent="0.25">
      <c r="B188" s="8" t="s">
        <v>2</v>
      </c>
      <c r="C188" s="2" t="s">
        <v>9</v>
      </c>
      <c r="D188" s="2" t="s">
        <v>3</v>
      </c>
      <c r="E188" s="2" t="s">
        <v>4</v>
      </c>
      <c r="F188" s="4" t="s">
        <v>5</v>
      </c>
      <c r="G188" s="4" t="s">
        <v>6</v>
      </c>
      <c r="H188" s="27">
        <f>+G192</f>
        <v>420</v>
      </c>
    </row>
    <row r="189" spans="2:9" x14ac:dyDescent="0.25">
      <c r="B189" s="9">
        <v>46213</v>
      </c>
      <c r="C189" s="3" t="s">
        <v>98</v>
      </c>
      <c r="D189" s="2">
        <v>0.5</v>
      </c>
      <c r="E189" s="2" t="s">
        <v>80</v>
      </c>
      <c r="F189" s="4">
        <v>60</v>
      </c>
      <c r="G189" s="4">
        <f>+D189*F189</f>
        <v>30</v>
      </c>
      <c r="H189" s="28"/>
      <c r="I189" s="38"/>
    </row>
    <row r="190" spans="2:9" x14ac:dyDescent="0.25">
      <c r="B190" s="9"/>
      <c r="C190" s="3"/>
      <c r="D190" s="2">
        <v>500</v>
      </c>
      <c r="E190" s="2" t="s">
        <v>99</v>
      </c>
      <c r="F190" s="4">
        <v>0.78</v>
      </c>
      <c r="G190" s="4">
        <f>+D190*F190</f>
        <v>390</v>
      </c>
      <c r="H190" s="29"/>
    </row>
    <row r="191" spans="2:9" x14ac:dyDescent="0.25">
      <c r="B191" s="9"/>
      <c r="C191" s="3"/>
      <c r="D191" s="2"/>
      <c r="E191" s="2"/>
      <c r="F191" s="4"/>
      <c r="G191" s="4"/>
      <c r="H191" s="14"/>
    </row>
    <row r="192" spans="2:9" ht="15.75" thickBot="1" x14ac:dyDescent="0.3">
      <c r="B192" s="10"/>
      <c r="C192" s="11"/>
      <c r="D192" s="11"/>
      <c r="E192" s="11"/>
      <c r="F192" s="12"/>
      <c r="G192" s="12">
        <f>SUM(G189:G191)</f>
        <v>420</v>
      </c>
      <c r="H192" s="13"/>
    </row>
    <row r="194" spans="2:9" ht="15.75" thickBot="1" x14ac:dyDescent="0.3"/>
    <row r="195" spans="2:9" x14ac:dyDescent="0.25">
      <c r="B195" s="32" t="s">
        <v>44</v>
      </c>
      <c r="C195" s="33"/>
      <c r="D195" s="33"/>
      <c r="E195" s="33"/>
      <c r="F195" s="33"/>
      <c r="G195" s="34"/>
      <c r="H195" s="7"/>
    </row>
    <row r="196" spans="2:9" x14ac:dyDescent="0.25">
      <c r="B196" s="8" t="s">
        <v>2</v>
      </c>
      <c r="C196" s="2" t="s">
        <v>9</v>
      </c>
      <c r="D196" s="2" t="s">
        <v>3</v>
      </c>
      <c r="E196" s="2" t="s">
        <v>4</v>
      </c>
      <c r="F196" s="4" t="s">
        <v>5</v>
      </c>
      <c r="G196" s="4" t="s">
        <v>6</v>
      </c>
      <c r="H196" s="27">
        <f>+G200</f>
        <v>34</v>
      </c>
    </row>
    <row r="197" spans="2:9" x14ac:dyDescent="0.25">
      <c r="B197" s="9">
        <v>45048</v>
      </c>
      <c r="C197" s="3" t="s">
        <v>45</v>
      </c>
      <c r="D197" s="2">
        <v>0.5</v>
      </c>
      <c r="E197" s="2" t="s">
        <v>7</v>
      </c>
      <c r="F197" s="4">
        <v>68</v>
      </c>
      <c r="G197" s="4">
        <f>+D197*F197</f>
        <v>34</v>
      </c>
      <c r="H197" s="28"/>
      <c r="I197" s="38"/>
    </row>
    <row r="198" spans="2:9" x14ac:dyDescent="0.25">
      <c r="B198" s="9"/>
      <c r="C198" s="3"/>
      <c r="D198" s="2"/>
      <c r="E198" s="2"/>
      <c r="F198" s="4"/>
      <c r="G198" s="4"/>
      <c r="H198" s="29"/>
    </row>
    <row r="199" spans="2:9" x14ac:dyDescent="0.25">
      <c r="B199" s="9"/>
      <c r="C199" s="3"/>
      <c r="D199" s="2"/>
      <c r="E199" s="2"/>
      <c r="F199" s="4"/>
      <c r="G199" s="4"/>
      <c r="H199" s="14"/>
    </row>
    <row r="200" spans="2:9" ht="15.75" thickBot="1" x14ac:dyDescent="0.3">
      <c r="B200" s="10"/>
      <c r="C200" s="11"/>
      <c r="D200" s="11"/>
      <c r="E200" s="11"/>
      <c r="F200" s="12"/>
      <c r="G200" s="12">
        <f>SUM(G197:G199)</f>
        <v>34</v>
      </c>
      <c r="H200" s="13"/>
    </row>
    <row r="202" spans="2:9" ht="15.75" thickBot="1" x14ac:dyDescent="0.3"/>
    <row r="203" spans="2:9" x14ac:dyDescent="0.25">
      <c r="B203" s="30" t="s">
        <v>46</v>
      </c>
      <c r="C203" s="31"/>
      <c r="D203" s="31"/>
      <c r="E203" s="31"/>
      <c r="F203" s="31"/>
      <c r="G203" s="31"/>
      <c r="H203" s="7"/>
    </row>
    <row r="204" spans="2:9" x14ac:dyDescent="0.25">
      <c r="B204" s="8" t="s">
        <v>2</v>
      </c>
      <c r="C204" s="2" t="s">
        <v>9</v>
      </c>
      <c r="D204" s="2" t="s">
        <v>3</v>
      </c>
      <c r="E204" s="2" t="s">
        <v>4</v>
      </c>
      <c r="F204" s="4" t="s">
        <v>5</v>
      </c>
      <c r="G204" s="4" t="s">
        <v>6</v>
      </c>
      <c r="H204" s="27">
        <f>+G216</f>
        <v>13351.7</v>
      </c>
    </row>
    <row r="205" spans="2:9" x14ac:dyDescent="0.25">
      <c r="B205" s="9">
        <v>45294</v>
      </c>
      <c r="C205" s="3" t="s">
        <v>47</v>
      </c>
      <c r="D205" s="2">
        <v>100</v>
      </c>
      <c r="E205" s="2" t="s">
        <v>50</v>
      </c>
      <c r="F205" s="4">
        <v>31.7</v>
      </c>
      <c r="G205" s="4">
        <f>+D205*F205</f>
        <v>3170</v>
      </c>
      <c r="H205" s="28"/>
    </row>
    <row r="206" spans="2:9" x14ac:dyDescent="0.25">
      <c r="B206" s="9"/>
      <c r="C206" s="3"/>
      <c r="D206" s="2">
        <v>5</v>
      </c>
      <c r="E206" s="2" t="s">
        <v>22</v>
      </c>
      <c r="F206" s="4">
        <v>3.8</v>
      </c>
      <c r="G206" s="4">
        <f t="shared" ref="G206:G213" si="8">+D206*F206</f>
        <v>19</v>
      </c>
      <c r="H206" s="28"/>
    </row>
    <row r="207" spans="2:9" x14ac:dyDescent="0.25">
      <c r="B207" s="9"/>
      <c r="C207" s="3"/>
      <c r="D207" s="2">
        <v>57</v>
      </c>
      <c r="E207" s="2" t="s">
        <v>22</v>
      </c>
      <c r="F207" s="4">
        <v>3.8</v>
      </c>
      <c r="G207" s="4">
        <f t="shared" si="8"/>
        <v>216.6</v>
      </c>
      <c r="H207" s="28"/>
    </row>
    <row r="208" spans="2:9" x14ac:dyDescent="0.25">
      <c r="B208" s="9"/>
      <c r="C208" s="3"/>
      <c r="D208" s="2">
        <v>10</v>
      </c>
      <c r="E208" s="2" t="s">
        <v>49</v>
      </c>
      <c r="F208" s="4">
        <v>3.8</v>
      </c>
      <c r="G208" s="4">
        <f t="shared" si="8"/>
        <v>38</v>
      </c>
      <c r="H208" s="28"/>
      <c r="I208" s="38"/>
    </row>
    <row r="209" spans="2:9" x14ac:dyDescent="0.25">
      <c r="B209" s="9"/>
      <c r="C209" s="3"/>
      <c r="D209" s="2">
        <v>42</v>
      </c>
      <c r="E209" s="2" t="s">
        <v>29</v>
      </c>
      <c r="F209" s="4">
        <v>8.1999999999999993</v>
      </c>
      <c r="G209" s="4">
        <f t="shared" si="8"/>
        <v>344.4</v>
      </c>
      <c r="H209" s="28"/>
    </row>
    <row r="210" spans="2:9" x14ac:dyDescent="0.25">
      <c r="B210" s="9"/>
      <c r="C210" s="3"/>
      <c r="D210" s="2">
        <v>75</v>
      </c>
      <c r="E210" s="2" t="s">
        <v>23</v>
      </c>
      <c r="F210" s="4">
        <v>14.2</v>
      </c>
      <c r="G210" s="4">
        <f t="shared" si="8"/>
        <v>1065</v>
      </c>
      <c r="H210" s="28"/>
    </row>
    <row r="211" spans="2:9" x14ac:dyDescent="0.25">
      <c r="B211" s="9"/>
      <c r="C211" s="3"/>
      <c r="D211" s="2">
        <v>38</v>
      </c>
      <c r="E211" s="2" t="s">
        <v>26</v>
      </c>
      <c r="F211" s="4">
        <v>19.399999999999999</v>
      </c>
      <c r="G211" s="4">
        <f t="shared" si="8"/>
        <v>737.19999999999993</v>
      </c>
      <c r="H211" s="28"/>
    </row>
    <row r="212" spans="2:9" x14ac:dyDescent="0.25">
      <c r="B212" s="9"/>
      <c r="C212" s="3"/>
      <c r="D212" s="2">
        <v>140</v>
      </c>
      <c r="E212" s="2" t="s">
        <v>48</v>
      </c>
      <c r="F212" s="4">
        <v>34.5</v>
      </c>
      <c r="G212" s="4">
        <f t="shared" si="8"/>
        <v>4830</v>
      </c>
      <c r="H212" s="28"/>
    </row>
    <row r="213" spans="2:9" x14ac:dyDescent="0.25">
      <c r="B213" s="9"/>
      <c r="C213" s="3"/>
      <c r="D213" s="2">
        <v>55</v>
      </c>
      <c r="E213" s="2" t="s">
        <v>36</v>
      </c>
      <c r="F213" s="4">
        <v>53.3</v>
      </c>
      <c r="G213" s="4">
        <f t="shared" si="8"/>
        <v>2931.5</v>
      </c>
      <c r="H213" s="28"/>
    </row>
    <row r="214" spans="2:9" x14ac:dyDescent="0.25">
      <c r="B214" s="9"/>
      <c r="C214" s="3"/>
      <c r="D214" s="2"/>
      <c r="E214" s="2"/>
      <c r="F214" s="4"/>
      <c r="G214" s="4"/>
      <c r="H214" s="29"/>
    </row>
    <row r="215" spans="2:9" x14ac:dyDescent="0.25">
      <c r="B215" s="19"/>
      <c r="C215" s="20"/>
      <c r="D215" s="21"/>
      <c r="E215" s="21"/>
      <c r="F215" s="22"/>
      <c r="G215" s="22"/>
      <c r="H215" s="15"/>
    </row>
    <row r="216" spans="2:9" ht="15.75" thickBot="1" x14ac:dyDescent="0.3">
      <c r="B216" s="10"/>
      <c r="C216" s="11"/>
      <c r="D216" s="11"/>
      <c r="E216" s="11"/>
      <c r="F216" s="12"/>
      <c r="G216" s="12">
        <f>SUM(G205:G214)</f>
        <v>13351.7</v>
      </c>
      <c r="H216" s="13"/>
    </row>
    <row r="218" spans="2:9" ht="15.75" thickBot="1" x14ac:dyDescent="0.3"/>
    <row r="219" spans="2:9" x14ac:dyDescent="0.25">
      <c r="B219" s="30" t="s">
        <v>51</v>
      </c>
      <c r="C219" s="31"/>
      <c r="D219" s="31"/>
      <c r="E219" s="31"/>
      <c r="F219" s="31"/>
      <c r="G219" s="31"/>
      <c r="H219" s="7"/>
    </row>
    <row r="220" spans="2:9" x14ac:dyDescent="0.25">
      <c r="B220" s="8" t="s">
        <v>2</v>
      </c>
      <c r="C220" s="2" t="s">
        <v>9</v>
      </c>
      <c r="D220" s="2" t="s">
        <v>3</v>
      </c>
      <c r="E220" s="2" t="s">
        <v>4</v>
      </c>
      <c r="F220" s="4" t="s">
        <v>5</v>
      </c>
      <c r="G220" s="4" t="s">
        <v>6</v>
      </c>
      <c r="H220" s="27">
        <f>+G224</f>
        <v>46.5</v>
      </c>
    </row>
    <row r="221" spans="2:9" x14ac:dyDescent="0.25">
      <c r="B221" s="9">
        <v>46021</v>
      </c>
      <c r="C221" s="3" t="s">
        <v>52</v>
      </c>
      <c r="D221" s="2">
        <v>75</v>
      </c>
      <c r="E221" s="2" t="s">
        <v>53</v>
      </c>
      <c r="F221" s="4">
        <v>0.5</v>
      </c>
      <c r="G221" s="4">
        <f>+D221*F221</f>
        <v>37.5</v>
      </c>
      <c r="H221" s="28"/>
      <c r="I221" s="38"/>
    </row>
    <row r="222" spans="2:9" x14ac:dyDescent="0.25">
      <c r="B222" s="9"/>
      <c r="C222" s="3"/>
      <c r="D222" s="2">
        <v>2</v>
      </c>
      <c r="E222" s="2" t="s">
        <v>22</v>
      </c>
      <c r="F222" s="4">
        <v>4.5</v>
      </c>
      <c r="G222" s="4">
        <f>+D222*F222</f>
        <v>9</v>
      </c>
      <c r="H222" s="29"/>
    </row>
    <row r="223" spans="2:9" x14ac:dyDescent="0.25">
      <c r="B223" s="9"/>
      <c r="C223" s="3"/>
      <c r="D223" s="2"/>
      <c r="E223" s="2"/>
      <c r="F223" s="4"/>
      <c r="G223" s="4"/>
      <c r="H223" s="14"/>
    </row>
    <row r="224" spans="2:9" ht="15.75" thickBot="1" x14ac:dyDescent="0.3">
      <c r="B224" s="10"/>
      <c r="C224" s="11"/>
      <c r="D224" s="11"/>
      <c r="E224" s="11"/>
      <c r="F224" s="12"/>
      <c r="G224" s="12">
        <f>SUM(G221:G223)</f>
        <v>46.5</v>
      </c>
      <c r="H224" s="13"/>
    </row>
    <row r="226" spans="2:9" ht="15.75" thickBot="1" x14ac:dyDescent="0.3"/>
    <row r="227" spans="2:9" x14ac:dyDescent="0.25">
      <c r="B227" s="30" t="s">
        <v>54</v>
      </c>
      <c r="C227" s="31"/>
      <c r="D227" s="31"/>
      <c r="E227" s="31"/>
      <c r="F227" s="31"/>
      <c r="G227" s="31"/>
      <c r="H227" s="7"/>
    </row>
    <row r="228" spans="2:9" x14ac:dyDescent="0.25">
      <c r="B228" s="8" t="s">
        <v>2</v>
      </c>
      <c r="C228" s="2" t="s">
        <v>9</v>
      </c>
      <c r="D228" s="2" t="s">
        <v>3</v>
      </c>
      <c r="E228" s="2" t="s">
        <v>4</v>
      </c>
      <c r="F228" s="4" t="s">
        <v>5</v>
      </c>
      <c r="G228" s="4" t="s">
        <v>6</v>
      </c>
      <c r="H228" s="27">
        <f>+G232</f>
        <v>240</v>
      </c>
    </row>
    <row r="229" spans="2:9" x14ac:dyDescent="0.25">
      <c r="B229" s="9">
        <v>46049</v>
      </c>
      <c r="C229" s="3" t="s">
        <v>55</v>
      </c>
      <c r="D229" s="2">
        <v>4</v>
      </c>
      <c r="E229" s="2" t="s">
        <v>7</v>
      </c>
      <c r="F229" s="4">
        <v>60</v>
      </c>
      <c r="G229" s="4">
        <f>+D229*F229</f>
        <v>240</v>
      </c>
      <c r="H229" s="28"/>
      <c r="I229" s="38"/>
    </row>
    <row r="230" spans="2:9" x14ac:dyDescent="0.25">
      <c r="B230" s="9"/>
      <c r="C230" s="3"/>
      <c r="D230" s="2"/>
      <c r="E230" s="2"/>
      <c r="F230" s="4"/>
      <c r="G230" s="4"/>
      <c r="H230" s="29"/>
    </row>
    <row r="231" spans="2:9" x14ac:dyDescent="0.25">
      <c r="B231" s="9"/>
      <c r="C231" s="3"/>
      <c r="D231" s="2"/>
      <c r="E231" s="2"/>
      <c r="F231" s="4"/>
      <c r="G231" s="4"/>
      <c r="H231" s="14"/>
    </row>
    <row r="232" spans="2:9" ht="15.75" thickBot="1" x14ac:dyDescent="0.3">
      <c r="B232" s="10"/>
      <c r="C232" s="11"/>
      <c r="D232" s="11"/>
      <c r="E232" s="11"/>
      <c r="F232" s="12"/>
      <c r="G232" s="12">
        <f>SUM(G229:G231)</f>
        <v>240</v>
      </c>
      <c r="H232" s="13"/>
    </row>
    <row r="235" spans="2:9" ht="15.75" thickBot="1" x14ac:dyDescent="0.3"/>
    <row r="236" spans="2:9" x14ac:dyDescent="0.25">
      <c r="B236" s="30" t="s">
        <v>56</v>
      </c>
      <c r="C236" s="31"/>
      <c r="D236" s="31"/>
      <c r="E236" s="31"/>
      <c r="F236" s="31"/>
      <c r="G236" s="31"/>
      <c r="H236" s="7"/>
    </row>
    <row r="237" spans="2:9" x14ac:dyDescent="0.25">
      <c r="B237" s="8" t="s">
        <v>2</v>
      </c>
      <c r="C237" s="2" t="s">
        <v>9</v>
      </c>
      <c r="D237" s="2" t="s">
        <v>3</v>
      </c>
      <c r="E237" s="2" t="s">
        <v>4</v>
      </c>
      <c r="F237" s="4" t="s">
        <v>5</v>
      </c>
      <c r="G237" s="4" t="s">
        <v>6</v>
      </c>
      <c r="H237" s="27">
        <f>+G241</f>
        <v>120</v>
      </c>
    </row>
    <row r="238" spans="2:9" x14ac:dyDescent="0.25">
      <c r="B238" s="9">
        <v>46072</v>
      </c>
      <c r="C238" s="3" t="s">
        <v>57</v>
      </c>
      <c r="D238" s="2">
        <v>3</v>
      </c>
      <c r="E238" s="2" t="s">
        <v>58</v>
      </c>
      <c r="F238" s="4">
        <v>40</v>
      </c>
      <c r="G238" s="4">
        <f>+D238*F238</f>
        <v>120</v>
      </c>
      <c r="H238" s="28"/>
    </row>
    <row r="239" spans="2:9" x14ac:dyDescent="0.25">
      <c r="B239" s="9"/>
      <c r="C239" s="3"/>
      <c r="D239" s="2"/>
      <c r="E239" s="2"/>
      <c r="F239" s="4"/>
      <c r="G239" s="4"/>
      <c r="H239" s="29"/>
      <c r="I239" s="38"/>
    </row>
    <row r="240" spans="2:9" x14ac:dyDescent="0.25">
      <c r="B240" s="9"/>
      <c r="C240" s="3"/>
      <c r="D240" s="2"/>
      <c r="E240" s="2"/>
      <c r="F240" s="4"/>
      <c r="G240" s="4"/>
      <c r="H240" s="14"/>
    </row>
    <row r="241" spans="2:9" ht="15.75" thickBot="1" x14ac:dyDescent="0.3">
      <c r="B241" s="10"/>
      <c r="C241" s="11"/>
      <c r="D241" s="11"/>
      <c r="E241" s="11"/>
      <c r="F241" s="12"/>
      <c r="G241" s="12">
        <f>SUM(G238:G240)</f>
        <v>120</v>
      </c>
      <c r="H241" s="13"/>
    </row>
    <row r="243" spans="2:9" ht="15.75" thickBot="1" x14ac:dyDescent="0.3"/>
    <row r="244" spans="2:9" x14ac:dyDescent="0.25">
      <c r="B244" s="30" t="s">
        <v>59</v>
      </c>
      <c r="C244" s="31"/>
      <c r="D244" s="31"/>
      <c r="E244" s="31"/>
      <c r="F244" s="31"/>
      <c r="G244" s="31"/>
      <c r="H244" s="7"/>
    </row>
    <row r="245" spans="2:9" x14ac:dyDescent="0.25">
      <c r="B245" s="8" t="s">
        <v>2</v>
      </c>
      <c r="C245" s="2" t="s">
        <v>9</v>
      </c>
      <c r="D245" s="2" t="s">
        <v>3</v>
      </c>
      <c r="E245" s="2" t="s">
        <v>4</v>
      </c>
      <c r="F245" s="4" t="s">
        <v>5</v>
      </c>
      <c r="G245" s="4" t="s">
        <v>6</v>
      </c>
      <c r="H245" s="27">
        <f>+G249</f>
        <v>285</v>
      </c>
    </row>
    <row r="246" spans="2:9" x14ac:dyDescent="0.25">
      <c r="B246" s="9">
        <v>46076</v>
      </c>
      <c r="C246" s="3" t="s">
        <v>60</v>
      </c>
      <c r="D246" s="2">
        <v>150</v>
      </c>
      <c r="E246" s="2" t="s">
        <v>61</v>
      </c>
      <c r="F246" s="4">
        <v>1.9</v>
      </c>
      <c r="G246" s="4">
        <f>+D246*F246</f>
        <v>285</v>
      </c>
      <c r="H246" s="28"/>
      <c r="I246" s="38"/>
    </row>
    <row r="247" spans="2:9" x14ac:dyDescent="0.25">
      <c r="B247" s="9"/>
      <c r="C247" s="3"/>
      <c r="D247" s="2"/>
      <c r="E247" s="2"/>
      <c r="F247" s="4"/>
      <c r="G247" s="4"/>
      <c r="H247" s="29"/>
    </row>
    <row r="248" spans="2:9" x14ac:dyDescent="0.25">
      <c r="B248" s="9"/>
      <c r="C248" s="3"/>
      <c r="D248" s="2"/>
      <c r="E248" s="2"/>
      <c r="F248" s="4"/>
      <c r="G248" s="4"/>
      <c r="H248" s="14"/>
    </row>
    <row r="249" spans="2:9" ht="15.75" thickBot="1" x14ac:dyDescent="0.3">
      <c r="B249" s="10"/>
      <c r="C249" s="11"/>
      <c r="D249" s="11"/>
      <c r="E249" s="11"/>
      <c r="F249" s="12"/>
      <c r="G249" s="12">
        <f>SUM(G246:G248)</f>
        <v>285</v>
      </c>
      <c r="H249" s="13"/>
    </row>
    <row r="251" spans="2:9" ht="15.75" thickBot="1" x14ac:dyDescent="0.3"/>
    <row r="252" spans="2:9" x14ac:dyDescent="0.25">
      <c r="B252" s="30" t="s">
        <v>62</v>
      </c>
      <c r="C252" s="31"/>
      <c r="D252" s="31"/>
      <c r="E252" s="31"/>
      <c r="F252" s="31"/>
      <c r="G252" s="31"/>
      <c r="H252" s="7"/>
    </row>
    <row r="253" spans="2:9" x14ac:dyDescent="0.25">
      <c r="B253" s="8" t="s">
        <v>2</v>
      </c>
      <c r="C253" s="2" t="s">
        <v>9</v>
      </c>
      <c r="D253" s="2" t="s">
        <v>3</v>
      </c>
      <c r="E253" s="2" t="s">
        <v>4</v>
      </c>
      <c r="F253" s="4" t="s">
        <v>5</v>
      </c>
      <c r="G253" s="4" t="s">
        <v>6</v>
      </c>
      <c r="H253" s="27">
        <f>+G259</f>
        <v>1540</v>
      </c>
    </row>
    <row r="254" spans="2:9" x14ac:dyDescent="0.25">
      <c r="B254" s="9"/>
      <c r="C254" s="3"/>
      <c r="D254" s="2"/>
      <c r="E254" s="2"/>
      <c r="F254" s="4"/>
      <c r="G254" s="4"/>
      <c r="H254" s="28"/>
    </row>
    <row r="255" spans="2:9" x14ac:dyDescent="0.25">
      <c r="B255" s="9">
        <v>46129</v>
      </c>
      <c r="C255" s="3" t="s">
        <v>64</v>
      </c>
      <c r="D255" s="2">
        <v>50</v>
      </c>
      <c r="E255" s="2" t="s">
        <v>35</v>
      </c>
      <c r="F255" s="4">
        <v>30.8</v>
      </c>
      <c r="G255" s="4">
        <f t="shared" ref="G255" si="9">+D255*F255</f>
        <v>1540</v>
      </c>
      <c r="H255" s="28"/>
      <c r="I255" s="38"/>
    </row>
    <row r="256" spans="2:9" x14ac:dyDescent="0.25">
      <c r="B256" s="9"/>
      <c r="C256" s="3"/>
      <c r="D256" s="2"/>
      <c r="E256" s="2"/>
      <c r="F256" s="4"/>
      <c r="G256" s="4"/>
      <c r="H256" s="28"/>
    </row>
    <row r="257" spans="2:9" x14ac:dyDescent="0.25">
      <c r="B257" s="9"/>
      <c r="C257" s="3"/>
      <c r="D257" s="2"/>
      <c r="E257" s="2"/>
      <c r="F257" s="4"/>
      <c r="G257" s="4"/>
      <c r="H257" s="29"/>
    </row>
    <row r="258" spans="2:9" x14ac:dyDescent="0.25">
      <c r="B258" s="9"/>
      <c r="C258" s="3"/>
      <c r="D258" s="2"/>
      <c r="E258" s="2"/>
      <c r="F258" s="4"/>
      <c r="G258" s="4"/>
      <c r="H258" s="14"/>
    </row>
    <row r="259" spans="2:9" ht="15.75" thickBot="1" x14ac:dyDescent="0.3">
      <c r="B259" s="10"/>
      <c r="C259" s="11"/>
      <c r="D259" s="11"/>
      <c r="E259" s="11"/>
      <c r="F259" s="12"/>
      <c r="G259" s="12">
        <f>SUM(G254:G258)</f>
        <v>1540</v>
      </c>
      <c r="H259" s="13"/>
    </row>
    <row r="261" spans="2:9" ht="15.75" thickBot="1" x14ac:dyDescent="0.3"/>
    <row r="262" spans="2:9" x14ac:dyDescent="0.25">
      <c r="B262" s="30" t="s">
        <v>38</v>
      </c>
      <c r="C262" s="31"/>
      <c r="D262" s="31"/>
      <c r="E262" s="31"/>
      <c r="F262" s="31"/>
      <c r="G262" s="31"/>
      <c r="H262" s="7"/>
    </row>
    <row r="263" spans="2:9" x14ac:dyDescent="0.25">
      <c r="B263" s="8" t="s">
        <v>2</v>
      </c>
      <c r="C263" s="2" t="s">
        <v>9</v>
      </c>
      <c r="D263" s="2" t="s">
        <v>3</v>
      </c>
      <c r="E263" s="2" t="s">
        <v>4</v>
      </c>
      <c r="F263" s="4" t="s">
        <v>5</v>
      </c>
      <c r="G263" s="4" t="s">
        <v>6</v>
      </c>
      <c r="H263" s="27">
        <f>+G269</f>
        <v>2211</v>
      </c>
    </row>
    <row r="264" spans="2:9" x14ac:dyDescent="0.25">
      <c r="B264" s="9">
        <v>46088</v>
      </c>
      <c r="C264" s="3" t="s">
        <v>39</v>
      </c>
      <c r="D264" s="2">
        <f>60-12</f>
        <v>48</v>
      </c>
      <c r="E264" s="2" t="s">
        <v>15</v>
      </c>
      <c r="F264" s="4">
        <v>33</v>
      </c>
      <c r="G264" s="4">
        <f>+D264*F264</f>
        <v>1584</v>
      </c>
      <c r="H264" s="28"/>
      <c r="I264" s="38"/>
    </row>
    <row r="265" spans="2:9" x14ac:dyDescent="0.25">
      <c r="B265" s="9"/>
      <c r="C265" s="3"/>
      <c r="D265" s="2">
        <f>40-7</f>
        <v>33</v>
      </c>
      <c r="E265" s="2" t="s">
        <v>40</v>
      </c>
      <c r="F265" s="4">
        <v>19</v>
      </c>
      <c r="G265" s="4">
        <f>+D265*F265</f>
        <v>627</v>
      </c>
      <c r="H265" s="29"/>
    </row>
    <row r="266" spans="2:9" x14ac:dyDescent="0.25">
      <c r="B266" s="9"/>
      <c r="C266" s="3"/>
      <c r="D266" s="2"/>
      <c r="E266" s="2"/>
      <c r="F266" s="4"/>
      <c r="G266" s="4"/>
      <c r="H266" s="16"/>
    </row>
    <row r="267" spans="2:9" x14ac:dyDescent="0.25">
      <c r="B267" s="9"/>
      <c r="C267" s="3"/>
      <c r="D267" s="2"/>
      <c r="E267" s="2"/>
      <c r="F267" s="4"/>
      <c r="G267" s="4"/>
      <c r="H267" s="16"/>
    </row>
    <row r="268" spans="2:9" x14ac:dyDescent="0.25">
      <c r="B268" s="9"/>
      <c r="C268" s="3"/>
      <c r="D268" s="2"/>
      <c r="E268" s="2"/>
      <c r="F268" s="4"/>
      <c r="G268" s="4"/>
      <c r="H268" s="14"/>
    </row>
    <row r="269" spans="2:9" ht="15.75" thickBot="1" x14ac:dyDescent="0.3">
      <c r="B269" s="10"/>
      <c r="C269" s="11"/>
      <c r="D269" s="11"/>
      <c r="E269" s="11"/>
      <c r="F269" s="12"/>
      <c r="G269" s="12">
        <f>SUM(G264:G268)</f>
        <v>2211</v>
      </c>
      <c r="H269" s="13"/>
    </row>
    <row r="271" spans="2:9" ht="15.75" thickBot="1" x14ac:dyDescent="0.3"/>
    <row r="272" spans="2:9" x14ac:dyDescent="0.25">
      <c r="B272" s="30" t="s">
        <v>63</v>
      </c>
      <c r="C272" s="31"/>
      <c r="D272" s="31"/>
      <c r="E272" s="31"/>
      <c r="F272" s="31"/>
      <c r="G272" s="31"/>
      <c r="H272" s="7"/>
    </row>
    <row r="273" spans="2:9" x14ac:dyDescent="0.25">
      <c r="B273" s="8" t="s">
        <v>2</v>
      </c>
      <c r="C273" s="2" t="s">
        <v>9</v>
      </c>
      <c r="D273" s="2" t="s">
        <v>3</v>
      </c>
      <c r="E273" s="2" t="s">
        <v>4</v>
      </c>
      <c r="F273" s="4" t="s">
        <v>5</v>
      </c>
      <c r="G273" s="4" t="s">
        <v>6</v>
      </c>
      <c r="H273" s="27">
        <f>+G283</f>
        <v>1516</v>
      </c>
    </row>
    <row r="274" spans="2:9" x14ac:dyDescent="0.25">
      <c r="B274" s="9">
        <v>46161</v>
      </c>
      <c r="C274" s="3" t="s">
        <v>73</v>
      </c>
      <c r="D274" s="2"/>
      <c r="E274" s="24"/>
      <c r="F274" s="4"/>
      <c r="G274" s="4"/>
      <c r="H274" s="28"/>
    </row>
    <row r="275" spans="2:9" x14ac:dyDescent="0.25">
      <c r="B275" s="9"/>
      <c r="C275" s="3"/>
      <c r="D275" s="2">
        <v>10</v>
      </c>
      <c r="E275" s="24" t="s">
        <v>70</v>
      </c>
      <c r="F275" s="4">
        <v>4.2</v>
      </c>
      <c r="G275" s="4">
        <f t="shared" ref="G275:G280" si="10">+D275*F275</f>
        <v>42</v>
      </c>
      <c r="H275" s="28"/>
      <c r="I275" s="38"/>
    </row>
    <row r="276" spans="2:9" x14ac:dyDescent="0.25">
      <c r="B276" s="9"/>
      <c r="C276" s="3"/>
      <c r="D276" s="2">
        <v>4</v>
      </c>
      <c r="E276" s="24" t="s">
        <v>74</v>
      </c>
      <c r="F276" s="4">
        <v>45</v>
      </c>
      <c r="G276" s="4">
        <f t="shared" si="10"/>
        <v>180</v>
      </c>
      <c r="H276" s="28"/>
    </row>
    <row r="277" spans="2:9" x14ac:dyDescent="0.25">
      <c r="B277" s="9"/>
      <c r="C277" s="3"/>
      <c r="D277" s="2">
        <v>4</v>
      </c>
      <c r="E277" s="24" t="s">
        <v>75</v>
      </c>
      <c r="F277" s="4">
        <v>31.2</v>
      </c>
      <c r="G277" s="4">
        <f t="shared" si="10"/>
        <v>124.8</v>
      </c>
      <c r="H277" s="28"/>
    </row>
    <row r="278" spans="2:9" x14ac:dyDescent="0.25">
      <c r="B278" s="9"/>
      <c r="C278" s="3"/>
      <c r="D278" s="2">
        <v>20</v>
      </c>
      <c r="E278" s="24" t="s">
        <v>71</v>
      </c>
      <c r="F278" s="4">
        <v>34.700000000000003</v>
      </c>
      <c r="G278" s="4">
        <f t="shared" si="10"/>
        <v>694</v>
      </c>
      <c r="H278" s="28"/>
    </row>
    <row r="279" spans="2:9" x14ac:dyDescent="0.25">
      <c r="B279" s="9"/>
      <c r="C279" s="3"/>
      <c r="D279" s="2">
        <v>4</v>
      </c>
      <c r="E279" s="24" t="s">
        <v>72</v>
      </c>
      <c r="F279" s="4">
        <v>53.8</v>
      </c>
      <c r="G279" s="4">
        <f t="shared" si="10"/>
        <v>215.2</v>
      </c>
      <c r="H279" s="28"/>
    </row>
    <row r="280" spans="2:9" x14ac:dyDescent="0.25">
      <c r="B280" s="9"/>
      <c r="C280" s="3"/>
      <c r="D280" s="2">
        <v>4</v>
      </c>
      <c r="E280" s="24" t="s">
        <v>76</v>
      </c>
      <c r="F280" s="4">
        <v>65</v>
      </c>
      <c r="G280" s="4">
        <f t="shared" si="10"/>
        <v>260</v>
      </c>
      <c r="H280" s="16"/>
    </row>
    <row r="281" spans="2:9" x14ac:dyDescent="0.25">
      <c r="B281" s="9"/>
      <c r="C281" s="3"/>
      <c r="D281" s="2"/>
      <c r="E281" s="2"/>
      <c r="F281" s="4"/>
      <c r="G281" s="4"/>
      <c r="H281" s="16"/>
    </row>
    <row r="282" spans="2:9" x14ac:dyDescent="0.25">
      <c r="B282" s="9"/>
      <c r="C282" s="3"/>
      <c r="D282" s="2"/>
      <c r="E282" s="2"/>
      <c r="F282" s="4"/>
      <c r="G282" s="4"/>
      <c r="H282" s="14"/>
    </row>
    <row r="283" spans="2:9" ht="15.75" thickBot="1" x14ac:dyDescent="0.3">
      <c r="B283" s="10"/>
      <c r="C283" s="11"/>
      <c r="D283" s="11"/>
      <c r="E283" s="11"/>
      <c r="F283" s="12"/>
      <c r="G283" s="12">
        <f>SUM(G274:G282)</f>
        <v>1516</v>
      </c>
      <c r="H283" s="13"/>
    </row>
    <row r="287" spans="2:9" ht="26.25" x14ac:dyDescent="0.4">
      <c r="G287" s="17" t="s">
        <v>6</v>
      </c>
      <c r="H287" s="18">
        <f>SUM(H4:H286)</f>
        <v>71777.440000000002</v>
      </c>
    </row>
  </sheetData>
  <mergeCells count="54">
    <mergeCell ref="H228:H230"/>
    <mergeCell ref="B236:G236"/>
    <mergeCell ref="B227:G227"/>
    <mergeCell ref="H273:H279"/>
    <mergeCell ref="H253:H257"/>
    <mergeCell ref="B272:G272"/>
    <mergeCell ref="H263:H265"/>
    <mergeCell ref="B252:G252"/>
    <mergeCell ref="H237:H239"/>
    <mergeCell ref="B244:G244"/>
    <mergeCell ref="H245:H247"/>
    <mergeCell ref="B262:G262"/>
    <mergeCell ref="B16:G16"/>
    <mergeCell ref="H17:H18"/>
    <mergeCell ref="B22:G22"/>
    <mergeCell ref="B203:G203"/>
    <mergeCell ref="B195:G195"/>
    <mergeCell ref="H196:H198"/>
    <mergeCell ref="B80:G80"/>
    <mergeCell ref="H136:H144"/>
    <mergeCell ref="H105:H108"/>
    <mergeCell ref="B113:G113"/>
    <mergeCell ref="H81:H86"/>
    <mergeCell ref="H23:H24"/>
    <mergeCell ref="B28:G28"/>
    <mergeCell ref="H29:H30"/>
    <mergeCell ref="B34:G34"/>
    <mergeCell ref="B1:H1"/>
    <mergeCell ref="B4:G4"/>
    <mergeCell ref="H5:H6"/>
    <mergeCell ref="B10:G10"/>
    <mergeCell ref="H11:H12"/>
    <mergeCell ref="B2:H2"/>
    <mergeCell ref="B135:G135"/>
    <mergeCell ref="B219:G219"/>
    <mergeCell ref="H220:H222"/>
    <mergeCell ref="H204:H214"/>
    <mergeCell ref="B104:G104"/>
    <mergeCell ref="B148:G148"/>
    <mergeCell ref="H149:H157"/>
    <mergeCell ref="B171:G171"/>
    <mergeCell ref="H172:H183"/>
    <mergeCell ref="B187:G187"/>
    <mergeCell ref="H188:H190"/>
    <mergeCell ref="B161:G161"/>
    <mergeCell ref="H162:H164"/>
    <mergeCell ref="H114:H125"/>
    <mergeCell ref="H53:H64"/>
    <mergeCell ref="B69:G69"/>
    <mergeCell ref="H70:H73"/>
    <mergeCell ref="B52:G52"/>
    <mergeCell ref="B94:G94"/>
    <mergeCell ref="H95:H99"/>
    <mergeCell ref="H35:H44"/>
  </mergeCells>
  <pageMargins left="0.25" right="0.25" top="0.75" bottom="0.75" header="0.3" footer="0.3"/>
  <pageSetup paperSize="256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2026-03-21T21:10:38Z</cp:lastPrinted>
  <dcterms:created xsi:type="dcterms:W3CDTF">2026-03-09T22:13:16Z</dcterms:created>
  <dcterms:modified xsi:type="dcterms:W3CDTF">2026-07-15T18:54:38Z</dcterms:modified>
</cp:coreProperties>
</file>