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USUARIO\Downloads\"/>
    </mc:Choice>
  </mc:AlternateContent>
  <xr:revisionPtr revIDLastSave="0" documentId="13_ncr:1_{9E7F395E-AABB-402E-8B2E-5626917CB26C}" xr6:coauthVersionLast="47" xr6:coauthVersionMax="47" xr10:uidLastSave="{00000000-0000-0000-0000-000000000000}"/>
  <bookViews>
    <workbookView xWindow="-120" yWindow="-120" windowWidth="29040" windowHeight="15720" firstSheet="106" activeTab="120" xr2:uid="{00000000-000D-0000-FFFF-FFFF00000000}"/>
  </bookViews>
  <sheets>
    <sheet name="24-02" sheetId="1" r:id="rId1"/>
    <sheet name="25-02" sheetId="2" r:id="rId2"/>
    <sheet name="26-02" sheetId="3" r:id="rId3"/>
    <sheet name="27-02" sheetId="4" r:id="rId4"/>
    <sheet name="01-03" sheetId="5" r:id="rId5"/>
    <sheet name="02-03" sheetId="6" r:id="rId6"/>
    <sheet name="03-03" sheetId="7" r:id="rId7"/>
    <sheet name="04-03" sheetId="8" r:id="rId8"/>
    <sheet name="05-03" sheetId="9" r:id="rId9"/>
    <sheet name="06-03" sheetId="10" r:id="rId10"/>
    <sheet name="07-03" sheetId="11" r:id="rId11"/>
    <sheet name="09-03" sheetId="12" r:id="rId12"/>
    <sheet name="10-03" sheetId="14" r:id="rId13"/>
    <sheet name="11-03" sheetId="15" r:id="rId14"/>
    <sheet name="12-03" sheetId="16" r:id="rId15"/>
    <sheet name="13-03" sheetId="17" r:id="rId16"/>
    <sheet name="14-03" sheetId="18" r:id="rId17"/>
    <sheet name="16-03" sheetId="19" r:id="rId18"/>
    <sheet name="17-03" sheetId="20" r:id="rId19"/>
    <sheet name="18-03" sheetId="21" r:id="rId20"/>
    <sheet name="19-03" sheetId="22" r:id="rId21"/>
    <sheet name="20-03" sheetId="23" r:id="rId22"/>
    <sheet name="21-03" sheetId="24" r:id="rId23"/>
    <sheet name="23-03" sheetId="25" r:id="rId24"/>
    <sheet name="24-03" sheetId="26" r:id="rId25"/>
    <sheet name="25-03" sheetId="27" r:id="rId26"/>
    <sheet name="26-03" sheetId="28" r:id="rId27"/>
    <sheet name="27-03" sheetId="29" r:id="rId28"/>
    <sheet name="28-03" sheetId="30" r:id="rId29"/>
    <sheet name="30-03" sheetId="31" r:id="rId30"/>
    <sheet name="31-03" sheetId="32" r:id="rId31"/>
    <sheet name="01-04" sheetId="33" r:id="rId32"/>
    <sheet name="02-04" sheetId="34" r:id="rId33"/>
    <sheet name="03-04" sheetId="35" r:id="rId34"/>
    <sheet name="04-04" sheetId="36" r:id="rId35"/>
    <sheet name="05-04" sheetId="37" r:id="rId36"/>
    <sheet name="06-04" sheetId="38" r:id="rId37"/>
    <sheet name="07-04" sheetId="39" r:id="rId38"/>
    <sheet name="08-04" sheetId="40" r:id="rId39"/>
    <sheet name="09-04" sheetId="41" r:id="rId40"/>
    <sheet name="10-04" sheetId="42" r:id="rId41"/>
    <sheet name="11-04" sheetId="43" r:id="rId42"/>
    <sheet name="14-04" sheetId="44" r:id="rId43"/>
    <sheet name="15-04" sheetId="45" r:id="rId44"/>
    <sheet name="16-04" sheetId="46" r:id="rId45"/>
    <sheet name="17-04" sheetId="47" r:id="rId46"/>
    <sheet name="18-04" sheetId="48" r:id="rId47"/>
    <sheet name="20-04 " sheetId="49" r:id="rId48"/>
    <sheet name="21-04" sheetId="50" r:id="rId49"/>
    <sheet name="22-04" sheetId="51" r:id="rId50"/>
    <sheet name="23-04" sheetId="52" r:id="rId51"/>
    <sheet name="24-04" sheetId="53" r:id="rId52"/>
    <sheet name="25-04" sheetId="54" r:id="rId53"/>
    <sheet name="26-04" sheetId="55" r:id="rId54"/>
    <sheet name="27-04" sheetId="56" r:id="rId55"/>
    <sheet name="28-04" sheetId="57" r:id="rId56"/>
    <sheet name="29-04" sheetId="58" r:id="rId57"/>
    <sheet name="30-04" sheetId="59" r:id="rId58"/>
    <sheet name="01-05" sheetId="60" r:id="rId59"/>
    <sheet name="02-05" sheetId="61" r:id="rId60"/>
    <sheet name="03-05" sheetId="62" r:id="rId61"/>
    <sheet name="04-05" sheetId="63" r:id="rId62"/>
    <sheet name="05-05" sheetId="64" r:id="rId63"/>
    <sheet name="06-05" sheetId="65" r:id="rId64"/>
    <sheet name="07-05" sheetId="66" r:id="rId65"/>
    <sheet name="08-05" sheetId="68" r:id="rId66"/>
    <sheet name="09-05" sheetId="69" r:id="rId67"/>
    <sheet name="10Y11-05" sheetId="70" r:id="rId68"/>
    <sheet name="12-05" sheetId="71" r:id="rId69"/>
    <sheet name="13-05" sheetId="72" r:id="rId70"/>
    <sheet name="14-05" sheetId="73" r:id="rId71"/>
    <sheet name="15-05" sheetId="74" r:id="rId72"/>
    <sheet name="16-01" sheetId="75" r:id="rId73"/>
    <sheet name="17Y18-05" sheetId="76" r:id="rId74"/>
    <sheet name="19-05" sheetId="78" r:id="rId75"/>
    <sheet name="20-05" sheetId="79" r:id="rId76"/>
    <sheet name="21-05" sheetId="80" r:id="rId77"/>
    <sheet name="22-05" sheetId="81" r:id="rId78"/>
    <sheet name="23-05" sheetId="82" r:id="rId79"/>
    <sheet name="24Y25" sheetId="83" r:id="rId80"/>
    <sheet name="26-05" sheetId="84" r:id="rId81"/>
    <sheet name="27-05" sheetId="85" r:id="rId82"/>
    <sheet name="28-05" sheetId="86" r:id="rId83"/>
    <sheet name="29-05" sheetId="87" r:id="rId84"/>
    <sheet name="30-05" sheetId="88" r:id="rId85"/>
    <sheet name="31Y01-06" sheetId="89" r:id="rId86"/>
    <sheet name="02-06" sheetId="90" r:id="rId87"/>
    <sheet name="03-06" sheetId="91" r:id="rId88"/>
    <sheet name="04-06" sheetId="92" r:id="rId89"/>
    <sheet name="05-06" sheetId="93" r:id="rId90"/>
    <sheet name="06-06" sheetId="94" r:id="rId91"/>
    <sheet name="7Y8-06" sheetId="95" r:id="rId92"/>
    <sheet name="09-06" sheetId="96" r:id="rId93"/>
    <sheet name="10-06" sheetId="97" r:id="rId94"/>
    <sheet name="12-06" sheetId="98" r:id="rId95"/>
    <sheet name="13-06" sheetId="99" r:id="rId96"/>
    <sheet name="14Y15-06" sheetId="100" r:id="rId97"/>
    <sheet name="16-06" sheetId="101" r:id="rId98"/>
    <sheet name="17-06" sheetId="102" r:id="rId99"/>
    <sheet name="18-06" sheetId="103" r:id="rId100"/>
    <sheet name="19-06" sheetId="104" r:id="rId101"/>
    <sheet name="20-06" sheetId="105" r:id="rId102"/>
    <sheet name="22-06" sheetId="106" r:id="rId103"/>
    <sheet name="23-06" sheetId="107" r:id="rId104"/>
    <sheet name="24-06" sheetId="108" r:id="rId105"/>
    <sheet name="25-06" sheetId="109" r:id="rId106"/>
    <sheet name="26-06" sheetId="111" r:id="rId107"/>
    <sheet name="27-06" sheetId="112" r:id="rId108"/>
    <sheet name="28-06" sheetId="113" r:id="rId109"/>
    <sheet name="29-06" sheetId="114" r:id="rId110"/>
    <sheet name="30-06" sheetId="115" r:id="rId111"/>
    <sheet name="01-07" sheetId="116" r:id="rId112"/>
    <sheet name="02-07" sheetId="117" r:id="rId113"/>
    <sheet name="03-07" sheetId="118" r:id="rId114"/>
    <sheet name="04-07" sheetId="119" r:id="rId115"/>
    <sheet name="05-07" sheetId="120" r:id="rId116"/>
    <sheet name="06-07" sheetId="121" r:id="rId117"/>
    <sheet name="07-07" sheetId="123" r:id="rId118"/>
    <sheet name="08-07" sheetId="124" r:id="rId119"/>
    <sheet name="09-07" sheetId="125" r:id="rId120"/>
    <sheet name="10-07" sheetId="126" r:id="rId121"/>
    <sheet name="HOJA 1" sheetId="13" r:id="rId122"/>
    <sheet name="Hoja2" sheetId="122" r:id="rId12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114" i="122" l="1"/>
  <c r="I119" i="122" s="1"/>
  <c r="H31" i="122"/>
  <c r="I127" i="122"/>
  <c r="I132" i="122" s="1"/>
  <c r="I105" i="122"/>
  <c r="I104" i="122"/>
  <c r="I88" i="122"/>
  <c r="I89" i="122"/>
  <c r="I90" i="122"/>
  <c r="I91" i="122"/>
  <c r="I87" i="122"/>
  <c r="I76" i="122"/>
  <c r="I75" i="122"/>
  <c r="I63" i="122"/>
  <c r="I67" i="122" s="1"/>
  <c r="I42" i="122"/>
  <c r="I43" i="122"/>
  <c r="I44" i="122"/>
  <c r="I45" i="122"/>
  <c r="I46" i="122"/>
  <c r="I47" i="122"/>
  <c r="I48" i="122"/>
  <c r="I49" i="122"/>
  <c r="I41" i="122"/>
  <c r="I7" i="122"/>
  <c r="I8" i="122"/>
  <c r="I9" i="122"/>
  <c r="I10" i="122"/>
  <c r="I11" i="122"/>
  <c r="I12" i="122"/>
  <c r="I13" i="122"/>
  <c r="I15" i="122"/>
  <c r="I16" i="122"/>
  <c r="I17" i="122"/>
  <c r="I18" i="122"/>
  <c r="I19" i="122"/>
  <c r="I6" i="122"/>
  <c r="J30" i="118"/>
  <c r="N33" i="115"/>
  <c r="M33" i="108"/>
  <c r="I108" i="122" l="1"/>
  <c r="I56" i="122"/>
  <c r="I21" i="122"/>
  <c r="I96" i="122"/>
  <c r="I79" i="122"/>
  <c r="L23" i="96"/>
  <c r="K21" i="87"/>
  <c r="J16" i="71" l="1"/>
  <c r="K24" i="65"/>
  <c r="K12" i="52"/>
  <c r="L25" i="40"/>
  <c r="L24" i="40"/>
  <c r="L23" i="40"/>
  <c r="L29" i="40" l="1"/>
  <c r="N29" i="40" s="1"/>
  <c r="P29" i="40" s="1"/>
</calcChain>
</file>

<file path=xl/sharedStrings.xml><?xml version="1.0" encoding="utf-8"?>
<sst xmlns="http://schemas.openxmlformats.org/spreadsheetml/2006/main" count="17237" uniqueCount="6155">
  <si>
    <t>Fecha</t>
  </si>
  <si>
    <t>Descripcion</t>
  </si>
  <si>
    <t>Moneda</t>
  </si>
  <si>
    <t>Monto</t>
  </si>
  <si>
    <t>Numero de Operacion</t>
  </si>
  <si>
    <t>24/02/2026</t>
  </si>
  <si>
    <t>Pago YAPE de 30597</t>
  </si>
  <si>
    <t>S/</t>
  </si>
  <si>
    <t>00019454</t>
  </si>
  <si>
    <t>Pago YAPE de 30501</t>
  </si>
  <si>
    <t>00615728</t>
  </si>
  <si>
    <t>Pago YAPE de 31804</t>
  </si>
  <si>
    <t>01607664</t>
  </si>
  <si>
    <t>Pago YAPE de 30571</t>
  </si>
  <si>
    <t>04203699</t>
  </si>
  <si>
    <t>TRANSF.BCO.NACION</t>
  </si>
  <si>
    <t>02816617</t>
  </si>
  <si>
    <t>Pago YAPE de 30591</t>
  </si>
  <si>
    <t>03809178</t>
  </si>
  <si>
    <t>Pago YAPE de 30506</t>
  </si>
  <si>
    <t>00907313</t>
  </si>
  <si>
    <t>Pago YAPE de 41575</t>
  </si>
  <si>
    <t>00704153</t>
  </si>
  <si>
    <t>TRAN.CTAS.TERC.BM</t>
  </si>
  <si>
    <t>Pago YAPE de 30525</t>
  </si>
  <si>
    <t>00696378</t>
  </si>
  <si>
    <t>00689645</t>
  </si>
  <si>
    <t>Pago YAPE de 30573</t>
  </si>
  <si>
    <t>04326404</t>
  </si>
  <si>
    <t>Pago YAPE de 23299</t>
  </si>
  <si>
    <t>03968896</t>
  </si>
  <si>
    <t>04536641</t>
  </si>
  <si>
    <t>05024828</t>
  </si>
  <si>
    <t>Pago YAPE de 30510</t>
  </si>
  <si>
    <t>02537674</t>
  </si>
  <si>
    <t>03860796</t>
  </si>
  <si>
    <t>Pago YAPE a 305762</t>
  </si>
  <si>
    <t>06370822</t>
  </si>
  <si>
    <t>04530570</t>
  </si>
  <si>
    <t>Pago YAPE de 30578</t>
  </si>
  <si>
    <t>02624264</t>
  </si>
  <si>
    <t>Pago YAPE de 19473</t>
  </si>
  <si>
    <t>04725466</t>
  </si>
  <si>
    <t>02650171</t>
  </si>
  <si>
    <t>02470849</t>
  </si>
  <si>
    <t>02133271</t>
  </si>
  <si>
    <t>Pago YAPE de 57040</t>
  </si>
  <si>
    <t>02327110</t>
  </si>
  <si>
    <t>02326437</t>
  </si>
  <si>
    <t>03238855</t>
  </si>
  <si>
    <t>02958726</t>
  </si>
  <si>
    <t>01800598</t>
  </si>
  <si>
    <t xml:space="preserve">FERROCONSTRUCTORA JH </t>
  </si>
  <si>
    <t xml:space="preserve">MODESTO VASQUEZ </t>
  </si>
  <si>
    <t xml:space="preserve">POLO VASQUEZ </t>
  </si>
  <si>
    <t>P001-39796</t>
  </si>
  <si>
    <t xml:space="preserve">2E CONSTRUCTORA </t>
  </si>
  <si>
    <t xml:space="preserve">SERVICIOS GENERALES </t>
  </si>
  <si>
    <t>P001-39792</t>
  </si>
  <si>
    <t>P001-39840</t>
  </si>
  <si>
    <t xml:space="preserve">HERMES </t>
  </si>
  <si>
    <t xml:space="preserve">BECERRA LOZANO </t>
  </si>
  <si>
    <t>P001-39810</t>
  </si>
  <si>
    <t xml:space="preserve">ZAMORA </t>
  </si>
  <si>
    <t xml:space="preserve">ROSAS RIVAS </t>
  </si>
  <si>
    <t>P001-39819</t>
  </si>
  <si>
    <t>P001-39827</t>
  </si>
  <si>
    <t xml:space="preserve">SALIDA JORDIN LADRILLO </t>
  </si>
  <si>
    <t xml:space="preserve">ANDY RUIZ </t>
  </si>
  <si>
    <t>TRAN.CEL.HK.</t>
  </si>
  <si>
    <t>06000832</t>
  </si>
  <si>
    <t>01759731</t>
  </si>
  <si>
    <t>Pago YAPE de 30593</t>
  </si>
  <si>
    <t>03331140</t>
  </si>
  <si>
    <t>00314788</t>
  </si>
  <si>
    <t>Pago YAPE de 30595</t>
  </si>
  <si>
    <t>01615516</t>
  </si>
  <si>
    <t xml:space="preserve">GRUPO CORPORATIVO HERRERA </t>
  </si>
  <si>
    <t xml:space="preserve">BBVA </t>
  </si>
  <si>
    <t>JUAREZ CAMPOS</t>
  </si>
  <si>
    <t>P001-39894</t>
  </si>
  <si>
    <t xml:space="preserve">LLUEN SECLEN </t>
  </si>
  <si>
    <t xml:space="preserve">HAMERSON </t>
  </si>
  <si>
    <t xml:space="preserve">SEGIK INGENIEROS </t>
  </si>
  <si>
    <t>P002-30138</t>
  </si>
  <si>
    <t>VASQUEZ CARRERO 2400 EFECTIVO Y 200 YAPE</t>
  </si>
  <si>
    <t xml:space="preserve">ROJAS MANAYAY </t>
  </si>
  <si>
    <t xml:space="preserve">ASENJO - BANCO DE LA NACION </t>
  </si>
  <si>
    <t xml:space="preserve">NAPO GUEVARA A CUENTA DE LADRILLO JORDIN </t>
  </si>
  <si>
    <t>P002-30163</t>
  </si>
  <si>
    <t xml:space="preserve">JEINER </t>
  </si>
  <si>
    <t>25/02/2026</t>
  </si>
  <si>
    <t>Pago YAPE de 47578</t>
  </si>
  <si>
    <t>04710181</t>
  </si>
  <si>
    <t>01563631</t>
  </si>
  <si>
    <t>Pago YAPE de 30579</t>
  </si>
  <si>
    <t>02142927</t>
  </si>
  <si>
    <t>00910616</t>
  </si>
  <si>
    <t>01517050</t>
  </si>
  <si>
    <t>00444633</t>
  </si>
  <si>
    <t>Pago YAPE de 19171</t>
  </si>
  <si>
    <t>03003462</t>
  </si>
  <si>
    <t>02804662</t>
  </si>
  <si>
    <t>Pago YAPE de 30529</t>
  </si>
  <si>
    <t>03805787</t>
  </si>
  <si>
    <t>DEB.AUTOM.PRESTAMO</t>
  </si>
  <si>
    <t>03041477</t>
  </si>
  <si>
    <t>Pago YAPE a 305708</t>
  </si>
  <si>
    <t>07954106</t>
  </si>
  <si>
    <t>Pago YAPE a 305981</t>
  </si>
  <si>
    <t>00108747</t>
  </si>
  <si>
    <t>Pago YAPE de 30577</t>
  </si>
  <si>
    <t>05100419</t>
  </si>
  <si>
    <t>00270472</t>
  </si>
  <si>
    <t>Pago YAPE de 31894</t>
  </si>
  <si>
    <t>00055713</t>
  </si>
  <si>
    <t>02849065</t>
  </si>
  <si>
    <t>TRANSF.DALE</t>
  </si>
  <si>
    <t>02914197</t>
  </si>
  <si>
    <t>05405364</t>
  </si>
  <si>
    <t>Pago YAPE de 19115</t>
  </si>
  <si>
    <t>01571049</t>
  </si>
  <si>
    <t>ABON YAPE</t>
  </si>
  <si>
    <t>00639094</t>
  </si>
  <si>
    <t>Pago YAPE de 30534</t>
  </si>
  <si>
    <t>02744726</t>
  </si>
  <si>
    <t>TRANSF.BCO.BANBIF</t>
  </si>
  <si>
    <t>02970694</t>
  </si>
  <si>
    <t>00525403</t>
  </si>
  <si>
    <t>03360243</t>
  </si>
  <si>
    <t>00126991</t>
  </si>
  <si>
    <t>P002-30158</t>
  </si>
  <si>
    <t>P001-39842</t>
  </si>
  <si>
    <t>P001-39843</t>
  </si>
  <si>
    <t>P001-39848</t>
  </si>
  <si>
    <t>P001-39853</t>
  </si>
  <si>
    <t>P001-39855</t>
  </si>
  <si>
    <t>P001-39858</t>
  </si>
  <si>
    <t>P001-39859</t>
  </si>
  <si>
    <t xml:space="preserve">LEON CRUZ </t>
  </si>
  <si>
    <t>P001-39868</t>
  </si>
  <si>
    <t>P001-39871</t>
  </si>
  <si>
    <t xml:space="preserve">CORONADO DIAZ </t>
  </si>
  <si>
    <t>P001-39874</t>
  </si>
  <si>
    <t xml:space="preserve">JULCA BRAVO </t>
  </si>
  <si>
    <t>P001-39877</t>
  </si>
  <si>
    <t>P001-39878</t>
  </si>
  <si>
    <t xml:space="preserve">ARREGLAR VOLQUETE FORLAND </t>
  </si>
  <si>
    <t xml:space="preserve">CAMBIO DE ACEITE MOTO ROJA NUEVA </t>
  </si>
  <si>
    <t xml:space="preserve">RUIZ RUIZ </t>
  </si>
  <si>
    <t xml:space="preserve">HERIBERTO VILCHEZ </t>
  </si>
  <si>
    <t>CARLA CORONADO 20-02</t>
  </si>
  <si>
    <t xml:space="preserve">SE DESCONTO LETRA </t>
  </si>
  <si>
    <t>P002-30167</t>
  </si>
  <si>
    <t>04247971</t>
  </si>
  <si>
    <t>26/02/2026</t>
  </si>
  <si>
    <t>01043642</t>
  </si>
  <si>
    <t xml:space="preserve">CORONEL REGALADO </t>
  </si>
  <si>
    <t>Pago YAPE a 305115</t>
  </si>
  <si>
    <t>03420013</t>
  </si>
  <si>
    <t xml:space="preserve">PARCHE DE LLANTA MAQUINA </t>
  </si>
  <si>
    <t>Pago YAPE de 30598</t>
  </si>
  <si>
    <t>00537951</t>
  </si>
  <si>
    <t>ASTONITAS MESTANZA</t>
  </si>
  <si>
    <t>Pago YAPE de 30507</t>
  </si>
  <si>
    <t>02431957</t>
  </si>
  <si>
    <t xml:space="preserve">RANCHO PANCHO </t>
  </si>
  <si>
    <t>Pago YAPE de 31813</t>
  </si>
  <si>
    <t>03131678</t>
  </si>
  <si>
    <t xml:space="preserve">GUEVARA ROJAS </t>
  </si>
  <si>
    <t>01797129</t>
  </si>
  <si>
    <t xml:space="preserve">MANAYAY LUCERO </t>
  </si>
  <si>
    <t>RET. VENTANILLA</t>
  </si>
  <si>
    <t>00203972</t>
  </si>
  <si>
    <t>RETIRO PARA COMPRA DE CEMENTO</t>
  </si>
  <si>
    <t>DEPOSITO AG 976222</t>
  </si>
  <si>
    <t>00067148</t>
  </si>
  <si>
    <t xml:space="preserve">ASENJO </t>
  </si>
  <si>
    <t>Pago YAPE de 30538</t>
  </si>
  <si>
    <t>02821963</t>
  </si>
  <si>
    <t>P002-30181</t>
  </si>
  <si>
    <t>02819507</t>
  </si>
  <si>
    <t>P002-30180</t>
  </si>
  <si>
    <t>Pago YAPE de 30539</t>
  </si>
  <si>
    <t>04212639</t>
  </si>
  <si>
    <t xml:space="preserve">KT </t>
  </si>
  <si>
    <t>04308074</t>
  </si>
  <si>
    <t>02407106</t>
  </si>
  <si>
    <t xml:space="preserve">DEINER SANCHEZ </t>
  </si>
  <si>
    <t>02206864</t>
  </si>
  <si>
    <t>Pago YAPE de 30576</t>
  </si>
  <si>
    <t>04990931</t>
  </si>
  <si>
    <t>TRANSF.BCO.SCOTIABANK</t>
  </si>
  <si>
    <t>02189683</t>
  </si>
  <si>
    <t>02183792</t>
  </si>
  <si>
    <t>03929035</t>
  </si>
  <si>
    <t>Pago YAPE de 23273</t>
  </si>
  <si>
    <t>05302103</t>
  </si>
  <si>
    <t>01651741</t>
  </si>
  <si>
    <t>02862447</t>
  </si>
  <si>
    <t>03515231</t>
  </si>
  <si>
    <t>00563235</t>
  </si>
  <si>
    <t>Pago YAPE de 41599</t>
  </si>
  <si>
    <t>04252186</t>
  </si>
  <si>
    <t>01162548</t>
  </si>
  <si>
    <t>Pago YAPE de 30531</t>
  </si>
  <si>
    <t>00552427</t>
  </si>
  <si>
    <t>P001-39906</t>
  </si>
  <si>
    <t>B001-1805</t>
  </si>
  <si>
    <t>P001-39914</t>
  </si>
  <si>
    <t xml:space="preserve">VINCI </t>
  </si>
  <si>
    <t>P001-39921</t>
  </si>
  <si>
    <t>P001-39892</t>
  </si>
  <si>
    <t xml:space="preserve">EDWIN HERRERA </t>
  </si>
  <si>
    <t>P001-39923</t>
  </si>
  <si>
    <t xml:space="preserve">ECOLEP </t>
  </si>
  <si>
    <t>P002-30196</t>
  </si>
  <si>
    <t>P002-30194</t>
  </si>
  <si>
    <t>27/02/2026</t>
  </si>
  <si>
    <t>03242375</t>
  </si>
  <si>
    <t>TRANSF.BCO.FALABELLA</t>
  </si>
  <si>
    <t>02848955</t>
  </si>
  <si>
    <t>02471345</t>
  </si>
  <si>
    <t>01334074</t>
  </si>
  <si>
    <t>Pago YAPE de 30599</t>
  </si>
  <si>
    <t>04210150</t>
  </si>
  <si>
    <t>ABON PLIN-VICTOR DANIE</t>
  </si>
  <si>
    <t>00923241</t>
  </si>
  <si>
    <t>02109324</t>
  </si>
  <si>
    <t>03506791</t>
  </si>
  <si>
    <t>02014507</t>
  </si>
  <si>
    <t>02652807</t>
  </si>
  <si>
    <t>01512009</t>
  </si>
  <si>
    <t>P001-39930</t>
  </si>
  <si>
    <t>P002-30210</t>
  </si>
  <si>
    <t xml:space="preserve">CARGUIO ZAMORA </t>
  </si>
  <si>
    <t xml:space="preserve">SANTIN </t>
  </si>
  <si>
    <t>KT</t>
  </si>
  <si>
    <t>P002-30214</t>
  </si>
  <si>
    <t>05102772</t>
  </si>
  <si>
    <t>Pago YAPE de 30504</t>
  </si>
  <si>
    <t>01198687</t>
  </si>
  <si>
    <t>Pago YAPE a 305945</t>
  </si>
  <si>
    <t>09665352</t>
  </si>
  <si>
    <t>04747998</t>
  </si>
  <si>
    <t>01193724</t>
  </si>
  <si>
    <t>04031759</t>
  </si>
  <si>
    <t>07650520</t>
  </si>
  <si>
    <t>Pago YAPE a 305977</t>
  </si>
  <si>
    <t>07089639</t>
  </si>
  <si>
    <t>03761399</t>
  </si>
  <si>
    <t>02484799</t>
  </si>
  <si>
    <t>01179816</t>
  </si>
  <si>
    <t>00523590</t>
  </si>
  <si>
    <t>03855377</t>
  </si>
  <si>
    <t>P001-39958</t>
  </si>
  <si>
    <t>P001-39962</t>
  </si>
  <si>
    <t xml:space="preserve">CORPORATIVO HERRERA </t>
  </si>
  <si>
    <t xml:space="preserve">BURGOS CABANILLAS </t>
  </si>
  <si>
    <t>DEV.YAPE JH</t>
  </si>
  <si>
    <t xml:space="preserve">PARCHE DE LLANTA FUSO </t>
  </si>
  <si>
    <t>01/03/2026</t>
  </si>
  <si>
    <t>TRANSF.BCO.BBVA</t>
  </si>
  <si>
    <t>02033365</t>
  </si>
  <si>
    <t>P001-40073</t>
  </si>
  <si>
    <t>03548633</t>
  </si>
  <si>
    <t>P001-40067</t>
  </si>
  <si>
    <t>03802330</t>
  </si>
  <si>
    <t>P001-40066</t>
  </si>
  <si>
    <t>Pago YAPE de 30590</t>
  </si>
  <si>
    <t>03518243</t>
  </si>
  <si>
    <t>P001-40065</t>
  </si>
  <si>
    <t>01514738</t>
  </si>
  <si>
    <t>P001-40058</t>
  </si>
  <si>
    <t>07551922</t>
  </si>
  <si>
    <t>P001-40053</t>
  </si>
  <si>
    <t>08805130</t>
  </si>
  <si>
    <t>P001-40046</t>
  </si>
  <si>
    <t>Pago YAPE de 30002</t>
  </si>
  <si>
    <t>03754539</t>
  </si>
  <si>
    <t xml:space="preserve">REYES CARLOS </t>
  </si>
  <si>
    <t>Pago YAPE de 19224</t>
  </si>
  <si>
    <t>02189399</t>
  </si>
  <si>
    <t xml:space="preserve">RAMOS </t>
  </si>
  <si>
    <t>Pago YAPE de 30513</t>
  </si>
  <si>
    <t>01038253</t>
  </si>
  <si>
    <t>P001-40029</t>
  </si>
  <si>
    <t>00720852</t>
  </si>
  <si>
    <t xml:space="preserve">GUSTAVO GUEVARA- ANTERIORES </t>
  </si>
  <si>
    <t>Pago YAPE de 30511</t>
  </si>
  <si>
    <t>05246891</t>
  </si>
  <si>
    <t>P001-40022</t>
  </si>
  <si>
    <t>Pago YAPE de 45571</t>
  </si>
  <si>
    <t>02317600</t>
  </si>
  <si>
    <t>P001-40021</t>
  </si>
  <si>
    <t>Pago YAPE de 30502</t>
  </si>
  <si>
    <t>02015615</t>
  </si>
  <si>
    <t>P001-40020</t>
  </si>
  <si>
    <t>02793756</t>
  </si>
  <si>
    <t>Pago YAPE de 30575</t>
  </si>
  <si>
    <t>00526368</t>
  </si>
  <si>
    <t xml:space="preserve">FERNANDEZ BARRIOS </t>
  </si>
  <si>
    <t>02/03/2026</t>
  </si>
  <si>
    <t>Pago YAPE de 41590</t>
  </si>
  <si>
    <t>00768413</t>
  </si>
  <si>
    <t xml:space="preserve">JIBAJA NEYRA </t>
  </si>
  <si>
    <t>04346345</t>
  </si>
  <si>
    <t xml:space="preserve">CHUNGA BOCANEGRA </t>
  </si>
  <si>
    <t>07825755</t>
  </si>
  <si>
    <t xml:space="preserve">A CUENTA CIEZA CUSTODIO </t>
  </si>
  <si>
    <t>Pago YAPE a 305062</t>
  </si>
  <si>
    <t>04298411</t>
  </si>
  <si>
    <t xml:space="preserve">SILLA </t>
  </si>
  <si>
    <t>07237066</t>
  </si>
  <si>
    <t>02777794</t>
  </si>
  <si>
    <t xml:space="preserve">CRUZ MOSTACERO </t>
  </si>
  <si>
    <t>03427474</t>
  </si>
  <si>
    <t>GUSTAVO GUEVARA P002-30267</t>
  </si>
  <si>
    <t>03418990</t>
  </si>
  <si>
    <t>GUSTAVO GUEVARA P002-30268</t>
  </si>
  <si>
    <t>TRANSF.CAJ.PIURA</t>
  </si>
  <si>
    <t>02695426</t>
  </si>
  <si>
    <t xml:space="preserve">JOAQUIN ROMAN </t>
  </si>
  <si>
    <t>DEPOSITO AG 993228</t>
  </si>
  <si>
    <t>00040978</t>
  </si>
  <si>
    <t>Pago YAPE de 30570</t>
  </si>
  <si>
    <t>00115389</t>
  </si>
  <si>
    <t xml:space="preserve">ALARCON DIAZ </t>
  </si>
  <si>
    <t>09554487</t>
  </si>
  <si>
    <t>00040973</t>
  </si>
  <si>
    <t>08677063</t>
  </si>
  <si>
    <t xml:space="preserve">CONSORCIO RECICLADOR </t>
  </si>
  <si>
    <t>ABON PLIN-ENEMECIO HUA</t>
  </si>
  <si>
    <t>00286157</t>
  </si>
  <si>
    <t>P001-40085</t>
  </si>
  <si>
    <t>Pago YAPE a 305326</t>
  </si>
  <si>
    <t>07159944</t>
  </si>
  <si>
    <t xml:space="preserve">PAGO DE CONTADORA </t>
  </si>
  <si>
    <t>01513914</t>
  </si>
  <si>
    <t xml:space="preserve">BARBOZA VASQUEZ </t>
  </si>
  <si>
    <t>06701717</t>
  </si>
  <si>
    <t>02793650</t>
  </si>
  <si>
    <t>02907978</t>
  </si>
  <si>
    <t>Pago YAPE de 57011</t>
  </si>
  <si>
    <t>02407950</t>
  </si>
  <si>
    <t xml:space="preserve">PESANTES CORTIJO </t>
  </si>
  <si>
    <t>03209709</t>
  </si>
  <si>
    <t xml:space="preserve">CASANOVA </t>
  </si>
  <si>
    <t xml:space="preserve">WENDOR HERNANDEZ - A CUENTA LADRILLO </t>
  </si>
  <si>
    <t>Pago YAPE de 30512</t>
  </si>
  <si>
    <t>03335691</t>
  </si>
  <si>
    <t>04727676</t>
  </si>
  <si>
    <t>05578790</t>
  </si>
  <si>
    <t>06045061</t>
  </si>
  <si>
    <t>03200322</t>
  </si>
  <si>
    <t>06043515</t>
  </si>
  <si>
    <t>TRANSF.BCO.INTERBANK</t>
  </si>
  <si>
    <t>02420746</t>
  </si>
  <si>
    <t>Pago YAPE de 57002</t>
  </si>
  <si>
    <t>07958623</t>
  </si>
  <si>
    <t>Pago YAPE de 30572</t>
  </si>
  <si>
    <t>09277103</t>
  </si>
  <si>
    <t>P002-30292</t>
  </si>
  <si>
    <t xml:space="preserve">CARRERO SILVA </t>
  </si>
  <si>
    <t xml:space="preserve">DEPOSITO BANCARIZACION IAN ASENJO </t>
  </si>
  <si>
    <t>PROMAT</t>
  </si>
  <si>
    <t xml:space="preserve">RUBIO HOYOS </t>
  </si>
  <si>
    <t>P001-40108</t>
  </si>
  <si>
    <t>03/03/2026</t>
  </si>
  <si>
    <t>09441312</t>
  </si>
  <si>
    <t>Pago YAPE de 30500</t>
  </si>
  <si>
    <t>06781819</t>
  </si>
  <si>
    <t>09104233</t>
  </si>
  <si>
    <t>Pago YAPE de 30514</t>
  </si>
  <si>
    <t>01986124</t>
  </si>
  <si>
    <t>07814326</t>
  </si>
  <si>
    <t>00167970</t>
  </si>
  <si>
    <t>00161451</t>
  </si>
  <si>
    <t>01059671</t>
  </si>
  <si>
    <t>04144173</t>
  </si>
  <si>
    <t>ABON PLIN-KELVEN YOSME</t>
  </si>
  <si>
    <t>00142709</t>
  </si>
  <si>
    <t>Pago YAPE de 30505</t>
  </si>
  <si>
    <t>06013137</t>
  </si>
  <si>
    <t>Pago YAPE a 305246</t>
  </si>
  <si>
    <t>02780513</t>
  </si>
  <si>
    <t xml:space="preserve">COFESEG </t>
  </si>
  <si>
    <t>09584655</t>
  </si>
  <si>
    <t>00676116</t>
  </si>
  <si>
    <t>08598676</t>
  </si>
  <si>
    <t>00673772</t>
  </si>
  <si>
    <t>00670653</t>
  </si>
  <si>
    <t>Pago YAPE de 43597</t>
  </si>
  <si>
    <t>08779696</t>
  </si>
  <si>
    <t>05296550</t>
  </si>
  <si>
    <t>00192481</t>
  </si>
  <si>
    <t>03874253</t>
  </si>
  <si>
    <t>00621155</t>
  </si>
  <si>
    <t>Pago YAPE de 30508</t>
  </si>
  <si>
    <t>04204044</t>
  </si>
  <si>
    <t>Pago YAPE a 305746</t>
  </si>
  <si>
    <t>03514251</t>
  </si>
  <si>
    <t xml:space="preserve">ARENILLA CELSO/ LEO CASTILLO / JEINER </t>
  </si>
  <si>
    <t>P001-40128</t>
  </si>
  <si>
    <t>P001-40129</t>
  </si>
  <si>
    <t>P001-40136</t>
  </si>
  <si>
    <t>P001-40142</t>
  </si>
  <si>
    <t xml:space="preserve">NAPO GUEVARA /JORDIN </t>
  </si>
  <si>
    <t>P001-40148</t>
  </si>
  <si>
    <t xml:space="preserve">COMPRA DE 30 FIERRO 8MM JH </t>
  </si>
  <si>
    <t>P001-40156</t>
  </si>
  <si>
    <t xml:space="preserve">CORPORACION HUSAM </t>
  </si>
  <si>
    <t xml:space="preserve">SALIDA DE LA CUENTA </t>
  </si>
  <si>
    <t>ISAIAS RODRIGUEZ</t>
  </si>
  <si>
    <t>P001-40158</t>
  </si>
  <si>
    <t xml:space="preserve">REGALADO </t>
  </si>
  <si>
    <t>P002-30298</t>
  </si>
  <si>
    <t>P002-30304</t>
  </si>
  <si>
    <t>P002-30301</t>
  </si>
  <si>
    <t xml:space="preserve">CANJEAR POR LADRILLO </t>
  </si>
  <si>
    <t>Pago YAPE a 305726</t>
  </si>
  <si>
    <t>02146534</t>
  </si>
  <si>
    <t>09787682</t>
  </si>
  <si>
    <t>00551418</t>
  </si>
  <si>
    <t xml:space="preserve">DEVOLUCION DE YAPE WENDOR </t>
  </si>
  <si>
    <t>P001-40161</t>
  </si>
  <si>
    <t>P001-40160</t>
  </si>
  <si>
    <t>P002-30318</t>
  </si>
  <si>
    <t xml:space="preserve">VILLEGAS </t>
  </si>
  <si>
    <t>01204196</t>
  </si>
  <si>
    <t>VILLALOBOS(ANDY OBLITAS)</t>
  </si>
  <si>
    <t>04/03/2026</t>
  </si>
  <si>
    <t>Pago YAPE de 29097</t>
  </si>
  <si>
    <t>09463801</t>
  </si>
  <si>
    <t>P002-30342</t>
  </si>
  <si>
    <t>05773109</t>
  </si>
  <si>
    <t>P002-30343</t>
  </si>
  <si>
    <t>09179346</t>
  </si>
  <si>
    <t xml:space="preserve">PAGO DE AGREGADOS JH </t>
  </si>
  <si>
    <t>06158631</t>
  </si>
  <si>
    <t>P001-40193</t>
  </si>
  <si>
    <t>08658050</t>
  </si>
  <si>
    <t>2E 03/02-04/02</t>
  </si>
  <si>
    <t>ABON PLIN-ROGGER RUFIN</t>
  </si>
  <si>
    <t>00911606</t>
  </si>
  <si>
    <t>P001-40188</t>
  </si>
  <si>
    <t>08633047</t>
  </si>
  <si>
    <t>09486832</t>
  </si>
  <si>
    <t>02678607</t>
  </si>
  <si>
    <t>03611605</t>
  </si>
  <si>
    <t>P001-40181</t>
  </si>
  <si>
    <t>00540155</t>
  </si>
  <si>
    <t>P001-40176</t>
  </si>
  <si>
    <t>Pago YAPE de 39505</t>
  </si>
  <si>
    <t>00805381</t>
  </si>
  <si>
    <t>P002-30337</t>
  </si>
  <si>
    <t>09314250</t>
  </si>
  <si>
    <t>P002-30335</t>
  </si>
  <si>
    <t>00509332</t>
  </si>
  <si>
    <t>P001-40164</t>
  </si>
  <si>
    <t>07109815</t>
  </si>
  <si>
    <t xml:space="preserve">LILIANA JUAREZ </t>
  </si>
  <si>
    <t>06508445</t>
  </si>
  <si>
    <t>P002-30326</t>
  </si>
  <si>
    <t>05648247</t>
  </si>
  <si>
    <t>Pago YAPE de 41579</t>
  </si>
  <si>
    <t>05352403</t>
  </si>
  <si>
    <t xml:space="preserve">SAUCEDO SANTISTEBAN </t>
  </si>
  <si>
    <t>Pago YAPE de 41577</t>
  </si>
  <si>
    <t>03841220</t>
  </si>
  <si>
    <t xml:space="preserve">AGUILAR PEREZ </t>
  </si>
  <si>
    <t>02781885</t>
  </si>
  <si>
    <t>TRAN.CTAS.TERC.HK</t>
  </si>
  <si>
    <t>06064142</t>
  </si>
  <si>
    <t>05/03/2026</t>
  </si>
  <si>
    <t>03494234</t>
  </si>
  <si>
    <t>05223675</t>
  </si>
  <si>
    <t>02990540</t>
  </si>
  <si>
    <t>03027608</t>
  </si>
  <si>
    <t>03218417</t>
  </si>
  <si>
    <t>09959897</t>
  </si>
  <si>
    <t>00431246</t>
  </si>
  <si>
    <t>01554515</t>
  </si>
  <si>
    <t>07875539</t>
  </si>
  <si>
    <t>06862155</t>
  </si>
  <si>
    <t>Pago YAPE de 31891</t>
  </si>
  <si>
    <t>08515729</t>
  </si>
  <si>
    <t>08509062</t>
  </si>
  <si>
    <t>01279486</t>
  </si>
  <si>
    <t>TRANSF.BCO.COMPARTAMOS</t>
  </si>
  <si>
    <t>02202973</t>
  </si>
  <si>
    <t>01084455</t>
  </si>
  <si>
    <t>01080084</t>
  </si>
  <si>
    <t>01070142</t>
  </si>
  <si>
    <t>03299503</t>
  </si>
  <si>
    <t>Pago YAPE de 41502</t>
  </si>
  <si>
    <t>02075523</t>
  </si>
  <si>
    <t>03716410</t>
  </si>
  <si>
    <t>04959389</t>
  </si>
  <si>
    <t>ABON PLIN-MANUEL WALTE</t>
  </si>
  <si>
    <t>00703025</t>
  </si>
  <si>
    <t>02637252</t>
  </si>
  <si>
    <t>00945934</t>
  </si>
  <si>
    <t>07454379</t>
  </si>
  <si>
    <t>03968683</t>
  </si>
  <si>
    <t>03631770</t>
  </si>
  <si>
    <t>03197979</t>
  </si>
  <si>
    <t>06803767</t>
  </si>
  <si>
    <t>06/03/2026</t>
  </si>
  <si>
    <t>TRAN.CEL.BM.</t>
  </si>
  <si>
    <t>01977318</t>
  </si>
  <si>
    <t>00356185</t>
  </si>
  <si>
    <t>04912340</t>
  </si>
  <si>
    <t>02314344</t>
  </si>
  <si>
    <t>ENTR.EFEC. 0356647</t>
  </si>
  <si>
    <t>00356647</t>
  </si>
  <si>
    <t>Pago YAPE de 52504</t>
  </si>
  <si>
    <t>08322791</t>
  </si>
  <si>
    <t>00473596</t>
  </si>
  <si>
    <t>Pago YAPE de 30574</t>
  </si>
  <si>
    <t>03491363</t>
  </si>
  <si>
    <t>Pago YAPE de 30594</t>
  </si>
  <si>
    <t>07103656</t>
  </si>
  <si>
    <t>ABON PLIN-YASMANI CALL</t>
  </si>
  <si>
    <t>00469689</t>
  </si>
  <si>
    <t>00161560</t>
  </si>
  <si>
    <t>00458802</t>
  </si>
  <si>
    <t>00620068</t>
  </si>
  <si>
    <t>05624665</t>
  </si>
  <si>
    <t>01685704</t>
  </si>
  <si>
    <t>03163717</t>
  </si>
  <si>
    <t>P001-40202</t>
  </si>
  <si>
    <t>P001-40203</t>
  </si>
  <si>
    <t xml:space="preserve">VEGA </t>
  </si>
  <si>
    <t>P001-40213</t>
  </si>
  <si>
    <t>P001-40214</t>
  </si>
  <si>
    <t xml:space="preserve">ISAIAS </t>
  </si>
  <si>
    <t>FERROCONSTRUCTORA JH 04/03</t>
  </si>
  <si>
    <t>P001-40224</t>
  </si>
  <si>
    <t>P001-40226</t>
  </si>
  <si>
    <t>KT CONSTRUCTORES</t>
  </si>
  <si>
    <t>ALFARERO</t>
  </si>
  <si>
    <t xml:space="preserve">ALFARERO </t>
  </si>
  <si>
    <t>PESANTES</t>
  </si>
  <si>
    <t xml:space="preserve">ZEVALLOS </t>
  </si>
  <si>
    <t>P002-30364</t>
  </si>
  <si>
    <t xml:space="preserve">2E CONSTRUCTORES </t>
  </si>
  <si>
    <t>SEGIK</t>
  </si>
  <si>
    <t xml:space="preserve">GONZALES RUBIO </t>
  </si>
  <si>
    <t xml:space="preserve">REGALADO CARRASCO </t>
  </si>
  <si>
    <t>P001-40236</t>
  </si>
  <si>
    <t xml:space="preserve">COMPRA DE 7 FIERRO JH </t>
  </si>
  <si>
    <t xml:space="preserve">KAREN AQUINO </t>
  </si>
  <si>
    <t xml:space="preserve">ANA VILLEGAS </t>
  </si>
  <si>
    <t>P001-40240</t>
  </si>
  <si>
    <t>P001-40246</t>
  </si>
  <si>
    <t>P001-40250</t>
  </si>
  <si>
    <t>P001-40258</t>
  </si>
  <si>
    <t>P001-40262</t>
  </si>
  <si>
    <t xml:space="preserve">SILVIA MARTINA </t>
  </si>
  <si>
    <t xml:space="preserve">INGRESO A LA CUENTA </t>
  </si>
  <si>
    <t xml:space="preserve">INSTITUCION EDUCATIVA </t>
  </si>
  <si>
    <t>00614028</t>
  </si>
  <si>
    <t>09443359</t>
  </si>
  <si>
    <t>Pago YAPE a 305210</t>
  </si>
  <si>
    <t>09501570</t>
  </si>
  <si>
    <t>07968891</t>
  </si>
  <si>
    <t>06982587</t>
  </si>
  <si>
    <t>07600457</t>
  </si>
  <si>
    <t>03287527</t>
  </si>
  <si>
    <t>02144605</t>
  </si>
  <si>
    <t>03577406</t>
  </si>
  <si>
    <t>02545000</t>
  </si>
  <si>
    <t>03142412</t>
  </si>
  <si>
    <t>02013150</t>
  </si>
  <si>
    <t xml:space="preserve">JHON SANCHEZ </t>
  </si>
  <si>
    <t>MARIA GLADYS PEREZ VASQUEZ</t>
  </si>
  <si>
    <t>P001-40268</t>
  </si>
  <si>
    <t>P001-40270</t>
  </si>
  <si>
    <t>P001-40271</t>
  </si>
  <si>
    <t xml:space="preserve">NUÑEZ NUÑEZ </t>
  </si>
  <si>
    <t xml:space="preserve">COMPRA DE 15 HOLCIM ROJO/KAREN AQUINO  </t>
  </si>
  <si>
    <t>RUBIO HOYOS</t>
  </si>
  <si>
    <t xml:space="preserve">VENTAS Y SERVICIOS </t>
  </si>
  <si>
    <t>P001-40244</t>
  </si>
  <si>
    <t>P002-30391</t>
  </si>
  <si>
    <t>2E</t>
  </si>
  <si>
    <t>04707861</t>
  </si>
  <si>
    <t>04694120</t>
  </si>
  <si>
    <t>VINCI</t>
  </si>
  <si>
    <t xml:space="preserve">WALTER CASA BLANCA </t>
  </si>
  <si>
    <t>07/03/2026</t>
  </si>
  <si>
    <t>03751987</t>
  </si>
  <si>
    <t>06051986</t>
  </si>
  <si>
    <t xml:space="preserve">LA CASA DEL ADITIVO </t>
  </si>
  <si>
    <t>06054044</t>
  </si>
  <si>
    <t>03583573</t>
  </si>
  <si>
    <t xml:space="preserve">KAREN RUIZ </t>
  </si>
  <si>
    <t>SERV020600134648</t>
  </si>
  <si>
    <t>06026353</t>
  </si>
  <si>
    <t xml:space="preserve">ADJ </t>
  </si>
  <si>
    <t>02034929</t>
  </si>
  <si>
    <t xml:space="preserve">INGA </t>
  </si>
  <si>
    <t>03088484</t>
  </si>
  <si>
    <t xml:space="preserve">IMAN DIEZ </t>
  </si>
  <si>
    <t>Pago YAPE de 57000</t>
  </si>
  <si>
    <t>03611928</t>
  </si>
  <si>
    <t xml:space="preserve">CONSORCIO AMERICA </t>
  </si>
  <si>
    <t>04812075</t>
  </si>
  <si>
    <t>P002-30414</t>
  </si>
  <si>
    <t>09796559</t>
  </si>
  <si>
    <t>P002-30413</t>
  </si>
  <si>
    <t>00288223</t>
  </si>
  <si>
    <t>P002-30412</t>
  </si>
  <si>
    <t>01420873</t>
  </si>
  <si>
    <t>09805249</t>
  </si>
  <si>
    <t xml:space="preserve">UCEDA TINEO </t>
  </si>
  <si>
    <t>Pago YAPE de 19135</t>
  </si>
  <si>
    <t>08267260</t>
  </si>
  <si>
    <t>P002-30407</t>
  </si>
  <si>
    <t>07727475</t>
  </si>
  <si>
    <t>P001-40296</t>
  </si>
  <si>
    <t>07328828</t>
  </si>
  <si>
    <t>P002-30405</t>
  </si>
  <si>
    <t>02158911</t>
  </si>
  <si>
    <t>00635549</t>
  </si>
  <si>
    <t>00394925</t>
  </si>
  <si>
    <t>01439905</t>
  </si>
  <si>
    <t xml:space="preserve">AVELLANEDA </t>
  </si>
  <si>
    <t>02803205</t>
  </si>
  <si>
    <t xml:space="preserve">JUAREZ CAMPOS </t>
  </si>
  <si>
    <t>04337078</t>
  </si>
  <si>
    <t>06057495</t>
  </si>
  <si>
    <t>06015632</t>
  </si>
  <si>
    <t>01604631</t>
  </si>
  <si>
    <t>06058062</t>
  </si>
  <si>
    <t>Pago YAPE a 305911</t>
  </si>
  <si>
    <t>09773729</t>
  </si>
  <si>
    <t>09766610</t>
  </si>
  <si>
    <t>P001-40316</t>
  </si>
  <si>
    <t xml:space="preserve">DEVOLUCION DE TIPO 4 </t>
  </si>
  <si>
    <t xml:space="preserve">45 M3 ELIMINACION QUEVEDO </t>
  </si>
  <si>
    <t xml:space="preserve">PAGO A JH AGREGADOS </t>
  </si>
  <si>
    <t xml:space="preserve">MANO DE OBRA CARLOS HERRERA </t>
  </si>
  <si>
    <t>P001-40314</t>
  </si>
  <si>
    <t xml:space="preserve">CARLA CORONADO </t>
  </si>
  <si>
    <t>09/03/2026</t>
  </si>
  <si>
    <t>07267690</t>
  </si>
  <si>
    <t>07466698</t>
  </si>
  <si>
    <t>08570393</t>
  </si>
  <si>
    <t>07617724</t>
  </si>
  <si>
    <t>06939770</t>
  </si>
  <si>
    <t>03894786</t>
  </si>
  <si>
    <t>07011044</t>
  </si>
  <si>
    <t>06339030</t>
  </si>
  <si>
    <t>Pago YAPE de 30592</t>
  </si>
  <si>
    <t>05676619</t>
  </si>
  <si>
    <t>00144271</t>
  </si>
  <si>
    <t>03664563</t>
  </si>
  <si>
    <t>00386865</t>
  </si>
  <si>
    <t xml:space="preserve">KT CONSTRUCTORA </t>
  </si>
  <si>
    <t>P001-40322</t>
  </si>
  <si>
    <t>08/03/2026</t>
  </si>
  <si>
    <t>IMPUESTO ITF</t>
  </si>
  <si>
    <t>00000000</t>
  </si>
  <si>
    <t>Pago YAPE de 30524</t>
  </si>
  <si>
    <t>02236662</t>
  </si>
  <si>
    <t>08895431</t>
  </si>
  <si>
    <t>07673477</t>
  </si>
  <si>
    <t>DE COMPANIA INCUBADORA</t>
  </si>
  <si>
    <t>07804866</t>
  </si>
  <si>
    <t>05502717</t>
  </si>
  <si>
    <t>Pago YAPE de 30535</t>
  </si>
  <si>
    <t>09504621</t>
  </si>
  <si>
    <t>05935683</t>
  </si>
  <si>
    <t>06349527</t>
  </si>
  <si>
    <t>06420320</t>
  </si>
  <si>
    <t>01590066</t>
  </si>
  <si>
    <t>04356141</t>
  </si>
  <si>
    <t>04546014</t>
  </si>
  <si>
    <t>02137365</t>
  </si>
  <si>
    <t>P001-40324</t>
  </si>
  <si>
    <t>ISAIAS</t>
  </si>
  <si>
    <t>P002-30489</t>
  </si>
  <si>
    <t>P001-40326</t>
  </si>
  <si>
    <t xml:space="preserve">ACUÑA TARRILLO </t>
  </si>
  <si>
    <t>P002-30486</t>
  </si>
  <si>
    <t xml:space="preserve">CIPRIANI </t>
  </si>
  <si>
    <t xml:space="preserve">CUMPA SANTOYO </t>
  </si>
  <si>
    <t xml:space="preserve">ELMER BAUTISTA </t>
  </si>
  <si>
    <t>P001-40350</t>
  </si>
  <si>
    <t xml:space="preserve">JOSE BENAVIDES </t>
  </si>
  <si>
    <t>Pago YAPE</t>
  </si>
  <si>
    <t>P002-30506</t>
  </si>
  <si>
    <t>P002-30507</t>
  </si>
  <si>
    <t>P002-30509</t>
  </si>
  <si>
    <t>P002-30514</t>
  </si>
  <si>
    <t xml:space="preserve">MARINA </t>
  </si>
  <si>
    <t xml:space="preserve">CALUA </t>
  </si>
  <si>
    <t xml:space="preserve">ABONOS NO IDENTIFICADOS </t>
  </si>
  <si>
    <t>10/03/2026</t>
  </si>
  <si>
    <t>04058585</t>
  </si>
  <si>
    <t>00239000</t>
  </si>
  <si>
    <t>Pago YAPE de 30545</t>
  </si>
  <si>
    <t>09830468</t>
  </si>
  <si>
    <t>06377513</t>
  </si>
  <si>
    <t>06813272</t>
  </si>
  <si>
    <t>03421225</t>
  </si>
  <si>
    <t>02138274</t>
  </si>
  <si>
    <t>03200111</t>
  </si>
  <si>
    <t>01968993</t>
  </si>
  <si>
    <t>00151818</t>
  </si>
  <si>
    <t>00133632</t>
  </si>
  <si>
    <t>07342263</t>
  </si>
  <si>
    <t>01416958</t>
  </si>
  <si>
    <t>05766700</t>
  </si>
  <si>
    <t>04443889</t>
  </si>
  <si>
    <t>06221715</t>
  </si>
  <si>
    <t>01767263</t>
  </si>
  <si>
    <t>02561920</t>
  </si>
  <si>
    <t>P002-30519</t>
  </si>
  <si>
    <t>P002-30520</t>
  </si>
  <si>
    <t xml:space="preserve">COMPRA DE CJS DE CLAVO 2.5 JH </t>
  </si>
  <si>
    <t>2E CONSTRUCTORA</t>
  </si>
  <si>
    <t>P001-40362</t>
  </si>
  <si>
    <t>P002-30527</t>
  </si>
  <si>
    <t xml:space="preserve">ANITA VILLEGAS </t>
  </si>
  <si>
    <t xml:space="preserve">COMPRA DE 40 FIERROS 1/4 JH </t>
  </si>
  <si>
    <t xml:space="preserve">KAREN AQUINO - 5000 EN EFECTIVO </t>
  </si>
  <si>
    <t>P001-40396</t>
  </si>
  <si>
    <t>ANDY RUIZ</t>
  </si>
  <si>
    <t>P002-30536</t>
  </si>
  <si>
    <t>08297995</t>
  </si>
  <si>
    <t>04186629</t>
  </si>
  <si>
    <t>02817414</t>
  </si>
  <si>
    <t xml:space="preserve">ELICEO </t>
  </si>
  <si>
    <t xml:space="preserve">CORREA </t>
  </si>
  <si>
    <t xml:space="preserve">SOCORRO CUBAS </t>
  </si>
  <si>
    <t xml:space="preserve">CONSTRUCTORA FRONTERIZA </t>
  </si>
  <si>
    <t>HERNANDEZ CRUZ</t>
  </si>
  <si>
    <t>11/03/2026</t>
  </si>
  <si>
    <t>04075895</t>
  </si>
  <si>
    <t>TRANSF.CAJ.AREQUIPA</t>
  </si>
  <si>
    <t>02289129</t>
  </si>
  <si>
    <t>02284908</t>
  </si>
  <si>
    <t>02603387</t>
  </si>
  <si>
    <t>04319625</t>
  </si>
  <si>
    <t>02536993</t>
  </si>
  <si>
    <t>01178412</t>
  </si>
  <si>
    <t>08864903</t>
  </si>
  <si>
    <t>00727267</t>
  </si>
  <si>
    <t>01322739</t>
  </si>
  <si>
    <t>07299693</t>
  </si>
  <si>
    <t>06080056</t>
  </si>
  <si>
    <t>07919836</t>
  </si>
  <si>
    <t>08039057</t>
  </si>
  <si>
    <t>01123125</t>
  </si>
  <si>
    <t>00882644</t>
  </si>
  <si>
    <t>07015401</t>
  </si>
  <si>
    <t>DE EMPRESA DE TRANSPOR</t>
  </si>
  <si>
    <t>02018130</t>
  </si>
  <si>
    <t>00858246</t>
  </si>
  <si>
    <t>06114207</t>
  </si>
  <si>
    <t xml:space="preserve">VEGA LLAJA </t>
  </si>
  <si>
    <t>QUESQUEN</t>
  </si>
  <si>
    <t>P001-40406</t>
  </si>
  <si>
    <t>PAGO LINEA 971164073</t>
  </si>
  <si>
    <t xml:space="preserve">MOVISTAR </t>
  </si>
  <si>
    <t xml:space="preserve">ENTEL </t>
  </si>
  <si>
    <t>PAGO LINEA 903511797</t>
  </si>
  <si>
    <t>P001-40409</t>
  </si>
  <si>
    <t>P001-40411</t>
  </si>
  <si>
    <t xml:space="preserve">DIFERENCIA FLETES JH </t>
  </si>
  <si>
    <t>P002-30548</t>
  </si>
  <si>
    <t>P002-30549</t>
  </si>
  <si>
    <t>P002-30557</t>
  </si>
  <si>
    <t xml:space="preserve">LLONTOP </t>
  </si>
  <si>
    <t>P002-30564</t>
  </si>
  <si>
    <t xml:space="preserve">SEGUNDO LLAGUENDO </t>
  </si>
  <si>
    <t xml:space="preserve">VASQUEZ CARRERO </t>
  </si>
  <si>
    <t>P002-30570</t>
  </si>
  <si>
    <t>P002-30573</t>
  </si>
  <si>
    <t xml:space="preserve">LUZ FERNANDEZ </t>
  </si>
  <si>
    <t xml:space="preserve">TRANSFERENCIA </t>
  </si>
  <si>
    <t xml:space="preserve">BARBOZA </t>
  </si>
  <si>
    <t>SR CAUTIVO</t>
  </si>
  <si>
    <t>03732671</t>
  </si>
  <si>
    <t>04087788</t>
  </si>
  <si>
    <t>04320492</t>
  </si>
  <si>
    <t>07792124</t>
  </si>
  <si>
    <t>09051516</t>
  </si>
  <si>
    <t>09601714</t>
  </si>
  <si>
    <t>07851855</t>
  </si>
  <si>
    <t>01961091</t>
  </si>
  <si>
    <t>04299985</t>
  </si>
  <si>
    <t>07414966</t>
  </si>
  <si>
    <t>06042152</t>
  </si>
  <si>
    <t>Pago YAPE de 30596</t>
  </si>
  <si>
    <t>06751649</t>
  </si>
  <si>
    <t>06346502</t>
  </si>
  <si>
    <t>Pago YAPE de 31808</t>
  </si>
  <si>
    <t>02996837</t>
  </si>
  <si>
    <t>05582127</t>
  </si>
  <si>
    <t>P001-40424</t>
  </si>
  <si>
    <t xml:space="preserve">10 DE ARENA DEVOLUCION/HERNANDEZ </t>
  </si>
  <si>
    <t xml:space="preserve">FLETES BORO Y MAKRO CARLOS </t>
  </si>
  <si>
    <t>P001-40430</t>
  </si>
  <si>
    <t>P001-40431</t>
  </si>
  <si>
    <t>P001-40439</t>
  </si>
  <si>
    <t>P002-30578</t>
  </si>
  <si>
    <t>REINERIO</t>
  </si>
  <si>
    <t>12/03/2026</t>
  </si>
  <si>
    <t>04051169</t>
  </si>
  <si>
    <t>01142871</t>
  </si>
  <si>
    <t>00145913</t>
  </si>
  <si>
    <t>07656958</t>
  </si>
  <si>
    <t>00016450</t>
  </si>
  <si>
    <t>08908304</t>
  </si>
  <si>
    <t>06097745</t>
  </si>
  <si>
    <t>08261669</t>
  </si>
  <si>
    <t>06189001</t>
  </si>
  <si>
    <t>02316939</t>
  </si>
  <si>
    <t>05862807</t>
  </si>
  <si>
    <t>07334298</t>
  </si>
  <si>
    <t>05287131</t>
  </si>
  <si>
    <t>01023488</t>
  </si>
  <si>
    <t>06608872</t>
  </si>
  <si>
    <t>00784784</t>
  </si>
  <si>
    <t>00718183</t>
  </si>
  <si>
    <t>Pago YAPE de 47591</t>
  </si>
  <si>
    <t>07800708</t>
  </si>
  <si>
    <t>06002177</t>
  </si>
  <si>
    <t xml:space="preserve">ARSENIO MEJIA </t>
  </si>
  <si>
    <t xml:space="preserve">DEPOSITO  ADJ </t>
  </si>
  <si>
    <t xml:space="preserve">AGREGADOS JH CENTRO </t>
  </si>
  <si>
    <t>P001-40446</t>
  </si>
  <si>
    <t>P001-40447</t>
  </si>
  <si>
    <t>P001-40449</t>
  </si>
  <si>
    <t xml:space="preserve">A CUENTA </t>
  </si>
  <si>
    <t xml:space="preserve">FLETE CARLOS HERRERA </t>
  </si>
  <si>
    <t>P002-30591</t>
  </si>
  <si>
    <t>P002-30594</t>
  </si>
  <si>
    <t>P002-30598</t>
  </si>
  <si>
    <t>04046152</t>
  </si>
  <si>
    <t>01005335</t>
  </si>
  <si>
    <t>00429932</t>
  </si>
  <si>
    <t>07385940</t>
  </si>
  <si>
    <t>Pago YAPE a 305731</t>
  </si>
  <si>
    <t>00125122</t>
  </si>
  <si>
    <t>00606982</t>
  </si>
  <si>
    <t>00112248</t>
  </si>
  <si>
    <t>01896641</t>
  </si>
  <si>
    <t>Pago YAPE de 31814</t>
  </si>
  <si>
    <t>08010797</t>
  </si>
  <si>
    <t>03074044</t>
  </si>
  <si>
    <t>07035334</t>
  </si>
  <si>
    <t>07315431</t>
  </si>
  <si>
    <t>02618301</t>
  </si>
  <si>
    <t>Pago YAPE de 31600</t>
  </si>
  <si>
    <t>04953549</t>
  </si>
  <si>
    <t>01829201</t>
  </si>
  <si>
    <t>05306806</t>
  </si>
  <si>
    <t>05009573</t>
  </si>
  <si>
    <t>02628726</t>
  </si>
  <si>
    <t>P001-40466</t>
  </si>
  <si>
    <t xml:space="preserve">ANA LUCINDA </t>
  </si>
  <si>
    <t>P001-40470</t>
  </si>
  <si>
    <t>P002-30601</t>
  </si>
  <si>
    <t>P001-40476</t>
  </si>
  <si>
    <t xml:space="preserve">AYALA </t>
  </si>
  <si>
    <t>ANITA VILLEGAS</t>
  </si>
  <si>
    <t xml:space="preserve">SEGIK </t>
  </si>
  <si>
    <t xml:space="preserve">PROMAT/ REPORTE </t>
  </si>
  <si>
    <t>P001-40487</t>
  </si>
  <si>
    <t>P001-40488</t>
  </si>
  <si>
    <t>JOAQUIN ROMAN</t>
  </si>
  <si>
    <t>04246932</t>
  </si>
  <si>
    <t xml:space="preserve">CIEZA CUSTODIO </t>
  </si>
  <si>
    <t xml:space="preserve">CIPRIANI TELLO </t>
  </si>
  <si>
    <t>13/03/2026</t>
  </si>
  <si>
    <t>03095125</t>
  </si>
  <si>
    <t>03087695</t>
  </si>
  <si>
    <t>DEPOSITO AG 982027</t>
  </si>
  <si>
    <t>00096226</t>
  </si>
  <si>
    <t>06846102</t>
  </si>
  <si>
    <t>03002151</t>
  </si>
  <si>
    <t>06047099</t>
  </si>
  <si>
    <t>01167673</t>
  </si>
  <si>
    <t>01786060</t>
  </si>
  <si>
    <t>01501276</t>
  </si>
  <si>
    <t>01274652</t>
  </si>
  <si>
    <t>Pago YAPE de 57502</t>
  </si>
  <si>
    <t>02691216</t>
  </si>
  <si>
    <t>05863487</t>
  </si>
  <si>
    <t>08311213</t>
  </si>
  <si>
    <t>06619311</t>
  </si>
  <si>
    <t>02171603</t>
  </si>
  <si>
    <t>02388161</t>
  </si>
  <si>
    <t>05371947</t>
  </si>
  <si>
    <t>04470350</t>
  </si>
  <si>
    <t>02760557</t>
  </si>
  <si>
    <t>02757952</t>
  </si>
  <si>
    <t>03928105</t>
  </si>
  <si>
    <t>00385305</t>
  </si>
  <si>
    <t>07931801</t>
  </si>
  <si>
    <t>07624975</t>
  </si>
  <si>
    <t>03293090</t>
  </si>
  <si>
    <t>05938046</t>
  </si>
  <si>
    <t>P001-40499</t>
  </si>
  <si>
    <t xml:space="preserve">CORDOVA </t>
  </si>
  <si>
    <t xml:space="preserve">CORONADO </t>
  </si>
  <si>
    <t xml:space="preserve">MARVID </t>
  </si>
  <si>
    <t>P001-40516</t>
  </si>
  <si>
    <t>P001-40519</t>
  </si>
  <si>
    <t>P001-40520</t>
  </si>
  <si>
    <t>KT CONSTRUCTORA</t>
  </si>
  <si>
    <t>P002-30616</t>
  </si>
  <si>
    <t>P002-30617</t>
  </si>
  <si>
    <t>P002-30618</t>
  </si>
  <si>
    <t xml:space="preserve">CUBAS </t>
  </si>
  <si>
    <t xml:space="preserve">FERNANDEZ SANCHEZ </t>
  </si>
  <si>
    <t>MANAYAY LUCERO</t>
  </si>
  <si>
    <t>14/03/2026</t>
  </si>
  <si>
    <t>03927904</t>
  </si>
  <si>
    <t>04015019</t>
  </si>
  <si>
    <t>09267878</t>
  </si>
  <si>
    <t>01615188</t>
  </si>
  <si>
    <t>01436662</t>
  </si>
  <si>
    <t>Pago YAPE de 53504</t>
  </si>
  <si>
    <t>06777408</t>
  </si>
  <si>
    <t>00203844</t>
  </si>
  <si>
    <t>09401956</t>
  </si>
  <si>
    <t>01766819</t>
  </si>
  <si>
    <t>Pago YAPE de 19197</t>
  </si>
  <si>
    <t>08226810</t>
  </si>
  <si>
    <t>07828668</t>
  </si>
  <si>
    <t>08224164</t>
  </si>
  <si>
    <t>08817587</t>
  </si>
  <si>
    <t>07284965</t>
  </si>
  <si>
    <t>08715456</t>
  </si>
  <si>
    <t>02443278</t>
  </si>
  <si>
    <t>06065174</t>
  </si>
  <si>
    <t>00924461</t>
  </si>
  <si>
    <t>00374041</t>
  </si>
  <si>
    <t>Pago YAPE de 57094</t>
  </si>
  <si>
    <t>00840059</t>
  </si>
  <si>
    <t>P001-40529</t>
  </si>
  <si>
    <t xml:space="preserve">LUCELINA GALVEZ </t>
  </si>
  <si>
    <t>P001-40541</t>
  </si>
  <si>
    <t xml:space="preserve">ACOSTA </t>
  </si>
  <si>
    <t>GRUPO ESPN</t>
  </si>
  <si>
    <t xml:space="preserve">COMPRA 10 CEMENTO PROMAT </t>
  </si>
  <si>
    <t>ANA VILLEGAS</t>
  </si>
  <si>
    <t xml:space="preserve">SE EQUIVOCARON EN YAPEAR JH </t>
  </si>
  <si>
    <t>P002-30642</t>
  </si>
  <si>
    <t xml:space="preserve">SANCHEZ RAMON </t>
  </si>
  <si>
    <t>CUBAS RODRIGUEZ</t>
  </si>
  <si>
    <t>06019638</t>
  </si>
  <si>
    <t>06070034</t>
  </si>
  <si>
    <t>00254557</t>
  </si>
  <si>
    <t>Pago YAPE de 30509</t>
  </si>
  <si>
    <t>08052369</t>
  </si>
  <si>
    <t>08476910</t>
  </si>
  <si>
    <t>03367860</t>
  </si>
  <si>
    <t>06756679</t>
  </si>
  <si>
    <t>Pago YAPE a 570943</t>
  </si>
  <si>
    <t>04926050</t>
  </si>
  <si>
    <t xml:space="preserve">PAGO A GRUPO CORPORATIVO HERRERA </t>
  </si>
  <si>
    <t xml:space="preserve">MULTISERVICIOS </t>
  </si>
  <si>
    <t>HERMES</t>
  </si>
  <si>
    <t>P001-40557</t>
  </si>
  <si>
    <t xml:space="preserve">PROMAT </t>
  </si>
  <si>
    <t xml:space="preserve">MAESTRO VEGA </t>
  </si>
  <si>
    <t>16/03/2026</t>
  </si>
  <si>
    <t>00955604</t>
  </si>
  <si>
    <t>00840786</t>
  </si>
  <si>
    <t>02233162</t>
  </si>
  <si>
    <t>00775647</t>
  </si>
  <si>
    <t>02687249</t>
  </si>
  <si>
    <t>Pago YAPE de 30503</t>
  </si>
  <si>
    <t>01687819</t>
  </si>
  <si>
    <t>01685577</t>
  </si>
  <si>
    <t>02761252</t>
  </si>
  <si>
    <t>02987467</t>
  </si>
  <si>
    <t>03336551</t>
  </si>
  <si>
    <t>02127932</t>
  </si>
  <si>
    <t>01338726</t>
  </si>
  <si>
    <t>01169638</t>
  </si>
  <si>
    <t>03112647</t>
  </si>
  <si>
    <t>00924683</t>
  </si>
  <si>
    <t>02106301</t>
  </si>
  <si>
    <t xml:space="preserve">RAMON </t>
  </si>
  <si>
    <t>P001-40621</t>
  </si>
  <si>
    <t>P001-40623</t>
  </si>
  <si>
    <t>P001-40626</t>
  </si>
  <si>
    <t xml:space="preserve">CAMPOS BRAVO </t>
  </si>
  <si>
    <t>P001-40634</t>
  </si>
  <si>
    <t xml:space="preserve">SALIDA COMPRA CEMENTO </t>
  </si>
  <si>
    <t>P002-30672</t>
  </si>
  <si>
    <t>P002-30668</t>
  </si>
  <si>
    <t xml:space="preserve">SEÑOR CAUTIVO </t>
  </si>
  <si>
    <t xml:space="preserve">HUAMAN PARIACURI </t>
  </si>
  <si>
    <t>17/03/2026</t>
  </si>
  <si>
    <t>04625950</t>
  </si>
  <si>
    <t>05247857</t>
  </si>
  <si>
    <t>02280523</t>
  </si>
  <si>
    <t>07561315</t>
  </si>
  <si>
    <t>Pago YAPE de 31899</t>
  </si>
  <si>
    <t>05411297</t>
  </si>
  <si>
    <t>01565890</t>
  </si>
  <si>
    <t>01744817</t>
  </si>
  <si>
    <t>03799861</t>
  </si>
  <si>
    <t>04274770</t>
  </si>
  <si>
    <t>00362088</t>
  </si>
  <si>
    <t>01459820</t>
  </si>
  <si>
    <t>00357706</t>
  </si>
  <si>
    <t>02812309</t>
  </si>
  <si>
    <t>01178467</t>
  </si>
  <si>
    <t>04225154</t>
  </si>
  <si>
    <t>01417247</t>
  </si>
  <si>
    <t>01510648</t>
  </si>
  <si>
    <t>00386841</t>
  </si>
  <si>
    <t>P001-40640</t>
  </si>
  <si>
    <t>P001-40643</t>
  </si>
  <si>
    <t>P001-40647</t>
  </si>
  <si>
    <t>P001-40649</t>
  </si>
  <si>
    <t>P001-40650</t>
  </si>
  <si>
    <t>P001-40652</t>
  </si>
  <si>
    <t xml:space="preserve">SANTA CRUZ </t>
  </si>
  <si>
    <t xml:space="preserve">COMPRA DE 4 P CHAN 3/4 </t>
  </si>
  <si>
    <t>P002-30678</t>
  </si>
  <si>
    <t>P002-30687</t>
  </si>
  <si>
    <t>P002-30683</t>
  </si>
  <si>
    <t xml:space="preserve">WALTER </t>
  </si>
  <si>
    <t>P002-30691</t>
  </si>
  <si>
    <t>18/03/2026</t>
  </si>
  <si>
    <t>02794210</t>
  </si>
  <si>
    <t>08246039</t>
  </si>
  <si>
    <t>00473983</t>
  </si>
  <si>
    <t>02492522</t>
  </si>
  <si>
    <t>02209584</t>
  </si>
  <si>
    <t>02015835</t>
  </si>
  <si>
    <t>06125561</t>
  </si>
  <si>
    <t>06523060</t>
  </si>
  <si>
    <t>01657514</t>
  </si>
  <si>
    <t>Pago YAPE de 30533</t>
  </si>
  <si>
    <t>08808376</t>
  </si>
  <si>
    <t>ABON PLIN-JORGE LUIS Z</t>
  </si>
  <si>
    <t>00317980</t>
  </si>
  <si>
    <t>01187309</t>
  </si>
  <si>
    <t>01083328</t>
  </si>
  <si>
    <t>Pago YAPE de 31812</t>
  </si>
  <si>
    <t>09328160</t>
  </si>
  <si>
    <t>05610968</t>
  </si>
  <si>
    <t>05809529</t>
  </si>
  <si>
    <t>08408079</t>
  </si>
  <si>
    <t>08306359</t>
  </si>
  <si>
    <t>00104757</t>
  </si>
  <si>
    <t>00307603</t>
  </si>
  <si>
    <t xml:space="preserve">MARINO </t>
  </si>
  <si>
    <t>P001-40674</t>
  </si>
  <si>
    <t>P001-40679</t>
  </si>
  <si>
    <t>P001-40682</t>
  </si>
  <si>
    <t xml:space="preserve">MARITZA </t>
  </si>
  <si>
    <t>P002-30697</t>
  </si>
  <si>
    <t xml:space="preserve">AGRIPINA </t>
  </si>
  <si>
    <t>P001-40684</t>
  </si>
  <si>
    <t>P002-30712</t>
  </si>
  <si>
    <t>DAVID REYES</t>
  </si>
  <si>
    <t>COMPRA 4.5 P CH 3/4</t>
  </si>
  <si>
    <t>00832038</t>
  </si>
  <si>
    <t>07899388</t>
  </si>
  <si>
    <t>08099886</t>
  </si>
  <si>
    <t>03665220</t>
  </si>
  <si>
    <t>03652319</t>
  </si>
  <si>
    <t>ABON PLIN-BANESA CARIT</t>
  </si>
  <si>
    <t>00562512</t>
  </si>
  <si>
    <t>00693410</t>
  </si>
  <si>
    <t>06144458</t>
  </si>
  <si>
    <t>P001-40687</t>
  </si>
  <si>
    <t xml:space="preserve">LARIOS </t>
  </si>
  <si>
    <t>19/03/2026</t>
  </si>
  <si>
    <t>02225749</t>
  </si>
  <si>
    <t>02188878</t>
  </si>
  <si>
    <t>02184766</t>
  </si>
  <si>
    <t>02181432</t>
  </si>
  <si>
    <t>02443427</t>
  </si>
  <si>
    <t>00758483</t>
  </si>
  <si>
    <t>01575127</t>
  </si>
  <si>
    <t>02637557</t>
  </si>
  <si>
    <t>02621155</t>
  </si>
  <si>
    <t>04411295</t>
  </si>
  <si>
    <t>04382062</t>
  </si>
  <si>
    <t>00723607</t>
  </si>
  <si>
    <t>04218230</t>
  </si>
  <si>
    <t>03007421</t>
  </si>
  <si>
    <t>04927630</t>
  </si>
  <si>
    <t>04215180</t>
  </si>
  <si>
    <t>01907804</t>
  </si>
  <si>
    <t>01205174</t>
  </si>
  <si>
    <t>P001-40699</t>
  </si>
  <si>
    <t xml:space="preserve">MANAYAY </t>
  </si>
  <si>
    <t>P001-40707</t>
  </si>
  <si>
    <t>P001-40708</t>
  </si>
  <si>
    <t>01461044</t>
  </si>
  <si>
    <t>04057555</t>
  </si>
  <si>
    <t>05378517</t>
  </si>
  <si>
    <t>00669839</t>
  </si>
  <si>
    <t>04143444</t>
  </si>
  <si>
    <t>03257392</t>
  </si>
  <si>
    <t>03447580</t>
  </si>
  <si>
    <t>03722772</t>
  </si>
  <si>
    <t>02590512</t>
  </si>
  <si>
    <t>Pago YAPE de 30070</t>
  </si>
  <si>
    <t>00243981</t>
  </si>
  <si>
    <t>02238791</t>
  </si>
  <si>
    <t>05322457</t>
  </si>
  <si>
    <t>P001-40716</t>
  </si>
  <si>
    <t>P001-40717</t>
  </si>
  <si>
    <t xml:space="preserve">FLETE JH ANGEL </t>
  </si>
  <si>
    <t>P001-40719</t>
  </si>
  <si>
    <t>P001-40720</t>
  </si>
  <si>
    <t xml:space="preserve">FRANK ALEX </t>
  </si>
  <si>
    <t xml:space="preserve">ING CHICOMA </t>
  </si>
  <si>
    <t>P002-30719</t>
  </si>
  <si>
    <t xml:space="preserve">SANCHEZ QUINTOS </t>
  </si>
  <si>
    <t>P002-30722</t>
  </si>
  <si>
    <t>P002-30745</t>
  </si>
  <si>
    <t>P002-30746</t>
  </si>
  <si>
    <t xml:space="preserve">ARREGLAR MOTO ROJA </t>
  </si>
  <si>
    <t>P001-40702</t>
  </si>
  <si>
    <t>20/03/2026</t>
  </si>
  <si>
    <t>02277151</t>
  </si>
  <si>
    <t>04846468</t>
  </si>
  <si>
    <t>00685595</t>
  </si>
  <si>
    <t>Pago YAPE a 305055</t>
  </si>
  <si>
    <t>07197943</t>
  </si>
  <si>
    <t>07842296</t>
  </si>
  <si>
    <t>02941533</t>
  </si>
  <si>
    <t>02407065</t>
  </si>
  <si>
    <t>02402954</t>
  </si>
  <si>
    <t>ABON PLIN-MIGUEL SOLAN</t>
  </si>
  <si>
    <t>00648117</t>
  </si>
  <si>
    <t>02712376</t>
  </si>
  <si>
    <t>04941740</t>
  </si>
  <si>
    <t>02548161</t>
  </si>
  <si>
    <t>00859156</t>
  </si>
  <si>
    <t>01608524</t>
  </si>
  <si>
    <t>04606521</t>
  </si>
  <si>
    <t>00009691</t>
  </si>
  <si>
    <t>04106545</t>
  </si>
  <si>
    <t>P001-40734</t>
  </si>
  <si>
    <t>P001-40741</t>
  </si>
  <si>
    <t>P001-40742</t>
  </si>
  <si>
    <t>P001-40748</t>
  </si>
  <si>
    <t>LESLY JIMENEZ</t>
  </si>
  <si>
    <t xml:space="preserve">A CUENTA DE HOLCIM </t>
  </si>
  <si>
    <t>P002-30750</t>
  </si>
  <si>
    <t>P002-30763</t>
  </si>
  <si>
    <t>Pago YAPE a 9220030000</t>
  </si>
  <si>
    <t>02268066</t>
  </si>
  <si>
    <t>05817103</t>
  </si>
  <si>
    <t xml:space="preserve">DEVOLUCION DE YAPE </t>
  </si>
  <si>
    <t xml:space="preserve">LUCAS HERRERA </t>
  </si>
  <si>
    <t xml:space="preserve">HERRERA JIBAJA </t>
  </si>
  <si>
    <t xml:space="preserve">AKHANTHA </t>
  </si>
  <si>
    <t>AKHANTHA - SE EQUIVOCO</t>
  </si>
  <si>
    <t>P002-30757</t>
  </si>
  <si>
    <t>21/03/2026</t>
  </si>
  <si>
    <t>02460998</t>
  </si>
  <si>
    <t>02580993</t>
  </si>
  <si>
    <t>ABON PLIN-ANTHONY EDUA</t>
  </si>
  <si>
    <t>00814054</t>
  </si>
  <si>
    <t>00643159</t>
  </si>
  <si>
    <t>02046837</t>
  </si>
  <si>
    <t>02251874</t>
  </si>
  <si>
    <t>00881802</t>
  </si>
  <si>
    <t>00353390</t>
  </si>
  <si>
    <t>01686430</t>
  </si>
  <si>
    <t>01523217</t>
  </si>
  <si>
    <t>00524963</t>
  </si>
  <si>
    <t>02620904</t>
  </si>
  <si>
    <t>00062039</t>
  </si>
  <si>
    <t>00518257</t>
  </si>
  <si>
    <t>00434015</t>
  </si>
  <si>
    <t>04914938</t>
  </si>
  <si>
    <t>04910705</t>
  </si>
  <si>
    <t>02714693</t>
  </si>
  <si>
    <t>04606672</t>
  </si>
  <si>
    <t>00406672</t>
  </si>
  <si>
    <t xml:space="preserve">MENDOZA MONDRAGON </t>
  </si>
  <si>
    <t>P003-317</t>
  </si>
  <si>
    <t xml:space="preserve">ELISEO </t>
  </si>
  <si>
    <t>P001-40765</t>
  </si>
  <si>
    <t xml:space="preserve">AUTOFACIL </t>
  </si>
  <si>
    <t xml:space="preserve">TARJETA - POS </t>
  </si>
  <si>
    <t>P001-40769</t>
  </si>
  <si>
    <t>P002-30776</t>
  </si>
  <si>
    <t>P002-30777</t>
  </si>
  <si>
    <t>SILVIA</t>
  </si>
  <si>
    <t>P001-40773</t>
  </si>
  <si>
    <t xml:space="preserve">MARGARITA </t>
  </si>
  <si>
    <t xml:space="preserve">PAGO ARDILES </t>
  </si>
  <si>
    <t xml:space="preserve">COMPRA DE 4 P CHANCADA </t>
  </si>
  <si>
    <t>P001-40781</t>
  </si>
  <si>
    <t xml:space="preserve">FRONTERIZA - SAN IGNACIO </t>
  </si>
  <si>
    <t xml:space="preserve">OBLITAS TUMAN - A CUENTA </t>
  </si>
  <si>
    <t xml:space="preserve">RETIRO EN VENTANILLA </t>
  </si>
  <si>
    <t xml:space="preserve">GAETANI </t>
  </si>
  <si>
    <t>01296277</t>
  </si>
  <si>
    <t>01362012</t>
  </si>
  <si>
    <t>05047010</t>
  </si>
  <si>
    <t>04874776</t>
  </si>
  <si>
    <t>01352565</t>
  </si>
  <si>
    <t>04283769</t>
  </si>
  <si>
    <t>03553855</t>
  </si>
  <si>
    <t>09849275</t>
  </si>
  <si>
    <t>02361877</t>
  </si>
  <si>
    <t>04445761</t>
  </si>
  <si>
    <t>04961559</t>
  </si>
  <si>
    <t>00559915</t>
  </si>
  <si>
    <t>P001-40790</t>
  </si>
  <si>
    <t>LUCAS HERRERA</t>
  </si>
  <si>
    <t xml:space="preserve">MECANICO - CAMBIO DE ACEITE MOTO NUEVA </t>
  </si>
  <si>
    <t>VASQUEZ IDROGO</t>
  </si>
  <si>
    <t xml:space="preserve">EBERSON </t>
  </si>
  <si>
    <t xml:space="preserve">ROMEL VASQUEZ </t>
  </si>
  <si>
    <t>COFESEG</t>
  </si>
  <si>
    <t>23/03/2026</t>
  </si>
  <si>
    <t>01789106</t>
  </si>
  <si>
    <t>04345601</t>
  </si>
  <si>
    <t>06028266</t>
  </si>
  <si>
    <t>03257352</t>
  </si>
  <si>
    <t>00733037</t>
  </si>
  <si>
    <t>02035919</t>
  </si>
  <si>
    <t>03915951</t>
  </si>
  <si>
    <t>02932625</t>
  </si>
  <si>
    <t>03522756</t>
  </si>
  <si>
    <t>ABON PLIN-DICK ELI ALA</t>
  </si>
  <si>
    <t>00636139</t>
  </si>
  <si>
    <t>01117474</t>
  </si>
  <si>
    <t>PLIN-JORDIN HERRERA</t>
  </si>
  <si>
    <t>00638573</t>
  </si>
  <si>
    <t>00753834</t>
  </si>
  <si>
    <t>02114516</t>
  </si>
  <si>
    <t>01409644</t>
  </si>
  <si>
    <t>Pago YAPE de 30537</t>
  </si>
  <si>
    <t>01504171</t>
  </si>
  <si>
    <t>00310100</t>
  </si>
  <si>
    <t>03413458</t>
  </si>
  <si>
    <t>01609284</t>
  </si>
  <si>
    <t>05808834</t>
  </si>
  <si>
    <t>04669750</t>
  </si>
  <si>
    <t>05040193</t>
  </si>
  <si>
    <t>00155394</t>
  </si>
  <si>
    <t>03964351</t>
  </si>
  <si>
    <t>01678036</t>
  </si>
  <si>
    <t>01123840</t>
  </si>
  <si>
    <t>02862760</t>
  </si>
  <si>
    <t>Pago YAPE de 30515</t>
  </si>
  <si>
    <t>01923170</t>
  </si>
  <si>
    <t xml:space="preserve">GEORIEGO </t>
  </si>
  <si>
    <t xml:space="preserve">YDROGO </t>
  </si>
  <si>
    <t>P001-40844</t>
  </si>
  <si>
    <t xml:space="preserve">DEV. AGREGADOS JOAQUIN ROMAN </t>
  </si>
  <si>
    <t xml:space="preserve">EJP EJECUCION </t>
  </si>
  <si>
    <t>P001-40857</t>
  </si>
  <si>
    <t xml:space="preserve">SILVA </t>
  </si>
  <si>
    <t xml:space="preserve">CORPORACION PERU SOL </t>
  </si>
  <si>
    <t>P001-40867</t>
  </si>
  <si>
    <t xml:space="preserve">UCEDA </t>
  </si>
  <si>
    <t xml:space="preserve">DAVID REYES </t>
  </si>
  <si>
    <t>P002-30802</t>
  </si>
  <si>
    <t>P002-30806</t>
  </si>
  <si>
    <t>P002-30808</t>
  </si>
  <si>
    <t>P002-30812</t>
  </si>
  <si>
    <t xml:space="preserve">CHILET </t>
  </si>
  <si>
    <t>´05095356</t>
  </si>
  <si>
    <t>24/03/2026</t>
  </si>
  <si>
    <t>Pago YAPE de 19192</t>
  </si>
  <si>
    <t>00670891</t>
  </si>
  <si>
    <t>02829169</t>
  </si>
  <si>
    <t>02659719</t>
  </si>
  <si>
    <t>01946042</t>
  </si>
  <si>
    <t>02657901</t>
  </si>
  <si>
    <t>00039700</t>
  </si>
  <si>
    <t>02368710</t>
  </si>
  <si>
    <t>01528943</t>
  </si>
  <si>
    <t>01730552</t>
  </si>
  <si>
    <t>01922641</t>
  </si>
  <si>
    <t>Pago YAPE a 305343</t>
  </si>
  <si>
    <t>08238385</t>
  </si>
  <si>
    <t>Pago YAPE de 23007</t>
  </si>
  <si>
    <t>01827562</t>
  </si>
  <si>
    <t>00622316</t>
  </si>
  <si>
    <t>00776437</t>
  </si>
  <si>
    <t>00716693</t>
  </si>
  <si>
    <t>00476268</t>
  </si>
  <si>
    <t>03512309</t>
  </si>
  <si>
    <t>01404863</t>
  </si>
  <si>
    <t>02700505</t>
  </si>
  <si>
    <t>00886047</t>
  </si>
  <si>
    <t>Pago YAPE a 305969</t>
  </si>
  <si>
    <t>03116896</t>
  </si>
  <si>
    <t>Pago YAPE de 30581</t>
  </si>
  <si>
    <t>05302539</t>
  </si>
  <si>
    <t>00539255</t>
  </si>
  <si>
    <t>02479316</t>
  </si>
  <si>
    <t>03477562</t>
  </si>
  <si>
    <t>03436032</t>
  </si>
  <si>
    <t>01778084</t>
  </si>
  <si>
    <t>Pago YAPE de 19105</t>
  </si>
  <si>
    <t>01880176</t>
  </si>
  <si>
    <t>01677689</t>
  </si>
  <si>
    <t>P001-40877</t>
  </si>
  <si>
    <t xml:space="preserve">POS </t>
  </si>
  <si>
    <t>P001-40886</t>
  </si>
  <si>
    <t>KALABCA</t>
  </si>
  <si>
    <t xml:space="preserve">LOPEZ BERU </t>
  </si>
  <si>
    <t xml:space="preserve">CHAMBA </t>
  </si>
  <si>
    <t xml:space="preserve">ADELIO ASTONITAS - JEINER HERRERA </t>
  </si>
  <si>
    <t>P001-40898</t>
  </si>
  <si>
    <t>ASENJO</t>
  </si>
  <si>
    <t>P002-30813</t>
  </si>
  <si>
    <t>P002-30818</t>
  </si>
  <si>
    <t xml:space="preserve">ISAIAS RODRIGUEZ </t>
  </si>
  <si>
    <t>P002-30822</t>
  </si>
  <si>
    <t>P002-30823</t>
  </si>
  <si>
    <t>P002-30827</t>
  </si>
  <si>
    <t>P002-30829</t>
  </si>
  <si>
    <t xml:space="preserve">MAYS FARRO </t>
  </si>
  <si>
    <t>P002-30831</t>
  </si>
  <si>
    <t xml:space="preserve">CELID </t>
  </si>
  <si>
    <t xml:space="preserve">CONSULTA DOCTOR </t>
  </si>
  <si>
    <t>P001-40891</t>
  </si>
  <si>
    <t xml:space="preserve">CARLOS SILVA </t>
  </si>
  <si>
    <t xml:space="preserve">CAMPOS BURGOS </t>
  </si>
  <si>
    <t>25/03/2026</t>
  </si>
  <si>
    <t>02718696</t>
  </si>
  <si>
    <t>01437432</t>
  </si>
  <si>
    <t>00320709</t>
  </si>
  <si>
    <t>02391045</t>
  </si>
  <si>
    <t>ABON PLIN-CRISTIAN ALB</t>
  </si>
  <si>
    <t>00700013</t>
  </si>
  <si>
    <t>03540046</t>
  </si>
  <si>
    <t>02035744</t>
  </si>
  <si>
    <t>04435549</t>
  </si>
  <si>
    <t>03637739</t>
  </si>
  <si>
    <t>01941035</t>
  </si>
  <si>
    <t>03532197</t>
  </si>
  <si>
    <t>01574602</t>
  </si>
  <si>
    <t>04425106</t>
  </si>
  <si>
    <t>06008564</t>
  </si>
  <si>
    <t>ABON PLIN-CARLOS JAVIE</t>
  </si>
  <si>
    <t>00530732</t>
  </si>
  <si>
    <t>04230689</t>
  </si>
  <si>
    <t>01012200</t>
  </si>
  <si>
    <t>06498528</t>
  </si>
  <si>
    <t>01615540</t>
  </si>
  <si>
    <t>00488421</t>
  </si>
  <si>
    <t xml:space="preserve">MORALES </t>
  </si>
  <si>
    <t>P001-40905</t>
  </si>
  <si>
    <t>P001-40906</t>
  </si>
  <si>
    <t>P001-40907</t>
  </si>
  <si>
    <t>COMPRA DE 35 FIERRO 5/8</t>
  </si>
  <si>
    <t>VASQUEZ ROJAS</t>
  </si>
  <si>
    <t>P001-40914</t>
  </si>
  <si>
    <t>P001-40915</t>
  </si>
  <si>
    <t>P001-40919</t>
  </si>
  <si>
    <t xml:space="preserve">ROXANA ORILLO </t>
  </si>
  <si>
    <t>A CUENTA ELMER BAUTISTA 28-10-25</t>
  </si>
  <si>
    <t>CELID</t>
  </si>
  <si>
    <t>P002-30858</t>
  </si>
  <si>
    <t xml:space="preserve">REAL ARQUITECTURA </t>
  </si>
  <si>
    <t>04570569</t>
  </si>
  <si>
    <t>06027872</t>
  </si>
  <si>
    <t>04877993</t>
  </si>
  <si>
    <t>05017034</t>
  </si>
  <si>
    <t>02530361</t>
  </si>
  <si>
    <t>04461490</t>
  </si>
  <si>
    <t>04638874</t>
  </si>
  <si>
    <t>03661422</t>
  </si>
  <si>
    <t>03293504</t>
  </si>
  <si>
    <t>03847177</t>
  </si>
  <si>
    <t>Pago YAPE de 30090</t>
  </si>
  <si>
    <t>01441395</t>
  </si>
  <si>
    <t>03747729</t>
  </si>
  <si>
    <t>P001-40923</t>
  </si>
  <si>
    <t xml:space="preserve">PROGRESO PATAPO </t>
  </si>
  <si>
    <t xml:space="preserve">REYES NEYRA </t>
  </si>
  <si>
    <t xml:space="preserve">CUBAS RODRIGUEZ </t>
  </si>
  <si>
    <t>P002-30864</t>
  </si>
  <si>
    <t>P001-40936</t>
  </si>
  <si>
    <t>P001-40913</t>
  </si>
  <si>
    <t>26/03/2026</t>
  </si>
  <si>
    <t>00816026</t>
  </si>
  <si>
    <t>02733652</t>
  </si>
  <si>
    <t>02588762</t>
  </si>
  <si>
    <t>04051876</t>
  </si>
  <si>
    <t>03048542</t>
  </si>
  <si>
    <t>00020856</t>
  </si>
  <si>
    <t>01330268</t>
  </si>
  <si>
    <t>03729071</t>
  </si>
  <si>
    <t>04018828</t>
  </si>
  <si>
    <t>04316748</t>
  </si>
  <si>
    <t>02017189</t>
  </si>
  <si>
    <t>01322792</t>
  </si>
  <si>
    <t>Pago YAPE a 305974</t>
  </si>
  <si>
    <t>05599815</t>
  </si>
  <si>
    <t>05598786</t>
  </si>
  <si>
    <t>02129326</t>
  </si>
  <si>
    <t>04617500</t>
  </si>
  <si>
    <t>00818775</t>
  </si>
  <si>
    <t>03513297</t>
  </si>
  <si>
    <t>04403511</t>
  </si>
  <si>
    <t>00653343</t>
  </si>
  <si>
    <t>02559645</t>
  </si>
  <si>
    <t>03549600</t>
  </si>
  <si>
    <t>P001-40944</t>
  </si>
  <si>
    <t>PREFORT</t>
  </si>
  <si>
    <t>P001-40954</t>
  </si>
  <si>
    <t>P001-40959</t>
  </si>
  <si>
    <t>P002-30865</t>
  </si>
  <si>
    <t>P002-30870</t>
  </si>
  <si>
    <t>P002-30871</t>
  </si>
  <si>
    <t>P002-30875</t>
  </si>
  <si>
    <t>P002-30878</t>
  </si>
  <si>
    <t xml:space="preserve">DEV. AGRG. AGRIPINA </t>
  </si>
  <si>
    <t>27/03/2026</t>
  </si>
  <si>
    <t>Pago YAPE a 191331</t>
  </si>
  <si>
    <t>02229853</t>
  </si>
  <si>
    <t>03238584</t>
  </si>
  <si>
    <t>00535067</t>
  </si>
  <si>
    <t>04312246</t>
  </si>
  <si>
    <t>04733470</t>
  </si>
  <si>
    <t>02521894</t>
  </si>
  <si>
    <t>01430839</t>
  </si>
  <si>
    <t>00533765</t>
  </si>
  <si>
    <t>02223781</t>
  </si>
  <si>
    <t>04512104</t>
  </si>
  <si>
    <t>01611915</t>
  </si>
  <si>
    <t>02218258</t>
  </si>
  <si>
    <t>01416519</t>
  </si>
  <si>
    <t>00552109</t>
  </si>
  <si>
    <t>04709640</t>
  </si>
  <si>
    <t>04709093</t>
  </si>
  <si>
    <t>04836182</t>
  </si>
  <si>
    <t>Pago YAPE de 57004</t>
  </si>
  <si>
    <t>05407183</t>
  </si>
  <si>
    <t>03961222</t>
  </si>
  <si>
    <t>02658964</t>
  </si>
  <si>
    <t>00572156</t>
  </si>
  <si>
    <t>06032277</t>
  </si>
  <si>
    <t>01664003</t>
  </si>
  <si>
    <t>07851640</t>
  </si>
  <si>
    <t>03627008</t>
  </si>
  <si>
    <t>02968998</t>
  </si>
  <si>
    <t>00721612</t>
  </si>
  <si>
    <t>03563868</t>
  </si>
  <si>
    <t>P001-40976</t>
  </si>
  <si>
    <t>P001-40978</t>
  </si>
  <si>
    <t>P001-40981</t>
  </si>
  <si>
    <t xml:space="preserve">HEBERT </t>
  </si>
  <si>
    <t>P001-40988</t>
  </si>
  <si>
    <t xml:space="preserve">SALIDA ANAYELY TERRANOVA </t>
  </si>
  <si>
    <t xml:space="preserve">ALADINO TORRES </t>
  </si>
  <si>
    <t>COMPRA DE CLAVO 3 Y 2.5</t>
  </si>
  <si>
    <t>P001-40990</t>
  </si>
  <si>
    <t xml:space="preserve">DEVOLUCION DE ADELANTO ORLANDO </t>
  </si>
  <si>
    <t>P001-41012</t>
  </si>
  <si>
    <t>P001-41013</t>
  </si>
  <si>
    <t>P002-30880</t>
  </si>
  <si>
    <t>P002-30885</t>
  </si>
  <si>
    <t>P002-30886</t>
  </si>
  <si>
    <t>P002-30887</t>
  </si>
  <si>
    <t>P001-30889</t>
  </si>
  <si>
    <t xml:space="preserve">CAROLINA MONCADA </t>
  </si>
  <si>
    <t>P001-40991</t>
  </si>
  <si>
    <t xml:space="preserve">RETIRO DE CUENTA </t>
  </si>
  <si>
    <t>28/03/2026</t>
  </si>
  <si>
    <t>TRANSF.FIN.OH</t>
  </si>
  <si>
    <t>02924280</t>
  </si>
  <si>
    <t>06027030</t>
  </si>
  <si>
    <t>02323036</t>
  </si>
  <si>
    <t>02837153</t>
  </si>
  <si>
    <t>01419604</t>
  </si>
  <si>
    <t>02930972</t>
  </si>
  <si>
    <t>01615616</t>
  </si>
  <si>
    <t>02311023</t>
  </si>
  <si>
    <t>02016656</t>
  </si>
  <si>
    <t>00619503</t>
  </si>
  <si>
    <t>02307384</t>
  </si>
  <si>
    <t>MOVI000971164073</t>
  </si>
  <si>
    <t>04209058</t>
  </si>
  <si>
    <t>WIN0000040649728</t>
  </si>
  <si>
    <t>01209076</t>
  </si>
  <si>
    <t>03405180</t>
  </si>
  <si>
    <t>03405156</t>
  </si>
  <si>
    <t>03809195</t>
  </si>
  <si>
    <t>03404815</t>
  </si>
  <si>
    <t>03648207</t>
  </si>
  <si>
    <t>08769965</t>
  </si>
  <si>
    <t>TRANSF.CAJ.TRUJILLO</t>
  </si>
  <si>
    <t>02304358</t>
  </si>
  <si>
    <t>00398728</t>
  </si>
  <si>
    <t>DEPOSITO AG 999176</t>
  </si>
  <si>
    <t>00057929</t>
  </si>
  <si>
    <t>DEPOSITO AG 994208</t>
  </si>
  <si>
    <t>00179883</t>
  </si>
  <si>
    <t>00057924</t>
  </si>
  <si>
    <t>Pago YAPE de 30001</t>
  </si>
  <si>
    <t>01974324</t>
  </si>
  <si>
    <t>00179878</t>
  </si>
  <si>
    <t>04927027</t>
  </si>
  <si>
    <t>05107391</t>
  </si>
  <si>
    <t>01871384</t>
  </si>
  <si>
    <t>04638479</t>
  </si>
  <si>
    <t>04830336</t>
  </si>
  <si>
    <t>01754986</t>
  </si>
  <si>
    <t>01945106</t>
  </si>
  <si>
    <t>00237878</t>
  </si>
  <si>
    <t>03141546</t>
  </si>
  <si>
    <t>P001-41017</t>
  </si>
  <si>
    <t>PAGO INTERNET</t>
  </si>
  <si>
    <t>PAGO DE LINEA CELULAR</t>
  </si>
  <si>
    <t xml:space="preserve">FERT &amp; RIEGO </t>
  </si>
  <si>
    <t>P002-30900</t>
  </si>
  <si>
    <t>P002-30908</t>
  </si>
  <si>
    <t>P002-30905</t>
  </si>
  <si>
    <t>P001-41025</t>
  </si>
  <si>
    <t>P001-41026</t>
  </si>
  <si>
    <t xml:space="preserve">SANTIAGO </t>
  </si>
  <si>
    <t xml:space="preserve">COMPRA DE TECNOPOR </t>
  </si>
  <si>
    <t>P001-41038</t>
  </si>
  <si>
    <t>P001-41039</t>
  </si>
  <si>
    <t xml:space="preserve">DE LA CRUZ </t>
  </si>
  <si>
    <t>P001-41043</t>
  </si>
  <si>
    <t>P001-41044</t>
  </si>
  <si>
    <t>P002-30915</t>
  </si>
  <si>
    <t>P001-41046</t>
  </si>
  <si>
    <t>P002-30914</t>
  </si>
  <si>
    <t>P002-30896</t>
  </si>
  <si>
    <t>P001-41030</t>
  </si>
  <si>
    <t xml:space="preserve">A CUENTA ALEJANDRO PAREDES </t>
  </si>
  <si>
    <t>P002-30916</t>
  </si>
  <si>
    <t>MONTALVAN</t>
  </si>
  <si>
    <t>P001-41051</t>
  </si>
  <si>
    <t>COMPRA DE 4 PIEDRA CHAN 1/2</t>
  </si>
  <si>
    <t xml:space="preserve">CUYUMALCA </t>
  </si>
  <si>
    <t xml:space="preserve">PEREZ ILATOMA </t>
  </si>
  <si>
    <t>P002-30917</t>
  </si>
  <si>
    <t>P002-30918</t>
  </si>
  <si>
    <t>P001-41057</t>
  </si>
  <si>
    <t>SANCHEZ RAMON</t>
  </si>
  <si>
    <t xml:space="preserve">PRESTAMO </t>
  </si>
  <si>
    <t>30/03/2026</t>
  </si>
  <si>
    <t>ABON PLIN-Eberson  Car</t>
  </si>
  <si>
    <t>00099597</t>
  </si>
  <si>
    <t>01690107</t>
  </si>
  <si>
    <t>04888371</t>
  </si>
  <si>
    <t>04086619</t>
  </si>
  <si>
    <t>Pago YAPE de 30517</t>
  </si>
  <si>
    <t>01831069</t>
  </si>
  <si>
    <t>Pago YAPE a 305991</t>
  </si>
  <si>
    <t>05530567</t>
  </si>
  <si>
    <t>03029850</t>
  </si>
  <si>
    <t>01339613</t>
  </si>
  <si>
    <t>02425718</t>
  </si>
  <si>
    <t>04323179</t>
  </si>
  <si>
    <t>04418099</t>
  </si>
  <si>
    <t>00320008</t>
  </si>
  <si>
    <t>00544882</t>
  </si>
  <si>
    <t>00574841</t>
  </si>
  <si>
    <t>02009685</t>
  </si>
  <si>
    <t>00017170</t>
  </si>
  <si>
    <t>01705758</t>
  </si>
  <si>
    <t>02656893</t>
  </si>
  <si>
    <t>P001-41113</t>
  </si>
  <si>
    <t>P001-41115</t>
  </si>
  <si>
    <t>P001-41116</t>
  </si>
  <si>
    <t>CULQUI</t>
  </si>
  <si>
    <t>DAVILA</t>
  </si>
  <si>
    <t xml:space="preserve">ALMUERZO ANGEL Y JOSE </t>
  </si>
  <si>
    <t xml:space="preserve">ALQUILER MONTACARGA </t>
  </si>
  <si>
    <t xml:space="preserve">VASQUEZ ROJAS </t>
  </si>
  <si>
    <t xml:space="preserve">RONALD SEMPERTEGUI </t>
  </si>
  <si>
    <t xml:space="preserve">EBERSON CARLOS </t>
  </si>
  <si>
    <t xml:space="preserve">MARIAA VEGA </t>
  </si>
  <si>
    <t xml:space="preserve">PAICO </t>
  </si>
  <si>
    <t>P002-30923</t>
  </si>
  <si>
    <t>P002-30919</t>
  </si>
  <si>
    <t>P002-30920</t>
  </si>
  <si>
    <t xml:space="preserve">CRUZ BOBADILLA </t>
  </si>
  <si>
    <t>31/03/2026</t>
  </si>
  <si>
    <t>04431569</t>
  </si>
  <si>
    <t>04959460</t>
  </si>
  <si>
    <t>01261636</t>
  </si>
  <si>
    <t>04291529</t>
  </si>
  <si>
    <t>02369912</t>
  </si>
  <si>
    <t>05043160</t>
  </si>
  <si>
    <t>01674569</t>
  </si>
  <si>
    <t>01360345</t>
  </si>
  <si>
    <t>Pago YAPE de 31005</t>
  </si>
  <si>
    <t>04888087</t>
  </si>
  <si>
    <t>03071827</t>
  </si>
  <si>
    <t>03246052</t>
  </si>
  <si>
    <t>Pago YAPE de 41573</t>
  </si>
  <si>
    <t>02745524</t>
  </si>
  <si>
    <t>01827250</t>
  </si>
  <si>
    <t>01788483</t>
  </si>
  <si>
    <t>01772369</t>
  </si>
  <si>
    <t>00713693</t>
  </si>
  <si>
    <t>00661134</t>
  </si>
  <si>
    <t>Pago YAPE de 39503</t>
  </si>
  <si>
    <t>01319892</t>
  </si>
  <si>
    <t>04810456</t>
  </si>
  <si>
    <t>P001-41143</t>
  </si>
  <si>
    <t>P001-41151</t>
  </si>
  <si>
    <t>P001-41153</t>
  </si>
  <si>
    <t>P001-41155</t>
  </si>
  <si>
    <t>P001-41156</t>
  </si>
  <si>
    <t>P001-41157</t>
  </si>
  <si>
    <t xml:space="preserve">PALOMINO </t>
  </si>
  <si>
    <t>02169325</t>
  </si>
  <si>
    <t>05534835</t>
  </si>
  <si>
    <t>04973659</t>
  </si>
  <si>
    <t>05520443</t>
  </si>
  <si>
    <t>00880363</t>
  </si>
  <si>
    <t>04253542</t>
  </si>
  <si>
    <t>04571198</t>
  </si>
  <si>
    <t>05075819</t>
  </si>
  <si>
    <t>04826435</t>
  </si>
  <si>
    <t>WALTER CASA BLANCA</t>
  </si>
  <si>
    <t>P001-41161</t>
  </si>
  <si>
    <t xml:space="preserve">MARIA VEGA </t>
  </si>
  <si>
    <t xml:space="preserve">RONALD </t>
  </si>
  <si>
    <t>P002-30957</t>
  </si>
  <si>
    <t>P002-30950</t>
  </si>
  <si>
    <t>P002-30941</t>
  </si>
  <si>
    <t>RETIRO DE CUENTA</t>
  </si>
  <si>
    <t>GRUPO CORPORATIVO</t>
  </si>
  <si>
    <t>01/04/2026</t>
  </si>
  <si>
    <t>00024762</t>
  </si>
  <si>
    <t>05856788</t>
  </si>
  <si>
    <t>06689277</t>
  </si>
  <si>
    <t>08272846</t>
  </si>
  <si>
    <t>03289097</t>
  </si>
  <si>
    <t>02953460</t>
  </si>
  <si>
    <t>05014048</t>
  </si>
  <si>
    <t>04439393</t>
  </si>
  <si>
    <t>04438447</t>
  </si>
  <si>
    <t>09347651</t>
  </si>
  <si>
    <t>01747103</t>
  </si>
  <si>
    <t>00258288</t>
  </si>
  <si>
    <t>01956410</t>
  </si>
  <si>
    <t>02527407</t>
  </si>
  <si>
    <t>07259911</t>
  </si>
  <si>
    <t>07559294</t>
  </si>
  <si>
    <t>ABON PLIN-LUIS JOHNNY</t>
  </si>
  <si>
    <t>00947998</t>
  </si>
  <si>
    <t>09703987</t>
  </si>
  <si>
    <t>Pago YAPE de 41572</t>
  </si>
  <si>
    <t>08425153</t>
  </si>
  <si>
    <t>08607030</t>
  </si>
  <si>
    <t xml:space="preserve">B&amp;B INGENIEROS </t>
  </si>
  <si>
    <t>Pago YAPE a 305044</t>
  </si>
  <si>
    <t>06027194</t>
  </si>
  <si>
    <t>02869633</t>
  </si>
  <si>
    <t>03463378</t>
  </si>
  <si>
    <t>02625580</t>
  </si>
  <si>
    <t>04579949</t>
  </si>
  <si>
    <t>05522024</t>
  </si>
  <si>
    <t>05474686</t>
  </si>
  <si>
    <t>00458775</t>
  </si>
  <si>
    <t>P001-41174</t>
  </si>
  <si>
    <t>P001-41175</t>
  </si>
  <si>
    <t xml:space="preserve">COLLANTES </t>
  </si>
  <si>
    <t>P001-41179</t>
  </si>
  <si>
    <t xml:space="preserve">MAGALY DIAZ </t>
  </si>
  <si>
    <t>P001-41184</t>
  </si>
  <si>
    <t xml:space="preserve">LUCERO GUERRERO </t>
  </si>
  <si>
    <t>P002-30979</t>
  </si>
  <si>
    <t xml:space="preserve">RONAL SEMPERTEGUI </t>
  </si>
  <si>
    <t>P001-41196</t>
  </si>
  <si>
    <t>P001-41197</t>
  </si>
  <si>
    <t xml:space="preserve">2 RAPIMIX </t>
  </si>
  <si>
    <t xml:space="preserve">PARIHUAMAN </t>
  </si>
  <si>
    <t>02/04/2026</t>
  </si>
  <si>
    <t>02801738</t>
  </si>
  <si>
    <t>02459027</t>
  </si>
  <si>
    <t>09468303</t>
  </si>
  <si>
    <t>01344755</t>
  </si>
  <si>
    <t>02993935</t>
  </si>
  <si>
    <t>09621645</t>
  </si>
  <si>
    <t>02810764</t>
  </si>
  <si>
    <t>07829137</t>
  </si>
  <si>
    <t>08520529</t>
  </si>
  <si>
    <t>01691297</t>
  </si>
  <si>
    <t>05478022</t>
  </si>
  <si>
    <t>02158213</t>
  </si>
  <si>
    <t>04009595</t>
  </si>
  <si>
    <t>03735611</t>
  </si>
  <si>
    <t>00376667</t>
  </si>
  <si>
    <t>P002-30987</t>
  </si>
  <si>
    <t>P002-30990</t>
  </si>
  <si>
    <t xml:space="preserve">TEONILA </t>
  </si>
  <si>
    <t>P001-41205</t>
  </si>
  <si>
    <t>P001-42214</t>
  </si>
  <si>
    <t>P002-30999</t>
  </si>
  <si>
    <t>P002-31004</t>
  </si>
  <si>
    <t>00276459</t>
  </si>
  <si>
    <t>07789829</t>
  </si>
  <si>
    <t>04007023</t>
  </si>
  <si>
    <t>00043755</t>
  </si>
  <si>
    <t>09332104</t>
  </si>
  <si>
    <t>03711961</t>
  </si>
  <si>
    <t>09812236</t>
  </si>
  <si>
    <t>08597443</t>
  </si>
  <si>
    <t>08911681</t>
  </si>
  <si>
    <t>03352845</t>
  </si>
  <si>
    <t>02092374</t>
  </si>
  <si>
    <t>02058157</t>
  </si>
  <si>
    <t>06934488</t>
  </si>
  <si>
    <t>07505303</t>
  </si>
  <si>
    <t>04699589</t>
  </si>
  <si>
    <t>P002-31011</t>
  </si>
  <si>
    <t>P002-31010</t>
  </si>
  <si>
    <t xml:space="preserve">VASQUEZ GAMONAL ELSA ROSMERY    </t>
  </si>
  <si>
    <t xml:space="preserve">DILMER RODAS - 907660787       </t>
  </si>
  <si>
    <t xml:space="preserve">SEMPERTEGUI BARAHONA RONALD              </t>
  </si>
  <si>
    <t xml:space="preserve">RUIZ SALAZAR ANDY D'NILSON   </t>
  </si>
  <si>
    <t>P001-41231</t>
  </si>
  <si>
    <t>P001-41227</t>
  </si>
  <si>
    <t>P001-41226</t>
  </si>
  <si>
    <t>P001-41219</t>
  </si>
  <si>
    <t>P001-41221</t>
  </si>
  <si>
    <t>P002-31014</t>
  </si>
  <si>
    <t xml:space="preserve">LARIOS BERNAL </t>
  </si>
  <si>
    <t>P001-41225</t>
  </si>
  <si>
    <t>P001-41222</t>
  </si>
  <si>
    <t>04/04/2026</t>
  </si>
  <si>
    <t>05725544</t>
  </si>
  <si>
    <t>05800145</t>
  </si>
  <si>
    <t>ABON PLIN-DENIS YAMIL</t>
  </si>
  <si>
    <t>00828062</t>
  </si>
  <si>
    <t>00820941</t>
  </si>
  <si>
    <t>00306500</t>
  </si>
  <si>
    <t>03/04/2026</t>
  </si>
  <si>
    <t>03215489</t>
  </si>
  <si>
    <t>03388593</t>
  </si>
  <si>
    <t>Pago YAPE de 57090</t>
  </si>
  <si>
    <t>00755902</t>
  </si>
  <si>
    <t>09713840</t>
  </si>
  <si>
    <t>06006863</t>
  </si>
  <si>
    <t>Pago YAPE de 23210</t>
  </si>
  <si>
    <t>08124140</t>
  </si>
  <si>
    <t>01189231</t>
  </si>
  <si>
    <t>05853713</t>
  </si>
  <si>
    <t>Pago YAPE de 19170</t>
  </si>
  <si>
    <t>05359102</t>
  </si>
  <si>
    <t>05518421</t>
  </si>
  <si>
    <t>ABON PLIN-ALVER ORDOÑE</t>
  </si>
  <si>
    <t>00027282</t>
  </si>
  <si>
    <t>Pago YAPE de 39577</t>
  </si>
  <si>
    <t>04720553</t>
  </si>
  <si>
    <t>P0010-41237</t>
  </si>
  <si>
    <t>P00100041247</t>
  </si>
  <si>
    <t>TARRILLO CARRASCO WALTER</t>
  </si>
  <si>
    <t xml:space="preserve">JORDIN HERRERA </t>
  </si>
  <si>
    <t xml:space="preserve">SEMPERTEGUI BARAHONA RONALD </t>
  </si>
  <si>
    <t>P001-41238</t>
  </si>
  <si>
    <t>P001-41239</t>
  </si>
  <si>
    <t>P001-41241</t>
  </si>
  <si>
    <t>P001-41250</t>
  </si>
  <si>
    <t>P001-41254</t>
  </si>
  <si>
    <t>P002-31018</t>
  </si>
  <si>
    <t>02923220</t>
  </si>
  <si>
    <t>02035600</t>
  </si>
  <si>
    <t>01245838</t>
  </si>
  <si>
    <t>08479373</t>
  </si>
  <si>
    <t>08140396</t>
  </si>
  <si>
    <t>05742696</t>
  </si>
  <si>
    <t>03346250</t>
  </si>
  <si>
    <t>Pago YAPE a 305714</t>
  </si>
  <si>
    <t>03670262</t>
  </si>
  <si>
    <t>02344420</t>
  </si>
  <si>
    <t>00922157</t>
  </si>
  <si>
    <t>01656167</t>
  </si>
  <si>
    <t>01556727</t>
  </si>
  <si>
    <t>ABON PLIN-SANTOS TELLO</t>
  </si>
  <si>
    <t>00155285</t>
  </si>
  <si>
    <t>01506179</t>
  </si>
  <si>
    <t>07323868</t>
  </si>
  <si>
    <t>06744988</t>
  </si>
  <si>
    <t>06193613</t>
  </si>
  <si>
    <t>06076222</t>
  </si>
  <si>
    <t>03615214</t>
  </si>
  <si>
    <t>09382046</t>
  </si>
  <si>
    <t>04064757</t>
  </si>
  <si>
    <t>09645183</t>
  </si>
  <si>
    <t>03935637</t>
  </si>
  <si>
    <t>03497270</t>
  </si>
  <si>
    <t>03578961</t>
  </si>
  <si>
    <t>P002-31038</t>
  </si>
  <si>
    <t xml:space="preserve">WALTER TELLO </t>
  </si>
  <si>
    <t>P001-41268</t>
  </si>
  <si>
    <t xml:space="preserve">RONAL </t>
  </si>
  <si>
    <t xml:space="preserve">SANCHEZ PAREDES </t>
  </si>
  <si>
    <t>P001-41276</t>
  </si>
  <si>
    <t>P002-31061</t>
  </si>
  <si>
    <t>P001-41282</t>
  </si>
  <si>
    <t xml:space="preserve">CABANILLAS </t>
  </si>
  <si>
    <t>P001-41287</t>
  </si>
  <si>
    <t>P002-31020</t>
  </si>
  <si>
    <t xml:space="preserve">LLANCA </t>
  </si>
  <si>
    <t xml:space="preserve">HENRRY CRUZ </t>
  </si>
  <si>
    <t>P002-31030</t>
  </si>
  <si>
    <t>P002-31034</t>
  </si>
  <si>
    <t xml:space="preserve">SAMAME GUEVARA ALCIDES- VUELTO  </t>
  </si>
  <si>
    <t>05/04/2026</t>
  </si>
  <si>
    <t>05526082</t>
  </si>
  <si>
    <t>04310968</t>
  </si>
  <si>
    <t>01515387</t>
  </si>
  <si>
    <t>09997386</t>
  </si>
  <si>
    <t>01258704</t>
  </si>
  <si>
    <t>09207992</t>
  </si>
  <si>
    <t>08811488</t>
  </si>
  <si>
    <t>01028034</t>
  </si>
  <si>
    <t>06359812</t>
  </si>
  <si>
    <t>07238567</t>
  </si>
  <si>
    <t>06763046</t>
  </si>
  <si>
    <t>06/04/2026</t>
  </si>
  <si>
    <t>01801014</t>
  </si>
  <si>
    <t>09450256</t>
  </si>
  <si>
    <t>08127434</t>
  </si>
  <si>
    <t>08324414</t>
  </si>
  <si>
    <t>07026132</t>
  </si>
  <si>
    <t>05653215</t>
  </si>
  <si>
    <t>05832818</t>
  </si>
  <si>
    <t>05913362</t>
  </si>
  <si>
    <t>05538083</t>
  </si>
  <si>
    <t xml:space="preserve">YAPE </t>
  </si>
  <si>
    <t>P002-31074</t>
  </si>
  <si>
    <t xml:space="preserve">SEGUNDO FUENTES </t>
  </si>
  <si>
    <t xml:space="preserve">UCHUFEN </t>
  </si>
  <si>
    <t>P002-31081</t>
  </si>
  <si>
    <t>P002-31083</t>
  </si>
  <si>
    <t>P002-31094</t>
  </si>
  <si>
    <t>P002-31102</t>
  </si>
  <si>
    <t xml:space="preserve">PERALTA DIAZ A CUENTA </t>
  </si>
  <si>
    <t xml:space="preserve">5 RONAL </t>
  </si>
  <si>
    <t>P002-31107</t>
  </si>
  <si>
    <t>P001-41300</t>
  </si>
  <si>
    <t>P001-41302</t>
  </si>
  <si>
    <t>P001-41303</t>
  </si>
  <si>
    <t>COMPRA DE 4 PIEDRA CHANCADA 1/2</t>
  </si>
  <si>
    <t>Pago YAPE a 305917</t>
  </si>
  <si>
    <t>04429767</t>
  </si>
  <si>
    <t>04222055</t>
  </si>
  <si>
    <t>03181785</t>
  </si>
  <si>
    <t>03973960</t>
  </si>
  <si>
    <t>07149968</t>
  </si>
  <si>
    <t>08372979</t>
  </si>
  <si>
    <t>04785378</t>
  </si>
  <si>
    <t>06967362</t>
  </si>
  <si>
    <t>02034756</t>
  </si>
  <si>
    <t>P001-41311</t>
  </si>
  <si>
    <t>P001-41313</t>
  </si>
  <si>
    <t>P001-41316</t>
  </si>
  <si>
    <t xml:space="preserve">COMPRA DE 17 ARENA*37- LUIS CALDERON </t>
  </si>
  <si>
    <t>P002-31124</t>
  </si>
  <si>
    <t xml:space="preserve">FRANKIL HERNANDEZ </t>
  </si>
  <si>
    <t>05800314</t>
  </si>
  <si>
    <t>03872533</t>
  </si>
  <si>
    <t>01269032</t>
  </si>
  <si>
    <t>00504300</t>
  </si>
  <si>
    <t>Pago YAPE a 305262</t>
  </si>
  <si>
    <t>05116596</t>
  </si>
  <si>
    <t>04275901</t>
  </si>
  <si>
    <t>02248114</t>
  </si>
  <si>
    <t xml:space="preserve">REPUESTOS FUSO </t>
  </si>
  <si>
    <t xml:space="preserve">PETROLEO QUE ABASTECIO JORDIN A CARRO LUCAS </t>
  </si>
  <si>
    <t>PAGO DE CONTADORA</t>
  </si>
  <si>
    <t>07/04/2026</t>
  </si>
  <si>
    <t>02121608</t>
  </si>
  <si>
    <t>03192676</t>
  </si>
  <si>
    <t>07931241</t>
  </si>
  <si>
    <t>08215098</t>
  </si>
  <si>
    <t>07126725</t>
  </si>
  <si>
    <t>Pago YAPE de 57028</t>
  </si>
  <si>
    <t>03799767</t>
  </si>
  <si>
    <t>06789277</t>
  </si>
  <si>
    <t>06442854</t>
  </si>
  <si>
    <t>00758908</t>
  </si>
  <si>
    <t>05656001</t>
  </si>
  <si>
    <t>00467877</t>
  </si>
  <si>
    <t>00305599</t>
  </si>
  <si>
    <t>ABON PLIN-JORDIN HERRE</t>
  </si>
  <si>
    <t>00775871</t>
  </si>
  <si>
    <t>00797053</t>
  </si>
  <si>
    <t>Pago YAPE a 305048</t>
  </si>
  <si>
    <t>00341907</t>
  </si>
  <si>
    <t>04464323</t>
  </si>
  <si>
    <t>04698506</t>
  </si>
  <si>
    <t>00454889</t>
  </si>
  <si>
    <t>02295683</t>
  </si>
  <si>
    <t>07472091</t>
  </si>
  <si>
    <t>07630017</t>
  </si>
  <si>
    <t>04647967</t>
  </si>
  <si>
    <t>02863527</t>
  </si>
  <si>
    <t>02548914</t>
  </si>
  <si>
    <t>02937127</t>
  </si>
  <si>
    <t>00254038</t>
  </si>
  <si>
    <t xml:space="preserve">ABELARDO JIBAJA </t>
  </si>
  <si>
    <t>P001-41325</t>
  </si>
  <si>
    <t>P001-41327</t>
  </si>
  <si>
    <t>P001-41328</t>
  </si>
  <si>
    <t xml:space="preserve">1 PERNO GRANDE </t>
  </si>
  <si>
    <t xml:space="preserve">NAPO GUEVARA </t>
  </si>
  <si>
    <t xml:space="preserve">REINERIO </t>
  </si>
  <si>
    <t xml:space="preserve">ACEITE FUSO DE CAJA </t>
  </si>
  <si>
    <t xml:space="preserve">COMPRA DE 66 PEG. CELIMA </t>
  </si>
  <si>
    <t>P002-31132</t>
  </si>
  <si>
    <t xml:space="preserve">A CUENTA JHON SANCHEZ </t>
  </si>
  <si>
    <t xml:space="preserve">VIVIAN </t>
  </si>
  <si>
    <t xml:space="preserve">BCP </t>
  </si>
  <si>
    <t>P002-31136</t>
  </si>
  <si>
    <t xml:space="preserve">SORIANO </t>
  </si>
  <si>
    <t>P002-31144</t>
  </si>
  <si>
    <t>P002-31147</t>
  </si>
  <si>
    <t>P002-31152</t>
  </si>
  <si>
    <t>P001-41336</t>
  </si>
  <si>
    <t>06038532</t>
  </si>
  <si>
    <t>06065667</t>
  </si>
  <si>
    <t>04870454</t>
  </si>
  <si>
    <t xml:space="preserve">PAGO A FERRONOR - ETERNIT </t>
  </si>
  <si>
    <t xml:space="preserve">PAGO ADJ </t>
  </si>
  <si>
    <t xml:space="preserve">CONSTRUCCIONES INDALO </t>
  </si>
  <si>
    <t>P002-31145</t>
  </si>
  <si>
    <t>08/04/2026</t>
  </si>
  <si>
    <t>09274767</t>
  </si>
  <si>
    <t>YAPE</t>
  </si>
  <si>
    <t>00299634</t>
  </si>
  <si>
    <t>09524755</t>
  </si>
  <si>
    <t>00408033</t>
  </si>
  <si>
    <t>PLIN-Eberson  Carlos</t>
  </si>
  <si>
    <t>00268631</t>
  </si>
  <si>
    <t>00020746</t>
  </si>
  <si>
    <t>00266997</t>
  </si>
  <si>
    <t>00989761</t>
  </si>
  <si>
    <t>01419036</t>
  </si>
  <si>
    <t>08970296</t>
  </si>
  <si>
    <t>08384120</t>
  </si>
  <si>
    <t>00866073</t>
  </si>
  <si>
    <t>07633894</t>
  </si>
  <si>
    <t>06496370</t>
  </si>
  <si>
    <t>00765638</t>
  </si>
  <si>
    <t>ENTR.EFEC. 0849252</t>
  </si>
  <si>
    <t>00849252</t>
  </si>
  <si>
    <t>07358674</t>
  </si>
  <si>
    <t>00035934</t>
  </si>
  <si>
    <t>00662989</t>
  </si>
  <si>
    <t>04006788</t>
  </si>
  <si>
    <t>P001-41351</t>
  </si>
  <si>
    <t>P001-41360</t>
  </si>
  <si>
    <t>P001-41361</t>
  </si>
  <si>
    <t>P001-41364</t>
  </si>
  <si>
    <t>P001-41365</t>
  </si>
  <si>
    <t xml:space="preserve">ERIBERTO REQUEJO </t>
  </si>
  <si>
    <t>P001-41370</t>
  </si>
  <si>
    <t>P002-31161</t>
  </si>
  <si>
    <t xml:space="preserve">VUELTO HERIBERTO VILCHEZ </t>
  </si>
  <si>
    <t xml:space="preserve">INGRESO DE EFECTIVO A CUENTA </t>
  </si>
  <si>
    <t>SANCHEZ RAMON JOSE</t>
  </si>
  <si>
    <t>P001-41359</t>
  </si>
  <si>
    <t>02726165</t>
  </si>
  <si>
    <t>04405784</t>
  </si>
  <si>
    <t>06063127</t>
  </si>
  <si>
    <t>00173632</t>
  </si>
  <si>
    <t>03973889</t>
  </si>
  <si>
    <t>08699569</t>
  </si>
  <si>
    <t>Pago YAPE de 41504</t>
  </si>
  <si>
    <t>09656209</t>
  </si>
  <si>
    <t>Pago YAPE de 19106</t>
  </si>
  <si>
    <t>08660478</t>
  </si>
  <si>
    <t>03561129</t>
  </si>
  <si>
    <t>ABON PLIN-DELPIERO GAC</t>
  </si>
  <si>
    <t>00433509</t>
  </si>
  <si>
    <t>03044760</t>
  </si>
  <si>
    <t>P001-41372</t>
  </si>
  <si>
    <t xml:space="preserve">BACA BURGA </t>
  </si>
  <si>
    <t>ROBERTO RODRIGUEZ</t>
  </si>
  <si>
    <t>P001-41374</t>
  </si>
  <si>
    <t>P001-41375</t>
  </si>
  <si>
    <t>P001-41377</t>
  </si>
  <si>
    <t xml:space="preserve">CAMBIO DE LLANTA FORLAND </t>
  </si>
  <si>
    <t>SALDO 36</t>
  </si>
  <si>
    <t xml:space="preserve">REGULARIZACION DE PAGOS </t>
  </si>
  <si>
    <t>INGRESO</t>
  </si>
  <si>
    <t xml:space="preserve">JORDIN </t>
  </si>
  <si>
    <t xml:space="preserve">TOTAL INGRESO A CUENTA </t>
  </si>
  <si>
    <t xml:space="preserve">RETIRO EN CUENTA </t>
  </si>
  <si>
    <t xml:space="preserve">RETIRO EFECTIVO HYC </t>
  </si>
  <si>
    <t xml:space="preserve">JORDIN RETIRO </t>
  </si>
  <si>
    <t>POR RETIRAR</t>
  </si>
  <si>
    <t xml:space="preserve">POR CANCELAR </t>
  </si>
  <si>
    <t>06069092</t>
  </si>
  <si>
    <t xml:space="preserve">PAGO DE LADRILLO JORDIN HERRERA </t>
  </si>
  <si>
    <t>COMPRA 50 FIERROS 3/8 Y ALAM 8</t>
  </si>
  <si>
    <t>09/04/2026</t>
  </si>
  <si>
    <t>Pago YAPE de 31839</t>
  </si>
  <si>
    <t>03264733</t>
  </si>
  <si>
    <t>Pago YAPE a 305968</t>
  </si>
  <si>
    <t>00598607</t>
  </si>
  <si>
    <t>02834562</t>
  </si>
  <si>
    <t>02817158</t>
  </si>
  <si>
    <t>08079984</t>
  </si>
  <si>
    <t>01316062</t>
  </si>
  <si>
    <t>Pago YAPE de 31893</t>
  </si>
  <si>
    <t>08510203</t>
  </si>
  <si>
    <t>01196366</t>
  </si>
  <si>
    <t>02591357</t>
  </si>
  <si>
    <t>07326180</t>
  </si>
  <si>
    <t>01263862</t>
  </si>
  <si>
    <t>01768899</t>
  </si>
  <si>
    <t>02542383</t>
  </si>
  <si>
    <t>P001-41380</t>
  </si>
  <si>
    <t>P001-41386</t>
  </si>
  <si>
    <t>P001-41389</t>
  </si>
  <si>
    <t>P001-41392</t>
  </si>
  <si>
    <t xml:space="preserve">MARCO ROBERTO </t>
  </si>
  <si>
    <t xml:space="preserve">VUELTO YDROGO GALVEZ </t>
  </si>
  <si>
    <t>P002-31173</t>
  </si>
  <si>
    <t>P002-31179</t>
  </si>
  <si>
    <t>P002-31182</t>
  </si>
  <si>
    <t>00539860</t>
  </si>
  <si>
    <t>02652509</t>
  </si>
  <si>
    <t>Pago YAPE a 305990</t>
  </si>
  <si>
    <t>05894750</t>
  </si>
  <si>
    <t>06485338</t>
  </si>
  <si>
    <t>00423140</t>
  </si>
  <si>
    <t>06326932</t>
  </si>
  <si>
    <t>02632417</t>
  </si>
  <si>
    <t xml:space="preserve">COMPRA DE 2 BATERIAS DE MOTO </t>
  </si>
  <si>
    <t>P002-31188</t>
  </si>
  <si>
    <t>P002-31189</t>
  </si>
  <si>
    <t>P002-31185</t>
  </si>
  <si>
    <t>P002-31183</t>
  </si>
  <si>
    <t xml:space="preserve">SE COMPRO 12 FIERRO 3/8 Y 4 UNION </t>
  </si>
  <si>
    <t xml:space="preserve">YAPE DE JH </t>
  </si>
  <si>
    <t>06058964</t>
  </si>
  <si>
    <t xml:space="preserve">COMPRA 3260*0.61 PANDERETA </t>
  </si>
  <si>
    <t>10/04/2026</t>
  </si>
  <si>
    <t>02003482</t>
  </si>
  <si>
    <t>02997504</t>
  </si>
  <si>
    <t>02992752</t>
  </si>
  <si>
    <t>ENTE000903511797</t>
  </si>
  <si>
    <t>01220820</t>
  </si>
  <si>
    <t>09079196</t>
  </si>
  <si>
    <t>00509257</t>
  </si>
  <si>
    <t>Pago YAPE de 47500</t>
  </si>
  <si>
    <t>08062382</t>
  </si>
  <si>
    <t>00310246</t>
  </si>
  <si>
    <t>05732108</t>
  </si>
  <si>
    <t>ABON PLIN-JAVIER MANAY</t>
  </si>
  <si>
    <t>00148663</t>
  </si>
  <si>
    <t>08077852</t>
  </si>
  <si>
    <t>08723116</t>
  </si>
  <si>
    <t>00439072</t>
  </si>
  <si>
    <t>08616866</t>
  </si>
  <si>
    <t>ABON PLIN-JOSE TAVARA</t>
  </si>
  <si>
    <t>00406473</t>
  </si>
  <si>
    <t>08155326</t>
  </si>
  <si>
    <t>02699101</t>
  </si>
  <si>
    <t>04993806</t>
  </si>
  <si>
    <t>P001-41404</t>
  </si>
  <si>
    <t>P001-41416</t>
  </si>
  <si>
    <t>P001-41417</t>
  </si>
  <si>
    <t>P001-41418</t>
  </si>
  <si>
    <t>P001-41419</t>
  </si>
  <si>
    <t xml:space="preserve">PAGO LINEA CELULAR ANAYELY Y YOVER </t>
  </si>
  <si>
    <t xml:space="preserve">TAVARA </t>
  </si>
  <si>
    <t>P001-41427</t>
  </si>
  <si>
    <t>P002-31216</t>
  </si>
  <si>
    <t>P001-41428</t>
  </si>
  <si>
    <t>MENDOZA MONDRAGON</t>
  </si>
  <si>
    <t>P002-31215</t>
  </si>
  <si>
    <t xml:space="preserve">CARRASCO SANCHEZ </t>
  </si>
  <si>
    <t>00876149</t>
  </si>
  <si>
    <t>01638734</t>
  </si>
  <si>
    <t>00613110</t>
  </si>
  <si>
    <t>04392756</t>
  </si>
  <si>
    <t>04379124</t>
  </si>
  <si>
    <t>09683443</t>
  </si>
  <si>
    <t>06493182</t>
  </si>
  <si>
    <t>07182619</t>
  </si>
  <si>
    <t>03870393</t>
  </si>
  <si>
    <t xml:space="preserve">COMPRA DE 15 FIERRO 3/8 MARVID </t>
  </si>
  <si>
    <t>P001-41434</t>
  </si>
  <si>
    <t xml:space="preserve">COMPRA DE 17 ARENA AMARILLA/ CALDERON </t>
  </si>
  <si>
    <t>P002-31219</t>
  </si>
  <si>
    <t xml:space="preserve">PEREZ PEREZ JUAN </t>
  </si>
  <si>
    <t>11/04/2026</t>
  </si>
  <si>
    <t>00152521</t>
  </si>
  <si>
    <t>06958036</t>
  </si>
  <si>
    <t>Pago YAPE de 41501</t>
  </si>
  <si>
    <t>06695282</t>
  </si>
  <si>
    <t>01059594</t>
  </si>
  <si>
    <t>Pago YAPE de 58574</t>
  </si>
  <si>
    <t>06907737</t>
  </si>
  <si>
    <t>ENTR.EFEC. 0061082</t>
  </si>
  <si>
    <t>00061082</t>
  </si>
  <si>
    <t>00792119</t>
  </si>
  <si>
    <t>01289187</t>
  </si>
  <si>
    <t>05928283</t>
  </si>
  <si>
    <t>03559873</t>
  </si>
  <si>
    <t>05018685</t>
  </si>
  <si>
    <t>02664175</t>
  </si>
  <si>
    <t>03826203</t>
  </si>
  <si>
    <t>06088027</t>
  </si>
  <si>
    <t>09781609</t>
  </si>
  <si>
    <t>06082474</t>
  </si>
  <si>
    <t>07758462</t>
  </si>
  <si>
    <t>06073499</t>
  </si>
  <si>
    <t>05659466</t>
  </si>
  <si>
    <t>06067939</t>
  </si>
  <si>
    <t>04786897</t>
  </si>
  <si>
    <t>06159004</t>
  </si>
  <si>
    <t>03189097</t>
  </si>
  <si>
    <t>02438788</t>
  </si>
  <si>
    <t>02311529</t>
  </si>
  <si>
    <t>00353777</t>
  </si>
  <si>
    <t>P001-41436</t>
  </si>
  <si>
    <t>DEVOLUCION DE YAPE 09-04</t>
  </si>
  <si>
    <t>P001-41439</t>
  </si>
  <si>
    <t>P001-41441</t>
  </si>
  <si>
    <t xml:space="preserve">HAMILTON CUEVA </t>
  </si>
  <si>
    <t xml:space="preserve">INGRESO A CUENTA </t>
  </si>
  <si>
    <t>P001-41447</t>
  </si>
  <si>
    <t>P001-41455</t>
  </si>
  <si>
    <t>P001-41456</t>
  </si>
  <si>
    <t xml:space="preserve">PAGO ESPN </t>
  </si>
  <si>
    <t>P001-41464</t>
  </si>
  <si>
    <t xml:space="preserve">PAGO DE LUZ </t>
  </si>
  <si>
    <t xml:space="preserve">SEMPERTEGUI </t>
  </si>
  <si>
    <t>P002-31239</t>
  </si>
  <si>
    <t>P002-31229</t>
  </si>
  <si>
    <t>P002-31231</t>
  </si>
  <si>
    <t xml:space="preserve">DEVOLUCION DE DEPOSITO INVERSIONES </t>
  </si>
  <si>
    <t xml:space="preserve">1000 A CUENTA SEÑOR ROMEL </t>
  </si>
  <si>
    <t xml:space="preserve">COMPRA DE TUBOS CUADRADOS </t>
  </si>
  <si>
    <t>13/04/2026</t>
  </si>
  <si>
    <t>Pago YAPE a 305012</t>
  </si>
  <si>
    <t>08130580</t>
  </si>
  <si>
    <t>07215119</t>
  </si>
  <si>
    <t>03975084</t>
  </si>
  <si>
    <t>00778817</t>
  </si>
  <si>
    <t>01182450</t>
  </si>
  <si>
    <t>03873379</t>
  </si>
  <si>
    <t>00362117</t>
  </si>
  <si>
    <t>01651790</t>
  </si>
  <si>
    <t>03319688</t>
  </si>
  <si>
    <t>05216732</t>
  </si>
  <si>
    <t>00025883</t>
  </si>
  <si>
    <t>01371103</t>
  </si>
  <si>
    <t>04401957</t>
  </si>
  <si>
    <t>Pago YAPE de 30076</t>
  </si>
  <si>
    <t>00061661</t>
  </si>
  <si>
    <t>Pago YAPE de 19179</t>
  </si>
  <si>
    <t>01537834</t>
  </si>
  <si>
    <t>09106615</t>
  </si>
  <si>
    <t>01003709</t>
  </si>
  <si>
    <t>01914853</t>
  </si>
  <si>
    <t>00983890</t>
  </si>
  <si>
    <t>14/04/2026</t>
  </si>
  <si>
    <t>05579126</t>
  </si>
  <si>
    <t>07197023</t>
  </si>
  <si>
    <t>08227324</t>
  </si>
  <si>
    <t>06763770</t>
  </si>
  <si>
    <t>04466951</t>
  </si>
  <si>
    <t>07012169</t>
  </si>
  <si>
    <t>02820277</t>
  </si>
  <si>
    <t>03989104</t>
  </si>
  <si>
    <t>01877751</t>
  </si>
  <si>
    <t>09943296</t>
  </si>
  <si>
    <t>09688834</t>
  </si>
  <si>
    <t>01436150</t>
  </si>
  <si>
    <t>01429614</t>
  </si>
  <si>
    <t>06978225</t>
  </si>
  <si>
    <t>08414979</t>
  </si>
  <si>
    <t>07239578</t>
  </si>
  <si>
    <t>08206984</t>
  </si>
  <si>
    <t>00480446</t>
  </si>
  <si>
    <t xml:space="preserve">ARMANDO CASAS </t>
  </si>
  <si>
    <t>P001-41481</t>
  </si>
  <si>
    <t xml:space="preserve">RONALD CASTRO </t>
  </si>
  <si>
    <t>P001-41486</t>
  </si>
  <si>
    <t>P001-41492</t>
  </si>
  <si>
    <t>P001-41499</t>
  </si>
  <si>
    <t xml:space="preserve">JESUS RAMIRES </t>
  </si>
  <si>
    <t xml:space="preserve">KT-A CONSTRUCTORA S.A.C.  </t>
  </si>
  <si>
    <t xml:space="preserve">DEPOSITO </t>
  </si>
  <si>
    <t>P001-41512</t>
  </si>
  <si>
    <t xml:space="preserve">WALTER - CASA BLANCA     </t>
  </si>
  <si>
    <t xml:space="preserve">SEMPERTEGUI BARAHONA </t>
  </si>
  <si>
    <t>P001-41516</t>
  </si>
  <si>
    <t>REAL ARQUITECTURA</t>
  </si>
  <si>
    <t xml:space="preserve">DEPOSITO DAVID GUEVARA </t>
  </si>
  <si>
    <t xml:space="preserve">ITF </t>
  </si>
  <si>
    <t xml:space="preserve">KT-A CONSTRUCTORA S.A.C. </t>
  </si>
  <si>
    <t>06090665</t>
  </si>
  <si>
    <t>01323345</t>
  </si>
  <si>
    <t>04369128</t>
  </si>
  <si>
    <t>04358207</t>
  </si>
  <si>
    <t>03213972</t>
  </si>
  <si>
    <t>04195238</t>
  </si>
  <si>
    <t>P001-41476</t>
  </si>
  <si>
    <t>P001-41477</t>
  </si>
  <si>
    <t xml:space="preserve">INMOBILIARIA Y CONSTRUCTORA EL MEIJO S.A.C. </t>
  </si>
  <si>
    <t>CHUQUIPOMA CHINCHAY KLEVER</t>
  </si>
  <si>
    <t>JHON MECHAN</t>
  </si>
  <si>
    <t>P001-41519</t>
  </si>
  <si>
    <t>P001-41520</t>
  </si>
  <si>
    <t>P001-41521</t>
  </si>
  <si>
    <t>P001-41522</t>
  </si>
  <si>
    <t>P001-41525</t>
  </si>
  <si>
    <t>P001-41530</t>
  </si>
  <si>
    <t>CIPRIANI TELLO SOCORRO ISABEL</t>
  </si>
  <si>
    <t>P001-41534</t>
  </si>
  <si>
    <t>P001-41535</t>
  </si>
  <si>
    <t>P001-41538</t>
  </si>
  <si>
    <t>P001-41540</t>
  </si>
  <si>
    <t xml:space="preserve">VIZCONDE </t>
  </si>
  <si>
    <t>FRANKLIN HERNANDEZ</t>
  </si>
  <si>
    <t>WALTER  CASA BLANCA</t>
  </si>
  <si>
    <t>P002-31272</t>
  </si>
  <si>
    <t>P002-31275</t>
  </si>
  <si>
    <t>P002-31278</t>
  </si>
  <si>
    <t>BLANCA TELLO TELLO</t>
  </si>
  <si>
    <t xml:space="preserve">KT-A CONSTRUCTORA S.A.C.   </t>
  </si>
  <si>
    <t xml:space="preserve">LOTE PROPIO S.A.C              </t>
  </si>
  <si>
    <t>VASQUEZ ROJAS 11-04</t>
  </si>
  <si>
    <t xml:space="preserve">DEPOSITO EBERSON </t>
  </si>
  <si>
    <t>15/04/2026</t>
  </si>
  <si>
    <t>03011104</t>
  </si>
  <si>
    <t>ABON PLIN-ANDY PAUL FL</t>
  </si>
  <si>
    <t>00222994</t>
  </si>
  <si>
    <t>06037295</t>
  </si>
  <si>
    <t>00716650</t>
  </si>
  <si>
    <t>ABON PLIN-GILMER ROJAS</t>
  </si>
  <si>
    <t>00165535</t>
  </si>
  <si>
    <t>00144659</t>
  </si>
  <si>
    <t>08684840</t>
  </si>
  <si>
    <t>07191505</t>
  </si>
  <si>
    <t>02391350</t>
  </si>
  <si>
    <t>02364755</t>
  </si>
  <si>
    <t>07052345</t>
  </si>
  <si>
    <t>01121605</t>
  </si>
  <si>
    <t>Pago YAPE de 57075</t>
  </si>
  <si>
    <t>00558764</t>
  </si>
  <si>
    <t>00905905</t>
  </si>
  <si>
    <t>00545371</t>
  </si>
  <si>
    <t>01641586</t>
  </si>
  <si>
    <t>09689904</t>
  </si>
  <si>
    <t>04280493</t>
  </si>
  <si>
    <t>00496820</t>
  </si>
  <si>
    <t>06038244</t>
  </si>
  <si>
    <t>07352423</t>
  </si>
  <si>
    <t>02948617</t>
  </si>
  <si>
    <t>04271961</t>
  </si>
  <si>
    <t>00592736</t>
  </si>
  <si>
    <t>02392715</t>
  </si>
  <si>
    <t>01091387</t>
  </si>
  <si>
    <t>05017002</t>
  </si>
  <si>
    <t>04775559</t>
  </si>
  <si>
    <t>01407282</t>
  </si>
  <si>
    <t>P001-41549</t>
  </si>
  <si>
    <t xml:space="preserve">MILEYDIS </t>
  </si>
  <si>
    <t>P001-41559</t>
  </si>
  <si>
    <t xml:space="preserve">A CUENTA DE CEMENTO HOLCIM </t>
  </si>
  <si>
    <t xml:space="preserve">ANDY </t>
  </si>
  <si>
    <t>P001-41564</t>
  </si>
  <si>
    <t>P001-41565</t>
  </si>
  <si>
    <t>P001-41566</t>
  </si>
  <si>
    <t xml:space="preserve">MEDINA </t>
  </si>
  <si>
    <t>P001-41569</t>
  </si>
  <si>
    <t xml:space="preserve">LILIANA </t>
  </si>
  <si>
    <t xml:space="preserve">SEGUNDO GUEVARA </t>
  </si>
  <si>
    <t xml:space="preserve">HILARIO CUBAS </t>
  </si>
  <si>
    <t>P002-31298</t>
  </si>
  <si>
    <t>P002-31301</t>
  </si>
  <si>
    <t xml:space="preserve">ALDUBAR </t>
  </si>
  <si>
    <t>P001-41555</t>
  </si>
  <si>
    <t>P001-41556</t>
  </si>
  <si>
    <t>P001-41560</t>
  </si>
  <si>
    <t>CHUQUIPOMA CHINCHAY</t>
  </si>
  <si>
    <t xml:space="preserve">RETIRO PARA PAGO A PROVEEDORES </t>
  </si>
  <si>
    <t>COMPRA DE 330 LADRLLO KK PEQ</t>
  </si>
  <si>
    <t>16/04/2026</t>
  </si>
  <si>
    <t>03841844</t>
  </si>
  <si>
    <t>06042861</t>
  </si>
  <si>
    <t>03338240</t>
  </si>
  <si>
    <t>Pago YAPE a 305047</t>
  </si>
  <si>
    <t>00942672</t>
  </si>
  <si>
    <t>02951918</t>
  </si>
  <si>
    <t>02947677</t>
  </si>
  <si>
    <t>02550795</t>
  </si>
  <si>
    <t>01491319</t>
  </si>
  <si>
    <t>00023365</t>
  </si>
  <si>
    <t>06538818</t>
  </si>
  <si>
    <t>00775018</t>
  </si>
  <si>
    <t>01016280</t>
  </si>
  <si>
    <t>00565785</t>
  </si>
  <si>
    <t>ABON PLIN-JOSE LUIS MI</t>
  </si>
  <si>
    <t>00960982</t>
  </si>
  <si>
    <t>00190109</t>
  </si>
  <si>
    <t>02049536</t>
  </si>
  <si>
    <t>06091527</t>
  </si>
  <si>
    <t>05235405</t>
  </si>
  <si>
    <t>04388342</t>
  </si>
  <si>
    <t>03483377</t>
  </si>
  <si>
    <t>04362559</t>
  </si>
  <si>
    <t>05204519</t>
  </si>
  <si>
    <t>01134341</t>
  </si>
  <si>
    <t>03165711</t>
  </si>
  <si>
    <t xml:space="preserve">JUAN MANAYAY </t>
  </si>
  <si>
    <t>P001-41583</t>
  </si>
  <si>
    <t xml:space="preserve">JHON SANCHEZ - LAMBAYEQUE </t>
  </si>
  <si>
    <t xml:space="preserve">ARREGLAR MOTO VIEJA </t>
  </si>
  <si>
    <t>P001-41579</t>
  </si>
  <si>
    <t xml:space="preserve">COMPRA 2000 EST. SIPAN /OBRA </t>
  </si>
  <si>
    <t>P001-41608</t>
  </si>
  <si>
    <t xml:space="preserve">BVVA </t>
  </si>
  <si>
    <t>P001-41613</t>
  </si>
  <si>
    <t>P002-31318</t>
  </si>
  <si>
    <t xml:space="preserve">DILMER RODAS  </t>
  </si>
  <si>
    <t>HUAMAN PURIHUAMAN NELSON</t>
  </si>
  <si>
    <t>P001-41597</t>
  </si>
  <si>
    <t xml:space="preserve">YAPE QUE HIZO JEINER </t>
  </si>
  <si>
    <t xml:space="preserve">DAVID BOLOGNESI </t>
  </si>
  <si>
    <t>17/04/2026</t>
  </si>
  <si>
    <t>02165026</t>
  </si>
  <si>
    <t>03215473</t>
  </si>
  <si>
    <t>05922432</t>
  </si>
  <si>
    <t>06069670</t>
  </si>
  <si>
    <t>07393147</t>
  </si>
  <si>
    <t>03303229</t>
  </si>
  <si>
    <t>03266903</t>
  </si>
  <si>
    <t>03274721</t>
  </si>
  <si>
    <t>Pago YAPE de 31807</t>
  </si>
  <si>
    <t>00947792</t>
  </si>
  <si>
    <t>02866730</t>
  </si>
  <si>
    <t>02851137</t>
  </si>
  <si>
    <t>Pago YAPE a 305744</t>
  </si>
  <si>
    <t>03516835</t>
  </si>
  <si>
    <t>03254379</t>
  </si>
  <si>
    <t>DEPOSITO AG 996277</t>
  </si>
  <si>
    <t>00067006</t>
  </si>
  <si>
    <t>DEPOSITO AG 988372</t>
  </si>
  <si>
    <t>00018445</t>
  </si>
  <si>
    <t>00018439</t>
  </si>
  <si>
    <t>00018433</t>
  </si>
  <si>
    <t>00018428</t>
  </si>
  <si>
    <t>00640595</t>
  </si>
  <si>
    <t>05710978</t>
  </si>
  <si>
    <t>01062133</t>
  </si>
  <si>
    <t>05227030</t>
  </si>
  <si>
    <t>04124337</t>
  </si>
  <si>
    <t>03649836</t>
  </si>
  <si>
    <t>02576746</t>
  </si>
  <si>
    <t>00060795</t>
  </si>
  <si>
    <t>00823478</t>
  </si>
  <si>
    <t xml:space="preserve">RIMARACHIN LA CRIA </t>
  </si>
  <si>
    <t>P001-41631</t>
  </si>
  <si>
    <t>COMPRA DE 4 TUBOS 3/4 *16</t>
  </si>
  <si>
    <t xml:space="preserve">JH </t>
  </si>
  <si>
    <t>COMPRA DE CALAMINA ALUZINC</t>
  </si>
  <si>
    <t>P001-41636</t>
  </si>
  <si>
    <t xml:space="preserve">CASA SIPAN </t>
  </si>
  <si>
    <t xml:space="preserve">ROMERO </t>
  </si>
  <si>
    <t>P002-31343</t>
  </si>
  <si>
    <t>P002-31332</t>
  </si>
  <si>
    <t>P002-31324</t>
  </si>
  <si>
    <t>RETIRO EN VENTANILLA</t>
  </si>
  <si>
    <t xml:space="preserve">PEDRO MECANICO </t>
  </si>
  <si>
    <t xml:space="preserve">SANCHEZ VASQUEZ ELVA </t>
  </si>
  <si>
    <t>18/04/2026</t>
  </si>
  <si>
    <t>03372656</t>
  </si>
  <si>
    <t>02538159</t>
  </si>
  <si>
    <t>00948991</t>
  </si>
  <si>
    <t>05102634</t>
  </si>
  <si>
    <t>01368208</t>
  </si>
  <si>
    <t>01905502</t>
  </si>
  <si>
    <t>03229027</t>
  </si>
  <si>
    <t>ABON PLIN-SEGUNDO CLOD</t>
  </si>
  <si>
    <t>00916013</t>
  </si>
  <si>
    <t>01935390</t>
  </si>
  <si>
    <t>03114573</t>
  </si>
  <si>
    <t>02827074</t>
  </si>
  <si>
    <t>02108670</t>
  </si>
  <si>
    <t>02112023</t>
  </si>
  <si>
    <t>Pago YAPE de 39593</t>
  </si>
  <si>
    <t>02427929</t>
  </si>
  <si>
    <t>01332307</t>
  </si>
  <si>
    <t>ABON PLIN-Elid David O</t>
  </si>
  <si>
    <t>00587860</t>
  </si>
  <si>
    <t>00571873</t>
  </si>
  <si>
    <t>00570430</t>
  </si>
  <si>
    <t>01210084</t>
  </si>
  <si>
    <t>00808203</t>
  </si>
  <si>
    <t>P001-42647</t>
  </si>
  <si>
    <t>P001-41648</t>
  </si>
  <si>
    <t>P001-41655</t>
  </si>
  <si>
    <t>P001-41656</t>
  </si>
  <si>
    <t>P001-41657</t>
  </si>
  <si>
    <t>P001-41661</t>
  </si>
  <si>
    <t xml:space="preserve">AGIP </t>
  </si>
  <si>
    <t>P002-31356</t>
  </si>
  <si>
    <t xml:space="preserve">JORGE QUEREVALU </t>
  </si>
  <si>
    <t xml:space="preserve">HUBERT COLUNCHE </t>
  </si>
  <si>
    <t>P002-31358</t>
  </si>
  <si>
    <t>02761970</t>
  </si>
  <si>
    <t>05241412</t>
  </si>
  <si>
    <t>03936161</t>
  </si>
  <si>
    <t>03829225</t>
  </si>
  <si>
    <t>05231409</t>
  </si>
  <si>
    <t>05155130</t>
  </si>
  <si>
    <t>03693833</t>
  </si>
  <si>
    <t>05149235</t>
  </si>
  <si>
    <t xml:space="preserve">QUIROZ </t>
  </si>
  <si>
    <t xml:space="preserve">ELVA MARINA </t>
  </si>
  <si>
    <t>P001-41669</t>
  </si>
  <si>
    <t xml:space="preserve">LLUEN SECLEN A CUENTA </t>
  </si>
  <si>
    <t xml:space="preserve">KLEVER </t>
  </si>
  <si>
    <t>P001-41652</t>
  </si>
  <si>
    <t xml:space="preserve">VASQUEZ ROJAS HEBERT </t>
  </si>
  <si>
    <t>P001-41659</t>
  </si>
  <si>
    <t>Pago YAPE de 31876</t>
  </si>
  <si>
    <t>05817567</t>
  </si>
  <si>
    <t>04587039</t>
  </si>
  <si>
    <t>04579381</t>
  </si>
  <si>
    <t>P001-41677</t>
  </si>
  <si>
    <t>20/04/2026</t>
  </si>
  <si>
    <t>01843216</t>
  </si>
  <si>
    <t>02114816</t>
  </si>
  <si>
    <t>00240343</t>
  </si>
  <si>
    <t>01534221</t>
  </si>
  <si>
    <t>03515589</t>
  </si>
  <si>
    <t>TRANSF.FIN.SANTANDER C</t>
  </si>
  <si>
    <t>02840970</t>
  </si>
  <si>
    <t>04454675</t>
  </si>
  <si>
    <t>04340804</t>
  </si>
  <si>
    <t>01460073</t>
  </si>
  <si>
    <t>00203791</t>
  </si>
  <si>
    <t>00529815</t>
  </si>
  <si>
    <t>02224731</t>
  </si>
  <si>
    <t>ABON PLIN-MARIA DEL CA</t>
  </si>
  <si>
    <t>00153688</t>
  </si>
  <si>
    <t>00152542</t>
  </si>
  <si>
    <t>00676786</t>
  </si>
  <si>
    <t>00685674</t>
  </si>
  <si>
    <t>02222261</t>
  </si>
  <si>
    <t>02018562</t>
  </si>
  <si>
    <t>00101766</t>
  </si>
  <si>
    <t>00807892</t>
  </si>
  <si>
    <t>06064986</t>
  </si>
  <si>
    <t>00108068</t>
  </si>
  <si>
    <t>02928509</t>
  </si>
  <si>
    <t>00337547</t>
  </si>
  <si>
    <t>ENTR.EFEC. 0702246</t>
  </si>
  <si>
    <t>00702246</t>
  </si>
  <si>
    <t>01550115</t>
  </si>
  <si>
    <t>02843939</t>
  </si>
  <si>
    <t>04025420</t>
  </si>
  <si>
    <t>P001-41680</t>
  </si>
  <si>
    <t>P001-41688</t>
  </si>
  <si>
    <t>P001-41690</t>
  </si>
  <si>
    <t>P001-41694</t>
  </si>
  <si>
    <t>P001-41699</t>
  </si>
  <si>
    <t>P001-41705</t>
  </si>
  <si>
    <t>P001-41707</t>
  </si>
  <si>
    <t>P001-41709</t>
  </si>
  <si>
    <t xml:space="preserve">DILMER RODAS </t>
  </si>
  <si>
    <t>PAGO DE FIERRO CORPORACION HERRERA</t>
  </si>
  <si>
    <t xml:space="preserve">DAVILA CAMPOS MARIA </t>
  </si>
  <si>
    <t>P002-31404</t>
  </si>
  <si>
    <t>P002-31406</t>
  </si>
  <si>
    <t>P002-31407</t>
  </si>
  <si>
    <t xml:space="preserve">BLANCA TELLO TELLO </t>
  </si>
  <si>
    <t>HERNANDEZ CRUZ CRISTIAN</t>
  </si>
  <si>
    <t xml:space="preserve">MANAYAY LUCERO JAVIER  </t>
  </si>
  <si>
    <t>REAL ARQUITECTURA S.A.C.</t>
  </si>
  <si>
    <t>02155154</t>
  </si>
  <si>
    <t>04444636</t>
  </si>
  <si>
    <t>00777970</t>
  </si>
  <si>
    <t xml:space="preserve">COMPRA DE 10 CUBOS ARENILLA </t>
  </si>
  <si>
    <t>BARBOZA CUBAS JOHN</t>
  </si>
  <si>
    <t>P001-41721</t>
  </si>
  <si>
    <t>P001-41717</t>
  </si>
  <si>
    <t>06107558</t>
  </si>
  <si>
    <t>Pago YAPE a 305007</t>
  </si>
  <si>
    <t>02882662</t>
  </si>
  <si>
    <t xml:space="preserve">VUELTO - ALARCON LINARES MARINO    </t>
  </si>
  <si>
    <t xml:space="preserve">DEV. DEPOSITO ALDUBAR </t>
  </si>
  <si>
    <t xml:space="preserve">ARREGLAR JBC JULIAN </t>
  </si>
  <si>
    <t>21/04/2026</t>
  </si>
  <si>
    <t>ABON PLIN-OSCAR ALBERT</t>
  </si>
  <si>
    <t>00851716</t>
  </si>
  <si>
    <t>00848913</t>
  </si>
  <si>
    <t>00324556</t>
  </si>
  <si>
    <t>00847151</t>
  </si>
  <si>
    <t>04134912</t>
  </si>
  <si>
    <t>01556156</t>
  </si>
  <si>
    <t>01558428</t>
  </si>
  <si>
    <t>02834917</t>
  </si>
  <si>
    <t>01263880</t>
  </si>
  <si>
    <t>00517326</t>
  </si>
  <si>
    <t>00708148</t>
  </si>
  <si>
    <t>00917011</t>
  </si>
  <si>
    <t>04526785</t>
  </si>
  <si>
    <t>02006788</t>
  </si>
  <si>
    <t>03629932</t>
  </si>
  <si>
    <t>04923234</t>
  </si>
  <si>
    <t>00888891</t>
  </si>
  <si>
    <t>00689753</t>
  </si>
  <si>
    <t>02933667</t>
  </si>
  <si>
    <t>04632869</t>
  </si>
  <si>
    <t>01163995</t>
  </si>
  <si>
    <t>01155833</t>
  </si>
  <si>
    <t>04177284</t>
  </si>
  <si>
    <t>ARDI020600134648</t>
  </si>
  <si>
    <t>06060948</t>
  </si>
  <si>
    <t>06060911</t>
  </si>
  <si>
    <t>03350198</t>
  </si>
  <si>
    <t>04575646</t>
  </si>
  <si>
    <t>02118424</t>
  </si>
  <si>
    <t>00318702</t>
  </si>
  <si>
    <t>ABON PLIN-LLERI MELEND</t>
  </si>
  <si>
    <t>00936225</t>
  </si>
  <si>
    <t>00967928</t>
  </si>
  <si>
    <t>04462343</t>
  </si>
  <si>
    <t>04941081</t>
  </si>
  <si>
    <t xml:space="preserve">DIAZ VILLEGAS </t>
  </si>
  <si>
    <t>P001-41736</t>
  </si>
  <si>
    <t>P001-41740</t>
  </si>
  <si>
    <t>P001-41742</t>
  </si>
  <si>
    <t>P001-41745</t>
  </si>
  <si>
    <t xml:space="preserve">VIGA EN H / JORDIN HERRERA </t>
  </si>
  <si>
    <t xml:space="preserve">PAGO ARDILES / PRODUCTOS DE FERRETERIA </t>
  </si>
  <si>
    <t>P002-31419</t>
  </si>
  <si>
    <t>YDROGO GALVEZ</t>
  </si>
  <si>
    <t xml:space="preserve">ARCE PALOMINO </t>
  </si>
  <si>
    <t xml:space="preserve">OSCAR ALBERTO </t>
  </si>
  <si>
    <t xml:space="preserve">GUIAME SEÑOR CAUTIVO </t>
  </si>
  <si>
    <t xml:space="preserve">CHUQUIPOMA </t>
  </si>
  <si>
    <t>P002-31435</t>
  </si>
  <si>
    <t>P002-31441</t>
  </si>
  <si>
    <t>P002-31445</t>
  </si>
  <si>
    <t xml:space="preserve">CLIENTE LA CALERA/SE DEVOLVIO EFECTIVO </t>
  </si>
  <si>
    <t>KT-A CONSTRUCTORA S.A.C</t>
  </si>
  <si>
    <t xml:space="preserve">WALTER TELLO       </t>
  </si>
  <si>
    <t>22/04/2026</t>
  </si>
  <si>
    <t>04758477</t>
  </si>
  <si>
    <t>04447787</t>
  </si>
  <si>
    <t>02073065</t>
  </si>
  <si>
    <t>00985772</t>
  </si>
  <si>
    <t>02371438</t>
  </si>
  <si>
    <t>06036197</t>
  </si>
  <si>
    <t>02740845</t>
  </si>
  <si>
    <t>01521679</t>
  </si>
  <si>
    <t>01229208</t>
  </si>
  <si>
    <t>04211256</t>
  </si>
  <si>
    <t>03212018</t>
  </si>
  <si>
    <t>01398556</t>
  </si>
  <si>
    <t>03442292</t>
  </si>
  <si>
    <t>01300103</t>
  </si>
  <si>
    <t>00265661</t>
  </si>
  <si>
    <t>04408637</t>
  </si>
  <si>
    <t>P001-41753</t>
  </si>
  <si>
    <t>P001-41755</t>
  </si>
  <si>
    <t xml:space="preserve">CARGUIO ZAMORA 8 M3  </t>
  </si>
  <si>
    <t xml:space="preserve">ZAMORA CIEZA </t>
  </si>
  <si>
    <t>P001-41762</t>
  </si>
  <si>
    <t xml:space="preserve">ORKO </t>
  </si>
  <si>
    <t>CLIENTE JORDIN</t>
  </si>
  <si>
    <t>P002-31451</t>
  </si>
  <si>
    <t xml:space="preserve">JORDIN / EMP. ACEROS LAMBAYEQUE </t>
  </si>
  <si>
    <t>FERROCONSTRUCTORA JH</t>
  </si>
  <si>
    <t>05083084</t>
  </si>
  <si>
    <t>04032842</t>
  </si>
  <si>
    <t>05800064</t>
  </si>
  <si>
    <t>03827391</t>
  </si>
  <si>
    <t>Pago YAPE a 305970</t>
  </si>
  <si>
    <t>09033226</t>
  </si>
  <si>
    <t>06073288</t>
  </si>
  <si>
    <t>00733588</t>
  </si>
  <si>
    <t>03767766</t>
  </si>
  <si>
    <t>06102139</t>
  </si>
  <si>
    <t>05443820</t>
  </si>
  <si>
    <t>05531892</t>
  </si>
  <si>
    <t>04192088</t>
  </si>
  <si>
    <t>P002-31467</t>
  </si>
  <si>
    <t xml:space="preserve">COMPRA DE 4 TNL FIERRO 1/2 CORPORACION H </t>
  </si>
  <si>
    <t>P001-42775</t>
  </si>
  <si>
    <t>P001-41777</t>
  </si>
  <si>
    <t xml:space="preserve">COMPRA DE 1 TNL FIERRO 3/8 CORPORACION HERRERA </t>
  </si>
  <si>
    <t>P002-31474</t>
  </si>
  <si>
    <t xml:space="preserve">COMPRA DE 10 ARENA / SR QUEVEDO </t>
  </si>
  <si>
    <t>06094927</t>
  </si>
  <si>
    <t>04968768</t>
  </si>
  <si>
    <t xml:space="preserve">JORDIN / EMP. ACEROS LAMBAYEQUE /DEVOLVIO JORDIN </t>
  </si>
  <si>
    <t xml:space="preserve">JEINER DEPOSITO VUELTO </t>
  </si>
  <si>
    <t>23/04/2026</t>
  </si>
  <si>
    <t>Yape Diaz Mon</t>
  </si>
  <si>
    <t>05602907</t>
  </si>
  <si>
    <t>06030816</t>
  </si>
  <si>
    <t>01836162</t>
  </si>
  <si>
    <t>04623685</t>
  </si>
  <si>
    <t>02936292</t>
  </si>
  <si>
    <t>02237936</t>
  </si>
  <si>
    <t>04526446</t>
  </si>
  <si>
    <t>04917810</t>
  </si>
  <si>
    <t>00901591</t>
  </si>
  <si>
    <t>03725119</t>
  </si>
  <si>
    <t>03820123</t>
  </si>
  <si>
    <t>Yape Jeiner Her</t>
  </si>
  <si>
    <t>04044875</t>
  </si>
  <si>
    <t>01411738</t>
  </si>
  <si>
    <t>03719314</t>
  </si>
  <si>
    <t>04312154</t>
  </si>
  <si>
    <t>04907970</t>
  </si>
  <si>
    <t>03310519</t>
  </si>
  <si>
    <t>03088718</t>
  </si>
  <si>
    <t>04386606</t>
  </si>
  <si>
    <t>02396068</t>
  </si>
  <si>
    <t>Yape Santiago Del</t>
  </si>
  <si>
    <t>00680365</t>
  </si>
  <si>
    <t>05404237</t>
  </si>
  <si>
    <t>03629605</t>
  </si>
  <si>
    <t>03606378</t>
  </si>
  <si>
    <t>02172940</t>
  </si>
  <si>
    <t>03203947</t>
  </si>
  <si>
    <t>03877253</t>
  </si>
  <si>
    <t>03045665</t>
  </si>
  <si>
    <t>02520855</t>
  </si>
  <si>
    <t>01818290</t>
  </si>
  <si>
    <t>P001-41786</t>
  </si>
  <si>
    <t>P001-41787</t>
  </si>
  <si>
    <t>CARLOS SILVA 21/04</t>
  </si>
  <si>
    <t xml:space="preserve">GOLDEN SUMMIT E.I.R.L.             </t>
  </si>
  <si>
    <t xml:space="preserve">VUELTO DIAZ MONDRAGON </t>
  </si>
  <si>
    <t xml:space="preserve">JHAIR PADILLA </t>
  </si>
  <si>
    <t>VENTA FACTURA EBERSON 2.5</t>
  </si>
  <si>
    <t xml:space="preserve">LUCELINA </t>
  </si>
  <si>
    <t>EBERSON</t>
  </si>
  <si>
    <t xml:space="preserve">SAUL POLLO/ ARREGLO CARRO ANGEL </t>
  </si>
  <si>
    <t xml:space="preserve">MAKING </t>
  </si>
  <si>
    <t xml:space="preserve">RAMIREZ </t>
  </si>
  <si>
    <t xml:space="preserve">COMPRA DE ACEITE ANGEL /JH </t>
  </si>
  <si>
    <t xml:space="preserve">EMPRESA DE TRANSPORTES CAUTIVO </t>
  </si>
  <si>
    <t>P002-31477</t>
  </si>
  <si>
    <t>P002-31478</t>
  </si>
  <si>
    <t xml:space="preserve">BRAVO </t>
  </si>
  <si>
    <t>P002-31481</t>
  </si>
  <si>
    <t>P002-31487</t>
  </si>
  <si>
    <t xml:space="preserve">MAESTRO MARCOS </t>
  </si>
  <si>
    <t xml:space="preserve">3 KG CLAVO 2.5 JH </t>
  </si>
  <si>
    <t xml:space="preserve">DIAZ MONDRAGON </t>
  </si>
  <si>
    <t xml:space="preserve">RETIRO DE CUENTA / JORDIN PAGO MARVID  </t>
  </si>
  <si>
    <t>24/04/2026</t>
  </si>
  <si>
    <t>ABON PLIN-WILMER ANGEL</t>
  </si>
  <si>
    <t>00992035</t>
  </si>
  <si>
    <t>01040679</t>
  </si>
  <si>
    <t>03145697</t>
  </si>
  <si>
    <t>01798666</t>
  </si>
  <si>
    <t>01415920</t>
  </si>
  <si>
    <t>Yape Martha Rui</t>
  </si>
  <si>
    <t>00840038</t>
  </si>
  <si>
    <t>Yape Jose Bar</t>
  </si>
  <si>
    <t>02748821</t>
  </si>
  <si>
    <t>02132766</t>
  </si>
  <si>
    <t>02872661</t>
  </si>
  <si>
    <t>02653412</t>
  </si>
  <si>
    <t>02122655</t>
  </si>
  <si>
    <t>02929317</t>
  </si>
  <si>
    <t>Yape Maria Sal</t>
  </si>
  <si>
    <t>06343458</t>
  </si>
  <si>
    <t>03124764</t>
  </si>
  <si>
    <t>03124664</t>
  </si>
  <si>
    <t>03213991</t>
  </si>
  <si>
    <t>02116278</t>
  </si>
  <si>
    <t>02200835</t>
  </si>
  <si>
    <t>04307363</t>
  </si>
  <si>
    <t>01406830</t>
  </si>
  <si>
    <t xml:space="preserve">D MEJIA </t>
  </si>
  <si>
    <t>P001-41799</t>
  </si>
  <si>
    <t xml:space="preserve">VALENTIN </t>
  </si>
  <si>
    <t>P001-41805</t>
  </si>
  <si>
    <t xml:space="preserve">VUELTO MARIA SALAZAR PEÑA </t>
  </si>
  <si>
    <t>P001-41806</t>
  </si>
  <si>
    <t xml:space="preserve">WILSON QUEVEDO </t>
  </si>
  <si>
    <t>P001-41810</t>
  </si>
  <si>
    <t xml:space="preserve">PARCHE DE LLANTA FORLAND </t>
  </si>
  <si>
    <t>P001-41811</t>
  </si>
  <si>
    <t xml:space="preserve">ISABEL CIPRIANI </t>
  </si>
  <si>
    <t>P002-31513</t>
  </si>
  <si>
    <t>P002-31507</t>
  </si>
  <si>
    <t xml:space="preserve">SIXTO BARBOZA </t>
  </si>
  <si>
    <t>04560368</t>
  </si>
  <si>
    <t>05313607</t>
  </si>
  <si>
    <t>03933750</t>
  </si>
  <si>
    <t>03625567</t>
  </si>
  <si>
    <t>00758407</t>
  </si>
  <si>
    <t>03083709</t>
  </si>
  <si>
    <t>02935538</t>
  </si>
  <si>
    <t>04765879</t>
  </si>
  <si>
    <t>02592772</t>
  </si>
  <si>
    <t>DE CAMOXA SOCIEDAD COM</t>
  </si>
  <si>
    <t>02142057</t>
  </si>
  <si>
    <t>P001-41817</t>
  </si>
  <si>
    <t>SANCHEZ PAREDES</t>
  </si>
  <si>
    <t>P002-31516</t>
  </si>
  <si>
    <t xml:space="preserve">SEMPERTEGUI BARAHONA RONALD     </t>
  </si>
  <si>
    <t>CHAVEZ LOYAGA FERNANDO IVAN</t>
  </si>
  <si>
    <t xml:space="preserve">CAMOXA SOCIEDAD COMERCIAL </t>
  </si>
  <si>
    <t>HILDA / BRENIS</t>
  </si>
  <si>
    <t xml:space="preserve">PLATINADO COLUMNA TECLE / JORDIN </t>
  </si>
  <si>
    <t>25/04/2026</t>
  </si>
  <si>
    <t>00038008</t>
  </si>
  <si>
    <t>02030058</t>
  </si>
  <si>
    <t>04925176</t>
  </si>
  <si>
    <t>02172717</t>
  </si>
  <si>
    <t>01852216</t>
  </si>
  <si>
    <t>04922199</t>
  </si>
  <si>
    <t>Pago YAPE de 30516</t>
  </si>
  <si>
    <t>02740700</t>
  </si>
  <si>
    <t>00778666</t>
  </si>
  <si>
    <t>00011516</t>
  </si>
  <si>
    <t>02804613</t>
  </si>
  <si>
    <t>02009276</t>
  </si>
  <si>
    <t>00008362</t>
  </si>
  <si>
    <t>01505951</t>
  </si>
  <si>
    <t>00456179</t>
  </si>
  <si>
    <t>01409383</t>
  </si>
  <si>
    <t>04708540</t>
  </si>
  <si>
    <t>03037360</t>
  </si>
  <si>
    <t>02191328</t>
  </si>
  <si>
    <t>02167211</t>
  </si>
  <si>
    <t>05425712</t>
  </si>
  <si>
    <t>03949159</t>
  </si>
  <si>
    <t>00599703</t>
  </si>
  <si>
    <t>03896862</t>
  </si>
  <si>
    <t>03792678</t>
  </si>
  <si>
    <t>05144157</t>
  </si>
  <si>
    <t>01892033</t>
  </si>
  <si>
    <t>04814585</t>
  </si>
  <si>
    <t xml:space="preserve">DESCUENTO PRESTAMO </t>
  </si>
  <si>
    <t>P001-41826</t>
  </si>
  <si>
    <t>P001-41827</t>
  </si>
  <si>
    <t>P001-41831</t>
  </si>
  <si>
    <t>P001-41841</t>
  </si>
  <si>
    <t>P001-41842</t>
  </si>
  <si>
    <t xml:space="preserve">2 E </t>
  </si>
  <si>
    <t>COMPRA DE 6 FIERRO DE 3/8</t>
  </si>
  <si>
    <t xml:space="preserve">GARCIA CASTILLO MAXIMO </t>
  </si>
  <si>
    <t>P002-31533</t>
  </si>
  <si>
    <t>P002-31519</t>
  </si>
  <si>
    <t>P002-31523</t>
  </si>
  <si>
    <t>ALCIDIADES</t>
  </si>
  <si>
    <t xml:space="preserve">GLADYS </t>
  </si>
  <si>
    <t>P002-31540</t>
  </si>
  <si>
    <t xml:space="preserve">VEGA MENA MARIA JANET </t>
  </si>
  <si>
    <t>05843277</t>
  </si>
  <si>
    <t>Yape Karen Rui</t>
  </si>
  <si>
    <t>09359183</t>
  </si>
  <si>
    <t>Yape Lesly Jim</t>
  </si>
  <si>
    <t>06767599</t>
  </si>
  <si>
    <t>26/04/2026</t>
  </si>
  <si>
    <t>00953280</t>
  </si>
  <si>
    <t>03267956</t>
  </si>
  <si>
    <t>Pago YAPE de 30568</t>
  </si>
  <si>
    <t>01004763</t>
  </si>
  <si>
    <t>02017961</t>
  </si>
  <si>
    <t>CRUZ BOBADILLA ALEXANDER</t>
  </si>
  <si>
    <t xml:space="preserve">DEV. COMBUSTIBLE </t>
  </si>
  <si>
    <t>ITF</t>
  </si>
  <si>
    <t>27/04/2026</t>
  </si>
  <si>
    <t>02554600</t>
  </si>
  <si>
    <t>00086734</t>
  </si>
  <si>
    <t>ABON PLIN-SEGUNDO ANSE</t>
  </si>
  <si>
    <t>00820564</t>
  </si>
  <si>
    <t>04789236</t>
  </si>
  <si>
    <t>03032536</t>
  </si>
  <si>
    <t>02975507</t>
  </si>
  <si>
    <t>06054465</t>
  </si>
  <si>
    <t>00657567</t>
  </si>
  <si>
    <t>03716204</t>
  </si>
  <si>
    <t>00052541</t>
  </si>
  <si>
    <t>02618708</t>
  </si>
  <si>
    <t>01958925</t>
  </si>
  <si>
    <t>01956209</t>
  </si>
  <si>
    <t>02918686</t>
  </si>
  <si>
    <t>05011138</t>
  </si>
  <si>
    <t>P001-42884</t>
  </si>
  <si>
    <t>P001-41888</t>
  </si>
  <si>
    <t>P001-41895</t>
  </si>
  <si>
    <t xml:space="preserve">SALAZAR PISCOYA </t>
  </si>
  <si>
    <t xml:space="preserve">COMPRA 25 FIERRO 8MM MARVID </t>
  </si>
  <si>
    <t xml:space="preserve">COMPRA DE 1 SANITARIA DE 4 JH </t>
  </si>
  <si>
    <t>P001-41898</t>
  </si>
  <si>
    <t>P002-31548</t>
  </si>
  <si>
    <t>P002-31549</t>
  </si>
  <si>
    <t>P002-31552</t>
  </si>
  <si>
    <t>P002-31555</t>
  </si>
  <si>
    <t xml:space="preserve">YAJAHUANCA CORREA ALADINA         </t>
  </si>
  <si>
    <t>06100992</t>
  </si>
  <si>
    <t>Yape Cipriano Son</t>
  </si>
  <si>
    <t>03055089</t>
  </si>
  <si>
    <t>05098671</t>
  </si>
  <si>
    <t>00875803</t>
  </si>
  <si>
    <t>03851214</t>
  </si>
  <si>
    <t>05511116</t>
  </si>
  <si>
    <t>PAGO DE 7 TNL DE FIERRO ADJ - JORDIN</t>
  </si>
  <si>
    <t xml:space="preserve">DEV. YAPE SONAPO </t>
  </si>
  <si>
    <t xml:space="preserve">SONAPO </t>
  </si>
  <si>
    <t>P002-31558</t>
  </si>
  <si>
    <t>P001-41901</t>
  </si>
  <si>
    <t>28/04/2026</t>
  </si>
  <si>
    <t>00009556</t>
  </si>
  <si>
    <t>02924154</t>
  </si>
  <si>
    <t>03388039</t>
  </si>
  <si>
    <t>01155691</t>
  </si>
  <si>
    <t>03354256</t>
  </si>
  <si>
    <t>03354255</t>
  </si>
  <si>
    <t>00894187</t>
  </si>
  <si>
    <t>03272069</t>
  </si>
  <si>
    <t>04282530</t>
  </si>
  <si>
    <t>02288866</t>
  </si>
  <si>
    <t>01147649</t>
  </si>
  <si>
    <t>02150927</t>
  </si>
  <si>
    <t>02324844</t>
  </si>
  <si>
    <t>Yape Wilson Que</t>
  </si>
  <si>
    <t>09616472</t>
  </si>
  <si>
    <t xml:space="preserve">DESCUENTO DE LETRA BCP </t>
  </si>
  <si>
    <t xml:space="preserve">COMPRA DE 20 FIERRO 8MM MARVID </t>
  </si>
  <si>
    <t xml:space="preserve">DEVOLUCION DE YAPE WILSON QUEVEDO </t>
  </si>
  <si>
    <t xml:space="preserve">GOLDEN SUMMIT </t>
  </si>
  <si>
    <t>P001-41923</t>
  </si>
  <si>
    <t xml:space="preserve">WILDER HERRERA </t>
  </si>
  <si>
    <t>P002-31569</t>
  </si>
  <si>
    <t>P002-31572</t>
  </si>
  <si>
    <t>05470953</t>
  </si>
  <si>
    <t>02093851</t>
  </si>
  <si>
    <t>04295679</t>
  </si>
  <si>
    <t>04897338</t>
  </si>
  <si>
    <t>04667206</t>
  </si>
  <si>
    <t>02821347</t>
  </si>
  <si>
    <t>DEPOSITO EFECTIVO</t>
  </si>
  <si>
    <t>00007029</t>
  </si>
  <si>
    <t>01272417</t>
  </si>
  <si>
    <t>04864936</t>
  </si>
  <si>
    <t>01130342</t>
  </si>
  <si>
    <t xml:space="preserve">FLETE MONTERRICO ADELIO </t>
  </si>
  <si>
    <t xml:space="preserve">HUAMAN </t>
  </si>
  <si>
    <t>P002-31575</t>
  </si>
  <si>
    <t xml:space="preserve">BUENAÑO TAPIA MERY EMILIN </t>
  </si>
  <si>
    <t xml:space="preserve">RANCHO PANCHO/ POR ERROR  </t>
  </si>
  <si>
    <t>29/04/2026</t>
  </si>
  <si>
    <t>05409579</t>
  </si>
  <si>
    <t>00153355</t>
  </si>
  <si>
    <t>01935267</t>
  </si>
  <si>
    <t>02939140</t>
  </si>
  <si>
    <t>00135480</t>
  </si>
  <si>
    <t>01768053</t>
  </si>
  <si>
    <t>04768175</t>
  </si>
  <si>
    <t>02436302</t>
  </si>
  <si>
    <t>04416137</t>
  </si>
  <si>
    <t>04815572</t>
  </si>
  <si>
    <t>03524448</t>
  </si>
  <si>
    <t>03015811</t>
  </si>
  <si>
    <t>02318806</t>
  </si>
  <si>
    <t>00516269</t>
  </si>
  <si>
    <t>00592769</t>
  </si>
  <si>
    <t>00504193</t>
  </si>
  <si>
    <t>00494316</t>
  </si>
  <si>
    <t>02007075</t>
  </si>
  <si>
    <t>04309843</t>
  </si>
  <si>
    <t>Yape Luis Cam</t>
  </si>
  <si>
    <t>01716289</t>
  </si>
  <si>
    <t>03020456</t>
  </si>
  <si>
    <t>02634343</t>
  </si>
  <si>
    <t>05388443</t>
  </si>
  <si>
    <t>00075896</t>
  </si>
  <si>
    <t>04206972</t>
  </si>
  <si>
    <t>04209495</t>
  </si>
  <si>
    <t>04987273</t>
  </si>
  <si>
    <t>03599520</t>
  </si>
  <si>
    <t>04265749</t>
  </si>
  <si>
    <t>03739918</t>
  </si>
  <si>
    <t>04261548</t>
  </si>
  <si>
    <t>P001-41938</t>
  </si>
  <si>
    <t>P001-41940</t>
  </si>
  <si>
    <t>P001-41941</t>
  </si>
  <si>
    <t>P001-41936</t>
  </si>
  <si>
    <t>P001-41944</t>
  </si>
  <si>
    <t xml:space="preserve">ROBERTO RODRIGUEZ </t>
  </si>
  <si>
    <t xml:space="preserve">PERFORACIONES MEDINA </t>
  </si>
  <si>
    <t>P001-42947</t>
  </si>
  <si>
    <t>P001-41948</t>
  </si>
  <si>
    <t>P001-41950</t>
  </si>
  <si>
    <t>P001-41954</t>
  </si>
  <si>
    <t>P001-41959</t>
  </si>
  <si>
    <t>P001-41962</t>
  </si>
  <si>
    <t>P002-31602</t>
  </si>
  <si>
    <t>P002-31600</t>
  </si>
  <si>
    <t>P002-31598</t>
  </si>
  <si>
    <t>P002-31595</t>
  </si>
  <si>
    <t>P002-31594</t>
  </si>
  <si>
    <t>P002-31589</t>
  </si>
  <si>
    <t>P001-41970</t>
  </si>
  <si>
    <t>COMPRA DE 18 P CHANCADA 3/4</t>
  </si>
  <si>
    <t xml:space="preserve">KT-A CONSTRUCTORA S.A.C.     </t>
  </si>
  <si>
    <t xml:space="preserve">YAPE /VENTA KAREN </t>
  </si>
  <si>
    <t>Yape Jose Esp</t>
  </si>
  <si>
    <t>08130138</t>
  </si>
  <si>
    <t xml:space="preserve">TITO MECANICO </t>
  </si>
  <si>
    <t>30/04/2026</t>
  </si>
  <si>
    <t>02927246</t>
  </si>
  <si>
    <t>ABON PLIN-Juan Carlos</t>
  </si>
  <si>
    <t>00399397</t>
  </si>
  <si>
    <t>02575846</t>
  </si>
  <si>
    <t>02910062</t>
  </si>
  <si>
    <t>03027707</t>
  </si>
  <si>
    <t>Pago YAPE de 31801</t>
  </si>
  <si>
    <t>02625732</t>
  </si>
  <si>
    <t>01288362</t>
  </si>
  <si>
    <t>00696321</t>
  </si>
  <si>
    <t>00639496</t>
  </si>
  <si>
    <t>02178020</t>
  </si>
  <si>
    <t>00207601</t>
  </si>
  <si>
    <t>00532744</t>
  </si>
  <si>
    <t>03008726</t>
  </si>
  <si>
    <t>01442358</t>
  </si>
  <si>
    <t>05924623</t>
  </si>
  <si>
    <t>02731156</t>
  </si>
  <si>
    <t>02723580</t>
  </si>
  <si>
    <t>02716652</t>
  </si>
  <si>
    <t>05377858</t>
  </si>
  <si>
    <t>06154757</t>
  </si>
  <si>
    <t>06163584</t>
  </si>
  <si>
    <t>Yape Angel Cas</t>
  </si>
  <si>
    <t>04994545</t>
  </si>
  <si>
    <t>04303263</t>
  </si>
  <si>
    <t>ABON PLIN-Jorge Alexan</t>
  </si>
  <si>
    <t>00148650</t>
  </si>
  <si>
    <t>05906031</t>
  </si>
  <si>
    <t>04734973</t>
  </si>
  <si>
    <t>Yape Teofilo Bra</t>
  </si>
  <si>
    <t>00557956</t>
  </si>
  <si>
    <t>05312531</t>
  </si>
  <si>
    <t>P001-41974</t>
  </si>
  <si>
    <t>CARLOS SILVA</t>
  </si>
  <si>
    <t>P001-41977</t>
  </si>
  <si>
    <t>P001-41981</t>
  </si>
  <si>
    <t xml:space="preserve">PASTILLAS FUSO </t>
  </si>
  <si>
    <t>P001-41985</t>
  </si>
  <si>
    <t>P001-41987</t>
  </si>
  <si>
    <t xml:space="preserve">COMPRA DE 20 ARENA AMARILLA </t>
  </si>
  <si>
    <t>COMPRA DE 100 FIERRO 1/4</t>
  </si>
  <si>
    <t xml:space="preserve">MARIA GLADYS PEREZ VASQUEZ </t>
  </si>
  <si>
    <t>P001-41990</t>
  </si>
  <si>
    <t>P002-31612</t>
  </si>
  <si>
    <t>BBVA</t>
  </si>
  <si>
    <t>P002-31621</t>
  </si>
  <si>
    <t>P002-31625</t>
  </si>
  <si>
    <t xml:space="preserve">RETIRO EN VENTANILA </t>
  </si>
  <si>
    <t>DEVOLUCION EN DEPOSITO JORDIN</t>
  </si>
  <si>
    <t>06199830</t>
  </si>
  <si>
    <t>01/05/2026</t>
  </si>
  <si>
    <t>Yape Willian Cas</t>
  </si>
  <si>
    <t>01902104</t>
  </si>
  <si>
    <t>Yape Alexander Zam</t>
  </si>
  <si>
    <t>08250274</t>
  </si>
  <si>
    <t>Yape Christopher Obl</t>
  </si>
  <si>
    <t>02271086</t>
  </si>
  <si>
    <t>Yape Wueyner Leo</t>
  </si>
  <si>
    <t>07668074</t>
  </si>
  <si>
    <t>Yape Grossio Tel</t>
  </si>
  <si>
    <t>05430337</t>
  </si>
  <si>
    <t>00531566</t>
  </si>
  <si>
    <t xml:space="preserve">WEYNER LEON - </t>
  </si>
  <si>
    <t>P001-42000</t>
  </si>
  <si>
    <t>P001-42002</t>
  </si>
  <si>
    <t>P001-42004</t>
  </si>
  <si>
    <t xml:space="preserve">NUÑEZ TAVARA </t>
  </si>
  <si>
    <t>P002-31638</t>
  </si>
  <si>
    <t>00741487</t>
  </si>
  <si>
    <t>00739143</t>
  </si>
  <si>
    <t>03034234</t>
  </si>
  <si>
    <t>01998195</t>
  </si>
  <si>
    <t>02/05/2026</t>
  </si>
  <si>
    <t>Yape Eduar San</t>
  </si>
  <si>
    <t>05975214</t>
  </si>
  <si>
    <t>Yape Marco San</t>
  </si>
  <si>
    <t>03187420</t>
  </si>
  <si>
    <t>Yape CONSTRUCTORA FE</t>
  </si>
  <si>
    <t>05049081</t>
  </si>
  <si>
    <t>Yape Doheny Rom</t>
  </si>
  <si>
    <t>05409756</t>
  </si>
  <si>
    <t>YQ-IZI*GRIFO SANTA*0</t>
  </si>
  <si>
    <t>00370541</t>
  </si>
  <si>
    <t>00496411</t>
  </si>
  <si>
    <t>05089531</t>
  </si>
  <si>
    <t>Yape Miguel Ola</t>
  </si>
  <si>
    <t>03714185</t>
  </si>
  <si>
    <t>Yape Hernan Leo</t>
  </si>
  <si>
    <t>01721024</t>
  </si>
  <si>
    <t>04274612</t>
  </si>
  <si>
    <t>00529250</t>
  </si>
  <si>
    <t>07744124</t>
  </si>
  <si>
    <t>03720864</t>
  </si>
  <si>
    <t>Yape Edil Sal</t>
  </si>
  <si>
    <t>05993433</t>
  </si>
  <si>
    <t>Yape Jose Vil</t>
  </si>
  <si>
    <t>04446026</t>
  </si>
  <si>
    <t>06048090</t>
  </si>
  <si>
    <t>Yape Segundo Gar</t>
  </si>
  <si>
    <t>01084487</t>
  </si>
  <si>
    <t>Yape Juan Taf</t>
  </si>
  <si>
    <t>08772132</t>
  </si>
  <si>
    <t>Yape Nila Lla</t>
  </si>
  <si>
    <t>08260511</t>
  </si>
  <si>
    <t xml:space="preserve">COMBUSTIBLE HILUX - JORDIN HERRERA </t>
  </si>
  <si>
    <t>P001-42010</t>
  </si>
  <si>
    <t xml:space="preserve">COMPRA DE FIERRO 6MM </t>
  </si>
  <si>
    <t>P001-42014</t>
  </si>
  <si>
    <t>P001-42018</t>
  </si>
  <si>
    <t xml:space="preserve">GARCIA </t>
  </si>
  <si>
    <t xml:space="preserve">A CUENTA CORPORACION HERRERA </t>
  </si>
  <si>
    <t>P001-42034</t>
  </si>
  <si>
    <t>P001-42032</t>
  </si>
  <si>
    <t>ZAMORA CIEZA</t>
  </si>
  <si>
    <t>P001-42038</t>
  </si>
  <si>
    <t>P001-42040</t>
  </si>
  <si>
    <t>P001-42042</t>
  </si>
  <si>
    <t>HILDA</t>
  </si>
  <si>
    <t>P002-31649</t>
  </si>
  <si>
    <t>P002-31652</t>
  </si>
  <si>
    <t>KT-A CONSTRUCTORA S.A.C.</t>
  </si>
  <si>
    <t>01989951</t>
  </si>
  <si>
    <t>03/05/2026</t>
  </si>
  <si>
    <t>Yape Gildo Her</t>
  </si>
  <si>
    <t>06386797</t>
  </si>
  <si>
    <t>Yape Jose Car</t>
  </si>
  <si>
    <t>07539600</t>
  </si>
  <si>
    <t>Yape Ana Cal</t>
  </si>
  <si>
    <t>07418879</t>
  </si>
  <si>
    <t>08103529</t>
  </si>
  <si>
    <t>Yape Antero Vil</t>
  </si>
  <si>
    <t>04273793</t>
  </si>
  <si>
    <t>Yape Lorena Dia</t>
  </si>
  <si>
    <t>05640991</t>
  </si>
  <si>
    <t>ABON PLIN-PILAR ESMERA</t>
  </si>
  <si>
    <t>00537136</t>
  </si>
  <si>
    <t>00142247</t>
  </si>
  <si>
    <t>00141498</t>
  </si>
  <si>
    <t>00959247</t>
  </si>
  <si>
    <t>Yape Deivi Sua</t>
  </si>
  <si>
    <t>04309028</t>
  </si>
  <si>
    <t>00940589</t>
  </si>
  <si>
    <t>Yape Crispulo Req</t>
  </si>
  <si>
    <t>09048084</t>
  </si>
  <si>
    <t xml:space="preserve">PILAR ESMERALDA </t>
  </si>
  <si>
    <t>P002-31700</t>
  </si>
  <si>
    <t>P002-31686</t>
  </si>
  <si>
    <t>P002-31684</t>
  </si>
  <si>
    <t>P002-31683</t>
  </si>
  <si>
    <t>P002-31678</t>
  </si>
  <si>
    <t>P002-31677</t>
  </si>
  <si>
    <t>P002-31672</t>
  </si>
  <si>
    <t xml:space="preserve">TORRES FLORES </t>
  </si>
  <si>
    <t>P002-31667</t>
  </si>
  <si>
    <t>04/05/2026</t>
  </si>
  <si>
    <t>08844394</t>
  </si>
  <si>
    <t>00112694</t>
  </si>
  <si>
    <t>00404388</t>
  </si>
  <si>
    <t>ABON PLIN-JUAN PAREDES</t>
  </si>
  <si>
    <t>00394617</t>
  </si>
  <si>
    <t>Yape Nelly Gil</t>
  </si>
  <si>
    <t>04005173</t>
  </si>
  <si>
    <t>Yape Santos Req</t>
  </si>
  <si>
    <t>01709325</t>
  </si>
  <si>
    <t>Yape Imer Cha</t>
  </si>
  <si>
    <t>01441465</t>
  </si>
  <si>
    <t>Yape Manuel San</t>
  </si>
  <si>
    <t>09779993</t>
  </si>
  <si>
    <t>01924180</t>
  </si>
  <si>
    <t>07163666</t>
  </si>
  <si>
    <t>Yape Isaias Rod</t>
  </si>
  <si>
    <t>08125658</t>
  </si>
  <si>
    <t>Yape Erika Sec</t>
  </si>
  <si>
    <t>06844735</t>
  </si>
  <si>
    <t>01044511</t>
  </si>
  <si>
    <t>Yape Jose Vas</t>
  </si>
  <si>
    <t>06341245</t>
  </si>
  <si>
    <t>Yape Jorge Ret</t>
  </si>
  <si>
    <t>00374547</t>
  </si>
  <si>
    <t>Yape Jhon Mon</t>
  </si>
  <si>
    <t>00266645</t>
  </si>
  <si>
    <t>04605281</t>
  </si>
  <si>
    <t>P001-42050</t>
  </si>
  <si>
    <t>RETETE</t>
  </si>
  <si>
    <t>P001-42054</t>
  </si>
  <si>
    <t>P001-42063</t>
  </si>
  <si>
    <t>P001-42064</t>
  </si>
  <si>
    <t>P001-42066</t>
  </si>
  <si>
    <t xml:space="preserve">GIL SALAZAR </t>
  </si>
  <si>
    <t xml:space="preserve">GUSTAMANTE CASTILLO </t>
  </si>
  <si>
    <t>P002-31715</t>
  </si>
  <si>
    <t>00389693</t>
  </si>
  <si>
    <t>00426307</t>
  </si>
  <si>
    <t>06133890</t>
  </si>
  <si>
    <t>05727504</t>
  </si>
  <si>
    <t>05491402</t>
  </si>
  <si>
    <t>04673818</t>
  </si>
  <si>
    <t>09153436</t>
  </si>
  <si>
    <t>Yape Hector Ara</t>
  </si>
  <si>
    <t>04645225</t>
  </si>
  <si>
    <t>05704222</t>
  </si>
  <si>
    <t>02262139</t>
  </si>
  <si>
    <t>Yape Wilson Tar</t>
  </si>
  <si>
    <t>08498315</t>
  </si>
  <si>
    <t>P001-42076</t>
  </si>
  <si>
    <t>P001-42077</t>
  </si>
  <si>
    <t>P002-31722</t>
  </si>
  <si>
    <t>P002-31723</t>
  </si>
  <si>
    <t>P002-31725</t>
  </si>
  <si>
    <t>JORGE LUIS</t>
  </si>
  <si>
    <t xml:space="preserve">COMPRA DE 51 FIERRO 6MM </t>
  </si>
  <si>
    <t>COMPRA DE 17 FIERRO 5/8</t>
  </si>
  <si>
    <t>MARVID</t>
  </si>
  <si>
    <t xml:space="preserve">DISTRIBUCIONES CALLAYUC S.A.C.   </t>
  </si>
  <si>
    <t>05/05/2026</t>
  </si>
  <si>
    <t>Yape Esteban Vil</t>
  </si>
  <si>
    <t>02844489</t>
  </si>
  <si>
    <t>Yape Edinson Ram</t>
  </si>
  <si>
    <t>04403211</t>
  </si>
  <si>
    <t>05139716</t>
  </si>
  <si>
    <t>02548065</t>
  </si>
  <si>
    <t>02409873</t>
  </si>
  <si>
    <t>02309896</t>
  </si>
  <si>
    <t>Yape Limber Col</t>
  </si>
  <si>
    <t>09731861</t>
  </si>
  <si>
    <t>Yape Maria Chi</t>
  </si>
  <si>
    <t>07479806</t>
  </si>
  <si>
    <t>09037294</t>
  </si>
  <si>
    <t>05021754</t>
  </si>
  <si>
    <t>02632762</t>
  </si>
  <si>
    <t>02616075</t>
  </si>
  <si>
    <t>02605122</t>
  </si>
  <si>
    <t>02583805</t>
  </si>
  <si>
    <t>06016150</t>
  </si>
  <si>
    <t>01003279</t>
  </si>
  <si>
    <t>00169305</t>
  </si>
  <si>
    <t>03553451</t>
  </si>
  <si>
    <t>04847319</t>
  </si>
  <si>
    <t>00599687</t>
  </si>
  <si>
    <t xml:space="preserve">GUSTAVO GUEVARA </t>
  </si>
  <si>
    <t>P001-42083</t>
  </si>
  <si>
    <t xml:space="preserve">FERRONOR </t>
  </si>
  <si>
    <t>P001-42089</t>
  </si>
  <si>
    <t>P001-42090</t>
  </si>
  <si>
    <t>P001-42092</t>
  </si>
  <si>
    <t xml:space="preserve">SINERGIA </t>
  </si>
  <si>
    <t>P002-31740</t>
  </si>
  <si>
    <t>P002-31731</t>
  </si>
  <si>
    <t>P002-31730</t>
  </si>
  <si>
    <t xml:space="preserve">ZAPATAS MOTO AZUL </t>
  </si>
  <si>
    <t xml:space="preserve">TAVARA GUERRERO </t>
  </si>
  <si>
    <t>Yape CONSTRUCMATERIA</t>
  </si>
  <si>
    <t>05524669</t>
  </si>
  <si>
    <t>02573591</t>
  </si>
  <si>
    <t>00754933</t>
  </si>
  <si>
    <t>05075595</t>
  </si>
  <si>
    <t>04534646</t>
  </si>
  <si>
    <t>05708665</t>
  </si>
  <si>
    <t>02736916</t>
  </si>
  <si>
    <t>Yape Pedro Vas</t>
  </si>
  <si>
    <t>09364803</t>
  </si>
  <si>
    <t>08993669</t>
  </si>
  <si>
    <t>04277839</t>
  </si>
  <si>
    <t>06081907</t>
  </si>
  <si>
    <t>00803775</t>
  </si>
  <si>
    <t>03157296</t>
  </si>
  <si>
    <t>06528665</t>
  </si>
  <si>
    <t>06910333</t>
  </si>
  <si>
    <t>02928385</t>
  </si>
  <si>
    <t>Yape Flor Mej</t>
  </si>
  <si>
    <t>04414758</t>
  </si>
  <si>
    <t xml:space="preserve">PAGO LINEA CELULAR PRINCIPAL </t>
  </si>
  <si>
    <t>PAGO LINEA ANAYELY Y YOVER</t>
  </si>
  <si>
    <t xml:space="preserve">REPARACION MOTO ROJA NUEVA </t>
  </si>
  <si>
    <t xml:space="preserve">PAGO A CORPORACION HERRERA </t>
  </si>
  <si>
    <t>P002-31753</t>
  </si>
  <si>
    <t>P002-31752</t>
  </si>
  <si>
    <t xml:space="preserve">COMPRA DE 2 FIERRO 6MM </t>
  </si>
  <si>
    <t>P001-42100</t>
  </si>
  <si>
    <t>CORONADO DIAZ</t>
  </si>
  <si>
    <t>P002-31749</t>
  </si>
  <si>
    <t>P002-31748</t>
  </si>
  <si>
    <t xml:space="preserve">HILDA                              </t>
  </si>
  <si>
    <t>06/05/2026</t>
  </si>
  <si>
    <t>Yape Mary Req</t>
  </si>
  <si>
    <t>02537345</t>
  </si>
  <si>
    <t>02532578</t>
  </si>
  <si>
    <t>Yape Luis San</t>
  </si>
  <si>
    <t>03470007</t>
  </si>
  <si>
    <t>01499248</t>
  </si>
  <si>
    <t>01492117</t>
  </si>
  <si>
    <t>01394847</t>
  </si>
  <si>
    <t>01347425</t>
  </si>
  <si>
    <t>Yape Enrique Sal</t>
  </si>
  <si>
    <t>05994725</t>
  </si>
  <si>
    <t>01259973</t>
  </si>
  <si>
    <t>01189455</t>
  </si>
  <si>
    <t>01179931</t>
  </si>
  <si>
    <t>Yape Monica Ama</t>
  </si>
  <si>
    <t>06921431</t>
  </si>
  <si>
    <t>Yape Yuri Pla</t>
  </si>
  <si>
    <t>06621566</t>
  </si>
  <si>
    <t>02909127</t>
  </si>
  <si>
    <t>03321752</t>
  </si>
  <si>
    <t>Yape Jose Per</t>
  </si>
  <si>
    <t>00788007</t>
  </si>
  <si>
    <t>CARLOS CONDEMARIN</t>
  </si>
  <si>
    <t>P001-42105</t>
  </si>
  <si>
    <t>P001-42106</t>
  </si>
  <si>
    <t>P001-42108</t>
  </si>
  <si>
    <t>P001-42109</t>
  </si>
  <si>
    <t>P002-31760</t>
  </si>
  <si>
    <t xml:space="preserve">MERA MONTEZA </t>
  </si>
  <si>
    <t>P001-42118</t>
  </si>
  <si>
    <t>P002-31763</t>
  </si>
  <si>
    <t xml:space="preserve">GRUPO PRIKA </t>
  </si>
  <si>
    <t>Yape CORPORACION V</t>
  </si>
  <si>
    <t>05417438</t>
  </si>
  <si>
    <t>Yape Angel Mor</t>
  </si>
  <si>
    <t>04191079</t>
  </si>
  <si>
    <t>Yape Yesenia Asc</t>
  </si>
  <si>
    <t>03037964</t>
  </si>
  <si>
    <t>06100025</t>
  </si>
  <si>
    <t>06096023</t>
  </si>
  <si>
    <t>Yape Jordin Her</t>
  </si>
  <si>
    <t>01211075</t>
  </si>
  <si>
    <t>Yape Andy Rui</t>
  </si>
  <si>
    <t>08599987</t>
  </si>
  <si>
    <t>Yape Ruben Alv</t>
  </si>
  <si>
    <t>08169701</t>
  </si>
  <si>
    <t>02091160</t>
  </si>
  <si>
    <t>02076738</t>
  </si>
  <si>
    <t>02066317</t>
  </si>
  <si>
    <t>P001-42120</t>
  </si>
  <si>
    <t xml:space="preserve">PINTURA / TECLE / ENVIO JORDIN </t>
  </si>
  <si>
    <t xml:space="preserve">COMPRA DE 8 FIERRO 5/8 MARVID </t>
  </si>
  <si>
    <t xml:space="preserve">FRONTERIZA </t>
  </si>
  <si>
    <t>P002-31767</t>
  </si>
  <si>
    <t xml:space="preserve">PINTURA 2 PLANCHAS / JORDIN </t>
  </si>
  <si>
    <t xml:space="preserve">ELIMINACION DE DESMONTE </t>
  </si>
  <si>
    <t xml:space="preserve">CABLE VULCANIZADO /JORDIN </t>
  </si>
  <si>
    <t>07/05/2026</t>
  </si>
  <si>
    <t>03204570</t>
  </si>
  <si>
    <t>Yape Anthony Uce</t>
  </si>
  <si>
    <t>09100890</t>
  </si>
  <si>
    <t>03110441</t>
  </si>
  <si>
    <t>02530930</t>
  </si>
  <si>
    <t>Yape Norvil Per</t>
  </si>
  <si>
    <t>03425686</t>
  </si>
  <si>
    <t>Yape Jose Dia</t>
  </si>
  <si>
    <t>03318977</t>
  </si>
  <si>
    <t>02229702</t>
  </si>
  <si>
    <t>01082498</t>
  </si>
  <si>
    <t>Yape Pedro Pai</t>
  </si>
  <si>
    <t>07907076</t>
  </si>
  <si>
    <t>00093897</t>
  </si>
  <si>
    <t>00283303</t>
  </si>
  <si>
    <t>06501923</t>
  </si>
  <si>
    <t>05141912</t>
  </si>
  <si>
    <t>05918324</t>
  </si>
  <si>
    <t xml:space="preserve">COMPRA DE PIEDRA BASE JORDIN </t>
  </si>
  <si>
    <t>34*35</t>
  </si>
  <si>
    <t xml:space="preserve">ACEITE JBC JULIAN </t>
  </si>
  <si>
    <t xml:space="preserve">DIAZ SUMAN </t>
  </si>
  <si>
    <t>P002-31782</t>
  </si>
  <si>
    <t>P002-31771</t>
  </si>
  <si>
    <t xml:space="preserve">HILDA   </t>
  </si>
  <si>
    <t>04377454</t>
  </si>
  <si>
    <t>04252384</t>
  </si>
  <si>
    <t>04090515</t>
  </si>
  <si>
    <t>02016922</t>
  </si>
  <si>
    <t>03985176</t>
  </si>
  <si>
    <t>Yape CENTRO FERRETER</t>
  </si>
  <si>
    <t>09294807</t>
  </si>
  <si>
    <t>00088613</t>
  </si>
  <si>
    <t>Yape Alex Dav</t>
  </si>
  <si>
    <t>09166648</t>
  </si>
  <si>
    <t>P002-341789</t>
  </si>
  <si>
    <t xml:space="preserve">AZAÑERO </t>
  </si>
  <si>
    <t xml:space="preserve">RONALS SEMPERTEGUI </t>
  </si>
  <si>
    <t xml:space="preserve">LUIS COFESEG </t>
  </si>
  <si>
    <t>DEVOLUCION DE DEPOSITO</t>
  </si>
  <si>
    <t>08/05/2026</t>
  </si>
  <si>
    <t>Yape Javier Cas</t>
  </si>
  <si>
    <t>01945126</t>
  </si>
  <si>
    <t>Yape Dianna Sem</t>
  </si>
  <si>
    <t>03551165</t>
  </si>
  <si>
    <t>00583218</t>
  </si>
  <si>
    <t>01930524</t>
  </si>
  <si>
    <t>02075746</t>
  </si>
  <si>
    <t>Yape Enemecio Hua</t>
  </si>
  <si>
    <t>09429330</t>
  </si>
  <si>
    <t>06978913</t>
  </si>
  <si>
    <t>07530956</t>
  </si>
  <si>
    <t>Yape Jose Oso</t>
  </si>
  <si>
    <t>06755213</t>
  </si>
  <si>
    <t>00441325</t>
  </si>
  <si>
    <t>02288568</t>
  </si>
  <si>
    <t>02278282</t>
  </si>
  <si>
    <t>02272314</t>
  </si>
  <si>
    <t>00804970</t>
  </si>
  <si>
    <t>04423197</t>
  </si>
  <si>
    <t>ABON PLIN-ISABELLE MAR</t>
  </si>
  <si>
    <t>00891315</t>
  </si>
  <si>
    <t>Yape Hector Pac</t>
  </si>
  <si>
    <t>06800992</t>
  </si>
  <si>
    <t>06500055</t>
  </si>
  <si>
    <t>00573701</t>
  </si>
  <si>
    <t>00467281</t>
  </si>
  <si>
    <t>Yape azañero</t>
  </si>
  <si>
    <t>P001-42154</t>
  </si>
  <si>
    <t>P001-42155</t>
  </si>
  <si>
    <t xml:space="preserve">CASA MALAMBO </t>
  </si>
  <si>
    <t>OSORES</t>
  </si>
  <si>
    <t>1/2 ARENILLA / BAZAN</t>
  </si>
  <si>
    <t>P001-42162</t>
  </si>
  <si>
    <t>JHONATAN BARBOZA</t>
  </si>
  <si>
    <t>P001-42169</t>
  </si>
  <si>
    <t xml:space="preserve">GRIMALDINA </t>
  </si>
  <si>
    <t>P002-31799</t>
  </si>
  <si>
    <t>P002-31808</t>
  </si>
  <si>
    <t xml:space="preserve">RETIRO DE VENTANILLA </t>
  </si>
  <si>
    <t>04903073</t>
  </si>
  <si>
    <t>02146522</t>
  </si>
  <si>
    <t>02134900</t>
  </si>
  <si>
    <t>Yape Noe Lla</t>
  </si>
  <si>
    <t>09364500</t>
  </si>
  <si>
    <t>Yape Nestor Sal</t>
  </si>
  <si>
    <t>07399006</t>
  </si>
  <si>
    <t>03199162</t>
  </si>
  <si>
    <t>DEPOSITO AG 986021</t>
  </si>
  <si>
    <t>00085920</t>
  </si>
  <si>
    <t>Yape Rosita Jua</t>
  </si>
  <si>
    <t>05285972</t>
  </si>
  <si>
    <t>Yape Yessica Cor</t>
  </si>
  <si>
    <t>05382361</t>
  </si>
  <si>
    <t>P002-31815</t>
  </si>
  <si>
    <t>P002-31817</t>
  </si>
  <si>
    <t xml:space="preserve">JUAN SALAZAR </t>
  </si>
  <si>
    <t>P001-42180</t>
  </si>
  <si>
    <t>ALCIDIACES</t>
  </si>
  <si>
    <t xml:space="preserve">FACTURAS GRUPO ESPN </t>
  </si>
  <si>
    <t>09/05/2026</t>
  </si>
  <si>
    <t>Yape Miriam Sal</t>
  </si>
  <si>
    <t>02570915</t>
  </si>
  <si>
    <t>Yape DISTRIBUIDORA A</t>
  </si>
  <si>
    <t>04230752</t>
  </si>
  <si>
    <t>Yape Rocio Idr</t>
  </si>
  <si>
    <t>02864649</t>
  </si>
  <si>
    <t>Yape Hebert Vas</t>
  </si>
  <si>
    <t>02407306</t>
  </si>
  <si>
    <t>02478575</t>
  </si>
  <si>
    <t>06020788</t>
  </si>
  <si>
    <t>01638266</t>
  </si>
  <si>
    <t>Yape FERRETERIA M  H</t>
  </si>
  <si>
    <t>09054077</t>
  </si>
  <si>
    <t>07562254</t>
  </si>
  <si>
    <t>06278598</t>
  </si>
  <si>
    <t>ABON PLIN-BRYAM PAUL C</t>
  </si>
  <si>
    <t>00051412</t>
  </si>
  <si>
    <t>00799818</t>
  </si>
  <si>
    <t>01107999</t>
  </si>
  <si>
    <t>05953329</t>
  </si>
  <si>
    <t>06005412</t>
  </si>
  <si>
    <t>Yape Joel Ven</t>
  </si>
  <si>
    <t>03591762</t>
  </si>
  <si>
    <t>00358146</t>
  </si>
  <si>
    <t>A CUENTA ALEJANDRO PAREDES</t>
  </si>
  <si>
    <t>P001-42191</t>
  </si>
  <si>
    <t>CARLOS SILVA 05-05</t>
  </si>
  <si>
    <t xml:space="preserve">MIRIAN SALAZAR </t>
  </si>
  <si>
    <t xml:space="preserve">PAGO A CASA DEL ADITIVO </t>
  </si>
  <si>
    <t>HAMILTON CUEVA 07-05</t>
  </si>
  <si>
    <t>P002-31825</t>
  </si>
  <si>
    <t>P002-31826</t>
  </si>
  <si>
    <t xml:space="preserve">RODRIGUEZ BUSTAMANTE ROBERTO CARLOS   </t>
  </si>
  <si>
    <t xml:space="preserve">LLUEN SECLEN JUAN FRANCISCO </t>
  </si>
  <si>
    <t>06092008</t>
  </si>
  <si>
    <t>06083975</t>
  </si>
  <si>
    <t>Yape Carlos Roj</t>
  </si>
  <si>
    <t>01391546</t>
  </si>
  <si>
    <t>03876946</t>
  </si>
  <si>
    <t>Yape Luis Gar</t>
  </si>
  <si>
    <t>00077919</t>
  </si>
  <si>
    <t>03866598</t>
  </si>
  <si>
    <t>09281080</t>
  </si>
  <si>
    <t>00044644</t>
  </si>
  <si>
    <t>02530158</t>
  </si>
  <si>
    <t>02525831</t>
  </si>
  <si>
    <t>Yape Daniel Esp</t>
  </si>
  <si>
    <t>06681257</t>
  </si>
  <si>
    <t>02860231</t>
  </si>
  <si>
    <t xml:space="preserve">JORDIN HERRERA / ALMUERZO </t>
  </si>
  <si>
    <t>P001-42200</t>
  </si>
  <si>
    <t>P001-42201</t>
  </si>
  <si>
    <t>HAMERSON</t>
  </si>
  <si>
    <t>P001-42205</t>
  </si>
  <si>
    <t xml:space="preserve">INVERSIONES Y TRANSPORTES JH 08-05 </t>
  </si>
  <si>
    <t>INVERSIONES Y TRANSPORTES JH 09-05</t>
  </si>
  <si>
    <t>11/05/2026</t>
  </si>
  <si>
    <t>Yape Deyvi Dav</t>
  </si>
  <si>
    <t>05915982</t>
  </si>
  <si>
    <t>04323289</t>
  </si>
  <si>
    <t>10/05/2026</t>
  </si>
  <si>
    <t>01254964</t>
  </si>
  <si>
    <t>05710249</t>
  </si>
  <si>
    <t>Yape Deilith Jul</t>
  </si>
  <si>
    <t>09747659</t>
  </si>
  <si>
    <t>Yape Jeny Cam</t>
  </si>
  <si>
    <t>06647586</t>
  </si>
  <si>
    <t>Yape Rosarito Mos</t>
  </si>
  <si>
    <t>06726531</t>
  </si>
  <si>
    <t>00875779</t>
  </si>
  <si>
    <t>07101514</t>
  </si>
  <si>
    <t>05950582</t>
  </si>
  <si>
    <t>02149684</t>
  </si>
  <si>
    <t>02145067</t>
  </si>
  <si>
    <t>02141203</t>
  </si>
  <si>
    <t>Yape Lucio Med</t>
  </si>
  <si>
    <t>03148407</t>
  </si>
  <si>
    <t>05393780</t>
  </si>
  <si>
    <t>Yape Tito Pad</t>
  </si>
  <si>
    <t>05552988</t>
  </si>
  <si>
    <t>02553435</t>
  </si>
  <si>
    <t>02754690</t>
  </si>
  <si>
    <t>02745002</t>
  </si>
  <si>
    <t>04439952</t>
  </si>
  <si>
    <t>Yape Elvira Bec</t>
  </si>
  <si>
    <t>02897316</t>
  </si>
  <si>
    <t>Yape Irvin Vil</t>
  </si>
  <si>
    <t>06093560</t>
  </si>
  <si>
    <t>Yape Rey Gut</t>
  </si>
  <si>
    <t>08227480</t>
  </si>
  <si>
    <t>06648893</t>
  </si>
  <si>
    <t>Yape Mariela Del</t>
  </si>
  <si>
    <t>06448592</t>
  </si>
  <si>
    <t>05526876</t>
  </si>
  <si>
    <t>Yape Jose San</t>
  </si>
  <si>
    <t>05921729</t>
  </si>
  <si>
    <t>06214084</t>
  </si>
  <si>
    <t>05328181</t>
  </si>
  <si>
    <t>06011901</t>
  </si>
  <si>
    <t>02873329</t>
  </si>
  <si>
    <t>05261980</t>
  </si>
  <si>
    <t xml:space="preserve">MEDINA GAMBOA LUCIO </t>
  </si>
  <si>
    <t xml:space="preserve">RIOJA MONTALVO </t>
  </si>
  <si>
    <t>P002-31859</t>
  </si>
  <si>
    <t>P002-31839</t>
  </si>
  <si>
    <t>P001-42217</t>
  </si>
  <si>
    <t>P001-42220/P001-42221</t>
  </si>
  <si>
    <t xml:space="preserve">DE LA CRUZ MESA </t>
  </si>
  <si>
    <t xml:space="preserve">HUGO </t>
  </si>
  <si>
    <t>P001-42225</t>
  </si>
  <si>
    <t xml:space="preserve">SANTOS CORREA </t>
  </si>
  <si>
    <t xml:space="preserve">JOSE ELAR SANCHEZ </t>
  </si>
  <si>
    <t>P001-42229</t>
  </si>
  <si>
    <t xml:space="preserve">CORREA JULCA </t>
  </si>
  <si>
    <t>P001-42234</t>
  </si>
  <si>
    <t>P001-42235</t>
  </si>
  <si>
    <t xml:space="preserve">COMPRA DE 3K CLAVO ACERO COFESEG </t>
  </si>
  <si>
    <t xml:space="preserve">WALTER - CASA BLANCA      </t>
  </si>
  <si>
    <t>P001-42213</t>
  </si>
  <si>
    <t>12/05/2026</t>
  </si>
  <si>
    <t>Yape Jair Vil</t>
  </si>
  <si>
    <t>04133067</t>
  </si>
  <si>
    <t>Yape Enrique Vil</t>
  </si>
  <si>
    <t>00898446</t>
  </si>
  <si>
    <t>02951051</t>
  </si>
  <si>
    <t>02944967</t>
  </si>
  <si>
    <t>01461916</t>
  </si>
  <si>
    <t>Yape Andres Nic</t>
  </si>
  <si>
    <t>07227333</t>
  </si>
  <si>
    <t>00404550</t>
  </si>
  <si>
    <t>00911358</t>
  </si>
  <si>
    <t>Yape Danixa Pen</t>
  </si>
  <si>
    <t>04575770</t>
  </si>
  <si>
    <t>Yape Suwuand Por</t>
  </si>
  <si>
    <t>03569330</t>
  </si>
  <si>
    <t>02588654</t>
  </si>
  <si>
    <t>Yape Camilo Dia</t>
  </si>
  <si>
    <t>05734627</t>
  </si>
  <si>
    <t>Yape Marcos Paz</t>
  </si>
  <si>
    <t>05176159</t>
  </si>
  <si>
    <t>00465898</t>
  </si>
  <si>
    <t>03508954</t>
  </si>
  <si>
    <t xml:space="preserve">PAGO INTERNET FERRETERIA  </t>
  </si>
  <si>
    <t>P001-42244</t>
  </si>
  <si>
    <t>P001-42245</t>
  </si>
  <si>
    <t xml:space="preserve">RODRIGUEZ </t>
  </si>
  <si>
    <t>P001-42252</t>
  </si>
  <si>
    <t xml:space="preserve">CORPORACION HERRERA </t>
  </si>
  <si>
    <t>P001-42259</t>
  </si>
  <si>
    <t>P001-42260</t>
  </si>
  <si>
    <t>P001-42261</t>
  </si>
  <si>
    <t>06095964</t>
  </si>
  <si>
    <t>04172951</t>
  </si>
  <si>
    <t>Yape Jorge San</t>
  </si>
  <si>
    <t>08368509</t>
  </si>
  <si>
    <t>09519045</t>
  </si>
  <si>
    <t>Yape Rosario Vil</t>
  </si>
  <si>
    <t>08769540</t>
  </si>
  <si>
    <t>09704767</t>
  </si>
  <si>
    <t>02230396</t>
  </si>
  <si>
    <t xml:space="preserve">SE CANCELO A GRUPO CORPORATIVO HERRERA </t>
  </si>
  <si>
    <t>P001-42267</t>
  </si>
  <si>
    <t>P001-42266</t>
  </si>
  <si>
    <t>P002-31872</t>
  </si>
  <si>
    <t>P002-31877</t>
  </si>
  <si>
    <t>13/05/2026</t>
  </si>
  <si>
    <t>02027094</t>
  </si>
  <si>
    <t>Yape Carlos Gil</t>
  </si>
  <si>
    <t>02822977</t>
  </si>
  <si>
    <t>01161966</t>
  </si>
  <si>
    <t>01504523</t>
  </si>
  <si>
    <t>Yape Luis Cal</t>
  </si>
  <si>
    <t>08293874</t>
  </si>
  <si>
    <t>00603097</t>
  </si>
  <si>
    <t>Yape Luis Mej</t>
  </si>
  <si>
    <t>00686212</t>
  </si>
  <si>
    <t>00553583</t>
  </si>
  <si>
    <t>04496275</t>
  </si>
  <si>
    <t>04486606</t>
  </si>
  <si>
    <t>04571465</t>
  </si>
  <si>
    <t>04474586</t>
  </si>
  <si>
    <t>03792735</t>
  </si>
  <si>
    <t>03681541</t>
  </si>
  <si>
    <t>03553630</t>
  </si>
  <si>
    <t>ABON PLIN-Alberto Juni</t>
  </si>
  <si>
    <t>00451517</t>
  </si>
  <si>
    <t>03043336</t>
  </si>
  <si>
    <t>02077380</t>
  </si>
  <si>
    <t>Yape Jesus Cal</t>
  </si>
  <si>
    <t>08898745</t>
  </si>
  <si>
    <t>P001-42286</t>
  </si>
  <si>
    <t>P001-4288</t>
  </si>
  <si>
    <t>FLETE CARLOS CENTRO 13-05</t>
  </si>
  <si>
    <t>COMPRA DE 4.5 PIEDRA CHANCADA 1/2</t>
  </si>
  <si>
    <t>P002-31889</t>
  </si>
  <si>
    <t xml:space="preserve">JUNIOR PUYEN </t>
  </si>
  <si>
    <t>P002-31888</t>
  </si>
  <si>
    <t>ANDY</t>
  </si>
  <si>
    <t xml:space="preserve">P002-31893/ CLIENTE JORDIN </t>
  </si>
  <si>
    <t xml:space="preserve">BUENAÑO </t>
  </si>
  <si>
    <t>VASQUEZ VENTURA HUGO</t>
  </si>
  <si>
    <t xml:space="preserve">KT CONSTRUCTORA / FACTURAS </t>
  </si>
  <si>
    <t>BACA BURGA</t>
  </si>
  <si>
    <t>14/05/2026</t>
  </si>
  <si>
    <t>02412902</t>
  </si>
  <si>
    <t>Yape Brayan Cor</t>
  </si>
  <si>
    <t>00459052</t>
  </si>
  <si>
    <t>02771408</t>
  </si>
  <si>
    <t>01535382</t>
  </si>
  <si>
    <t>Yape Fidel Dia</t>
  </si>
  <si>
    <t>07573582</t>
  </si>
  <si>
    <t>Yape Pablo Ces</t>
  </si>
  <si>
    <t>06859631</t>
  </si>
  <si>
    <t>Yape Juver La</t>
  </si>
  <si>
    <t>02039930</t>
  </si>
  <si>
    <t>00726397</t>
  </si>
  <si>
    <t>02977645</t>
  </si>
  <si>
    <t>00306208</t>
  </si>
  <si>
    <t>01668029</t>
  </si>
  <si>
    <t>05142466</t>
  </si>
  <si>
    <t>Yape Jose Rim</t>
  </si>
  <si>
    <t>03793525</t>
  </si>
  <si>
    <t>04648907</t>
  </si>
  <si>
    <t>03151461</t>
  </si>
  <si>
    <t>03832923</t>
  </si>
  <si>
    <t>03315453</t>
  </si>
  <si>
    <t>06076851</t>
  </si>
  <si>
    <t>Yape Zelfa Ast</t>
  </si>
  <si>
    <t>08493602</t>
  </si>
  <si>
    <t>03854284</t>
  </si>
  <si>
    <t>Yape Sara Llo</t>
  </si>
  <si>
    <t>09198970</t>
  </si>
  <si>
    <t>05636142</t>
  </si>
  <si>
    <t>03000445</t>
  </si>
  <si>
    <t>P001-42301</t>
  </si>
  <si>
    <t xml:space="preserve">ELVA </t>
  </si>
  <si>
    <t>P001-42304</t>
  </si>
  <si>
    <t>P002-32906</t>
  </si>
  <si>
    <t>BUENAÑO</t>
  </si>
  <si>
    <t>JHON SANCHEZ P002-31663</t>
  </si>
  <si>
    <t>COMPRA DE FIERRO PROMAT 12-05</t>
  </si>
  <si>
    <t xml:space="preserve">RUIZ </t>
  </si>
  <si>
    <t>P002-31917</t>
  </si>
  <si>
    <t>P002-31915</t>
  </si>
  <si>
    <t>P002-31904</t>
  </si>
  <si>
    <t xml:space="preserve">FEDECO </t>
  </si>
  <si>
    <t>15/05/2026</t>
  </si>
  <si>
    <t>01498332</t>
  </si>
  <si>
    <t>Yape Carlos Aba</t>
  </si>
  <si>
    <t>01492292</t>
  </si>
  <si>
    <t>Yape Wilmer Mun</t>
  </si>
  <si>
    <t>03107569</t>
  </si>
  <si>
    <t>Yape Gerson Med</t>
  </si>
  <si>
    <t>09552444</t>
  </si>
  <si>
    <t>02115325</t>
  </si>
  <si>
    <t>Yape Segundo Per</t>
  </si>
  <si>
    <t>09076862</t>
  </si>
  <si>
    <t>Pago YAPE a 0112790001</t>
  </si>
  <si>
    <t>02426895</t>
  </si>
  <si>
    <t>01345885</t>
  </si>
  <si>
    <t>Yape Rosa Tor</t>
  </si>
  <si>
    <t>00407043</t>
  </si>
  <si>
    <t>01106074</t>
  </si>
  <si>
    <t>Yape Valerio Ram</t>
  </si>
  <si>
    <t>01341556</t>
  </si>
  <si>
    <t>Yape Yanina Zul</t>
  </si>
  <si>
    <t>09715188</t>
  </si>
  <si>
    <t>07480639</t>
  </si>
  <si>
    <t>07525682</t>
  </si>
  <si>
    <t>07623665</t>
  </si>
  <si>
    <t>05784332</t>
  </si>
  <si>
    <t>00677475</t>
  </si>
  <si>
    <t>06075051</t>
  </si>
  <si>
    <t>01118152</t>
  </si>
  <si>
    <t>Yape Lenin Arm</t>
  </si>
  <si>
    <t>01981968</t>
  </si>
  <si>
    <t>P001-42328</t>
  </si>
  <si>
    <t>P001-42331</t>
  </si>
  <si>
    <t>P001-42332</t>
  </si>
  <si>
    <t xml:space="preserve">MUÑOZ </t>
  </si>
  <si>
    <t>P001-42334</t>
  </si>
  <si>
    <t>P002-31923</t>
  </si>
  <si>
    <t>P002-31925</t>
  </si>
  <si>
    <t>P002-31928</t>
  </si>
  <si>
    <t>P002-31935</t>
  </si>
  <si>
    <t>P002-31937</t>
  </si>
  <si>
    <t>P002-31938</t>
  </si>
  <si>
    <t>P002-31939</t>
  </si>
  <si>
    <t xml:space="preserve">YAPE POR EQUIVOCACION </t>
  </si>
  <si>
    <t xml:space="preserve">JORDIN HERRERA /CAMARA DE LLANTA </t>
  </si>
  <si>
    <t>06774749</t>
  </si>
  <si>
    <t>05684360</t>
  </si>
  <si>
    <t>04377753</t>
  </si>
  <si>
    <t>Yape Maria Veg</t>
  </si>
  <si>
    <t>03452479</t>
  </si>
  <si>
    <t>05103220</t>
  </si>
  <si>
    <t>Yape Feliciano Tor</t>
  </si>
  <si>
    <t>03552515</t>
  </si>
  <si>
    <t>03826749</t>
  </si>
  <si>
    <t>00715317</t>
  </si>
  <si>
    <t>00837301</t>
  </si>
  <si>
    <t>04613562</t>
  </si>
  <si>
    <t>Yape FERROCONSTRUCTO</t>
  </si>
  <si>
    <t>09672164</t>
  </si>
  <si>
    <t>Yape Ricardo Ros</t>
  </si>
  <si>
    <t>04779787</t>
  </si>
  <si>
    <t>PLIN-ALBERTH JOHN DA</t>
  </si>
  <si>
    <t>00594214</t>
  </si>
  <si>
    <t>Yape Alberth San</t>
  </si>
  <si>
    <t>04367122</t>
  </si>
  <si>
    <t>Yape Victor Nic</t>
  </si>
  <si>
    <t>04539566</t>
  </si>
  <si>
    <t>P001-42336</t>
  </si>
  <si>
    <t xml:space="preserve">PONCHO - MONTACARGA </t>
  </si>
  <si>
    <t xml:space="preserve">PONCHO - MONTACARGA / DEVOLVER </t>
  </si>
  <si>
    <t>P002-31945</t>
  </si>
  <si>
    <t>P002-31947</t>
  </si>
  <si>
    <t>P002-31944</t>
  </si>
  <si>
    <t xml:space="preserve">DEYVI RIMARACHIN </t>
  </si>
  <si>
    <t>P002-31941</t>
  </si>
  <si>
    <t>16/05/2026</t>
  </si>
  <si>
    <t>02285000</t>
  </si>
  <si>
    <t>Yape Hugo Esp</t>
  </si>
  <si>
    <t>01632587</t>
  </si>
  <si>
    <t>ENTR.EFEC. 0668145</t>
  </si>
  <si>
    <t>00668145</t>
  </si>
  <si>
    <t>Yape Humar Gue</t>
  </si>
  <si>
    <t>09101885</t>
  </si>
  <si>
    <t>08631306</t>
  </si>
  <si>
    <t>Yape Maria Ala</t>
  </si>
  <si>
    <t>00933146</t>
  </si>
  <si>
    <t>02598390</t>
  </si>
  <si>
    <t>01247961</t>
  </si>
  <si>
    <t>06282169</t>
  </si>
  <si>
    <t>06926891</t>
  </si>
  <si>
    <t>00417360</t>
  </si>
  <si>
    <t>Yape Marino Vas</t>
  </si>
  <si>
    <t>03184263</t>
  </si>
  <si>
    <t>00658811</t>
  </si>
  <si>
    <t>00602555</t>
  </si>
  <si>
    <t>04534582</t>
  </si>
  <si>
    <t>09483966</t>
  </si>
  <si>
    <t>04153578</t>
  </si>
  <si>
    <t>05164915</t>
  </si>
  <si>
    <t>Yape Roy Cie</t>
  </si>
  <si>
    <t>06593778</t>
  </si>
  <si>
    <t>04872579</t>
  </si>
  <si>
    <t>00988477</t>
  </si>
  <si>
    <t>CORONADO DIAZ 15-05</t>
  </si>
  <si>
    <t>P001-42357</t>
  </si>
  <si>
    <t xml:space="preserve">GUEVARA CUBAS </t>
  </si>
  <si>
    <t>P001-42366</t>
  </si>
  <si>
    <t>P001-42370</t>
  </si>
  <si>
    <t xml:space="preserve">COMPRA DE 18 TUBOS LUZ </t>
  </si>
  <si>
    <t>P002-31950</t>
  </si>
  <si>
    <t>P002-31965</t>
  </si>
  <si>
    <t xml:space="preserve">HILDA </t>
  </si>
  <si>
    <t xml:space="preserve">KT CONSTRUCTORA- FACTURAS </t>
  </si>
  <si>
    <t xml:space="preserve">INGRESO EFECTIVO A LA CUENTA </t>
  </si>
  <si>
    <t>GUEVARA CORONEL HAMERSON</t>
  </si>
  <si>
    <t>05839075</t>
  </si>
  <si>
    <t>DEPOSITO AG 996085</t>
  </si>
  <si>
    <t>00047290</t>
  </si>
  <si>
    <t>18/05/2026</t>
  </si>
  <si>
    <t>01614518</t>
  </si>
  <si>
    <t>17/05/2026</t>
  </si>
  <si>
    <t>00015264</t>
  </si>
  <si>
    <t>02039823</t>
  </si>
  <si>
    <t>02802166</t>
  </si>
  <si>
    <t>02408651</t>
  </si>
  <si>
    <t>02221846</t>
  </si>
  <si>
    <t>ENTR.EFEC. 0134676</t>
  </si>
  <si>
    <t>00134676</t>
  </si>
  <si>
    <t>ENTR.EFEC. 0132478</t>
  </si>
  <si>
    <t>00132478</t>
  </si>
  <si>
    <t>01659759</t>
  </si>
  <si>
    <t>00357011</t>
  </si>
  <si>
    <t>01938929</t>
  </si>
  <si>
    <t>02641753</t>
  </si>
  <si>
    <t>04723349</t>
  </si>
  <si>
    <t>02122597</t>
  </si>
  <si>
    <t>02544298</t>
  </si>
  <si>
    <t>01530117</t>
  </si>
  <si>
    <t>03215115</t>
  </si>
  <si>
    <t>03511569</t>
  </si>
  <si>
    <t>02961269</t>
  </si>
  <si>
    <t>02065069</t>
  </si>
  <si>
    <t>08131374</t>
  </si>
  <si>
    <t>01475226</t>
  </si>
  <si>
    <t>06077283</t>
  </si>
  <si>
    <t>01469132</t>
  </si>
  <si>
    <t>02335859</t>
  </si>
  <si>
    <t>P001-42391</t>
  </si>
  <si>
    <t>P001-42393</t>
  </si>
  <si>
    <t>P001-42397</t>
  </si>
  <si>
    <t>P001-42399</t>
  </si>
  <si>
    <t>P001-42402</t>
  </si>
  <si>
    <t>P001-42407</t>
  </si>
  <si>
    <t>P001-42409</t>
  </si>
  <si>
    <t xml:space="preserve">MARCOS GARCIA </t>
  </si>
  <si>
    <t xml:space="preserve">POSTES </t>
  </si>
  <si>
    <t xml:space="preserve">SANCHEZ </t>
  </si>
  <si>
    <t>P001-42432</t>
  </si>
  <si>
    <t>P001-42433</t>
  </si>
  <si>
    <t>P002-31972</t>
  </si>
  <si>
    <t>P002-31987</t>
  </si>
  <si>
    <t>P002-31988</t>
  </si>
  <si>
    <t>P002-31989</t>
  </si>
  <si>
    <t xml:space="preserve">DEPOSITO A CUENTA HYC </t>
  </si>
  <si>
    <t>VASQUEZ VENTURA HUGO FRANKLIN</t>
  </si>
  <si>
    <t xml:space="preserve">PEDRO ARAMBULO </t>
  </si>
  <si>
    <t>A CUENTA CEMENTO MARVID</t>
  </si>
  <si>
    <t xml:space="preserve">FLETE EMPRESA DE POMALCA </t>
  </si>
  <si>
    <t>05298350</t>
  </si>
  <si>
    <t>00245552</t>
  </si>
  <si>
    <t>00244751</t>
  </si>
  <si>
    <t>05212288</t>
  </si>
  <si>
    <t>05214205</t>
  </si>
  <si>
    <t>02321584</t>
  </si>
  <si>
    <t>19/05/2026</t>
  </si>
  <si>
    <t>Pago YAPE de 19173</t>
  </si>
  <si>
    <t>03038712</t>
  </si>
  <si>
    <t>01497456</t>
  </si>
  <si>
    <t>00954049</t>
  </si>
  <si>
    <t>00951769</t>
  </si>
  <si>
    <t>03117386</t>
  </si>
  <si>
    <t>02120534</t>
  </si>
  <si>
    <t>06240902</t>
  </si>
  <si>
    <t>02223908</t>
  </si>
  <si>
    <t>03815036</t>
  </si>
  <si>
    <t>04209287</t>
  </si>
  <si>
    <t>03576152</t>
  </si>
  <si>
    <t>03574364</t>
  </si>
  <si>
    <t>02327032</t>
  </si>
  <si>
    <t>ABON PLIN-LUIS ENRRIQU</t>
  </si>
  <si>
    <t>00954139</t>
  </si>
  <si>
    <t>01471670</t>
  </si>
  <si>
    <t>02997768</t>
  </si>
  <si>
    <t>04164830</t>
  </si>
  <si>
    <t>00272759</t>
  </si>
  <si>
    <t>00945625</t>
  </si>
  <si>
    <t>P001-42442</t>
  </si>
  <si>
    <t>COMPRA DE 18 ARENA *38</t>
  </si>
  <si>
    <t>P001-42443</t>
  </si>
  <si>
    <t>P002-31996</t>
  </si>
  <si>
    <t>P001-42449</t>
  </si>
  <si>
    <t>P001-42451</t>
  </si>
  <si>
    <t>04199433</t>
  </si>
  <si>
    <t>00067482</t>
  </si>
  <si>
    <t xml:space="preserve">SAMILLAN </t>
  </si>
  <si>
    <t>P002-32006</t>
  </si>
  <si>
    <t>P002-32007</t>
  </si>
  <si>
    <t>20/05/2026</t>
  </si>
  <si>
    <t>02236455</t>
  </si>
  <si>
    <t>01839617</t>
  </si>
  <si>
    <t>ABON PLIN-RUTH BALLONA</t>
  </si>
  <si>
    <t>00964530</t>
  </si>
  <si>
    <t>01624823</t>
  </si>
  <si>
    <t>00965363</t>
  </si>
  <si>
    <t>01819054</t>
  </si>
  <si>
    <t>00824111</t>
  </si>
  <si>
    <t>00741024</t>
  </si>
  <si>
    <t>00006474</t>
  </si>
  <si>
    <t>00596903</t>
  </si>
  <si>
    <t>00431984</t>
  </si>
  <si>
    <t>02065926</t>
  </si>
  <si>
    <t>ROBERTO RODRIGUEZ 04-05</t>
  </si>
  <si>
    <t>MENDOZA MONDRAGON 16-04</t>
  </si>
  <si>
    <t xml:space="preserve">ALADINA </t>
  </si>
  <si>
    <t>CAMPOS BURGOS 12-05</t>
  </si>
  <si>
    <t>P001-42472</t>
  </si>
  <si>
    <t xml:space="preserve">BONILLA </t>
  </si>
  <si>
    <t>SANCHEZ ROJAS</t>
  </si>
  <si>
    <t>P002-32024</t>
  </si>
  <si>
    <t>00189936</t>
  </si>
  <si>
    <t>04045968</t>
  </si>
  <si>
    <t>04281866</t>
  </si>
  <si>
    <t>ACER020600134648</t>
  </si>
  <si>
    <t>06054575</t>
  </si>
  <si>
    <t>06051575</t>
  </si>
  <si>
    <t>00763519</t>
  </si>
  <si>
    <t>DIST020600134648</t>
  </si>
  <si>
    <t>06057416</t>
  </si>
  <si>
    <t>PAGO ACEROS AREQUIPA</t>
  </si>
  <si>
    <t xml:space="preserve">EBERSON  CARLOS </t>
  </si>
  <si>
    <t>P002-32029</t>
  </si>
  <si>
    <t xml:space="preserve">PAGO A DILVER / BBVA Y BCP </t>
  </si>
  <si>
    <t>21/05/2026</t>
  </si>
  <si>
    <t>02206851</t>
  </si>
  <si>
    <t>07348493</t>
  </si>
  <si>
    <t>06040824</t>
  </si>
  <si>
    <t>02180191</t>
  </si>
  <si>
    <t>01965424</t>
  </si>
  <si>
    <t>02265905</t>
  </si>
  <si>
    <t>06225803</t>
  </si>
  <si>
    <t>Pago YAPE de 23292</t>
  </si>
  <si>
    <t>06829361</t>
  </si>
  <si>
    <t>02947690</t>
  </si>
  <si>
    <t>01384905</t>
  </si>
  <si>
    <t>05509702</t>
  </si>
  <si>
    <t>02426894</t>
  </si>
  <si>
    <t>02406528</t>
  </si>
  <si>
    <t>08705017</t>
  </si>
  <si>
    <t>00756662</t>
  </si>
  <si>
    <t>02223431</t>
  </si>
  <si>
    <t>00558645</t>
  </si>
  <si>
    <t>00465473</t>
  </si>
  <si>
    <t>CONSTRUCTORA FRONTERIZA 20-05</t>
  </si>
  <si>
    <t>P001-42490</t>
  </si>
  <si>
    <t>P001-42493</t>
  </si>
  <si>
    <t>P001-42494</t>
  </si>
  <si>
    <t>P001-42496</t>
  </si>
  <si>
    <t xml:space="preserve">ARMAS CARDENAS </t>
  </si>
  <si>
    <t xml:space="preserve">COMPRA DE 1 CAJA DE AGUA / CAMISAN </t>
  </si>
  <si>
    <t>P002-32044</t>
  </si>
  <si>
    <t>P002-32050</t>
  </si>
  <si>
    <t xml:space="preserve">COMPRA DE 4.5 PIEDRA BASE / CLIENTE ANAYELY </t>
  </si>
  <si>
    <t>JUNIOR PUYEN 20-05</t>
  </si>
  <si>
    <t>CARLOS SILVA 18/05-21-05</t>
  </si>
  <si>
    <t xml:space="preserve">PAGO A MARVID </t>
  </si>
  <si>
    <t>00356907</t>
  </si>
  <si>
    <t>08135456</t>
  </si>
  <si>
    <t>08026518</t>
  </si>
  <si>
    <t>04190239</t>
  </si>
  <si>
    <t>00241489</t>
  </si>
  <si>
    <t>09122224</t>
  </si>
  <si>
    <t>03455831</t>
  </si>
  <si>
    <t>05473560</t>
  </si>
  <si>
    <t>03376613</t>
  </si>
  <si>
    <t>07358100</t>
  </si>
  <si>
    <t>P001-42507</t>
  </si>
  <si>
    <t>P001-42508</t>
  </si>
  <si>
    <t xml:space="preserve">MARIA GLADYS A CUENTA </t>
  </si>
  <si>
    <t>P001-42510</t>
  </si>
  <si>
    <t xml:space="preserve">COMBUSTIBLE FORLAND </t>
  </si>
  <si>
    <t>P002-32055</t>
  </si>
  <si>
    <t>01025189</t>
  </si>
  <si>
    <t>01312216</t>
  </si>
  <si>
    <t>01609292</t>
  </si>
  <si>
    <t xml:space="preserve">DEVOLUCION A JORDIN HERRERA </t>
  </si>
  <si>
    <t>22/05/2026</t>
  </si>
  <si>
    <t>04258581</t>
  </si>
  <si>
    <t>00288184</t>
  </si>
  <si>
    <t>00151360</t>
  </si>
  <si>
    <t>00133981</t>
  </si>
  <si>
    <t>04430173</t>
  </si>
  <si>
    <t>01134539</t>
  </si>
  <si>
    <t>01520192</t>
  </si>
  <si>
    <t>Pago YAPE de 19190</t>
  </si>
  <si>
    <t>02621982</t>
  </si>
  <si>
    <t>00123122</t>
  </si>
  <si>
    <t>07503176</t>
  </si>
  <si>
    <t>01211805</t>
  </si>
  <si>
    <t>00612635</t>
  </si>
  <si>
    <t>02906614</t>
  </si>
  <si>
    <t>00420190</t>
  </si>
  <si>
    <t>00390439</t>
  </si>
  <si>
    <t>03563134</t>
  </si>
  <si>
    <t>00177425</t>
  </si>
  <si>
    <t>02059474</t>
  </si>
  <si>
    <t>04942262</t>
  </si>
  <si>
    <t>04906307</t>
  </si>
  <si>
    <t>01878209</t>
  </si>
  <si>
    <t>00939623</t>
  </si>
  <si>
    <t>05911945</t>
  </si>
  <si>
    <t>06102098</t>
  </si>
  <si>
    <t>P001-42515</t>
  </si>
  <si>
    <t xml:space="preserve">ARREGLAR JBC - JEINER </t>
  </si>
  <si>
    <t>P001-42517</t>
  </si>
  <si>
    <t>P001-42520</t>
  </si>
  <si>
    <t xml:space="preserve">ARAMBULO </t>
  </si>
  <si>
    <t>TIGRE</t>
  </si>
  <si>
    <t>P002-32069</t>
  </si>
  <si>
    <t>P002-32077</t>
  </si>
  <si>
    <t xml:space="preserve">COMPRA 38 ARENA </t>
  </si>
  <si>
    <t xml:space="preserve">LEO CASTILLO </t>
  </si>
  <si>
    <t xml:space="preserve">MARVID / JORDIN </t>
  </si>
  <si>
    <t>P001-42535</t>
  </si>
  <si>
    <t xml:space="preserve">JULCA CARDOZO JOSE IVAN         </t>
  </si>
  <si>
    <t>23/05/2026</t>
  </si>
  <si>
    <t>01977873</t>
  </si>
  <si>
    <t>ENTR.EFEC. 0292969</t>
  </si>
  <si>
    <t>00292969</t>
  </si>
  <si>
    <t>04550040</t>
  </si>
  <si>
    <t>04445202</t>
  </si>
  <si>
    <t>03572197</t>
  </si>
  <si>
    <t>01024296</t>
  </si>
  <si>
    <t>01022005</t>
  </si>
  <si>
    <t>04724591</t>
  </si>
  <si>
    <t>03541038</t>
  </si>
  <si>
    <t>02213734</t>
  </si>
  <si>
    <t>P001-42542</t>
  </si>
  <si>
    <t>P001-42547</t>
  </si>
  <si>
    <t>P001-42548</t>
  </si>
  <si>
    <t xml:space="preserve">LLAJAS </t>
  </si>
  <si>
    <t xml:space="preserve">ATOCHE </t>
  </si>
  <si>
    <t>P001-42552</t>
  </si>
  <si>
    <t>01909212</t>
  </si>
  <si>
    <t>00509757</t>
  </si>
  <si>
    <t>Pago YAPE de 24594</t>
  </si>
  <si>
    <t>05412829</t>
  </si>
  <si>
    <t>03355257</t>
  </si>
  <si>
    <t xml:space="preserve">FREDY ALVA </t>
  </si>
  <si>
    <t>P002-32102</t>
  </si>
  <si>
    <t xml:space="preserve">OSORES QUIROZ </t>
  </si>
  <si>
    <t>TRANSPORTES MARIA ANTONIETA</t>
  </si>
  <si>
    <t>04171601</t>
  </si>
  <si>
    <t>04084319</t>
  </si>
  <si>
    <t>04064286</t>
  </si>
  <si>
    <t>03179786</t>
  </si>
  <si>
    <t xml:space="preserve">FACTURAS KT CONSTRUCTORA </t>
  </si>
  <si>
    <t>P001-42566</t>
  </si>
  <si>
    <t>CONSTRUCTORA FRONTERIZA</t>
  </si>
  <si>
    <t>ELMER 21-05</t>
  </si>
  <si>
    <t>25/05/2026</t>
  </si>
  <si>
    <t>01422418</t>
  </si>
  <si>
    <t>04110698</t>
  </si>
  <si>
    <t>Pago YAPE de 47514</t>
  </si>
  <si>
    <t>00409944</t>
  </si>
  <si>
    <t>03959442</t>
  </si>
  <si>
    <t>Pago YAPE de 31014</t>
  </si>
  <si>
    <t>02612649</t>
  </si>
  <si>
    <t>04010504</t>
  </si>
  <si>
    <t>24/05/2026</t>
  </si>
  <si>
    <t>03026038</t>
  </si>
  <si>
    <t>P002-32104</t>
  </si>
  <si>
    <t>P002-32120</t>
  </si>
  <si>
    <t>00472172</t>
  </si>
  <si>
    <t>01213414</t>
  </si>
  <si>
    <t>01197704</t>
  </si>
  <si>
    <t>04444714</t>
  </si>
  <si>
    <t>04802849</t>
  </si>
  <si>
    <t>04221358</t>
  </si>
  <si>
    <t>04834136</t>
  </si>
  <si>
    <t>00829805</t>
  </si>
  <si>
    <t>01469061</t>
  </si>
  <si>
    <t>P002-32127</t>
  </si>
  <si>
    <t xml:space="preserve">ELMER IVAN </t>
  </si>
  <si>
    <t>06100222</t>
  </si>
  <si>
    <t>04483886</t>
  </si>
  <si>
    <t>04482521</t>
  </si>
  <si>
    <t>04467541</t>
  </si>
  <si>
    <t>DEPOSITO AG 987266</t>
  </si>
  <si>
    <t>00107130</t>
  </si>
  <si>
    <t>DEPOSITO AG 991524</t>
  </si>
  <si>
    <t>00034783</t>
  </si>
  <si>
    <t>05415335</t>
  </si>
  <si>
    <t>04233335</t>
  </si>
  <si>
    <t>04171526</t>
  </si>
  <si>
    <t>02871828</t>
  </si>
  <si>
    <t>02532185</t>
  </si>
  <si>
    <t xml:space="preserve">INGRESO A CUENTA JORDIN </t>
  </si>
  <si>
    <t xml:space="preserve">DESCONTO LETRA BCP </t>
  </si>
  <si>
    <t>P002-42568</t>
  </si>
  <si>
    <t>P001-42570</t>
  </si>
  <si>
    <t>P001-42573</t>
  </si>
  <si>
    <t xml:space="preserve">ARREGLAR CARROS JBC FUSO </t>
  </si>
  <si>
    <t>P001-42581</t>
  </si>
  <si>
    <t xml:space="preserve">VALERIO RAMOS </t>
  </si>
  <si>
    <t>P002-32137</t>
  </si>
  <si>
    <t xml:space="preserve">ALARCON FLORES </t>
  </si>
  <si>
    <t>P002-32142</t>
  </si>
  <si>
    <t>P002-32145</t>
  </si>
  <si>
    <t>P002-32150</t>
  </si>
  <si>
    <t>P002-32132</t>
  </si>
  <si>
    <t>JHON SANCHEZ P002-31913</t>
  </si>
  <si>
    <t>JHON SANCHEZ P002-31920</t>
  </si>
  <si>
    <t>LATIN MINERALS CORP SAC</t>
  </si>
  <si>
    <t>P001-42564</t>
  </si>
  <si>
    <t xml:space="preserve">KT-A CONSTRUCTORA S.A.C.         </t>
  </si>
  <si>
    <t>P001-42559</t>
  </si>
  <si>
    <t>06091885</t>
  </si>
  <si>
    <t>06101792</t>
  </si>
  <si>
    <t>04581208</t>
  </si>
  <si>
    <t>04572265</t>
  </si>
  <si>
    <t>JORDIN HERRERA/ SE EQUIVOVO</t>
  </si>
  <si>
    <t xml:space="preserve">JORDIN HERRERA/SE DEVOLVIO </t>
  </si>
  <si>
    <t xml:space="preserve">INVERSIONES Y TRANSPORTES JH </t>
  </si>
  <si>
    <t>26/05/2026</t>
  </si>
  <si>
    <t>00555875</t>
  </si>
  <si>
    <t>00965171</t>
  </si>
  <si>
    <t>00547507</t>
  </si>
  <si>
    <t>00425541</t>
  </si>
  <si>
    <t>02151886</t>
  </si>
  <si>
    <t>01831958</t>
  </si>
  <si>
    <t>02342993</t>
  </si>
  <si>
    <t>00717092</t>
  </si>
  <si>
    <t>02606802</t>
  </si>
  <si>
    <t>Pago YAPE de 30528</t>
  </si>
  <si>
    <t>03709317</t>
  </si>
  <si>
    <t>01110111</t>
  </si>
  <si>
    <t>P002-32168</t>
  </si>
  <si>
    <t>P002-32162</t>
  </si>
  <si>
    <t>P001-42583</t>
  </si>
  <si>
    <t>P001-42584</t>
  </si>
  <si>
    <t xml:space="preserve">JUDITH OBLITAS </t>
  </si>
  <si>
    <t xml:space="preserve">DIFERENCIA DE CEMENTO ANDY RUIZ </t>
  </si>
  <si>
    <t>P002-32153</t>
  </si>
  <si>
    <t>04302125</t>
  </si>
  <si>
    <t>01245527</t>
  </si>
  <si>
    <t>02880662</t>
  </si>
  <si>
    <t>03989155</t>
  </si>
  <si>
    <t>27/05/2026</t>
  </si>
  <si>
    <t>SUNA004818190935</t>
  </si>
  <si>
    <t>06049513</t>
  </si>
  <si>
    <t>SUNA004818092143</t>
  </si>
  <si>
    <t>06051479</t>
  </si>
  <si>
    <t>02654337</t>
  </si>
  <si>
    <t>Pago YAPE de 19493</t>
  </si>
  <si>
    <t>02047097</t>
  </si>
  <si>
    <t>Pago YAPE de 43507</t>
  </si>
  <si>
    <t>00729094</t>
  </si>
  <si>
    <t>EMBARGO     953157</t>
  </si>
  <si>
    <t>00120408</t>
  </si>
  <si>
    <t>COM EMBARGO 953157</t>
  </si>
  <si>
    <t>00120407</t>
  </si>
  <si>
    <t>03727089</t>
  </si>
  <si>
    <t>00837620</t>
  </si>
  <si>
    <t>04121286</t>
  </si>
  <si>
    <t>02411872</t>
  </si>
  <si>
    <t>01506672</t>
  </si>
  <si>
    <t>00947431</t>
  </si>
  <si>
    <t>01314828</t>
  </si>
  <si>
    <t>00529368</t>
  </si>
  <si>
    <t>00216809</t>
  </si>
  <si>
    <t>00800730</t>
  </si>
  <si>
    <t>02820398</t>
  </si>
  <si>
    <t>04210786</t>
  </si>
  <si>
    <t>04320623</t>
  </si>
  <si>
    <t>ELEC000025148476</t>
  </si>
  <si>
    <t>06057552</t>
  </si>
  <si>
    <t>ELEC000038992546</t>
  </si>
  <si>
    <t>06056519</t>
  </si>
  <si>
    <t>ELEC000039005170</t>
  </si>
  <si>
    <t>06052513</t>
  </si>
  <si>
    <t>ELEC000025148485</t>
  </si>
  <si>
    <t>06049571</t>
  </si>
  <si>
    <t>ELEC000041090606</t>
  </si>
  <si>
    <t>06045597</t>
  </si>
  <si>
    <t>05705410</t>
  </si>
  <si>
    <t>01165507</t>
  </si>
  <si>
    <t>00313416</t>
  </si>
  <si>
    <t>00059293</t>
  </si>
  <si>
    <t>00695844</t>
  </si>
  <si>
    <t xml:space="preserve">SARMIENTO </t>
  </si>
  <si>
    <t xml:space="preserve">SANTOS </t>
  </si>
  <si>
    <t>P001-32615</t>
  </si>
  <si>
    <t>P001-42616</t>
  </si>
  <si>
    <t>P001-42617</t>
  </si>
  <si>
    <t xml:space="preserve">IRIGOIN </t>
  </si>
  <si>
    <t>P001-42621</t>
  </si>
  <si>
    <t>P001-42622</t>
  </si>
  <si>
    <t>P001-42628</t>
  </si>
  <si>
    <t>P002-32192</t>
  </si>
  <si>
    <t>P002-32191</t>
  </si>
  <si>
    <t xml:space="preserve">PAGOS RECIBOS DE LUZ </t>
  </si>
  <si>
    <t xml:space="preserve">SUNAT RENTA </t>
  </si>
  <si>
    <t xml:space="preserve">SUNAT SEGUROS </t>
  </si>
  <si>
    <t>P002-32184</t>
  </si>
  <si>
    <t>P002-32180</t>
  </si>
  <si>
    <t>P002-32178</t>
  </si>
  <si>
    <t>P002-32176</t>
  </si>
  <si>
    <t>06103300</t>
  </si>
  <si>
    <t>01773933</t>
  </si>
  <si>
    <t xml:space="preserve">PAGO ACEROS AREQUIPA </t>
  </si>
  <si>
    <t xml:space="preserve">SUNAT / POR DEVOLVER </t>
  </si>
  <si>
    <t>28/05/2026</t>
  </si>
  <si>
    <t>06078173</t>
  </si>
  <si>
    <t>03848196</t>
  </si>
  <si>
    <t>05425047</t>
  </si>
  <si>
    <t>05310907</t>
  </si>
  <si>
    <t>03261634</t>
  </si>
  <si>
    <t>03201628</t>
  </si>
  <si>
    <t>00199178</t>
  </si>
  <si>
    <t>01439607</t>
  </si>
  <si>
    <t>00755904</t>
  </si>
  <si>
    <t>04043359</t>
  </si>
  <si>
    <t>04227861</t>
  </si>
  <si>
    <t>01936047</t>
  </si>
  <si>
    <t>01839652</t>
  </si>
  <si>
    <t>01035561</t>
  </si>
  <si>
    <t>04222425</t>
  </si>
  <si>
    <t>06003866</t>
  </si>
  <si>
    <t>02111437</t>
  </si>
  <si>
    <t>03660548</t>
  </si>
  <si>
    <t>00768059</t>
  </si>
  <si>
    <t xml:space="preserve">CAMBIO DE ACEITE MOTO ROJA </t>
  </si>
  <si>
    <t xml:space="preserve">PRESTAMO BCP </t>
  </si>
  <si>
    <t>PAGO DE FIERRO ADJ/ANTERIOR</t>
  </si>
  <si>
    <t xml:space="preserve">CAMPOS </t>
  </si>
  <si>
    <t>P001-42638</t>
  </si>
  <si>
    <t>P001-42639</t>
  </si>
  <si>
    <t>P001-42641</t>
  </si>
  <si>
    <t xml:space="preserve">PAGO DE PRODUCTOS ARDILES </t>
  </si>
  <si>
    <t>P002-32200</t>
  </si>
  <si>
    <t>P002-32201</t>
  </si>
  <si>
    <t xml:space="preserve">DIAZ CHICOMA </t>
  </si>
  <si>
    <t>06202792</t>
  </si>
  <si>
    <t>06102609</t>
  </si>
  <si>
    <t>04182064</t>
  </si>
  <si>
    <t>P001-42652</t>
  </si>
  <si>
    <t>00342847</t>
  </si>
  <si>
    <t>P00200032210</t>
  </si>
  <si>
    <t>29/05/2026</t>
  </si>
  <si>
    <t>00029972</t>
  </si>
  <si>
    <t>01007925</t>
  </si>
  <si>
    <t>02264800</t>
  </si>
  <si>
    <t>02116773</t>
  </si>
  <si>
    <t>00935089</t>
  </si>
  <si>
    <t>00749414</t>
  </si>
  <si>
    <t>03206972</t>
  </si>
  <si>
    <t>01118155</t>
  </si>
  <si>
    <t>02110245</t>
  </si>
  <si>
    <t>02110186</t>
  </si>
  <si>
    <t>01515736</t>
  </si>
  <si>
    <t>04309630</t>
  </si>
  <si>
    <t>00374573</t>
  </si>
  <si>
    <t>04409596</t>
  </si>
  <si>
    <t>04403657</t>
  </si>
  <si>
    <t>05304622</t>
  </si>
  <si>
    <t>04017395</t>
  </si>
  <si>
    <t>DEV. EMBRGO 27/05</t>
  </si>
  <si>
    <t>04117746</t>
  </si>
  <si>
    <t>03048894</t>
  </si>
  <si>
    <t>DEV. COM. EMB 27/05</t>
  </si>
  <si>
    <t>04115916</t>
  </si>
  <si>
    <t>03631417</t>
  </si>
  <si>
    <t>01768655</t>
  </si>
  <si>
    <t>03581793</t>
  </si>
  <si>
    <t>04339734</t>
  </si>
  <si>
    <t>00983743</t>
  </si>
  <si>
    <t>00212508</t>
  </si>
  <si>
    <t>P002-32212</t>
  </si>
  <si>
    <t>P002-32215</t>
  </si>
  <si>
    <t>P001-42653</t>
  </si>
  <si>
    <t>P001-42654</t>
  </si>
  <si>
    <t>LLAJAS</t>
  </si>
  <si>
    <t>UCEDA 15/05-20-05</t>
  </si>
  <si>
    <t>P002-32227</t>
  </si>
  <si>
    <t>P001-42659</t>
  </si>
  <si>
    <t xml:space="preserve">EMPRESA AGROINDUSTRIAL POMALCA </t>
  </si>
  <si>
    <t>P001-42661</t>
  </si>
  <si>
    <t>P001-42669</t>
  </si>
  <si>
    <t>P001-42670</t>
  </si>
  <si>
    <t xml:space="preserve">BENEDICTO SALAZAR </t>
  </si>
  <si>
    <t xml:space="preserve">DEVOLUCION DE EMBARGO SUNAT </t>
  </si>
  <si>
    <t xml:space="preserve">SANCHEZ VASQUEZ </t>
  </si>
  <si>
    <t>P002-32217</t>
  </si>
  <si>
    <t>LLUEN SECLEN JUAN FRANCISCO</t>
  </si>
  <si>
    <t>P002-32222</t>
  </si>
  <si>
    <t>AUTO FACIL EN CUOTAS, ISABEL E.I.R.L.</t>
  </si>
  <si>
    <t>P002-32229</t>
  </si>
  <si>
    <t>03982170</t>
  </si>
  <si>
    <t>03795869</t>
  </si>
  <si>
    <t>04668636</t>
  </si>
  <si>
    <t>06122653</t>
  </si>
  <si>
    <t>06134096</t>
  </si>
  <si>
    <t>04990208</t>
  </si>
  <si>
    <t xml:space="preserve">INVERSIONES Y TRASNPORTES JH </t>
  </si>
  <si>
    <t xml:space="preserve">ADELANTO VASQUEZ CAMPOS </t>
  </si>
  <si>
    <t>30/05/2026</t>
  </si>
  <si>
    <t>06033211</t>
  </si>
  <si>
    <t>06040038</t>
  </si>
  <si>
    <t>03211070</t>
  </si>
  <si>
    <t>03716273</t>
  </si>
  <si>
    <t>01079258</t>
  </si>
  <si>
    <t>02010824</t>
  </si>
  <si>
    <t>01217259</t>
  </si>
  <si>
    <t>Pago YAPE de 31096</t>
  </si>
  <si>
    <t>01710194</t>
  </si>
  <si>
    <t>00697756</t>
  </si>
  <si>
    <t>01612352</t>
  </si>
  <si>
    <t>02916451</t>
  </si>
  <si>
    <t>05460755</t>
  </si>
  <si>
    <t>05340698</t>
  </si>
  <si>
    <t>05275140</t>
  </si>
  <si>
    <t>02895292</t>
  </si>
  <si>
    <t>05174665</t>
  </si>
  <si>
    <t>05173533</t>
  </si>
  <si>
    <t>04838056</t>
  </si>
  <si>
    <t>04810025</t>
  </si>
  <si>
    <t>02061548</t>
  </si>
  <si>
    <t>05603436</t>
  </si>
  <si>
    <t>01591970</t>
  </si>
  <si>
    <t>04387132</t>
  </si>
  <si>
    <t>01885518</t>
  </si>
  <si>
    <t>03811240</t>
  </si>
  <si>
    <t>03460271</t>
  </si>
  <si>
    <t>01567847</t>
  </si>
  <si>
    <t>01272762</t>
  </si>
  <si>
    <t>02773590</t>
  </si>
  <si>
    <t>00661950</t>
  </si>
  <si>
    <t>02713459</t>
  </si>
  <si>
    <t>01733952</t>
  </si>
  <si>
    <t>P001-42678</t>
  </si>
  <si>
    <t xml:space="preserve">SANTOS URRUTIA </t>
  </si>
  <si>
    <t>P001-42684</t>
  </si>
  <si>
    <t xml:space="preserve">HERNANDEZ </t>
  </si>
  <si>
    <t>P001-42693</t>
  </si>
  <si>
    <t>P001-42698</t>
  </si>
  <si>
    <t xml:space="preserve">CARLOS CABRERA </t>
  </si>
  <si>
    <t xml:space="preserve">A CUENTA CARLOS SILVA </t>
  </si>
  <si>
    <t>P001-42700</t>
  </si>
  <si>
    <t xml:space="preserve">VENTA DE FACTURAS KT </t>
  </si>
  <si>
    <t>P002-32237</t>
  </si>
  <si>
    <t>P002-32238</t>
  </si>
  <si>
    <t>1 TNL FIERRO 3/4</t>
  </si>
  <si>
    <t xml:space="preserve">A CUENTA FIERRO ADJ </t>
  </si>
  <si>
    <t xml:space="preserve">TAPIA VAQUEZ </t>
  </si>
  <si>
    <t>P002-32253</t>
  </si>
  <si>
    <t>P002-32254</t>
  </si>
  <si>
    <t>P002-32256</t>
  </si>
  <si>
    <t xml:space="preserve">ROYDER </t>
  </si>
  <si>
    <t>P001-42694</t>
  </si>
  <si>
    <t>06144401</t>
  </si>
  <si>
    <t>ABON PLIN-JULIO CABRER</t>
  </si>
  <si>
    <t>00839094</t>
  </si>
  <si>
    <t>06124957</t>
  </si>
  <si>
    <t>05560087</t>
  </si>
  <si>
    <t>06008778</t>
  </si>
  <si>
    <t>ESTRELLA MONTEZA AYRTHON AGUSTIN</t>
  </si>
  <si>
    <t xml:space="preserve">CAMPOS BURGOS SALOMON     </t>
  </si>
  <si>
    <t>REPORTE YOVER</t>
  </si>
  <si>
    <t>P002-32260</t>
  </si>
  <si>
    <t xml:space="preserve">A CUENTA CEMENTO MARVID </t>
  </si>
  <si>
    <t>01/06/2026</t>
  </si>
  <si>
    <t>03387195</t>
  </si>
  <si>
    <t>06057224</t>
  </si>
  <si>
    <t>Yape Wagner Gas</t>
  </si>
  <si>
    <t>07955214</t>
  </si>
  <si>
    <t>01933235</t>
  </si>
  <si>
    <t>01280522</t>
  </si>
  <si>
    <t>Yape INVERSIONES SD</t>
  </si>
  <si>
    <t>08505653</t>
  </si>
  <si>
    <t>08405057</t>
  </si>
  <si>
    <t>01167717</t>
  </si>
  <si>
    <t>Yape Lucia Mec</t>
  </si>
  <si>
    <t>05502905</t>
  </si>
  <si>
    <t>31/05/2026</t>
  </si>
  <si>
    <t>07107812</t>
  </si>
  <si>
    <t>COM.MANTENIM</t>
  </si>
  <si>
    <t>ENVIO.EST.CTA</t>
  </si>
  <si>
    <t>01020173</t>
  </si>
  <si>
    <t xml:space="preserve">DESCUENTO DE MANTENIMIENTO </t>
  </si>
  <si>
    <t xml:space="preserve">ENVIO DE ESTADO DE CUENTA </t>
  </si>
  <si>
    <t xml:space="preserve">CARDOZO </t>
  </si>
  <si>
    <t xml:space="preserve">PURIHUAMAN </t>
  </si>
  <si>
    <t xml:space="preserve">PLIN </t>
  </si>
  <si>
    <t>P001-42708</t>
  </si>
  <si>
    <t>P001-42711</t>
  </si>
  <si>
    <t>P001-41716</t>
  </si>
  <si>
    <t>P001-42723</t>
  </si>
  <si>
    <t>P001-42725</t>
  </si>
  <si>
    <t>P001-42728</t>
  </si>
  <si>
    <t>P001-42729</t>
  </si>
  <si>
    <t>P001-42730</t>
  </si>
  <si>
    <t>P001-42732</t>
  </si>
  <si>
    <t xml:space="preserve">1.5 EFECTIVO </t>
  </si>
  <si>
    <t>P001-42733</t>
  </si>
  <si>
    <t xml:space="preserve">SILVIA </t>
  </si>
  <si>
    <t>P001-42736</t>
  </si>
  <si>
    <t>P001-42740</t>
  </si>
  <si>
    <t>P001-42742</t>
  </si>
  <si>
    <t>P001-42743</t>
  </si>
  <si>
    <t xml:space="preserve">PURIHUAMAN - 100 EFECTIVO </t>
  </si>
  <si>
    <t>P001-42745</t>
  </si>
  <si>
    <t>P001-42744</t>
  </si>
  <si>
    <t xml:space="preserve">A CUENTA CABANILLAS </t>
  </si>
  <si>
    <t>P001-42746</t>
  </si>
  <si>
    <t xml:space="preserve">KT  CONSTRUCTORA </t>
  </si>
  <si>
    <t>P001-42752</t>
  </si>
  <si>
    <t xml:space="preserve">GASTELO </t>
  </si>
  <si>
    <t xml:space="preserve">CAMARAS DE VIGILANCIA / JORDIN </t>
  </si>
  <si>
    <t xml:space="preserve">COMPRA DE 1 TNL 3/8 3000 EFECTIVO 810 YAPE </t>
  </si>
  <si>
    <t>P002-32271</t>
  </si>
  <si>
    <t>01234830</t>
  </si>
  <si>
    <t>03616121</t>
  </si>
  <si>
    <t>04632608</t>
  </si>
  <si>
    <t>08785750</t>
  </si>
  <si>
    <t>09481785</t>
  </si>
  <si>
    <t>09381424</t>
  </si>
  <si>
    <t>Yape Bides Acu</t>
  </si>
  <si>
    <t>02573295</t>
  </si>
  <si>
    <t>03567929</t>
  </si>
  <si>
    <t>06148232</t>
  </si>
  <si>
    <t>02/06/2026</t>
  </si>
  <si>
    <t>DEPOSITO AG 373055</t>
  </si>
  <si>
    <t>00114600</t>
  </si>
  <si>
    <t>00114542</t>
  </si>
  <si>
    <t>00114537</t>
  </si>
  <si>
    <t>01621383</t>
  </si>
  <si>
    <t>01244090</t>
  </si>
  <si>
    <t>01216938</t>
  </si>
  <si>
    <t>07433539</t>
  </si>
  <si>
    <t>02443384</t>
  </si>
  <si>
    <t>02142589</t>
  </si>
  <si>
    <t>Yape Cesar Ben</t>
  </si>
  <si>
    <t>01665945</t>
  </si>
  <si>
    <t>P002-32278</t>
  </si>
  <si>
    <t>P001-42779</t>
  </si>
  <si>
    <t xml:space="preserve">ROIDER </t>
  </si>
  <si>
    <t xml:space="preserve">SIXTO BURGOS </t>
  </si>
  <si>
    <t xml:space="preserve">JACOBITA  </t>
  </si>
  <si>
    <t>06101918</t>
  </si>
  <si>
    <t>06092929</t>
  </si>
  <si>
    <t>Yape Ayrthon Est</t>
  </si>
  <si>
    <t>02933040</t>
  </si>
  <si>
    <t>02539772</t>
  </si>
  <si>
    <t>02838688</t>
  </si>
  <si>
    <t>04759260</t>
  </si>
  <si>
    <t>08873301</t>
  </si>
  <si>
    <t>08441865</t>
  </si>
  <si>
    <t xml:space="preserve">A CUENTA DE CEMENTO MARVID </t>
  </si>
  <si>
    <t xml:space="preserve">DEVOLUCION DE DEPOSITO INVERSIONES JH </t>
  </si>
  <si>
    <t xml:space="preserve">NAPO </t>
  </si>
  <si>
    <t xml:space="preserve">NAPO GUEVARA / JORDIN </t>
  </si>
  <si>
    <t>P001-42788</t>
  </si>
  <si>
    <t>03/06/2026</t>
  </si>
  <si>
    <t>Yape Viviana Flo</t>
  </si>
  <si>
    <t>01728321</t>
  </si>
  <si>
    <t>00177913</t>
  </si>
  <si>
    <t>Yape Adrian Del</t>
  </si>
  <si>
    <t>04447893</t>
  </si>
  <si>
    <t>01518148</t>
  </si>
  <si>
    <t>01470322</t>
  </si>
  <si>
    <t>08405140</t>
  </si>
  <si>
    <t>Yape Silvia Cay</t>
  </si>
  <si>
    <t>07380064</t>
  </si>
  <si>
    <t>Yape Norma Dia</t>
  </si>
  <si>
    <t>07801400</t>
  </si>
  <si>
    <t>05087607</t>
  </si>
  <si>
    <t>04010988</t>
  </si>
  <si>
    <t>00410795</t>
  </si>
  <si>
    <t>03511298</t>
  </si>
  <si>
    <t>04493680</t>
  </si>
  <si>
    <t xml:space="preserve">PAGO DE INTERNET </t>
  </si>
  <si>
    <t xml:space="preserve">PAGO CELULAR YOVER Y NAYELY </t>
  </si>
  <si>
    <t xml:space="preserve">PAGO CELULAR PRINCIPAL </t>
  </si>
  <si>
    <t>P001-42799</t>
  </si>
  <si>
    <t>P001-42802</t>
  </si>
  <si>
    <t>P001-42804</t>
  </si>
  <si>
    <t>P001-42809</t>
  </si>
  <si>
    <t>P002-32296</t>
  </si>
  <si>
    <t>P001-42812</t>
  </si>
  <si>
    <t>02426349</t>
  </si>
  <si>
    <t>FERNANDEZ LOPEZ ROIDER</t>
  </si>
  <si>
    <t>06092858</t>
  </si>
  <si>
    <t>04/06/2026</t>
  </si>
  <si>
    <t>03682212</t>
  </si>
  <si>
    <t>ABON PLIN-RONALD SALAZ</t>
  </si>
  <si>
    <t>00188884</t>
  </si>
  <si>
    <t>03653187</t>
  </si>
  <si>
    <t>00170840</t>
  </si>
  <si>
    <t>00187951</t>
  </si>
  <si>
    <t>03627792</t>
  </si>
  <si>
    <t>08930332</t>
  </si>
  <si>
    <t>02246410</t>
  </si>
  <si>
    <t>02035060</t>
  </si>
  <si>
    <t>Yape Brenilda Sal</t>
  </si>
  <si>
    <t>01411309</t>
  </si>
  <si>
    <t>04728923</t>
  </si>
  <si>
    <t>04614047</t>
  </si>
  <si>
    <t>00519074</t>
  </si>
  <si>
    <t>00852037</t>
  </si>
  <si>
    <t>Yape Yunior Hua</t>
  </si>
  <si>
    <t>01790758</t>
  </si>
  <si>
    <t>00165988</t>
  </si>
  <si>
    <t>P001-42830</t>
  </si>
  <si>
    <t>P001-42831</t>
  </si>
  <si>
    <t>P002-32307</t>
  </si>
  <si>
    <t>P001-42852</t>
  </si>
  <si>
    <t>GUEVARA VASQUEZ SEGUNDO</t>
  </si>
  <si>
    <t xml:space="preserve">HUAMAN MORI MILDER DEYBI </t>
  </si>
  <si>
    <t>06092408</t>
  </si>
  <si>
    <t>06094341</t>
  </si>
  <si>
    <t>04550635</t>
  </si>
  <si>
    <t>04394270</t>
  </si>
  <si>
    <t>Yape Julio Nai</t>
  </si>
  <si>
    <t>03042143</t>
  </si>
  <si>
    <t>08677473</t>
  </si>
  <si>
    <t xml:space="preserve">DIFERENCIA DE CEMENTO MARVID </t>
  </si>
  <si>
    <t xml:space="preserve">RAPIMIX MARVID </t>
  </si>
  <si>
    <t xml:space="preserve">ROSALES A CUENTA </t>
  </si>
  <si>
    <t xml:space="preserve">CONSTRUCTORA E INMOBILIARIA VINCI S.A.C. </t>
  </si>
  <si>
    <t xml:space="preserve">ZAMORA CIEZA WALTER      </t>
  </si>
  <si>
    <t>05/06/2026</t>
  </si>
  <si>
    <t>00219128</t>
  </si>
  <si>
    <t>05634705</t>
  </si>
  <si>
    <t>00628808</t>
  </si>
  <si>
    <t>06081741</t>
  </si>
  <si>
    <t>07599904</t>
  </si>
  <si>
    <t>ABON PLIN-LUIS FERNAND</t>
  </si>
  <si>
    <t>00649116</t>
  </si>
  <si>
    <t>00238030</t>
  </si>
  <si>
    <t>03483831</t>
  </si>
  <si>
    <t>03086110</t>
  </si>
  <si>
    <t>04866278</t>
  </si>
  <si>
    <t>04764262</t>
  </si>
  <si>
    <t>05419588</t>
  </si>
  <si>
    <t>06612166</t>
  </si>
  <si>
    <t>00685795</t>
  </si>
  <si>
    <t>Yape Luis Lor</t>
  </si>
  <si>
    <t>00732941</t>
  </si>
  <si>
    <t>01304549</t>
  </si>
  <si>
    <t>08622666</t>
  </si>
  <si>
    <t>01044415</t>
  </si>
  <si>
    <t>00971079</t>
  </si>
  <si>
    <t>05988417</t>
  </si>
  <si>
    <t>07407467</t>
  </si>
  <si>
    <t xml:space="preserve">ROSALES MAYTA NILDO MIRARDO   </t>
  </si>
  <si>
    <t xml:space="preserve">1 CAJA DE AGUA Y PESTAÑA </t>
  </si>
  <si>
    <t xml:space="preserve">1/2 ARENILLA </t>
  </si>
  <si>
    <t>16 FIERRO 5/8</t>
  </si>
  <si>
    <t>P001-42857</t>
  </si>
  <si>
    <t xml:space="preserve">LUIS FERNANDO </t>
  </si>
  <si>
    <t>P001-42859</t>
  </si>
  <si>
    <t xml:space="preserve">3 HORAS MONTACARGA </t>
  </si>
  <si>
    <t>P001-42861</t>
  </si>
  <si>
    <t xml:space="preserve">CLUB DE CAZA Y PESCA DEPORTIVA Y TIRO AL VUELO </t>
  </si>
  <si>
    <t>P002-32323</t>
  </si>
  <si>
    <t xml:space="preserve">ADJ -1 PQT DE 12MM </t>
  </si>
  <si>
    <t xml:space="preserve">ZAMORA CIEZA WALTER     </t>
  </si>
  <si>
    <t xml:space="preserve">CAMPOS CASTRO LUIS FERNANDO  </t>
  </si>
  <si>
    <t>06/06/2026</t>
  </si>
  <si>
    <t>01410873</t>
  </si>
  <si>
    <t>02813645</t>
  </si>
  <si>
    <t>05714207</t>
  </si>
  <si>
    <t>02880930</t>
  </si>
  <si>
    <t>05092891</t>
  </si>
  <si>
    <t>Yape Juan Sux</t>
  </si>
  <si>
    <t>03964191</t>
  </si>
  <si>
    <t>05711831</t>
  </si>
  <si>
    <t>00546871</t>
  </si>
  <si>
    <t>Yape Anyela Cab</t>
  </si>
  <si>
    <t>03500240</t>
  </si>
  <si>
    <t>00524428</t>
  </si>
  <si>
    <t>Yape Jose Tig</t>
  </si>
  <si>
    <t>00383719</t>
  </si>
  <si>
    <t>04441352</t>
  </si>
  <si>
    <t>01394211</t>
  </si>
  <si>
    <t>09405029</t>
  </si>
  <si>
    <t>Yape Jhon Sal</t>
  </si>
  <si>
    <t>08233267</t>
  </si>
  <si>
    <t>Yape Angel Fer</t>
  </si>
  <si>
    <t>08161518</t>
  </si>
  <si>
    <t>03195075</t>
  </si>
  <si>
    <t>06381742</t>
  </si>
  <si>
    <t>Yape Norma Mat</t>
  </si>
  <si>
    <t>07239251</t>
  </si>
  <si>
    <t>00615933</t>
  </si>
  <si>
    <t>03514610</t>
  </si>
  <si>
    <t>05916979</t>
  </si>
  <si>
    <t>P001-42881</t>
  </si>
  <si>
    <t>Yape Jesus Aba</t>
  </si>
  <si>
    <t>07783162</t>
  </si>
  <si>
    <t>00864912</t>
  </si>
  <si>
    <t>Yape Audias Per</t>
  </si>
  <si>
    <t>06535075</t>
  </si>
  <si>
    <t>04423157</t>
  </si>
  <si>
    <t>P001-42887</t>
  </si>
  <si>
    <t>P001-42890</t>
  </si>
  <si>
    <t>P002-32346</t>
  </si>
  <si>
    <t xml:space="preserve">TIGRE </t>
  </si>
  <si>
    <t>P002-32342</t>
  </si>
  <si>
    <t>P002-32337</t>
  </si>
  <si>
    <t>P002-32336</t>
  </si>
  <si>
    <t>P002-32335</t>
  </si>
  <si>
    <t>P002-32333</t>
  </si>
  <si>
    <t>P002-32331</t>
  </si>
  <si>
    <t xml:space="preserve">ZAMORA CIEZA WALTER  </t>
  </si>
  <si>
    <t>DIAZ CHICOMA MILTON HUGO</t>
  </si>
  <si>
    <t>06084376</t>
  </si>
  <si>
    <t>00491061</t>
  </si>
  <si>
    <t>Yape Juan Vas</t>
  </si>
  <si>
    <t>03110862</t>
  </si>
  <si>
    <t xml:space="preserve">CAMIZAN AQUINO </t>
  </si>
  <si>
    <t>06257512</t>
  </si>
  <si>
    <t>01968150</t>
  </si>
  <si>
    <t>06028555</t>
  </si>
  <si>
    <t>Yape Julio Her</t>
  </si>
  <si>
    <t>02259793</t>
  </si>
  <si>
    <t>Yape Salomon Cam</t>
  </si>
  <si>
    <t>01013170</t>
  </si>
  <si>
    <t>CAMPOS BURGOS SALOMON</t>
  </si>
  <si>
    <t>P002-32353</t>
  </si>
  <si>
    <t xml:space="preserve">ARREGLO MOTO Y CAMARAS / JORDIN </t>
  </si>
  <si>
    <t>08/06/2026</t>
  </si>
  <si>
    <t>Yape Leyla Cas</t>
  </si>
  <si>
    <t>09776126</t>
  </si>
  <si>
    <t>01327287</t>
  </si>
  <si>
    <t>Yape Edgar Vil</t>
  </si>
  <si>
    <t>07176208</t>
  </si>
  <si>
    <t>02415574</t>
  </si>
  <si>
    <t>00069102</t>
  </si>
  <si>
    <t>08327881</t>
  </si>
  <si>
    <t>07268499</t>
  </si>
  <si>
    <t>06477974</t>
  </si>
  <si>
    <t>01492817</t>
  </si>
  <si>
    <t>01480847</t>
  </si>
  <si>
    <t>05380831</t>
  </si>
  <si>
    <t>04440759</t>
  </si>
  <si>
    <t>00605801</t>
  </si>
  <si>
    <t>Yape Jose Luc</t>
  </si>
  <si>
    <t>05132988</t>
  </si>
  <si>
    <t>00403143</t>
  </si>
  <si>
    <t xml:space="preserve">FACTURAS KT </t>
  </si>
  <si>
    <t>P001-42895</t>
  </si>
  <si>
    <t>P001-42902</t>
  </si>
  <si>
    <t>P001-42905</t>
  </si>
  <si>
    <t>HUAMAN MORI</t>
  </si>
  <si>
    <t xml:space="preserve">PROGRESO PATAPO / A CUENTA </t>
  </si>
  <si>
    <t>P002-32362</t>
  </si>
  <si>
    <t>550653F13462</t>
  </si>
  <si>
    <t>P002-32364</t>
  </si>
  <si>
    <t>P002-32367</t>
  </si>
  <si>
    <t>P002-32369</t>
  </si>
  <si>
    <t>P002-32370</t>
  </si>
  <si>
    <t>P002-32373</t>
  </si>
  <si>
    <t>Yape Milton Dia</t>
  </si>
  <si>
    <t>05675838</t>
  </si>
  <si>
    <t>02461656</t>
  </si>
  <si>
    <t>Yape Kevin Jib</t>
  </si>
  <si>
    <t>02167648</t>
  </si>
  <si>
    <t>ENTR.EFEC. 0713916</t>
  </si>
  <si>
    <t>00713916</t>
  </si>
  <si>
    <t>07150662</t>
  </si>
  <si>
    <t>02093412</t>
  </si>
  <si>
    <t>02095377</t>
  </si>
  <si>
    <t>P001-42912</t>
  </si>
  <si>
    <t>P001-42916</t>
  </si>
  <si>
    <t xml:space="preserve">JIBAJA </t>
  </si>
  <si>
    <t>05161055</t>
  </si>
  <si>
    <t>06097826</t>
  </si>
  <si>
    <t>06103802</t>
  </si>
  <si>
    <t>Yape Denilson Cue</t>
  </si>
  <si>
    <t>02148362</t>
  </si>
  <si>
    <t>04648770</t>
  </si>
  <si>
    <t>04607158</t>
  </si>
  <si>
    <t xml:space="preserve">CLIDER - MIRAFLORES   </t>
  </si>
  <si>
    <t>P00100042922</t>
  </si>
  <si>
    <t xml:space="preserve">PAKATNAMU FIERRO </t>
  </si>
  <si>
    <t xml:space="preserve">INVERSIONES Y TRANSPORTES JH / PRESTADO </t>
  </si>
  <si>
    <t>08709472</t>
  </si>
  <si>
    <t xml:space="preserve">CARGUIO COFESEG </t>
  </si>
  <si>
    <t>09/06/2026</t>
  </si>
  <si>
    <t>09297987</t>
  </si>
  <si>
    <t>01765424</t>
  </si>
  <si>
    <t>01470888</t>
  </si>
  <si>
    <t>07650975</t>
  </si>
  <si>
    <t>Yape Roider Fer</t>
  </si>
  <si>
    <t>09718831</t>
  </si>
  <si>
    <t>Yape Manuel Zam</t>
  </si>
  <si>
    <t>05941966</t>
  </si>
  <si>
    <t>06313668</t>
  </si>
  <si>
    <t>ABON PLIN-JAMES ALARCO</t>
  </si>
  <si>
    <t>00977325</t>
  </si>
  <si>
    <t>Yape David Cam</t>
  </si>
  <si>
    <t>05043610</t>
  </si>
  <si>
    <t>06095331</t>
  </si>
  <si>
    <t>04499965</t>
  </si>
  <si>
    <t>04512468</t>
  </si>
  <si>
    <t>ABON PLIN-DAVID MOISES</t>
  </si>
  <si>
    <t>00585490</t>
  </si>
  <si>
    <t>02933015</t>
  </si>
  <si>
    <t>Yape Jose Tor</t>
  </si>
  <si>
    <t>06390373</t>
  </si>
  <si>
    <t xml:space="preserve">ADELANTO MARVID CEMENTO </t>
  </si>
  <si>
    <t>P002-32396</t>
  </si>
  <si>
    <t>P002-32395</t>
  </si>
  <si>
    <t xml:space="preserve">VASQUEZ CALUA </t>
  </si>
  <si>
    <t xml:space="preserve">SEGIK INGENIEROS SOCIEDAD ANONIMA CERRADA   </t>
  </si>
  <si>
    <t xml:space="preserve">TORRES HERNANDEZ JOSE FRANKLIN   </t>
  </si>
  <si>
    <t>SANCHEZ VASQUEZ ELVA MARINA</t>
  </si>
  <si>
    <t xml:space="preserve">KT-A CONSTRUCTORA S.A.C.          </t>
  </si>
  <si>
    <t xml:space="preserve">MAESTRO VEGA              </t>
  </si>
  <si>
    <t>10/06/2026</t>
  </si>
  <si>
    <t>01775733</t>
  </si>
  <si>
    <t>07667968</t>
  </si>
  <si>
    <t>07424472</t>
  </si>
  <si>
    <t>07845044</t>
  </si>
  <si>
    <t>Yape Maria Chu</t>
  </si>
  <si>
    <t>06650212</t>
  </si>
  <si>
    <t>06177198</t>
  </si>
  <si>
    <t>Yape Luz Ang</t>
  </si>
  <si>
    <t>04947375</t>
  </si>
  <si>
    <t>01254003</t>
  </si>
  <si>
    <t>07617644</t>
  </si>
  <si>
    <t>02891476</t>
  </si>
  <si>
    <t>Yape Elmer Bau</t>
  </si>
  <si>
    <t>07145093</t>
  </si>
  <si>
    <t>09214640</t>
  </si>
  <si>
    <t>Yape Jeyson Dia</t>
  </si>
  <si>
    <t>00860553</t>
  </si>
  <si>
    <t>P002-32412</t>
  </si>
  <si>
    <t xml:space="preserve">3.5 PIEDRA BASE </t>
  </si>
  <si>
    <t xml:space="preserve">CONTINENTAL </t>
  </si>
  <si>
    <t xml:space="preserve">A CUENTA ELMER BAUTISTA </t>
  </si>
  <si>
    <t>P002-32417</t>
  </si>
  <si>
    <t xml:space="preserve">TORRES </t>
  </si>
  <si>
    <t xml:space="preserve">TUBOS LUZ 3/4 PAVCO </t>
  </si>
  <si>
    <t xml:space="preserve">CHIRINOS RIOJAS RONALD ALEXIS    </t>
  </si>
  <si>
    <t xml:space="preserve">SERVICIOS GOLDEN STAR E.I.R.L.  </t>
  </si>
  <si>
    <t xml:space="preserve">CAMPOS BURGOS SALOMON </t>
  </si>
  <si>
    <t>09816617</t>
  </si>
  <si>
    <t>09724204</t>
  </si>
  <si>
    <t>04003690</t>
  </si>
  <si>
    <t>06283029</t>
  </si>
  <si>
    <t>02712584</t>
  </si>
  <si>
    <t>06068932</t>
  </si>
  <si>
    <t>Yape Juan Idr</t>
  </si>
  <si>
    <t>06649943</t>
  </si>
  <si>
    <t>08788333</t>
  </si>
  <si>
    <t>Yape Soledad Dia</t>
  </si>
  <si>
    <t>06641754</t>
  </si>
  <si>
    <t>03531959</t>
  </si>
  <si>
    <t>09984966</t>
  </si>
  <si>
    <t>PROD020600134648</t>
  </si>
  <si>
    <t>06060607</t>
  </si>
  <si>
    <t>03488289</t>
  </si>
  <si>
    <t>06070505</t>
  </si>
  <si>
    <t>Yape Dario Cor</t>
  </si>
  <si>
    <t>03977412</t>
  </si>
  <si>
    <t>08758551</t>
  </si>
  <si>
    <t>02771922</t>
  </si>
  <si>
    <t>Yape William Jib</t>
  </si>
  <si>
    <t>03624019</t>
  </si>
  <si>
    <t>P002-32420</t>
  </si>
  <si>
    <t>P002-32423</t>
  </si>
  <si>
    <t>P001-42959</t>
  </si>
  <si>
    <t>P001-42960</t>
  </si>
  <si>
    <t>P001-42961</t>
  </si>
  <si>
    <t xml:space="preserve">FUSO LUCAS/ WALTER </t>
  </si>
  <si>
    <t>P001-42965</t>
  </si>
  <si>
    <t>P001-42966</t>
  </si>
  <si>
    <t>P001-42969</t>
  </si>
  <si>
    <t xml:space="preserve">4 PIEDRA CHANCADA /JH </t>
  </si>
  <si>
    <t xml:space="preserve">3.5 ARENA /3.5 P CHANCADA </t>
  </si>
  <si>
    <t xml:space="preserve">ALAMBRE PRODAC </t>
  </si>
  <si>
    <t xml:space="preserve">ALAMBRE PRODAC / JORDIN </t>
  </si>
  <si>
    <t xml:space="preserve">CABLES Y TERMOMAGNETICAS </t>
  </si>
  <si>
    <t>09653107</t>
  </si>
  <si>
    <t>12/06/2026</t>
  </si>
  <si>
    <t>06025604</t>
  </si>
  <si>
    <t>02579654</t>
  </si>
  <si>
    <t>06696054</t>
  </si>
  <si>
    <t>Yape Cesar Her</t>
  </si>
  <si>
    <t>08238446</t>
  </si>
  <si>
    <t>Yape Herly Zar</t>
  </si>
  <si>
    <t>08641374</t>
  </si>
  <si>
    <t>Yape Hugo Mir</t>
  </si>
  <si>
    <t>00762846</t>
  </si>
  <si>
    <t>Yape Romulo Dav</t>
  </si>
  <si>
    <t>07151895</t>
  </si>
  <si>
    <t>00970392</t>
  </si>
  <si>
    <t>Yape Maria Neg</t>
  </si>
  <si>
    <t>07327850</t>
  </si>
  <si>
    <t>02897646</t>
  </si>
  <si>
    <t>00647077</t>
  </si>
  <si>
    <t>Yape Roque Mor</t>
  </si>
  <si>
    <t>07763656</t>
  </si>
  <si>
    <t>09100810</t>
  </si>
  <si>
    <t>02976726</t>
  </si>
  <si>
    <t>Yape Richard Gut</t>
  </si>
  <si>
    <t>01178238</t>
  </si>
  <si>
    <t>06707923</t>
  </si>
  <si>
    <t>Yape JC CENTRAL DE I</t>
  </si>
  <si>
    <t>01392232</t>
  </si>
  <si>
    <t>Yape Juan Men</t>
  </si>
  <si>
    <t>03711751</t>
  </si>
  <si>
    <t>Yape Andres Ant</t>
  </si>
  <si>
    <t>00783039</t>
  </si>
  <si>
    <t>01180005</t>
  </si>
  <si>
    <t xml:space="preserve">NEGRON </t>
  </si>
  <si>
    <t>P001-43035</t>
  </si>
  <si>
    <t>P002-32436</t>
  </si>
  <si>
    <t>P001-43036</t>
  </si>
  <si>
    <t>P001-43039</t>
  </si>
  <si>
    <t xml:space="preserve">MARVID CEMENTO </t>
  </si>
  <si>
    <t xml:space="preserve">2 AFIRMADO </t>
  </si>
  <si>
    <t>P002-32439</t>
  </si>
  <si>
    <t xml:space="preserve">MENDEZ </t>
  </si>
  <si>
    <t xml:space="preserve">PERNOS DE CARRO LUCAS </t>
  </si>
  <si>
    <t>P002-32448</t>
  </si>
  <si>
    <t xml:space="preserve">RUIZ SALAZAR </t>
  </si>
  <si>
    <t xml:space="preserve">2 LLANTAS /ROQUE </t>
  </si>
  <si>
    <t>P002-32446</t>
  </si>
  <si>
    <t xml:space="preserve">WALTER - CASA BLANCA    </t>
  </si>
  <si>
    <t>06092416</t>
  </si>
  <si>
    <t>02156317</t>
  </si>
  <si>
    <t>Yape Gerardo Req</t>
  </si>
  <si>
    <t>03790218</t>
  </si>
  <si>
    <t>03979003</t>
  </si>
  <si>
    <t>07882901</t>
  </si>
  <si>
    <t xml:space="preserve">REPUESTO CARGUERA ROJA/DAVID </t>
  </si>
  <si>
    <t xml:space="preserve">CARGIO COFESEG </t>
  </si>
  <si>
    <t>CEMENTO PAKATNAMU</t>
  </si>
  <si>
    <t>13/06/2026</t>
  </si>
  <si>
    <t>Yape Luis Que</t>
  </si>
  <si>
    <t>08062900</t>
  </si>
  <si>
    <t>00124716</t>
  </si>
  <si>
    <t>00223831</t>
  </si>
  <si>
    <t>Yape Carmencita Tel</t>
  </si>
  <si>
    <t>09728347</t>
  </si>
  <si>
    <t>ABON PLIN-Mery Emilin</t>
  </si>
  <si>
    <t>00719993</t>
  </si>
  <si>
    <t>08622431</t>
  </si>
  <si>
    <t>01153675</t>
  </si>
  <si>
    <t>06473512</t>
  </si>
  <si>
    <t>06347308</t>
  </si>
  <si>
    <t>06080799</t>
  </si>
  <si>
    <t>06332473</t>
  </si>
  <si>
    <t>05572973</t>
  </si>
  <si>
    <t>06012266</t>
  </si>
  <si>
    <t>Yape Daniel De</t>
  </si>
  <si>
    <t>01475044</t>
  </si>
  <si>
    <t>03560234</t>
  </si>
  <si>
    <t>00238848</t>
  </si>
  <si>
    <t>Yape Kenny Iri</t>
  </si>
  <si>
    <t>08376609</t>
  </si>
  <si>
    <t>Yape Luz Var</t>
  </si>
  <si>
    <t>09745725</t>
  </si>
  <si>
    <t>Yape Fiorella Pac</t>
  </si>
  <si>
    <t>08262900</t>
  </si>
  <si>
    <t>Yape Ronald Sem</t>
  </si>
  <si>
    <t>02269482</t>
  </si>
  <si>
    <t>Yape Rolando Alt</t>
  </si>
  <si>
    <t>02268939</t>
  </si>
  <si>
    <t>Yape Jahn Alb</t>
  </si>
  <si>
    <t>05535591</t>
  </si>
  <si>
    <t>02899537</t>
  </si>
  <si>
    <t>02893793</t>
  </si>
  <si>
    <t>P001-43062</t>
  </si>
  <si>
    <t xml:space="preserve">DIFERENCIA DE CEMENTO UCEDA </t>
  </si>
  <si>
    <t>P001-43067</t>
  </si>
  <si>
    <t xml:space="preserve">9 ARENA /9 CHANCADA JHON SANCHEZ </t>
  </si>
  <si>
    <t>04055069</t>
  </si>
  <si>
    <t>02215711</t>
  </si>
  <si>
    <t>Yape Linman Ale</t>
  </si>
  <si>
    <t>03806560</t>
  </si>
  <si>
    <t xml:space="preserve">CALIN TORNERO FUSO </t>
  </si>
  <si>
    <t xml:space="preserve">VENDIS CARGUERA </t>
  </si>
  <si>
    <t>P001-43077</t>
  </si>
  <si>
    <t>P001-43081</t>
  </si>
  <si>
    <t>P001-43082</t>
  </si>
  <si>
    <t>P002-32468</t>
  </si>
  <si>
    <t>P001-43085</t>
  </si>
  <si>
    <t xml:space="preserve">TITO CAMBIO DE PERNOS </t>
  </si>
  <si>
    <t>Yape Atilano Del</t>
  </si>
  <si>
    <t>01713403</t>
  </si>
  <si>
    <t>05502287</t>
  </si>
  <si>
    <t>Yape Juan Ram</t>
  </si>
  <si>
    <t>00415126</t>
  </si>
  <si>
    <t>Yape Royser Dia</t>
  </si>
  <si>
    <t>04695908</t>
  </si>
  <si>
    <t>Yape Jose Hua</t>
  </si>
  <si>
    <t>00912830</t>
  </si>
  <si>
    <t>05509401</t>
  </si>
  <si>
    <t>05243259</t>
  </si>
  <si>
    <t>00219996</t>
  </si>
  <si>
    <t>06068919</t>
  </si>
  <si>
    <t xml:space="preserve">SUYON </t>
  </si>
  <si>
    <t>PROMAT 10-02</t>
  </si>
  <si>
    <t xml:space="preserve">REBOINADO </t>
  </si>
  <si>
    <t xml:space="preserve">REPARACION CARGUERA ROJA </t>
  </si>
  <si>
    <t>P002-32478</t>
  </si>
  <si>
    <t xml:space="preserve">DEVOLUCION DE YAPE TEONILA </t>
  </si>
  <si>
    <t xml:space="preserve">YAPE JORDIN </t>
  </si>
  <si>
    <t>15/06/2026</t>
  </si>
  <si>
    <t>01148946</t>
  </si>
  <si>
    <t>01644696</t>
  </si>
  <si>
    <t>00921108</t>
  </si>
  <si>
    <t>Pago YAPE de 55090</t>
  </si>
  <si>
    <t>01640349</t>
  </si>
  <si>
    <t>01461392</t>
  </si>
  <si>
    <t>02021514</t>
  </si>
  <si>
    <t>00807687</t>
  </si>
  <si>
    <t>Pago YAPE de 21516</t>
  </si>
  <si>
    <t>04507931</t>
  </si>
  <si>
    <t>01122521</t>
  </si>
  <si>
    <t>03010742</t>
  </si>
  <si>
    <t>02410731</t>
  </si>
  <si>
    <t>14/06/2026</t>
  </si>
  <si>
    <t>08244713</t>
  </si>
  <si>
    <t>Pago YAPE de 41500</t>
  </si>
  <si>
    <t>00461970</t>
  </si>
  <si>
    <t>03052062</t>
  </si>
  <si>
    <t>02857577</t>
  </si>
  <si>
    <t>Pago YAPE de 31800</t>
  </si>
  <si>
    <t>02168583</t>
  </si>
  <si>
    <t>00126013</t>
  </si>
  <si>
    <t>00126008</t>
  </si>
  <si>
    <t>00126003</t>
  </si>
  <si>
    <t>00125998</t>
  </si>
  <si>
    <t>00125993</t>
  </si>
  <si>
    <t>03036336</t>
  </si>
  <si>
    <t>P002-32480</t>
  </si>
  <si>
    <t>P002-32481</t>
  </si>
  <si>
    <t xml:space="preserve">ESPINOZA </t>
  </si>
  <si>
    <t>P001-43122</t>
  </si>
  <si>
    <t>P002-32487</t>
  </si>
  <si>
    <t xml:space="preserve">FREDY </t>
  </si>
  <si>
    <t xml:space="preserve">4 M3 CARGUIO ZAMORA </t>
  </si>
  <si>
    <t>P001-43137</t>
  </si>
  <si>
    <t>P001-43139</t>
  </si>
  <si>
    <t>P002-32492</t>
  </si>
  <si>
    <t xml:space="preserve">SALAZAR PISCOYA FELICITA VICTORIA  </t>
  </si>
  <si>
    <t>BUENAÑO TAPIA MERY EMILIN</t>
  </si>
  <si>
    <t>JORDIN / DOMINGO 14-06</t>
  </si>
  <si>
    <t>Yape Fiorella Ram</t>
  </si>
  <si>
    <t>06605314</t>
  </si>
  <si>
    <t>06220699</t>
  </si>
  <si>
    <t>04096886</t>
  </si>
  <si>
    <t>05368607</t>
  </si>
  <si>
    <t>05285787</t>
  </si>
  <si>
    <t>05295698</t>
  </si>
  <si>
    <t>02337779</t>
  </si>
  <si>
    <t>00850984</t>
  </si>
  <si>
    <t xml:space="preserve">DANY HERRERA </t>
  </si>
  <si>
    <t xml:space="preserve">PAGO DE MES ABRIL, MAYO Y BALANCE </t>
  </si>
  <si>
    <t xml:space="preserve">CONTADORA </t>
  </si>
  <si>
    <t>06139248</t>
  </si>
  <si>
    <t xml:space="preserve">COMPRA DE 12 FIERRO 8MM PROMAT </t>
  </si>
  <si>
    <t>P001-43087</t>
  </si>
  <si>
    <t>P001-43093</t>
  </si>
  <si>
    <t>P001-43097</t>
  </si>
  <si>
    <t>P001-43103</t>
  </si>
  <si>
    <t>P001-43107</t>
  </si>
  <si>
    <t>P001-43108</t>
  </si>
  <si>
    <t>P001-43109</t>
  </si>
  <si>
    <t>P001-43111</t>
  </si>
  <si>
    <t>P001-43113</t>
  </si>
  <si>
    <t>16/06/2026</t>
  </si>
  <si>
    <t>02456073</t>
  </si>
  <si>
    <t>04237882</t>
  </si>
  <si>
    <t>00046449</t>
  </si>
  <si>
    <t>00045687</t>
  </si>
  <si>
    <t>01306969</t>
  </si>
  <si>
    <t>01408042</t>
  </si>
  <si>
    <t>03307161</t>
  </si>
  <si>
    <t>03201277</t>
  </si>
  <si>
    <t>02708407</t>
  </si>
  <si>
    <t>BAUTISTA CARRASCO ELMER</t>
  </si>
  <si>
    <t xml:space="preserve">JUNIOR PUYEN GUEVARA        </t>
  </si>
  <si>
    <t>HAMILTON CUEVA</t>
  </si>
  <si>
    <t xml:space="preserve">3 METROS DE CARGUIO ZAMORA </t>
  </si>
  <si>
    <t>03929910</t>
  </si>
  <si>
    <t>04800728</t>
  </si>
  <si>
    <t>06102612</t>
  </si>
  <si>
    <t>05707388</t>
  </si>
  <si>
    <t xml:space="preserve">CEMENTO PAKATNAMU </t>
  </si>
  <si>
    <t xml:space="preserve">CLIDER - MIRAFLORES  </t>
  </si>
  <si>
    <t xml:space="preserve">BATERIA JORDIN </t>
  </si>
  <si>
    <t>17/06/2026</t>
  </si>
  <si>
    <t>02184994</t>
  </si>
  <si>
    <t>04347736</t>
  </si>
  <si>
    <t>01936564</t>
  </si>
  <si>
    <t>08728215</t>
  </si>
  <si>
    <t>00118247</t>
  </si>
  <si>
    <t>00410417</t>
  </si>
  <si>
    <t>01011138</t>
  </si>
  <si>
    <t>02311877</t>
  </si>
  <si>
    <t>00603911</t>
  </si>
  <si>
    <t xml:space="preserve">CARGUIO 4 M3 ZAMORA </t>
  </si>
  <si>
    <t>P001-43180</t>
  </si>
  <si>
    <t>P002-32533</t>
  </si>
  <si>
    <t>COMPRA DE 3 TUBO PVC 3/4</t>
  </si>
  <si>
    <t>P001-43184</t>
  </si>
  <si>
    <t>P001-43187</t>
  </si>
  <si>
    <t>P001-43189</t>
  </si>
  <si>
    <t>CARRANZA LLANOS TEONILA</t>
  </si>
  <si>
    <t xml:space="preserve">ELIAS MATTOS </t>
  </si>
  <si>
    <t>05608120</t>
  </si>
  <si>
    <t>04040300</t>
  </si>
  <si>
    <t>03337830</t>
  </si>
  <si>
    <t>JHAIR PADILLA</t>
  </si>
  <si>
    <t>05241552</t>
  </si>
  <si>
    <t>02306834</t>
  </si>
  <si>
    <t>05615312</t>
  </si>
  <si>
    <t xml:space="preserve">VICTORIA </t>
  </si>
  <si>
    <t>18/06/2026</t>
  </si>
  <si>
    <t>04646812</t>
  </si>
  <si>
    <t>01868163</t>
  </si>
  <si>
    <t>01719988</t>
  </si>
  <si>
    <t>01411369</t>
  </si>
  <si>
    <t>01139431</t>
  </si>
  <si>
    <t>00200012</t>
  </si>
  <si>
    <t>03132905</t>
  </si>
  <si>
    <t>00154037</t>
  </si>
  <si>
    <t>01810918</t>
  </si>
  <si>
    <t>JUNIOR PUYEN</t>
  </si>
  <si>
    <t xml:space="preserve">WALTER CASA BLNCA </t>
  </si>
  <si>
    <t>7Y41 PM</t>
  </si>
  <si>
    <t>MERY BUENAÑO</t>
  </si>
  <si>
    <t>P002-32553</t>
  </si>
  <si>
    <t>P001-43206</t>
  </si>
  <si>
    <t>P001-43207</t>
  </si>
  <si>
    <t xml:space="preserve">LOBATON </t>
  </si>
  <si>
    <t>P001-43208</t>
  </si>
  <si>
    <t xml:space="preserve">CLIDER MIRAFLORES </t>
  </si>
  <si>
    <t>00161258</t>
  </si>
  <si>
    <t>04621390</t>
  </si>
  <si>
    <t>02956195</t>
  </si>
  <si>
    <t>02945212</t>
  </si>
  <si>
    <t>04402938</t>
  </si>
  <si>
    <t>06082571</t>
  </si>
  <si>
    <t>06081457</t>
  </si>
  <si>
    <t>01820228</t>
  </si>
  <si>
    <t>05429318</t>
  </si>
  <si>
    <t>04673303</t>
  </si>
  <si>
    <t>02708669</t>
  </si>
  <si>
    <t>02660466</t>
  </si>
  <si>
    <t>03436526</t>
  </si>
  <si>
    <t>01836215</t>
  </si>
  <si>
    <t>P001-43211</t>
  </si>
  <si>
    <t>P001-43216</t>
  </si>
  <si>
    <t>P002-32565</t>
  </si>
  <si>
    <t xml:space="preserve">COMPRA DE 3 TUBOS 1/2 PAVCO </t>
  </si>
  <si>
    <t xml:space="preserve">DEV. EFECTIVO JEINER </t>
  </si>
  <si>
    <t xml:space="preserve">GUERRERO PERALES </t>
  </si>
  <si>
    <t xml:space="preserve">PAGO A FERRONOR CEMENTO </t>
  </si>
  <si>
    <t>CABRERA CORONEL VALENTIN</t>
  </si>
  <si>
    <t xml:space="preserve">SERGIO VEGA/JORDIN </t>
  </si>
  <si>
    <t>04992828</t>
  </si>
  <si>
    <t>06095373</t>
  </si>
  <si>
    <t>CRISTHIAN - LA VICTORIA</t>
  </si>
  <si>
    <t>19/06/2026</t>
  </si>
  <si>
    <t>Pago YAPE de 19103</t>
  </si>
  <si>
    <t>04453900</t>
  </si>
  <si>
    <t>02399307</t>
  </si>
  <si>
    <t>01429063</t>
  </si>
  <si>
    <t>01349106</t>
  </si>
  <si>
    <t>ENTR.EFEC. 0292727</t>
  </si>
  <si>
    <t>00292727</t>
  </si>
  <si>
    <t>01311062</t>
  </si>
  <si>
    <t>02529430</t>
  </si>
  <si>
    <t>01521858</t>
  </si>
  <si>
    <t>Pago YAPE de 31877</t>
  </si>
  <si>
    <t>02129544</t>
  </si>
  <si>
    <t>03832787</t>
  </si>
  <si>
    <t>ABON PLIN-NILTON GUTIE</t>
  </si>
  <si>
    <t>00270096</t>
  </si>
  <si>
    <t>04414288</t>
  </si>
  <si>
    <t>00717315</t>
  </si>
  <si>
    <t>P001-43231</t>
  </si>
  <si>
    <t>P001-43232</t>
  </si>
  <si>
    <t>P001-43235</t>
  </si>
  <si>
    <t>RAYNULFO</t>
  </si>
  <si>
    <t xml:space="preserve">ESTRELLA </t>
  </si>
  <si>
    <t>P002-32575</t>
  </si>
  <si>
    <t>P001-43251</t>
  </si>
  <si>
    <t xml:space="preserve">MAESTRO JUAN </t>
  </si>
  <si>
    <t xml:space="preserve">CONSTRUCTORA FRONTERIZA SAN IGNACIO S.A.C  </t>
  </si>
  <si>
    <t xml:space="preserve">BANCARIZACION FACTURA INGRESO A CUENTA </t>
  </si>
  <si>
    <t>03068153</t>
  </si>
  <si>
    <t>Pago YAPE de 57031</t>
  </si>
  <si>
    <t>02085984</t>
  </si>
  <si>
    <t>04308249</t>
  </si>
  <si>
    <t>00963694</t>
  </si>
  <si>
    <t>04469163</t>
  </si>
  <si>
    <t>00949873</t>
  </si>
  <si>
    <t>03925306</t>
  </si>
  <si>
    <t>P002-32576</t>
  </si>
  <si>
    <t>P002-32577</t>
  </si>
  <si>
    <t>BARBOZA</t>
  </si>
  <si>
    <t>P001-43262</t>
  </si>
  <si>
    <t>P001-43264</t>
  </si>
  <si>
    <t>P001-43267</t>
  </si>
  <si>
    <t xml:space="preserve">CABRERA CORONEL VALENTIN </t>
  </si>
  <si>
    <t>20/06/2026</t>
  </si>
  <si>
    <t>00123081</t>
  </si>
  <si>
    <t>00431208</t>
  </si>
  <si>
    <t>01776808</t>
  </si>
  <si>
    <t>03434371</t>
  </si>
  <si>
    <t>Yape Adan Car</t>
  </si>
  <si>
    <t>09279128</t>
  </si>
  <si>
    <t>01119079</t>
  </si>
  <si>
    <t>02316656</t>
  </si>
  <si>
    <t>00930320</t>
  </si>
  <si>
    <t>02718215</t>
  </si>
  <si>
    <t>00990920</t>
  </si>
  <si>
    <t>00981050</t>
  </si>
  <si>
    <t>01114458</t>
  </si>
  <si>
    <t>00130970</t>
  </si>
  <si>
    <t>00130913</t>
  </si>
  <si>
    <t>01409184</t>
  </si>
  <si>
    <t>06000294</t>
  </si>
  <si>
    <t>00512809</t>
  </si>
  <si>
    <t>00392826</t>
  </si>
  <si>
    <t xml:space="preserve">NEGOCIOS HERNANDEZ </t>
  </si>
  <si>
    <t xml:space="preserve">COMPRA DE 100 AZUL MOCHICA </t>
  </si>
  <si>
    <t>P002-32585</t>
  </si>
  <si>
    <t>P001-43279</t>
  </si>
  <si>
    <t>P001-43283</t>
  </si>
  <si>
    <t xml:space="preserve">VUELTO MARIA ANTONIETA </t>
  </si>
  <si>
    <t>UCEDA 18-06</t>
  </si>
  <si>
    <t>ROGER</t>
  </si>
  <si>
    <t>P001-43287</t>
  </si>
  <si>
    <t>Pago YAPE de 19201</t>
  </si>
  <si>
    <t>04041070</t>
  </si>
  <si>
    <t>00986133</t>
  </si>
  <si>
    <t>Pago YAPE de 57074</t>
  </si>
  <si>
    <t>02343050</t>
  </si>
  <si>
    <t>00967171</t>
  </si>
  <si>
    <t>P001-43296</t>
  </si>
  <si>
    <t>P001-43297</t>
  </si>
  <si>
    <t>SIXTO BURGOS</t>
  </si>
  <si>
    <t>P001-43298</t>
  </si>
  <si>
    <t>P002-32592</t>
  </si>
  <si>
    <t>05341957</t>
  </si>
  <si>
    <t>04612436</t>
  </si>
  <si>
    <t>04477787</t>
  </si>
  <si>
    <t>Yape GRUPO CORPORATI</t>
  </si>
  <si>
    <t>02441574</t>
  </si>
  <si>
    <t>04094817</t>
  </si>
  <si>
    <t>01685308</t>
  </si>
  <si>
    <t>02459387</t>
  </si>
  <si>
    <t>04549131</t>
  </si>
  <si>
    <t>Pago YAPE de 41594</t>
  </si>
  <si>
    <t>02176387</t>
  </si>
  <si>
    <t>P002-32594</t>
  </si>
  <si>
    <t>P002-32595</t>
  </si>
  <si>
    <t>P002-32597</t>
  </si>
  <si>
    <t xml:space="preserve">COMPRA DE 50 YESOS PROMAT </t>
  </si>
  <si>
    <t>P001-43301</t>
  </si>
  <si>
    <t>Yape Jhon Ast</t>
  </si>
  <si>
    <t>08613584</t>
  </si>
  <si>
    <t xml:space="preserve">PAGO JHON ASTONITAS </t>
  </si>
  <si>
    <t>22/06/2026</t>
  </si>
  <si>
    <t>02555245</t>
  </si>
  <si>
    <t>00625962</t>
  </si>
  <si>
    <t>ENTR.EFEC. 0622057</t>
  </si>
  <si>
    <t>00622057</t>
  </si>
  <si>
    <t>00621059</t>
  </si>
  <si>
    <t>06019648</t>
  </si>
  <si>
    <t>02313776</t>
  </si>
  <si>
    <t>07144673</t>
  </si>
  <si>
    <t>00827841</t>
  </si>
  <si>
    <t>02554707</t>
  </si>
  <si>
    <t>02551596</t>
  </si>
  <si>
    <t>01213923</t>
  </si>
  <si>
    <t>02545366</t>
  </si>
  <si>
    <t>SUNA004860298738</t>
  </si>
  <si>
    <t>06002514</t>
  </si>
  <si>
    <t>00174048</t>
  </si>
  <si>
    <t>21/06/2026</t>
  </si>
  <si>
    <t>Yape Mirtha Vil</t>
  </si>
  <si>
    <t>09801141</t>
  </si>
  <si>
    <t xml:space="preserve">RETIRO EN VENTANILLA JEINER </t>
  </si>
  <si>
    <t xml:space="preserve">PAGO ADJ FIERRO </t>
  </si>
  <si>
    <t xml:space="preserve">INGRESO A LA CUENTA JEINER  </t>
  </si>
  <si>
    <t xml:space="preserve">LAVADO DE CARRO /DON GUEVARA </t>
  </si>
  <si>
    <t>P002-32623</t>
  </si>
  <si>
    <t>P002-32616</t>
  </si>
  <si>
    <t>P002-32610</t>
  </si>
  <si>
    <t>P002-32608</t>
  </si>
  <si>
    <t>P002-32604</t>
  </si>
  <si>
    <t>P002-32602</t>
  </si>
  <si>
    <t xml:space="preserve">ESSALUD SUNAT </t>
  </si>
  <si>
    <t xml:space="preserve">VUELTO DE COMPRA DE CEMENTO AZUL PROMAT </t>
  </si>
  <si>
    <t>P002-32626</t>
  </si>
  <si>
    <t>P001-43311</t>
  </si>
  <si>
    <t>01968100</t>
  </si>
  <si>
    <t>P002-32635</t>
  </si>
  <si>
    <t>00564537</t>
  </si>
  <si>
    <t>P001-43313</t>
  </si>
  <si>
    <t>00572642</t>
  </si>
  <si>
    <t>00199949</t>
  </si>
  <si>
    <t>03222426</t>
  </si>
  <si>
    <t>LUCIO GAMBOA</t>
  </si>
  <si>
    <t>P001-43315</t>
  </si>
  <si>
    <t>P001-43316</t>
  </si>
  <si>
    <t>04057775</t>
  </si>
  <si>
    <t>03365812</t>
  </si>
  <si>
    <t>04583025</t>
  </si>
  <si>
    <t>P001-43317</t>
  </si>
  <si>
    <t>P001-43318</t>
  </si>
  <si>
    <t>04297334</t>
  </si>
  <si>
    <t>05136859</t>
  </si>
  <si>
    <t>Pago YAPE de 55079</t>
  </si>
  <si>
    <t>01195740</t>
  </si>
  <si>
    <t>05132653</t>
  </si>
  <si>
    <t>ABON PLIN-WUILDER CUBA</t>
  </si>
  <si>
    <t>00884577</t>
  </si>
  <si>
    <t>P001-43324</t>
  </si>
  <si>
    <t>P001-43325</t>
  </si>
  <si>
    <t>P001-43326</t>
  </si>
  <si>
    <t>P001-43327</t>
  </si>
  <si>
    <t>VENTA DE FACTURA KT</t>
  </si>
  <si>
    <t>PROGRESO PATAPO - RIMARACHIN</t>
  </si>
  <si>
    <t>23/06/2026</t>
  </si>
  <si>
    <t>06007785</t>
  </si>
  <si>
    <t>01913570</t>
  </si>
  <si>
    <t>09369757</t>
  </si>
  <si>
    <t>00624888</t>
  </si>
  <si>
    <t>02708855</t>
  </si>
  <si>
    <t>00612965</t>
  </si>
  <si>
    <t>01616414</t>
  </si>
  <si>
    <t xml:space="preserve">LLAJAS SIPION </t>
  </si>
  <si>
    <t>P002-32642</t>
  </si>
  <si>
    <t xml:space="preserve">NEGRON SERNAQUE </t>
  </si>
  <si>
    <t>P002-32641</t>
  </si>
  <si>
    <t>OSORES QUIROZ</t>
  </si>
  <si>
    <t xml:space="preserve">WALTER - CASA BLANCA </t>
  </si>
  <si>
    <t>ABON PLIN-JHAN RIMARAC</t>
  </si>
  <si>
    <t>06015127</t>
  </si>
  <si>
    <t>00516950</t>
  </si>
  <si>
    <t>00374996</t>
  </si>
  <si>
    <t>00314707</t>
  </si>
  <si>
    <t>06001859</t>
  </si>
  <si>
    <t>INVERSIONES &amp; TRANSPORTES JH</t>
  </si>
  <si>
    <t>DEPOSITO PAKATNAMU</t>
  </si>
  <si>
    <t>P001-43344</t>
  </si>
  <si>
    <t>02382495</t>
  </si>
  <si>
    <t>01522612</t>
  </si>
  <si>
    <t>01826044</t>
  </si>
  <si>
    <t xml:space="preserve">AUTO FACIL </t>
  </si>
  <si>
    <t>P001-43349</t>
  </si>
  <si>
    <t>ABON PLIN-MAYRA SAAVED</t>
  </si>
  <si>
    <t>00952137</t>
  </si>
  <si>
    <t>00753578</t>
  </si>
  <si>
    <t>00930959</t>
  </si>
  <si>
    <t>03431237</t>
  </si>
  <si>
    <t>03385508</t>
  </si>
  <si>
    <t>LOBATON</t>
  </si>
  <si>
    <t>DEPOSITO - CLIENTE LILI</t>
  </si>
  <si>
    <t>DEPOSITO CLIENTE LILI</t>
  </si>
  <si>
    <t>06095347</t>
  </si>
  <si>
    <t>04585314</t>
  </si>
  <si>
    <t>06102496</t>
  </si>
  <si>
    <t>DEVOLUCION DE DEPOSITO -INVERSIONES</t>
  </si>
  <si>
    <t>24/06/2026</t>
  </si>
  <si>
    <t>00425303</t>
  </si>
  <si>
    <t>02734230</t>
  </si>
  <si>
    <t>01263080</t>
  </si>
  <si>
    <t>01426583</t>
  </si>
  <si>
    <t>02823870</t>
  </si>
  <si>
    <t>02984934</t>
  </si>
  <si>
    <t>01511903</t>
  </si>
  <si>
    <t>00678644</t>
  </si>
  <si>
    <t>00213151</t>
  </si>
  <si>
    <t>01109830</t>
  </si>
  <si>
    <t xml:space="preserve">VENTA JEINER </t>
  </si>
  <si>
    <t>CARGUIO COFESEG</t>
  </si>
  <si>
    <t>P001-43365</t>
  </si>
  <si>
    <t>P001-43368</t>
  </si>
  <si>
    <t>P002-32652</t>
  </si>
  <si>
    <t xml:space="preserve">FREDY GUERERRO </t>
  </si>
  <si>
    <t>01551561</t>
  </si>
  <si>
    <t>03639505</t>
  </si>
  <si>
    <t>02863778</t>
  </si>
  <si>
    <t>P001-43379</t>
  </si>
  <si>
    <t>P001-43384</t>
  </si>
  <si>
    <t>06060955</t>
  </si>
  <si>
    <t>03693209</t>
  </si>
  <si>
    <t>00818044</t>
  </si>
  <si>
    <t>05025305</t>
  </si>
  <si>
    <t>02782787</t>
  </si>
  <si>
    <t>P001-43386</t>
  </si>
  <si>
    <t>VARGAS NAUCA</t>
  </si>
  <si>
    <t>P001-43389</t>
  </si>
  <si>
    <t>CLIDER MIRAFLORES</t>
  </si>
  <si>
    <t xml:space="preserve">JEINER HERRERA - LA UNION </t>
  </si>
  <si>
    <t>02286429</t>
  </si>
  <si>
    <t xml:space="preserve">ALCOBIADES </t>
  </si>
  <si>
    <t>P002-32656 + 3.5 QUE LE DEBIA AL SEÑOR JEINER</t>
  </si>
  <si>
    <t>25/06/2026</t>
  </si>
  <si>
    <t>00296803</t>
  </si>
  <si>
    <t>00902797</t>
  </si>
  <si>
    <t>02125716</t>
  </si>
  <si>
    <t>03159411</t>
  </si>
  <si>
    <t>00674877</t>
  </si>
  <si>
    <t>03150736</t>
  </si>
  <si>
    <t>02213052</t>
  </si>
  <si>
    <t>03143847</t>
  </si>
  <si>
    <t>03214556</t>
  </si>
  <si>
    <t>03118984</t>
  </si>
  <si>
    <t>PRESTAMO H&amp;C</t>
  </si>
  <si>
    <t>P00100043399</t>
  </si>
  <si>
    <t>SANCHEZ MUGUERZA</t>
  </si>
  <si>
    <t>UCEDA CARRANZA</t>
  </si>
  <si>
    <t>P00100043402</t>
  </si>
  <si>
    <t>00393208</t>
  </si>
  <si>
    <t>Pago YAPE de 24503</t>
  </si>
  <si>
    <t>00387986</t>
  </si>
  <si>
    <t>02723796</t>
  </si>
  <si>
    <t>02357575</t>
  </si>
  <si>
    <t>02169591</t>
  </si>
  <si>
    <t>03836033</t>
  </si>
  <si>
    <t>SUNA004863340239</t>
  </si>
  <si>
    <t>06000851</t>
  </si>
  <si>
    <t>P002-32659</t>
  </si>
  <si>
    <t>P001-43414</t>
  </si>
  <si>
    <t>P002-32661</t>
  </si>
  <si>
    <t>PRADO DIAZ SEGUNDO</t>
  </si>
  <si>
    <t>LOPEZ CARNERO</t>
  </si>
  <si>
    <t>BUENAÑO EMILIN</t>
  </si>
  <si>
    <t>P001-43417</t>
  </si>
  <si>
    <t>PAGO SUNAT</t>
  </si>
  <si>
    <t>03880336</t>
  </si>
  <si>
    <t>01570702</t>
  </si>
  <si>
    <t>01819276</t>
  </si>
  <si>
    <t>P001-43420</t>
  </si>
  <si>
    <t>MUGUERSA</t>
  </si>
  <si>
    <t>JORDIN HERRERA</t>
  </si>
  <si>
    <t>04788839</t>
  </si>
  <si>
    <t>02534727</t>
  </si>
  <si>
    <t>04028877</t>
  </si>
  <si>
    <t>05050187</t>
  </si>
  <si>
    <t>03344298</t>
  </si>
  <si>
    <t>LUIS COFESEG</t>
  </si>
  <si>
    <t>MECANICO MOTO YANSUMI</t>
  </si>
  <si>
    <t>26/06/2026</t>
  </si>
  <si>
    <t>00342980</t>
  </si>
  <si>
    <t>00150908</t>
  </si>
  <si>
    <t>00408601</t>
  </si>
  <si>
    <t>04105113</t>
  </si>
  <si>
    <t>02745551</t>
  </si>
  <si>
    <t xml:space="preserve">LUZ VARAGAS NAUCA - DIFERENCIA CEMENTO AZUL </t>
  </si>
  <si>
    <t xml:space="preserve">VENTAS JEINER </t>
  </si>
  <si>
    <t>P002-32665</t>
  </si>
  <si>
    <t>P002-32666</t>
  </si>
  <si>
    <t>03314300</t>
  </si>
  <si>
    <t>02512141</t>
  </si>
  <si>
    <t>02320927</t>
  </si>
  <si>
    <t>04537373</t>
  </si>
  <si>
    <t>01622706</t>
  </si>
  <si>
    <t>02993176</t>
  </si>
  <si>
    <t>02019562</t>
  </si>
  <si>
    <t>00228385</t>
  </si>
  <si>
    <t>CARGUIO ZAMORA - 8 CUBOS</t>
  </si>
  <si>
    <t>P001-43445</t>
  </si>
  <si>
    <t>SANTIN</t>
  </si>
  <si>
    <t>P001-43447</t>
  </si>
  <si>
    <t>SERPPE PUBLICIDAD</t>
  </si>
  <si>
    <t>04930785</t>
  </si>
  <si>
    <t>04371565</t>
  </si>
  <si>
    <t>01077086</t>
  </si>
  <si>
    <t>01075007</t>
  </si>
  <si>
    <t>05306235</t>
  </si>
  <si>
    <t>00487472</t>
  </si>
  <si>
    <t xml:space="preserve">ERICK CHIMOY </t>
  </si>
  <si>
    <t>P001-43452</t>
  </si>
  <si>
    <t>VIVIAN</t>
  </si>
  <si>
    <t xml:space="preserve">KT- VENTA DE FACTURAS </t>
  </si>
  <si>
    <t>27/06/2026</t>
  </si>
  <si>
    <t>ABON PLIN-Robert Jhair</t>
  </si>
  <si>
    <t>00975156</t>
  </si>
  <si>
    <t>02022941</t>
  </si>
  <si>
    <t>04344081</t>
  </si>
  <si>
    <t>02778077</t>
  </si>
  <si>
    <t>01117664</t>
  </si>
  <si>
    <t>01553740</t>
  </si>
  <si>
    <t>02076499</t>
  </si>
  <si>
    <t>02942685</t>
  </si>
  <si>
    <t>02941810</t>
  </si>
  <si>
    <t>03127089</t>
  </si>
  <si>
    <t>02643515</t>
  </si>
  <si>
    <t>06010797</t>
  </si>
  <si>
    <t>00931114</t>
  </si>
  <si>
    <t>00822709</t>
  </si>
  <si>
    <t>03309556</t>
  </si>
  <si>
    <t>VENTAS Y SERVICIOS</t>
  </si>
  <si>
    <t xml:space="preserve">DEPOSITO PAKATNAMU </t>
  </si>
  <si>
    <t>P002-32678</t>
  </si>
  <si>
    <t>CHIMOY PAICO</t>
  </si>
  <si>
    <t>P002-32679</t>
  </si>
  <si>
    <t>VILLEGAS GRANDA</t>
  </si>
  <si>
    <t xml:space="preserve">VICTOR SANTIN- DIFERENCIA </t>
  </si>
  <si>
    <t xml:space="preserve">VICTOR </t>
  </si>
  <si>
    <t>P001-43474</t>
  </si>
  <si>
    <t>AUTOFACIL</t>
  </si>
  <si>
    <t>P001-43483</t>
  </si>
  <si>
    <t>03839102</t>
  </si>
  <si>
    <t>03950499</t>
  </si>
  <si>
    <t>WALTER CASE BLANCA</t>
  </si>
  <si>
    <t xml:space="preserve">PROMAT + FLETE </t>
  </si>
  <si>
    <t>28/06/2026</t>
  </si>
  <si>
    <t>00527736</t>
  </si>
  <si>
    <t>01363061</t>
  </si>
  <si>
    <t>01077824</t>
  </si>
  <si>
    <t>00718967</t>
  </si>
  <si>
    <t>04207399</t>
  </si>
  <si>
    <t>04813337</t>
  </si>
  <si>
    <t>P001-43494</t>
  </si>
  <si>
    <t>P001-43502</t>
  </si>
  <si>
    <t>P001-43505</t>
  </si>
  <si>
    <t>P001-43506</t>
  </si>
  <si>
    <t>P001-43509</t>
  </si>
  <si>
    <t>P001-43511</t>
  </si>
  <si>
    <t>01043040</t>
  </si>
  <si>
    <t>04713920</t>
  </si>
  <si>
    <t>03943017</t>
  </si>
  <si>
    <t>P001-43513</t>
  </si>
  <si>
    <t>P001-43515</t>
  </si>
  <si>
    <t>P001-43517</t>
  </si>
  <si>
    <t>29/06/2026</t>
  </si>
  <si>
    <t>02928243</t>
  </si>
  <si>
    <t>TRANSF.BCO.MIBANCO</t>
  </si>
  <si>
    <t>02305346</t>
  </si>
  <si>
    <t>01475217</t>
  </si>
  <si>
    <t>01372816</t>
  </si>
  <si>
    <t>DEPOSITO AG 374287</t>
  </si>
  <si>
    <t>00016937</t>
  </si>
  <si>
    <t>00016932</t>
  </si>
  <si>
    <t>01181152</t>
  </si>
  <si>
    <t>02521919</t>
  </si>
  <si>
    <t>02377989</t>
  </si>
  <si>
    <t>Pago YAPE de 47576</t>
  </si>
  <si>
    <t>00425973</t>
  </si>
  <si>
    <t>01917804</t>
  </si>
  <si>
    <t>Pago YAPE de 30520</t>
  </si>
  <si>
    <t>02015587</t>
  </si>
  <si>
    <t>03013078</t>
  </si>
  <si>
    <t>ABON PLIN-ALEJANDRO VI</t>
  </si>
  <si>
    <t>00552603</t>
  </si>
  <si>
    <t>03504345</t>
  </si>
  <si>
    <t>03111417</t>
  </si>
  <si>
    <t>00449372</t>
  </si>
  <si>
    <t>ABON PLIN-CESAR AUGUST</t>
  </si>
  <si>
    <t>00398824</t>
  </si>
  <si>
    <t>00570360</t>
  </si>
  <si>
    <t>UCEDA</t>
  </si>
  <si>
    <t>P001-43527</t>
  </si>
  <si>
    <t xml:space="preserve">CHOMBA </t>
  </si>
  <si>
    <t xml:space="preserve">SERPPE </t>
  </si>
  <si>
    <t>P002-32690</t>
  </si>
  <si>
    <t xml:space="preserve">SAMUEL </t>
  </si>
  <si>
    <t>P001-43529</t>
  </si>
  <si>
    <t xml:space="preserve">SANCHEZ QUISPE </t>
  </si>
  <si>
    <t xml:space="preserve">MILAGROS HERRERA </t>
  </si>
  <si>
    <t>BURGOS CABANILLAS</t>
  </si>
  <si>
    <t xml:space="preserve">SEÑOR LUCAS HERRERA   </t>
  </si>
  <si>
    <t>Pago YAPE de 55003</t>
  </si>
  <si>
    <t>01180007</t>
  </si>
  <si>
    <t>03852167</t>
  </si>
  <si>
    <t>00563971</t>
  </si>
  <si>
    <t>00470236</t>
  </si>
  <si>
    <t>06025702</t>
  </si>
  <si>
    <t>02577281</t>
  </si>
  <si>
    <t>P001-43541</t>
  </si>
  <si>
    <t xml:space="preserve">ADELANTO PROVEEDOR YESO </t>
  </si>
  <si>
    <t>P002-32700</t>
  </si>
  <si>
    <t>P002-32697</t>
  </si>
  <si>
    <t>YAIPEN</t>
  </si>
  <si>
    <t>P001-43537</t>
  </si>
  <si>
    <t>03129385</t>
  </si>
  <si>
    <t>00879846</t>
  </si>
  <si>
    <t>Yape Klever Chu</t>
  </si>
  <si>
    <t>07317225</t>
  </si>
  <si>
    <t>00584311</t>
  </si>
  <si>
    <t>05015339</t>
  </si>
  <si>
    <t>03055868</t>
  </si>
  <si>
    <t>P002-32707</t>
  </si>
  <si>
    <t xml:space="preserve">LEON </t>
  </si>
  <si>
    <t xml:space="preserve">DEVOLUCION DE YAPE CHUQUIPOMA </t>
  </si>
  <si>
    <t>04439760</t>
  </si>
  <si>
    <t>05129869</t>
  </si>
  <si>
    <t>P002-32709</t>
  </si>
  <si>
    <t>P002-32708</t>
  </si>
  <si>
    <t>30/06/2026</t>
  </si>
  <si>
    <t>00302255</t>
  </si>
  <si>
    <t>00302437</t>
  </si>
  <si>
    <t>03553151</t>
  </si>
  <si>
    <t>02131407</t>
  </si>
  <si>
    <t>00217018</t>
  </si>
  <si>
    <t>03609741</t>
  </si>
  <si>
    <t>04206807</t>
  </si>
  <si>
    <t>00519152</t>
  </si>
  <si>
    <t>06006275</t>
  </si>
  <si>
    <t>Yape Mercedes Zen</t>
  </si>
  <si>
    <t>01856034</t>
  </si>
  <si>
    <t>02179020</t>
  </si>
  <si>
    <t>01970673</t>
  </si>
  <si>
    <t>00046672</t>
  </si>
  <si>
    <t xml:space="preserve">yape fredy Alva </t>
  </si>
  <si>
    <t>32677/32686/32687</t>
  </si>
  <si>
    <t xml:space="preserve">RIMARACHIN </t>
  </si>
  <si>
    <t>P001-43555</t>
  </si>
  <si>
    <t xml:space="preserve">A CUENTA CEMENTO PAKATNAMU </t>
  </si>
  <si>
    <t>P001-43556</t>
  </si>
  <si>
    <t>P002-32716</t>
  </si>
  <si>
    <t>P002-32719</t>
  </si>
  <si>
    <t xml:space="preserve">DESCUENTO DE PRESTAMO </t>
  </si>
  <si>
    <t>05584627</t>
  </si>
  <si>
    <t>05316125</t>
  </si>
  <si>
    <t>03354373</t>
  </si>
  <si>
    <t>05168820</t>
  </si>
  <si>
    <t>04059365</t>
  </si>
  <si>
    <t>05046070</t>
  </si>
  <si>
    <t>DEPOSITO AG 991518</t>
  </si>
  <si>
    <t>00000822</t>
  </si>
  <si>
    <t>TRANSF. AG 991518</t>
  </si>
  <si>
    <t>00000802</t>
  </si>
  <si>
    <t>00729920</t>
  </si>
  <si>
    <t>03995712</t>
  </si>
  <si>
    <t>00000795</t>
  </si>
  <si>
    <t>03926259</t>
  </si>
  <si>
    <t>02691343</t>
  </si>
  <si>
    <t>03868563</t>
  </si>
  <si>
    <t>02408444</t>
  </si>
  <si>
    <t>03828972</t>
  </si>
  <si>
    <t>04335486</t>
  </si>
  <si>
    <t>03767022</t>
  </si>
  <si>
    <t>02102724</t>
  </si>
  <si>
    <t xml:space="preserve"> PROVEEDOR YESO 800*3.3</t>
  </si>
  <si>
    <t>P002-32730</t>
  </si>
  <si>
    <t>P002-32729</t>
  </si>
  <si>
    <t>P001-43575</t>
  </si>
  <si>
    <t>P002-32727</t>
  </si>
  <si>
    <t>P001-43571</t>
  </si>
  <si>
    <t>NAUCA</t>
  </si>
  <si>
    <t>P001-43569</t>
  </si>
  <si>
    <t>P001-43568</t>
  </si>
  <si>
    <t xml:space="preserve">VENTAS Y SERVICIOS A &amp; G E.I.R.L </t>
  </si>
  <si>
    <t>ISAIAS RODRIGUES</t>
  </si>
  <si>
    <t>03848774</t>
  </si>
  <si>
    <t>01/07/2026</t>
  </si>
  <si>
    <t>02648674</t>
  </si>
  <si>
    <t>02661431</t>
  </si>
  <si>
    <t>ENTR.EFEC. 0919429</t>
  </si>
  <si>
    <t>00919429</t>
  </si>
  <si>
    <t>ENTR.EFEC. 0919078</t>
  </si>
  <si>
    <t>00919078</t>
  </si>
  <si>
    <t>ENTR.EFEC. 0918708</t>
  </si>
  <si>
    <t>00918708</t>
  </si>
  <si>
    <t>ENTR.EFEC. 0918362</t>
  </si>
  <si>
    <t>00918362</t>
  </si>
  <si>
    <t>07268522</t>
  </si>
  <si>
    <t>09946860</t>
  </si>
  <si>
    <t>Yape Sandro Cor</t>
  </si>
  <si>
    <t>06064850</t>
  </si>
  <si>
    <t>01194002</t>
  </si>
  <si>
    <t>01147245</t>
  </si>
  <si>
    <t>02179364</t>
  </si>
  <si>
    <t>Yape Lucas Her</t>
  </si>
  <si>
    <t>05393620</t>
  </si>
  <si>
    <t>02171719</t>
  </si>
  <si>
    <t>01609443</t>
  </si>
  <si>
    <t>02309672</t>
  </si>
  <si>
    <t xml:space="preserve">CHIMOY </t>
  </si>
  <si>
    <t xml:space="preserve">SANDRO </t>
  </si>
  <si>
    <t>P001-43592</t>
  </si>
  <si>
    <t xml:space="preserve">KT VENTA DE FACTURAS </t>
  </si>
  <si>
    <t>KT BANCARIZACION / INGRESO H&amp;C</t>
  </si>
  <si>
    <t>Yape Luis Cru</t>
  </si>
  <si>
    <t>05513695</t>
  </si>
  <si>
    <t>04375225</t>
  </si>
  <si>
    <t>Yape Cristian Ser</t>
  </si>
  <si>
    <t>03447089</t>
  </si>
  <si>
    <t>Yape Camilo Req</t>
  </si>
  <si>
    <t>02725938</t>
  </si>
  <si>
    <t>01409021</t>
  </si>
  <si>
    <t>Yape Hidalgo Gal</t>
  </si>
  <si>
    <t>00594381</t>
  </si>
  <si>
    <t>04544726</t>
  </si>
  <si>
    <t>ABON PLIN-CESAR ARTURO</t>
  </si>
  <si>
    <t>00952798</t>
  </si>
  <si>
    <t>Yape Robint Qui</t>
  </si>
  <si>
    <t>06557772</t>
  </si>
  <si>
    <t>00897063</t>
  </si>
  <si>
    <t>Yape Eric Obl</t>
  </si>
  <si>
    <t>05429358</t>
  </si>
  <si>
    <t>Yape Harvy Cam</t>
  </si>
  <si>
    <t>07102614</t>
  </si>
  <si>
    <t>DEPOSITO AG 983713</t>
  </si>
  <si>
    <t>00006682</t>
  </si>
  <si>
    <t>00006677</t>
  </si>
  <si>
    <t>00006672</t>
  </si>
  <si>
    <t>00006667</t>
  </si>
  <si>
    <t>00744347</t>
  </si>
  <si>
    <t>P001-43601</t>
  </si>
  <si>
    <t>P001-43603</t>
  </si>
  <si>
    <t>P002-32744</t>
  </si>
  <si>
    <t>P002-32745</t>
  </si>
  <si>
    <t>P002-32747</t>
  </si>
  <si>
    <t>P001-43605</t>
  </si>
  <si>
    <t>P001-43609</t>
  </si>
  <si>
    <t>FLETE CARLOS CENTRO</t>
  </si>
  <si>
    <t>MILAGROS HERRERA</t>
  </si>
  <si>
    <t xml:space="preserve">ADELANTO DEMOLICION DE DESMONTE </t>
  </si>
  <si>
    <t>CAMILO</t>
  </si>
  <si>
    <t>RONCAL CANCINO</t>
  </si>
  <si>
    <t>P001-43612</t>
  </si>
  <si>
    <t>RODRIGUEZ BUSTAMANTE ROBERTO CARLOS</t>
  </si>
  <si>
    <t xml:space="preserve">INVERSIONES JAMES / VENTA DE FACTURAS </t>
  </si>
  <si>
    <t>Yape Carlos Mon</t>
  </si>
  <si>
    <t>06494991</t>
  </si>
  <si>
    <t>Yape Jose Fer</t>
  </si>
  <si>
    <t>05850650</t>
  </si>
  <si>
    <t>Yape Merle Dia</t>
  </si>
  <si>
    <t>05393980</t>
  </si>
  <si>
    <t xml:space="preserve">SOLDADURA CARRO ANGEL / JEINER </t>
  </si>
  <si>
    <t xml:space="preserve">DEVOLUCION DE YAPE / JORDIN </t>
  </si>
  <si>
    <t>02/07/2026</t>
  </si>
  <si>
    <t>Yape Maria Bec</t>
  </si>
  <si>
    <t>03193688</t>
  </si>
  <si>
    <t>09563047</t>
  </si>
  <si>
    <t>09959335</t>
  </si>
  <si>
    <t>Yape Doraliza Cen</t>
  </si>
  <si>
    <t>06689297</t>
  </si>
  <si>
    <t>01240840</t>
  </si>
  <si>
    <t>Yape Edulgerio Gon</t>
  </si>
  <si>
    <t>08135114</t>
  </si>
  <si>
    <t>01169502</t>
  </si>
  <si>
    <t>Yape Edwin Dia</t>
  </si>
  <si>
    <t>01671542</t>
  </si>
  <si>
    <t>06223720</t>
  </si>
  <si>
    <t>02313975</t>
  </si>
  <si>
    <t>Yape Segundo Vil</t>
  </si>
  <si>
    <t>01183020</t>
  </si>
  <si>
    <t>00548205</t>
  </si>
  <si>
    <t xml:space="preserve">ARAMBULO HERRERA </t>
  </si>
  <si>
    <t>P001-43626</t>
  </si>
  <si>
    <t xml:space="preserve">SANCHEZ BERNAL </t>
  </si>
  <si>
    <t xml:space="preserve">CENTURION </t>
  </si>
  <si>
    <t>COMPRA DE 20 FIERRO 1/4 JH</t>
  </si>
  <si>
    <t>P002-32756</t>
  </si>
  <si>
    <t>GARCIA</t>
  </si>
  <si>
    <t xml:space="preserve">LLAJAS SIPION LUIS ALFREDO </t>
  </si>
  <si>
    <t xml:space="preserve">CLIDER CASA BLANCA </t>
  </si>
  <si>
    <t>04306825</t>
  </si>
  <si>
    <t>Yape Maria Pel</t>
  </si>
  <si>
    <t>00905654</t>
  </si>
  <si>
    <t>09641046</t>
  </si>
  <si>
    <t>09544952</t>
  </si>
  <si>
    <t>03984208</t>
  </si>
  <si>
    <t>ENTR.EFEC. 0983667</t>
  </si>
  <si>
    <t>00983667</t>
  </si>
  <si>
    <t>ENTR.EFEC. 0982505</t>
  </si>
  <si>
    <t>00982505</t>
  </si>
  <si>
    <t>ENTR.EFEC. 0982270</t>
  </si>
  <si>
    <t>00982270</t>
  </si>
  <si>
    <t>ENTR.EFEC. 0982088</t>
  </si>
  <si>
    <t>00982088</t>
  </si>
  <si>
    <t>ENTR.EFEC. 0981914</t>
  </si>
  <si>
    <t>00981914</t>
  </si>
  <si>
    <t>ENTR.EFEC. 0981749</t>
  </si>
  <si>
    <t>00981749</t>
  </si>
  <si>
    <t>ENTR.EFEC. 0981440</t>
  </si>
  <si>
    <t>00981440</t>
  </si>
  <si>
    <t>05787558</t>
  </si>
  <si>
    <t>02192775</t>
  </si>
  <si>
    <t>04098896</t>
  </si>
  <si>
    <t>05317735</t>
  </si>
  <si>
    <t xml:space="preserve">BANCARIZACION INVERSIONES JAMES </t>
  </si>
  <si>
    <t>P001-43630</t>
  </si>
  <si>
    <t>P001-43631</t>
  </si>
  <si>
    <t>P001-43632</t>
  </si>
  <si>
    <t>P001-43633</t>
  </si>
  <si>
    <t xml:space="preserve">SANCHEZ QUISPE MANUEL </t>
  </si>
  <si>
    <t>06114514</t>
  </si>
  <si>
    <t>06105588</t>
  </si>
  <si>
    <t>06116445</t>
  </si>
  <si>
    <t>06106531</t>
  </si>
  <si>
    <t>Yape Dilmer Tan</t>
  </si>
  <si>
    <t>05337685</t>
  </si>
  <si>
    <t>04472760</t>
  </si>
  <si>
    <t>05262790</t>
  </si>
  <si>
    <t>ENTR.EFEC. 0203968</t>
  </si>
  <si>
    <t>00203968</t>
  </si>
  <si>
    <t>ENTR.EFEC. 0203523</t>
  </si>
  <si>
    <t>00203523</t>
  </si>
  <si>
    <t>ENTR.EFEC. 0200701</t>
  </si>
  <si>
    <t>00200701</t>
  </si>
  <si>
    <t>00153380</t>
  </si>
  <si>
    <t>00150125</t>
  </si>
  <si>
    <t>00142521</t>
  </si>
  <si>
    <t>04629368</t>
  </si>
  <si>
    <t>P002-32761</t>
  </si>
  <si>
    <t>P002-32762</t>
  </si>
  <si>
    <t xml:space="preserve">PAGO A LA CASA DEL ADITIVO </t>
  </si>
  <si>
    <t xml:space="preserve">PAGO A CORPORACION PERU SOL </t>
  </si>
  <si>
    <t xml:space="preserve">BANCARIZACION JAIRO HERRERA </t>
  </si>
  <si>
    <t xml:space="preserve">DEVOLUCION DE DEPOSITO / JORDIN </t>
  </si>
  <si>
    <t xml:space="preserve">RETIRO DE VENTANILLA JORDIN </t>
  </si>
  <si>
    <t xml:space="preserve">BANCARIZACION SERVIGON </t>
  </si>
  <si>
    <t>06117890</t>
  </si>
  <si>
    <t xml:space="preserve">CUADRE  DE PRESTAMO / JORDIN </t>
  </si>
  <si>
    <t>03/07/2026</t>
  </si>
  <si>
    <t>Yape Jennifer Bus</t>
  </si>
  <si>
    <t>02822830</t>
  </si>
  <si>
    <t>00359860</t>
  </si>
  <si>
    <t>02722110</t>
  </si>
  <si>
    <t>03325084</t>
  </si>
  <si>
    <t>INTERSEGURO COMPANIA</t>
  </si>
  <si>
    <t>00828717</t>
  </si>
  <si>
    <t>08956295</t>
  </si>
  <si>
    <t>Yape Carol Dav</t>
  </si>
  <si>
    <t>01142437</t>
  </si>
  <si>
    <t>07592597</t>
  </si>
  <si>
    <t>01618516</t>
  </si>
  <si>
    <t>00851897</t>
  </si>
  <si>
    <t>00847878</t>
  </si>
  <si>
    <t>00783144</t>
  </si>
  <si>
    <t>00780000</t>
  </si>
  <si>
    <t>Yape Segundo Hua</t>
  </si>
  <si>
    <t>03483188</t>
  </si>
  <si>
    <t>00966363</t>
  </si>
  <si>
    <t>01950998</t>
  </si>
  <si>
    <t>Yape Gilbert Cor</t>
  </si>
  <si>
    <t>06434354</t>
  </si>
  <si>
    <t>Yape Roger San</t>
  </si>
  <si>
    <t>05662165</t>
  </si>
  <si>
    <t>ABON PLIN-VICTOR FRANC</t>
  </si>
  <si>
    <t>00797670</t>
  </si>
  <si>
    <t>05294662</t>
  </si>
  <si>
    <t>GARCIA BECERRA</t>
  </si>
  <si>
    <t>OTOYA</t>
  </si>
  <si>
    <t>P002-32766</t>
  </si>
  <si>
    <t>P002-32769</t>
  </si>
  <si>
    <t>P002-32771</t>
  </si>
  <si>
    <t xml:space="preserve">ZELADA </t>
  </si>
  <si>
    <t>P001-43647</t>
  </si>
  <si>
    <t>P002-32775</t>
  </si>
  <si>
    <t>Yape Katia Her</t>
  </si>
  <si>
    <t>00700173</t>
  </si>
  <si>
    <t>03692185</t>
  </si>
  <si>
    <t>Yape Sixto Bur</t>
  </si>
  <si>
    <t>09243681</t>
  </si>
  <si>
    <t>Yape Alexander Boc</t>
  </si>
  <si>
    <t>09117319</t>
  </si>
  <si>
    <t>05320662</t>
  </si>
  <si>
    <t>07068137</t>
  </si>
  <si>
    <t>Yape Luis Gon</t>
  </si>
  <si>
    <t>06011565</t>
  </si>
  <si>
    <t>04501169</t>
  </si>
  <si>
    <t>02431094</t>
  </si>
  <si>
    <t>P001-43657</t>
  </si>
  <si>
    <t>P002-32781</t>
  </si>
  <si>
    <t xml:space="preserve">MANO DE OBRA FAJAS TITO </t>
  </si>
  <si>
    <t>P002-32778</t>
  </si>
  <si>
    <t>P001-43651</t>
  </si>
  <si>
    <t>ABON PLIN</t>
  </si>
  <si>
    <t>07307055</t>
  </si>
  <si>
    <t>03472397</t>
  </si>
  <si>
    <t>03652508</t>
  </si>
  <si>
    <t>04060586</t>
  </si>
  <si>
    <t>Yape Nicolae Cam</t>
  </si>
  <si>
    <t>03355892</t>
  </si>
  <si>
    <t>Yape Salyn Lla</t>
  </si>
  <si>
    <t>03144677</t>
  </si>
  <si>
    <t>05011442</t>
  </si>
  <si>
    <t>04360570</t>
  </si>
  <si>
    <t>A CUENTA AGREGADOS LUIS</t>
  </si>
  <si>
    <t xml:space="preserve">COMPRA DE 4 PEGAMENTOS </t>
  </si>
  <si>
    <t>P002-32783</t>
  </si>
  <si>
    <t>P001-43661</t>
  </si>
  <si>
    <t xml:space="preserve">EFECTIVO JORDIN </t>
  </si>
  <si>
    <t xml:space="preserve">DEBEMOS A INVERSIONES JH </t>
  </si>
  <si>
    <t>SALIDA DE LA CUENTA BCP</t>
  </si>
  <si>
    <t>POR DEPOSITAR A INVERSIONES 03-07</t>
  </si>
  <si>
    <t>06119829</t>
  </si>
  <si>
    <t>06112818</t>
  </si>
  <si>
    <t xml:space="preserve">DEPOSITAR A INVERSIONES 03-07 DIFERENCIA </t>
  </si>
  <si>
    <t>GUSTAVO GUEVARA</t>
  </si>
  <si>
    <t>JORDIN  HERRERA</t>
  </si>
  <si>
    <t>04/07/2026</t>
  </si>
  <si>
    <t>01572013</t>
  </si>
  <si>
    <t>02080107</t>
  </si>
  <si>
    <t>Yape Esperanza Rio</t>
  </si>
  <si>
    <t>01209422</t>
  </si>
  <si>
    <t>08355707</t>
  </si>
  <si>
    <t>08189210</t>
  </si>
  <si>
    <t>01366422</t>
  </si>
  <si>
    <t>07216496</t>
  </si>
  <si>
    <t>07012805</t>
  </si>
  <si>
    <t>Yape Favio Gue</t>
  </si>
  <si>
    <t>06235750</t>
  </si>
  <si>
    <t>01167449</t>
  </si>
  <si>
    <t>06923311</t>
  </si>
  <si>
    <t>00852910</t>
  </si>
  <si>
    <t>Yape Joel Men</t>
  </si>
  <si>
    <t>04713191</t>
  </si>
  <si>
    <t>03845274</t>
  </si>
  <si>
    <t>07648810</t>
  </si>
  <si>
    <t>Yape Vicente Cha</t>
  </si>
  <si>
    <t>06156921</t>
  </si>
  <si>
    <t>09312145</t>
  </si>
  <si>
    <t>03502926</t>
  </si>
  <si>
    <t>08160022</t>
  </si>
  <si>
    <t>02156448</t>
  </si>
  <si>
    <t>Yape Norvil Gue</t>
  </si>
  <si>
    <t>05235228</t>
  </si>
  <si>
    <t>06963079</t>
  </si>
  <si>
    <t>Yape Neiser Gue</t>
  </si>
  <si>
    <t>07507421</t>
  </si>
  <si>
    <t>P001-43665</t>
  </si>
  <si>
    <t>P002-32792</t>
  </si>
  <si>
    <t>P001-43671</t>
  </si>
  <si>
    <t>P002-32795</t>
  </si>
  <si>
    <t>P001-43675</t>
  </si>
  <si>
    <t>P001-43676</t>
  </si>
  <si>
    <t>P002-32802</t>
  </si>
  <si>
    <t>GUERRERO</t>
  </si>
  <si>
    <t>REQUEJO</t>
  </si>
  <si>
    <t>P002-32807</t>
  </si>
  <si>
    <t>P001-43681</t>
  </si>
  <si>
    <t>P001-43682</t>
  </si>
  <si>
    <t>MAESTRO VEGA</t>
  </si>
  <si>
    <t xml:space="preserve">COMPRA DE 6 FRAGUAS GRIS PLATA </t>
  </si>
  <si>
    <t>P001-43678</t>
  </si>
  <si>
    <t>GRUPO CORPORATIVO HERRERA</t>
  </si>
  <si>
    <t>01912944</t>
  </si>
  <si>
    <t>Yape Erinsom Her</t>
  </si>
  <si>
    <t>02603094</t>
  </si>
  <si>
    <t>04080066</t>
  </si>
  <si>
    <t>Yape Elfer Qui</t>
  </si>
  <si>
    <t>08087207</t>
  </si>
  <si>
    <t>04048501</t>
  </si>
  <si>
    <t>P001-43684</t>
  </si>
  <si>
    <t>04810791</t>
  </si>
  <si>
    <t>DEPOSITO AG 985684</t>
  </si>
  <si>
    <t>00005906</t>
  </si>
  <si>
    <t>00005901</t>
  </si>
  <si>
    <t>00003035</t>
  </si>
  <si>
    <t>LUCHO GONZALES</t>
  </si>
  <si>
    <t xml:space="preserve">progreso patapo </t>
  </si>
  <si>
    <t>05/07/2026</t>
  </si>
  <si>
    <t>ABON PLIN-YEISON SMITH</t>
  </si>
  <si>
    <t>00271384</t>
  </si>
  <si>
    <t>Yape Andres Mes</t>
  </si>
  <si>
    <t>03504070</t>
  </si>
  <si>
    <t>Yape Samuel Gar</t>
  </si>
  <si>
    <t>09097757</t>
  </si>
  <si>
    <t>09296025</t>
  </si>
  <si>
    <t>Yape Almanzor Rod</t>
  </si>
  <si>
    <t>00778322</t>
  </si>
  <si>
    <t>Yape Adolfo Rim</t>
  </si>
  <si>
    <t>09291233</t>
  </si>
  <si>
    <t>09983651</t>
  </si>
  <si>
    <t>Yape Elizabeth Sem</t>
  </si>
  <si>
    <t>07571548</t>
  </si>
  <si>
    <t>Yape Betty Pin</t>
  </si>
  <si>
    <t>07759226</t>
  </si>
  <si>
    <t>Yape Uri Gue</t>
  </si>
  <si>
    <t>01533152</t>
  </si>
  <si>
    <t>09230428</t>
  </si>
  <si>
    <t>07848300</t>
  </si>
  <si>
    <t>06010247</t>
  </si>
  <si>
    <t>05161734</t>
  </si>
  <si>
    <t>03831717</t>
  </si>
  <si>
    <t>04379778</t>
  </si>
  <si>
    <t>P002-32846</t>
  </si>
  <si>
    <t>P002-32844</t>
  </si>
  <si>
    <t>P002-32843</t>
  </si>
  <si>
    <t>P002-32842</t>
  </si>
  <si>
    <t>P002-32841</t>
  </si>
  <si>
    <t>P002-32840</t>
  </si>
  <si>
    <t>P002-32839</t>
  </si>
  <si>
    <t xml:space="preserve">SEMINARIO </t>
  </si>
  <si>
    <t>P002-32832</t>
  </si>
  <si>
    <t xml:space="preserve">GUERRERO </t>
  </si>
  <si>
    <t>P002-32830</t>
  </si>
  <si>
    <t>PAGO DE CEMENTO PAKATNAMU</t>
  </si>
  <si>
    <t>P002-32817</t>
  </si>
  <si>
    <t>Yape Jamber Del</t>
  </si>
  <si>
    <t>09368136</t>
  </si>
  <si>
    <t>P002-32847</t>
  </si>
  <si>
    <t>ABON PLIN-Maria  Becer</t>
  </si>
  <si>
    <t>00410165</t>
  </si>
  <si>
    <t>P002-32851</t>
  </si>
  <si>
    <t>Yape Delia</t>
  </si>
  <si>
    <t xml:space="preserve">delia </t>
  </si>
  <si>
    <t>06/07/2026</t>
  </si>
  <si>
    <t>04484234</t>
  </si>
  <si>
    <t>05238353</t>
  </si>
  <si>
    <t>00452993</t>
  </si>
  <si>
    <t>04502022</t>
  </si>
  <si>
    <t>Yape Karen Mej</t>
  </si>
  <si>
    <t>02844111</t>
  </si>
  <si>
    <t>02482270</t>
  </si>
  <si>
    <t>Yape Willy Val</t>
  </si>
  <si>
    <t>02622751</t>
  </si>
  <si>
    <t>02055848</t>
  </si>
  <si>
    <t>02651720</t>
  </si>
  <si>
    <t>00000796</t>
  </si>
  <si>
    <t>ABON PLIN-DANIEL GABRI</t>
  </si>
  <si>
    <t>00161192</t>
  </si>
  <si>
    <t>Pago YAPE de 47577</t>
  </si>
  <si>
    <t>01017965</t>
  </si>
  <si>
    <t>07625683</t>
  </si>
  <si>
    <t>Yape Jose Taf</t>
  </si>
  <si>
    <t>05870519</t>
  </si>
  <si>
    <t>01047653</t>
  </si>
  <si>
    <t>00556725</t>
  </si>
  <si>
    <t>Yape Jose Alv</t>
  </si>
  <si>
    <t>00917179</t>
  </si>
  <si>
    <t>P002-32852</t>
  </si>
  <si>
    <t>P002-32853</t>
  </si>
  <si>
    <t>P002-32862</t>
  </si>
  <si>
    <t>JIBAJA</t>
  </si>
  <si>
    <t>P002-32866</t>
  </si>
  <si>
    <t>P001-43699</t>
  </si>
  <si>
    <t xml:space="preserve">KAREN MEJIA </t>
  </si>
  <si>
    <t>SAMUEL</t>
  </si>
  <si>
    <t>P001-43708</t>
  </si>
  <si>
    <t>P001-43707</t>
  </si>
  <si>
    <t xml:space="preserve">COMPRA 2 FRAGUA GRIS PLATA </t>
  </si>
  <si>
    <t xml:space="preserve">QUISPE </t>
  </si>
  <si>
    <t>TAFUR ESPINOZA JOSE</t>
  </si>
  <si>
    <t xml:space="preserve">FECHA </t>
  </si>
  <si>
    <t xml:space="preserve">CANTIDAD </t>
  </si>
  <si>
    <t xml:space="preserve">PRODUCTO </t>
  </si>
  <si>
    <t xml:space="preserve">PRECIO </t>
  </si>
  <si>
    <t xml:space="preserve">TOTAL </t>
  </si>
  <si>
    <t xml:space="preserve">VALE </t>
  </si>
  <si>
    <t>P001-41825</t>
  </si>
  <si>
    <t xml:space="preserve">PEGAMENTO BLANCO FLEXIBLE </t>
  </si>
  <si>
    <t>CLAVO 2</t>
  </si>
  <si>
    <t>CLAVO 3</t>
  </si>
  <si>
    <t>KG ALAMBRE 8</t>
  </si>
  <si>
    <t>ALAMBRE 16</t>
  </si>
  <si>
    <t xml:space="preserve">CEMENTO ROJO PACASMAYO </t>
  </si>
  <si>
    <t xml:space="preserve">CONFITILLO </t>
  </si>
  <si>
    <t>ARENILLA</t>
  </si>
  <si>
    <t>ARENA AMARILLA</t>
  </si>
  <si>
    <t>PIEDRA CHANCADA 1/2</t>
  </si>
  <si>
    <t xml:space="preserve">FIERRO 8MM SIDERPERU </t>
  </si>
  <si>
    <t xml:space="preserve">FIERRO 5/8 SIDERPERU </t>
  </si>
  <si>
    <t xml:space="preserve">FIERRO 1/2 SIDERPERU </t>
  </si>
  <si>
    <t xml:space="preserve">TOTAL BOLETA </t>
  </si>
  <si>
    <t>P002-31670</t>
  </si>
  <si>
    <t>CEMENTO ROJO PACASMAYO</t>
  </si>
  <si>
    <t xml:space="preserve">ARENA AMARILLA </t>
  </si>
  <si>
    <t>FIERRO 6MM SIDERPERU</t>
  </si>
  <si>
    <t xml:space="preserve">FIERRO 3/8 SIDERPERU </t>
  </si>
  <si>
    <t xml:space="preserve">LADRILLO TECHO 12 ITAL </t>
  </si>
  <si>
    <t>P002-31751</t>
  </si>
  <si>
    <t>P002-31785</t>
  </si>
  <si>
    <t xml:space="preserve">ARENA AMARILLA POR LATA </t>
  </si>
  <si>
    <t xml:space="preserve">PIEDRA CHANCADA 1/2 POR LATA </t>
  </si>
  <si>
    <t>P002-31969</t>
  </si>
  <si>
    <t xml:space="preserve">CINTA AISLANTE 3M </t>
  </si>
  <si>
    <t xml:space="preserve">CURVA 3/4 PAVCO </t>
  </si>
  <si>
    <t xml:space="preserve">TUBO SEL 3/4 PAVCO </t>
  </si>
  <si>
    <t xml:space="preserve">CAJA OCTAGONAL PAVCO </t>
  </si>
  <si>
    <t>P002-31982</t>
  </si>
  <si>
    <t xml:space="preserve">ARENA AMARILLA  </t>
  </si>
  <si>
    <t xml:space="preserve">PIEDRA CHANCADA 1/2 </t>
  </si>
  <si>
    <t>P002-32811</t>
  </si>
  <si>
    <t xml:space="preserve">ARENILLA </t>
  </si>
  <si>
    <t xml:space="preserve">CANCELO EL 24 ABRIL 2026 A LAS 4:47 PM </t>
  </si>
  <si>
    <t xml:space="preserve">SE LLEVO EL DIA LUNES 27 DE ABRIL </t>
  </si>
  <si>
    <t xml:space="preserve">CANCELO EL 02 MAYO 2026 A LAS 3:54 PM </t>
  </si>
  <si>
    <t xml:space="preserve">SE LLEVO EL DIA MARTES 5 DE MAYO </t>
  </si>
  <si>
    <t xml:space="preserve">SE LLEVO 8 BOLSAS  EL DIA MARTES 5 DE MAYO </t>
  </si>
  <si>
    <t>BOLSAS</t>
  </si>
  <si>
    <t xml:space="preserve">SE LLEVO JUEVES 7 DE MAYO </t>
  </si>
  <si>
    <t xml:space="preserve">CANCELO EL 05 MAYO 2026 A LAS 1:27 PM </t>
  </si>
  <si>
    <t xml:space="preserve">CANCELO EL 07 MAYO 2026 A LAS 2:32 PM </t>
  </si>
  <si>
    <t xml:space="preserve">SE LLEVO EL SEGUNDO PEDIDO EL DIA JUEVES 14 MAYO </t>
  </si>
  <si>
    <t xml:space="preserve">CANCELA 16 MAYO 2026 A LAS 3:35PM </t>
  </si>
  <si>
    <t xml:space="preserve">LO RECOGIERON </t>
  </si>
  <si>
    <t xml:space="preserve">EL DIA DOMINGO 17 MAYO SOLICITA A LA SEÑORA BRENIS ENVIAR LO QUE LE QUEDA DE MATERIAL DE SU SEGUNDA COMPRA 3 ARENA AMARILLA,3 PIEDRA CHANCADA Y 22 BOLSAS DE CEMENTO, LA CUAL LE SOBRARIA 10 BOLSAS </t>
  </si>
  <si>
    <t xml:space="preserve">EL DIA 18 DE MAYO SOLICITA QUE LE ENVIEN 10 BLS DE CEMENTO </t>
  </si>
  <si>
    <t xml:space="preserve">CANCELO EL DIA 18-05 A LAS 12:06 PM </t>
  </si>
  <si>
    <t xml:space="preserve">SE LO LLEVO EL 18 MAYO </t>
  </si>
  <si>
    <t xml:space="preserve">CANCELO 18-05-2026 A LAS 12:31PM </t>
  </si>
  <si>
    <t xml:space="preserve">COMPRA RECIEN </t>
  </si>
  <si>
    <t>10 BOLSAS SE RETIRO EL DIA 04-07</t>
  </si>
  <si>
    <t>SE LLEVO EL 04-07</t>
  </si>
  <si>
    <t xml:space="preserve"> RETIRO EL SEÑOR VICTOR </t>
  </si>
  <si>
    <t>NO ESTA EN EL SISTEMA</t>
  </si>
  <si>
    <t>03048967</t>
  </si>
  <si>
    <t>04499619</t>
  </si>
  <si>
    <t>02240456</t>
  </si>
  <si>
    <t>06087000</t>
  </si>
  <si>
    <t>06091026</t>
  </si>
  <si>
    <t>04008813</t>
  </si>
  <si>
    <t>Yape Nancy Gon</t>
  </si>
  <si>
    <t>02599272</t>
  </si>
  <si>
    <t>00563973</t>
  </si>
  <si>
    <t>03867524</t>
  </si>
  <si>
    <t>Yape Porfirio Cen</t>
  </si>
  <si>
    <t>07649055</t>
  </si>
  <si>
    <t>03695703</t>
  </si>
  <si>
    <t xml:space="preserve">PAGO DE FIERRO ADJ </t>
  </si>
  <si>
    <t>P002-32870</t>
  </si>
  <si>
    <t>P002-32872</t>
  </si>
  <si>
    <t>P002-32873</t>
  </si>
  <si>
    <t xml:space="preserve">NAUCAR </t>
  </si>
  <si>
    <t>05678789</t>
  </si>
  <si>
    <t>Yape Crhisthian Chu</t>
  </si>
  <si>
    <t>06556556</t>
  </si>
  <si>
    <t>P001-43714</t>
  </si>
  <si>
    <t>07/07/2026</t>
  </si>
  <si>
    <t>02433804</t>
  </si>
  <si>
    <t>Yape Johanna Gar</t>
  </si>
  <si>
    <t>07868632</t>
  </si>
  <si>
    <t>00171698</t>
  </si>
  <si>
    <t>01542539</t>
  </si>
  <si>
    <t>Yape Natividad Cho</t>
  </si>
  <si>
    <t>07441082</t>
  </si>
  <si>
    <t>Yape Guillermo Can</t>
  </si>
  <si>
    <t>02486934</t>
  </si>
  <si>
    <t>01026459</t>
  </si>
  <si>
    <t>07169347</t>
  </si>
  <si>
    <t>07055765</t>
  </si>
  <si>
    <t>Yape Saturnino Gue</t>
  </si>
  <si>
    <t>05907850</t>
  </si>
  <si>
    <t>00875989</t>
  </si>
  <si>
    <t>P002-32880</t>
  </si>
  <si>
    <t>P002-32884</t>
  </si>
  <si>
    <t>P002-32886</t>
  </si>
  <si>
    <t>P002-32887</t>
  </si>
  <si>
    <t>P001-43720</t>
  </si>
  <si>
    <t>P001-43725</t>
  </si>
  <si>
    <t>PEÑA</t>
  </si>
  <si>
    <t>A CUENTA ELMER BAUTISTA ANTERIOR</t>
  </si>
  <si>
    <t>J &amp; S INNOVA PERU S.A.C</t>
  </si>
  <si>
    <t>03145538</t>
  </si>
  <si>
    <t>00091413</t>
  </si>
  <si>
    <t>04619307</t>
  </si>
  <si>
    <t>04166915</t>
  </si>
  <si>
    <t>04288893</t>
  </si>
  <si>
    <t>08568177</t>
  </si>
  <si>
    <t>00213249</t>
  </si>
  <si>
    <t>00971627</t>
  </si>
  <si>
    <t>00569787</t>
  </si>
  <si>
    <t>09218396</t>
  </si>
  <si>
    <t>05551386</t>
  </si>
  <si>
    <t>P001-43733</t>
  </si>
  <si>
    <t>COMPRA DE 20 FIERRO 1/2 *32.64</t>
  </si>
  <si>
    <t>P001-43736</t>
  </si>
  <si>
    <t xml:space="preserve">VENTA DE FACTURA KT </t>
  </si>
  <si>
    <t>P001-43738</t>
  </si>
  <si>
    <t>P001-43739</t>
  </si>
  <si>
    <t xml:space="preserve">RONCAL CANCINO MILAGROS MARISETT  </t>
  </si>
  <si>
    <t>Yape Wilmer Pen</t>
  </si>
  <si>
    <t>01322572</t>
  </si>
  <si>
    <t>P001-43740</t>
  </si>
  <si>
    <t>08/07/2026</t>
  </si>
  <si>
    <t>01941520</t>
  </si>
  <si>
    <t>Yape Frankli San</t>
  </si>
  <si>
    <t>07395456</t>
  </si>
  <si>
    <t>00867292</t>
  </si>
  <si>
    <t>ENTR.EFEC. 0349520</t>
  </si>
  <si>
    <t>00349520</t>
  </si>
  <si>
    <t>ENTR.EFEC. 0349108</t>
  </si>
  <si>
    <t>00349108</t>
  </si>
  <si>
    <t>ENTR.EFEC. 0348845</t>
  </si>
  <si>
    <t>00348845</t>
  </si>
  <si>
    <t>08173170</t>
  </si>
  <si>
    <t>Yape Marcial Esp</t>
  </si>
  <si>
    <t>08750990</t>
  </si>
  <si>
    <t>00804052</t>
  </si>
  <si>
    <t>02876287</t>
  </si>
  <si>
    <t>00529310</t>
  </si>
  <si>
    <t>Yape Marleny Cal</t>
  </si>
  <si>
    <t>00285529</t>
  </si>
  <si>
    <t>DE LA CRUZ</t>
  </si>
  <si>
    <t>P001-43746</t>
  </si>
  <si>
    <t>P001-43752</t>
  </si>
  <si>
    <t>P002-32907</t>
  </si>
  <si>
    <t>03566609</t>
  </si>
  <si>
    <t>Yape Llocelly Cot</t>
  </si>
  <si>
    <t>05162555</t>
  </si>
  <si>
    <t>Yape Julio Arr</t>
  </si>
  <si>
    <t>03088985</t>
  </si>
  <si>
    <t>04972835</t>
  </si>
  <si>
    <t>Yape REPUESTOS Y ACC</t>
  </si>
  <si>
    <t>03044727</t>
  </si>
  <si>
    <t>04944505</t>
  </si>
  <si>
    <t>08794168</t>
  </si>
  <si>
    <t>00279071</t>
  </si>
  <si>
    <t>00717394</t>
  </si>
  <si>
    <t xml:space="preserve">BANCARIZACIONES </t>
  </si>
  <si>
    <t xml:space="preserve">BANCARIZACIONES KT </t>
  </si>
  <si>
    <t xml:space="preserve">MANO DE OBRA FUSO </t>
  </si>
  <si>
    <t>P001-43765</t>
  </si>
  <si>
    <t xml:space="preserve">PASAJE GAONA </t>
  </si>
  <si>
    <t xml:space="preserve">PERNOS FUSO </t>
  </si>
  <si>
    <t xml:space="preserve">ABRAZADERA FUSO </t>
  </si>
  <si>
    <t xml:space="preserve">MUELLES FUSO </t>
  </si>
  <si>
    <t>P002-32911</t>
  </si>
  <si>
    <t>09/07/2026</t>
  </si>
  <si>
    <t>Yape Frank Rui</t>
  </si>
  <si>
    <t>02821990</t>
  </si>
  <si>
    <t>Yape Jervin Ara</t>
  </si>
  <si>
    <t>00105184</t>
  </si>
  <si>
    <t>02390981</t>
  </si>
  <si>
    <t>04508059</t>
  </si>
  <si>
    <t>00245078</t>
  </si>
  <si>
    <t>00519238</t>
  </si>
  <si>
    <t>Yape Segundo De</t>
  </si>
  <si>
    <t>05146611</t>
  </si>
  <si>
    <t>02707513</t>
  </si>
  <si>
    <t>00168711</t>
  </si>
  <si>
    <t>Yape Andy Gon</t>
  </si>
  <si>
    <t>01068283</t>
  </si>
  <si>
    <t>P002-32923</t>
  </si>
  <si>
    <t>P001-43772</t>
  </si>
  <si>
    <t>P002-32924</t>
  </si>
  <si>
    <t xml:space="preserve">PAGO LINEA CELULAR </t>
  </si>
  <si>
    <t>DORALIZA</t>
  </si>
  <si>
    <t>ARAMBULO</t>
  </si>
  <si>
    <t xml:space="preserve">RUIZ HU </t>
  </si>
  <si>
    <t>03573910</t>
  </si>
  <si>
    <t>Yape Gladys Sil</t>
  </si>
  <si>
    <t>00414412</t>
  </si>
  <si>
    <t>04565578</t>
  </si>
  <si>
    <t xml:space="preserve">VUELTO SILVA CARRERO </t>
  </si>
  <si>
    <t>HUAMAN RODRIGUEZ ENEMECIO</t>
  </si>
  <si>
    <t>06086632</t>
  </si>
  <si>
    <t>ABON PLIN-ANA JUDITH H</t>
  </si>
  <si>
    <t>00883161</t>
  </si>
  <si>
    <t>00682993</t>
  </si>
  <si>
    <t>01973585</t>
  </si>
  <si>
    <t>00886260</t>
  </si>
  <si>
    <t>Yape Joselito Nar</t>
  </si>
  <si>
    <t>02408967</t>
  </si>
  <si>
    <t>02030278</t>
  </si>
  <si>
    <t>Yape Wilmer Ber</t>
  </si>
  <si>
    <t>01712889</t>
  </si>
  <si>
    <t>02698682</t>
  </si>
  <si>
    <t>Pago YAPE de 41507</t>
  </si>
  <si>
    <t>04958364</t>
  </si>
  <si>
    <t>01431088</t>
  </si>
  <si>
    <t>COMPRA DE 50 FIERRO 8MM/06-07</t>
  </si>
  <si>
    <t xml:space="preserve">BERMEO </t>
  </si>
  <si>
    <t>P001-43790</t>
  </si>
  <si>
    <t>P001-43789</t>
  </si>
  <si>
    <t>P001-43787</t>
  </si>
  <si>
    <t xml:space="preserve">TEJADA </t>
  </si>
  <si>
    <t>VEGA</t>
  </si>
  <si>
    <t xml:space="preserve">SAMUEL / DEVOLUCION JORDIN </t>
  </si>
  <si>
    <t>10/07/2026</t>
  </si>
  <si>
    <t>04236539</t>
  </si>
  <si>
    <t>00628597</t>
  </si>
  <si>
    <t>01323273</t>
  </si>
  <si>
    <t>Yape Luz Dia</t>
  </si>
  <si>
    <t>02311524</t>
  </si>
  <si>
    <t>Yape Kevin Cha</t>
  </si>
  <si>
    <t>00649587</t>
  </si>
  <si>
    <t>Yape Aldo Tal</t>
  </si>
  <si>
    <t>01407964</t>
  </si>
  <si>
    <t>Yape Alex Mon</t>
  </si>
  <si>
    <t>00072054</t>
  </si>
  <si>
    <t>00010146</t>
  </si>
  <si>
    <t>01036982</t>
  </si>
  <si>
    <t>07585254</t>
  </si>
  <si>
    <t>07911301</t>
  </si>
  <si>
    <t>Yape Valentin Cab</t>
  </si>
  <si>
    <t>06650270</t>
  </si>
  <si>
    <t>07554288</t>
  </si>
  <si>
    <t>06217790</t>
  </si>
  <si>
    <t>06700263</t>
  </si>
  <si>
    <t>00938535</t>
  </si>
  <si>
    <t>Yape Williams San</t>
  </si>
  <si>
    <t>04032858</t>
  </si>
  <si>
    <t>P002-32951</t>
  </si>
  <si>
    <t>P002-32952</t>
  </si>
  <si>
    <t>VALENTIN 09-07</t>
  </si>
  <si>
    <t>P001-43795</t>
  </si>
  <si>
    <t>KEVIN JIBAJA</t>
  </si>
  <si>
    <t xml:space="preserve">VARGAS NAUCA </t>
  </si>
  <si>
    <t xml:space="preserve">WALTE SANCHEZ </t>
  </si>
  <si>
    <t>P001-43803</t>
  </si>
  <si>
    <t>P001-43804</t>
  </si>
  <si>
    <t>00077959</t>
  </si>
  <si>
    <t>02866932</t>
  </si>
  <si>
    <t>04731801</t>
  </si>
  <si>
    <t>04823463</t>
  </si>
  <si>
    <t>04512820</t>
  </si>
  <si>
    <t>03936850</t>
  </si>
  <si>
    <t>03823783</t>
  </si>
  <si>
    <t>Yape Cleyver San</t>
  </si>
  <si>
    <t>08340725</t>
  </si>
  <si>
    <t>03460333</t>
  </si>
  <si>
    <t>03365338</t>
  </si>
  <si>
    <t>07116966</t>
  </si>
  <si>
    <t>P002-32954</t>
  </si>
  <si>
    <t xml:space="preserve">PAGO LINEA ANAYELY </t>
  </si>
  <si>
    <t>PAICO</t>
  </si>
  <si>
    <t>P002-32957</t>
  </si>
  <si>
    <t>P002-32963</t>
  </si>
  <si>
    <t xml:space="preserve">CLEYVER </t>
  </si>
  <si>
    <t>CHOMBA GUERRA</t>
  </si>
  <si>
    <t xml:space="preserve">COMPRA DE 2.5 TIERRA </t>
  </si>
  <si>
    <t>CHIMOY PAICO ERICK JONE</t>
  </si>
  <si>
    <t>DIAZ CASTRO LUZ MAGALI</t>
  </si>
  <si>
    <t xml:space="preserve">OJEDA </t>
  </si>
  <si>
    <t>00193998</t>
  </si>
  <si>
    <t xml:space="preserve">DEVOLUCION DE VUELTO SRA PAIO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</si>
</sst>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S/&quot;\ #,##0.00"/>
  </numFmts>
  <fonts count="13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rgb="FFFF0000"/>
      <name val="Calibri"/>
      <family val="2"/>
      <scheme val="minor"/>
    </font>
    <font>
      <sz val="8"/>
      <name val="Calibri"/>
      <family val="2"/>
      <scheme val="minor"/>
    </font>
    <font>
      <sz val="12"/>
      <name val="Calibri"/>
      <family val="2"/>
      <scheme val="minor"/>
    </font>
    <font>
      <b/>
      <sz val="12"/>
      <color rgb="FFFF0000"/>
      <name val="Calibri"/>
      <family val="2"/>
      <scheme val="minor"/>
    </font>
    <font>
      <b/>
      <sz val="12"/>
      <color rgb="FF0070C0"/>
      <name val="Calibri"/>
      <family val="2"/>
      <scheme val="minor"/>
    </font>
    <font>
      <b/>
      <sz val="12"/>
      <color theme="3" tint="0.39997558519241921"/>
      <name val="Calibri"/>
      <family val="2"/>
      <scheme val="minor"/>
    </font>
    <font>
      <sz val="12"/>
      <color rgb="FF0070C0"/>
      <name val="Calibri"/>
      <family val="2"/>
      <scheme val="minor"/>
    </font>
    <font>
      <b/>
      <sz val="12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24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2" tint="-9.9978637043366805E-2"/>
        <bgColor indexed="64"/>
      </patternFill>
    </fill>
  </fills>
  <borders count="2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62">
    <xf numFmtId="0" fontId="0" fillId="0" borderId="0" xfId="0"/>
    <xf numFmtId="0" fontId="0" fillId="0" borderId="1" xfId="0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4" borderId="1" xfId="0" applyFill="1" applyBorder="1" applyAlignment="1">
      <alignment horizontal="center"/>
    </xf>
    <xf numFmtId="16" fontId="0" fillId="0" borderId="1" xfId="0" applyNumberFormat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0" fillId="5" borderId="1" xfId="0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7" borderId="0" xfId="0" applyFill="1"/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6" borderId="7" xfId="0" applyFill="1" applyBorder="1" applyAlignment="1">
      <alignment horizontal="center"/>
    </xf>
    <xf numFmtId="0" fontId="0" fillId="0" borderId="7" xfId="0" applyBorder="1" applyAlignment="1">
      <alignment horizontal="center"/>
    </xf>
    <xf numFmtId="16" fontId="0" fillId="0" borderId="8" xfId="0" applyNumberFormat="1" applyBorder="1" applyAlignment="1">
      <alignment horizontal="center"/>
    </xf>
    <xf numFmtId="0" fontId="0" fillId="0" borderId="9" xfId="0" applyBorder="1" applyAlignment="1">
      <alignment horizontal="center"/>
    </xf>
    <xf numFmtId="0" fontId="0" fillId="3" borderId="10" xfId="0" applyFill="1" applyBorder="1" applyAlignment="1">
      <alignment horizontal="center"/>
    </xf>
    <xf numFmtId="0" fontId="0" fillId="8" borderId="7" xfId="0" applyFill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0" fillId="2" borderId="7" xfId="0" applyFill="1" applyBorder="1" applyAlignment="1">
      <alignment horizontal="center"/>
    </xf>
    <xf numFmtId="0" fontId="0" fillId="0" borderId="8" xfId="0" applyBorder="1" applyAlignment="1">
      <alignment horizontal="center"/>
    </xf>
    <xf numFmtId="0" fontId="0" fillId="2" borderId="10" xfId="0" applyFill="1" applyBorder="1" applyAlignment="1">
      <alignment horizontal="center"/>
    </xf>
    <xf numFmtId="0" fontId="0" fillId="0" borderId="10" xfId="0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2" fillId="0" borderId="7" xfId="0" applyFont="1" applyBorder="1" applyAlignment="1">
      <alignment horizontal="center"/>
    </xf>
    <xf numFmtId="0" fontId="2" fillId="0" borderId="0" xfId="0" applyFont="1" applyAlignment="1">
      <alignment horizontal="center"/>
    </xf>
    <xf numFmtId="16" fontId="0" fillId="0" borderId="6" xfId="0" applyNumberFormat="1" applyBorder="1" applyAlignment="1">
      <alignment horizontal="center"/>
    </xf>
    <xf numFmtId="0" fontId="0" fillId="4" borderId="6" xfId="0" applyFill="1" applyBorder="1" applyAlignment="1">
      <alignment horizontal="center"/>
    </xf>
    <xf numFmtId="0" fontId="0" fillId="4" borderId="7" xfId="0" applyFill="1" applyBorder="1" applyAlignment="1">
      <alignment horizontal="center"/>
    </xf>
    <xf numFmtId="0" fontId="0" fillId="8" borderId="0" xfId="0" applyFill="1" applyAlignment="1">
      <alignment horizontal="center"/>
    </xf>
    <xf numFmtId="0" fontId="0" fillId="8" borderId="1" xfId="0" applyFill="1" applyBorder="1" applyAlignment="1">
      <alignment horizontal="center"/>
    </xf>
    <xf numFmtId="0" fontId="0" fillId="9" borderId="7" xfId="0" applyFill="1" applyBorder="1" applyAlignment="1">
      <alignment horizontal="center"/>
    </xf>
    <xf numFmtId="0" fontId="0" fillId="8" borderId="6" xfId="0" applyFill="1" applyBorder="1" applyAlignment="1">
      <alignment horizontal="center"/>
    </xf>
    <xf numFmtId="0" fontId="0" fillId="9" borderId="10" xfId="0" applyFill="1" applyBorder="1" applyAlignment="1">
      <alignment horizontal="center"/>
    </xf>
    <xf numFmtId="0" fontId="2" fillId="9" borderId="7" xfId="0" applyFont="1" applyFill="1" applyBorder="1" applyAlignment="1">
      <alignment horizontal="center"/>
    </xf>
    <xf numFmtId="0" fontId="0" fillId="2" borderId="6" xfId="0" applyFill="1" applyBorder="1" applyAlignment="1">
      <alignment horizontal="center"/>
    </xf>
    <xf numFmtId="0" fontId="0" fillId="10" borderId="6" xfId="0" applyFill="1" applyBorder="1" applyAlignment="1">
      <alignment horizontal="center"/>
    </xf>
    <xf numFmtId="0" fontId="0" fillId="10" borderId="1" xfId="0" applyFill="1" applyBorder="1" applyAlignment="1">
      <alignment horizontal="center"/>
    </xf>
    <xf numFmtId="0" fontId="0" fillId="10" borderId="7" xfId="0" applyFill="1" applyBorder="1" applyAlignment="1">
      <alignment horizontal="center"/>
    </xf>
    <xf numFmtId="0" fontId="0" fillId="4" borderId="11" xfId="0" applyFill="1" applyBorder="1" applyAlignment="1">
      <alignment horizontal="center"/>
    </xf>
    <xf numFmtId="0" fontId="0" fillId="4" borderId="12" xfId="0" applyFill="1" applyBorder="1" applyAlignment="1">
      <alignment horizontal="center"/>
    </xf>
    <xf numFmtId="0" fontId="0" fillId="4" borderId="13" xfId="0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14" fontId="0" fillId="0" borderId="1" xfId="0" applyNumberFormat="1" applyBorder="1" applyAlignment="1">
      <alignment horizontal="center"/>
    </xf>
    <xf numFmtId="14" fontId="2" fillId="0" borderId="1" xfId="0" applyNumberFormat="1" applyFont="1" applyBorder="1" applyAlignment="1">
      <alignment horizontal="center"/>
    </xf>
    <xf numFmtId="0" fontId="0" fillId="9" borderId="1" xfId="0" applyFill="1" applyBorder="1" applyAlignment="1">
      <alignment horizontal="center"/>
    </xf>
    <xf numFmtId="0" fontId="0" fillId="9" borderId="6" xfId="0" applyFill="1" applyBorder="1" applyAlignment="1">
      <alignment horizontal="center"/>
    </xf>
    <xf numFmtId="0" fontId="0" fillId="2" borderId="9" xfId="0" applyFill="1" applyBorder="1" applyAlignment="1">
      <alignment horizontal="center"/>
    </xf>
    <xf numFmtId="0" fontId="0" fillId="11" borderId="6" xfId="0" applyFill="1" applyBorder="1" applyAlignment="1">
      <alignment horizontal="center"/>
    </xf>
    <xf numFmtId="0" fontId="0" fillId="11" borderId="1" xfId="0" applyFill="1" applyBorder="1" applyAlignment="1">
      <alignment horizontal="center"/>
    </xf>
    <xf numFmtId="0" fontId="0" fillId="11" borderId="7" xfId="0" applyFill="1" applyBorder="1" applyAlignment="1">
      <alignment horizontal="center"/>
    </xf>
    <xf numFmtId="16" fontId="0" fillId="0" borderId="0" xfId="0" applyNumberFormat="1" applyAlignment="1">
      <alignment horizontal="center"/>
    </xf>
    <xf numFmtId="164" fontId="0" fillId="0" borderId="1" xfId="0" applyNumberFormat="1" applyBorder="1" applyAlignment="1">
      <alignment horizontal="center"/>
    </xf>
    <xf numFmtId="164" fontId="0" fillId="0" borderId="9" xfId="0" applyNumberFormat="1" applyBorder="1" applyAlignment="1">
      <alignment horizontal="center"/>
    </xf>
    <xf numFmtId="0" fontId="0" fillId="6" borderId="1" xfId="0" applyFill="1" applyBorder="1" applyAlignment="1">
      <alignment horizontal="center"/>
    </xf>
    <xf numFmtId="0" fontId="0" fillId="6" borderId="6" xfId="0" applyFill="1" applyBorder="1" applyAlignment="1">
      <alignment horizontal="center"/>
    </xf>
    <xf numFmtId="0" fontId="0" fillId="3" borderId="3" xfId="0" applyFill="1" applyBorder="1" applyAlignment="1">
      <alignment horizontal="center"/>
    </xf>
    <xf numFmtId="0" fontId="0" fillId="3" borderId="4" xfId="0" applyFill="1" applyBorder="1" applyAlignment="1">
      <alignment horizontal="center"/>
    </xf>
    <xf numFmtId="0" fontId="0" fillId="3" borderId="6" xfId="0" applyFill="1" applyBorder="1" applyAlignment="1">
      <alignment horizontal="center"/>
    </xf>
    <xf numFmtId="0" fontId="0" fillId="3" borderId="7" xfId="0" applyFill="1" applyBorder="1" applyAlignment="1">
      <alignment horizontal="center"/>
    </xf>
    <xf numFmtId="14" fontId="0" fillId="0" borderId="0" xfId="0" applyNumberFormat="1" applyAlignment="1">
      <alignment horizontal="center"/>
    </xf>
    <xf numFmtId="0" fontId="4" fillId="0" borderId="1" xfId="0" applyFont="1" applyBorder="1" applyAlignment="1">
      <alignment horizontal="center"/>
    </xf>
    <xf numFmtId="14" fontId="4" fillId="0" borderId="6" xfId="0" applyNumberFormat="1" applyFont="1" applyBorder="1" applyAlignment="1">
      <alignment horizontal="center"/>
    </xf>
    <xf numFmtId="0" fontId="4" fillId="0" borderId="7" xfId="0" applyFont="1" applyBorder="1" applyAlignment="1">
      <alignment horizontal="center"/>
    </xf>
    <xf numFmtId="0" fontId="4" fillId="4" borderId="1" xfId="0" applyFont="1" applyFill="1" applyBorder="1" applyAlignment="1">
      <alignment horizontal="center"/>
    </xf>
    <xf numFmtId="0" fontId="4" fillId="4" borderId="6" xfId="0" applyFont="1" applyFill="1" applyBorder="1" applyAlignment="1">
      <alignment horizontal="center"/>
    </xf>
    <xf numFmtId="0" fontId="4" fillId="4" borderId="7" xfId="0" applyFont="1" applyFill="1" applyBorder="1" applyAlignment="1">
      <alignment horizontal="center"/>
    </xf>
    <xf numFmtId="14" fontId="0" fillId="0" borderId="8" xfId="0" applyNumberFormat="1" applyBorder="1" applyAlignment="1">
      <alignment horizontal="center"/>
    </xf>
    <xf numFmtId="14" fontId="0" fillId="0" borderId="6" xfId="0" applyNumberForma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5" fillId="0" borderId="4" xfId="0" applyFont="1" applyBorder="1" applyAlignment="1">
      <alignment horizontal="center"/>
    </xf>
    <xf numFmtId="0" fontId="0" fillId="8" borderId="9" xfId="0" applyFill="1" applyBorder="1" applyAlignment="1">
      <alignment horizontal="center"/>
    </xf>
    <xf numFmtId="0" fontId="0" fillId="12" borderId="1" xfId="0" applyFill="1" applyBorder="1" applyAlignment="1">
      <alignment horizontal="center"/>
    </xf>
    <xf numFmtId="0" fontId="0" fillId="7" borderId="1" xfId="0" applyFill="1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7" borderId="7" xfId="0" applyFill="1" applyBorder="1" applyAlignment="1">
      <alignment horizontal="center"/>
    </xf>
    <xf numFmtId="0" fontId="0" fillId="0" borderId="0" xfId="0" applyAlignment="1">
      <alignment horizontal="left"/>
    </xf>
    <xf numFmtId="0" fontId="0" fillId="0" borderId="5" xfId="0" applyBorder="1" applyAlignment="1">
      <alignment horizontal="left"/>
    </xf>
    <xf numFmtId="0" fontId="0" fillId="0" borderId="7" xfId="0" applyBorder="1" applyAlignment="1">
      <alignment horizontal="left"/>
    </xf>
    <xf numFmtId="0" fontId="2" fillId="0" borderId="7" xfId="0" applyFont="1" applyBorder="1" applyAlignment="1">
      <alignment horizontal="left"/>
    </xf>
    <xf numFmtId="0" fontId="0" fillId="0" borderId="10" xfId="0" applyBorder="1" applyAlignment="1">
      <alignment horizontal="left"/>
    </xf>
    <xf numFmtId="0" fontId="0" fillId="4" borderId="9" xfId="0" applyFill="1" applyBorder="1" applyAlignment="1">
      <alignment horizontal="center"/>
    </xf>
    <xf numFmtId="0" fontId="1" fillId="0" borderId="5" xfId="0" applyFont="1" applyBorder="1" applyAlignment="1">
      <alignment horizontal="left"/>
    </xf>
    <xf numFmtId="0" fontId="0" fillId="4" borderId="7" xfId="0" applyFill="1" applyBorder="1" applyAlignment="1">
      <alignment horizontal="left"/>
    </xf>
    <xf numFmtId="0" fontId="0" fillId="4" borderId="10" xfId="0" applyFill="1" applyBorder="1" applyAlignment="1">
      <alignment horizontal="left"/>
    </xf>
    <xf numFmtId="0" fontId="0" fillId="13" borderId="1" xfId="0" applyFill="1" applyBorder="1" applyAlignment="1">
      <alignment horizontal="center"/>
    </xf>
    <xf numFmtId="0" fontId="0" fillId="13" borderId="0" xfId="0" applyFill="1" applyAlignment="1">
      <alignment horizontal="center"/>
    </xf>
    <xf numFmtId="0" fontId="0" fillId="0" borderId="1" xfId="0" applyBorder="1" applyAlignment="1">
      <alignment horizontal="left"/>
    </xf>
    <xf numFmtId="0" fontId="2" fillId="0" borderId="1" xfId="0" applyFont="1" applyBorder="1" applyAlignment="1">
      <alignment horizontal="left"/>
    </xf>
    <xf numFmtId="0" fontId="4" fillId="12" borderId="1" xfId="0" applyFont="1" applyFill="1" applyBorder="1" applyAlignment="1">
      <alignment horizontal="center"/>
    </xf>
    <xf numFmtId="0" fontId="4" fillId="12" borderId="6" xfId="0" applyFont="1" applyFill="1" applyBorder="1" applyAlignment="1">
      <alignment horizontal="center"/>
    </xf>
    <xf numFmtId="0" fontId="2" fillId="12" borderId="7" xfId="0" applyFont="1" applyFill="1" applyBorder="1" applyAlignment="1">
      <alignment horizontal="center"/>
    </xf>
    <xf numFmtId="0" fontId="6" fillId="0" borderId="1" xfId="0" applyFont="1" applyBorder="1" applyAlignment="1">
      <alignment horizontal="center"/>
    </xf>
    <xf numFmtId="0" fontId="1" fillId="0" borderId="0" xfId="0" applyFont="1"/>
    <xf numFmtId="0" fontId="1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5" fillId="0" borderId="0" xfId="0" applyFont="1"/>
    <xf numFmtId="0" fontId="2" fillId="0" borderId="0" xfId="0" applyFont="1"/>
    <xf numFmtId="0" fontId="6" fillId="10" borderId="1" xfId="0" applyFont="1" applyFill="1" applyBorder="1" applyAlignment="1">
      <alignment horizontal="center"/>
    </xf>
    <xf numFmtId="0" fontId="2" fillId="10" borderId="1" xfId="0" applyFont="1" applyFill="1" applyBorder="1" applyAlignment="1">
      <alignment horizontal="center"/>
    </xf>
    <xf numFmtId="0" fontId="6" fillId="6" borderId="1" xfId="0" applyFont="1" applyFill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6" fillId="6" borderId="6" xfId="0" applyFont="1" applyFill="1" applyBorder="1" applyAlignment="1">
      <alignment horizontal="center"/>
    </xf>
    <xf numFmtId="0" fontId="6" fillId="6" borderId="7" xfId="0" applyFont="1" applyFill="1" applyBorder="1" applyAlignment="1">
      <alignment horizontal="center"/>
    </xf>
    <xf numFmtId="0" fontId="0" fillId="0" borderId="1" xfId="0" applyBorder="1"/>
    <xf numFmtId="0" fontId="8" fillId="0" borderId="1" xfId="0" applyFont="1" applyBorder="1" applyAlignment="1">
      <alignment horizontal="center"/>
    </xf>
    <xf numFmtId="0" fontId="2" fillId="12" borderId="1" xfId="0" applyFont="1" applyFill="1" applyBorder="1" applyAlignment="1">
      <alignment horizontal="center"/>
    </xf>
    <xf numFmtId="0" fontId="2" fillId="0" borderId="1" xfId="0" applyFont="1" applyBorder="1"/>
    <xf numFmtId="0" fontId="2" fillId="9" borderId="6" xfId="0" applyFont="1" applyFill="1" applyBorder="1" applyAlignment="1">
      <alignment horizontal="center"/>
    </xf>
    <xf numFmtId="0" fontId="2" fillId="9" borderId="1" xfId="0" applyFont="1" applyFill="1" applyBorder="1" applyAlignment="1">
      <alignment horizontal="center"/>
    </xf>
    <xf numFmtId="0" fontId="0" fillId="14" borderId="1" xfId="0" applyFill="1" applyBorder="1" applyAlignment="1">
      <alignment horizontal="center"/>
    </xf>
    <xf numFmtId="0" fontId="0" fillId="15" borderId="1" xfId="0" applyFill="1" applyBorder="1" applyAlignment="1">
      <alignment horizontal="center"/>
    </xf>
    <xf numFmtId="0" fontId="9" fillId="7" borderId="1" xfId="0" applyFont="1" applyFill="1" applyBorder="1" applyAlignment="1">
      <alignment horizontal="center"/>
    </xf>
    <xf numFmtId="0" fontId="9" fillId="7" borderId="6" xfId="0" applyFont="1" applyFill="1" applyBorder="1" applyAlignment="1">
      <alignment horizontal="center"/>
    </xf>
    <xf numFmtId="0" fontId="9" fillId="7" borderId="7" xfId="0" applyFont="1" applyFill="1" applyBorder="1" applyAlignment="1">
      <alignment horizontal="center"/>
    </xf>
    <xf numFmtId="0" fontId="0" fillId="15" borderId="6" xfId="0" applyFill="1" applyBorder="1" applyAlignment="1">
      <alignment horizontal="center"/>
    </xf>
    <xf numFmtId="0" fontId="0" fillId="15" borderId="7" xfId="0" applyFill="1" applyBorder="1" applyAlignment="1">
      <alignment horizontal="center"/>
    </xf>
    <xf numFmtId="0" fontId="1" fillId="10" borderId="1" xfId="0" applyFont="1" applyFill="1" applyBorder="1" applyAlignment="1">
      <alignment horizontal="center"/>
    </xf>
    <xf numFmtId="0" fontId="4" fillId="0" borderId="0" xfId="0" applyFont="1" applyAlignment="1">
      <alignment horizontal="center"/>
    </xf>
    <xf numFmtId="0" fontId="4" fillId="0" borderId="0" xfId="0" applyFont="1"/>
    <xf numFmtId="0" fontId="4" fillId="9" borderId="1" xfId="0" applyFont="1" applyFill="1" applyBorder="1" applyAlignment="1">
      <alignment horizontal="center"/>
    </xf>
    <xf numFmtId="0" fontId="0" fillId="12" borderId="6" xfId="0" applyFill="1" applyBorder="1" applyAlignment="1">
      <alignment horizontal="center"/>
    </xf>
    <xf numFmtId="0" fontId="0" fillId="12" borderId="7" xfId="0" applyFill="1" applyBorder="1" applyAlignment="1">
      <alignment horizontal="center"/>
    </xf>
    <xf numFmtId="0" fontId="0" fillId="9" borderId="9" xfId="0" applyFill="1" applyBorder="1" applyAlignment="1">
      <alignment horizontal="center"/>
    </xf>
    <xf numFmtId="0" fontId="0" fillId="16" borderId="6" xfId="0" applyFill="1" applyBorder="1" applyAlignment="1">
      <alignment horizontal="center"/>
    </xf>
    <xf numFmtId="0" fontId="0" fillId="16" borderId="1" xfId="0" applyFill="1" applyBorder="1" applyAlignment="1">
      <alignment horizontal="center"/>
    </xf>
    <xf numFmtId="0" fontId="0" fillId="16" borderId="7" xfId="0" applyFill="1" applyBorder="1" applyAlignment="1">
      <alignment horizontal="center"/>
    </xf>
    <xf numFmtId="0" fontId="0" fillId="17" borderId="1" xfId="0" applyFill="1" applyBorder="1" applyAlignment="1">
      <alignment horizontal="center"/>
    </xf>
    <xf numFmtId="0" fontId="2" fillId="17" borderId="1" xfId="0" applyFont="1" applyFill="1" applyBorder="1" applyAlignment="1">
      <alignment horizontal="center"/>
    </xf>
    <xf numFmtId="0" fontId="0" fillId="17" borderId="9" xfId="0" applyFill="1" applyBorder="1" applyAlignment="1">
      <alignment horizontal="center"/>
    </xf>
    <xf numFmtId="0" fontId="2" fillId="0" borderId="8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2" fillId="0" borderId="10" xfId="0" applyFont="1" applyBorder="1" applyAlignment="1">
      <alignment horizontal="center"/>
    </xf>
    <xf numFmtId="0" fontId="0" fillId="18" borderId="6" xfId="0" applyFill="1" applyBorder="1" applyAlignment="1">
      <alignment horizontal="center"/>
    </xf>
    <xf numFmtId="0" fontId="0" fillId="18" borderId="1" xfId="0" applyFill="1" applyBorder="1" applyAlignment="1">
      <alignment horizontal="center"/>
    </xf>
    <xf numFmtId="0" fontId="0" fillId="18" borderId="7" xfId="0" applyFill="1" applyBorder="1" applyAlignment="1">
      <alignment horizontal="center"/>
    </xf>
    <xf numFmtId="0" fontId="0" fillId="10" borderId="0" xfId="0" applyFill="1" applyAlignment="1">
      <alignment horizontal="center"/>
    </xf>
    <xf numFmtId="16" fontId="2" fillId="0" borderId="7" xfId="0" applyNumberFormat="1" applyFont="1" applyBorder="1" applyAlignment="1">
      <alignment horizontal="center"/>
    </xf>
    <xf numFmtId="0" fontId="0" fillId="0" borderId="5" xfId="0" applyBorder="1"/>
    <xf numFmtId="0" fontId="0" fillId="0" borderId="7" xfId="0" applyBorder="1"/>
    <xf numFmtId="0" fontId="0" fillId="0" borderId="10" xfId="0" applyBorder="1"/>
    <xf numFmtId="0" fontId="0" fillId="0" borderId="11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3" xfId="0" applyBorder="1" applyAlignment="1">
      <alignment horizontal="center"/>
    </xf>
    <xf numFmtId="0" fontId="2" fillId="0" borderId="13" xfId="0" applyFont="1" applyBorder="1" applyAlignment="1">
      <alignment horizontal="center"/>
    </xf>
    <xf numFmtId="0" fontId="0" fillId="19" borderId="1" xfId="0" applyFill="1" applyBorder="1" applyAlignment="1">
      <alignment horizontal="center"/>
    </xf>
    <xf numFmtId="0" fontId="0" fillId="19" borderId="6" xfId="0" applyFill="1" applyBorder="1" applyAlignment="1">
      <alignment horizontal="center"/>
    </xf>
    <xf numFmtId="0" fontId="0" fillId="19" borderId="7" xfId="0" applyFill="1" applyBorder="1" applyAlignment="1">
      <alignment horizontal="center"/>
    </xf>
    <xf numFmtId="0" fontId="0" fillId="10" borderId="9" xfId="0" applyFill="1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19" borderId="1" xfId="0" applyFont="1" applyFill="1" applyBorder="1"/>
    <xf numFmtId="0" fontId="1" fillId="19" borderId="1" xfId="0" applyFont="1" applyFill="1" applyBorder="1" applyAlignment="1">
      <alignment horizontal="center" vertical="center"/>
    </xf>
    <xf numFmtId="0" fontId="1" fillId="19" borderId="1" xfId="0" applyFont="1" applyFill="1" applyBorder="1" applyAlignment="1">
      <alignment horizontal="center"/>
    </xf>
    <xf numFmtId="0" fontId="1" fillId="19" borderId="2" xfId="0" applyFont="1" applyFill="1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2" fillId="0" borderId="1" xfId="0" applyFont="1" applyBorder="1" applyAlignment="1">
      <alignment horizontal="left" vertical="center"/>
    </xf>
    <xf numFmtId="0" fontId="0" fillId="5" borderId="1" xfId="0" applyFill="1" applyBorder="1"/>
    <xf numFmtId="0" fontId="0" fillId="5" borderId="1" xfId="0" applyFill="1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0" fillId="20" borderId="1" xfId="0" applyFill="1" applyBorder="1" applyAlignment="1">
      <alignment horizontal="center"/>
    </xf>
    <xf numFmtId="0" fontId="9" fillId="0" borderId="0" xfId="0" applyFont="1"/>
    <xf numFmtId="0" fontId="0" fillId="0" borderId="9" xfId="0" applyBorder="1" applyAlignment="1">
      <alignment horizontal="left"/>
    </xf>
    <xf numFmtId="164" fontId="0" fillId="0" borderId="0" xfId="0" applyNumberFormat="1" applyAlignment="1">
      <alignment horizontal="center"/>
    </xf>
    <xf numFmtId="164" fontId="1" fillId="0" borderId="1" xfId="0" applyNumberFormat="1" applyFont="1" applyBorder="1" applyAlignment="1">
      <alignment horizontal="center"/>
    </xf>
    <xf numFmtId="164" fontId="1" fillId="0" borderId="7" xfId="0" applyNumberFormat="1" applyFont="1" applyBorder="1" applyAlignment="1">
      <alignment horizontal="center"/>
    </xf>
    <xf numFmtId="164" fontId="0" fillId="0" borderId="7" xfId="0" applyNumberFormat="1" applyBorder="1" applyAlignment="1">
      <alignment horizontal="center"/>
    </xf>
    <xf numFmtId="164" fontId="11" fillId="0" borderId="9" xfId="0" applyNumberFormat="1" applyFont="1" applyBorder="1" applyAlignment="1">
      <alignment horizontal="center"/>
    </xf>
    <xf numFmtId="164" fontId="11" fillId="0" borderId="10" xfId="0" applyNumberFormat="1" applyFont="1" applyBorder="1" applyAlignment="1">
      <alignment horizontal="center"/>
    </xf>
    <xf numFmtId="0" fontId="0" fillId="10" borderId="1" xfId="0" applyFill="1" applyBorder="1" applyAlignment="1">
      <alignment horizontal="left"/>
    </xf>
    <xf numFmtId="164" fontId="0" fillId="10" borderId="1" xfId="0" applyNumberFormat="1" applyFill="1" applyBorder="1" applyAlignment="1">
      <alignment horizontal="center"/>
    </xf>
    <xf numFmtId="164" fontId="0" fillId="10" borderId="7" xfId="0" applyNumberFormat="1" applyFill="1" applyBorder="1" applyAlignment="1">
      <alignment horizontal="center"/>
    </xf>
    <xf numFmtId="0" fontId="0" fillId="6" borderId="1" xfId="0" applyFill="1" applyBorder="1" applyAlignment="1">
      <alignment horizontal="left"/>
    </xf>
    <xf numFmtId="164" fontId="0" fillId="6" borderId="1" xfId="0" applyNumberFormat="1" applyFill="1" applyBorder="1" applyAlignment="1">
      <alignment horizontal="center"/>
    </xf>
    <xf numFmtId="164" fontId="0" fillId="6" borderId="7" xfId="0" applyNumberFormat="1" applyFill="1" applyBorder="1" applyAlignment="1">
      <alignment horizontal="center"/>
    </xf>
    <xf numFmtId="0" fontId="12" fillId="0" borderId="0" xfId="0" applyFont="1" applyAlignment="1">
      <alignment horizontal="left"/>
    </xf>
    <xf numFmtId="0" fontId="12" fillId="0" borderId="0" xfId="0" applyFont="1" applyAlignment="1">
      <alignment horizontal="center"/>
    </xf>
    <xf numFmtId="164" fontId="12" fillId="0" borderId="0" xfId="0" applyNumberFormat="1" applyFont="1" applyAlignment="1">
      <alignment horizontal="center"/>
    </xf>
    <xf numFmtId="16" fontId="0" fillId="6" borderId="1" xfId="0" applyNumberFormat="1" applyFill="1" applyBorder="1" applyAlignment="1">
      <alignment horizontal="center"/>
    </xf>
    <xf numFmtId="0" fontId="0" fillId="6" borderId="0" xfId="0" applyFill="1"/>
    <xf numFmtId="16" fontId="0" fillId="6" borderId="0" xfId="0" applyNumberFormat="1" applyFill="1" applyAlignment="1">
      <alignment horizontal="center"/>
    </xf>
    <xf numFmtId="0" fontId="0" fillId="6" borderId="0" xfId="0" applyFill="1" applyAlignment="1">
      <alignment horizontal="center"/>
    </xf>
    <xf numFmtId="0" fontId="0" fillId="6" borderId="0" xfId="0" applyFill="1" applyAlignment="1">
      <alignment horizontal="left"/>
    </xf>
    <xf numFmtId="164" fontId="0" fillId="6" borderId="0" xfId="0" applyNumberFormat="1" applyFill="1" applyAlignment="1">
      <alignment horizontal="center"/>
    </xf>
    <xf numFmtId="16" fontId="0" fillId="3" borderId="1" xfId="0" applyNumberFormat="1" applyFill="1" applyBorder="1" applyAlignment="1">
      <alignment horizontal="center"/>
    </xf>
    <xf numFmtId="0" fontId="0" fillId="3" borderId="1" xfId="0" applyFill="1" applyBorder="1" applyAlignment="1">
      <alignment horizontal="left"/>
    </xf>
    <xf numFmtId="164" fontId="0" fillId="3" borderId="1" xfId="0" applyNumberFormat="1" applyFill="1" applyBorder="1" applyAlignment="1">
      <alignment horizontal="center"/>
    </xf>
    <xf numFmtId="164" fontId="0" fillId="3" borderId="7" xfId="0" applyNumberFormat="1" applyFill="1" applyBorder="1" applyAlignment="1">
      <alignment horizontal="center"/>
    </xf>
    <xf numFmtId="0" fontId="0" fillId="3" borderId="0" xfId="0" applyFill="1"/>
    <xf numFmtId="16" fontId="0" fillId="3" borderId="0" xfId="0" applyNumberFormat="1" applyFill="1" applyAlignment="1">
      <alignment horizontal="center"/>
    </xf>
    <xf numFmtId="0" fontId="0" fillId="3" borderId="0" xfId="0" applyFill="1" applyAlignment="1">
      <alignment horizontal="center"/>
    </xf>
    <xf numFmtId="0" fontId="0" fillId="3" borderId="0" xfId="0" applyFill="1" applyAlignment="1">
      <alignment horizontal="left"/>
    </xf>
    <xf numFmtId="164" fontId="0" fillId="3" borderId="0" xfId="0" applyNumberFormat="1" applyFill="1" applyAlignment="1">
      <alignment horizontal="center"/>
    </xf>
    <xf numFmtId="0" fontId="0" fillId="8" borderId="1" xfId="0" applyFill="1" applyBorder="1" applyAlignment="1">
      <alignment horizontal="left"/>
    </xf>
    <xf numFmtId="164" fontId="0" fillId="8" borderId="1" xfId="0" applyNumberFormat="1" applyFill="1" applyBorder="1" applyAlignment="1">
      <alignment horizontal="center"/>
    </xf>
    <xf numFmtId="164" fontId="0" fillId="8" borderId="7" xfId="0" applyNumberFormat="1" applyFill="1" applyBorder="1" applyAlignment="1">
      <alignment horizontal="center"/>
    </xf>
    <xf numFmtId="0" fontId="0" fillId="8" borderId="0" xfId="0" applyFill="1"/>
    <xf numFmtId="16" fontId="0" fillId="12" borderId="1" xfId="0" applyNumberFormat="1" applyFill="1" applyBorder="1" applyAlignment="1">
      <alignment horizontal="center"/>
    </xf>
    <xf numFmtId="0" fontId="0" fillId="12" borderId="1" xfId="0" applyFill="1" applyBorder="1" applyAlignment="1">
      <alignment horizontal="left"/>
    </xf>
    <xf numFmtId="164" fontId="0" fillId="12" borderId="1" xfId="0" applyNumberFormat="1" applyFill="1" applyBorder="1" applyAlignment="1">
      <alignment horizontal="center"/>
    </xf>
    <xf numFmtId="164" fontId="0" fillId="12" borderId="7" xfId="0" applyNumberFormat="1" applyFill="1" applyBorder="1" applyAlignment="1">
      <alignment horizontal="center"/>
    </xf>
    <xf numFmtId="0" fontId="0" fillId="21" borderId="1" xfId="0" applyFill="1" applyBorder="1" applyAlignment="1">
      <alignment horizontal="center"/>
    </xf>
    <xf numFmtId="0" fontId="0" fillId="21" borderId="1" xfId="0" applyFill="1" applyBorder="1" applyAlignment="1">
      <alignment horizontal="left"/>
    </xf>
    <xf numFmtId="164" fontId="0" fillId="21" borderId="1" xfId="0" applyNumberFormat="1" applyFill="1" applyBorder="1" applyAlignment="1">
      <alignment horizontal="center"/>
    </xf>
    <xf numFmtId="164" fontId="0" fillId="21" borderId="7" xfId="0" applyNumberFormat="1" applyFill="1" applyBorder="1" applyAlignment="1">
      <alignment horizontal="center"/>
    </xf>
    <xf numFmtId="0" fontId="0" fillId="13" borderId="6" xfId="0" applyFill="1" applyBorder="1" applyAlignment="1">
      <alignment horizontal="center"/>
    </xf>
    <xf numFmtId="16" fontId="0" fillId="13" borderId="1" xfId="0" applyNumberFormat="1" applyFill="1" applyBorder="1" applyAlignment="1">
      <alignment horizontal="center"/>
    </xf>
    <xf numFmtId="0" fontId="0" fillId="13" borderId="1" xfId="0" applyFill="1" applyBorder="1" applyAlignment="1">
      <alignment horizontal="left"/>
    </xf>
    <xf numFmtId="164" fontId="0" fillId="13" borderId="1" xfId="0" applyNumberFormat="1" applyFill="1" applyBorder="1" applyAlignment="1">
      <alignment horizontal="center"/>
    </xf>
    <xf numFmtId="164" fontId="0" fillId="13" borderId="7" xfId="0" applyNumberFormat="1" applyFill="1" applyBorder="1" applyAlignment="1">
      <alignment horizontal="center"/>
    </xf>
    <xf numFmtId="0" fontId="0" fillId="13" borderId="0" xfId="0" applyFill="1"/>
    <xf numFmtId="0" fontId="0" fillId="22" borderId="1" xfId="0" applyFill="1" applyBorder="1" applyAlignment="1">
      <alignment horizontal="center"/>
    </xf>
    <xf numFmtId="0" fontId="0" fillId="22" borderId="1" xfId="0" applyFill="1" applyBorder="1" applyAlignment="1">
      <alignment horizontal="left"/>
    </xf>
    <xf numFmtId="164" fontId="0" fillId="22" borderId="1" xfId="0" applyNumberFormat="1" applyFill="1" applyBorder="1" applyAlignment="1">
      <alignment horizontal="center"/>
    </xf>
    <xf numFmtId="164" fontId="0" fillId="22" borderId="7" xfId="0" applyNumberFormat="1" applyFill="1" applyBorder="1" applyAlignment="1">
      <alignment horizontal="center"/>
    </xf>
    <xf numFmtId="0" fontId="0" fillId="22" borderId="0" xfId="0" applyFill="1"/>
    <xf numFmtId="0" fontId="0" fillId="23" borderId="0" xfId="0" applyFill="1"/>
    <xf numFmtId="0" fontId="0" fillId="23" borderId="0" xfId="0" applyFill="1" applyAlignment="1">
      <alignment horizontal="center"/>
    </xf>
    <xf numFmtId="0" fontId="0" fillId="23" borderId="0" xfId="0" applyFill="1" applyAlignment="1">
      <alignment horizontal="left"/>
    </xf>
    <xf numFmtId="164" fontId="0" fillId="23" borderId="0" xfId="0" applyNumberFormat="1" applyFill="1" applyAlignment="1">
      <alignment horizontal="center"/>
    </xf>
    <xf numFmtId="0" fontId="1" fillId="23" borderId="6" xfId="0" applyFont="1" applyFill="1" applyBorder="1" applyAlignment="1">
      <alignment horizontal="center"/>
    </xf>
    <xf numFmtId="0" fontId="1" fillId="23" borderId="1" xfId="0" applyFont="1" applyFill="1" applyBorder="1" applyAlignment="1">
      <alignment horizontal="center"/>
    </xf>
    <xf numFmtId="164" fontId="1" fillId="23" borderId="1" xfId="0" applyNumberFormat="1" applyFont="1" applyFill="1" applyBorder="1" applyAlignment="1">
      <alignment horizontal="center"/>
    </xf>
    <xf numFmtId="164" fontId="1" fillId="23" borderId="7" xfId="0" applyNumberFormat="1" applyFont="1" applyFill="1" applyBorder="1" applyAlignment="1">
      <alignment horizontal="center"/>
    </xf>
    <xf numFmtId="0" fontId="0" fillId="23" borderId="6" xfId="0" applyFill="1" applyBorder="1" applyAlignment="1">
      <alignment horizontal="center"/>
    </xf>
    <xf numFmtId="16" fontId="0" fillId="23" borderId="1" xfId="0" applyNumberFormat="1" applyFill="1" applyBorder="1" applyAlignment="1">
      <alignment horizontal="center"/>
    </xf>
    <xf numFmtId="0" fontId="0" fillId="23" borderId="1" xfId="0" applyFill="1" applyBorder="1" applyAlignment="1">
      <alignment horizontal="center"/>
    </xf>
    <xf numFmtId="0" fontId="0" fillId="23" borderId="1" xfId="0" applyFill="1" applyBorder="1" applyAlignment="1">
      <alignment horizontal="left"/>
    </xf>
    <xf numFmtId="164" fontId="0" fillId="23" borderId="1" xfId="0" applyNumberFormat="1" applyFill="1" applyBorder="1" applyAlignment="1">
      <alignment horizontal="center"/>
    </xf>
    <xf numFmtId="164" fontId="0" fillId="23" borderId="7" xfId="0" applyNumberFormat="1" applyFill="1" applyBorder="1" applyAlignment="1">
      <alignment horizontal="center"/>
    </xf>
    <xf numFmtId="0" fontId="0" fillId="23" borderId="8" xfId="0" applyFill="1" applyBorder="1" applyAlignment="1">
      <alignment horizontal="center"/>
    </xf>
    <xf numFmtId="0" fontId="0" fillId="23" borderId="9" xfId="0" applyFill="1" applyBorder="1" applyAlignment="1">
      <alignment horizontal="center"/>
    </xf>
    <xf numFmtId="0" fontId="0" fillId="23" borderId="9" xfId="0" applyFill="1" applyBorder="1" applyAlignment="1">
      <alignment horizontal="left"/>
    </xf>
    <xf numFmtId="164" fontId="11" fillId="23" borderId="9" xfId="0" applyNumberFormat="1" applyFont="1" applyFill="1" applyBorder="1" applyAlignment="1">
      <alignment horizontal="center"/>
    </xf>
    <xf numFmtId="164" fontId="11" fillId="23" borderId="10" xfId="0" applyNumberFormat="1" applyFont="1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14" fontId="1" fillId="0" borderId="19" xfId="0" applyNumberFormat="1" applyFont="1" applyBorder="1" applyAlignment="1">
      <alignment horizontal="center"/>
    </xf>
    <xf numFmtId="0" fontId="1" fillId="0" borderId="20" xfId="0" applyFont="1" applyBorder="1" applyAlignment="1">
      <alignment horizontal="center"/>
    </xf>
    <xf numFmtId="0" fontId="1" fillId="0" borderId="21" xfId="0" applyFont="1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5" xfId="0" applyBorder="1" applyAlignment="1">
      <alignment horizontal="center"/>
    </xf>
    <xf numFmtId="0" fontId="0" fillId="0" borderId="16" xfId="0" applyBorder="1" applyAlignment="1">
      <alignment horizontal="center"/>
    </xf>
    <xf numFmtId="0" fontId="10" fillId="0" borderId="3" xfId="0" applyFont="1" applyBorder="1" applyAlignment="1">
      <alignment horizontal="center"/>
    </xf>
    <xf numFmtId="0" fontId="10" fillId="0" borderId="4" xfId="0" applyFont="1" applyBorder="1" applyAlignment="1">
      <alignment horizontal="center"/>
    </xf>
    <xf numFmtId="0" fontId="10" fillId="0" borderId="5" xfId="0" applyFont="1" applyBorder="1" applyAlignment="1">
      <alignment horizontal="center"/>
    </xf>
    <xf numFmtId="0" fontId="0" fillId="12" borderId="17" xfId="0" applyFill="1" applyBorder="1" applyAlignment="1">
      <alignment horizontal="center" vertical="center"/>
    </xf>
    <xf numFmtId="0" fontId="0" fillId="21" borderId="17" xfId="0" applyFill="1" applyBorder="1" applyAlignment="1">
      <alignment horizontal="center" wrapText="1"/>
    </xf>
    <xf numFmtId="0" fontId="10" fillId="23" borderId="3" xfId="0" applyFont="1" applyFill="1" applyBorder="1" applyAlignment="1">
      <alignment horizontal="center"/>
    </xf>
    <xf numFmtId="0" fontId="10" fillId="23" borderId="4" xfId="0" applyFont="1" applyFill="1" applyBorder="1" applyAlignment="1">
      <alignment horizontal="center"/>
    </xf>
    <xf numFmtId="0" fontId="10" fillId="23" borderId="5" xfId="0" applyFont="1" applyFill="1" applyBorder="1" applyAlignment="1">
      <alignment horizontal="center"/>
    </xf>
    <xf numFmtId="0" fontId="0" fillId="0" borderId="0" xfId="0"/>
    <xf numFmtId="0" fontId="0" fillId="0" borderId="0" xfId="0" applyFill="1" applyAlignment="1">
      <alignment horizontal="center"/>
    </xf>
    <xf numFmtId="0" fontId="2" fillId="0" borderId="1" xfId="0" applyFont="1" applyFill="1" applyBorder="1" applyAlignment="1">
      <alignment horizontal="center"/>
    </xf>
    <xf numFmtId="0" fontId="0" fillId="0" borderId="1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117" Type="http://schemas.openxmlformats.org/officeDocument/2006/relationships/worksheet" Target="worksheets/sheet117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63" Type="http://schemas.openxmlformats.org/officeDocument/2006/relationships/worksheet" Target="worksheets/sheet63.xml"/><Relationship Id="rId68" Type="http://schemas.openxmlformats.org/officeDocument/2006/relationships/worksheet" Target="worksheets/sheet68.xml"/><Relationship Id="rId84" Type="http://schemas.openxmlformats.org/officeDocument/2006/relationships/worksheet" Target="worksheets/sheet84.xml"/><Relationship Id="rId89" Type="http://schemas.openxmlformats.org/officeDocument/2006/relationships/worksheet" Target="worksheets/sheet89.xml"/><Relationship Id="rId112" Type="http://schemas.openxmlformats.org/officeDocument/2006/relationships/worksheet" Target="worksheets/sheet112.xml"/><Relationship Id="rId16" Type="http://schemas.openxmlformats.org/officeDocument/2006/relationships/worksheet" Target="worksheets/sheet16.xml"/><Relationship Id="rId107" Type="http://schemas.openxmlformats.org/officeDocument/2006/relationships/worksheet" Target="worksheets/sheet107.xml"/><Relationship Id="rId11" Type="http://schemas.openxmlformats.org/officeDocument/2006/relationships/worksheet" Target="worksheets/sheet11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74" Type="http://schemas.openxmlformats.org/officeDocument/2006/relationships/worksheet" Target="worksheets/sheet74.xml"/><Relationship Id="rId79" Type="http://schemas.openxmlformats.org/officeDocument/2006/relationships/worksheet" Target="worksheets/sheet79.xml"/><Relationship Id="rId102" Type="http://schemas.openxmlformats.org/officeDocument/2006/relationships/worksheet" Target="worksheets/sheet102.xml"/><Relationship Id="rId123" Type="http://schemas.openxmlformats.org/officeDocument/2006/relationships/worksheet" Target="worksheets/sheet123.xml"/><Relationship Id="rId5" Type="http://schemas.openxmlformats.org/officeDocument/2006/relationships/worksheet" Target="worksheets/sheet5.xml"/><Relationship Id="rId90" Type="http://schemas.openxmlformats.org/officeDocument/2006/relationships/worksheet" Target="worksheets/sheet90.xml"/><Relationship Id="rId95" Type="http://schemas.openxmlformats.org/officeDocument/2006/relationships/worksheet" Target="worksheets/sheet95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64" Type="http://schemas.openxmlformats.org/officeDocument/2006/relationships/worksheet" Target="worksheets/sheet64.xml"/><Relationship Id="rId69" Type="http://schemas.openxmlformats.org/officeDocument/2006/relationships/worksheet" Target="worksheets/sheet69.xml"/><Relationship Id="rId113" Type="http://schemas.openxmlformats.org/officeDocument/2006/relationships/worksheet" Target="worksheets/sheet113.xml"/><Relationship Id="rId118" Type="http://schemas.openxmlformats.org/officeDocument/2006/relationships/worksheet" Target="worksheets/sheet118.xml"/><Relationship Id="rId80" Type="http://schemas.openxmlformats.org/officeDocument/2006/relationships/worksheet" Target="worksheets/sheet80.xml"/><Relationship Id="rId85" Type="http://schemas.openxmlformats.org/officeDocument/2006/relationships/worksheet" Target="worksheets/sheet85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59" Type="http://schemas.openxmlformats.org/officeDocument/2006/relationships/worksheet" Target="worksheets/sheet59.xml"/><Relationship Id="rId103" Type="http://schemas.openxmlformats.org/officeDocument/2006/relationships/worksheet" Target="worksheets/sheet103.xml"/><Relationship Id="rId108" Type="http://schemas.openxmlformats.org/officeDocument/2006/relationships/worksheet" Target="worksheets/sheet108.xml"/><Relationship Id="rId124" Type="http://schemas.openxmlformats.org/officeDocument/2006/relationships/theme" Target="theme/theme1.xml"/><Relationship Id="rId54" Type="http://schemas.openxmlformats.org/officeDocument/2006/relationships/worksheet" Target="worksheets/sheet54.xml"/><Relationship Id="rId70" Type="http://schemas.openxmlformats.org/officeDocument/2006/relationships/worksheet" Target="worksheets/sheet70.xml"/><Relationship Id="rId75" Type="http://schemas.openxmlformats.org/officeDocument/2006/relationships/worksheet" Target="worksheets/sheet75.xml"/><Relationship Id="rId91" Type="http://schemas.openxmlformats.org/officeDocument/2006/relationships/worksheet" Target="worksheets/sheet91.xml"/><Relationship Id="rId96" Type="http://schemas.openxmlformats.org/officeDocument/2006/relationships/worksheet" Target="worksheets/sheet9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49" Type="http://schemas.openxmlformats.org/officeDocument/2006/relationships/worksheet" Target="worksheets/sheet49.xml"/><Relationship Id="rId114" Type="http://schemas.openxmlformats.org/officeDocument/2006/relationships/worksheet" Target="worksheets/sheet114.xml"/><Relationship Id="rId119" Type="http://schemas.openxmlformats.org/officeDocument/2006/relationships/worksheet" Target="worksheets/sheet119.xml"/><Relationship Id="rId44" Type="http://schemas.openxmlformats.org/officeDocument/2006/relationships/worksheet" Target="worksheets/sheet44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81" Type="http://schemas.openxmlformats.org/officeDocument/2006/relationships/worksheet" Target="worksheets/sheet81.xml"/><Relationship Id="rId86" Type="http://schemas.openxmlformats.org/officeDocument/2006/relationships/worksheet" Target="worksheets/sheet86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109" Type="http://schemas.openxmlformats.org/officeDocument/2006/relationships/worksheet" Target="worksheets/sheet10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6" Type="http://schemas.openxmlformats.org/officeDocument/2006/relationships/worksheet" Target="worksheets/sheet76.xml"/><Relationship Id="rId97" Type="http://schemas.openxmlformats.org/officeDocument/2006/relationships/worksheet" Target="worksheets/sheet97.xml"/><Relationship Id="rId104" Type="http://schemas.openxmlformats.org/officeDocument/2006/relationships/worksheet" Target="worksheets/sheet104.xml"/><Relationship Id="rId120" Type="http://schemas.openxmlformats.org/officeDocument/2006/relationships/worksheet" Target="worksheets/sheet120.xml"/><Relationship Id="rId125" Type="http://schemas.openxmlformats.org/officeDocument/2006/relationships/styles" Target="styles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Relationship Id="rId92" Type="http://schemas.openxmlformats.org/officeDocument/2006/relationships/worksheet" Target="worksheets/sheet92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Relationship Id="rId24" Type="http://schemas.openxmlformats.org/officeDocument/2006/relationships/worksheet" Target="worksheets/sheet24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66" Type="http://schemas.openxmlformats.org/officeDocument/2006/relationships/worksheet" Target="worksheets/sheet66.xml"/><Relationship Id="rId87" Type="http://schemas.openxmlformats.org/officeDocument/2006/relationships/worksheet" Target="worksheets/sheet87.xml"/><Relationship Id="rId110" Type="http://schemas.openxmlformats.org/officeDocument/2006/relationships/worksheet" Target="worksheets/sheet110.xml"/><Relationship Id="rId115" Type="http://schemas.openxmlformats.org/officeDocument/2006/relationships/worksheet" Target="worksheets/sheet115.xml"/><Relationship Id="rId61" Type="http://schemas.openxmlformats.org/officeDocument/2006/relationships/worksheet" Target="worksheets/sheet61.xml"/><Relationship Id="rId82" Type="http://schemas.openxmlformats.org/officeDocument/2006/relationships/worksheet" Target="worksheets/sheet82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56" Type="http://schemas.openxmlformats.org/officeDocument/2006/relationships/worksheet" Target="worksheets/sheet56.xml"/><Relationship Id="rId77" Type="http://schemas.openxmlformats.org/officeDocument/2006/relationships/worksheet" Target="worksheets/sheet77.xml"/><Relationship Id="rId100" Type="http://schemas.openxmlformats.org/officeDocument/2006/relationships/worksheet" Target="worksheets/sheet100.xml"/><Relationship Id="rId105" Type="http://schemas.openxmlformats.org/officeDocument/2006/relationships/worksheet" Target="worksheets/sheet105.xml"/><Relationship Id="rId126" Type="http://schemas.openxmlformats.org/officeDocument/2006/relationships/sharedStrings" Target="sharedStrings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93" Type="http://schemas.openxmlformats.org/officeDocument/2006/relationships/worksheet" Target="worksheets/sheet93.xml"/><Relationship Id="rId98" Type="http://schemas.openxmlformats.org/officeDocument/2006/relationships/worksheet" Target="worksheets/sheet98.xml"/><Relationship Id="rId121" Type="http://schemas.openxmlformats.org/officeDocument/2006/relationships/worksheet" Target="worksheets/sheet121.xml"/><Relationship Id="rId3" Type="http://schemas.openxmlformats.org/officeDocument/2006/relationships/worksheet" Target="worksheets/sheet3.xml"/><Relationship Id="rId25" Type="http://schemas.openxmlformats.org/officeDocument/2006/relationships/worksheet" Target="worksheets/sheet25.xml"/><Relationship Id="rId46" Type="http://schemas.openxmlformats.org/officeDocument/2006/relationships/worksheet" Target="worksheets/sheet46.xml"/><Relationship Id="rId67" Type="http://schemas.openxmlformats.org/officeDocument/2006/relationships/worksheet" Target="worksheets/sheet67.xml"/><Relationship Id="rId116" Type="http://schemas.openxmlformats.org/officeDocument/2006/relationships/worksheet" Target="worksheets/sheet116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62" Type="http://schemas.openxmlformats.org/officeDocument/2006/relationships/worksheet" Target="worksheets/sheet62.xml"/><Relationship Id="rId83" Type="http://schemas.openxmlformats.org/officeDocument/2006/relationships/worksheet" Target="worksheets/sheet83.xml"/><Relationship Id="rId88" Type="http://schemas.openxmlformats.org/officeDocument/2006/relationships/worksheet" Target="worksheets/sheet88.xml"/><Relationship Id="rId111" Type="http://schemas.openxmlformats.org/officeDocument/2006/relationships/worksheet" Target="worksheets/sheet111.xml"/><Relationship Id="rId15" Type="http://schemas.openxmlformats.org/officeDocument/2006/relationships/worksheet" Target="worksheets/sheet15.xml"/><Relationship Id="rId36" Type="http://schemas.openxmlformats.org/officeDocument/2006/relationships/worksheet" Target="worksheets/sheet36.xml"/><Relationship Id="rId57" Type="http://schemas.openxmlformats.org/officeDocument/2006/relationships/worksheet" Target="worksheets/sheet57.xml"/><Relationship Id="rId106" Type="http://schemas.openxmlformats.org/officeDocument/2006/relationships/worksheet" Target="worksheets/sheet106.xml"/><Relationship Id="rId127" Type="http://schemas.openxmlformats.org/officeDocument/2006/relationships/calcChain" Target="calcChain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52" Type="http://schemas.openxmlformats.org/officeDocument/2006/relationships/worksheet" Target="worksheets/sheet52.xml"/><Relationship Id="rId73" Type="http://schemas.openxmlformats.org/officeDocument/2006/relationships/worksheet" Target="worksheets/sheet73.xml"/><Relationship Id="rId78" Type="http://schemas.openxmlformats.org/officeDocument/2006/relationships/worksheet" Target="worksheets/sheet78.xml"/><Relationship Id="rId94" Type="http://schemas.openxmlformats.org/officeDocument/2006/relationships/worksheet" Target="worksheets/sheet94.xml"/><Relationship Id="rId99" Type="http://schemas.openxmlformats.org/officeDocument/2006/relationships/worksheet" Target="worksheets/sheet99.xml"/><Relationship Id="rId101" Type="http://schemas.openxmlformats.org/officeDocument/2006/relationships/worksheet" Target="worksheets/sheet101.xml"/><Relationship Id="rId122" Type="http://schemas.openxmlformats.org/officeDocument/2006/relationships/worksheet" Target="worksheets/sheet122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7.bin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8.bin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9.bin"/></Relationships>
</file>

<file path=xl/worksheets/_rels/sheet4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0.bin"/></Relationships>
</file>

<file path=xl/worksheets/_rels/sheet4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1.bin"/></Relationships>
</file>

<file path=xl/worksheets/_rels/sheet4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2.bin"/></Relationships>
</file>

<file path=xl/worksheets/_rels/sheet4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3.bin"/></Relationships>
</file>

<file path=xl/worksheets/_rels/sheet4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4.bin"/></Relationships>
</file>

<file path=xl/worksheets/_rels/sheet5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5.bin"/></Relationships>
</file>

<file path=xl/worksheets/_rels/sheet5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6.bin"/></Relationships>
</file>

<file path=xl/worksheets/_rels/sheet5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7.bin"/></Relationships>
</file>

<file path=xl/worksheets/_rels/sheet5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8.bin"/></Relationships>
</file>

<file path=xl/worksheets/_rels/sheet5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9.bin"/></Relationships>
</file>

<file path=xl/worksheets/_rels/sheet5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0.bin"/></Relationships>
</file>

<file path=xl/worksheets/_rels/sheet5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1.bin"/></Relationships>
</file>

<file path=xl/worksheets/_rels/sheet5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2.bin"/></Relationships>
</file>

<file path=xl/worksheets/_rels/sheet6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3.bin"/></Relationships>
</file>

<file path=xl/worksheets/_rels/sheet6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4.bin"/></Relationships>
</file>

<file path=xl/worksheets/_rels/sheet6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5.bin"/></Relationships>
</file>

<file path=xl/worksheets/_rels/sheet6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6.bin"/></Relationships>
</file>

<file path=xl/worksheets/_rels/sheet6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7.bin"/></Relationships>
</file>

<file path=xl/worksheets/_rels/sheet6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8.bin"/></Relationships>
</file>

<file path=xl/worksheets/_rels/sheet6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9.bin"/></Relationships>
</file>

<file path=xl/worksheets/_rels/sheet7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0.bin"/></Relationships>
</file>

<file path=xl/worksheets/_rels/sheet7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1.bin"/></Relationships>
</file>

<file path=xl/worksheets/_rels/sheet7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2.bin"/></Relationships>
</file>

<file path=xl/worksheets/_rels/sheet7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3.bin"/></Relationships>
</file>

<file path=xl/worksheets/_rels/sheet7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4.bin"/></Relationships>
</file>

<file path=xl/worksheets/_rels/sheet7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5.bin"/></Relationships>
</file>

<file path=xl/worksheets/_rels/sheet7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6.bin"/></Relationships>
</file>

<file path=xl/worksheets/_rels/sheet7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7.bin"/></Relationships>
</file>

<file path=xl/worksheets/_rels/sheet7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8.bin"/></Relationships>
</file>

<file path=xl/worksheets/_rels/sheet8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9.bin"/></Relationships>
</file>

<file path=xl/worksheets/_rels/sheet8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0.bin"/></Relationships>
</file>

<file path=xl/worksheets/_rels/sheet8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1.bin"/></Relationships>
</file>

<file path=xl/worksheets/_rels/sheet8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2.bin"/></Relationships>
</file>

<file path=xl/worksheets/_rels/sheet8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3.bin"/></Relationships>
</file>

<file path=xl/worksheets/_rels/sheet8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4.bin"/></Relationships>
</file>

<file path=xl/worksheets/_rels/sheet8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5.bin"/></Relationships>
</file>

<file path=xl/worksheets/_rels/sheet8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6.bin"/></Relationships>
</file>

<file path=xl/worksheets/_rels/sheet8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7.bin"/></Relationships>
</file>

<file path=xl/worksheets/_rels/sheet9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8.bin"/></Relationships>
</file>

<file path=xl/worksheets/_rels/sheet9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9.bin"/></Relationships>
</file>

<file path=xl/worksheets/_rels/sheet9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0.bin"/></Relationships>
</file>

<file path=xl/worksheets/_rels/sheet9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1.bin"/></Relationships>
</file>

<file path=xl/worksheets/_rels/sheet9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2.bin"/></Relationships>
</file>

<file path=xl/worksheets/_rels/sheet9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3.bin"/></Relationships>
</file>

<file path=xl/worksheets/_rels/sheet9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4.bin"/></Relationships>
</file>

<file path=xl/worksheets/_rels/sheet9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5.bin"/></Relationships>
</file>

<file path=xl/worksheets/_rels/sheet10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6.bin"/></Relationships>
</file>

<file path=xl/worksheets/_rels/sheet10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7.bin"/></Relationships>
</file>

<file path=xl/worksheets/_rels/sheet10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8.bin"/></Relationships>
</file>

<file path=xl/worksheets/_rels/sheet10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9.bin"/></Relationships>
</file>

<file path=xl/worksheets/_rels/sheet10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0.bin"/></Relationships>
</file>

<file path=xl/worksheets/_rels/sheet1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1.bin"/></Relationships>
</file>

<file path=xl/worksheets/_rels/sheet1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2.bin"/></Relationships>
</file>

<file path=xl/worksheets/_rels/sheet1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3.bin"/></Relationships>
</file>

<file path=xl/worksheets/_rels/sheet1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4.bin"/></Relationships>
</file>

<file path=xl/worksheets/_rels/sheet1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5.bin"/></Relationships>
</file>

<file path=xl/worksheets/_rels/sheet1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6.bin"/></Relationships>
</file>

<file path=xl/worksheets/_rels/sheet1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7.bin"/></Relationships>
</file>

<file path=xl/worksheets/_rels/sheet1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8.bin"/></Relationships>
</file>

<file path=xl/worksheets/_rels/sheet1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9.bin"/></Relationships>
</file>

<file path=xl/worksheets/_rels/sheet1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0.bin"/></Relationships>
</file>

<file path=xl/worksheets/_rels/sheet1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1.bin"/></Relationships>
</file>

<file path=xl/worksheets/_rels/sheet1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2.bin"/></Relationships>
</file>

<file path=xl/worksheets/_rels/sheet1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B2:H39"/>
  <sheetViews>
    <sheetView topLeftCell="A10" workbookViewId="0">
      <selection activeCell="B39" sqref="B39:G39"/>
    </sheetView>
  </sheetViews>
  <sheetFormatPr baseColWidth="10" defaultRowHeight="15.75" x14ac:dyDescent="0.25"/>
  <cols>
    <col min="2" max="2" width="11" style="3"/>
    <col min="3" max="3" width="28" style="3" bestFit="1" customWidth="1"/>
    <col min="4" max="5" width="11" style="3"/>
    <col min="6" max="6" width="20" style="3" bestFit="1" customWidth="1"/>
    <col min="7" max="7" width="42.125" style="3" bestFit="1" customWidth="1"/>
  </cols>
  <sheetData>
    <row r="2" spans="2:8" x14ac:dyDescent="0.25">
      <c r="B2" s="7" t="s">
        <v>0</v>
      </c>
      <c r="C2" s="7" t="s">
        <v>1</v>
      </c>
      <c r="D2" s="7" t="s">
        <v>2</v>
      </c>
      <c r="E2" s="7" t="s">
        <v>3</v>
      </c>
      <c r="F2" s="7" t="s">
        <v>4</v>
      </c>
      <c r="G2" s="7"/>
    </row>
    <row r="3" spans="2:8" x14ac:dyDescent="0.25">
      <c r="B3" s="1" t="s">
        <v>5</v>
      </c>
      <c r="C3" s="1" t="s">
        <v>6</v>
      </c>
      <c r="D3" s="1" t="s">
        <v>7</v>
      </c>
      <c r="E3" s="1">
        <v>100.8</v>
      </c>
      <c r="F3" s="1" t="s">
        <v>8</v>
      </c>
      <c r="G3" s="2" t="s">
        <v>52</v>
      </c>
    </row>
    <row r="4" spans="2:8" x14ac:dyDescent="0.25">
      <c r="B4" s="1" t="s">
        <v>5</v>
      </c>
      <c r="C4" s="1" t="s">
        <v>9</v>
      </c>
      <c r="D4" s="1" t="s">
        <v>7</v>
      </c>
      <c r="E4" s="1">
        <v>167.5</v>
      </c>
      <c r="F4" s="1" t="s">
        <v>10</v>
      </c>
      <c r="G4" s="2" t="s">
        <v>53</v>
      </c>
    </row>
    <row r="5" spans="2:8" x14ac:dyDescent="0.25">
      <c r="B5" s="1" t="s">
        <v>5</v>
      </c>
      <c r="C5" s="1" t="s">
        <v>11</v>
      </c>
      <c r="D5" s="1" t="s">
        <v>7</v>
      </c>
      <c r="E5" s="1">
        <v>292</v>
      </c>
      <c r="F5" s="1" t="s">
        <v>12</v>
      </c>
      <c r="G5" s="2" t="s">
        <v>54</v>
      </c>
    </row>
    <row r="6" spans="2:8" x14ac:dyDescent="0.25">
      <c r="B6" s="1" t="s">
        <v>5</v>
      </c>
      <c r="C6" s="1" t="s">
        <v>13</v>
      </c>
      <c r="D6" s="1" t="s">
        <v>7</v>
      </c>
      <c r="E6" s="1">
        <v>20</v>
      </c>
      <c r="F6" s="1" t="s">
        <v>14</v>
      </c>
      <c r="G6" s="2" t="s">
        <v>55</v>
      </c>
    </row>
    <row r="7" spans="2:8" x14ac:dyDescent="0.25">
      <c r="B7" s="1" t="s">
        <v>5</v>
      </c>
      <c r="C7" s="1" t="s">
        <v>15</v>
      </c>
      <c r="D7" s="1" t="s">
        <v>7</v>
      </c>
      <c r="E7" s="1">
        <v>1615</v>
      </c>
      <c r="F7" s="1" t="s">
        <v>16</v>
      </c>
      <c r="G7" s="2" t="s">
        <v>56</v>
      </c>
    </row>
    <row r="8" spans="2:8" x14ac:dyDescent="0.25">
      <c r="B8" s="1" t="s">
        <v>5</v>
      </c>
      <c r="C8" s="1" t="s">
        <v>17</v>
      </c>
      <c r="D8" s="1" t="s">
        <v>7</v>
      </c>
      <c r="E8" s="1">
        <v>27</v>
      </c>
      <c r="F8" s="1" t="s">
        <v>18</v>
      </c>
      <c r="G8" s="2" t="s">
        <v>57</v>
      </c>
    </row>
    <row r="9" spans="2:8" x14ac:dyDescent="0.25">
      <c r="B9" s="1" t="s">
        <v>5</v>
      </c>
      <c r="C9" s="1" t="s">
        <v>19</v>
      </c>
      <c r="D9" s="1" t="s">
        <v>7</v>
      </c>
      <c r="E9" s="1">
        <v>15</v>
      </c>
      <c r="F9" s="1" t="s">
        <v>20</v>
      </c>
      <c r="G9" s="2" t="s">
        <v>58</v>
      </c>
    </row>
    <row r="10" spans="2:8" x14ac:dyDescent="0.25">
      <c r="B10" s="1" t="s">
        <v>5</v>
      </c>
      <c r="C10" s="1" t="s">
        <v>21</v>
      </c>
      <c r="D10" s="1" t="s">
        <v>7</v>
      </c>
      <c r="E10" s="1">
        <v>7.5</v>
      </c>
      <c r="F10" s="1" t="s">
        <v>22</v>
      </c>
      <c r="G10" s="8" t="s">
        <v>89</v>
      </c>
      <c r="H10" s="9" t="s">
        <v>90</v>
      </c>
    </row>
    <row r="11" spans="2:8" x14ac:dyDescent="0.25">
      <c r="B11" s="1" t="s">
        <v>5</v>
      </c>
      <c r="C11" s="1" t="s">
        <v>6</v>
      </c>
      <c r="D11" s="1" t="s">
        <v>7</v>
      </c>
      <c r="E11" s="1">
        <v>62</v>
      </c>
      <c r="F11" s="1" t="s">
        <v>25</v>
      </c>
      <c r="G11" s="2" t="s">
        <v>59</v>
      </c>
    </row>
    <row r="12" spans="2:8" x14ac:dyDescent="0.25">
      <c r="B12" s="1" t="s">
        <v>5</v>
      </c>
      <c r="C12" s="1" t="s">
        <v>24</v>
      </c>
      <c r="D12" s="1" t="s">
        <v>7</v>
      </c>
      <c r="E12" s="1">
        <v>30</v>
      </c>
      <c r="F12" s="1" t="s">
        <v>26</v>
      </c>
      <c r="G12" s="2" t="s">
        <v>52</v>
      </c>
    </row>
    <row r="13" spans="2:8" x14ac:dyDescent="0.25">
      <c r="B13" s="1" t="s">
        <v>5</v>
      </c>
      <c r="C13" s="1" t="s">
        <v>27</v>
      </c>
      <c r="D13" s="1" t="s">
        <v>7</v>
      </c>
      <c r="E13" s="1">
        <v>67.5</v>
      </c>
      <c r="F13" s="1" t="s">
        <v>28</v>
      </c>
      <c r="G13" s="2" t="s">
        <v>60</v>
      </c>
    </row>
    <row r="14" spans="2:8" x14ac:dyDescent="0.25">
      <c r="B14" s="1" t="s">
        <v>5</v>
      </c>
      <c r="C14" s="1" t="s">
        <v>29</v>
      </c>
      <c r="D14" s="1" t="s">
        <v>7</v>
      </c>
      <c r="E14" s="1">
        <v>155.5</v>
      </c>
      <c r="F14" s="1" t="s">
        <v>30</v>
      </c>
      <c r="G14" s="2" t="s">
        <v>61</v>
      </c>
    </row>
    <row r="15" spans="2:8" x14ac:dyDescent="0.25">
      <c r="B15" s="1" t="s">
        <v>5</v>
      </c>
      <c r="C15" s="1" t="s">
        <v>29</v>
      </c>
      <c r="D15" s="1" t="s">
        <v>7</v>
      </c>
      <c r="E15" s="1">
        <v>500</v>
      </c>
      <c r="F15" s="1" t="s">
        <v>31</v>
      </c>
      <c r="G15" s="2" t="s">
        <v>61</v>
      </c>
    </row>
    <row r="16" spans="2:8" x14ac:dyDescent="0.25">
      <c r="B16" s="1" t="s">
        <v>5</v>
      </c>
      <c r="C16" s="1" t="s">
        <v>29</v>
      </c>
      <c r="D16" s="1" t="s">
        <v>7</v>
      </c>
      <c r="E16" s="1">
        <v>500</v>
      </c>
      <c r="F16" s="1" t="s">
        <v>32</v>
      </c>
      <c r="G16" s="2" t="s">
        <v>61</v>
      </c>
    </row>
    <row r="17" spans="2:7" x14ac:dyDescent="0.25">
      <c r="B17" s="1" t="s">
        <v>5</v>
      </c>
      <c r="C17" s="1" t="s">
        <v>33</v>
      </c>
      <c r="D17" s="1" t="s">
        <v>7</v>
      </c>
      <c r="E17" s="1">
        <v>350</v>
      </c>
      <c r="F17" s="1" t="s">
        <v>34</v>
      </c>
      <c r="G17" s="2" t="s">
        <v>86</v>
      </c>
    </row>
    <row r="18" spans="2:7" x14ac:dyDescent="0.25">
      <c r="B18" s="1" t="s">
        <v>5</v>
      </c>
      <c r="C18" s="1" t="s">
        <v>13</v>
      </c>
      <c r="D18" s="1" t="s">
        <v>7</v>
      </c>
      <c r="E18" s="1">
        <v>296.2</v>
      </c>
      <c r="F18" s="1" t="s">
        <v>35</v>
      </c>
      <c r="G18" s="2" t="s">
        <v>68</v>
      </c>
    </row>
    <row r="19" spans="2:7" x14ac:dyDescent="0.25">
      <c r="B19" s="4" t="s">
        <v>5</v>
      </c>
      <c r="C19" s="4" t="s">
        <v>36</v>
      </c>
      <c r="D19" s="4" t="s">
        <v>7</v>
      </c>
      <c r="E19" s="4">
        <v>-460</v>
      </c>
      <c r="F19" s="4" t="s">
        <v>37</v>
      </c>
      <c r="G19" s="4" t="s">
        <v>67</v>
      </c>
    </row>
    <row r="20" spans="2:7" x14ac:dyDescent="0.25">
      <c r="B20" s="1" t="s">
        <v>5</v>
      </c>
      <c r="C20" s="1" t="s">
        <v>6</v>
      </c>
      <c r="D20" s="1" t="s">
        <v>7</v>
      </c>
      <c r="E20" s="1">
        <v>200</v>
      </c>
      <c r="F20" s="1" t="s">
        <v>38</v>
      </c>
      <c r="G20" s="2" t="s">
        <v>85</v>
      </c>
    </row>
    <row r="21" spans="2:7" x14ac:dyDescent="0.25">
      <c r="B21" s="1" t="s">
        <v>5</v>
      </c>
      <c r="C21" s="1" t="s">
        <v>39</v>
      </c>
      <c r="D21" s="1" t="s">
        <v>7</v>
      </c>
      <c r="E21" s="1">
        <v>8</v>
      </c>
      <c r="F21" s="1" t="s">
        <v>40</v>
      </c>
      <c r="G21" s="2" t="s">
        <v>66</v>
      </c>
    </row>
    <row r="22" spans="2:7" x14ac:dyDescent="0.25">
      <c r="B22" s="1" t="s">
        <v>5</v>
      </c>
      <c r="C22" s="1" t="s">
        <v>41</v>
      </c>
      <c r="D22" s="1" t="s">
        <v>7</v>
      </c>
      <c r="E22" s="1">
        <v>8</v>
      </c>
      <c r="F22" s="1" t="s">
        <v>42</v>
      </c>
      <c r="G22" s="2" t="s">
        <v>65</v>
      </c>
    </row>
    <row r="23" spans="2:7" x14ac:dyDescent="0.25">
      <c r="B23" s="1" t="s">
        <v>5</v>
      </c>
      <c r="C23" s="1" t="s">
        <v>23</v>
      </c>
      <c r="D23" s="1" t="s">
        <v>7</v>
      </c>
      <c r="E23" s="1">
        <v>2000</v>
      </c>
      <c r="F23" s="1" t="s">
        <v>43</v>
      </c>
      <c r="G23" s="2" t="s">
        <v>88</v>
      </c>
    </row>
    <row r="24" spans="2:7" x14ac:dyDescent="0.25">
      <c r="B24" s="1" t="s">
        <v>5</v>
      </c>
      <c r="C24" s="1" t="s">
        <v>23</v>
      </c>
      <c r="D24" s="1" t="s">
        <v>7</v>
      </c>
      <c r="E24" s="1">
        <v>5583.6</v>
      </c>
      <c r="F24" s="1" t="s">
        <v>44</v>
      </c>
      <c r="G24" s="2" t="s">
        <v>82</v>
      </c>
    </row>
    <row r="25" spans="2:7" x14ac:dyDescent="0.25">
      <c r="B25" s="1" t="s">
        <v>5</v>
      </c>
      <c r="C25" s="1" t="s">
        <v>15</v>
      </c>
      <c r="D25" s="1" t="s">
        <v>7</v>
      </c>
      <c r="E25" s="1">
        <v>90</v>
      </c>
      <c r="F25" s="1" t="s">
        <v>45</v>
      </c>
      <c r="G25" s="2" t="s">
        <v>87</v>
      </c>
    </row>
    <row r="26" spans="2:7" x14ac:dyDescent="0.25">
      <c r="B26" s="1" t="s">
        <v>5</v>
      </c>
      <c r="C26" s="1" t="s">
        <v>46</v>
      </c>
      <c r="D26" s="1" t="s">
        <v>7</v>
      </c>
      <c r="E26" s="1">
        <v>68</v>
      </c>
      <c r="F26" s="1" t="s">
        <v>47</v>
      </c>
      <c r="G26" s="2" t="s">
        <v>64</v>
      </c>
    </row>
    <row r="27" spans="2:7" x14ac:dyDescent="0.25">
      <c r="B27" s="1" t="s">
        <v>5</v>
      </c>
      <c r="C27" s="1" t="s">
        <v>17</v>
      </c>
      <c r="D27" s="1" t="s">
        <v>7</v>
      </c>
      <c r="E27" s="1">
        <v>4</v>
      </c>
      <c r="F27" s="1" t="s">
        <v>48</v>
      </c>
      <c r="G27" s="2" t="s">
        <v>63</v>
      </c>
    </row>
    <row r="28" spans="2:7" x14ac:dyDescent="0.25">
      <c r="B28" s="1" t="s">
        <v>5</v>
      </c>
      <c r="C28" s="1" t="s">
        <v>33</v>
      </c>
      <c r="D28" s="1" t="s">
        <v>7</v>
      </c>
      <c r="E28" s="1">
        <v>14</v>
      </c>
      <c r="F28" s="1" t="s">
        <v>49</v>
      </c>
      <c r="G28" s="2" t="s">
        <v>62</v>
      </c>
    </row>
    <row r="29" spans="2:7" x14ac:dyDescent="0.25">
      <c r="B29" s="1" t="s">
        <v>5</v>
      </c>
      <c r="C29" s="1" t="s">
        <v>17</v>
      </c>
      <c r="D29" s="1" t="s">
        <v>7</v>
      </c>
      <c r="E29" s="1">
        <v>24</v>
      </c>
      <c r="F29" s="1" t="s">
        <v>50</v>
      </c>
      <c r="G29" s="2" t="s">
        <v>63</v>
      </c>
    </row>
    <row r="30" spans="2:7" x14ac:dyDescent="0.25">
      <c r="B30" s="1" t="s">
        <v>5</v>
      </c>
      <c r="C30" s="1" t="s">
        <v>23</v>
      </c>
      <c r="D30" s="1" t="s">
        <v>7</v>
      </c>
      <c r="E30" s="1">
        <v>1920</v>
      </c>
      <c r="F30" s="1" t="s">
        <v>51</v>
      </c>
      <c r="G30" s="2" t="s">
        <v>64</v>
      </c>
    </row>
    <row r="31" spans="2:7" x14ac:dyDescent="0.25">
      <c r="B31" s="1" t="s">
        <v>5</v>
      </c>
      <c r="C31" s="1" t="s">
        <v>69</v>
      </c>
      <c r="D31" s="1" t="s">
        <v>7</v>
      </c>
      <c r="E31" s="1">
        <v>1132.5999999999999</v>
      </c>
      <c r="F31" s="1" t="s">
        <v>70</v>
      </c>
      <c r="G31" s="2" t="s">
        <v>77</v>
      </c>
    </row>
    <row r="32" spans="2:7" x14ac:dyDescent="0.25">
      <c r="B32" s="1" t="s">
        <v>5</v>
      </c>
      <c r="C32" s="1" t="s">
        <v>23</v>
      </c>
      <c r="D32" s="1" t="s">
        <v>7</v>
      </c>
      <c r="E32" s="1">
        <v>3787.9</v>
      </c>
      <c r="F32" s="1" t="s">
        <v>71</v>
      </c>
      <c r="G32" s="2" t="s">
        <v>64</v>
      </c>
    </row>
    <row r="33" spans="2:7" x14ac:dyDescent="0.25">
      <c r="B33" s="1" t="s">
        <v>5</v>
      </c>
      <c r="C33" s="1" t="s">
        <v>72</v>
      </c>
      <c r="D33" s="1" t="s">
        <v>7</v>
      </c>
      <c r="E33" s="1">
        <v>37.5</v>
      </c>
      <c r="F33" s="1" t="s">
        <v>73</v>
      </c>
      <c r="G33" s="2" t="s">
        <v>81</v>
      </c>
    </row>
    <row r="34" spans="2:7" x14ac:dyDescent="0.25">
      <c r="B34" s="1" t="s">
        <v>5</v>
      </c>
      <c r="C34" s="1" t="s">
        <v>27</v>
      </c>
      <c r="D34" s="1" t="s">
        <v>7</v>
      </c>
      <c r="E34" s="1">
        <v>4.5</v>
      </c>
      <c r="F34" s="1" t="s">
        <v>74</v>
      </c>
      <c r="G34" s="2" t="s">
        <v>84</v>
      </c>
    </row>
    <row r="35" spans="2:7" x14ac:dyDescent="0.25">
      <c r="B35" s="1" t="s">
        <v>5</v>
      </c>
      <c r="C35" s="1" t="s">
        <v>75</v>
      </c>
      <c r="D35" s="1" t="s">
        <v>7</v>
      </c>
      <c r="E35" s="1">
        <v>15</v>
      </c>
      <c r="F35" s="1" t="s">
        <v>76</v>
      </c>
      <c r="G35" s="2" t="s">
        <v>80</v>
      </c>
    </row>
    <row r="36" spans="2:7" x14ac:dyDescent="0.25">
      <c r="B36" s="1"/>
      <c r="C36" s="1"/>
      <c r="D36" s="1"/>
      <c r="E36" s="1"/>
      <c r="F36" s="1"/>
      <c r="G36" s="1"/>
    </row>
    <row r="37" spans="2:7" x14ac:dyDescent="0.25">
      <c r="B37" s="1"/>
      <c r="C37" s="1"/>
      <c r="D37" s="1"/>
      <c r="E37" s="1"/>
      <c r="F37" s="1"/>
      <c r="G37" s="1"/>
    </row>
    <row r="38" spans="2:7" x14ac:dyDescent="0.25">
      <c r="B38" s="5">
        <v>46077</v>
      </c>
      <c r="C38" s="1" t="s">
        <v>78</v>
      </c>
      <c r="D38" s="1"/>
      <c r="E38" s="1">
        <v>4745</v>
      </c>
      <c r="F38" s="1"/>
      <c r="G38" s="6" t="s">
        <v>79</v>
      </c>
    </row>
    <row r="39" spans="2:7" x14ac:dyDescent="0.25">
      <c r="B39" s="5">
        <v>46077</v>
      </c>
      <c r="C39" s="1" t="s">
        <v>78</v>
      </c>
      <c r="D39" s="1"/>
      <c r="E39" s="1">
        <v>2500</v>
      </c>
      <c r="F39" s="1"/>
      <c r="G39" s="6" t="s">
        <v>83</v>
      </c>
    </row>
  </sheetData>
  <pageMargins left="0.7" right="0.7" top="0.75" bottom="0.75" header="0.3" footer="0.3"/>
  <pageSetup orientation="portrait" r:id="rId1"/>
  <ignoredErrors>
    <ignoredError sqref="B2:F2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3D4F31-FBD5-4821-B444-01502CBEB428}">
  <sheetPr codeName="Hoja2"/>
  <dimension ref="B1:G30"/>
  <sheetViews>
    <sheetView workbookViewId="0">
      <selection activeCell="G7" sqref="G7"/>
    </sheetView>
  </sheetViews>
  <sheetFormatPr baseColWidth="10" defaultRowHeight="15.75" x14ac:dyDescent="0.25"/>
  <cols>
    <col min="2" max="2" width="11" style="3"/>
    <col min="3" max="3" width="20.875" style="3" bestFit="1" customWidth="1"/>
    <col min="4" max="5" width="11" style="3"/>
    <col min="6" max="6" width="19.875" style="3" customWidth="1"/>
    <col min="7" max="7" width="34.625" style="3" bestFit="1" customWidth="1"/>
  </cols>
  <sheetData>
    <row r="1" spans="2:7" ht="16.5" thickBot="1" x14ac:dyDescent="0.3"/>
    <row r="2" spans="2:7" x14ac:dyDescent="0.25">
      <c r="B2" s="11" t="s">
        <v>0</v>
      </c>
      <c r="C2" s="12" t="s">
        <v>1</v>
      </c>
      <c r="D2" s="12" t="s">
        <v>2</v>
      </c>
      <c r="E2" s="12" t="s">
        <v>3</v>
      </c>
      <c r="F2" s="12" t="s">
        <v>4</v>
      </c>
      <c r="G2" s="13"/>
    </row>
    <row r="3" spans="2:7" x14ac:dyDescent="0.25">
      <c r="B3" s="14" t="s">
        <v>91</v>
      </c>
      <c r="C3" s="1" t="s">
        <v>92</v>
      </c>
      <c r="D3" s="1" t="s">
        <v>7</v>
      </c>
      <c r="E3" s="1">
        <v>61.5</v>
      </c>
      <c r="F3" s="1" t="s">
        <v>93</v>
      </c>
      <c r="G3" s="15" t="s">
        <v>136</v>
      </c>
    </row>
    <row r="4" spans="2:7" x14ac:dyDescent="0.25">
      <c r="B4" s="14" t="s">
        <v>91</v>
      </c>
      <c r="C4" s="1" t="s">
        <v>23</v>
      </c>
      <c r="D4" s="1" t="s">
        <v>7</v>
      </c>
      <c r="E4" s="1">
        <v>569</v>
      </c>
      <c r="F4" s="1" t="s">
        <v>94</v>
      </c>
      <c r="G4" s="15" t="s">
        <v>150</v>
      </c>
    </row>
    <row r="5" spans="2:7" x14ac:dyDescent="0.25">
      <c r="B5" s="14" t="s">
        <v>91</v>
      </c>
      <c r="C5" s="1" t="s">
        <v>95</v>
      </c>
      <c r="D5" s="1" t="s">
        <v>7</v>
      </c>
      <c r="E5" s="1">
        <v>3</v>
      </c>
      <c r="F5" s="1" t="s">
        <v>96</v>
      </c>
      <c r="G5" s="15" t="s">
        <v>135</v>
      </c>
    </row>
    <row r="6" spans="2:7" s="10" customFormat="1" x14ac:dyDescent="0.25">
      <c r="B6" s="14" t="s">
        <v>91</v>
      </c>
      <c r="C6" s="1" t="s">
        <v>23</v>
      </c>
      <c r="D6" s="1" t="s">
        <v>7</v>
      </c>
      <c r="E6" s="1">
        <v>1400</v>
      </c>
      <c r="F6" s="1" t="s">
        <v>97</v>
      </c>
      <c r="G6" s="16" t="s">
        <v>698</v>
      </c>
    </row>
    <row r="7" spans="2:7" x14ac:dyDescent="0.25">
      <c r="B7" s="14" t="s">
        <v>91</v>
      </c>
      <c r="C7" s="1" t="s">
        <v>6</v>
      </c>
      <c r="D7" s="1" t="s">
        <v>7</v>
      </c>
      <c r="E7" s="1">
        <v>29.5</v>
      </c>
      <c r="F7" s="1" t="s">
        <v>98</v>
      </c>
      <c r="G7" s="15" t="s">
        <v>134</v>
      </c>
    </row>
    <row r="8" spans="2:7" x14ac:dyDescent="0.25">
      <c r="B8" s="14" t="s">
        <v>91</v>
      </c>
      <c r="C8" s="1" t="s">
        <v>23</v>
      </c>
      <c r="D8" s="1" t="s">
        <v>7</v>
      </c>
      <c r="E8" s="1">
        <v>360</v>
      </c>
      <c r="F8" s="1" t="s">
        <v>99</v>
      </c>
      <c r="G8" s="15" t="s">
        <v>151</v>
      </c>
    </row>
    <row r="9" spans="2:7" x14ac:dyDescent="0.25">
      <c r="B9" s="14" t="s">
        <v>91</v>
      </c>
      <c r="C9" s="1" t="s">
        <v>100</v>
      </c>
      <c r="D9" s="1" t="s">
        <v>7</v>
      </c>
      <c r="E9" s="1">
        <v>20</v>
      </c>
      <c r="F9" s="1" t="s">
        <v>101</v>
      </c>
      <c r="G9" s="15" t="s">
        <v>133</v>
      </c>
    </row>
    <row r="10" spans="2:7" x14ac:dyDescent="0.25">
      <c r="B10" s="14" t="s">
        <v>91</v>
      </c>
      <c r="C10" s="1" t="s">
        <v>19</v>
      </c>
      <c r="D10" s="1" t="s">
        <v>7</v>
      </c>
      <c r="E10" s="1">
        <v>20</v>
      </c>
      <c r="F10" s="1" t="s">
        <v>102</v>
      </c>
      <c r="G10" s="15" t="s">
        <v>132</v>
      </c>
    </row>
    <row r="11" spans="2:7" x14ac:dyDescent="0.25">
      <c r="B11" s="14" t="s">
        <v>91</v>
      </c>
      <c r="C11" s="1" t="s">
        <v>103</v>
      </c>
      <c r="D11" s="1" t="s">
        <v>7</v>
      </c>
      <c r="E11" s="1">
        <v>42</v>
      </c>
      <c r="F11" s="1" t="s">
        <v>104</v>
      </c>
      <c r="G11" s="15" t="s">
        <v>131</v>
      </c>
    </row>
    <row r="12" spans="2:7" x14ac:dyDescent="0.25">
      <c r="B12" s="14" t="s">
        <v>91</v>
      </c>
      <c r="C12" s="1" t="s">
        <v>105</v>
      </c>
      <c r="D12" s="1" t="s">
        <v>7</v>
      </c>
      <c r="E12" s="1">
        <v>-14379.46</v>
      </c>
      <c r="F12" s="1" t="s">
        <v>106</v>
      </c>
      <c r="G12" s="20" t="s">
        <v>152</v>
      </c>
    </row>
    <row r="13" spans="2:7" x14ac:dyDescent="0.25">
      <c r="B13" s="14" t="s">
        <v>91</v>
      </c>
      <c r="C13" s="1" t="s">
        <v>107</v>
      </c>
      <c r="D13" s="1" t="s">
        <v>7</v>
      </c>
      <c r="E13" s="1">
        <v>-150</v>
      </c>
      <c r="F13" s="1" t="s">
        <v>108</v>
      </c>
      <c r="G13" s="20" t="s">
        <v>147</v>
      </c>
    </row>
    <row r="14" spans="2:7" x14ac:dyDescent="0.25">
      <c r="B14" s="14" t="s">
        <v>91</v>
      </c>
      <c r="C14" s="1" t="s">
        <v>109</v>
      </c>
      <c r="D14" s="1" t="s">
        <v>7</v>
      </c>
      <c r="E14" s="1">
        <v>-25</v>
      </c>
      <c r="F14" s="1" t="s">
        <v>110</v>
      </c>
      <c r="G14" s="20" t="s">
        <v>148</v>
      </c>
    </row>
    <row r="15" spans="2:7" x14ac:dyDescent="0.25">
      <c r="B15" s="14" t="s">
        <v>91</v>
      </c>
      <c r="C15" s="1" t="s">
        <v>111</v>
      </c>
      <c r="D15" s="1" t="s">
        <v>7</v>
      </c>
      <c r="E15" s="1">
        <v>22.5</v>
      </c>
      <c r="F15" s="1" t="s">
        <v>112</v>
      </c>
      <c r="G15" s="15" t="s">
        <v>146</v>
      </c>
    </row>
    <row r="16" spans="2:7" x14ac:dyDescent="0.25">
      <c r="B16" s="14" t="s">
        <v>91</v>
      </c>
      <c r="C16" s="1" t="s">
        <v>72</v>
      </c>
      <c r="D16" s="1" t="s">
        <v>7</v>
      </c>
      <c r="E16" s="1">
        <v>38</v>
      </c>
      <c r="F16" s="1" t="s">
        <v>113</v>
      </c>
      <c r="G16" s="15" t="s">
        <v>145</v>
      </c>
    </row>
    <row r="17" spans="2:7" x14ac:dyDescent="0.25">
      <c r="B17" s="14" t="s">
        <v>91</v>
      </c>
      <c r="C17" s="1" t="s">
        <v>114</v>
      </c>
      <c r="D17" s="1" t="s">
        <v>7</v>
      </c>
      <c r="E17" s="1">
        <v>140</v>
      </c>
      <c r="F17" s="1" t="s">
        <v>115</v>
      </c>
      <c r="G17" s="15" t="s">
        <v>144</v>
      </c>
    </row>
    <row r="18" spans="2:7" x14ac:dyDescent="0.25">
      <c r="B18" s="14" t="s">
        <v>91</v>
      </c>
      <c r="C18" s="1" t="s">
        <v>114</v>
      </c>
      <c r="D18" s="1" t="s">
        <v>7</v>
      </c>
      <c r="E18" s="1">
        <v>400</v>
      </c>
      <c r="F18" s="1" t="s">
        <v>116</v>
      </c>
      <c r="G18" s="15" t="s">
        <v>144</v>
      </c>
    </row>
    <row r="19" spans="2:7" x14ac:dyDescent="0.25">
      <c r="B19" s="14" t="s">
        <v>91</v>
      </c>
      <c r="C19" s="1" t="s">
        <v>117</v>
      </c>
      <c r="D19" s="1" t="s">
        <v>7</v>
      </c>
      <c r="E19" s="1">
        <v>4.5</v>
      </c>
      <c r="F19" s="1" t="s">
        <v>118</v>
      </c>
      <c r="G19" s="15" t="s">
        <v>143</v>
      </c>
    </row>
    <row r="20" spans="2:7" x14ac:dyDescent="0.25">
      <c r="B20" s="14" t="s">
        <v>91</v>
      </c>
      <c r="C20" s="1" t="s">
        <v>39</v>
      </c>
      <c r="D20" s="1" t="s">
        <v>7</v>
      </c>
      <c r="E20" s="1">
        <v>6.5</v>
      </c>
      <c r="F20" s="1" t="s">
        <v>119</v>
      </c>
      <c r="G20" s="15" t="s">
        <v>141</v>
      </c>
    </row>
    <row r="21" spans="2:7" x14ac:dyDescent="0.25">
      <c r="B21" s="14" t="s">
        <v>91</v>
      </c>
      <c r="C21" s="1" t="s">
        <v>120</v>
      </c>
      <c r="D21" s="1" t="s">
        <v>7</v>
      </c>
      <c r="E21" s="1">
        <v>59</v>
      </c>
      <c r="F21" s="1" t="s">
        <v>121</v>
      </c>
      <c r="G21" s="15" t="s">
        <v>140</v>
      </c>
    </row>
    <row r="22" spans="2:7" x14ac:dyDescent="0.25">
      <c r="B22" s="14" t="s">
        <v>91</v>
      </c>
      <c r="C22" s="1" t="s">
        <v>122</v>
      </c>
      <c r="D22" s="1" t="s">
        <v>7</v>
      </c>
      <c r="E22" s="1">
        <v>75</v>
      </c>
      <c r="F22" s="1" t="s">
        <v>123</v>
      </c>
      <c r="G22" s="15" t="s">
        <v>139</v>
      </c>
    </row>
    <row r="23" spans="2:7" x14ac:dyDescent="0.25">
      <c r="B23" s="14" t="s">
        <v>91</v>
      </c>
      <c r="C23" s="1" t="s">
        <v>124</v>
      </c>
      <c r="D23" s="1" t="s">
        <v>7</v>
      </c>
      <c r="E23" s="1">
        <v>270</v>
      </c>
      <c r="F23" s="1" t="s">
        <v>125</v>
      </c>
      <c r="G23" s="15" t="s">
        <v>142</v>
      </c>
    </row>
    <row r="24" spans="2:7" x14ac:dyDescent="0.25">
      <c r="B24" s="14" t="s">
        <v>91</v>
      </c>
      <c r="C24" s="1" t="s">
        <v>126</v>
      </c>
      <c r="D24" s="1" t="s">
        <v>7</v>
      </c>
      <c r="E24" s="1">
        <v>27</v>
      </c>
      <c r="F24" s="1" t="s">
        <v>127</v>
      </c>
      <c r="G24" s="15" t="s">
        <v>149</v>
      </c>
    </row>
    <row r="25" spans="2:7" x14ac:dyDescent="0.25">
      <c r="B25" s="14" t="s">
        <v>91</v>
      </c>
      <c r="C25" s="1" t="s">
        <v>6</v>
      </c>
      <c r="D25" s="1" t="s">
        <v>7</v>
      </c>
      <c r="E25" s="1">
        <v>90</v>
      </c>
      <c r="F25" s="1" t="s">
        <v>128</v>
      </c>
      <c r="G25" s="15" t="s">
        <v>138</v>
      </c>
    </row>
    <row r="26" spans="2:7" x14ac:dyDescent="0.25">
      <c r="B26" s="14" t="s">
        <v>91</v>
      </c>
      <c r="C26" s="1" t="s">
        <v>6</v>
      </c>
      <c r="D26" s="1" t="s">
        <v>7</v>
      </c>
      <c r="E26" s="1">
        <v>10</v>
      </c>
      <c r="F26" s="1" t="s">
        <v>129</v>
      </c>
      <c r="G26" s="15" t="s">
        <v>137</v>
      </c>
    </row>
    <row r="27" spans="2:7" x14ac:dyDescent="0.25">
      <c r="B27" s="14" t="s">
        <v>91</v>
      </c>
      <c r="C27" s="1" t="s">
        <v>9</v>
      </c>
      <c r="D27" s="1" t="s">
        <v>7</v>
      </c>
      <c r="E27" s="1">
        <v>20</v>
      </c>
      <c r="F27" s="1" t="s">
        <v>130</v>
      </c>
      <c r="G27" s="15" t="s">
        <v>153</v>
      </c>
    </row>
    <row r="28" spans="2:7" x14ac:dyDescent="0.25">
      <c r="B28" s="14"/>
      <c r="C28" s="1"/>
      <c r="D28" s="1"/>
      <c r="E28" s="1"/>
      <c r="F28" s="1"/>
      <c r="G28" s="16"/>
    </row>
    <row r="29" spans="2:7" x14ac:dyDescent="0.25">
      <c r="B29" s="14"/>
      <c r="C29" s="1"/>
      <c r="D29" s="1"/>
      <c r="E29" s="1"/>
      <c r="F29" s="1"/>
      <c r="G29" s="16"/>
    </row>
    <row r="30" spans="2:7" ht="16.5" thickBot="1" x14ac:dyDescent="0.3">
      <c r="B30" s="17">
        <v>46077</v>
      </c>
      <c r="C30" s="18" t="s">
        <v>78</v>
      </c>
      <c r="D30" s="18"/>
      <c r="E30" s="18">
        <v>2003</v>
      </c>
      <c r="F30" s="18"/>
      <c r="G30" s="19" t="s">
        <v>83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979EF2-E104-44D5-BA46-357A9CB09390}">
  <sheetPr codeName="Hoja3"/>
  <dimension ref="B1:G29"/>
  <sheetViews>
    <sheetView workbookViewId="0">
      <selection activeCell="M14" sqref="M14"/>
    </sheetView>
  </sheetViews>
  <sheetFormatPr baseColWidth="10" defaultRowHeight="15.75" x14ac:dyDescent="0.25"/>
  <cols>
    <col min="2" max="2" width="11" style="3"/>
    <col min="3" max="3" width="22.5" style="3" bestFit="1" customWidth="1"/>
    <col min="4" max="5" width="11" style="3"/>
    <col min="6" max="6" width="19.375" style="3" customWidth="1"/>
    <col min="7" max="7" width="31.875" style="3" bestFit="1" customWidth="1"/>
  </cols>
  <sheetData>
    <row r="1" spans="2:7" ht="16.5" thickBot="1" x14ac:dyDescent="0.3"/>
    <row r="2" spans="2:7" x14ac:dyDescent="0.25">
      <c r="B2" s="21" t="s">
        <v>0</v>
      </c>
      <c r="C2" s="22" t="s">
        <v>1</v>
      </c>
      <c r="D2" s="22" t="s">
        <v>2</v>
      </c>
      <c r="E2" s="22" t="s">
        <v>3</v>
      </c>
      <c r="F2" s="22" t="s">
        <v>4</v>
      </c>
      <c r="G2" s="23"/>
    </row>
    <row r="3" spans="2:7" x14ac:dyDescent="0.25">
      <c r="B3" s="14" t="s">
        <v>91</v>
      </c>
      <c r="C3" s="1" t="s">
        <v>23</v>
      </c>
      <c r="D3" s="1" t="s">
        <v>7</v>
      </c>
      <c r="E3" s="1">
        <v>3350</v>
      </c>
      <c r="F3" s="1" t="s">
        <v>154</v>
      </c>
      <c r="G3" s="24" t="s">
        <v>81</v>
      </c>
    </row>
    <row r="4" spans="2:7" x14ac:dyDescent="0.25">
      <c r="B4" s="14" t="s">
        <v>155</v>
      </c>
      <c r="C4" s="1" t="s">
        <v>95</v>
      </c>
      <c r="D4" s="1" t="s">
        <v>7</v>
      </c>
      <c r="E4" s="1">
        <v>500</v>
      </c>
      <c r="F4" s="1" t="s">
        <v>156</v>
      </c>
      <c r="G4" s="24" t="s">
        <v>157</v>
      </c>
    </row>
    <row r="5" spans="2:7" x14ac:dyDescent="0.25">
      <c r="B5" s="14" t="s">
        <v>155</v>
      </c>
      <c r="C5" s="1" t="s">
        <v>158</v>
      </c>
      <c r="D5" s="1" t="s">
        <v>7</v>
      </c>
      <c r="E5" s="1">
        <v>-40</v>
      </c>
      <c r="F5" s="1" t="s">
        <v>159</v>
      </c>
      <c r="G5" s="24" t="s">
        <v>160</v>
      </c>
    </row>
    <row r="6" spans="2:7" x14ac:dyDescent="0.25">
      <c r="B6" s="14" t="s">
        <v>155</v>
      </c>
      <c r="C6" s="1" t="s">
        <v>161</v>
      </c>
      <c r="D6" s="1" t="s">
        <v>7</v>
      </c>
      <c r="E6" s="1">
        <v>73</v>
      </c>
      <c r="F6" s="1" t="s">
        <v>162</v>
      </c>
      <c r="G6" s="24" t="s">
        <v>163</v>
      </c>
    </row>
    <row r="7" spans="2:7" x14ac:dyDescent="0.25">
      <c r="B7" s="14" t="s">
        <v>155</v>
      </c>
      <c r="C7" s="1" t="s">
        <v>164</v>
      </c>
      <c r="D7" s="1" t="s">
        <v>7</v>
      </c>
      <c r="E7" s="1">
        <v>249.8</v>
      </c>
      <c r="F7" s="1" t="s">
        <v>165</v>
      </c>
      <c r="G7" s="24" t="s">
        <v>166</v>
      </c>
    </row>
    <row r="8" spans="2:7" x14ac:dyDescent="0.25">
      <c r="B8" s="14" t="s">
        <v>155</v>
      </c>
      <c r="C8" s="1" t="s">
        <v>167</v>
      </c>
      <c r="D8" s="1" t="s">
        <v>7</v>
      </c>
      <c r="E8" s="1">
        <v>200</v>
      </c>
      <c r="F8" s="1" t="s">
        <v>168</v>
      </c>
      <c r="G8" s="24" t="s">
        <v>169</v>
      </c>
    </row>
    <row r="9" spans="2:7" x14ac:dyDescent="0.25">
      <c r="B9" s="14" t="s">
        <v>155</v>
      </c>
      <c r="C9" s="1" t="s">
        <v>23</v>
      </c>
      <c r="D9" s="1" t="s">
        <v>7</v>
      </c>
      <c r="E9" s="1">
        <v>1400</v>
      </c>
      <c r="F9" s="1" t="s">
        <v>170</v>
      </c>
      <c r="G9" s="24" t="s">
        <v>171</v>
      </c>
    </row>
    <row r="10" spans="2:7" x14ac:dyDescent="0.25">
      <c r="B10" s="14" t="s">
        <v>155</v>
      </c>
      <c r="C10" s="1" t="s">
        <v>172</v>
      </c>
      <c r="D10" s="1" t="s">
        <v>7</v>
      </c>
      <c r="E10" s="1">
        <v>-31000</v>
      </c>
      <c r="F10" s="1" t="s">
        <v>173</v>
      </c>
      <c r="G10" s="24" t="s">
        <v>174</v>
      </c>
    </row>
    <row r="11" spans="2:7" x14ac:dyDescent="0.25">
      <c r="B11" s="14" t="s">
        <v>155</v>
      </c>
      <c r="C11" s="1" t="s">
        <v>175</v>
      </c>
      <c r="D11" s="1" t="s">
        <v>7</v>
      </c>
      <c r="E11" s="1">
        <v>1082</v>
      </c>
      <c r="F11" s="1" t="s">
        <v>176</v>
      </c>
      <c r="G11" s="24" t="s">
        <v>177</v>
      </c>
    </row>
    <row r="12" spans="2:7" x14ac:dyDescent="0.25">
      <c r="B12" s="14" t="s">
        <v>155</v>
      </c>
      <c r="C12" s="1" t="s">
        <v>178</v>
      </c>
      <c r="D12" s="1" t="s">
        <v>7</v>
      </c>
      <c r="E12" s="1">
        <v>44</v>
      </c>
      <c r="F12" s="1" t="s">
        <v>179</v>
      </c>
      <c r="G12" s="24" t="s">
        <v>180</v>
      </c>
    </row>
    <row r="13" spans="2:7" x14ac:dyDescent="0.25">
      <c r="B13" s="14" t="s">
        <v>155</v>
      </c>
      <c r="C13" s="1" t="s">
        <v>17</v>
      </c>
      <c r="D13" s="1" t="s">
        <v>7</v>
      </c>
      <c r="E13" s="1">
        <v>26.5</v>
      </c>
      <c r="F13" s="1" t="s">
        <v>181</v>
      </c>
      <c r="G13" s="24" t="s">
        <v>182</v>
      </c>
    </row>
    <row r="14" spans="2:7" x14ac:dyDescent="0.25">
      <c r="B14" s="14" t="s">
        <v>155</v>
      </c>
      <c r="C14" s="1" t="s">
        <v>183</v>
      </c>
      <c r="D14" s="1" t="s">
        <v>7</v>
      </c>
      <c r="E14" s="1">
        <v>42</v>
      </c>
      <c r="F14" s="1" t="s">
        <v>184</v>
      </c>
      <c r="G14" s="24" t="s">
        <v>185</v>
      </c>
    </row>
    <row r="15" spans="2:7" x14ac:dyDescent="0.25">
      <c r="B15" s="14" t="s">
        <v>155</v>
      </c>
      <c r="C15" s="1" t="s">
        <v>6</v>
      </c>
      <c r="D15" s="1" t="s">
        <v>7</v>
      </c>
      <c r="E15" s="1">
        <v>391.16</v>
      </c>
      <c r="F15" s="1" t="s">
        <v>186</v>
      </c>
      <c r="G15" s="24" t="s">
        <v>52</v>
      </c>
    </row>
    <row r="16" spans="2:7" x14ac:dyDescent="0.25">
      <c r="B16" s="14" t="s">
        <v>155</v>
      </c>
      <c r="C16" s="1" t="s">
        <v>27</v>
      </c>
      <c r="D16" s="1" t="s">
        <v>7</v>
      </c>
      <c r="E16" s="1">
        <v>120</v>
      </c>
      <c r="F16" s="1" t="s">
        <v>187</v>
      </c>
      <c r="G16" s="24" t="s">
        <v>188</v>
      </c>
    </row>
    <row r="17" spans="2:7" x14ac:dyDescent="0.25">
      <c r="B17" s="14" t="s">
        <v>155</v>
      </c>
      <c r="C17" s="1" t="s">
        <v>27</v>
      </c>
      <c r="D17" s="1" t="s">
        <v>7</v>
      </c>
      <c r="E17" s="1">
        <v>500</v>
      </c>
      <c r="F17" s="1" t="s">
        <v>189</v>
      </c>
      <c r="G17" s="24" t="s">
        <v>188</v>
      </c>
    </row>
    <row r="18" spans="2:7" x14ac:dyDescent="0.25">
      <c r="B18" s="14" t="s">
        <v>155</v>
      </c>
      <c r="C18" s="1" t="s">
        <v>190</v>
      </c>
      <c r="D18" s="1" t="s">
        <v>7</v>
      </c>
      <c r="E18" s="1">
        <v>3</v>
      </c>
      <c r="F18" s="1" t="s">
        <v>191</v>
      </c>
      <c r="G18" s="24" t="s">
        <v>214</v>
      </c>
    </row>
    <row r="19" spans="2:7" x14ac:dyDescent="0.25">
      <c r="B19" s="14" t="s">
        <v>155</v>
      </c>
      <c r="C19" s="1" t="s">
        <v>192</v>
      </c>
      <c r="D19" s="1" t="s">
        <v>7</v>
      </c>
      <c r="E19" s="1">
        <v>39</v>
      </c>
      <c r="F19" s="1" t="s">
        <v>193</v>
      </c>
      <c r="G19" s="24" t="s">
        <v>212</v>
      </c>
    </row>
    <row r="20" spans="2:7" x14ac:dyDescent="0.25">
      <c r="B20" s="14" t="s">
        <v>155</v>
      </c>
      <c r="C20" s="1" t="s">
        <v>192</v>
      </c>
      <c r="D20" s="1" t="s">
        <v>7</v>
      </c>
      <c r="E20" s="1">
        <v>13</v>
      </c>
      <c r="F20" s="1" t="s">
        <v>194</v>
      </c>
      <c r="G20" s="24" t="s">
        <v>211</v>
      </c>
    </row>
    <row r="21" spans="2:7" x14ac:dyDescent="0.25">
      <c r="B21" s="14" t="s">
        <v>155</v>
      </c>
      <c r="C21" s="1" t="s">
        <v>23</v>
      </c>
      <c r="D21" s="1" t="s">
        <v>7</v>
      </c>
      <c r="E21" s="1">
        <v>240</v>
      </c>
      <c r="F21" s="1" t="s">
        <v>195</v>
      </c>
      <c r="G21" s="24" t="s">
        <v>210</v>
      </c>
    </row>
    <row r="22" spans="2:7" x14ac:dyDescent="0.25">
      <c r="B22" s="14" t="s">
        <v>155</v>
      </c>
      <c r="C22" s="1" t="s">
        <v>196</v>
      </c>
      <c r="D22" s="1" t="s">
        <v>7</v>
      </c>
      <c r="E22" s="1">
        <v>13</v>
      </c>
      <c r="F22" s="1" t="s">
        <v>197</v>
      </c>
      <c r="G22" s="24" t="s">
        <v>217</v>
      </c>
    </row>
    <row r="23" spans="2:7" x14ac:dyDescent="0.25">
      <c r="B23" s="14" t="s">
        <v>155</v>
      </c>
      <c r="C23" s="1" t="s">
        <v>190</v>
      </c>
      <c r="D23" s="1" t="s">
        <v>7</v>
      </c>
      <c r="E23" s="1">
        <v>120</v>
      </c>
      <c r="F23" s="1" t="s">
        <v>198</v>
      </c>
      <c r="G23" s="24" t="s">
        <v>213</v>
      </c>
    </row>
    <row r="24" spans="2:7" x14ac:dyDescent="0.25">
      <c r="B24" s="14" t="s">
        <v>155</v>
      </c>
      <c r="C24" s="1" t="s">
        <v>164</v>
      </c>
      <c r="D24" s="1" t="s">
        <v>7</v>
      </c>
      <c r="E24" s="1">
        <v>13</v>
      </c>
      <c r="F24" s="1" t="s">
        <v>199</v>
      </c>
      <c r="G24" s="24" t="s">
        <v>216</v>
      </c>
    </row>
    <row r="25" spans="2:7" x14ac:dyDescent="0.25">
      <c r="B25" s="14" t="s">
        <v>155</v>
      </c>
      <c r="C25" s="1" t="s">
        <v>23</v>
      </c>
      <c r="D25" s="1" t="s">
        <v>7</v>
      </c>
      <c r="E25" s="1">
        <v>192.4</v>
      </c>
      <c r="F25" s="1" t="s">
        <v>200</v>
      </c>
      <c r="G25" s="24" t="s">
        <v>215</v>
      </c>
    </row>
    <row r="26" spans="2:7" x14ac:dyDescent="0.25">
      <c r="B26" s="14" t="s">
        <v>155</v>
      </c>
      <c r="C26" s="1" t="s">
        <v>13</v>
      </c>
      <c r="D26" s="1" t="s">
        <v>7</v>
      </c>
      <c r="E26" s="1">
        <v>15</v>
      </c>
      <c r="F26" s="1" t="s">
        <v>201</v>
      </c>
      <c r="G26" s="24" t="s">
        <v>209</v>
      </c>
    </row>
    <row r="27" spans="2:7" x14ac:dyDescent="0.25">
      <c r="B27" s="14" t="s">
        <v>155</v>
      </c>
      <c r="C27" s="1" t="s">
        <v>202</v>
      </c>
      <c r="D27" s="1" t="s">
        <v>7</v>
      </c>
      <c r="E27" s="1">
        <v>5</v>
      </c>
      <c r="F27" s="1" t="s">
        <v>203</v>
      </c>
      <c r="G27" s="24" t="s">
        <v>208</v>
      </c>
    </row>
    <row r="28" spans="2:7" x14ac:dyDescent="0.25">
      <c r="B28" s="14" t="s">
        <v>155</v>
      </c>
      <c r="C28" s="1" t="s">
        <v>183</v>
      </c>
      <c r="D28" s="1" t="s">
        <v>7</v>
      </c>
      <c r="E28" s="1">
        <v>116</v>
      </c>
      <c r="F28" s="1" t="s">
        <v>204</v>
      </c>
      <c r="G28" s="24" t="s">
        <v>185</v>
      </c>
    </row>
    <row r="29" spans="2:7" ht="16.5" thickBot="1" x14ac:dyDescent="0.3">
      <c r="B29" s="25" t="s">
        <v>155</v>
      </c>
      <c r="C29" s="18" t="s">
        <v>205</v>
      </c>
      <c r="D29" s="18" t="s">
        <v>7</v>
      </c>
      <c r="E29" s="18">
        <v>9.5</v>
      </c>
      <c r="F29" s="18" t="s">
        <v>206</v>
      </c>
      <c r="G29" s="26" t="s">
        <v>207</v>
      </c>
    </row>
  </sheetData>
  <pageMargins left="0.7" right="0.7" top="0.75" bottom="0.75" header="0.3" footer="0.3"/>
  <pageSetup paperSize="256" orientation="portrait" horizontalDpi="203" verticalDpi="203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4B94BA-32EB-40AA-BDCE-64F2B9232035}">
  <sheetPr codeName="Hoja4"/>
  <dimension ref="B1:G26"/>
  <sheetViews>
    <sheetView workbookViewId="0">
      <selection activeCell="B2" sqref="B2:G2"/>
    </sheetView>
  </sheetViews>
  <sheetFormatPr baseColWidth="10" defaultRowHeight="15.75" x14ac:dyDescent="0.25"/>
  <cols>
    <col min="2" max="2" width="11" style="3"/>
    <col min="3" max="3" width="24.75" style="3" customWidth="1"/>
    <col min="4" max="5" width="11" style="3"/>
    <col min="6" max="6" width="18.75" style="3" bestFit="1" customWidth="1"/>
    <col min="7" max="7" width="28.875" style="3" customWidth="1"/>
  </cols>
  <sheetData>
    <row r="1" spans="2:7" ht="16.5" thickBot="1" x14ac:dyDescent="0.3"/>
    <row r="2" spans="2:7" x14ac:dyDescent="0.25">
      <c r="B2" s="21" t="s">
        <v>0</v>
      </c>
      <c r="C2" s="22" t="s">
        <v>1</v>
      </c>
      <c r="D2" s="22" t="s">
        <v>2</v>
      </c>
      <c r="E2" s="22" t="s">
        <v>3</v>
      </c>
      <c r="F2" s="22" t="s">
        <v>4</v>
      </c>
      <c r="G2" s="23"/>
    </row>
    <row r="3" spans="2:7" x14ac:dyDescent="0.25">
      <c r="B3" s="14" t="s">
        <v>218</v>
      </c>
      <c r="C3" s="1" t="s">
        <v>23</v>
      </c>
      <c r="D3" s="1" t="s">
        <v>7</v>
      </c>
      <c r="E3" s="1">
        <v>1386</v>
      </c>
      <c r="F3" s="1" t="s">
        <v>219</v>
      </c>
      <c r="G3" s="16" t="s">
        <v>237</v>
      </c>
    </row>
    <row r="4" spans="2:7" x14ac:dyDescent="0.25">
      <c r="B4" s="14" t="s">
        <v>218</v>
      </c>
      <c r="C4" s="1" t="s">
        <v>220</v>
      </c>
      <c r="D4" s="1" t="s">
        <v>7</v>
      </c>
      <c r="E4" s="1">
        <v>8</v>
      </c>
      <c r="F4" s="1" t="s">
        <v>221</v>
      </c>
      <c r="G4" s="16" t="s">
        <v>238</v>
      </c>
    </row>
    <row r="5" spans="2:7" x14ac:dyDescent="0.25">
      <c r="B5" s="14" t="s">
        <v>218</v>
      </c>
      <c r="C5" s="1" t="s">
        <v>15</v>
      </c>
      <c r="D5" s="1" t="s">
        <v>7</v>
      </c>
      <c r="E5" s="1">
        <v>90</v>
      </c>
      <c r="F5" s="1" t="s">
        <v>222</v>
      </c>
      <c r="G5" s="16" t="s">
        <v>150</v>
      </c>
    </row>
    <row r="6" spans="2:7" x14ac:dyDescent="0.25">
      <c r="B6" s="14" t="s">
        <v>218</v>
      </c>
      <c r="C6" s="1" t="s">
        <v>17</v>
      </c>
      <c r="D6" s="1" t="s">
        <v>7</v>
      </c>
      <c r="E6" s="1">
        <v>42</v>
      </c>
      <c r="F6" s="1" t="s">
        <v>223</v>
      </c>
      <c r="G6" s="16" t="s">
        <v>235</v>
      </c>
    </row>
    <row r="7" spans="2:7" x14ac:dyDescent="0.25">
      <c r="B7" s="14" t="s">
        <v>218</v>
      </c>
      <c r="C7" s="1" t="s">
        <v>224</v>
      </c>
      <c r="D7" s="1" t="s">
        <v>7</v>
      </c>
      <c r="E7" s="1">
        <v>22</v>
      </c>
      <c r="F7" s="1" t="s">
        <v>225</v>
      </c>
      <c r="G7" s="16" t="s">
        <v>234</v>
      </c>
    </row>
    <row r="8" spans="2:7" x14ac:dyDescent="0.25">
      <c r="B8" s="14" t="s">
        <v>218</v>
      </c>
      <c r="C8" s="1" t="s">
        <v>226</v>
      </c>
      <c r="D8" s="1" t="s">
        <v>7</v>
      </c>
      <c r="E8" s="1">
        <v>90</v>
      </c>
      <c r="F8" s="1" t="s">
        <v>227</v>
      </c>
      <c r="G8" s="16" t="s">
        <v>236</v>
      </c>
    </row>
    <row r="9" spans="2:7" x14ac:dyDescent="0.25">
      <c r="B9" s="14" t="s">
        <v>218</v>
      </c>
      <c r="C9" s="1" t="s">
        <v>33</v>
      </c>
      <c r="D9" s="1" t="s">
        <v>7</v>
      </c>
      <c r="E9" s="1">
        <v>12</v>
      </c>
      <c r="F9" s="1" t="s">
        <v>228</v>
      </c>
      <c r="G9" s="16" t="s">
        <v>233</v>
      </c>
    </row>
    <row r="10" spans="2:7" x14ac:dyDescent="0.25">
      <c r="B10" s="14" t="s">
        <v>218</v>
      </c>
      <c r="C10" s="1" t="s">
        <v>6</v>
      </c>
      <c r="D10" s="1" t="s">
        <v>7</v>
      </c>
      <c r="E10" s="1">
        <v>333.6</v>
      </c>
      <c r="F10" s="1" t="s">
        <v>229</v>
      </c>
      <c r="G10" s="16" t="s">
        <v>52</v>
      </c>
    </row>
    <row r="11" spans="2:7" x14ac:dyDescent="0.25">
      <c r="B11" s="14" t="s">
        <v>218</v>
      </c>
      <c r="C11" s="1" t="s">
        <v>6</v>
      </c>
      <c r="D11" s="1" t="s">
        <v>7</v>
      </c>
      <c r="E11" s="1">
        <v>500</v>
      </c>
      <c r="F11" s="1" t="s">
        <v>230</v>
      </c>
      <c r="G11" s="16" t="s">
        <v>52</v>
      </c>
    </row>
    <row r="12" spans="2:7" x14ac:dyDescent="0.25">
      <c r="B12" s="14" t="s">
        <v>218</v>
      </c>
      <c r="C12" s="1" t="s">
        <v>15</v>
      </c>
      <c r="D12" s="1" t="s">
        <v>7</v>
      </c>
      <c r="E12" s="1">
        <v>25</v>
      </c>
      <c r="F12" s="1" t="s">
        <v>231</v>
      </c>
      <c r="G12" s="16" t="s">
        <v>177</v>
      </c>
    </row>
    <row r="13" spans="2:7" x14ac:dyDescent="0.25">
      <c r="B13" s="14" t="s">
        <v>218</v>
      </c>
      <c r="C13" s="1" t="s">
        <v>6</v>
      </c>
      <c r="D13" s="1" t="s">
        <v>7</v>
      </c>
      <c r="E13" s="1">
        <v>281.2</v>
      </c>
      <c r="F13" s="1" t="s">
        <v>232</v>
      </c>
      <c r="G13" s="16" t="s">
        <v>52</v>
      </c>
    </row>
    <row r="14" spans="2:7" x14ac:dyDescent="0.25">
      <c r="B14" s="14" t="s">
        <v>218</v>
      </c>
      <c r="C14" s="1" t="s">
        <v>23</v>
      </c>
      <c r="D14" s="1" t="s">
        <v>7</v>
      </c>
      <c r="E14" s="1">
        <v>2772</v>
      </c>
      <c r="F14" s="1" t="s">
        <v>239</v>
      </c>
      <c r="G14" s="16" t="s">
        <v>210</v>
      </c>
    </row>
    <row r="15" spans="2:7" x14ac:dyDescent="0.25">
      <c r="B15" s="14" t="s">
        <v>218</v>
      </c>
      <c r="C15" s="1" t="s">
        <v>240</v>
      </c>
      <c r="D15" s="1" t="s">
        <v>7</v>
      </c>
      <c r="E15" s="1">
        <v>12</v>
      </c>
      <c r="F15" s="1" t="s">
        <v>241</v>
      </c>
      <c r="G15" s="16" t="s">
        <v>256</v>
      </c>
    </row>
    <row r="16" spans="2:7" x14ac:dyDescent="0.25">
      <c r="B16" s="14" t="s">
        <v>218</v>
      </c>
      <c r="C16" s="1" t="s">
        <v>242</v>
      </c>
      <c r="D16" s="1" t="s">
        <v>7</v>
      </c>
      <c r="E16" s="1">
        <v>-20</v>
      </c>
      <c r="F16" s="1" t="s">
        <v>243</v>
      </c>
      <c r="G16" s="16" t="s">
        <v>260</v>
      </c>
    </row>
    <row r="17" spans="2:7" x14ac:dyDescent="0.25">
      <c r="B17" s="14" t="s">
        <v>218</v>
      </c>
      <c r="C17" s="1" t="s">
        <v>23</v>
      </c>
      <c r="D17" s="1" t="s">
        <v>7</v>
      </c>
      <c r="E17" s="1">
        <v>930</v>
      </c>
      <c r="F17" s="1" t="s">
        <v>244</v>
      </c>
      <c r="G17" s="16" t="s">
        <v>210</v>
      </c>
    </row>
    <row r="18" spans="2:7" x14ac:dyDescent="0.25">
      <c r="B18" s="14" t="s">
        <v>218</v>
      </c>
      <c r="C18" s="1" t="s">
        <v>124</v>
      </c>
      <c r="D18" s="1" t="s">
        <v>7</v>
      </c>
      <c r="E18" s="1">
        <v>40</v>
      </c>
      <c r="F18" s="1" t="s">
        <v>245</v>
      </c>
      <c r="G18" s="16" t="s">
        <v>142</v>
      </c>
    </row>
    <row r="19" spans="2:7" x14ac:dyDescent="0.25">
      <c r="B19" s="14" t="s">
        <v>218</v>
      </c>
      <c r="C19" s="1" t="s">
        <v>39</v>
      </c>
      <c r="D19" s="1" t="s">
        <v>7</v>
      </c>
      <c r="E19" s="1">
        <v>9</v>
      </c>
      <c r="F19" s="1" t="s">
        <v>246</v>
      </c>
      <c r="G19" s="16" t="s">
        <v>255</v>
      </c>
    </row>
    <row r="20" spans="2:7" x14ac:dyDescent="0.25">
      <c r="B20" s="14" t="s">
        <v>218</v>
      </c>
      <c r="C20" s="1" t="s">
        <v>109</v>
      </c>
      <c r="D20" s="1" t="s">
        <v>7</v>
      </c>
      <c r="E20" s="1">
        <v>-25</v>
      </c>
      <c r="F20" s="1" t="s">
        <v>247</v>
      </c>
      <c r="G20" s="16" t="s">
        <v>160</v>
      </c>
    </row>
    <row r="21" spans="2:7" x14ac:dyDescent="0.25">
      <c r="B21" s="14" t="s">
        <v>218</v>
      </c>
      <c r="C21" s="1" t="s">
        <v>248</v>
      </c>
      <c r="D21" s="1" t="s">
        <v>7</v>
      </c>
      <c r="E21" s="1">
        <v>-152.82</v>
      </c>
      <c r="F21" s="1" t="s">
        <v>249</v>
      </c>
      <c r="G21" s="16" t="s">
        <v>259</v>
      </c>
    </row>
    <row r="22" spans="2:7" x14ac:dyDescent="0.25">
      <c r="B22" s="14" t="s">
        <v>218</v>
      </c>
      <c r="C22" s="1" t="s">
        <v>95</v>
      </c>
      <c r="D22" s="1" t="s">
        <v>7</v>
      </c>
      <c r="E22" s="1">
        <v>400</v>
      </c>
      <c r="F22" s="1" t="s">
        <v>250</v>
      </c>
      <c r="G22" s="16" t="s">
        <v>258</v>
      </c>
    </row>
    <row r="23" spans="2:7" x14ac:dyDescent="0.25">
      <c r="B23" s="14" t="s">
        <v>218</v>
      </c>
      <c r="C23" s="1" t="s">
        <v>95</v>
      </c>
      <c r="D23" s="1" t="s">
        <v>7</v>
      </c>
      <c r="E23" s="1">
        <v>400</v>
      </c>
      <c r="F23" s="1" t="s">
        <v>251</v>
      </c>
      <c r="G23" s="16" t="s">
        <v>258</v>
      </c>
    </row>
    <row r="24" spans="2:7" x14ac:dyDescent="0.25">
      <c r="B24" s="14" t="s">
        <v>218</v>
      </c>
      <c r="C24" s="1" t="s">
        <v>95</v>
      </c>
      <c r="D24" s="1" t="s">
        <v>7</v>
      </c>
      <c r="E24" s="1">
        <v>400</v>
      </c>
      <c r="F24" s="1" t="s">
        <v>252</v>
      </c>
      <c r="G24" s="16" t="s">
        <v>258</v>
      </c>
    </row>
    <row r="25" spans="2:7" x14ac:dyDescent="0.25">
      <c r="B25" s="14" t="s">
        <v>218</v>
      </c>
      <c r="C25" s="1" t="s">
        <v>27</v>
      </c>
      <c r="D25" s="1" t="s">
        <v>7</v>
      </c>
      <c r="E25" s="1">
        <v>132</v>
      </c>
      <c r="F25" s="1" t="s">
        <v>253</v>
      </c>
      <c r="G25" s="16" t="s">
        <v>257</v>
      </c>
    </row>
    <row r="26" spans="2:7" ht="16.5" thickBot="1" x14ac:dyDescent="0.3">
      <c r="B26" s="25" t="s">
        <v>218</v>
      </c>
      <c r="C26" s="18" t="s">
        <v>27</v>
      </c>
      <c r="D26" s="18" t="s">
        <v>7</v>
      </c>
      <c r="E26" s="18">
        <v>498</v>
      </c>
      <c r="F26" s="18" t="s">
        <v>254</v>
      </c>
      <c r="G26" s="27" t="s">
        <v>60</v>
      </c>
    </row>
  </sheetData>
  <pageMargins left="0.7" right="0.7" top="0.75" bottom="0.75" header="0.3" footer="0.3"/>
  <pageSetup paperSize="256" orientation="portrait" horizontalDpi="203" verticalDpi="203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D93881-FA20-4A45-985D-67F772C4E129}">
  <sheetPr codeName="Hoja5"/>
  <dimension ref="B2:G19"/>
  <sheetViews>
    <sheetView workbookViewId="0">
      <selection activeCell="G19" sqref="G19"/>
    </sheetView>
  </sheetViews>
  <sheetFormatPr baseColWidth="10" defaultRowHeight="15.75" x14ac:dyDescent="0.25"/>
  <cols>
    <col min="3" max="3" width="22.75" customWidth="1"/>
    <col min="6" max="6" width="20" bestFit="1" customWidth="1"/>
    <col min="7" max="7" width="29.75" bestFit="1" customWidth="1"/>
  </cols>
  <sheetData>
    <row r="2" spans="2:7" ht="16.5" thickBot="1" x14ac:dyDescent="0.3"/>
    <row r="3" spans="2:7" x14ac:dyDescent="0.25">
      <c r="B3" s="21" t="s">
        <v>0</v>
      </c>
      <c r="C3" s="22" t="s">
        <v>1</v>
      </c>
      <c r="D3" s="22" t="s">
        <v>2</v>
      </c>
      <c r="E3" s="22" t="s">
        <v>3</v>
      </c>
      <c r="F3" s="22" t="s">
        <v>4</v>
      </c>
      <c r="G3" s="23"/>
    </row>
    <row r="4" spans="2:7" x14ac:dyDescent="0.25">
      <c r="B4" s="1" t="s">
        <v>261</v>
      </c>
      <c r="C4" s="1" t="s">
        <v>262</v>
      </c>
      <c r="D4" s="1" t="s">
        <v>7</v>
      </c>
      <c r="E4" s="1">
        <v>500</v>
      </c>
      <c r="F4" s="1" t="s">
        <v>263</v>
      </c>
      <c r="G4" s="1" t="s">
        <v>264</v>
      </c>
    </row>
    <row r="5" spans="2:7" x14ac:dyDescent="0.25">
      <c r="B5" s="1" t="s">
        <v>261</v>
      </c>
      <c r="C5" s="1" t="s">
        <v>72</v>
      </c>
      <c r="D5" s="1" t="s">
        <v>7</v>
      </c>
      <c r="E5" s="1">
        <v>18.5</v>
      </c>
      <c r="F5" s="1" t="s">
        <v>265</v>
      </c>
      <c r="G5" s="1" t="s">
        <v>266</v>
      </c>
    </row>
    <row r="6" spans="2:7" x14ac:dyDescent="0.25">
      <c r="B6" s="1" t="s">
        <v>261</v>
      </c>
      <c r="C6" s="1" t="s">
        <v>75</v>
      </c>
      <c r="D6" s="1" t="s">
        <v>7</v>
      </c>
      <c r="E6" s="1">
        <v>30.9</v>
      </c>
      <c r="F6" s="1" t="s">
        <v>267</v>
      </c>
      <c r="G6" s="1" t="s">
        <v>268</v>
      </c>
    </row>
    <row r="7" spans="2:7" x14ac:dyDescent="0.25">
      <c r="B7" s="1" t="s">
        <v>261</v>
      </c>
      <c r="C7" s="1" t="s">
        <v>269</v>
      </c>
      <c r="D7" s="1" t="s">
        <v>7</v>
      </c>
      <c r="E7" s="1">
        <v>27</v>
      </c>
      <c r="F7" s="1" t="s">
        <v>270</v>
      </c>
      <c r="G7" s="1" t="s">
        <v>271</v>
      </c>
    </row>
    <row r="8" spans="2:7" x14ac:dyDescent="0.25">
      <c r="B8" s="1" t="s">
        <v>261</v>
      </c>
      <c r="C8" s="1" t="s">
        <v>95</v>
      </c>
      <c r="D8" s="1" t="s">
        <v>7</v>
      </c>
      <c r="E8" s="1">
        <v>21.8</v>
      </c>
      <c r="F8" s="1" t="s">
        <v>272</v>
      </c>
      <c r="G8" s="1" t="s">
        <v>273</v>
      </c>
    </row>
    <row r="9" spans="2:7" x14ac:dyDescent="0.25">
      <c r="B9" s="1" t="s">
        <v>261</v>
      </c>
      <c r="C9" s="1" t="s">
        <v>39</v>
      </c>
      <c r="D9" s="1" t="s">
        <v>7</v>
      </c>
      <c r="E9" s="1">
        <v>20</v>
      </c>
      <c r="F9" s="1" t="s">
        <v>274</v>
      </c>
      <c r="G9" s="1" t="s">
        <v>275</v>
      </c>
    </row>
    <row r="10" spans="2:7" x14ac:dyDescent="0.25">
      <c r="B10" s="1" t="s">
        <v>261</v>
      </c>
      <c r="C10" s="1" t="s">
        <v>19</v>
      </c>
      <c r="D10" s="1" t="s">
        <v>7</v>
      </c>
      <c r="E10" s="1">
        <v>4.5</v>
      </c>
      <c r="F10" s="1" t="s">
        <v>276</v>
      </c>
      <c r="G10" s="1" t="s">
        <v>277</v>
      </c>
    </row>
    <row r="11" spans="2:7" x14ac:dyDescent="0.25">
      <c r="B11" s="1" t="s">
        <v>261</v>
      </c>
      <c r="C11" s="1" t="s">
        <v>278</v>
      </c>
      <c r="D11" s="1" t="s">
        <v>7</v>
      </c>
      <c r="E11" s="1">
        <v>70</v>
      </c>
      <c r="F11" s="1" t="s">
        <v>279</v>
      </c>
      <c r="G11" s="1" t="s">
        <v>280</v>
      </c>
    </row>
    <row r="12" spans="2:7" x14ac:dyDescent="0.25">
      <c r="B12" s="1" t="s">
        <v>261</v>
      </c>
      <c r="C12" s="1" t="s">
        <v>281</v>
      </c>
      <c r="D12" s="1" t="s">
        <v>7</v>
      </c>
      <c r="E12" s="1">
        <v>138.5</v>
      </c>
      <c r="F12" s="1" t="s">
        <v>282</v>
      </c>
      <c r="G12" s="1" t="s">
        <v>283</v>
      </c>
    </row>
    <row r="13" spans="2:7" x14ac:dyDescent="0.25">
      <c r="B13" s="1" t="s">
        <v>261</v>
      </c>
      <c r="C13" s="1" t="s">
        <v>284</v>
      </c>
      <c r="D13" s="1" t="s">
        <v>7</v>
      </c>
      <c r="E13" s="1">
        <v>36</v>
      </c>
      <c r="F13" s="1" t="s">
        <v>285</v>
      </c>
      <c r="G13" s="1" t="s">
        <v>286</v>
      </c>
    </row>
    <row r="14" spans="2:7" x14ac:dyDescent="0.25">
      <c r="B14" s="1" t="s">
        <v>261</v>
      </c>
      <c r="C14" s="1" t="s">
        <v>23</v>
      </c>
      <c r="D14" s="1" t="s">
        <v>7</v>
      </c>
      <c r="E14" s="1">
        <v>763.7</v>
      </c>
      <c r="F14" s="1" t="s">
        <v>287</v>
      </c>
      <c r="G14" s="1" t="s">
        <v>288</v>
      </c>
    </row>
    <row r="15" spans="2:7" x14ac:dyDescent="0.25">
      <c r="B15" s="1" t="s">
        <v>261</v>
      </c>
      <c r="C15" s="1" t="s">
        <v>289</v>
      </c>
      <c r="D15" s="1" t="s">
        <v>7</v>
      </c>
      <c r="E15" s="1">
        <v>4.5</v>
      </c>
      <c r="F15" s="1" t="s">
        <v>290</v>
      </c>
      <c r="G15" s="1" t="s">
        <v>291</v>
      </c>
    </row>
    <row r="16" spans="2:7" x14ac:dyDescent="0.25">
      <c r="B16" s="1" t="s">
        <v>261</v>
      </c>
      <c r="C16" s="1" t="s">
        <v>292</v>
      </c>
      <c r="D16" s="1" t="s">
        <v>7</v>
      </c>
      <c r="E16" s="1">
        <v>51</v>
      </c>
      <c r="F16" s="1" t="s">
        <v>293</v>
      </c>
      <c r="G16" s="1" t="s">
        <v>294</v>
      </c>
    </row>
    <row r="17" spans="2:7" x14ac:dyDescent="0.25">
      <c r="B17" s="1" t="s">
        <v>261</v>
      </c>
      <c r="C17" s="1" t="s">
        <v>295</v>
      </c>
      <c r="D17" s="1" t="s">
        <v>7</v>
      </c>
      <c r="E17" s="1">
        <v>15</v>
      </c>
      <c r="F17" s="1" t="s">
        <v>296</v>
      </c>
      <c r="G17" s="1" t="s">
        <v>297</v>
      </c>
    </row>
    <row r="18" spans="2:7" x14ac:dyDescent="0.25">
      <c r="B18" s="1" t="s">
        <v>261</v>
      </c>
      <c r="C18" s="1" t="s">
        <v>15</v>
      </c>
      <c r="D18" s="1" t="s">
        <v>7</v>
      </c>
      <c r="E18" s="1">
        <v>30</v>
      </c>
      <c r="F18" s="1" t="s">
        <v>298</v>
      </c>
      <c r="G18" s="1" t="s">
        <v>273</v>
      </c>
    </row>
    <row r="19" spans="2:7" x14ac:dyDescent="0.25">
      <c r="B19" s="1" t="s">
        <v>261</v>
      </c>
      <c r="C19" s="1" t="s">
        <v>299</v>
      </c>
      <c r="D19" s="1" t="s">
        <v>7</v>
      </c>
      <c r="E19" s="1">
        <v>180</v>
      </c>
      <c r="F19" s="1" t="s">
        <v>300</v>
      </c>
      <c r="G19" s="1" t="s">
        <v>301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2D86E7-095E-4078-9DAE-4884219001AF}">
  <sheetPr codeName="Hoja6"/>
  <dimension ref="B1:G35"/>
  <sheetViews>
    <sheetView topLeftCell="A4" workbookViewId="0">
      <selection activeCell="G39" sqref="G39"/>
    </sheetView>
  </sheetViews>
  <sheetFormatPr baseColWidth="10" defaultRowHeight="15.75" x14ac:dyDescent="0.25"/>
  <cols>
    <col min="2" max="2" width="11" style="3"/>
    <col min="3" max="3" width="23.75" style="3" bestFit="1" customWidth="1"/>
    <col min="4" max="5" width="11" style="3"/>
    <col min="6" max="6" width="23.375" style="3" customWidth="1"/>
    <col min="7" max="7" width="39" style="3" bestFit="1" customWidth="1"/>
  </cols>
  <sheetData>
    <row r="1" spans="2:7" ht="16.5" thickBot="1" x14ac:dyDescent="0.3"/>
    <row r="2" spans="2:7" x14ac:dyDescent="0.25">
      <c r="B2" s="21" t="s">
        <v>0</v>
      </c>
      <c r="C2" s="22" t="s">
        <v>1</v>
      </c>
      <c r="D2" s="22" t="s">
        <v>2</v>
      </c>
      <c r="E2" s="22" t="s">
        <v>3</v>
      </c>
      <c r="F2" s="22" t="s">
        <v>4</v>
      </c>
      <c r="G2" s="23"/>
    </row>
    <row r="3" spans="2:7" x14ac:dyDescent="0.25">
      <c r="B3" s="14" t="s">
        <v>302</v>
      </c>
      <c r="C3" s="1" t="s">
        <v>303</v>
      </c>
      <c r="D3" s="1" t="s">
        <v>7</v>
      </c>
      <c r="E3" s="1">
        <v>192</v>
      </c>
      <c r="F3" s="1" t="s">
        <v>304</v>
      </c>
      <c r="G3" s="16" t="s">
        <v>305</v>
      </c>
    </row>
    <row r="4" spans="2:7" x14ac:dyDescent="0.25">
      <c r="B4" s="14" t="s">
        <v>302</v>
      </c>
      <c r="C4" s="1" t="s">
        <v>23</v>
      </c>
      <c r="D4" s="1" t="s">
        <v>7</v>
      </c>
      <c r="E4" s="1">
        <v>1600</v>
      </c>
      <c r="F4" s="1" t="s">
        <v>306</v>
      </c>
      <c r="G4" s="16" t="s">
        <v>307</v>
      </c>
    </row>
    <row r="5" spans="2:7" x14ac:dyDescent="0.25">
      <c r="B5" s="14" t="s">
        <v>302</v>
      </c>
      <c r="C5" s="1" t="s">
        <v>295</v>
      </c>
      <c r="D5" s="1" t="s">
        <v>7</v>
      </c>
      <c r="E5" s="1">
        <v>120</v>
      </c>
      <c r="F5" s="1" t="s">
        <v>308</v>
      </c>
      <c r="G5" s="16" t="s">
        <v>309</v>
      </c>
    </row>
    <row r="6" spans="2:7" x14ac:dyDescent="0.25">
      <c r="B6" s="29" t="s">
        <v>302</v>
      </c>
      <c r="C6" s="28" t="s">
        <v>310</v>
      </c>
      <c r="D6" s="28" t="s">
        <v>7</v>
      </c>
      <c r="E6" s="28">
        <v>-270</v>
      </c>
      <c r="F6" s="28" t="s">
        <v>311</v>
      </c>
      <c r="G6" s="30" t="s">
        <v>312</v>
      </c>
    </row>
    <row r="7" spans="2:7" x14ac:dyDescent="0.25">
      <c r="B7" s="14" t="s">
        <v>302</v>
      </c>
      <c r="C7" s="1" t="s">
        <v>17</v>
      </c>
      <c r="D7" s="1" t="s">
        <v>7</v>
      </c>
      <c r="E7" s="1">
        <v>4.5</v>
      </c>
      <c r="F7" s="1" t="s">
        <v>313</v>
      </c>
      <c r="G7" s="16" t="s">
        <v>347</v>
      </c>
    </row>
    <row r="8" spans="2:7" x14ac:dyDescent="0.25">
      <c r="B8" s="14" t="s">
        <v>302</v>
      </c>
      <c r="C8" s="1" t="s">
        <v>192</v>
      </c>
      <c r="D8" s="1" t="s">
        <v>7</v>
      </c>
      <c r="E8" s="1">
        <v>20</v>
      </c>
      <c r="F8" s="1" t="s">
        <v>314</v>
      </c>
      <c r="G8" s="16" t="s">
        <v>315</v>
      </c>
    </row>
    <row r="9" spans="2:7" x14ac:dyDescent="0.25">
      <c r="B9" s="14" t="s">
        <v>302</v>
      </c>
      <c r="C9" s="1" t="s">
        <v>23</v>
      </c>
      <c r="D9" s="1" t="s">
        <v>7</v>
      </c>
      <c r="E9" s="1">
        <v>358</v>
      </c>
      <c r="F9" s="1" t="s">
        <v>316</v>
      </c>
      <c r="G9" s="16" t="s">
        <v>317</v>
      </c>
    </row>
    <row r="10" spans="2:7" x14ac:dyDescent="0.25">
      <c r="B10" s="14" t="s">
        <v>302</v>
      </c>
      <c r="C10" s="1" t="s">
        <v>23</v>
      </c>
      <c r="D10" s="1" t="s">
        <v>7</v>
      </c>
      <c r="E10" s="1">
        <v>50</v>
      </c>
      <c r="F10" s="1" t="s">
        <v>318</v>
      </c>
      <c r="G10" s="16" t="s">
        <v>319</v>
      </c>
    </row>
    <row r="11" spans="2:7" x14ac:dyDescent="0.25">
      <c r="B11" s="14" t="s">
        <v>302</v>
      </c>
      <c r="C11" s="1" t="s">
        <v>320</v>
      </c>
      <c r="D11" s="1" t="s">
        <v>7</v>
      </c>
      <c r="E11" s="1">
        <v>11158.5</v>
      </c>
      <c r="F11" s="1" t="s">
        <v>321</v>
      </c>
      <c r="G11" s="16" t="s">
        <v>322</v>
      </c>
    </row>
    <row r="12" spans="2:7" x14ac:dyDescent="0.25">
      <c r="B12" s="14" t="s">
        <v>302</v>
      </c>
      <c r="C12" s="1" t="s">
        <v>323</v>
      </c>
      <c r="D12" s="1" t="s">
        <v>7</v>
      </c>
      <c r="E12" s="1">
        <v>933</v>
      </c>
      <c r="F12" s="1" t="s">
        <v>324</v>
      </c>
      <c r="G12" s="16" t="s">
        <v>150</v>
      </c>
    </row>
    <row r="13" spans="2:7" x14ac:dyDescent="0.25">
      <c r="B13" s="14" t="s">
        <v>302</v>
      </c>
      <c r="C13" s="1" t="s">
        <v>325</v>
      </c>
      <c r="D13" s="1" t="s">
        <v>7</v>
      </c>
      <c r="E13" s="1">
        <v>240</v>
      </c>
      <c r="F13" s="1" t="s">
        <v>326</v>
      </c>
      <c r="G13" s="16" t="s">
        <v>327</v>
      </c>
    </row>
    <row r="14" spans="2:7" x14ac:dyDescent="0.25">
      <c r="B14" s="14" t="s">
        <v>302</v>
      </c>
      <c r="C14" s="1" t="s">
        <v>325</v>
      </c>
      <c r="D14" s="1" t="s">
        <v>7</v>
      </c>
      <c r="E14" s="1">
        <v>500</v>
      </c>
      <c r="F14" s="1" t="s">
        <v>328</v>
      </c>
      <c r="G14" s="16" t="s">
        <v>327</v>
      </c>
    </row>
    <row r="15" spans="2:7" x14ac:dyDescent="0.25">
      <c r="B15" s="14" t="s">
        <v>302</v>
      </c>
      <c r="C15" s="1" t="s">
        <v>323</v>
      </c>
      <c r="D15" s="1" t="s">
        <v>7</v>
      </c>
      <c r="E15" s="1">
        <v>1000</v>
      </c>
      <c r="F15" s="1" t="s">
        <v>329</v>
      </c>
      <c r="G15" s="16" t="s">
        <v>150</v>
      </c>
    </row>
    <row r="16" spans="2:7" x14ac:dyDescent="0.25">
      <c r="B16" s="14" t="s">
        <v>302</v>
      </c>
      <c r="C16" s="1" t="s">
        <v>27</v>
      </c>
      <c r="D16" s="1" t="s">
        <v>7</v>
      </c>
      <c r="E16" s="1">
        <v>330</v>
      </c>
      <c r="F16" s="1" t="s">
        <v>330</v>
      </c>
      <c r="G16" s="16" t="s">
        <v>331</v>
      </c>
    </row>
    <row r="17" spans="2:7" x14ac:dyDescent="0.25">
      <c r="B17" s="14" t="s">
        <v>302</v>
      </c>
      <c r="C17" s="1" t="s">
        <v>332</v>
      </c>
      <c r="D17" s="1" t="s">
        <v>7</v>
      </c>
      <c r="E17" s="1">
        <v>78</v>
      </c>
      <c r="F17" s="1" t="s">
        <v>333</v>
      </c>
      <c r="G17" s="16" t="s">
        <v>334</v>
      </c>
    </row>
    <row r="18" spans="2:7" x14ac:dyDescent="0.25">
      <c r="B18" s="29" t="s">
        <v>302</v>
      </c>
      <c r="C18" s="28" t="s">
        <v>335</v>
      </c>
      <c r="D18" s="28" t="s">
        <v>7</v>
      </c>
      <c r="E18" s="28">
        <v>-300</v>
      </c>
      <c r="F18" s="28" t="s">
        <v>336</v>
      </c>
      <c r="G18" s="30" t="s">
        <v>337</v>
      </c>
    </row>
    <row r="19" spans="2:7" x14ac:dyDescent="0.25">
      <c r="B19" s="14" t="s">
        <v>302</v>
      </c>
      <c r="C19" s="1" t="s">
        <v>23</v>
      </c>
      <c r="D19" s="1" t="s">
        <v>7</v>
      </c>
      <c r="E19" s="1">
        <v>480</v>
      </c>
      <c r="F19" s="1" t="s">
        <v>338</v>
      </c>
      <c r="G19" s="16" t="s">
        <v>339</v>
      </c>
    </row>
    <row r="20" spans="2:7" x14ac:dyDescent="0.25">
      <c r="B20" s="14" t="s">
        <v>302</v>
      </c>
      <c r="C20" s="1" t="s">
        <v>33</v>
      </c>
      <c r="D20" s="1" t="s">
        <v>7</v>
      </c>
      <c r="E20" s="1">
        <v>500</v>
      </c>
      <c r="F20" s="1" t="s">
        <v>340</v>
      </c>
      <c r="G20" s="16" t="s">
        <v>348</v>
      </c>
    </row>
    <row r="21" spans="2:7" x14ac:dyDescent="0.25">
      <c r="B21" s="14" t="s">
        <v>302</v>
      </c>
      <c r="C21" s="1" t="s">
        <v>192</v>
      </c>
      <c r="D21" s="1" t="s">
        <v>7</v>
      </c>
      <c r="E21" s="1">
        <v>58.5</v>
      </c>
      <c r="F21" s="1" t="s">
        <v>341</v>
      </c>
      <c r="G21" s="16" t="s">
        <v>315</v>
      </c>
    </row>
    <row r="22" spans="2:7" x14ac:dyDescent="0.25">
      <c r="B22" s="14" t="s">
        <v>302</v>
      </c>
      <c r="C22" s="1" t="s">
        <v>6</v>
      </c>
      <c r="D22" s="1" t="s">
        <v>7</v>
      </c>
      <c r="E22" s="1">
        <v>105</v>
      </c>
      <c r="F22" s="1" t="s">
        <v>342</v>
      </c>
      <c r="G22" s="16" t="s">
        <v>52</v>
      </c>
    </row>
    <row r="23" spans="2:7" x14ac:dyDescent="0.25">
      <c r="B23" s="14" t="s">
        <v>302</v>
      </c>
      <c r="C23" s="1" t="s">
        <v>343</v>
      </c>
      <c r="D23" s="1" t="s">
        <v>7</v>
      </c>
      <c r="E23" s="1">
        <v>196</v>
      </c>
      <c r="F23" s="1" t="s">
        <v>344</v>
      </c>
      <c r="G23" s="16" t="s">
        <v>345</v>
      </c>
    </row>
    <row r="24" spans="2:7" x14ac:dyDescent="0.25">
      <c r="B24" s="14" t="s">
        <v>302</v>
      </c>
      <c r="C24" s="1" t="s">
        <v>343</v>
      </c>
      <c r="D24" s="1" t="s">
        <v>7</v>
      </c>
      <c r="E24" s="1">
        <v>500</v>
      </c>
      <c r="F24" s="1" t="s">
        <v>346</v>
      </c>
      <c r="G24" s="16" t="s">
        <v>345</v>
      </c>
    </row>
    <row r="25" spans="2:7" x14ac:dyDescent="0.25">
      <c r="B25" s="14" t="s">
        <v>302</v>
      </c>
      <c r="C25" s="1" t="s">
        <v>349</v>
      </c>
      <c r="D25" s="1" t="s">
        <v>7</v>
      </c>
      <c r="E25" s="1">
        <v>16</v>
      </c>
      <c r="F25" s="1" t="s">
        <v>350</v>
      </c>
      <c r="G25" s="16" t="s">
        <v>362</v>
      </c>
    </row>
    <row r="26" spans="2:7" x14ac:dyDescent="0.25">
      <c r="B26" s="29" t="s">
        <v>302</v>
      </c>
      <c r="C26" s="28" t="s">
        <v>248</v>
      </c>
      <c r="D26" s="28" t="s">
        <v>7</v>
      </c>
      <c r="E26" s="28">
        <v>-144.4</v>
      </c>
      <c r="F26" s="28" t="s">
        <v>351</v>
      </c>
      <c r="G26" s="30" t="s">
        <v>52</v>
      </c>
    </row>
    <row r="27" spans="2:7" x14ac:dyDescent="0.25">
      <c r="B27" s="14" t="s">
        <v>302</v>
      </c>
      <c r="C27" s="1" t="s">
        <v>23</v>
      </c>
      <c r="D27" s="1" t="s">
        <v>7</v>
      </c>
      <c r="E27" s="1">
        <v>484.6</v>
      </c>
      <c r="F27" s="1" t="s">
        <v>352</v>
      </c>
      <c r="G27" s="16" t="s">
        <v>363</v>
      </c>
    </row>
    <row r="28" spans="2:7" x14ac:dyDescent="0.25">
      <c r="B28" s="14" t="s">
        <v>302</v>
      </c>
      <c r="C28" s="1" t="s">
        <v>69</v>
      </c>
      <c r="D28" s="1" t="s">
        <v>7</v>
      </c>
      <c r="E28" s="1">
        <v>4905.5</v>
      </c>
      <c r="F28" s="1" t="s">
        <v>353</v>
      </c>
      <c r="G28" s="16" t="s">
        <v>77</v>
      </c>
    </row>
    <row r="29" spans="2:7" x14ac:dyDescent="0.25">
      <c r="B29" s="14" t="s">
        <v>302</v>
      </c>
      <c r="C29" s="1" t="s">
        <v>124</v>
      </c>
      <c r="D29" s="1" t="s">
        <v>7</v>
      </c>
      <c r="E29" s="1">
        <v>42</v>
      </c>
      <c r="F29" s="1" t="s">
        <v>354</v>
      </c>
      <c r="G29" s="16" t="s">
        <v>142</v>
      </c>
    </row>
    <row r="30" spans="2:7" x14ac:dyDescent="0.25">
      <c r="B30" s="14" t="s">
        <v>302</v>
      </c>
      <c r="C30" s="1" t="s">
        <v>69</v>
      </c>
      <c r="D30" s="1" t="s">
        <v>7</v>
      </c>
      <c r="E30" s="1">
        <v>749.4</v>
      </c>
      <c r="F30" s="1" t="s">
        <v>355</v>
      </c>
      <c r="G30" s="16" t="s">
        <v>365</v>
      </c>
    </row>
    <row r="31" spans="2:7" x14ac:dyDescent="0.25">
      <c r="B31" s="14" t="s">
        <v>302</v>
      </c>
      <c r="C31" s="1" t="s">
        <v>356</v>
      </c>
      <c r="D31" s="1" t="s">
        <v>7</v>
      </c>
      <c r="E31" s="1">
        <v>25000</v>
      </c>
      <c r="F31" s="1" t="s">
        <v>357</v>
      </c>
      <c r="G31" s="16" t="s">
        <v>364</v>
      </c>
    </row>
    <row r="32" spans="2:7" x14ac:dyDescent="0.25">
      <c r="B32" s="14" t="s">
        <v>302</v>
      </c>
      <c r="C32" s="1" t="s">
        <v>358</v>
      </c>
      <c r="D32" s="1" t="s">
        <v>7</v>
      </c>
      <c r="E32" s="1">
        <v>4</v>
      </c>
      <c r="F32" s="1" t="s">
        <v>359</v>
      </c>
      <c r="G32" s="16" t="s">
        <v>367</v>
      </c>
    </row>
    <row r="33" spans="2:7" ht="16.5" thickBot="1" x14ac:dyDescent="0.3">
      <c r="B33" s="25" t="s">
        <v>302</v>
      </c>
      <c r="C33" s="18" t="s">
        <v>360</v>
      </c>
      <c r="D33" s="18" t="s">
        <v>7</v>
      </c>
      <c r="E33" s="18">
        <v>500</v>
      </c>
      <c r="F33" s="18" t="s">
        <v>361</v>
      </c>
      <c r="G33" s="27" t="s">
        <v>366</v>
      </c>
    </row>
    <row r="34" spans="2:7" x14ac:dyDescent="0.25">
      <c r="B34" s="3" t="s">
        <v>302</v>
      </c>
      <c r="C34" s="3" t="s">
        <v>384</v>
      </c>
      <c r="D34" s="3" t="s">
        <v>7</v>
      </c>
      <c r="E34" s="3">
        <v>-263</v>
      </c>
      <c r="F34" s="3" t="s">
        <v>385</v>
      </c>
      <c r="G34" s="3" t="s">
        <v>386</v>
      </c>
    </row>
    <row r="35" spans="2:7" x14ac:dyDescent="0.25">
      <c r="B35" s="3" t="s">
        <v>302</v>
      </c>
      <c r="C35" s="3" t="s">
        <v>19</v>
      </c>
      <c r="D35" s="3" t="s">
        <v>7</v>
      </c>
      <c r="E35" s="3">
        <v>390</v>
      </c>
      <c r="F35" s="3" t="s">
        <v>429</v>
      </c>
      <c r="G35" s="3" t="s">
        <v>430</v>
      </c>
    </row>
  </sheetData>
  <pageMargins left="0.7" right="0.7" top="0.75" bottom="0.75" header="0.3" footer="0.3"/>
  <pageSetup paperSize="256" orientation="portrait" horizontalDpi="203" verticalDpi="203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8C2C23-C9D5-4F3D-88CE-AE76DD211973}">
  <sheetPr codeName="Hoja7"/>
  <dimension ref="B1:I35"/>
  <sheetViews>
    <sheetView workbookViewId="0">
      <selection activeCell="B2" sqref="B2:G35"/>
    </sheetView>
  </sheetViews>
  <sheetFormatPr baseColWidth="10" defaultRowHeight="15.75" x14ac:dyDescent="0.25"/>
  <cols>
    <col min="2" max="2" width="11" style="3"/>
    <col min="3" max="3" width="26.5" style="3" customWidth="1"/>
    <col min="4" max="5" width="11" style="3"/>
    <col min="6" max="6" width="23.375" style="3" customWidth="1"/>
    <col min="7" max="7" width="39" style="3" bestFit="1" customWidth="1"/>
  </cols>
  <sheetData>
    <row r="1" spans="2:7" ht="16.5" thickBot="1" x14ac:dyDescent="0.3"/>
    <row r="2" spans="2:7" x14ac:dyDescent="0.25">
      <c r="B2" s="21" t="s">
        <v>0</v>
      </c>
      <c r="C2" s="22" t="s">
        <v>1</v>
      </c>
      <c r="D2" s="22" t="s">
        <v>2</v>
      </c>
      <c r="E2" s="22" t="s">
        <v>3</v>
      </c>
      <c r="F2" s="22" t="s">
        <v>4</v>
      </c>
      <c r="G2" s="23"/>
    </row>
    <row r="3" spans="2:7" x14ac:dyDescent="0.25">
      <c r="B3" s="14" t="s">
        <v>368</v>
      </c>
      <c r="C3" s="1" t="s">
        <v>284</v>
      </c>
      <c r="D3" s="1" t="s">
        <v>7</v>
      </c>
      <c r="E3" s="1">
        <v>21</v>
      </c>
      <c r="F3" s="1" t="s">
        <v>369</v>
      </c>
      <c r="G3" s="16" t="s">
        <v>405</v>
      </c>
    </row>
    <row r="4" spans="2:7" x14ac:dyDescent="0.25">
      <c r="B4" s="14" t="s">
        <v>368</v>
      </c>
      <c r="C4" s="1" t="s">
        <v>370</v>
      </c>
      <c r="D4" s="1" t="s">
        <v>7</v>
      </c>
      <c r="E4" s="1">
        <v>27</v>
      </c>
      <c r="F4" s="1" t="s">
        <v>371</v>
      </c>
      <c r="G4" s="16" t="s">
        <v>417</v>
      </c>
    </row>
    <row r="5" spans="2:7" x14ac:dyDescent="0.25">
      <c r="B5" s="14" t="s">
        <v>368</v>
      </c>
      <c r="C5" s="1" t="s">
        <v>124</v>
      </c>
      <c r="D5" s="1" t="s">
        <v>7</v>
      </c>
      <c r="E5" s="1">
        <v>18</v>
      </c>
      <c r="F5" s="1" t="s">
        <v>372</v>
      </c>
      <c r="G5" s="16" t="s">
        <v>142</v>
      </c>
    </row>
    <row r="6" spans="2:7" x14ac:dyDescent="0.25">
      <c r="B6" s="14" t="s">
        <v>368</v>
      </c>
      <c r="C6" s="1" t="s">
        <v>373</v>
      </c>
      <c r="D6" s="1" t="s">
        <v>7</v>
      </c>
      <c r="E6" s="1">
        <v>4.5</v>
      </c>
      <c r="F6" s="1" t="s">
        <v>374</v>
      </c>
      <c r="G6" s="16" t="s">
        <v>406</v>
      </c>
    </row>
    <row r="7" spans="2:7" x14ac:dyDescent="0.25">
      <c r="B7" s="14" t="s">
        <v>368</v>
      </c>
      <c r="C7" s="1" t="s">
        <v>373</v>
      </c>
      <c r="D7" s="1" t="s">
        <v>7</v>
      </c>
      <c r="E7" s="1">
        <v>35</v>
      </c>
      <c r="F7" s="1" t="s">
        <v>375</v>
      </c>
      <c r="G7" s="16" t="s">
        <v>403</v>
      </c>
    </row>
    <row r="8" spans="2:7" x14ac:dyDescent="0.25">
      <c r="B8" s="14" t="s">
        <v>368</v>
      </c>
      <c r="C8" s="1" t="s">
        <v>122</v>
      </c>
      <c r="D8" s="1" t="s">
        <v>7</v>
      </c>
      <c r="E8" s="1">
        <v>6</v>
      </c>
      <c r="F8" s="1" t="s">
        <v>376</v>
      </c>
      <c r="G8" s="16" t="s">
        <v>418</v>
      </c>
    </row>
    <row r="9" spans="2:7" x14ac:dyDescent="0.25">
      <c r="B9" s="14" t="s">
        <v>368</v>
      </c>
      <c r="C9" s="1" t="s">
        <v>122</v>
      </c>
      <c r="D9" s="1" t="s">
        <v>7</v>
      </c>
      <c r="E9" s="1">
        <v>54.9</v>
      </c>
      <c r="F9" s="1" t="s">
        <v>377</v>
      </c>
      <c r="G9" s="16" t="s">
        <v>415</v>
      </c>
    </row>
    <row r="10" spans="2:7" x14ac:dyDescent="0.25">
      <c r="B10" s="14" t="s">
        <v>368</v>
      </c>
      <c r="C10" s="1" t="s">
        <v>23</v>
      </c>
      <c r="D10" s="1" t="s">
        <v>7</v>
      </c>
      <c r="E10" s="1">
        <v>1464</v>
      </c>
      <c r="F10" s="1" t="s">
        <v>378</v>
      </c>
      <c r="G10" s="16" t="s">
        <v>185</v>
      </c>
    </row>
    <row r="11" spans="2:7" x14ac:dyDescent="0.25">
      <c r="B11" s="29" t="s">
        <v>368</v>
      </c>
      <c r="C11" s="28" t="s">
        <v>248</v>
      </c>
      <c r="D11" s="28" t="s">
        <v>7</v>
      </c>
      <c r="E11" s="28">
        <v>-378</v>
      </c>
      <c r="F11" s="28" t="s">
        <v>379</v>
      </c>
      <c r="G11" s="30" t="s">
        <v>409</v>
      </c>
    </row>
    <row r="12" spans="2:7" x14ac:dyDescent="0.25">
      <c r="B12" s="14" t="s">
        <v>368</v>
      </c>
      <c r="C12" s="1" t="s">
        <v>380</v>
      </c>
      <c r="D12" s="1" t="s">
        <v>7</v>
      </c>
      <c r="E12" s="1">
        <v>24</v>
      </c>
      <c r="F12" s="1" t="s">
        <v>381</v>
      </c>
      <c r="G12" s="16" t="s">
        <v>416</v>
      </c>
    </row>
    <row r="13" spans="2:7" x14ac:dyDescent="0.25">
      <c r="B13" s="14" t="s">
        <v>368</v>
      </c>
      <c r="C13" s="1" t="s">
        <v>382</v>
      </c>
      <c r="D13" s="1" t="s">
        <v>7</v>
      </c>
      <c r="E13" s="1">
        <v>3</v>
      </c>
      <c r="F13" s="1" t="s">
        <v>383</v>
      </c>
      <c r="G13" s="16" t="s">
        <v>427</v>
      </c>
    </row>
    <row r="14" spans="2:7" x14ac:dyDescent="0.25">
      <c r="B14" s="14" t="s">
        <v>368</v>
      </c>
      <c r="C14" s="1" t="s">
        <v>299</v>
      </c>
      <c r="D14" s="1" t="s">
        <v>7</v>
      </c>
      <c r="E14" s="1">
        <v>1</v>
      </c>
      <c r="F14" s="1" t="s">
        <v>387</v>
      </c>
      <c r="G14" s="16" t="s">
        <v>414</v>
      </c>
    </row>
    <row r="15" spans="2:7" x14ac:dyDescent="0.25">
      <c r="B15" s="29" t="s">
        <v>368</v>
      </c>
      <c r="C15" s="28" t="s">
        <v>172</v>
      </c>
      <c r="D15" s="28" t="s">
        <v>7</v>
      </c>
      <c r="E15" s="28">
        <v>-20000</v>
      </c>
      <c r="F15" s="28" t="s">
        <v>388</v>
      </c>
      <c r="G15" s="30" t="s">
        <v>412</v>
      </c>
    </row>
    <row r="16" spans="2:7" x14ac:dyDescent="0.25">
      <c r="B16" s="14" t="s">
        <v>368</v>
      </c>
      <c r="C16" s="1" t="s">
        <v>299</v>
      </c>
      <c r="D16" s="1" t="s">
        <v>7</v>
      </c>
      <c r="E16" s="1">
        <v>29</v>
      </c>
      <c r="F16" s="1" t="s">
        <v>389</v>
      </c>
      <c r="G16" s="16" t="s">
        <v>413</v>
      </c>
    </row>
    <row r="17" spans="2:9" x14ac:dyDescent="0.25">
      <c r="B17" s="29" t="s">
        <v>368</v>
      </c>
      <c r="C17" s="28" t="s">
        <v>172</v>
      </c>
      <c r="D17" s="28" t="s">
        <v>7</v>
      </c>
      <c r="E17" s="28">
        <v>-25000</v>
      </c>
      <c r="F17" s="28" t="s">
        <v>390</v>
      </c>
      <c r="G17" s="30" t="s">
        <v>412</v>
      </c>
    </row>
    <row r="18" spans="2:9" x14ac:dyDescent="0.25">
      <c r="B18" s="29" t="s">
        <v>368</v>
      </c>
      <c r="C18" s="28" t="s">
        <v>172</v>
      </c>
      <c r="D18" s="28" t="s">
        <v>7</v>
      </c>
      <c r="E18" s="28">
        <v>-25000</v>
      </c>
      <c r="F18" s="28" t="s">
        <v>391</v>
      </c>
      <c r="G18" s="30" t="s">
        <v>412</v>
      </c>
    </row>
    <row r="19" spans="2:9" x14ac:dyDescent="0.25">
      <c r="B19" s="14" t="s">
        <v>368</v>
      </c>
      <c r="C19" s="1" t="s">
        <v>392</v>
      </c>
      <c r="D19" s="1" t="s">
        <v>7</v>
      </c>
      <c r="E19" s="1">
        <v>5</v>
      </c>
      <c r="F19" s="1" t="s">
        <v>393</v>
      </c>
      <c r="G19" s="16" t="s">
        <v>410</v>
      </c>
    </row>
    <row r="20" spans="2:9" x14ac:dyDescent="0.25">
      <c r="B20" s="14" t="s">
        <v>368</v>
      </c>
      <c r="C20" s="1" t="s">
        <v>33</v>
      </c>
      <c r="D20" s="1" t="s">
        <v>7</v>
      </c>
      <c r="E20" s="1">
        <v>13.5</v>
      </c>
      <c r="F20" s="1" t="s">
        <v>394</v>
      </c>
      <c r="G20" s="16" t="s">
        <v>408</v>
      </c>
    </row>
    <row r="21" spans="2:9" x14ac:dyDescent="0.25">
      <c r="B21" s="14" t="s">
        <v>368</v>
      </c>
      <c r="C21" s="1" t="s">
        <v>6</v>
      </c>
      <c r="D21" s="1" t="s">
        <v>7</v>
      </c>
      <c r="E21" s="1">
        <v>99</v>
      </c>
      <c r="F21" s="1" t="s">
        <v>395</v>
      </c>
      <c r="G21" s="16" t="s">
        <v>52</v>
      </c>
    </row>
    <row r="22" spans="2:9" x14ac:dyDescent="0.25">
      <c r="B22" s="14" t="s">
        <v>368</v>
      </c>
      <c r="C22" s="1" t="s">
        <v>23</v>
      </c>
      <c r="D22" s="1" t="s">
        <v>7</v>
      </c>
      <c r="E22" s="1">
        <v>2000</v>
      </c>
      <c r="F22" s="1" t="s">
        <v>396</v>
      </c>
      <c r="G22" s="16" t="s">
        <v>407</v>
      </c>
    </row>
    <row r="23" spans="2:9" x14ac:dyDescent="0.25">
      <c r="B23" s="14" t="s">
        <v>368</v>
      </c>
      <c r="C23" s="1" t="s">
        <v>9</v>
      </c>
      <c r="D23" s="1" t="s">
        <v>7</v>
      </c>
      <c r="E23" s="1">
        <v>180</v>
      </c>
      <c r="F23" s="1" t="s">
        <v>397</v>
      </c>
      <c r="G23" s="16" t="s">
        <v>428</v>
      </c>
    </row>
    <row r="24" spans="2:9" x14ac:dyDescent="0.25">
      <c r="B24" s="14" t="s">
        <v>368</v>
      </c>
      <c r="C24" s="1" t="s">
        <v>398</v>
      </c>
      <c r="D24" s="1" t="s">
        <v>7</v>
      </c>
      <c r="E24" s="1">
        <v>4.5</v>
      </c>
      <c r="F24" s="1" t="s">
        <v>399</v>
      </c>
      <c r="G24" s="16" t="s">
        <v>404</v>
      </c>
    </row>
    <row r="25" spans="2:9" x14ac:dyDescent="0.25">
      <c r="B25" s="29" t="s">
        <v>368</v>
      </c>
      <c r="C25" s="28" t="s">
        <v>400</v>
      </c>
      <c r="D25" s="28" t="s">
        <v>7</v>
      </c>
      <c r="E25" s="28">
        <v>-340</v>
      </c>
      <c r="F25" s="28" t="s">
        <v>401</v>
      </c>
      <c r="G25" s="30" t="s">
        <v>402</v>
      </c>
      <c r="I25" s="31" t="s">
        <v>419</v>
      </c>
    </row>
    <row r="26" spans="2:9" x14ac:dyDescent="0.25">
      <c r="B26" s="14" t="s">
        <v>368</v>
      </c>
      <c r="C26" s="1" t="s">
        <v>420</v>
      </c>
      <c r="D26" s="1" t="s">
        <v>7</v>
      </c>
      <c r="E26" s="1">
        <v>-500</v>
      </c>
      <c r="F26" s="1" t="s">
        <v>421</v>
      </c>
      <c r="G26" s="16" t="s">
        <v>424</v>
      </c>
    </row>
    <row r="27" spans="2:9" x14ac:dyDescent="0.25">
      <c r="B27" s="14" t="s">
        <v>368</v>
      </c>
      <c r="C27" s="1" t="s">
        <v>370</v>
      </c>
      <c r="D27" s="1" t="s">
        <v>7</v>
      </c>
      <c r="E27" s="1">
        <v>9</v>
      </c>
      <c r="F27" s="1" t="s">
        <v>422</v>
      </c>
      <c r="G27" s="16" t="s">
        <v>425</v>
      </c>
    </row>
    <row r="28" spans="2:9" x14ac:dyDescent="0.25">
      <c r="B28" s="14" t="s">
        <v>368</v>
      </c>
      <c r="C28" s="1" t="s">
        <v>19</v>
      </c>
      <c r="D28" s="1" t="s">
        <v>7</v>
      </c>
      <c r="E28" s="1">
        <v>7</v>
      </c>
      <c r="F28" s="1" t="s">
        <v>423</v>
      </c>
      <c r="G28" s="16" t="s">
        <v>426</v>
      </c>
    </row>
    <row r="29" spans="2:9" x14ac:dyDescent="0.25">
      <c r="B29" s="14"/>
      <c r="C29" s="1"/>
      <c r="D29" s="1"/>
      <c r="E29" s="1"/>
      <c r="F29" s="1"/>
      <c r="G29" s="16"/>
    </row>
    <row r="30" spans="2:9" x14ac:dyDescent="0.25">
      <c r="B30" s="14"/>
      <c r="C30" s="1"/>
      <c r="D30" s="1"/>
      <c r="E30" s="1"/>
      <c r="F30" s="1"/>
      <c r="G30" s="16"/>
    </row>
    <row r="31" spans="2:9" x14ac:dyDescent="0.25">
      <c r="B31" s="14"/>
      <c r="C31" s="1"/>
      <c r="D31" s="1"/>
      <c r="E31" s="1"/>
      <c r="F31" s="1"/>
      <c r="G31" s="16"/>
    </row>
    <row r="32" spans="2:9" x14ac:dyDescent="0.25">
      <c r="B32" s="14"/>
      <c r="C32" s="1"/>
      <c r="D32" s="1"/>
      <c r="E32" s="1"/>
      <c r="F32" s="1"/>
      <c r="G32" s="16"/>
    </row>
    <row r="33" spans="2:7" x14ac:dyDescent="0.25">
      <c r="B33" s="14"/>
      <c r="C33" s="1"/>
      <c r="D33" s="1"/>
      <c r="E33" s="1"/>
      <c r="F33" s="1"/>
      <c r="G33" s="16"/>
    </row>
    <row r="34" spans="2:7" x14ac:dyDescent="0.25">
      <c r="B34" s="32">
        <v>46084</v>
      </c>
      <c r="C34" s="1" t="s">
        <v>78</v>
      </c>
      <c r="D34" s="1"/>
      <c r="E34" s="1">
        <v>6000</v>
      </c>
      <c r="F34" s="1"/>
      <c r="G34" s="16" t="s">
        <v>411</v>
      </c>
    </row>
    <row r="35" spans="2:7" ht="16.5" thickBot="1" x14ac:dyDescent="0.3">
      <c r="B35" s="17">
        <v>46084</v>
      </c>
      <c r="C35" s="18" t="s">
        <v>78</v>
      </c>
      <c r="D35" s="18"/>
      <c r="E35" s="18">
        <v>686</v>
      </c>
      <c r="F35" s="18"/>
      <c r="G35" s="27" t="s">
        <v>411</v>
      </c>
    </row>
  </sheetData>
  <pageMargins left="0.7" right="0.7" top="0.75" bottom="0.75" header="0.3" footer="0.3"/>
  <pageSetup paperSize="256" orientation="portrait" horizontalDpi="203" verticalDpi="203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27839B-04BC-445A-A4EE-E762A443225A}">
  <sheetPr codeName="Hoja8"/>
  <dimension ref="B1:G23"/>
  <sheetViews>
    <sheetView workbookViewId="0">
      <selection activeCell="E34" sqref="E34"/>
    </sheetView>
  </sheetViews>
  <sheetFormatPr baseColWidth="10" defaultRowHeight="15.75" x14ac:dyDescent="0.25"/>
  <cols>
    <col min="3" max="3" width="26.875" customWidth="1"/>
    <col min="6" max="6" width="21.75" customWidth="1"/>
    <col min="7" max="7" width="23" customWidth="1"/>
  </cols>
  <sheetData>
    <row r="1" spans="2:7" ht="16.5" thickBot="1" x14ac:dyDescent="0.3"/>
    <row r="2" spans="2:7" x14ac:dyDescent="0.25">
      <c r="B2" s="21" t="s">
        <v>0</v>
      </c>
      <c r="C2" s="22" t="s">
        <v>1</v>
      </c>
      <c r="D2" s="22" t="s">
        <v>2</v>
      </c>
      <c r="E2" s="22" t="s">
        <v>3</v>
      </c>
      <c r="F2" s="22" t="s">
        <v>4</v>
      </c>
      <c r="G2" s="23"/>
    </row>
    <row r="3" spans="2:7" x14ac:dyDescent="0.25">
      <c r="B3" s="14" t="s">
        <v>431</v>
      </c>
      <c r="C3" s="1" t="s">
        <v>432</v>
      </c>
      <c r="D3" s="1" t="s">
        <v>7</v>
      </c>
      <c r="E3" s="1">
        <v>5</v>
      </c>
      <c r="F3" s="1" t="s">
        <v>433</v>
      </c>
      <c r="G3" s="16" t="s">
        <v>434</v>
      </c>
    </row>
    <row r="4" spans="2:7" x14ac:dyDescent="0.25">
      <c r="B4" s="14" t="s">
        <v>431</v>
      </c>
      <c r="C4" s="1" t="s">
        <v>72</v>
      </c>
      <c r="D4" s="1" t="s">
        <v>7</v>
      </c>
      <c r="E4" s="1">
        <v>4.5</v>
      </c>
      <c r="F4" s="1" t="s">
        <v>435</v>
      </c>
      <c r="G4" s="16" t="s">
        <v>436</v>
      </c>
    </row>
    <row r="5" spans="2:7" x14ac:dyDescent="0.25">
      <c r="B5" s="29" t="s">
        <v>431</v>
      </c>
      <c r="C5" s="28" t="s">
        <v>248</v>
      </c>
      <c r="D5" s="28" t="s">
        <v>7</v>
      </c>
      <c r="E5" s="28">
        <v>-500</v>
      </c>
      <c r="F5" s="28" t="s">
        <v>437</v>
      </c>
      <c r="G5" s="30" t="s">
        <v>438</v>
      </c>
    </row>
    <row r="6" spans="2:7" x14ac:dyDescent="0.25">
      <c r="B6" s="14" t="s">
        <v>431</v>
      </c>
      <c r="C6" s="1" t="s">
        <v>75</v>
      </c>
      <c r="D6" s="1" t="s">
        <v>7</v>
      </c>
      <c r="E6" s="1">
        <v>5</v>
      </c>
      <c r="F6" s="1" t="s">
        <v>439</v>
      </c>
      <c r="G6" s="16" t="s">
        <v>440</v>
      </c>
    </row>
    <row r="7" spans="2:7" x14ac:dyDescent="0.25">
      <c r="B7" s="14" t="s">
        <v>431</v>
      </c>
      <c r="C7" s="1" t="s">
        <v>382</v>
      </c>
      <c r="D7" s="1" t="s">
        <v>7</v>
      </c>
      <c r="E7" s="1">
        <v>126</v>
      </c>
      <c r="F7" s="1" t="s">
        <v>441</v>
      </c>
      <c r="G7" s="16" t="s">
        <v>442</v>
      </c>
    </row>
    <row r="8" spans="2:7" x14ac:dyDescent="0.25">
      <c r="B8" s="14" t="s">
        <v>431</v>
      </c>
      <c r="C8" s="1" t="s">
        <v>443</v>
      </c>
      <c r="D8" s="1" t="s">
        <v>7</v>
      </c>
      <c r="E8" s="1">
        <v>126</v>
      </c>
      <c r="F8" s="1" t="s">
        <v>444</v>
      </c>
      <c r="G8" s="16" t="s">
        <v>445</v>
      </c>
    </row>
    <row r="9" spans="2:7" x14ac:dyDescent="0.25">
      <c r="B9" s="14" t="s">
        <v>431</v>
      </c>
      <c r="C9" s="1" t="s">
        <v>124</v>
      </c>
      <c r="D9" s="1" t="s">
        <v>7</v>
      </c>
      <c r="E9" s="1">
        <v>28</v>
      </c>
      <c r="F9" s="1" t="s">
        <v>446</v>
      </c>
      <c r="G9" s="16" t="s">
        <v>142</v>
      </c>
    </row>
    <row r="10" spans="2:7" x14ac:dyDescent="0.25">
      <c r="B10" s="14" t="s">
        <v>431</v>
      </c>
      <c r="C10" s="1" t="s">
        <v>124</v>
      </c>
      <c r="D10" s="1" t="s">
        <v>7</v>
      </c>
      <c r="E10" s="1">
        <v>9.1999999999999993</v>
      </c>
      <c r="F10" s="1" t="s">
        <v>447</v>
      </c>
      <c r="G10" s="16" t="s">
        <v>142</v>
      </c>
    </row>
    <row r="11" spans="2:7" x14ac:dyDescent="0.25">
      <c r="B11" s="14" t="s">
        <v>431</v>
      </c>
      <c r="C11" s="1" t="s">
        <v>23</v>
      </c>
      <c r="D11" s="1" t="s">
        <v>7</v>
      </c>
      <c r="E11" s="1">
        <v>2254</v>
      </c>
      <c r="F11" s="1" t="s">
        <v>448</v>
      </c>
      <c r="G11" s="16" t="s">
        <v>185</v>
      </c>
    </row>
    <row r="12" spans="2:7" x14ac:dyDescent="0.25">
      <c r="B12" s="14" t="s">
        <v>431</v>
      </c>
      <c r="C12" s="1" t="s">
        <v>240</v>
      </c>
      <c r="D12" s="1" t="s">
        <v>7</v>
      </c>
      <c r="E12" s="1">
        <v>16</v>
      </c>
      <c r="F12" s="1" t="s">
        <v>449</v>
      </c>
      <c r="G12" s="16" t="s">
        <v>450</v>
      </c>
    </row>
    <row r="13" spans="2:7" x14ac:dyDescent="0.25">
      <c r="B13" s="14" t="s">
        <v>431</v>
      </c>
      <c r="C13" s="1" t="s">
        <v>373</v>
      </c>
      <c r="D13" s="1" t="s">
        <v>7</v>
      </c>
      <c r="E13" s="1">
        <v>153</v>
      </c>
      <c r="F13" s="1" t="s">
        <v>451</v>
      </c>
      <c r="G13" s="16" t="s">
        <v>452</v>
      </c>
    </row>
    <row r="14" spans="2:7" x14ac:dyDescent="0.25">
      <c r="B14" s="14" t="s">
        <v>431</v>
      </c>
      <c r="C14" s="1" t="s">
        <v>453</v>
      </c>
      <c r="D14" s="1" t="s">
        <v>7</v>
      </c>
      <c r="E14" s="1">
        <v>31.5</v>
      </c>
      <c r="F14" s="1" t="s">
        <v>454</v>
      </c>
      <c r="G14" s="16" t="s">
        <v>455</v>
      </c>
    </row>
    <row r="15" spans="2:7" x14ac:dyDescent="0.25">
      <c r="B15" s="14" t="s">
        <v>431</v>
      </c>
      <c r="C15" s="1" t="s">
        <v>240</v>
      </c>
      <c r="D15" s="1" t="s">
        <v>7</v>
      </c>
      <c r="E15" s="1">
        <v>11</v>
      </c>
      <c r="F15" s="1" t="s">
        <v>456</v>
      </c>
      <c r="G15" s="16" t="s">
        <v>457</v>
      </c>
    </row>
    <row r="16" spans="2:7" x14ac:dyDescent="0.25">
      <c r="B16" s="14" t="s">
        <v>431</v>
      </c>
      <c r="C16" s="1" t="s">
        <v>122</v>
      </c>
      <c r="D16" s="1" t="s">
        <v>7</v>
      </c>
      <c r="E16" s="1">
        <v>63</v>
      </c>
      <c r="F16" s="1" t="s">
        <v>458</v>
      </c>
      <c r="G16" s="16" t="s">
        <v>459</v>
      </c>
    </row>
    <row r="17" spans="2:7" x14ac:dyDescent="0.25">
      <c r="B17" s="14" t="s">
        <v>431</v>
      </c>
      <c r="C17" s="1" t="s">
        <v>95</v>
      </c>
      <c r="D17" s="1" t="s">
        <v>7</v>
      </c>
      <c r="E17" s="1">
        <v>280</v>
      </c>
      <c r="F17" s="1" t="s">
        <v>460</v>
      </c>
      <c r="G17" s="16" t="s">
        <v>461</v>
      </c>
    </row>
    <row r="18" spans="2:7" x14ac:dyDescent="0.25">
      <c r="B18" s="14" t="s">
        <v>431</v>
      </c>
      <c r="C18" s="1" t="s">
        <v>17</v>
      </c>
      <c r="D18" s="1" t="s">
        <v>7</v>
      </c>
      <c r="E18" s="1">
        <v>3.5</v>
      </c>
      <c r="F18" s="1" t="s">
        <v>462</v>
      </c>
      <c r="G18" s="16" t="s">
        <v>463</v>
      </c>
    </row>
    <row r="19" spans="2:7" x14ac:dyDescent="0.25">
      <c r="B19" s="14" t="s">
        <v>431</v>
      </c>
      <c r="C19" s="1" t="s">
        <v>183</v>
      </c>
      <c r="D19" s="1" t="s">
        <v>7</v>
      </c>
      <c r="E19" s="1">
        <v>67</v>
      </c>
      <c r="F19" s="1" t="s">
        <v>464</v>
      </c>
      <c r="G19" s="16" t="s">
        <v>185</v>
      </c>
    </row>
    <row r="20" spans="2:7" x14ac:dyDescent="0.25">
      <c r="B20" s="14" t="s">
        <v>431</v>
      </c>
      <c r="C20" s="1" t="s">
        <v>465</v>
      </c>
      <c r="D20" s="1" t="s">
        <v>7</v>
      </c>
      <c r="E20" s="1">
        <v>100</v>
      </c>
      <c r="F20" s="1" t="s">
        <v>466</v>
      </c>
      <c r="G20" s="16" t="s">
        <v>467</v>
      </c>
    </row>
    <row r="21" spans="2:7" x14ac:dyDescent="0.25">
      <c r="B21" s="14" t="s">
        <v>431</v>
      </c>
      <c r="C21" s="1" t="s">
        <v>468</v>
      </c>
      <c r="D21" s="1" t="s">
        <v>7</v>
      </c>
      <c r="E21" s="1">
        <v>250</v>
      </c>
      <c r="F21" s="1" t="s">
        <v>469</v>
      </c>
      <c r="G21" s="16" t="s">
        <v>470</v>
      </c>
    </row>
    <row r="22" spans="2:7" x14ac:dyDescent="0.25">
      <c r="B22" s="14" t="s">
        <v>431</v>
      </c>
      <c r="C22" s="1" t="s">
        <v>468</v>
      </c>
      <c r="D22" s="1" t="s">
        <v>7</v>
      </c>
      <c r="E22" s="1">
        <v>500</v>
      </c>
      <c r="F22" s="1" t="s">
        <v>471</v>
      </c>
      <c r="G22" s="16" t="s">
        <v>470</v>
      </c>
    </row>
    <row r="23" spans="2:7" ht="16.5" thickBot="1" x14ac:dyDescent="0.3">
      <c r="B23" s="25" t="s">
        <v>431</v>
      </c>
      <c r="C23" s="18" t="s">
        <v>472</v>
      </c>
      <c r="D23" s="18" t="s">
        <v>7</v>
      </c>
      <c r="E23" s="18">
        <v>2160</v>
      </c>
      <c r="F23" s="18" t="s">
        <v>473</v>
      </c>
      <c r="G23" s="27" t="s">
        <v>52</v>
      </c>
    </row>
  </sheetData>
  <pageMargins left="0.7" right="0.7" top="0.75" bottom="0.75" header="0.3" footer="0.3"/>
  <pageSetup paperSize="256" orientation="portrait" horizontalDpi="203" verticalDpi="203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D3AFE4-5025-4953-8FA7-86877CDC4AAA}">
  <sheetPr codeName="Hoja9"/>
  <dimension ref="B1:G33"/>
  <sheetViews>
    <sheetView topLeftCell="A4" workbookViewId="0">
      <selection activeCell="B24" sqref="B24:G24"/>
    </sheetView>
  </sheetViews>
  <sheetFormatPr baseColWidth="10" defaultRowHeight="15.75" x14ac:dyDescent="0.25"/>
  <cols>
    <col min="2" max="2" width="11" style="3"/>
    <col min="3" max="3" width="28.125" style="3" customWidth="1"/>
    <col min="4" max="4" width="11" style="3"/>
    <col min="5" max="5" width="11.75" style="3" customWidth="1"/>
    <col min="6" max="6" width="24.25" style="3" customWidth="1"/>
    <col min="7" max="7" width="28.125" style="3" bestFit="1" customWidth="1"/>
  </cols>
  <sheetData>
    <row r="1" spans="2:7" ht="16.5" thickBot="1" x14ac:dyDescent="0.3"/>
    <row r="2" spans="2:7" x14ac:dyDescent="0.25">
      <c r="B2" s="21" t="s">
        <v>0</v>
      </c>
      <c r="C2" s="22" t="s">
        <v>1</v>
      </c>
      <c r="D2" s="22" t="s">
        <v>2</v>
      </c>
      <c r="E2" s="22" t="s">
        <v>3</v>
      </c>
      <c r="F2" s="22" t="s">
        <v>4</v>
      </c>
      <c r="G2" s="23"/>
    </row>
    <row r="3" spans="2:7" x14ac:dyDescent="0.25">
      <c r="B3" s="14" t="s">
        <v>474</v>
      </c>
      <c r="C3" s="1" t="s">
        <v>240</v>
      </c>
      <c r="D3" s="1" t="s">
        <v>7</v>
      </c>
      <c r="E3" s="1">
        <v>22.5</v>
      </c>
      <c r="F3" s="1" t="s">
        <v>475</v>
      </c>
      <c r="G3" s="16" t="s">
        <v>542</v>
      </c>
    </row>
    <row r="4" spans="2:7" x14ac:dyDescent="0.25">
      <c r="B4" s="14" t="s">
        <v>474</v>
      </c>
      <c r="C4" s="1" t="s">
        <v>17</v>
      </c>
      <c r="D4" s="1" t="s">
        <v>7</v>
      </c>
      <c r="E4" s="1">
        <v>5.5</v>
      </c>
      <c r="F4" s="1" t="s">
        <v>476</v>
      </c>
      <c r="G4" s="16" t="s">
        <v>545</v>
      </c>
    </row>
    <row r="5" spans="2:7" x14ac:dyDescent="0.25">
      <c r="B5" s="14" t="s">
        <v>474</v>
      </c>
      <c r="C5" s="1" t="s">
        <v>240</v>
      </c>
      <c r="D5" s="1" t="s">
        <v>7</v>
      </c>
      <c r="E5" s="1">
        <v>45</v>
      </c>
      <c r="F5" s="1" t="s">
        <v>477</v>
      </c>
      <c r="G5" s="16" t="s">
        <v>541</v>
      </c>
    </row>
    <row r="6" spans="2:7" x14ac:dyDescent="0.25">
      <c r="B6" s="14" t="s">
        <v>474</v>
      </c>
      <c r="C6" s="1" t="s">
        <v>17</v>
      </c>
      <c r="D6" s="1" t="s">
        <v>7</v>
      </c>
      <c r="E6" s="1">
        <v>8.5</v>
      </c>
      <c r="F6" s="1" t="s">
        <v>478</v>
      </c>
      <c r="G6" s="16" t="s">
        <v>539</v>
      </c>
    </row>
    <row r="7" spans="2:7" x14ac:dyDescent="0.25">
      <c r="B7" s="14" t="s">
        <v>474</v>
      </c>
      <c r="C7" s="1" t="s">
        <v>360</v>
      </c>
      <c r="D7" s="1" t="s">
        <v>7</v>
      </c>
      <c r="E7" s="1">
        <v>20</v>
      </c>
      <c r="F7" s="1" t="s">
        <v>479</v>
      </c>
      <c r="G7" s="16" t="s">
        <v>538</v>
      </c>
    </row>
    <row r="8" spans="2:7" x14ac:dyDescent="0.25">
      <c r="B8" s="14" t="s">
        <v>474</v>
      </c>
      <c r="C8" s="1" t="s">
        <v>248</v>
      </c>
      <c r="D8" s="1" t="s">
        <v>7</v>
      </c>
      <c r="E8" s="1">
        <v>-123.2</v>
      </c>
      <c r="F8" s="1" t="s">
        <v>480</v>
      </c>
      <c r="G8" s="16" t="s">
        <v>551</v>
      </c>
    </row>
    <row r="9" spans="2:7" x14ac:dyDescent="0.25">
      <c r="B9" s="14" t="s">
        <v>474</v>
      </c>
      <c r="C9" s="1" t="s">
        <v>6</v>
      </c>
      <c r="D9" s="1" t="s">
        <v>7</v>
      </c>
      <c r="E9" s="1">
        <v>444</v>
      </c>
      <c r="F9" s="1" t="s">
        <v>481</v>
      </c>
      <c r="G9" s="16" t="s">
        <v>537</v>
      </c>
    </row>
    <row r="10" spans="2:7" x14ac:dyDescent="0.25">
      <c r="B10" s="14" t="s">
        <v>474</v>
      </c>
      <c r="C10" s="1" t="s">
        <v>23</v>
      </c>
      <c r="D10" s="1" t="s">
        <v>7</v>
      </c>
      <c r="E10" s="1">
        <v>164</v>
      </c>
      <c r="F10" s="1" t="s">
        <v>482</v>
      </c>
      <c r="G10" s="16" t="s">
        <v>645</v>
      </c>
    </row>
    <row r="11" spans="2:7" x14ac:dyDescent="0.25">
      <c r="B11" s="14" t="s">
        <v>474</v>
      </c>
      <c r="C11" s="1" t="s">
        <v>299</v>
      </c>
      <c r="D11" s="1" t="s">
        <v>7</v>
      </c>
      <c r="E11" s="1">
        <v>10</v>
      </c>
      <c r="F11" s="1" t="s">
        <v>483</v>
      </c>
      <c r="G11" s="16" t="s">
        <v>536</v>
      </c>
    </row>
    <row r="12" spans="2:7" x14ac:dyDescent="0.25">
      <c r="B12" s="14" t="s">
        <v>474</v>
      </c>
      <c r="C12" s="1" t="s">
        <v>183</v>
      </c>
      <c r="D12" s="1" t="s">
        <v>7</v>
      </c>
      <c r="E12" s="1">
        <v>40</v>
      </c>
      <c r="F12" s="1" t="s">
        <v>484</v>
      </c>
      <c r="G12" s="16" t="s">
        <v>540</v>
      </c>
    </row>
    <row r="13" spans="2:7" x14ac:dyDescent="0.25">
      <c r="B13" s="14" t="s">
        <v>474</v>
      </c>
      <c r="C13" s="1" t="s">
        <v>485</v>
      </c>
      <c r="D13" s="1" t="s">
        <v>7</v>
      </c>
      <c r="E13" s="1">
        <v>42</v>
      </c>
      <c r="F13" s="1" t="s">
        <v>486</v>
      </c>
      <c r="G13" s="16" t="s">
        <v>535</v>
      </c>
    </row>
    <row r="14" spans="2:7" x14ac:dyDescent="0.25">
      <c r="B14" s="14" t="s">
        <v>474</v>
      </c>
      <c r="C14" s="1" t="s">
        <v>33</v>
      </c>
      <c r="D14" s="1" t="s">
        <v>7</v>
      </c>
      <c r="E14" s="1">
        <v>67</v>
      </c>
      <c r="F14" s="1" t="s">
        <v>487</v>
      </c>
      <c r="G14" s="16" t="s">
        <v>534</v>
      </c>
    </row>
    <row r="15" spans="2:7" x14ac:dyDescent="0.25">
      <c r="B15" s="14" t="s">
        <v>474</v>
      </c>
      <c r="C15" s="1" t="s">
        <v>23</v>
      </c>
      <c r="D15" s="1" t="s">
        <v>7</v>
      </c>
      <c r="E15" s="1">
        <v>629</v>
      </c>
      <c r="F15" s="1" t="s">
        <v>488</v>
      </c>
      <c r="G15" s="16" t="s">
        <v>544</v>
      </c>
    </row>
    <row r="16" spans="2:7" x14ac:dyDescent="0.25">
      <c r="B16" s="14" t="s">
        <v>474</v>
      </c>
      <c r="C16" s="1" t="s">
        <v>489</v>
      </c>
      <c r="D16" s="1" t="s">
        <v>7</v>
      </c>
      <c r="E16" s="1">
        <v>100</v>
      </c>
      <c r="F16" s="1" t="s">
        <v>490</v>
      </c>
      <c r="G16" s="16" t="s">
        <v>533</v>
      </c>
    </row>
    <row r="17" spans="2:7" x14ac:dyDescent="0.25">
      <c r="B17" s="14" t="s">
        <v>474</v>
      </c>
      <c r="C17" s="1" t="s">
        <v>23</v>
      </c>
      <c r="D17" s="1" t="s">
        <v>7</v>
      </c>
      <c r="E17" s="1">
        <v>450</v>
      </c>
      <c r="F17" s="1" t="s">
        <v>491</v>
      </c>
      <c r="G17" s="16" t="s">
        <v>575</v>
      </c>
    </row>
    <row r="18" spans="2:7" x14ac:dyDescent="0.25">
      <c r="B18" s="14" t="s">
        <v>474</v>
      </c>
      <c r="C18" s="1" t="s">
        <v>23</v>
      </c>
      <c r="D18" s="1" t="s">
        <v>7</v>
      </c>
      <c r="E18" s="1">
        <v>240</v>
      </c>
      <c r="F18" s="1" t="s">
        <v>492</v>
      </c>
      <c r="G18" s="16" t="s">
        <v>575</v>
      </c>
    </row>
    <row r="19" spans="2:7" x14ac:dyDescent="0.25">
      <c r="B19" s="14" t="s">
        <v>474</v>
      </c>
      <c r="C19" s="1" t="s">
        <v>23</v>
      </c>
      <c r="D19" s="1" t="s">
        <v>7</v>
      </c>
      <c r="E19" s="1">
        <v>1698.1</v>
      </c>
      <c r="F19" s="1" t="s">
        <v>493</v>
      </c>
      <c r="G19" s="16" t="s">
        <v>575</v>
      </c>
    </row>
    <row r="20" spans="2:7" x14ac:dyDescent="0.25">
      <c r="B20" s="14" t="s">
        <v>474</v>
      </c>
      <c r="C20" s="1" t="s">
        <v>343</v>
      </c>
      <c r="D20" s="1" t="s">
        <v>7</v>
      </c>
      <c r="E20" s="1">
        <v>29</v>
      </c>
      <c r="F20" s="1" t="s">
        <v>494</v>
      </c>
      <c r="G20" s="16" t="s">
        <v>543</v>
      </c>
    </row>
    <row r="21" spans="2:7" x14ac:dyDescent="0.25">
      <c r="B21" s="14" t="s">
        <v>474</v>
      </c>
      <c r="C21" s="1" t="s">
        <v>495</v>
      </c>
      <c r="D21" s="1" t="s">
        <v>7</v>
      </c>
      <c r="E21" s="1">
        <v>46.5</v>
      </c>
      <c r="F21" s="1" t="s">
        <v>496</v>
      </c>
      <c r="G21" s="16" t="s">
        <v>532</v>
      </c>
    </row>
    <row r="22" spans="2:7" x14ac:dyDescent="0.25">
      <c r="B22" s="14" t="s">
        <v>474</v>
      </c>
      <c r="C22" s="1" t="s">
        <v>33</v>
      </c>
      <c r="D22" s="1" t="s">
        <v>7</v>
      </c>
      <c r="E22" s="1">
        <v>23.4</v>
      </c>
      <c r="F22" s="1" t="s">
        <v>497</v>
      </c>
      <c r="G22" s="16" t="s">
        <v>531</v>
      </c>
    </row>
    <row r="23" spans="2:7" x14ac:dyDescent="0.25">
      <c r="B23" s="14" t="s">
        <v>474</v>
      </c>
      <c r="C23" s="1" t="s">
        <v>23</v>
      </c>
      <c r="D23" s="1" t="s">
        <v>7</v>
      </c>
      <c r="E23" s="1">
        <v>440.8</v>
      </c>
      <c r="F23" s="1" t="s">
        <v>498</v>
      </c>
      <c r="G23" s="16" t="s">
        <v>68</v>
      </c>
    </row>
    <row r="24" spans="2:7" x14ac:dyDescent="0.25">
      <c r="B24" s="33" t="s">
        <v>474</v>
      </c>
      <c r="C24" s="4" t="s">
        <v>499</v>
      </c>
      <c r="D24" s="4" t="s">
        <v>7</v>
      </c>
      <c r="E24" s="4">
        <v>60</v>
      </c>
      <c r="F24" s="4" t="s">
        <v>500</v>
      </c>
      <c r="G24" s="34"/>
    </row>
    <row r="25" spans="2:7" x14ac:dyDescent="0.25">
      <c r="B25" s="14" t="s">
        <v>474</v>
      </c>
      <c r="C25" s="1" t="s">
        <v>489</v>
      </c>
      <c r="D25" s="1" t="s">
        <v>7</v>
      </c>
      <c r="E25" s="1">
        <v>212</v>
      </c>
      <c r="F25" s="1" t="s">
        <v>501</v>
      </c>
      <c r="G25" s="16" t="s">
        <v>550</v>
      </c>
    </row>
    <row r="26" spans="2:7" x14ac:dyDescent="0.25">
      <c r="B26" s="14" t="s">
        <v>474</v>
      </c>
      <c r="C26" s="1" t="s">
        <v>122</v>
      </c>
      <c r="D26" s="1" t="s">
        <v>7</v>
      </c>
      <c r="E26" s="1">
        <v>48</v>
      </c>
      <c r="F26" s="1" t="s">
        <v>502</v>
      </c>
      <c r="G26" s="16" t="s">
        <v>549</v>
      </c>
    </row>
    <row r="27" spans="2:7" x14ac:dyDescent="0.25">
      <c r="B27" s="14" t="s">
        <v>474</v>
      </c>
      <c r="C27" s="1" t="s">
        <v>124</v>
      </c>
      <c r="D27" s="1" t="s">
        <v>7</v>
      </c>
      <c r="E27" s="1">
        <v>18.399999999999999</v>
      </c>
      <c r="F27" s="1" t="s">
        <v>503</v>
      </c>
      <c r="G27" s="16" t="s">
        <v>142</v>
      </c>
    </row>
    <row r="28" spans="2:7" x14ac:dyDescent="0.25">
      <c r="B28" s="14" t="s">
        <v>474</v>
      </c>
      <c r="C28" s="1" t="s">
        <v>23</v>
      </c>
      <c r="D28" s="1" t="s">
        <v>7</v>
      </c>
      <c r="E28" s="1">
        <v>1400</v>
      </c>
      <c r="F28" s="1" t="s">
        <v>504</v>
      </c>
      <c r="G28" s="16" t="s">
        <v>548</v>
      </c>
    </row>
    <row r="29" spans="2:7" x14ac:dyDescent="0.25">
      <c r="B29" s="14" t="s">
        <v>474</v>
      </c>
      <c r="C29" s="1" t="s">
        <v>23</v>
      </c>
      <c r="D29" s="1" t="s">
        <v>7</v>
      </c>
      <c r="E29" s="1">
        <v>717</v>
      </c>
      <c r="F29" s="1" t="s">
        <v>505</v>
      </c>
      <c r="G29" s="16" t="s">
        <v>546</v>
      </c>
    </row>
    <row r="30" spans="2:7" x14ac:dyDescent="0.25">
      <c r="B30" s="14" t="s">
        <v>474</v>
      </c>
      <c r="C30" s="1" t="s">
        <v>23</v>
      </c>
      <c r="D30" s="1" t="s">
        <v>7</v>
      </c>
      <c r="E30" s="1">
        <v>900</v>
      </c>
      <c r="F30" s="1" t="s">
        <v>506</v>
      </c>
      <c r="G30" s="16" t="s">
        <v>552</v>
      </c>
    </row>
    <row r="31" spans="2:7" x14ac:dyDescent="0.25">
      <c r="B31" s="14" t="s">
        <v>474</v>
      </c>
      <c r="C31" s="1" t="s">
        <v>240</v>
      </c>
      <c r="D31" s="1" t="s">
        <v>7</v>
      </c>
      <c r="E31" s="1">
        <v>21</v>
      </c>
      <c r="F31" s="1" t="s">
        <v>507</v>
      </c>
      <c r="G31" s="16" t="s">
        <v>542</v>
      </c>
    </row>
    <row r="32" spans="2:7" x14ac:dyDescent="0.25">
      <c r="B32" s="14"/>
      <c r="C32" s="1"/>
      <c r="D32" s="1"/>
      <c r="E32" s="1"/>
      <c r="F32" s="1"/>
      <c r="G32" s="16"/>
    </row>
    <row r="33" spans="2:7" ht="16.5" thickBot="1" x14ac:dyDescent="0.3">
      <c r="B33" s="17">
        <v>46086</v>
      </c>
      <c r="C33" s="18"/>
      <c r="D33" s="18"/>
      <c r="E33" s="18">
        <v>425</v>
      </c>
      <c r="F33" s="18"/>
      <c r="G33" s="27" t="s">
        <v>547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BCC35A-7488-4A9E-97BF-129640D3AB7B}">
  <sheetPr codeName="Hoja10"/>
  <dimension ref="B1:G35"/>
  <sheetViews>
    <sheetView workbookViewId="0">
      <selection activeCell="G21" sqref="G21"/>
    </sheetView>
  </sheetViews>
  <sheetFormatPr baseColWidth="10" defaultRowHeight="15.75" x14ac:dyDescent="0.25"/>
  <cols>
    <col min="2" max="2" width="11" style="3"/>
    <col min="3" max="3" width="29.75" style="3" customWidth="1"/>
    <col min="4" max="5" width="11" style="3"/>
    <col min="6" max="6" width="22.625" style="3" customWidth="1"/>
    <col min="7" max="7" width="46" style="3" customWidth="1"/>
  </cols>
  <sheetData>
    <row r="1" spans="2:7" ht="16.5" thickBot="1" x14ac:dyDescent="0.3"/>
    <row r="2" spans="2:7" x14ac:dyDescent="0.25">
      <c r="B2" s="11" t="s">
        <v>0</v>
      </c>
      <c r="C2" s="12" t="s">
        <v>1</v>
      </c>
      <c r="D2" s="12" t="s">
        <v>2</v>
      </c>
      <c r="E2" s="12" t="s">
        <v>3</v>
      </c>
      <c r="F2" s="12" t="s">
        <v>4</v>
      </c>
      <c r="G2" s="13"/>
    </row>
    <row r="3" spans="2:7" x14ac:dyDescent="0.25">
      <c r="B3" s="14" t="s">
        <v>508</v>
      </c>
      <c r="C3" s="1" t="s">
        <v>509</v>
      </c>
      <c r="D3" s="1" t="s">
        <v>7</v>
      </c>
      <c r="E3" s="1">
        <v>28</v>
      </c>
      <c r="F3" s="1" t="s">
        <v>510</v>
      </c>
      <c r="G3" s="37" t="s">
        <v>558</v>
      </c>
    </row>
    <row r="4" spans="2:7" x14ac:dyDescent="0.25">
      <c r="B4" s="14" t="s">
        <v>508</v>
      </c>
      <c r="C4" s="1" t="s">
        <v>122</v>
      </c>
      <c r="D4" s="1" t="s">
        <v>7</v>
      </c>
      <c r="E4" s="1">
        <v>59</v>
      </c>
      <c r="F4" s="1" t="s">
        <v>511</v>
      </c>
      <c r="G4" s="37" t="s">
        <v>549</v>
      </c>
    </row>
    <row r="5" spans="2:7" x14ac:dyDescent="0.25">
      <c r="B5" s="14" t="s">
        <v>508</v>
      </c>
      <c r="C5" s="1" t="s">
        <v>343</v>
      </c>
      <c r="D5" s="1" t="s">
        <v>7</v>
      </c>
      <c r="E5" s="1">
        <v>0.5</v>
      </c>
      <c r="F5" s="1" t="s">
        <v>512</v>
      </c>
      <c r="G5" s="37" t="s">
        <v>559</v>
      </c>
    </row>
    <row r="6" spans="2:7" x14ac:dyDescent="0.25">
      <c r="B6" s="14" t="s">
        <v>508</v>
      </c>
      <c r="C6" s="1" t="s">
        <v>343</v>
      </c>
      <c r="D6" s="1" t="s">
        <v>7</v>
      </c>
      <c r="E6" s="1">
        <v>500</v>
      </c>
      <c r="F6" s="1" t="s">
        <v>513</v>
      </c>
      <c r="G6" s="37" t="s">
        <v>559</v>
      </c>
    </row>
    <row r="7" spans="2:7" x14ac:dyDescent="0.25">
      <c r="B7" s="38" t="s">
        <v>508</v>
      </c>
      <c r="C7" s="36" t="s">
        <v>514</v>
      </c>
      <c r="D7" s="36" t="s">
        <v>7</v>
      </c>
      <c r="E7" s="36">
        <v>27047.4</v>
      </c>
      <c r="F7" s="36" t="s">
        <v>515</v>
      </c>
      <c r="G7" s="20" t="s">
        <v>560</v>
      </c>
    </row>
    <row r="8" spans="2:7" x14ac:dyDescent="0.25">
      <c r="B8" s="14" t="s">
        <v>508</v>
      </c>
      <c r="C8" s="1" t="s">
        <v>516</v>
      </c>
      <c r="D8" s="1" t="s">
        <v>7</v>
      </c>
      <c r="E8" s="1">
        <v>83.5</v>
      </c>
      <c r="F8" s="1" t="s">
        <v>517</v>
      </c>
      <c r="G8" s="37" t="s">
        <v>557</v>
      </c>
    </row>
    <row r="9" spans="2:7" x14ac:dyDescent="0.25">
      <c r="B9" s="14" t="s">
        <v>508</v>
      </c>
      <c r="C9" s="1" t="s">
        <v>360</v>
      </c>
      <c r="D9" s="1" t="s">
        <v>7</v>
      </c>
      <c r="E9" s="1">
        <v>45</v>
      </c>
      <c r="F9" s="1" t="s">
        <v>518</v>
      </c>
      <c r="G9" s="37" t="s">
        <v>556</v>
      </c>
    </row>
    <row r="10" spans="2:7" x14ac:dyDescent="0.25">
      <c r="B10" s="14" t="s">
        <v>508</v>
      </c>
      <c r="C10" s="1" t="s">
        <v>519</v>
      </c>
      <c r="D10" s="1" t="s">
        <v>7</v>
      </c>
      <c r="E10" s="1">
        <v>27</v>
      </c>
      <c r="F10" s="1" t="s">
        <v>520</v>
      </c>
      <c r="G10" s="37" t="s">
        <v>561</v>
      </c>
    </row>
    <row r="11" spans="2:7" x14ac:dyDescent="0.25">
      <c r="B11" s="14" t="s">
        <v>508</v>
      </c>
      <c r="C11" s="1" t="s">
        <v>521</v>
      </c>
      <c r="D11" s="1" t="s">
        <v>7</v>
      </c>
      <c r="E11" s="1">
        <v>4.5</v>
      </c>
      <c r="F11" s="1" t="s">
        <v>522</v>
      </c>
      <c r="G11" s="37" t="s">
        <v>555</v>
      </c>
    </row>
    <row r="12" spans="2:7" x14ac:dyDescent="0.25">
      <c r="B12" s="14" t="s">
        <v>508</v>
      </c>
      <c r="C12" s="1" t="s">
        <v>523</v>
      </c>
      <c r="D12" s="1" t="s">
        <v>7</v>
      </c>
      <c r="E12" s="1">
        <v>10</v>
      </c>
      <c r="F12" s="1" t="s">
        <v>524</v>
      </c>
      <c r="G12" s="37" t="s">
        <v>584</v>
      </c>
    </row>
    <row r="13" spans="2:7" x14ac:dyDescent="0.25">
      <c r="B13" s="14" t="s">
        <v>508</v>
      </c>
      <c r="C13" s="1" t="s">
        <v>523</v>
      </c>
      <c r="D13" s="1" t="s">
        <v>7</v>
      </c>
      <c r="E13" s="1">
        <v>10</v>
      </c>
      <c r="F13" s="1" t="s">
        <v>525</v>
      </c>
      <c r="G13" s="37" t="s">
        <v>583</v>
      </c>
    </row>
    <row r="14" spans="2:7" x14ac:dyDescent="0.25">
      <c r="B14" s="14" t="s">
        <v>508</v>
      </c>
      <c r="C14" s="1" t="s">
        <v>523</v>
      </c>
      <c r="D14" s="1" t="s">
        <v>7</v>
      </c>
      <c r="E14" s="1">
        <v>83.5</v>
      </c>
      <c r="F14" s="1" t="s">
        <v>526</v>
      </c>
      <c r="G14" s="37" t="s">
        <v>583</v>
      </c>
    </row>
    <row r="15" spans="2:7" x14ac:dyDescent="0.25">
      <c r="B15" s="14" t="s">
        <v>508</v>
      </c>
      <c r="C15" s="1" t="s">
        <v>23</v>
      </c>
      <c r="D15" s="1" t="s">
        <v>7</v>
      </c>
      <c r="E15" s="1">
        <v>2498</v>
      </c>
      <c r="F15" s="1" t="s">
        <v>527</v>
      </c>
      <c r="G15" s="37" t="s">
        <v>185</v>
      </c>
    </row>
    <row r="16" spans="2:7" x14ac:dyDescent="0.25">
      <c r="B16" s="14" t="s">
        <v>508</v>
      </c>
      <c r="C16" s="1" t="s">
        <v>178</v>
      </c>
      <c r="D16" s="1" t="s">
        <v>7</v>
      </c>
      <c r="E16" s="1">
        <v>26</v>
      </c>
      <c r="F16" s="1" t="s">
        <v>528</v>
      </c>
      <c r="G16" s="37" t="s">
        <v>554</v>
      </c>
    </row>
    <row r="17" spans="2:7" x14ac:dyDescent="0.25">
      <c r="B17" s="14" t="s">
        <v>508</v>
      </c>
      <c r="C17" s="1" t="s">
        <v>9</v>
      </c>
      <c r="D17" s="1" t="s">
        <v>7</v>
      </c>
      <c r="E17" s="1">
        <v>101</v>
      </c>
      <c r="F17" s="1" t="s">
        <v>529</v>
      </c>
      <c r="G17" s="37" t="s">
        <v>553</v>
      </c>
    </row>
    <row r="18" spans="2:7" x14ac:dyDescent="0.25">
      <c r="B18" s="14" t="s">
        <v>508</v>
      </c>
      <c r="C18" s="1" t="s">
        <v>9</v>
      </c>
      <c r="D18" s="1" t="s">
        <v>7</v>
      </c>
      <c r="E18" s="1">
        <v>400</v>
      </c>
      <c r="F18" s="1" t="s">
        <v>530</v>
      </c>
      <c r="G18" s="37" t="s">
        <v>553</v>
      </c>
    </row>
    <row r="19" spans="2:7" x14ac:dyDescent="0.25">
      <c r="B19" s="14" t="s">
        <v>508</v>
      </c>
      <c r="C19" s="1" t="s">
        <v>382</v>
      </c>
      <c r="D19" s="1" t="s">
        <v>7</v>
      </c>
      <c r="E19" s="1">
        <v>200</v>
      </c>
      <c r="F19" s="1" t="s">
        <v>562</v>
      </c>
      <c r="G19" s="37" t="s">
        <v>582</v>
      </c>
    </row>
    <row r="20" spans="2:7" x14ac:dyDescent="0.25">
      <c r="B20" s="14" t="s">
        <v>508</v>
      </c>
      <c r="C20" s="1" t="s">
        <v>33</v>
      </c>
      <c r="D20" s="1" t="s">
        <v>7</v>
      </c>
      <c r="E20" s="1">
        <v>52</v>
      </c>
      <c r="F20" s="1" t="s">
        <v>563</v>
      </c>
      <c r="G20" s="37" t="s">
        <v>582</v>
      </c>
    </row>
    <row r="21" spans="2:7" x14ac:dyDescent="0.25">
      <c r="B21" s="29" t="s">
        <v>508</v>
      </c>
      <c r="C21" s="28" t="s">
        <v>564</v>
      </c>
      <c r="D21" s="28" t="s">
        <v>7</v>
      </c>
      <c r="E21" s="28">
        <v>-40</v>
      </c>
      <c r="F21" s="28" t="s">
        <v>565</v>
      </c>
      <c r="G21" s="40" t="s">
        <v>581</v>
      </c>
    </row>
    <row r="22" spans="2:7" x14ac:dyDescent="0.25">
      <c r="B22" s="29" t="s">
        <v>508</v>
      </c>
      <c r="C22" s="28" t="s">
        <v>564</v>
      </c>
      <c r="D22" s="28" t="s">
        <v>7</v>
      </c>
      <c r="E22" s="28">
        <v>-500</v>
      </c>
      <c r="F22" s="28" t="s">
        <v>566</v>
      </c>
      <c r="G22" s="40" t="s">
        <v>581</v>
      </c>
    </row>
    <row r="23" spans="2:7" x14ac:dyDescent="0.25">
      <c r="B23" s="14" t="s">
        <v>508</v>
      </c>
      <c r="C23" s="1" t="s">
        <v>33</v>
      </c>
      <c r="D23" s="1" t="s">
        <v>7</v>
      </c>
      <c r="E23" s="1">
        <v>80</v>
      </c>
      <c r="F23" s="1" t="s">
        <v>567</v>
      </c>
      <c r="G23" s="37" t="s">
        <v>585</v>
      </c>
    </row>
    <row r="24" spans="2:7" x14ac:dyDescent="0.25">
      <c r="B24" s="14" t="s">
        <v>508</v>
      </c>
      <c r="C24" s="1" t="s">
        <v>190</v>
      </c>
      <c r="D24" s="1" t="s">
        <v>7</v>
      </c>
      <c r="E24" s="1">
        <v>3</v>
      </c>
      <c r="F24" s="1" t="s">
        <v>568</v>
      </c>
      <c r="G24" s="37" t="s">
        <v>580</v>
      </c>
    </row>
    <row r="25" spans="2:7" x14ac:dyDescent="0.25">
      <c r="B25" s="14" t="s">
        <v>508</v>
      </c>
      <c r="C25" s="1" t="s">
        <v>370</v>
      </c>
      <c r="D25" s="1" t="s">
        <v>7</v>
      </c>
      <c r="E25" s="1">
        <v>3</v>
      </c>
      <c r="F25" s="1" t="s">
        <v>569</v>
      </c>
      <c r="G25" s="37" t="s">
        <v>579</v>
      </c>
    </row>
    <row r="26" spans="2:7" x14ac:dyDescent="0.25">
      <c r="B26" s="14" t="s">
        <v>508</v>
      </c>
      <c r="C26" s="1" t="s">
        <v>33</v>
      </c>
      <c r="D26" s="1" t="s">
        <v>7</v>
      </c>
      <c r="E26" s="1">
        <v>4</v>
      </c>
      <c r="F26" s="1" t="s">
        <v>570</v>
      </c>
      <c r="G26" s="37" t="s">
        <v>578</v>
      </c>
    </row>
    <row r="27" spans="2:7" x14ac:dyDescent="0.25">
      <c r="B27" s="14" t="s">
        <v>508</v>
      </c>
      <c r="C27" s="1" t="s">
        <v>382</v>
      </c>
      <c r="D27" s="1" t="s">
        <v>7</v>
      </c>
      <c r="E27" s="1">
        <v>22.5</v>
      </c>
      <c r="F27" s="1" t="s">
        <v>571</v>
      </c>
      <c r="G27" s="37" t="s">
        <v>586</v>
      </c>
    </row>
    <row r="28" spans="2:7" x14ac:dyDescent="0.25">
      <c r="B28" s="14" t="s">
        <v>508</v>
      </c>
      <c r="C28" s="1" t="s">
        <v>269</v>
      </c>
      <c r="D28" s="1" t="s">
        <v>7</v>
      </c>
      <c r="E28" s="1">
        <v>14</v>
      </c>
      <c r="F28" s="1" t="s">
        <v>572</v>
      </c>
      <c r="G28" s="37" t="s">
        <v>577</v>
      </c>
    </row>
    <row r="29" spans="2:7" x14ac:dyDescent="0.25">
      <c r="B29" s="14" t="s">
        <v>508</v>
      </c>
      <c r="C29" s="1" t="s">
        <v>6</v>
      </c>
      <c r="D29" s="1" t="s">
        <v>7</v>
      </c>
      <c r="E29" s="1">
        <v>10</v>
      </c>
      <c r="F29" s="1" t="s">
        <v>573</v>
      </c>
      <c r="G29" s="37" t="s">
        <v>52</v>
      </c>
    </row>
    <row r="30" spans="2:7" x14ac:dyDescent="0.25">
      <c r="B30" s="14" t="s">
        <v>508</v>
      </c>
      <c r="C30" s="1" t="s">
        <v>15</v>
      </c>
      <c r="D30" s="1" t="s">
        <v>7</v>
      </c>
      <c r="E30" s="1">
        <v>5000</v>
      </c>
      <c r="F30" s="1" t="s">
        <v>574</v>
      </c>
      <c r="G30" s="37" t="s">
        <v>576</v>
      </c>
    </row>
    <row r="31" spans="2:7" x14ac:dyDescent="0.25">
      <c r="B31" s="14" t="s">
        <v>508</v>
      </c>
      <c r="C31" s="1" t="s">
        <v>23</v>
      </c>
      <c r="D31" s="1" t="s">
        <v>7</v>
      </c>
      <c r="E31" s="1">
        <v>1257</v>
      </c>
      <c r="F31" s="1" t="s">
        <v>587</v>
      </c>
      <c r="G31" s="37" t="s">
        <v>589</v>
      </c>
    </row>
    <row r="32" spans="2:7" ht="16.5" thickBot="1" x14ac:dyDescent="0.3">
      <c r="B32" s="25" t="s">
        <v>508</v>
      </c>
      <c r="C32" s="18" t="s">
        <v>23</v>
      </c>
      <c r="D32" s="18" t="s">
        <v>7</v>
      </c>
      <c r="E32" s="18">
        <v>1125</v>
      </c>
      <c r="F32" s="18" t="s">
        <v>588</v>
      </c>
      <c r="G32" s="39" t="s">
        <v>590</v>
      </c>
    </row>
    <row r="34" spans="3:5" x14ac:dyDescent="0.25">
      <c r="C34" s="35" t="s">
        <v>78</v>
      </c>
      <c r="D34" s="35"/>
      <c r="E34" s="35">
        <v>500</v>
      </c>
    </row>
    <row r="35" spans="3:5" x14ac:dyDescent="0.25">
      <c r="C35" s="35" t="s">
        <v>78</v>
      </c>
      <c r="D35" s="35"/>
      <c r="E35" s="35">
        <v>50</v>
      </c>
    </row>
  </sheetData>
  <phoneticPr fontId="3" type="noConversion"/>
  <pageMargins left="0.7" right="0.7" top="0.75" bottom="0.75" header="0.3" footer="0.3"/>
  <pageSetup paperSize="256" orientation="portrait" horizontalDpi="203" verticalDpi="203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89E413-20AD-400C-BF42-9642F8FD0A8F}">
  <sheetPr codeName="Hoja11"/>
  <dimension ref="B1:G34"/>
  <sheetViews>
    <sheetView workbookViewId="0">
      <selection activeCell="O21" sqref="N21:O22"/>
    </sheetView>
  </sheetViews>
  <sheetFormatPr baseColWidth="10" defaultRowHeight="15.75" x14ac:dyDescent="0.25"/>
  <cols>
    <col min="2" max="2" width="11" style="3"/>
    <col min="3" max="3" width="19.875" style="3" customWidth="1"/>
    <col min="4" max="5" width="11" style="3"/>
    <col min="6" max="6" width="21.375" style="3" customWidth="1"/>
    <col min="7" max="7" width="34.125" style="3" customWidth="1"/>
  </cols>
  <sheetData>
    <row r="1" spans="2:7" ht="16.5" thickBot="1" x14ac:dyDescent="0.3"/>
    <row r="2" spans="2:7" x14ac:dyDescent="0.25">
      <c r="B2" s="21" t="s">
        <v>0</v>
      </c>
      <c r="C2" s="22" t="s">
        <v>1</v>
      </c>
      <c r="D2" s="22" t="s">
        <v>2</v>
      </c>
      <c r="E2" s="22" t="s">
        <v>3</v>
      </c>
      <c r="F2" s="22" t="s">
        <v>4</v>
      </c>
      <c r="G2" s="13"/>
    </row>
    <row r="3" spans="2:7" x14ac:dyDescent="0.25">
      <c r="B3" s="54" t="s">
        <v>591</v>
      </c>
      <c r="C3" s="55" t="s">
        <v>23</v>
      </c>
      <c r="D3" s="55" t="s">
        <v>7</v>
      </c>
      <c r="E3" s="55">
        <v>3678</v>
      </c>
      <c r="F3" s="55" t="s">
        <v>592</v>
      </c>
      <c r="G3" s="56" t="s">
        <v>972</v>
      </c>
    </row>
    <row r="4" spans="2:7" x14ac:dyDescent="0.25">
      <c r="B4" s="29" t="s">
        <v>591</v>
      </c>
      <c r="C4" s="28" t="s">
        <v>472</v>
      </c>
      <c r="D4" s="28" t="s">
        <v>7</v>
      </c>
      <c r="E4" s="28">
        <v>-3979.75</v>
      </c>
      <c r="F4" s="28" t="s">
        <v>593</v>
      </c>
      <c r="G4" s="30" t="s">
        <v>594</v>
      </c>
    </row>
    <row r="5" spans="2:7" x14ac:dyDescent="0.25">
      <c r="B5" s="29" t="s">
        <v>591</v>
      </c>
      <c r="C5" s="28" t="s">
        <v>472</v>
      </c>
      <c r="D5" s="28" t="s">
        <v>7</v>
      </c>
      <c r="E5" s="28">
        <v>-4008.3</v>
      </c>
      <c r="F5" s="28" t="s">
        <v>595</v>
      </c>
      <c r="G5" s="30" t="s">
        <v>594</v>
      </c>
    </row>
    <row r="6" spans="2:7" x14ac:dyDescent="0.25">
      <c r="B6" s="14" t="s">
        <v>591</v>
      </c>
      <c r="C6" s="1" t="s">
        <v>23</v>
      </c>
      <c r="D6" s="1" t="s">
        <v>7</v>
      </c>
      <c r="E6" s="1">
        <v>269</v>
      </c>
      <c r="F6" s="1" t="s">
        <v>596</v>
      </c>
      <c r="G6" s="16" t="s">
        <v>597</v>
      </c>
    </row>
    <row r="7" spans="2:7" x14ac:dyDescent="0.25">
      <c r="B7" s="29" t="s">
        <v>591</v>
      </c>
      <c r="C7" s="28" t="s">
        <v>598</v>
      </c>
      <c r="D7" s="28" t="s">
        <v>7</v>
      </c>
      <c r="E7" s="28">
        <v>-37225.300000000003</v>
      </c>
      <c r="F7" s="28" t="s">
        <v>599</v>
      </c>
      <c r="G7" s="30" t="s">
        <v>600</v>
      </c>
    </row>
    <row r="8" spans="2:7" x14ac:dyDescent="0.25">
      <c r="B8" s="14" t="s">
        <v>591</v>
      </c>
      <c r="C8" s="1" t="s">
        <v>15</v>
      </c>
      <c r="D8" s="1" t="s">
        <v>7</v>
      </c>
      <c r="E8" s="1">
        <v>400</v>
      </c>
      <c r="F8" s="1" t="s">
        <v>601</v>
      </c>
      <c r="G8" s="16" t="s">
        <v>602</v>
      </c>
    </row>
    <row r="9" spans="2:7" x14ac:dyDescent="0.25">
      <c r="B9" s="14" t="s">
        <v>591</v>
      </c>
      <c r="C9" s="1" t="s">
        <v>75</v>
      </c>
      <c r="D9" s="1" t="s">
        <v>7</v>
      </c>
      <c r="E9" s="1">
        <v>16</v>
      </c>
      <c r="F9" s="1" t="s">
        <v>603</v>
      </c>
      <c r="G9" s="16" t="s">
        <v>604</v>
      </c>
    </row>
    <row r="10" spans="2:7" x14ac:dyDescent="0.25">
      <c r="B10" s="14" t="s">
        <v>591</v>
      </c>
      <c r="C10" s="1" t="s">
        <v>605</v>
      </c>
      <c r="D10" s="1" t="s">
        <v>7</v>
      </c>
      <c r="E10" s="1">
        <v>350</v>
      </c>
      <c r="F10" s="1" t="s">
        <v>606</v>
      </c>
      <c r="G10" s="16" t="s">
        <v>607</v>
      </c>
    </row>
    <row r="11" spans="2:7" x14ac:dyDescent="0.25">
      <c r="B11" s="14" t="s">
        <v>591</v>
      </c>
      <c r="C11" s="1" t="s">
        <v>95</v>
      </c>
      <c r="D11" s="1" t="s">
        <v>7</v>
      </c>
      <c r="E11" s="1">
        <v>5</v>
      </c>
      <c r="F11" s="1" t="s">
        <v>608</v>
      </c>
      <c r="G11" s="16" t="s">
        <v>553</v>
      </c>
    </row>
    <row r="12" spans="2:7" x14ac:dyDescent="0.25">
      <c r="B12" s="14" t="s">
        <v>591</v>
      </c>
      <c r="C12" s="1" t="s">
        <v>269</v>
      </c>
      <c r="D12" s="1" t="s">
        <v>7</v>
      </c>
      <c r="E12" s="1">
        <v>18</v>
      </c>
      <c r="F12" s="1" t="s">
        <v>610</v>
      </c>
      <c r="G12" s="16" t="s">
        <v>611</v>
      </c>
    </row>
    <row r="13" spans="2:7" x14ac:dyDescent="0.25">
      <c r="B13" s="14" t="s">
        <v>591</v>
      </c>
      <c r="C13" s="1" t="s">
        <v>269</v>
      </c>
      <c r="D13" s="1" t="s">
        <v>7</v>
      </c>
      <c r="E13" s="1">
        <v>50</v>
      </c>
      <c r="F13" s="1" t="s">
        <v>612</v>
      </c>
      <c r="G13" s="16" t="s">
        <v>613</v>
      </c>
    </row>
    <row r="14" spans="2:7" x14ac:dyDescent="0.25">
      <c r="B14" s="14" t="s">
        <v>591</v>
      </c>
      <c r="C14" s="1" t="s">
        <v>23</v>
      </c>
      <c r="D14" s="1" t="s">
        <v>7</v>
      </c>
      <c r="E14" s="1">
        <v>18346</v>
      </c>
      <c r="F14" s="1" t="s">
        <v>614</v>
      </c>
      <c r="G14" s="16" t="s">
        <v>590</v>
      </c>
    </row>
    <row r="15" spans="2:7" x14ac:dyDescent="0.25">
      <c r="B15" s="14" t="s">
        <v>591</v>
      </c>
      <c r="C15" s="1" t="s">
        <v>13</v>
      </c>
      <c r="D15" s="1" t="s">
        <v>7</v>
      </c>
      <c r="E15" s="1">
        <v>65</v>
      </c>
      <c r="F15" s="1" t="s">
        <v>615</v>
      </c>
      <c r="G15" s="16" t="s">
        <v>616</v>
      </c>
    </row>
    <row r="16" spans="2:7" x14ac:dyDescent="0.25">
      <c r="B16" s="14" t="s">
        <v>591</v>
      </c>
      <c r="C16" s="1" t="s">
        <v>617</v>
      </c>
      <c r="D16" s="1" t="s">
        <v>7</v>
      </c>
      <c r="E16" s="1">
        <v>7</v>
      </c>
      <c r="F16" s="1" t="s">
        <v>618</v>
      </c>
      <c r="G16" s="16" t="s">
        <v>619</v>
      </c>
    </row>
    <row r="17" spans="2:7" x14ac:dyDescent="0.25">
      <c r="B17" s="14" t="s">
        <v>591</v>
      </c>
      <c r="C17" s="1" t="s">
        <v>299</v>
      </c>
      <c r="D17" s="1" t="s">
        <v>7</v>
      </c>
      <c r="E17" s="1">
        <v>8</v>
      </c>
      <c r="F17" s="1" t="s">
        <v>620</v>
      </c>
      <c r="G17" s="16" t="s">
        <v>621</v>
      </c>
    </row>
    <row r="18" spans="2:7" x14ac:dyDescent="0.25">
      <c r="B18" s="14" t="s">
        <v>591</v>
      </c>
      <c r="C18" s="1" t="s">
        <v>617</v>
      </c>
      <c r="D18" s="1" t="s">
        <v>7</v>
      </c>
      <c r="E18" s="1">
        <v>173</v>
      </c>
      <c r="F18" s="1" t="s">
        <v>622</v>
      </c>
      <c r="G18" s="16" t="s">
        <v>623</v>
      </c>
    </row>
    <row r="19" spans="2:7" x14ac:dyDescent="0.25">
      <c r="B19" s="14" t="s">
        <v>591</v>
      </c>
      <c r="C19" s="1" t="s">
        <v>9</v>
      </c>
      <c r="D19" s="1" t="s">
        <v>7</v>
      </c>
      <c r="E19" s="1">
        <v>5</v>
      </c>
      <c r="F19" s="1" t="s">
        <v>624</v>
      </c>
      <c r="G19" s="16" t="s">
        <v>609</v>
      </c>
    </row>
    <row r="20" spans="2:7" x14ac:dyDescent="0.25">
      <c r="B20" s="41" t="s">
        <v>591</v>
      </c>
      <c r="C20" s="2" t="s">
        <v>23</v>
      </c>
      <c r="D20" s="2" t="s">
        <v>7</v>
      </c>
      <c r="E20" s="2">
        <v>1057.2</v>
      </c>
      <c r="F20" s="2" t="s">
        <v>625</v>
      </c>
      <c r="G20" s="24" t="s">
        <v>2101</v>
      </c>
    </row>
    <row r="21" spans="2:7" x14ac:dyDescent="0.25">
      <c r="B21" s="14" t="s">
        <v>591</v>
      </c>
      <c r="C21" s="1" t="s">
        <v>9</v>
      </c>
      <c r="D21" s="1" t="s">
        <v>7</v>
      </c>
      <c r="E21" s="1">
        <v>39.5</v>
      </c>
      <c r="F21" s="1" t="s">
        <v>626</v>
      </c>
      <c r="G21" s="16" t="s">
        <v>553</v>
      </c>
    </row>
    <row r="22" spans="2:7" x14ac:dyDescent="0.25">
      <c r="B22" s="14" t="s">
        <v>591</v>
      </c>
      <c r="C22" s="1" t="s">
        <v>269</v>
      </c>
      <c r="D22" s="1" t="s">
        <v>7</v>
      </c>
      <c r="E22" s="1">
        <v>109.2</v>
      </c>
      <c r="F22" s="1" t="s">
        <v>627</v>
      </c>
      <c r="G22" s="16" t="s">
        <v>628</v>
      </c>
    </row>
    <row r="23" spans="2:7" x14ac:dyDescent="0.25">
      <c r="B23" s="14" t="s">
        <v>591</v>
      </c>
      <c r="C23" s="1" t="s">
        <v>15</v>
      </c>
      <c r="D23" s="1" t="s">
        <v>7</v>
      </c>
      <c r="E23" s="1">
        <v>5000</v>
      </c>
      <c r="F23" s="1" t="s">
        <v>629</v>
      </c>
      <c r="G23" s="16" t="s">
        <v>697</v>
      </c>
    </row>
    <row r="24" spans="2:7" x14ac:dyDescent="0.25">
      <c r="B24" s="14" t="s">
        <v>591</v>
      </c>
      <c r="C24" s="1" t="s">
        <v>17</v>
      </c>
      <c r="D24" s="1" t="s">
        <v>7</v>
      </c>
      <c r="E24" s="1">
        <v>57</v>
      </c>
      <c r="F24" s="1" t="s">
        <v>631</v>
      </c>
      <c r="G24" s="16" t="s">
        <v>639</v>
      </c>
    </row>
    <row r="25" spans="2:7" x14ac:dyDescent="0.25">
      <c r="B25" s="29" t="s">
        <v>591</v>
      </c>
      <c r="C25" s="28" t="s">
        <v>472</v>
      </c>
      <c r="D25" s="28" t="s">
        <v>7</v>
      </c>
      <c r="E25" s="28">
        <v>-7140</v>
      </c>
      <c r="F25" s="28" t="s">
        <v>632</v>
      </c>
      <c r="G25" s="30" t="s">
        <v>640</v>
      </c>
    </row>
    <row r="26" spans="2:7" x14ac:dyDescent="0.25">
      <c r="B26" s="29" t="s">
        <v>591</v>
      </c>
      <c r="C26" s="28" t="s">
        <v>69</v>
      </c>
      <c r="D26" s="28" t="s">
        <v>7</v>
      </c>
      <c r="E26" s="28">
        <v>-900</v>
      </c>
      <c r="F26" s="28" t="s">
        <v>633</v>
      </c>
      <c r="G26" s="30" t="s">
        <v>641</v>
      </c>
    </row>
    <row r="27" spans="2:7" x14ac:dyDescent="0.25">
      <c r="B27" s="14" t="s">
        <v>591</v>
      </c>
      <c r="C27" s="1" t="s">
        <v>240</v>
      </c>
      <c r="D27" s="1" t="s">
        <v>7</v>
      </c>
      <c r="E27" s="1">
        <v>382.2</v>
      </c>
      <c r="F27" s="1" t="s">
        <v>634</v>
      </c>
      <c r="G27" s="16" t="s">
        <v>68</v>
      </c>
    </row>
    <row r="28" spans="2:7" x14ac:dyDescent="0.25">
      <c r="B28" s="29" t="s">
        <v>591</v>
      </c>
      <c r="C28" s="28" t="s">
        <v>472</v>
      </c>
      <c r="D28" s="28" t="s">
        <v>7</v>
      </c>
      <c r="E28" s="28">
        <v>-1690</v>
      </c>
      <c r="F28" s="28" t="s">
        <v>635</v>
      </c>
      <c r="G28" s="30" t="s">
        <v>642</v>
      </c>
    </row>
    <row r="29" spans="2:7" x14ac:dyDescent="0.25">
      <c r="B29" s="29" t="s">
        <v>591</v>
      </c>
      <c r="C29" s="28" t="s">
        <v>636</v>
      </c>
      <c r="D29" s="28" t="s">
        <v>7</v>
      </c>
      <c r="E29" s="28">
        <v>-120</v>
      </c>
      <c r="F29" s="28" t="s">
        <v>637</v>
      </c>
      <c r="G29" s="30" t="s">
        <v>643</v>
      </c>
    </row>
    <row r="30" spans="2:7" ht="16.5" thickBot="1" x14ac:dyDescent="0.3">
      <c r="B30" s="25" t="s">
        <v>591</v>
      </c>
      <c r="C30" s="18" t="s">
        <v>224</v>
      </c>
      <c r="D30" s="18" t="s">
        <v>7</v>
      </c>
      <c r="E30" s="18">
        <v>22</v>
      </c>
      <c r="F30" s="18" t="s">
        <v>638</v>
      </c>
      <c r="G30" s="27" t="s">
        <v>644</v>
      </c>
    </row>
    <row r="34" spans="3:7" x14ac:dyDescent="0.25">
      <c r="C34" s="3" t="s">
        <v>78</v>
      </c>
      <c r="E34" s="3">
        <v>5073.6000000000004</v>
      </c>
      <c r="G34" s="3" t="s">
        <v>630</v>
      </c>
    </row>
  </sheetData>
  <pageMargins left="0.7" right="0.7" top="0.75" bottom="0.75" header="0.3" footer="0.3"/>
  <pageSetup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0478B4-1531-49DC-A5AF-5F2370EB9437}">
  <sheetPr codeName="Hoja12"/>
  <dimension ref="B1:G40"/>
  <sheetViews>
    <sheetView workbookViewId="0">
      <selection activeCell="G7" sqref="G7"/>
    </sheetView>
  </sheetViews>
  <sheetFormatPr baseColWidth="10" defaultRowHeight="15.75" x14ac:dyDescent="0.25"/>
  <cols>
    <col min="2" max="2" width="11" style="3"/>
    <col min="3" max="3" width="34.5" style="3" customWidth="1"/>
    <col min="4" max="5" width="11" style="3"/>
    <col min="6" max="6" width="22.125" style="3" customWidth="1"/>
    <col min="7" max="7" width="25.375" style="3" customWidth="1"/>
  </cols>
  <sheetData>
    <row r="1" spans="2:7" ht="16.5" thickBot="1" x14ac:dyDescent="0.3"/>
    <row r="2" spans="2:7" x14ac:dyDescent="0.25">
      <c r="B2" s="21" t="s">
        <v>0</v>
      </c>
      <c r="C2" s="22" t="s">
        <v>1</v>
      </c>
      <c r="D2" s="22" t="s">
        <v>2</v>
      </c>
      <c r="E2" s="22" t="s">
        <v>3</v>
      </c>
      <c r="F2" s="22" t="s">
        <v>4</v>
      </c>
      <c r="G2" s="23"/>
    </row>
    <row r="3" spans="2:7" x14ac:dyDescent="0.25">
      <c r="B3" s="14" t="s">
        <v>646</v>
      </c>
      <c r="C3" s="1" t="s">
        <v>665</v>
      </c>
      <c r="D3" s="1" t="s">
        <v>7</v>
      </c>
      <c r="E3" s="1">
        <v>149.5</v>
      </c>
      <c r="F3" s="1" t="s">
        <v>666</v>
      </c>
      <c r="G3" s="16" t="s">
        <v>386</v>
      </c>
    </row>
    <row r="4" spans="2:7" x14ac:dyDescent="0.25">
      <c r="B4" s="14" t="s">
        <v>646</v>
      </c>
      <c r="C4" s="1" t="s">
        <v>521</v>
      </c>
      <c r="D4" s="1" t="s">
        <v>7</v>
      </c>
      <c r="E4" s="1">
        <v>6.5</v>
      </c>
      <c r="F4" s="1" t="s">
        <v>667</v>
      </c>
      <c r="G4" s="16" t="s">
        <v>696</v>
      </c>
    </row>
    <row r="5" spans="2:7" x14ac:dyDescent="0.25">
      <c r="B5" s="14" t="s">
        <v>646</v>
      </c>
      <c r="C5" s="1" t="s">
        <v>161</v>
      </c>
      <c r="D5" s="1" t="s">
        <v>7</v>
      </c>
      <c r="E5" s="1">
        <v>60.5</v>
      </c>
      <c r="F5" s="1" t="s">
        <v>668</v>
      </c>
      <c r="G5" s="16" t="s">
        <v>690</v>
      </c>
    </row>
    <row r="6" spans="2:7" x14ac:dyDescent="0.25">
      <c r="B6" s="42" t="s">
        <v>646</v>
      </c>
      <c r="C6" s="43" t="s">
        <v>669</v>
      </c>
      <c r="D6" s="43" t="s">
        <v>7</v>
      </c>
      <c r="E6" s="43">
        <v>2079.87</v>
      </c>
      <c r="F6" s="43" t="s">
        <v>670</v>
      </c>
      <c r="G6" s="44" t="s">
        <v>630</v>
      </c>
    </row>
    <row r="7" spans="2:7" x14ac:dyDescent="0.25">
      <c r="B7" s="14" t="s">
        <v>646</v>
      </c>
      <c r="C7" s="1" t="s">
        <v>521</v>
      </c>
      <c r="D7" s="1" t="s">
        <v>7</v>
      </c>
      <c r="E7" s="1">
        <v>60</v>
      </c>
      <c r="F7" s="1" t="s">
        <v>671</v>
      </c>
      <c r="G7" s="16" t="s">
        <v>689</v>
      </c>
    </row>
    <row r="8" spans="2:7" x14ac:dyDescent="0.25">
      <c r="B8" s="14" t="s">
        <v>646</v>
      </c>
      <c r="C8" s="1" t="s">
        <v>672</v>
      </c>
      <c r="D8" s="1" t="s">
        <v>7</v>
      </c>
      <c r="E8" s="1">
        <v>366.1</v>
      </c>
      <c r="F8" s="1" t="s">
        <v>673</v>
      </c>
      <c r="G8" s="16" t="s">
        <v>688</v>
      </c>
    </row>
    <row r="9" spans="2:7" x14ac:dyDescent="0.25">
      <c r="B9" s="14" t="s">
        <v>646</v>
      </c>
      <c r="C9" s="1" t="s">
        <v>398</v>
      </c>
      <c r="D9" s="1" t="s">
        <v>7</v>
      </c>
      <c r="E9" s="1">
        <v>400</v>
      </c>
      <c r="F9" s="1" t="s">
        <v>674</v>
      </c>
      <c r="G9" s="16" t="s">
        <v>695</v>
      </c>
    </row>
    <row r="10" spans="2:7" x14ac:dyDescent="0.25">
      <c r="B10" s="14" t="s">
        <v>646</v>
      </c>
      <c r="C10" s="1" t="s">
        <v>95</v>
      </c>
      <c r="D10" s="1" t="s">
        <v>7</v>
      </c>
      <c r="E10" s="1">
        <v>3</v>
      </c>
      <c r="F10" s="1" t="s">
        <v>675</v>
      </c>
      <c r="G10" s="16" t="s">
        <v>694</v>
      </c>
    </row>
    <row r="11" spans="2:7" x14ac:dyDescent="0.25">
      <c r="B11" s="14" t="s">
        <v>646</v>
      </c>
      <c r="C11" s="1" t="s">
        <v>617</v>
      </c>
      <c r="D11" s="1" t="s">
        <v>7</v>
      </c>
      <c r="E11" s="1">
        <v>81</v>
      </c>
      <c r="F11" s="1" t="s">
        <v>676</v>
      </c>
      <c r="G11" s="16" t="s">
        <v>693</v>
      </c>
    </row>
    <row r="12" spans="2:7" x14ac:dyDescent="0.25">
      <c r="B12" s="14" t="s">
        <v>646</v>
      </c>
      <c r="C12" s="1" t="s">
        <v>278</v>
      </c>
      <c r="D12" s="1" t="s">
        <v>7</v>
      </c>
      <c r="E12" s="1">
        <v>14</v>
      </c>
      <c r="F12" s="1" t="s">
        <v>677</v>
      </c>
      <c r="G12" s="16" t="s">
        <v>687</v>
      </c>
    </row>
    <row r="13" spans="2:7" x14ac:dyDescent="0.25">
      <c r="B13" s="14" t="s">
        <v>646</v>
      </c>
      <c r="C13" s="1" t="s">
        <v>278</v>
      </c>
      <c r="D13" s="1" t="s">
        <v>7</v>
      </c>
      <c r="E13" s="1">
        <v>400</v>
      </c>
      <c r="F13" s="1" t="s">
        <v>678</v>
      </c>
      <c r="G13" s="16" t="s">
        <v>687</v>
      </c>
    </row>
    <row r="14" spans="2:7" x14ac:dyDescent="0.25">
      <c r="B14" s="14" t="s">
        <v>646</v>
      </c>
      <c r="C14" s="1" t="s">
        <v>278</v>
      </c>
      <c r="D14" s="1" t="s">
        <v>7</v>
      </c>
      <c r="E14" s="1">
        <v>500</v>
      </c>
      <c r="F14" s="1" t="s">
        <v>679</v>
      </c>
      <c r="G14" s="16" t="s">
        <v>687</v>
      </c>
    </row>
    <row r="15" spans="2:7" x14ac:dyDescent="0.25">
      <c r="B15" s="14" t="s">
        <v>646</v>
      </c>
      <c r="C15" s="1" t="s">
        <v>465</v>
      </c>
      <c r="D15" s="1" t="s">
        <v>7</v>
      </c>
      <c r="E15" s="1">
        <v>100</v>
      </c>
      <c r="F15" s="1" t="s">
        <v>680</v>
      </c>
      <c r="G15" s="16" t="s">
        <v>467</v>
      </c>
    </row>
    <row r="16" spans="2:7" x14ac:dyDescent="0.25">
      <c r="B16" s="14" t="s">
        <v>646</v>
      </c>
      <c r="C16" s="1" t="s">
        <v>9</v>
      </c>
      <c r="D16" s="1" t="s">
        <v>7</v>
      </c>
      <c r="E16" s="1">
        <v>144</v>
      </c>
      <c r="F16" s="1" t="s">
        <v>647</v>
      </c>
      <c r="G16" s="16" t="s">
        <v>553</v>
      </c>
    </row>
    <row r="17" spans="2:7" x14ac:dyDescent="0.25">
      <c r="B17" s="14" t="s">
        <v>646</v>
      </c>
      <c r="C17" s="1" t="s">
        <v>9</v>
      </c>
      <c r="D17" s="1" t="s">
        <v>7</v>
      </c>
      <c r="E17" s="1">
        <v>400</v>
      </c>
      <c r="F17" s="1" t="s">
        <v>648</v>
      </c>
      <c r="G17" s="16" t="s">
        <v>553</v>
      </c>
    </row>
    <row r="18" spans="2:7" x14ac:dyDescent="0.25">
      <c r="B18" s="14" t="s">
        <v>646</v>
      </c>
      <c r="C18" s="1" t="s">
        <v>183</v>
      </c>
      <c r="D18" s="1" t="s">
        <v>7</v>
      </c>
      <c r="E18" s="1">
        <v>17</v>
      </c>
      <c r="F18" s="1" t="s">
        <v>649</v>
      </c>
      <c r="G18" s="16" t="s">
        <v>660</v>
      </c>
    </row>
    <row r="19" spans="2:7" x14ac:dyDescent="0.25">
      <c r="B19" s="14" t="s">
        <v>646</v>
      </c>
      <c r="C19" s="1" t="s">
        <v>398</v>
      </c>
      <c r="D19" s="1" t="s">
        <v>7</v>
      </c>
      <c r="E19" s="1">
        <v>56</v>
      </c>
      <c r="F19" s="1" t="s">
        <v>650</v>
      </c>
      <c r="G19" s="16" t="s">
        <v>685</v>
      </c>
    </row>
    <row r="20" spans="2:7" x14ac:dyDescent="0.25">
      <c r="B20" s="14" t="s">
        <v>646</v>
      </c>
      <c r="C20" s="1" t="s">
        <v>370</v>
      </c>
      <c r="D20" s="1" t="s">
        <v>7</v>
      </c>
      <c r="E20" s="1">
        <v>8</v>
      </c>
      <c r="F20" s="1" t="s">
        <v>651</v>
      </c>
      <c r="G20" s="16" t="s">
        <v>684</v>
      </c>
    </row>
    <row r="21" spans="2:7" x14ac:dyDescent="0.25">
      <c r="B21" s="14" t="s">
        <v>646</v>
      </c>
      <c r="C21" s="1" t="s">
        <v>161</v>
      </c>
      <c r="D21" s="1" t="s">
        <v>7</v>
      </c>
      <c r="E21" s="1">
        <v>13</v>
      </c>
      <c r="F21" s="1" t="s">
        <v>652</v>
      </c>
      <c r="G21" s="16" t="s">
        <v>683</v>
      </c>
    </row>
    <row r="22" spans="2:7" x14ac:dyDescent="0.25">
      <c r="B22" s="14" t="s">
        <v>646</v>
      </c>
      <c r="C22" s="1" t="s">
        <v>299</v>
      </c>
      <c r="D22" s="1" t="s">
        <v>7</v>
      </c>
      <c r="E22" s="1">
        <v>10</v>
      </c>
      <c r="F22" s="1" t="s">
        <v>653</v>
      </c>
      <c r="G22" s="16" t="s">
        <v>682</v>
      </c>
    </row>
    <row r="23" spans="2:7" x14ac:dyDescent="0.25">
      <c r="B23" s="14" t="s">
        <v>646</v>
      </c>
      <c r="C23" s="1" t="s">
        <v>95</v>
      </c>
      <c r="D23" s="1" t="s">
        <v>7</v>
      </c>
      <c r="E23" s="1">
        <v>29.5</v>
      </c>
      <c r="F23" s="1" t="s">
        <v>654</v>
      </c>
      <c r="G23" s="16" t="s">
        <v>681</v>
      </c>
    </row>
    <row r="24" spans="2:7" x14ac:dyDescent="0.25">
      <c r="B24" s="14" t="s">
        <v>646</v>
      </c>
      <c r="C24" s="1" t="s">
        <v>655</v>
      </c>
      <c r="D24" s="1" t="s">
        <v>7</v>
      </c>
      <c r="E24" s="1">
        <v>3</v>
      </c>
      <c r="F24" s="1" t="s">
        <v>656</v>
      </c>
      <c r="G24" s="16" t="s">
        <v>686</v>
      </c>
    </row>
    <row r="25" spans="2:7" x14ac:dyDescent="0.25">
      <c r="B25" s="14" t="s">
        <v>646</v>
      </c>
      <c r="C25" s="1" t="s">
        <v>183</v>
      </c>
      <c r="D25" s="1" t="s">
        <v>7</v>
      </c>
      <c r="E25" s="1">
        <v>80</v>
      </c>
      <c r="F25" s="1" t="s">
        <v>657</v>
      </c>
      <c r="G25" s="16" t="s">
        <v>660</v>
      </c>
    </row>
    <row r="26" spans="2:7" x14ac:dyDescent="0.25">
      <c r="B26" s="14" t="s">
        <v>646</v>
      </c>
      <c r="C26" s="1" t="s">
        <v>75</v>
      </c>
      <c r="D26" s="1" t="s">
        <v>7</v>
      </c>
      <c r="E26" s="1">
        <v>163.5</v>
      </c>
      <c r="F26" s="1" t="s">
        <v>658</v>
      </c>
      <c r="G26" s="16" t="s">
        <v>661</v>
      </c>
    </row>
    <row r="27" spans="2:7" x14ac:dyDescent="0.25">
      <c r="B27" s="14" t="s">
        <v>646</v>
      </c>
      <c r="C27" s="1" t="s">
        <v>23</v>
      </c>
      <c r="D27" s="1" t="s">
        <v>7</v>
      </c>
      <c r="E27" s="1">
        <v>183.5</v>
      </c>
      <c r="F27" s="1" t="s">
        <v>659</v>
      </c>
      <c r="G27" s="16" t="s">
        <v>660</v>
      </c>
    </row>
    <row r="28" spans="2:7" x14ac:dyDescent="0.25">
      <c r="B28" s="14" t="s">
        <v>646</v>
      </c>
      <c r="C28" s="1" t="s">
        <v>692</v>
      </c>
      <c r="D28" s="1" t="s">
        <v>7</v>
      </c>
      <c r="E28" s="1">
        <v>298</v>
      </c>
      <c r="F28" s="1">
        <v>24504471</v>
      </c>
      <c r="G28" s="16" t="s">
        <v>691</v>
      </c>
    </row>
    <row r="29" spans="2:7" ht="16.5" thickBot="1" x14ac:dyDescent="0.3">
      <c r="B29" s="25"/>
      <c r="C29" s="18"/>
      <c r="D29" s="18"/>
      <c r="E29" s="18"/>
      <c r="F29" s="18"/>
      <c r="G29" s="27"/>
    </row>
    <row r="33" spans="2:6" x14ac:dyDescent="0.25">
      <c r="B33" s="3" t="s">
        <v>662</v>
      </c>
      <c r="C33" s="3" t="s">
        <v>663</v>
      </c>
      <c r="D33" s="3" t="s">
        <v>7</v>
      </c>
      <c r="E33" s="3">
        <v>-4.05</v>
      </c>
      <c r="F33" s="3" t="s">
        <v>664</v>
      </c>
    </row>
    <row r="34" spans="2:6" x14ac:dyDescent="0.25">
      <c r="B34" s="3" t="s">
        <v>591</v>
      </c>
      <c r="C34" s="3" t="s">
        <v>598</v>
      </c>
      <c r="D34" s="3" t="s">
        <v>7</v>
      </c>
      <c r="E34" s="3">
        <v>-37225.300000000003</v>
      </c>
      <c r="F34" s="3" t="s">
        <v>599</v>
      </c>
    </row>
    <row r="35" spans="2:6" x14ac:dyDescent="0.25">
      <c r="B35" s="3" t="s">
        <v>591</v>
      </c>
      <c r="C35" s="3" t="s">
        <v>472</v>
      </c>
      <c r="D35" s="3" t="s">
        <v>7</v>
      </c>
      <c r="E35" s="3">
        <v>-7140</v>
      </c>
      <c r="F35" s="3" t="s">
        <v>632</v>
      </c>
    </row>
    <row r="36" spans="2:6" x14ac:dyDescent="0.25">
      <c r="B36" s="3" t="s">
        <v>591</v>
      </c>
      <c r="C36" s="3" t="s">
        <v>472</v>
      </c>
      <c r="D36" s="3" t="s">
        <v>7</v>
      </c>
      <c r="E36" s="3">
        <v>-4008.3</v>
      </c>
      <c r="F36" s="3" t="s">
        <v>595</v>
      </c>
    </row>
    <row r="37" spans="2:6" x14ac:dyDescent="0.25">
      <c r="B37" s="3" t="s">
        <v>591</v>
      </c>
      <c r="C37" s="3" t="s">
        <v>472</v>
      </c>
      <c r="D37" s="3" t="s">
        <v>7</v>
      </c>
      <c r="E37" s="3">
        <v>-3979.75</v>
      </c>
      <c r="F37" s="3" t="s">
        <v>593</v>
      </c>
    </row>
    <row r="38" spans="2:6" x14ac:dyDescent="0.25">
      <c r="B38" s="3" t="s">
        <v>591</v>
      </c>
      <c r="C38" s="3" t="s">
        <v>472</v>
      </c>
      <c r="D38" s="3" t="s">
        <v>7</v>
      </c>
      <c r="E38" s="3">
        <v>-1690</v>
      </c>
      <c r="F38" s="3" t="s">
        <v>635</v>
      </c>
    </row>
    <row r="39" spans="2:6" x14ac:dyDescent="0.25">
      <c r="B39" s="3" t="s">
        <v>591</v>
      </c>
      <c r="C39" s="3" t="s">
        <v>69</v>
      </c>
      <c r="D39" s="3" t="s">
        <v>7</v>
      </c>
      <c r="E39" s="3">
        <v>-900</v>
      </c>
      <c r="F39" s="3" t="s">
        <v>633</v>
      </c>
    </row>
    <row r="40" spans="2:6" x14ac:dyDescent="0.25">
      <c r="B40" s="3" t="s">
        <v>591</v>
      </c>
      <c r="C40" s="3" t="s">
        <v>636</v>
      </c>
      <c r="D40" s="3" t="s">
        <v>7</v>
      </c>
      <c r="E40" s="3">
        <v>-120</v>
      </c>
      <c r="F40" s="3" t="s">
        <v>637</v>
      </c>
    </row>
  </sheetData>
  <pageMargins left="0.7" right="0.7" top="0.75" bottom="0.75" header="0.3" footer="0.3"/>
  <pageSetup paperSize="256" orientation="portrait" horizontalDpi="203" verticalDpi="203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C12227-170D-4176-A0F7-059D65E20C03}">
  <sheetPr codeName="Hoja13"/>
  <dimension ref="C1:H23"/>
  <sheetViews>
    <sheetView workbookViewId="0">
      <selection activeCell="G16" sqref="G16"/>
    </sheetView>
  </sheetViews>
  <sheetFormatPr baseColWidth="10" defaultRowHeight="15.75" x14ac:dyDescent="0.25"/>
  <cols>
    <col min="3" max="3" width="13.75" style="3" customWidth="1"/>
    <col min="4" max="4" width="21.625" style="3" customWidth="1"/>
    <col min="5" max="6" width="11" style="3"/>
    <col min="7" max="7" width="23.625" style="3" customWidth="1"/>
    <col min="8" max="8" width="31.75" style="3" customWidth="1"/>
  </cols>
  <sheetData>
    <row r="1" spans="3:8" ht="16.5" thickBot="1" x14ac:dyDescent="0.3"/>
    <row r="2" spans="3:8" x14ac:dyDescent="0.25">
      <c r="C2" s="21" t="s">
        <v>0</v>
      </c>
      <c r="D2" s="22" t="s">
        <v>1</v>
      </c>
      <c r="E2" s="22" t="s">
        <v>2</v>
      </c>
      <c r="F2" s="22" t="s">
        <v>3</v>
      </c>
      <c r="G2" s="22" t="s">
        <v>4</v>
      </c>
      <c r="H2" s="13"/>
    </row>
    <row r="3" spans="3:8" x14ac:dyDescent="0.25">
      <c r="C3" s="14" t="s">
        <v>700</v>
      </c>
      <c r="D3" s="1" t="s">
        <v>655</v>
      </c>
      <c r="E3" s="1" t="s">
        <v>7</v>
      </c>
      <c r="F3" s="1">
        <v>42</v>
      </c>
      <c r="G3" s="1" t="s">
        <v>734</v>
      </c>
      <c r="H3" s="16" t="s">
        <v>735</v>
      </c>
    </row>
    <row r="4" spans="3:8" x14ac:dyDescent="0.25">
      <c r="C4" s="14" t="s">
        <v>700</v>
      </c>
      <c r="D4" s="1" t="s">
        <v>665</v>
      </c>
      <c r="E4" s="1" t="s">
        <v>7</v>
      </c>
      <c r="F4" s="1">
        <v>89.3</v>
      </c>
      <c r="G4" s="1" t="s">
        <v>732</v>
      </c>
      <c r="H4" s="16" t="s">
        <v>386</v>
      </c>
    </row>
    <row r="5" spans="3:8" x14ac:dyDescent="0.25">
      <c r="C5" s="14" t="s">
        <v>700</v>
      </c>
      <c r="D5" s="1" t="s">
        <v>23</v>
      </c>
      <c r="E5" s="1" t="s">
        <v>7</v>
      </c>
      <c r="F5" s="1">
        <v>1100</v>
      </c>
      <c r="G5" s="1" t="s">
        <v>733</v>
      </c>
      <c r="H5" s="16" t="s">
        <v>739</v>
      </c>
    </row>
    <row r="6" spans="3:8" x14ac:dyDescent="0.25">
      <c r="C6" s="14" t="s">
        <v>700</v>
      </c>
      <c r="D6" s="1" t="s">
        <v>23</v>
      </c>
      <c r="E6" s="1" t="s">
        <v>7</v>
      </c>
      <c r="F6" s="1">
        <v>1215</v>
      </c>
      <c r="G6" s="1" t="s">
        <v>701</v>
      </c>
      <c r="H6" s="16" t="s">
        <v>736</v>
      </c>
    </row>
    <row r="7" spans="3:8" x14ac:dyDescent="0.25">
      <c r="C7" s="14" t="s">
        <v>700</v>
      </c>
      <c r="D7" s="1" t="s">
        <v>240</v>
      </c>
      <c r="E7" s="1" t="s">
        <v>7</v>
      </c>
      <c r="F7" s="1">
        <v>138.5</v>
      </c>
      <c r="G7" s="1" t="s">
        <v>702</v>
      </c>
      <c r="H7" s="16" t="s">
        <v>730</v>
      </c>
    </row>
    <row r="8" spans="3:8" x14ac:dyDescent="0.25">
      <c r="C8" s="14" t="s">
        <v>700</v>
      </c>
      <c r="D8" s="1" t="s">
        <v>703</v>
      </c>
      <c r="E8" s="1" t="s">
        <v>7</v>
      </c>
      <c r="F8" s="1">
        <v>22.5</v>
      </c>
      <c r="G8" s="1" t="s">
        <v>704</v>
      </c>
      <c r="H8" s="16" t="s">
        <v>729</v>
      </c>
    </row>
    <row r="9" spans="3:8" x14ac:dyDescent="0.25">
      <c r="C9" s="14" t="s">
        <v>700</v>
      </c>
      <c r="D9" s="1" t="s">
        <v>269</v>
      </c>
      <c r="E9" s="1" t="s">
        <v>7</v>
      </c>
      <c r="F9" s="1">
        <v>48</v>
      </c>
      <c r="G9" s="1" t="s">
        <v>705</v>
      </c>
      <c r="H9" s="16" t="s">
        <v>731</v>
      </c>
    </row>
    <row r="10" spans="3:8" x14ac:dyDescent="0.25">
      <c r="C10" s="14" t="s">
        <v>700</v>
      </c>
      <c r="D10" s="1" t="s">
        <v>39</v>
      </c>
      <c r="E10" s="1" t="s">
        <v>7</v>
      </c>
      <c r="F10" s="1">
        <v>147.5</v>
      </c>
      <c r="G10" s="1" t="s">
        <v>706</v>
      </c>
      <c r="H10" s="16" t="s">
        <v>236</v>
      </c>
    </row>
    <row r="11" spans="3:8" x14ac:dyDescent="0.25">
      <c r="C11" s="29" t="s">
        <v>700</v>
      </c>
      <c r="D11" s="28" t="s">
        <v>248</v>
      </c>
      <c r="E11" s="28" t="s">
        <v>7</v>
      </c>
      <c r="F11" s="28">
        <v>-296</v>
      </c>
      <c r="G11" s="28" t="s">
        <v>707</v>
      </c>
      <c r="H11" s="30" t="s">
        <v>727</v>
      </c>
    </row>
    <row r="12" spans="3:8" x14ac:dyDescent="0.25">
      <c r="C12" s="14" t="s">
        <v>700</v>
      </c>
      <c r="D12" s="1" t="s">
        <v>23</v>
      </c>
      <c r="E12" s="1" t="s">
        <v>7</v>
      </c>
      <c r="F12" s="1">
        <v>2158.5</v>
      </c>
      <c r="G12" s="1" t="s">
        <v>708</v>
      </c>
      <c r="H12" s="16" t="s">
        <v>660</v>
      </c>
    </row>
    <row r="13" spans="3:8" x14ac:dyDescent="0.25">
      <c r="C13" s="14" t="s">
        <v>700</v>
      </c>
      <c r="D13" s="1" t="s">
        <v>240</v>
      </c>
      <c r="E13" s="1" t="s">
        <v>7</v>
      </c>
      <c r="F13" s="1">
        <v>376</v>
      </c>
      <c r="G13" s="1" t="s">
        <v>709</v>
      </c>
      <c r="H13" s="16" t="s">
        <v>737</v>
      </c>
    </row>
    <row r="14" spans="3:8" x14ac:dyDescent="0.25">
      <c r="C14" s="14" t="s">
        <v>700</v>
      </c>
      <c r="D14" s="1" t="s">
        <v>23</v>
      </c>
      <c r="E14" s="1" t="s">
        <v>7</v>
      </c>
      <c r="F14" s="1">
        <v>2245</v>
      </c>
      <c r="G14" s="1" t="s">
        <v>710</v>
      </c>
      <c r="H14" s="16" t="s">
        <v>738</v>
      </c>
    </row>
    <row r="15" spans="3:8" x14ac:dyDescent="0.25">
      <c r="C15" s="14" t="s">
        <v>700</v>
      </c>
      <c r="D15" s="1" t="s">
        <v>9</v>
      </c>
      <c r="E15" s="1" t="s">
        <v>7</v>
      </c>
      <c r="F15" s="1">
        <v>365.5</v>
      </c>
      <c r="G15" s="1" t="s">
        <v>711</v>
      </c>
      <c r="H15" s="16" t="s">
        <v>726</v>
      </c>
    </row>
    <row r="16" spans="3:8" x14ac:dyDescent="0.25">
      <c r="C16" s="14" t="s">
        <v>700</v>
      </c>
      <c r="D16" s="1" t="s">
        <v>33</v>
      </c>
      <c r="E16" s="1" t="s">
        <v>7</v>
      </c>
      <c r="F16" s="1">
        <v>294</v>
      </c>
      <c r="G16" s="1" t="s">
        <v>712</v>
      </c>
      <c r="H16" s="16" t="s">
        <v>366</v>
      </c>
    </row>
    <row r="17" spans="3:8" x14ac:dyDescent="0.25">
      <c r="C17" s="14" t="s">
        <v>700</v>
      </c>
      <c r="D17" s="1" t="s">
        <v>161</v>
      </c>
      <c r="E17" s="1" t="s">
        <v>7</v>
      </c>
      <c r="F17" s="1">
        <v>108.7</v>
      </c>
      <c r="G17" s="1" t="s">
        <v>713</v>
      </c>
      <c r="H17" s="16" t="s">
        <v>725</v>
      </c>
    </row>
    <row r="18" spans="3:8" x14ac:dyDescent="0.25">
      <c r="C18" s="14" t="s">
        <v>700</v>
      </c>
      <c r="D18" s="1" t="s">
        <v>23</v>
      </c>
      <c r="E18" s="1" t="s">
        <v>7</v>
      </c>
      <c r="F18" s="1">
        <v>1149</v>
      </c>
      <c r="G18" s="1" t="s">
        <v>714</v>
      </c>
      <c r="H18" s="16" t="s">
        <v>728</v>
      </c>
    </row>
    <row r="19" spans="3:8" x14ac:dyDescent="0.25">
      <c r="C19" s="14" t="s">
        <v>700</v>
      </c>
      <c r="D19" s="1" t="s">
        <v>6</v>
      </c>
      <c r="E19" s="1" t="s">
        <v>7</v>
      </c>
      <c r="F19" s="1">
        <v>24</v>
      </c>
      <c r="G19" s="1" t="s">
        <v>715</v>
      </c>
      <c r="H19" s="16" t="s">
        <v>724</v>
      </c>
    </row>
    <row r="20" spans="3:8" x14ac:dyDescent="0.25">
      <c r="C20" s="14" t="s">
        <v>700</v>
      </c>
      <c r="D20" s="1" t="s">
        <v>382</v>
      </c>
      <c r="E20" s="1" t="s">
        <v>7</v>
      </c>
      <c r="F20" s="1">
        <v>45</v>
      </c>
      <c r="G20" s="1" t="s">
        <v>716</v>
      </c>
      <c r="H20" s="16" t="s">
        <v>723</v>
      </c>
    </row>
    <row r="21" spans="3:8" x14ac:dyDescent="0.25">
      <c r="C21" s="14" t="s">
        <v>700</v>
      </c>
      <c r="D21" s="1" t="s">
        <v>248</v>
      </c>
      <c r="E21" s="1" t="s">
        <v>7</v>
      </c>
      <c r="F21" s="1">
        <v>-200</v>
      </c>
      <c r="G21" s="1" t="s">
        <v>717</v>
      </c>
      <c r="H21" s="16" t="s">
        <v>722</v>
      </c>
    </row>
    <row r="22" spans="3:8" x14ac:dyDescent="0.25">
      <c r="C22" s="14" t="s">
        <v>700</v>
      </c>
      <c r="D22" s="1" t="s">
        <v>295</v>
      </c>
      <c r="E22" s="1" t="s">
        <v>7</v>
      </c>
      <c r="F22" s="1">
        <v>7.5</v>
      </c>
      <c r="G22" s="1" t="s">
        <v>718</v>
      </c>
      <c r="H22" s="16" t="s">
        <v>721</v>
      </c>
    </row>
    <row r="23" spans="3:8" ht="16.5" thickBot="1" x14ac:dyDescent="0.3">
      <c r="C23" s="25" t="s">
        <v>700</v>
      </c>
      <c r="D23" s="18" t="s">
        <v>33</v>
      </c>
      <c r="E23" s="18" t="s">
        <v>7</v>
      </c>
      <c r="F23" s="18">
        <v>9.5</v>
      </c>
      <c r="G23" s="18" t="s">
        <v>719</v>
      </c>
      <c r="H23" s="27" t="s">
        <v>720</v>
      </c>
    </row>
  </sheetData>
  <pageMargins left="0.7" right="0.7" top="0.75" bottom="0.75" header="0.3" footer="0.3"/>
  <pageSetup paperSize="256" orientation="portrait" horizontalDpi="203" verticalDpi="203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D24C13-12A3-47A9-94C0-BFD1E95DD790}">
  <sheetPr codeName="Hoja14"/>
  <dimension ref="B2:G48"/>
  <sheetViews>
    <sheetView topLeftCell="A22" workbookViewId="0">
      <selection activeCell="I41" sqref="I41:J43"/>
    </sheetView>
  </sheetViews>
  <sheetFormatPr baseColWidth="10" defaultRowHeight="15.75" x14ac:dyDescent="0.25"/>
  <cols>
    <col min="2" max="2" width="11" style="3"/>
    <col min="3" max="3" width="28.375" style="3" customWidth="1"/>
    <col min="4" max="5" width="11" style="3"/>
    <col min="6" max="6" width="24.875" style="3" customWidth="1"/>
    <col min="7" max="7" width="35.375" style="3" bestFit="1" customWidth="1"/>
  </cols>
  <sheetData>
    <row r="2" spans="2:7" x14ac:dyDescent="0.25">
      <c r="B2" s="7" t="s">
        <v>0</v>
      </c>
      <c r="C2" s="7" t="s">
        <v>1</v>
      </c>
      <c r="D2" s="7" t="s">
        <v>2</v>
      </c>
      <c r="E2" s="7" t="s">
        <v>3</v>
      </c>
      <c r="F2" s="7" t="s">
        <v>4</v>
      </c>
      <c r="G2" s="1"/>
    </row>
    <row r="3" spans="2:7" x14ac:dyDescent="0.25">
      <c r="B3" s="1" t="s">
        <v>740</v>
      </c>
      <c r="C3" s="1" t="s">
        <v>17</v>
      </c>
      <c r="D3" s="1" t="s">
        <v>7</v>
      </c>
      <c r="E3" s="1">
        <v>46</v>
      </c>
      <c r="F3" s="1" t="s">
        <v>786</v>
      </c>
      <c r="G3" s="2" t="s">
        <v>63</v>
      </c>
    </row>
    <row r="4" spans="2:7" x14ac:dyDescent="0.25">
      <c r="B4" s="1" t="s">
        <v>740</v>
      </c>
      <c r="C4" s="1" t="s">
        <v>17</v>
      </c>
      <c r="D4" s="1" t="s">
        <v>7</v>
      </c>
      <c r="E4" s="1">
        <v>500</v>
      </c>
      <c r="F4" s="1" t="s">
        <v>787</v>
      </c>
      <c r="G4" s="2" t="s">
        <v>63</v>
      </c>
    </row>
    <row r="5" spans="2:7" x14ac:dyDescent="0.25">
      <c r="B5" s="1" t="s">
        <v>740</v>
      </c>
      <c r="C5" s="1" t="s">
        <v>299</v>
      </c>
      <c r="D5" s="1" t="s">
        <v>7</v>
      </c>
      <c r="E5" s="1">
        <v>4</v>
      </c>
      <c r="F5" s="1" t="s">
        <v>788</v>
      </c>
      <c r="G5" s="2" t="s">
        <v>808</v>
      </c>
    </row>
    <row r="6" spans="2:7" x14ac:dyDescent="0.25">
      <c r="B6" s="1" t="s">
        <v>740</v>
      </c>
      <c r="C6" s="1" t="s">
        <v>665</v>
      </c>
      <c r="D6" s="1" t="s">
        <v>7</v>
      </c>
      <c r="E6" s="1">
        <v>40</v>
      </c>
      <c r="F6" s="1" t="s">
        <v>789</v>
      </c>
      <c r="G6" s="2" t="s">
        <v>386</v>
      </c>
    </row>
    <row r="7" spans="2:7" x14ac:dyDescent="0.25">
      <c r="B7" s="1" t="s">
        <v>740</v>
      </c>
      <c r="C7" s="1" t="s">
        <v>39</v>
      </c>
      <c r="D7" s="1" t="s">
        <v>7</v>
      </c>
      <c r="E7" s="1">
        <v>5</v>
      </c>
      <c r="F7" s="1" t="s">
        <v>790</v>
      </c>
      <c r="G7" s="2" t="s">
        <v>807</v>
      </c>
    </row>
    <row r="8" spans="2:7" x14ac:dyDescent="0.25">
      <c r="B8" s="1" t="s">
        <v>740</v>
      </c>
      <c r="C8" s="1" t="s">
        <v>9</v>
      </c>
      <c r="D8" s="1" t="s">
        <v>7</v>
      </c>
      <c r="E8" s="1">
        <v>334</v>
      </c>
      <c r="F8" s="1" t="s">
        <v>791</v>
      </c>
      <c r="G8" s="2" t="s">
        <v>553</v>
      </c>
    </row>
    <row r="9" spans="2:7" x14ac:dyDescent="0.25">
      <c r="B9" s="1" t="s">
        <v>740</v>
      </c>
      <c r="C9" s="1" t="s">
        <v>161</v>
      </c>
      <c r="D9" s="1" t="s">
        <v>7</v>
      </c>
      <c r="E9" s="1">
        <v>12</v>
      </c>
      <c r="F9" s="1" t="s">
        <v>792</v>
      </c>
      <c r="G9" s="2" t="s">
        <v>806</v>
      </c>
    </row>
    <row r="10" spans="2:7" x14ac:dyDescent="0.25">
      <c r="B10" s="1" t="s">
        <v>740</v>
      </c>
      <c r="C10" s="1" t="s">
        <v>13</v>
      </c>
      <c r="D10" s="1" t="s">
        <v>7</v>
      </c>
      <c r="E10" s="1">
        <v>21.5</v>
      </c>
      <c r="F10" s="1" t="s">
        <v>793</v>
      </c>
      <c r="G10" s="2" t="s">
        <v>68</v>
      </c>
    </row>
    <row r="11" spans="2:7" x14ac:dyDescent="0.25">
      <c r="B11" s="28" t="s">
        <v>740</v>
      </c>
      <c r="C11" s="28" t="s">
        <v>248</v>
      </c>
      <c r="D11" s="28" t="s">
        <v>7</v>
      </c>
      <c r="E11" s="28">
        <v>-100</v>
      </c>
      <c r="F11" s="28" t="s">
        <v>794</v>
      </c>
      <c r="G11" s="48" t="s">
        <v>805</v>
      </c>
    </row>
    <row r="12" spans="2:7" x14ac:dyDescent="0.25">
      <c r="B12" s="1" t="s">
        <v>740</v>
      </c>
      <c r="C12" s="1" t="s">
        <v>240</v>
      </c>
      <c r="D12" s="1" t="s">
        <v>7</v>
      </c>
      <c r="E12" s="1">
        <v>5</v>
      </c>
      <c r="F12" s="1" t="s">
        <v>795</v>
      </c>
      <c r="G12" s="2" t="s">
        <v>809</v>
      </c>
    </row>
    <row r="13" spans="2:7" x14ac:dyDescent="0.25">
      <c r="B13" s="1" t="s">
        <v>740</v>
      </c>
      <c r="C13" s="1" t="s">
        <v>472</v>
      </c>
      <c r="D13" s="1" t="s">
        <v>7</v>
      </c>
      <c r="E13" s="1">
        <v>-450</v>
      </c>
      <c r="F13" s="1" t="s">
        <v>796</v>
      </c>
      <c r="G13" s="2" t="s">
        <v>804</v>
      </c>
    </row>
    <row r="14" spans="2:7" x14ac:dyDescent="0.25">
      <c r="B14" s="1" t="s">
        <v>740</v>
      </c>
      <c r="C14" s="1" t="s">
        <v>797</v>
      </c>
      <c r="D14" s="1" t="s">
        <v>7</v>
      </c>
      <c r="E14" s="1">
        <v>30</v>
      </c>
      <c r="F14" s="1" t="s">
        <v>798</v>
      </c>
      <c r="G14" s="2" t="s">
        <v>63</v>
      </c>
    </row>
    <row r="15" spans="2:7" x14ac:dyDescent="0.25">
      <c r="B15" s="1" t="s">
        <v>740</v>
      </c>
      <c r="C15" s="1" t="s">
        <v>72</v>
      </c>
      <c r="D15" s="1" t="s">
        <v>7</v>
      </c>
      <c r="E15" s="1">
        <v>13</v>
      </c>
      <c r="F15" s="1" t="s">
        <v>799</v>
      </c>
      <c r="G15" s="2" t="s">
        <v>803</v>
      </c>
    </row>
    <row r="16" spans="2:7" x14ac:dyDescent="0.25">
      <c r="B16" s="1" t="s">
        <v>740</v>
      </c>
      <c r="C16" s="1" t="s">
        <v>800</v>
      </c>
      <c r="D16" s="1" t="s">
        <v>7</v>
      </c>
      <c r="E16" s="1">
        <v>100</v>
      </c>
      <c r="F16" s="1" t="s">
        <v>801</v>
      </c>
      <c r="G16" s="2" t="s">
        <v>810</v>
      </c>
    </row>
    <row r="17" spans="2:7" x14ac:dyDescent="0.25">
      <c r="B17" s="1" t="s">
        <v>740</v>
      </c>
      <c r="C17" s="1" t="s">
        <v>800</v>
      </c>
      <c r="D17" s="1" t="s">
        <v>7</v>
      </c>
      <c r="E17" s="1">
        <v>310</v>
      </c>
      <c r="F17" s="1" t="s">
        <v>802</v>
      </c>
      <c r="G17" s="2" t="s">
        <v>810</v>
      </c>
    </row>
    <row r="18" spans="2:7" x14ac:dyDescent="0.25">
      <c r="B18" s="1" t="s">
        <v>740</v>
      </c>
      <c r="C18" s="1" t="s">
        <v>75</v>
      </c>
      <c r="D18" s="1" t="s">
        <v>7</v>
      </c>
      <c r="E18" s="1">
        <v>10</v>
      </c>
      <c r="F18" s="1" t="s">
        <v>741</v>
      </c>
      <c r="G18" s="2" t="s">
        <v>781</v>
      </c>
    </row>
    <row r="19" spans="2:7" x14ac:dyDescent="0.25">
      <c r="B19" s="1" t="s">
        <v>740</v>
      </c>
      <c r="C19" s="1" t="s">
        <v>742</v>
      </c>
      <c r="D19" s="1" t="s">
        <v>7</v>
      </c>
      <c r="E19" s="1">
        <v>300</v>
      </c>
      <c r="F19" s="1" t="s">
        <v>743</v>
      </c>
      <c r="G19" s="2" t="s">
        <v>782</v>
      </c>
    </row>
    <row r="20" spans="2:7" x14ac:dyDescent="0.25">
      <c r="B20" s="1" t="s">
        <v>740</v>
      </c>
      <c r="C20" s="1" t="s">
        <v>742</v>
      </c>
      <c r="D20" s="1" t="s">
        <v>7</v>
      </c>
      <c r="E20" s="1">
        <v>500</v>
      </c>
      <c r="F20" s="1" t="s">
        <v>744</v>
      </c>
      <c r="G20" s="2" t="s">
        <v>782</v>
      </c>
    </row>
    <row r="21" spans="2:7" x14ac:dyDescent="0.25">
      <c r="B21" s="1" t="s">
        <v>740</v>
      </c>
      <c r="C21" s="1" t="s">
        <v>23</v>
      </c>
      <c r="D21" s="1" t="s">
        <v>7</v>
      </c>
      <c r="E21" s="1">
        <v>3400</v>
      </c>
      <c r="F21" s="1" t="s">
        <v>745</v>
      </c>
      <c r="G21" s="2" t="s">
        <v>660</v>
      </c>
    </row>
    <row r="22" spans="2:7" x14ac:dyDescent="0.25">
      <c r="B22" s="1" t="s">
        <v>740</v>
      </c>
      <c r="C22" s="1" t="s">
        <v>269</v>
      </c>
      <c r="D22" s="1" t="s">
        <v>7</v>
      </c>
      <c r="E22" s="1">
        <v>34</v>
      </c>
      <c r="F22" s="1" t="s">
        <v>746</v>
      </c>
      <c r="G22" s="2" t="s">
        <v>780</v>
      </c>
    </row>
    <row r="23" spans="2:7" x14ac:dyDescent="0.25">
      <c r="B23" s="1" t="s">
        <v>740</v>
      </c>
      <c r="C23" s="1" t="s">
        <v>23</v>
      </c>
      <c r="D23" s="1" t="s">
        <v>7</v>
      </c>
      <c r="E23" s="1">
        <v>413</v>
      </c>
      <c r="F23" s="1" t="s">
        <v>747</v>
      </c>
      <c r="G23" s="2" t="s">
        <v>660</v>
      </c>
    </row>
    <row r="24" spans="2:7" x14ac:dyDescent="0.25">
      <c r="B24" s="28" t="s">
        <v>740</v>
      </c>
      <c r="C24" s="28" t="s">
        <v>248</v>
      </c>
      <c r="D24" s="28" t="s">
        <v>7</v>
      </c>
      <c r="E24" s="28">
        <v>-130</v>
      </c>
      <c r="F24" s="28" t="s">
        <v>748</v>
      </c>
      <c r="G24" s="48" t="s">
        <v>772</v>
      </c>
    </row>
    <row r="25" spans="2:7" x14ac:dyDescent="0.25">
      <c r="B25" s="1" t="s">
        <v>740</v>
      </c>
      <c r="C25" s="1" t="s">
        <v>6</v>
      </c>
      <c r="D25" s="1" t="s">
        <v>7</v>
      </c>
      <c r="E25" s="1">
        <v>470</v>
      </c>
      <c r="F25" s="1" t="s">
        <v>749</v>
      </c>
      <c r="G25" s="2" t="s">
        <v>779</v>
      </c>
    </row>
    <row r="26" spans="2:7" x14ac:dyDescent="0.25">
      <c r="B26" s="1" t="s">
        <v>740</v>
      </c>
      <c r="C26" s="1" t="s">
        <v>269</v>
      </c>
      <c r="D26" s="1" t="s">
        <v>7</v>
      </c>
      <c r="E26" s="1">
        <v>68</v>
      </c>
      <c r="F26" s="1" t="s">
        <v>750</v>
      </c>
      <c r="G26" s="2" t="s">
        <v>778</v>
      </c>
    </row>
    <row r="27" spans="2:7" x14ac:dyDescent="0.25">
      <c r="B27" s="1" t="s">
        <v>740</v>
      </c>
      <c r="C27" s="1" t="s">
        <v>13</v>
      </c>
      <c r="D27" s="1" t="s">
        <v>7</v>
      </c>
      <c r="E27" s="1">
        <v>5.5</v>
      </c>
      <c r="F27" s="1" t="s">
        <v>751</v>
      </c>
      <c r="G27" s="2" t="s">
        <v>770</v>
      </c>
    </row>
    <row r="28" spans="2:7" x14ac:dyDescent="0.25">
      <c r="B28" s="1" t="s">
        <v>740</v>
      </c>
      <c r="C28" s="1" t="s">
        <v>6</v>
      </c>
      <c r="D28" s="1" t="s">
        <v>7</v>
      </c>
      <c r="E28" s="1">
        <v>420</v>
      </c>
      <c r="F28" s="1" t="s">
        <v>752</v>
      </c>
      <c r="G28" s="2" t="s">
        <v>52</v>
      </c>
    </row>
    <row r="29" spans="2:7" x14ac:dyDescent="0.25">
      <c r="B29" s="1" t="s">
        <v>740</v>
      </c>
      <c r="C29" s="1" t="s">
        <v>6</v>
      </c>
      <c r="D29" s="1" t="s">
        <v>7</v>
      </c>
      <c r="E29" s="1">
        <v>500</v>
      </c>
      <c r="F29" s="1" t="s">
        <v>753</v>
      </c>
      <c r="G29" s="2" t="s">
        <v>52</v>
      </c>
    </row>
    <row r="30" spans="2:7" x14ac:dyDescent="0.25">
      <c r="B30" s="1" t="s">
        <v>740</v>
      </c>
      <c r="C30" s="1" t="s">
        <v>6</v>
      </c>
      <c r="D30" s="1" t="s">
        <v>7</v>
      </c>
      <c r="E30" s="1">
        <v>500</v>
      </c>
      <c r="F30" s="1" t="s">
        <v>754</v>
      </c>
      <c r="G30" s="2" t="s">
        <v>52</v>
      </c>
    </row>
    <row r="31" spans="2:7" x14ac:dyDescent="0.25">
      <c r="B31" s="1" t="s">
        <v>740</v>
      </c>
      <c r="C31" s="1" t="s">
        <v>6</v>
      </c>
      <c r="D31" s="1" t="s">
        <v>7</v>
      </c>
      <c r="E31" s="1">
        <v>500</v>
      </c>
      <c r="F31" s="1" t="s">
        <v>755</v>
      </c>
      <c r="G31" s="2" t="s">
        <v>52</v>
      </c>
    </row>
    <row r="32" spans="2:7" x14ac:dyDescent="0.25">
      <c r="B32" s="1" t="s">
        <v>740</v>
      </c>
      <c r="C32" s="1" t="s">
        <v>509</v>
      </c>
      <c r="D32" s="1" t="s">
        <v>7</v>
      </c>
      <c r="E32" s="1">
        <v>35</v>
      </c>
      <c r="F32" s="1" t="s">
        <v>756</v>
      </c>
      <c r="G32" s="2" t="s">
        <v>776</v>
      </c>
    </row>
    <row r="33" spans="2:7" x14ac:dyDescent="0.25">
      <c r="B33" s="1" t="s">
        <v>740</v>
      </c>
      <c r="C33" s="1" t="s">
        <v>122</v>
      </c>
      <c r="D33" s="1" t="s">
        <v>7</v>
      </c>
      <c r="E33" s="1">
        <v>11</v>
      </c>
      <c r="F33" s="1" t="s">
        <v>757</v>
      </c>
      <c r="G33" s="2" t="s">
        <v>771</v>
      </c>
    </row>
    <row r="34" spans="2:7" x14ac:dyDescent="0.25">
      <c r="B34" s="1" t="s">
        <v>740</v>
      </c>
      <c r="C34" s="1" t="s">
        <v>240</v>
      </c>
      <c r="D34" s="1" t="s">
        <v>7</v>
      </c>
      <c r="E34" s="1">
        <v>5.5</v>
      </c>
      <c r="F34" s="1" t="s">
        <v>758</v>
      </c>
      <c r="G34" s="2" t="s">
        <v>777</v>
      </c>
    </row>
    <row r="35" spans="2:7" x14ac:dyDescent="0.25">
      <c r="B35" s="1" t="s">
        <v>740</v>
      </c>
      <c r="C35" s="1" t="s">
        <v>759</v>
      </c>
      <c r="D35" s="1" t="s">
        <v>7</v>
      </c>
      <c r="E35" s="1">
        <v>881.5</v>
      </c>
      <c r="F35" s="1" t="s">
        <v>760</v>
      </c>
      <c r="G35" s="2" t="s">
        <v>785</v>
      </c>
    </row>
    <row r="36" spans="2:7" x14ac:dyDescent="0.25">
      <c r="B36" s="1" t="s">
        <v>740</v>
      </c>
      <c r="C36" s="1" t="s">
        <v>23</v>
      </c>
      <c r="D36" s="1" t="s">
        <v>7</v>
      </c>
      <c r="E36" s="1">
        <v>120</v>
      </c>
      <c r="F36" s="1" t="s">
        <v>761</v>
      </c>
      <c r="G36" s="2" t="s">
        <v>660</v>
      </c>
    </row>
    <row r="37" spans="2:7" x14ac:dyDescent="0.25">
      <c r="B37" s="1" t="s">
        <v>740</v>
      </c>
      <c r="C37" s="1" t="s">
        <v>9</v>
      </c>
      <c r="D37" s="1" t="s">
        <v>7</v>
      </c>
      <c r="E37" s="1">
        <v>250</v>
      </c>
      <c r="F37" s="1" t="s">
        <v>762</v>
      </c>
      <c r="G37" s="2" t="s">
        <v>775</v>
      </c>
    </row>
    <row r="38" spans="2:7" x14ac:dyDescent="0.25">
      <c r="B38" s="49">
        <v>46092</v>
      </c>
      <c r="C38" s="1" t="s">
        <v>692</v>
      </c>
      <c r="D38" s="1" t="s">
        <v>7</v>
      </c>
      <c r="E38" s="1">
        <v>32</v>
      </c>
      <c r="F38" s="1">
        <v>4346754</v>
      </c>
      <c r="G38" s="2" t="s">
        <v>774</v>
      </c>
    </row>
    <row r="39" spans="2:7" x14ac:dyDescent="0.25">
      <c r="B39" s="49">
        <v>46092</v>
      </c>
      <c r="C39" s="1" t="s">
        <v>692</v>
      </c>
      <c r="D39" s="1" t="s">
        <v>7</v>
      </c>
      <c r="E39" s="1">
        <v>136</v>
      </c>
      <c r="F39" s="1">
        <v>4691008</v>
      </c>
      <c r="G39" s="2" t="s">
        <v>63</v>
      </c>
    </row>
    <row r="40" spans="2:7" x14ac:dyDescent="0.25">
      <c r="B40" s="49">
        <v>46092</v>
      </c>
      <c r="C40" s="1" t="s">
        <v>692</v>
      </c>
      <c r="D40" s="1" t="s">
        <v>7</v>
      </c>
      <c r="E40" s="1">
        <v>96</v>
      </c>
      <c r="F40" s="1">
        <v>95257</v>
      </c>
      <c r="G40" s="2" t="s">
        <v>763</v>
      </c>
    </row>
    <row r="41" spans="2:7" x14ac:dyDescent="0.25">
      <c r="B41" s="49">
        <v>46092</v>
      </c>
      <c r="C41" s="1" t="s">
        <v>692</v>
      </c>
      <c r="D41" s="1" t="s">
        <v>7</v>
      </c>
      <c r="E41" s="1">
        <v>140</v>
      </c>
      <c r="F41" s="1">
        <v>1815533</v>
      </c>
      <c r="G41" s="2" t="s">
        <v>764</v>
      </c>
    </row>
    <row r="42" spans="2:7" x14ac:dyDescent="0.25">
      <c r="B42" s="49">
        <v>46092</v>
      </c>
      <c r="C42" s="1" t="s">
        <v>692</v>
      </c>
      <c r="D42" s="1" t="s">
        <v>7</v>
      </c>
      <c r="E42" s="1">
        <v>4.5</v>
      </c>
      <c r="F42" s="1">
        <v>1476053</v>
      </c>
      <c r="G42" s="2" t="s">
        <v>765</v>
      </c>
    </row>
    <row r="43" spans="2:7" x14ac:dyDescent="0.25">
      <c r="B43" s="50">
        <v>46092</v>
      </c>
      <c r="C43" s="28" t="s">
        <v>767</v>
      </c>
      <c r="D43" s="28" t="s">
        <v>7</v>
      </c>
      <c r="E43" s="28">
        <v>-90.5</v>
      </c>
      <c r="F43" s="28">
        <v>1806943</v>
      </c>
      <c r="G43" s="48" t="s">
        <v>766</v>
      </c>
    </row>
    <row r="44" spans="2:7" x14ac:dyDescent="0.25">
      <c r="B44" s="50">
        <v>46092</v>
      </c>
      <c r="C44" s="28" t="s">
        <v>768</v>
      </c>
      <c r="D44" s="28" t="s">
        <v>7</v>
      </c>
      <c r="E44" s="28">
        <v>-70.760000000000005</v>
      </c>
      <c r="F44" s="28">
        <v>507069</v>
      </c>
      <c r="G44" s="48" t="s">
        <v>769</v>
      </c>
    </row>
    <row r="45" spans="2:7" x14ac:dyDescent="0.25">
      <c r="B45" s="49">
        <v>46092</v>
      </c>
      <c r="C45" s="1" t="s">
        <v>692</v>
      </c>
      <c r="D45" s="1" t="s">
        <v>7</v>
      </c>
      <c r="E45" s="1">
        <v>3</v>
      </c>
      <c r="F45" s="1">
        <v>4905410</v>
      </c>
      <c r="G45" s="2" t="s">
        <v>773</v>
      </c>
    </row>
    <row r="46" spans="2:7" x14ac:dyDescent="0.25">
      <c r="B46" s="49">
        <v>46092</v>
      </c>
      <c r="C46" s="1" t="s">
        <v>783</v>
      </c>
      <c r="D46" s="1" t="s">
        <v>7</v>
      </c>
      <c r="E46" s="1">
        <v>907.5</v>
      </c>
      <c r="F46" s="1">
        <v>547968</v>
      </c>
      <c r="G46" s="2" t="s">
        <v>784</v>
      </c>
    </row>
    <row r="47" spans="2:7" x14ac:dyDescent="0.25">
      <c r="B47" s="3" t="s">
        <v>740</v>
      </c>
      <c r="C47" s="3" t="s">
        <v>829</v>
      </c>
      <c r="D47" s="3" t="s">
        <v>7</v>
      </c>
      <c r="E47" s="3">
        <v>500</v>
      </c>
      <c r="F47" s="3" t="s">
        <v>830</v>
      </c>
      <c r="G47" s="3" t="s">
        <v>832</v>
      </c>
    </row>
    <row r="48" spans="2:7" x14ac:dyDescent="0.25">
      <c r="B48" s="3" t="s">
        <v>740</v>
      </c>
      <c r="C48" s="3" t="s">
        <v>472</v>
      </c>
      <c r="D48" s="3" t="s">
        <v>7</v>
      </c>
      <c r="E48" s="3">
        <v>-34505.5</v>
      </c>
      <c r="F48" s="3" t="s">
        <v>831</v>
      </c>
      <c r="G48" s="3" t="s">
        <v>833</v>
      </c>
    </row>
  </sheetData>
  <pageMargins left="0.7" right="0.7" top="0.75" bottom="0.75" header="0.3" footer="0.3"/>
  <pageSetup paperSize="256" orientation="portrait" horizontalDpi="203" verticalDpi="203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2A6B63-2034-4411-B74C-70DB5E090359}">
  <sheetPr codeName="Hoja15"/>
  <dimension ref="B1:H40"/>
  <sheetViews>
    <sheetView topLeftCell="A6" workbookViewId="0">
      <selection activeCell="L18" sqref="L18"/>
    </sheetView>
  </sheetViews>
  <sheetFormatPr baseColWidth="10" defaultRowHeight="15.75" x14ac:dyDescent="0.25"/>
  <cols>
    <col min="1" max="1" width="8.875" customWidth="1"/>
    <col min="2" max="2" width="11" style="3"/>
    <col min="3" max="3" width="31" style="3" customWidth="1"/>
    <col min="4" max="5" width="11" style="3"/>
    <col min="6" max="6" width="23.375" style="3" customWidth="1"/>
    <col min="7" max="7" width="34.25" style="3" customWidth="1"/>
    <col min="8" max="8" width="11" style="3"/>
  </cols>
  <sheetData>
    <row r="1" spans="2:8" ht="16.5" thickBot="1" x14ac:dyDescent="0.3"/>
    <row r="2" spans="2:8" x14ac:dyDescent="0.25">
      <c r="B2" s="11" t="s">
        <v>0</v>
      </c>
      <c r="C2" s="12" t="s">
        <v>1</v>
      </c>
      <c r="D2" s="12" t="s">
        <v>2</v>
      </c>
      <c r="E2" s="12" t="s">
        <v>3</v>
      </c>
      <c r="F2" s="12" t="s">
        <v>4</v>
      </c>
      <c r="G2" s="12"/>
      <c r="H2" s="13"/>
    </row>
    <row r="3" spans="2:8" x14ac:dyDescent="0.25">
      <c r="B3" s="14" t="s">
        <v>811</v>
      </c>
      <c r="C3" s="1" t="s">
        <v>17</v>
      </c>
      <c r="D3" s="1" t="s">
        <v>7</v>
      </c>
      <c r="E3" s="1">
        <v>124</v>
      </c>
      <c r="F3" s="1" t="s">
        <v>812</v>
      </c>
      <c r="G3" s="2" t="s">
        <v>544</v>
      </c>
      <c r="H3" s="16"/>
    </row>
    <row r="4" spans="2:8" x14ac:dyDescent="0.25">
      <c r="B4" s="14" t="s">
        <v>811</v>
      </c>
      <c r="C4" s="1" t="s">
        <v>617</v>
      </c>
      <c r="D4" s="1" t="s">
        <v>7</v>
      </c>
      <c r="E4" s="1">
        <v>15.5</v>
      </c>
      <c r="F4" s="1" t="s">
        <v>813</v>
      </c>
      <c r="G4" s="2" t="s">
        <v>842</v>
      </c>
      <c r="H4" s="16"/>
    </row>
    <row r="5" spans="2:8" x14ac:dyDescent="0.25">
      <c r="B5" s="29" t="s">
        <v>811</v>
      </c>
      <c r="C5" s="28" t="s">
        <v>248</v>
      </c>
      <c r="D5" s="28" t="s">
        <v>7</v>
      </c>
      <c r="E5" s="28">
        <v>-40</v>
      </c>
      <c r="F5" s="28" t="s">
        <v>814</v>
      </c>
      <c r="G5" s="48" t="s">
        <v>839</v>
      </c>
      <c r="H5" s="16"/>
    </row>
    <row r="6" spans="2:8" x14ac:dyDescent="0.25">
      <c r="B6" s="14" t="s">
        <v>811</v>
      </c>
      <c r="C6" s="1" t="s">
        <v>370</v>
      </c>
      <c r="D6" s="1" t="s">
        <v>7</v>
      </c>
      <c r="E6" s="1">
        <v>135.19999999999999</v>
      </c>
      <c r="F6" s="1" t="s">
        <v>815</v>
      </c>
      <c r="G6" s="2" t="s">
        <v>878</v>
      </c>
      <c r="H6" s="16"/>
    </row>
    <row r="7" spans="2:8" x14ac:dyDescent="0.25">
      <c r="B7" s="14" t="s">
        <v>811</v>
      </c>
      <c r="C7" s="1" t="s">
        <v>6</v>
      </c>
      <c r="D7" s="1" t="s">
        <v>7</v>
      </c>
      <c r="E7" s="1">
        <v>434</v>
      </c>
      <c r="F7" s="1" t="s">
        <v>816</v>
      </c>
      <c r="G7" s="2" t="s">
        <v>52</v>
      </c>
      <c r="H7" s="16"/>
    </row>
    <row r="8" spans="2:8" x14ac:dyDescent="0.25">
      <c r="B8" s="14" t="s">
        <v>811</v>
      </c>
      <c r="C8" s="1" t="s">
        <v>295</v>
      </c>
      <c r="D8" s="1" t="s">
        <v>7</v>
      </c>
      <c r="E8" s="1">
        <v>120</v>
      </c>
      <c r="F8" s="1" t="s">
        <v>817</v>
      </c>
      <c r="G8" s="2" t="s">
        <v>877</v>
      </c>
      <c r="H8" s="16"/>
    </row>
    <row r="9" spans="2:8" x14ac:dyDescent="0.25">
      <c r="B9" s="14" t="s">
        <v>811</v>
      </c>
      <c r="C9" s="1" t="s">
        <v>382</v>
      </c>
      <c r="D9" s="1" t="s">
        <v>7</v>
      </c>
      <c r="E9" s="1">
        <v>209</v>
      </c>
      <c r="F9" s="1" t="s">
        <v>818</v>
      </c>
      <c r="G9" s="2" t="s">
        <v>56</v>
      </c>
      <c r="H9" s="16"/>
    </row>
    <row r="10" spans="2:8" x14ac:dyDescent="0.25">
      <c r="B10" s="14" t="s">
        <v>811</v>
      </c>
      <c r="C10" s="1" t="s">
        <v>382</v>
      </c>
      <c r="D10" s="1" t="s">
        <v>7</v>
      </c>
      <c r="E10" s="1">
        <v>500</v>
      </c>
      <c r="F10" s="1" t="s">
        <v>819</v>
      </c>
      <c r="G10" s="2" t="s">
        <v>56</v>
      </c>
      <c r="H10" s="16"/>
    </row>
    <row r="11" spans="2:8" x14ac:dyDescent="0.25">
      <c r="B11" s="14" t="s">
        <v>811</v>
      </c>
      <c r="C11" s="1" t="s">
        <v>373</v>
      </c>
      <c r="D11" s="1" t="s">
        <v>7</v>
      </c>
      <c r="E11" s="1">
        <v>109.2</v>
      </c>
      <c r="F11" s="1" t="s">
        <v>820</v>
      </c>
      <c r="G11" s="2" t="s">
        <v>841</v>
      </c>
      <c r="H11" s="16"/>
    </row>
    <row r="12" spans="2:8" x14ac:dyDescent="0.25">
      <c r="B12" s="52" t="s">
        <v>811</v>
      </c>
      <c r="C12" s="51" t="s">
        <v>220</v>
      </c>
      <c r="D12" s="51" t="s">
        <v>7</v>
      </c>
      <c r="E12" s="51">
        <v>1010.5</v>
      </c>
      <c r="F12" s="51" t="s">
        <v>821</v>
      </c>
      <c r="G12" s="51" t="s">
        <v>832</v>
      </c>
      <c r="H12" s="37" t="s">
        <v>838</v>
      </c>
    </row>
    <row r="13" spans="2:8" x14ac:dyDescent="0.25">
      <c r="B13" s="14" t="s">
        <v>811</v>
      </c>
      <c r="C13" s="1" t="s">
        <v>373</v>
      </c>
      <c r="D13" s="1" t="s">
        <v>7</v>
      </c>
      <c r="E13" s="1">
        <v>9</v>
      </c>
      <c r="F13" s="1" t="s">
        <v>822</v>
      </c>
      <c r="G13" s="2" t="s">
        <v>837</v>
      </c>
      <c r="H13" s="16"/>
    </row>
    <row r="14" spans="2:8" x14ac:dyDescent="0.25">
      <c r="B14" s="14" t="s">
        <v>811</v>
      </c>
      <c r="C14" s="1" t="s">
        <v>240</v>
      </c>
      <c r="D14" s="1" t="s">
        <v>7</v>
      </c>
      <c r="E14" s="1">
        <v>5.5</v>
      </c>
      <c r="F14" s="1" t="s">
        <v>823</v>
      </c>
      <c r="G14" s="2" t="s">
        <v>840</v>
      </c>
      <c r="H14" s="16"/>
    </row>
    <row r="15" spans="2:8" x14ac:dyDescent="0.25">
      <c r="B15" s="14" t="s">
        <v>811</v>
      </c>
      <c r="C15" s="1" t="s">
        <v>164</v>
      </c>
      <c r="D15" s="1" t="s">
        <v>7</v>
      </c>
      <c r="E15" s="1">
        <v>1</v>
      </c>
      <c r="F15" s="1" t="s">
        <v>824</v>
      </c>
      <c r="G15" s="2" t="s">
        <v>836</v>
      </c>
      <c r="H15" s="16"/>
    </row>
    <row r="16" spans="2:8" x14ac:dyDescent="0.25">
      <c r="B16" s="14" t="s">
        <v>811</v>
      </c>
      <c r="C16" s="1" t="s">
        <v>164</v>
      </c>
      <c r="D16" s="1" t="s">
        <v>7</v>
      </c>
      <c r="E16" s="1">
        <v>161.5</v>
      </c>
      <c r="F16" s="1" t="s">
        <v>825</v>
      </c>
      <c r="G16" s="2" t="s">
        <v>835</v>
      </c>
      <c r="H16" s="16"/>
    </row>
    <row r="17" spans="2:8" x14ac:dyDescent="0.25">
      <c r="B17" s="29" t="s">
        <v>811</v>
      </c>
      <c r="C17" s="28" t="s">
        <v>248</v>
      </c>
      <c r="D17" s="28" t="s">
        <v>7</v>
      </c>
      <c r="E17" s="28">
        <v>-180</v>
      </c>
      <c r="F17" s="28" t="s">
        <v>826</v>
      </c>
      <c r="G17" s="48" t="s">
        <v>834</v>
      </c>
      <c r="H17" s="16"/>
    </row>
    <row r="18" spans="2:8" x14ac:dyDescent="0.25">
      <c r="B18" s="14" t="s">
        <v>811</v>
      </c>
      <c r="C18" s="1" t="s">
        <v>23</v>
      </c>
      <c r="D18" s="1" t="s">
        <v>7</v>
      </c>
      <c r="E18" s="1">
        <v>590</v>
      </c>
      <c r="F18" s="1" t="s">
        <v>827</v>
      </c>
      <c r="G18" s="2" t="s">
        <v>575</v>
      </c>
      <c r="H18" s="16"/>
    </row>
    <row r="19" spans="2:8" x14ac:dyDescent="0.25">
      <c r="B19" s="14" t="s">
        <v>811</v>
      </c>
      <c r="C19" s="1" t="s">
        <v>23</v>
      </c>
      <c r="D19" s="1" t="s">
        <v>7</v>
      </c>
      <c r="E19" s="1">
        <v>3000</v>
      </c>
      <c r="F19" s="1" t="s">
        <v>828</v>
      </c>
      <c r="G19" s="2" t="s">
        <v>875</v>
      </c>
      <c r="H19" s="16"/>
    </row>
    <row r="20" spans="2:8" x14ac:dyDescent="0.25">
      <c r="B20" s="14" t="s">
        <v>811</v>
      </c>
      <c r="C20" s="1" t="s">
        <v>23</v>
      </c>
      <c r="D20" s="1" t="s">
        <v>7</v>
      </c>
      <c r="E20" s="1">
        <v>580</v>
      </c>
      <c r="F20" s="1" t="s">
        <v>843</v>
      </c>
      <c r="G20" s="2" t="s">
        <v>590</v>
      </c>
      <c r="H20" s="16"/>
    </row>
    <row r="21" spans="2:8" x14ac:dyDescent="0.25">
      <c r="B21" s="14" t="s">
        <v>811</v>
      </c>
      <c r="C21" s="1" t="s">
        <v>17</v>
      </c>
      <c r="D21" s="1" t="s">
        <v>7</v>
      </c>
      <c r="E21" s="1">
        <v>3</v>
      </c>
      <c r="F21" s="1" t="s">
        <v>844</v>
      </c>
      <c r="G21" s="2" t="s">
        <v>873</v>
      </c>
      <c r="H21" s="16"/>
    </row>
    <row r="22" spans="2:8" x14ac:dyDescent="0.25">
      <c r="B22" s="14" t="s">
        <v>811</v>
      </c>
      <c r="C22" s="1" t="s">
        <v>27</v>
      </c>
      <c r="D22" s="1" t="s">
        <v>7</v>
      </c>
      <c r="E22" s="1">
        <v>360</v>
      </c>
      <c r="F22" s="1" t="s">
        <v>845</v>
      </c>
      <c r="G22" s="2" t="s">
        <v>77</v>
      </c>
      <c r="H22" s="16"/>
    </row>
    <row r="23" spans="2:8" x14ac:dyDescent="0.25">
      <c r="B23" s="14" t="s">
        <v>811</v>
      </c>
      <c r="C23" s="1" t="s">
        <v>240</v>
      </c>
      <c r="D23" s="1" t="s">
        <v>7</v>
      </c>
      <c r="E23" s="1">
        <v>3.5</v>
      </c>
      <c r="F23" s="1" t="s">
        <v>846</v>
      </c>
      <c r="G23" s="2" t="s">
        <v>68</v>
      </c>
      <c r="H23" s="16"/>
    </row>
    <row r="24" spans="2:8" x14ac:dyDescent="0.25">
      <c r="B24" s="14" t="s">
        <v>811</v>
      </c>
      <c r="C24" s="1" t="s">
        <v>847</v>
      </c>
      <c r="D24" s="1" t="s">
        <v>7</v>
      </c>
      <c r="E24" s="1">
        <v>-400</v>
      </c>
      <c r="F24" s="1" t="s">
        <v>848</v>
      </c>
      <c r="G24" s="2" t="s">
        <v>872</v>
      </c>
      <c r="H24" s="16"/>
    </row>
    <row r="25" spans="2:8" x14ac:dyDescent="0.25">
      <c r="B25" s="14" t="s">
        <v>811</v>
      </c>
      <c r="C25" s="1" t="s">
        <v>847</v>
      </c>
      <c r="D25" s="1" t="s">
        <v>7</v>
      </c>
      <c r="E25" s="1">
        <v>-451.2</v>
      </c>
      <c r="F25" s="1" t="s">
        <v>849</v>
      </c>
      <c r="G25" s="2" t="s">
        <v>872</v>
      </c>
      <c r="H25" s="16"/>
    </row>
    <row r="26" spans="2:8" x14ac:dyDescent="0.25">
      <c r="B26" s="14" t="s">
        <v>811</v>
      </c>
      <c r="C26" s="1" t="s">
        <v>17</v>
      </c>
      <c r="D26" s="1" t="s">
        <v>7</v>
      </c>
      <c r="E26" s="1">
        <v>28</v>
      </c>
      <c r="F26" s="1" t="s">
        <v>850</v>
      </c>
      <c r="G26" s="2" t="s">
        <v>63</v>
      </c>
      <c r="H26" s="16"/>
    </row>
    <row r="27" spans="2:8" x14ac:dyDescent="0.25">
      <c r="B27" s="14" t="s">
        <v>811</v>
      </c>
      <c r="C27" s="1" t="s">
        <v>164</v>
      </c>
      <c r="D27" s="1" t="s">
        <v>7</v>
      </c>
      <c r="E27" s="1">
        <v>4.5</v>
      </c>
      <c r="F27" s="1" t="s">
        <v>851</v>
      </c>
      <c r="G27" s="2" t="s">
        <v>874</v>
      </c>
      <c r="H27" s="16"/>
    </row>
    <row r="28" spans="2:8" x14ac:dyDescent="0.25">
      <c r="B28" s="14" t="s">
        <v>811</v>
      </c>
      <c r="C28" s="1" t="s">
        <v>852</v>
      </c>
      <c r="D28" s="1" t="s">
        <v>7</v>
      </c>
      <c r="E28" s="1">
        <v>38.5</v>
      </c>
      <c r="F28" s="1" t="s">
        <v>853</v>
      </c>
      <c r="G28" s="2" t="s">
        <v>868</v>
      </c>
      <c r="H28" s="16"/>
    </row>
    <row r="29" spans="2:8" x14ac:dyDescent="0.25">
      <c r="B29" s="14" t="s">
        <v>811</v>
      </c>
      <c r="C29" s="1" t="s">
        <v>23</v>
      </c>
      <c r="D29" s="1" t="s">
        <v>7</v>
      </c>
      <c r="E29" s="1">
        <v>303</v>
      </c>
      <c r="F29" s="1" t="s">
        <v>854</v>
      </c>
      <c r="G29" s="2" t="s">
        <v>660</v>
      </c>
      <c r="H29" s="16"/>
    </row>
    <row r="30" spans="2:8" x14ac:dyDescent="0.25">
      <c r="B30" s="14" t="s">
        <v>811</v>
      </c>
      <c r="C30" s="1" t="s">
        <v>9</v>
      </c>
      <c r="D30" s="1" t="s">
        <v>7</v>
      </c>
      <c r="E30" s="1">
        <v>68</v>
      </c>
      <c r="F30" s="1" t="s">
        <v>855</v>
      </c>
      <c r="G30" s="2" t="s">
        <v>865</v>
      </c>
      <c r="H30" s="16"/>
    </row>
    <row r="31" spans="2:8" x14ac:dyDescent="0.25">
      <c r="B31" s="14" t="s">
        <v>811</v>
      </c>
      <c r="C31" s="1" t="s">
        <v>9</v>
      </c>
      <c r="D31" s="1" t="s">
        <v>7</v>
      </c>
      <c r="E31" s="1">
        <v>308</v>
      </c>
      <c r="F31" s="1" t="s">
        <v>856</v>
      </c>
      <c r="G31" s="2" t="s">
        <v>870</v>
      </c>
      <c r="H31" s="16"/>
    </row>
    <row r="32" spans="2:8" x14ac:dyDescent="0.25">
      <c r="B32" s="14" t="s">
        <v>811</v>
      </c>
      <c r="C32" s="1" t="s">
        <v>15</v>
      </c>
      <c r="D32" s="1" t="s">
        <v>7</v>
      </c>
      <c r="E32" s="1">
        <v>310</v>
      </c>
      <c r="F32" s="1" t="s">
        <v>857</v>
      </c>
      <c r="G32" s="2" t="s">
        <v>869</v>
      </c>
      <c r="H32" s="16"/>
    </row>
    <row r="33" spans="2:8" x14ac:dyDescent="0.25">
      <c r="B33" s="14" t="s">
        <v>811</v>
      </c>
      <c r="C33" s="1" t="s">
        <v>858</v>
      </c>
      <c r="D33" s="1" t="s">
        <v>7</v>
      </c>
      <c r="E33" s="1">
        <v>6</v>
      </c>
      <c r="F33" s="1" t="s">
        <v>859</v>
      </c>
      <c r="G33" s="2" t="s">
        <v>866</v>
      </c>
      <c r="H33" s="16"/>
    </row>
    <row r="34" spans="2:8" x14ac:dyDescent="0.25">
      <c r="B34" s="14" t="s">
        <v>811</v>
      </c>
      <c r="C34" s="1" t="s">
        <v>240</v>
      </c>
      <c r="D34" s="1" t="s">
        <v>7</v>
      </c>
      <c r="E34" s="1">
        <v>4.5</v>
      </c>
      <c r="F34" s="1" t="s">
        <v>860</v>
      </c>
      <c r="G34" s="2" t="s">
        <v>864</v>
      </c>
      <c r="H34" s="16"/>
    </row>
    <row r="35" spans="2:8" x14ac:dyDescent="0.25">
      <c r="B35" s="14" t="s">
        <v>811</v>
      </c>
      <c r="C35" s="1" t="s">
        <v>9</v>
      </c>
      <c r="D35" s="1" t="s">
        <v>7</v>
      </c>
      <c r="E35" s="1">
        <v>155</v>
      </c>
      <c r="F35" s="1" t="s">
        <v>861</v>
      </c>
      <c r="G35" s="2" t="s">
        <v>865</v>
      </c>
      <c r="H35" s="16"/>
    </row>
    <row r="36" spans="2:8" x14ac:dyDescent="0.25">
      <c r="B36" s="14" t="s">
        <v>811</v>
      </c>
      <c r="C36" s="1" t="s">
        <v>9</v>
      </c>
      <c r="D36" s="1" t="s">
        <v>7</v>
      </c>
      <c r="E36" s="1">
        <v>400</v>
      </c>
      <c r="F36" s="1" t="s">
        <v>862</v>
      </c>
      <c r="G36" s="2" t="s">
        <v>865</v>
      </c>
      <c r="H36" s="16"/>
    </row>
    <row r="37" spans="2:8" x14ac:dyDescent="0.25">
      <c r="B37" s="14" t="s">
        <v>811</v>
      </c>
      <c r="C37" s="1" t="s">
        <v>485</v>
      </c>
      <c r="D37" s="1" t="s">
        <v>7</v>
      </c>
      <c r="E37" s="1">
        <v>43</v>
      </c>
      <c r="F37" s="1" t="s">
        <v>863</v>
      </c>
      <c r="G37" s="2" t="s">
        <v>867</v>
      </c>
      <c r="H37" s="16"/>
    </row>
    <row r="38" spans="2:8" x14ac:dyDescent="0.25">
      <c r="B38" s="3" t="s">
        <v>811</v>
      </c>
      <c r="C38" s="3" t="s">
        <v>23</v>
      </c>
      <c r="D38" s="3" t="s">
        <v>7</v>
      </c>
      <c r="E38" s="3">
        <v>1000</v>
      </c>
      <c r="F38" s="3" t="s">
        <v>876</v>
      </c>
      <c r="G38" s="2" t="s">
        <v>877</v>
      </c>
      <c r="H38" s="16"/>
    </row>
    <row r="39" spans="2:8" x14ac:dyDescent="0.25">
      <c r="B39" s="14"/>
      <c r="C39" s="1"/>
      <c r="D39" s="1"/>
      <c r="E39" s="1"/>
      <c r="F39" s="1"/>
      <c r="G39" s="1"/>
      <c r="H39" s="16"/>
    </row>
    <row r="40" spans="2:8" ht="16.5" thickBot="1" x14ac:dyDescent="0.3">
      <c r="B40" s="17">
        <v>46093</v>
      </c>
      <c r="C40" s="18" t="s">
        <v>78</v>
      </c>
      <c r="D40" s="18"/>
      <c r="E40" s="18">
        <v>3839</v>
      </c>
      <c r="F40" s="18"/>
      <c r="G40" s="53" t="s">
        <v>871</v>
      </c>
      <c r="H40" s="27"/>
    </row>
  </sheetData>
  <pageMargins left="0.7" right="0.7" top="0.75" bottom="0.75" header="0.3" footer="0.3"/>
  <pageSetup paperSize="256" orientation="portrait" horizontalDpi="203" verticalDpi="203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E41394-5AF6-4D03-B16B-0C83DEBADA93}">
  <sheetPr codeName="Hoja16"/>
  <dimension ref="B1:G28"/>
  <sheetViews>
    <sheetView workbookViewId="0">
      <selection sqref="A1:H29"/>
    </sheetView>
  </sheetViews>
  <sheetFormatPr baseColWidth="10" defaultRowHeight="15.75" x14ac:dyDescent="0.25"/>
  <cols>
    <col min="2" max="2" width="11" style="3"/>
    <col min="3" max="3" width="28.25" style="3" customWidth="1"/>
    <col min="4" max="5" width="11" style="3"/>
    <col min="6" max="6" width="25.5" style="3" customWidth="1"/>
    <col min="7" max="7" width="23.75" style="3" customWidth="1"/>
  </cols>
  <sheetData>
    <row r="1" spans="2:7" ht="16.5" thickBot="1" x14ac:dyDescent="0.3"/>
    <row r="2" spans="2:7" x14ac:dyDescent="0.25">
      <c r="B2" s="11" t="s">
        <v>0</v>
      </c>
      <c r="C2" s="12" t="s">
        <v>1</v>
      </c>
      <c r="D2" s="12" t="s">
        <v>2</v>
      </c>
      <c r="E2" s="12" t="s">
        <v>3</v>
      </c>
      <c r="F2" s="12" t="s">
        <v>4</v>
      </c>
      <c r="G2" s="13"/>
    </row>
    <row r="3" spans="2:7" x14ac:dyDescent="0.25">
      <c r="B3" s="14" t="s">
        <v>879</v>
      </c>
      <c r="C3" s="1" t="s">
        <v>23</v>
      </c>
      <c r="D3" s="1" t="s">
        <v>7</v>
      </c>
      <c r="E3" s="1">
        <v>80</v>
      </c>
      <c r="F3" s="1" t="s">
        <v>880</v>
      </c>
      <c r="G3" s="16" t="s">
        <v>921</v>
      </c>
    </row>
    <row r="4" spans="2:7" x14ac:dyDescent="0.25">
      <c r="B4" s="14" t="s">
        <v>879</v>
      </c>
      <c r="C4" s="1" t="s">
        <v>23</v>
      </c>
      <c r="D4" s="1" t="s">
        <v>7</v>
      </c>
      <c r="E4" s="1">
        <v>120</v>
      </c>
      <c r="F4" s="1" t="s">
        <v>881</v>
      </c>
      <c r="G4" s="16" t="s">
        <v>210</v>
      </c>
    </row>
    <row r="5" spans="2:7" x14ac:dyDescent="0.25">
      <c r="B5" s="14" t="s">
        <v>879</v>
      </c>
      <c r="C5" s="1" t="s">
        <v>882</v>
      </c>
      <c r="D5" s="1" t="s">
        <v>7</v>
      </c>
      <c r="E5" s="1">
        <v>1000</v>
      </c>
      <c r="F5" s="1" t="s">
        <v>883</v>
      </c>
      <c r="G5" s="16" t="s">
        <v>921</v>
      </c>
    </row>
    <row r="6" spans="2:7" x14ac:dyDescent="0.25">
      <c r="B6" s="14" t="s">
        <v>879</v>
      </c>
      <c r="C6" s="1" t="s">
        <v>240</v>
      </c>
      <c r="D6" s="1" t="s">
        <v>7</v>
      </c>
      <c r="E6" s="1">
        <v>90</v>
      </c>
      <c r="F6" s="1" t="s">
        <v>884</v>
      </c>
      <c r="G6" s="16" t="s">
        <v>730</v>
      </c>
    </row>
    <row r="7" spans="2:7" x14ac:dyDescent="0.25">
      <c r="B7" s="14" t="s">
        <v>879</v>
      </c>
      <c r="C7" s="1" t="s">
        <v>23</v>
      </c>
      <c r="D7" s="1" t="s">
        <v>7</v>
      </c>
      <c r="E7" s="1">
        <v>252.3</v>
      </c>
      <c r="F7" s="1" t="s">
        <v>885</v>
      </c>
      <c r="G7" s="16" t="s">
        <v>575</v>
      </c>
    </row>
    <row r="8" spans="2:7" x14ac:dyDescent="0.25">
      <c r="B8" s="29" t="s">
        <v>879</v>
      </c>
      <c r="C8" s="28" t="s">
        <v>472</v>
      </c>
      <c r="D8" s="28" t="s">
        <v>7</v>
      </c>
      <c r="E8" s="28">
        <v>-3888</v>
      </c>
      <c r="F8" s="28" t="s">
        <v>886</v>
      </c>
      <c r="G8" s="30" t="s">
        <v>911</v>
      </c>
    </row>
    <row r="9" spans="2:7" x14ac:dyDescent="0.25">
      <c r="B9" s="14" t="s">
        <v>879</v>
      </c>
      <c r="C9" s="1" t="s">
        <v>9</v>
      </c>
      <c r="D9" s="1" t="s">
        <v>7</v>
      </c>
      <c r="E9" s="1">
        <v>20</v>
      </c>
      <c r="F9" s="1" t="s">
        <v>887</v>
      </c>
      <c r="G9" s="16" t="s">
        <v>553</v>
      </c>
    </row>
    <row r="10" spans="2:7" x14ac:dyDescent="0.25">
      <c r="B10" s="14" t="s">
        <v>879</v>
      </c>
      <c r="C10" s="1" t="s">
        <v>23</v>
      </c>
      <c r="D10" s="1" t="s">
        <v>7</v>
      </c>
      <c r="E10" s="1">
        <v>1675</v>
      </c>
      <c r="F10" s="1" t="s">
        <v>888</v>
      </c>
      <c r="G10" s="16" t="s">
        <v>915</v>
      </c>
    </row>
    <row r="11" spans="2:7" x14ac:dyDescent="0.25">
      <c r="B11" s="14" t="s">
        <v>879</v>
      </c>
      <c r="C11" s="1" t="s">
        <v>124</v>
      </c>
      <c r="D11" s="1" t="s">
        <v>7</v>
      </c>
      <c r="E11" s="1">
        <v>17.600000000000001</v>
      </c>
      <c r="F11" s="1" t="s">
        <v>889</v>
      </c>
      <c r="G11" s="16" t="s">
        <v>910</v>
      </c>
    </row>
    <row r="12" spans="2:7" x14ac:dyDescent="0.25">
      <c r="B12" s="14" t="s">
        <v>879</v>
      </c>
      <c r="C12" s="1" t="s">
        <v>23</v>
      </c>
      <c r="D12" s="1" t="s">
        <v>7</v>
      </c>
      <c r="E12" s="1">
        <v>233.5</v>
      </c>
      <c r="F12" s="1" t="s">
        <v>890</v>
      </c>
      <c r="G12" s="16" t="s">
        <v>915</v>
      </c>
    </row>
    <row r="13" spans="2:7" x14ac:dyDescent="0.25">
      <c r="B13" s="14" t="s">
        <v>879</v>
      </c>
      <c r="C13" s="1" t="s">
        <v>891</v>
      </c>
      <c r="D13" s="1" t="s">
        <v>7</v>
      </c>
      <c r="E13" s="1">
        <v>240</v>
      </c>
      <c r="F13" s="1" t="s">
        <v>892</v>
      </c>
      <c r="G13" s="16" t="s">
        <v>909</v>
      </c>
    </row>
    <row r="14" spans="2:7" x14ac:dyDescent="0.25">
      <c r="B14" s="14" t="s">
        <v>879</v>
      </c>
      <c r="C14" s="1" t="s">
        <v>17</v>
      </c>
      <c r="D14" s="1" t="s">
        <v>7</v>
      </c>
      <c r="E14" s="1">
        <v>6</v>
      </c>
      <c r="F14" s="1" t="s">
        <v>893</v>
      </c>
      <c r="G14" s="16" t="s">
        <v>908</v>
      </c>
    </row>
    <row r="15" spans="2:7" x14ac:dyDescent="0.25">
      <c r="B15" s="14" t="s">
        <v>879</v>
      </c>
      <c r="C15" s="1" t="s">
        <v>240</v>
      </c>
      <c r="D15" s="1" t="s">
        <v>7</v>
      </c>
      <c r="E15" s="1">
        <v>36</v>
      </c>
      <c r="F15" s="1" t="s">
        <v>894</v>
      </c>
      <c r="G15" s="16" t="s">
        <v>919</v>
      </c>
    </row>
    <row r="16" spans="2:7" x14ac:dyDescent="0.25">
      <c r="B16" s="14" t="s">
        <v>879</v>
      </c>
      <c r="C16" s="1" t="s">
        <v>382</v>
      </c>
      <c r="D16" s="1" t="s">
        <v>7</v>
      </c>
      <c r="E16" s="1">
        <v>25</v>
      </c>
      <c r="F16" s="1" t="s">
        <v>895</v>
      </c>
      <c r="G16" s="16" t="s">
        <v>586</v>
      </c>
    </row>
    <row r="17" spans="2:7" x14ac:dyDescent="0.25">
      <c r="B17" s="14" t="s">
        <v>879</v>
      </c>
      <c r="C17" s="1" t="s">
        <v>224</v>
      </c>
      <c r="D17" s="1" t="s">
        <v>7</v>
      </c>
      <c r="E17" s="1">
        <v>170</v>
      </c>
      <c r="F17" s="1" t="s">
        <v>896</v>
      </c>
      <c r="G17" s="16" t="s">
        <v>918</v>
      </c>
    </row>
    <row r="18" spans="2:7" x14ac:dyDescent="0.25">
      <c r="B18" s="14" t="s">
        <v>879</v>
      </c>
      <c r="C18" s="1" t="s">
        <v>19</v>
      </c>
      <c r="D18" s="1" t="s">
        <v>7</v>
      </c>
      <c r="E18" s="1">
        <v>11.5</v>
      </c>
      <c r="F18" s="1" t="s">
        <v>897</v>
      </c>
      <c r="G18" s="16" t="s">
        <v>917</v>
      </c>
    </row>
    <row r="19" spans="2:7" x14ac:dyDescent="0.25">
      <c r="B19" s="14" t="s">
        <v>879</v>
      </c>
      <c r="C19" s="1" t="s">
        <v>240</v>
      </c>
      <c r="D19" s="1" t="s">
        <v>7</v>
      </c>
      <c r="E19" s="1">
        <v>5.5</v>
      </c>
      <c r="F19" s="1" t="s">
        <v>898</v>
      </c>
      <c r="G19" s="16" t="s">
        <v>916</v>
      </c>
    </row>
    <row r="20" spans="2:7" x14ac:dyDescent="0.25">
      <c r="B20" s="14" t="s">
        <v>879</v>
      </c>
      <c r="C20" s="1" t="s">
        <v>183</v>
      </c>
      <c r="D20" s="1" t="s">
        <v>7</v>
      </c>
      <c r="E20" s="1">
        <v>20</v>
      </c>
      <c r="F20" s="1" t="s">
        <v>899</v>
      </c>
      <c r="G20" s="16" t="s">
        <v>915</v>
      </c>
    </row>
    <row r="21" spans="2:7" x14ac:dyDescent="0.25">
      <c r="B21" s="14" t="s">
        <v>879</v>
      </c>
      <c r="C21" s="1" t="s">
        <v>742</v>
      </c>
      <c r="D21" s="1" t="s">
        <v>7</v>
      </c>
      <c r="E21" s="1">
        <v>500</v>
      </c>
      <c r="F21" s="1" t="s">
        <v>900</v>
      </c>
      <c r="G21" s="16" t="s">
        <v>920</v>
      </c>
    </row>
    <row r="22" spans="2:7" x14ac:dyDescent="0.25">
      <c r="B22" s="14" t="s">
        <v>879</v>
      </c>
      <c r="C22" s="1" t="s">
        <v>742</v>
      </c>
      <c r="D22" s="1" t="s">
        <v>7</v>
      </c>
      <c r="E22" s="1">
        <v>500</v>
      </c>
      <c r="F22" s="1" t="s">
        <v>901</v>
      </c>
      <c r="G22" s="16" t="s">
        <v>920</v>
      </c>
    </row>
    <row r="23" spans="2:7" x14ac:dyDescent="0.25">
      <c r="B23" s="14" t="s">
        <v>879</v>
      </c>
      <c r="C23" s="1" t="s">
        <v>23</v>
      </c>
      <c r="D23" s="1" t="s">
        <v>7</v>
      </c>
      <c r="E23" s="1">
        <v>4055</v>
      </c>
      <c r="F23" s="1" t="s">
        <v>902</v>
      </c>
      <c r="G23" s="16" t="s">
        <v>552</v>
      </c>
    </row>
    <row r="24" spans="2:7" x14ac:dyDescent="0.25">
      <c r="B24" s="14" t="s">
        <v>879</v>
      </c>
      <c r="C24" s="1" t="s">
        <v>161</v>
      </c>
      <c r="D24" s="1" t="s">
        <v>7</v>
      </c>
      <c r="E24" s="1">
        <v>13</v>
      </c>
      <c r="F24" s="1" t="s">
        <v>903</v>
      </c>
      <c r="G24" s="16" t="s">
        <v>914</v>
      </c>
    </row>
    <row r="25" spans="2:7" x14ac:dyDescent="0.25">
      <c r="B25" s="14" t="s">
        <v>879</v>
      </c>
      <c r="C25" s="1" t="s">
        <v>161</v>
      </c>
      <c r="D25" s="1" t="s">
        <v>7</v>
      </c>
      <c r="E25" s="1">
        <v>10</v>
      </c>
      <c r="F25" s="1" t="s">
        <v>904</v>
      </c>
      <c r="G25" s="16" t="s">
        <v>913</v>
      </c>
    </row>
    <row r="26" spans="2:7" x14ac:dyDescent="0.25">
      <c r="B26" s="14" t="s">
        <v>879</v>
      </c>
      <c r="C26" s="1" t="s">
        <v>9</v>
      </c>
      <c r="D26" s="1" t="s">
        <v>7</v>
      </c>
      <c r="E26" s="1">
        <v>64.75</v>
      </c>
      <c r="F26" s="1" t="s">
        <v>905</v>
      </c>
      <c r="G26" s="16" t="s">
        <v>553</v>
      </c>
    </row>
    <row r="27" spans="2:7" x14ac:dyDescent="0.25">
      <c r="B27" s="14" t="s">
        <v>879</v>
      </c>
      <c r="C27" s="1" t="s">
        <v>23</v>
      </c>
      <c r="D27" s="1" t="s">
        <v>7</v>
      </c>
      <c r="E27" s="1">
        <v>410</v>
      </c>
      <c r="F27" s="1" t="s">
        <v>906</v>
      </c>
      <c r="G27" s="16" t="s">
        <v>915</v>
      </c>
    </row>
    <row r="28" spans="2:7" ht="16.5" thickBot="1" x14ac:dyDescent="0.3">
      <c r="B28" s="25" t="s">
        <v>879</v>
      </c>
      <c r="C28" s="18" t="s">
        <v>325</v>
      </c>
      <c r="D28" s="18" t="s">
        <v>7</v>
      </c>
      <c r="E28" s="18">
        <v>35</v>
      </c>
      <c r="F28" s="18" t="s">
        <v>907</v>
      </c>
      <c r="G28" s="27" t="s">
        <v>912</v>
      </c>
    </row>
  </sheetData>
  <pageMargins left="0.7" right="0.7" top="0.75" bottom="0.75" header="0.3" footer="0.3"/>
  <pageSetup paperSize="256" orientation="portrait" horizontalDpi="203" verticalDpi="203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91020D-5B34-440B-B4D7-6667EEF2EB39}">
  <sheetPr codeName="Hoja17"/>
  <dimension ref="B1:H34"/>
  <sheetViews>
    <sheetView workbookViewId="0">
      <selection activeCell="E34" sqref="E34"/>
    </sheetView>
  </sheetViews>
  <sheetFormatPr baseColWidth="10" defaultRowHeight="15.75" x14ac:dyDescent="0.25"/>
  <cols>
    <col min="2" max="2" width="11" style="3"/>
    <col min="3" max="3" width="26.375" style="3" customWidth="1"/>
    <col min="4" max="5" width="11" style="3"/>
    <col min="6" max="6" width="27.25" style="3" customWidth="1"/>
    <col min="7" max="7" width="37.375" style="3" customWidth="1"/>
    <col min="8" max="8" width="11" style="3"/>
  </cols>
  <sheetData>
    <row r="1" spans="2:7" ht="16.5" thickBot="1" x14ac:dyDescent="0.3"/>
    <row r="2" spans="2:7" x14ac:dyDescent="0.25">
      <c r="B2" s="21" t="s">
        <v>0</v>
      </c>
      <c r="C2" s="22" t="s">
        <v>1</v>
      </c>
      <c r="D2" s="22" t="s">
        <v>2</v>
      </c>
      <c r="E2" s="22" t="s">
        <v>3</v>
      </c>
      <c r="F2" s="22" t="s">
        <v>4</v>
      </c>
      <c r="G2" s="23"/>
    </row>
    <row r="3" spans="2:7" x14ac:dyDescent="0.25">
      <c r="B3" s="14" t="s">
        <v>922</v>
      </c>
      <c r="C3" s="1" t="s">
        <v>9</v>
      </c>
      <c r="D3" s="1" t="s">
        <v>7</v>
      </c>
      <c r="E3" s="2">
        <v>334</v>
      </c>
      <c r="F3" s="1" t="s">
        <v>923</v>
      </c>
      <c r="G3" s="16" t="s">
        <v>952</v>
      </c>
    </row>
    <row r="4" spans="2:7" x14ac:dyDescent="0.25">
      <c r="B4" s="29" t="s">
        <v>922</v>
      </c>
      <c r="C4" s="28" t="s">
        <v>847</v>
      </c>
      <c r="D4" s="28" t="s">
        <v>7</v>
      </c>
      <c r="E4" s="48">
        <v>-324</v>
      </c>
      <c r="F4" s="28" t="s">
        <v>924</v>
      </c>
      <c r="G4" s="30" t="s">
        <v>951</v>
      </c>
    </row>
    <row r="5" spans="2:7" x14ac:dyDescent="0.25">
      <c r="B5" s="14" t="s">
        <v>922</v>
      </c>
      <c r="C5" s="1" t="s">
        <v>39</v>
      </c>
      <c r="D5" s="1" t="s">
        <v>7</v>
      </c>
      <c r="E5" s="2">
        <v>409</v>
      </c>
      <c r="F5" s="1" t="s">
        <v>925</v>
      </c>
      <c r="G5" s="16" t="s">
        <v>949</v>
      </c>
    </row>
    <row r="6" spans="2:7" x14ac:dyDescent="0.25">
      <c r="B6" s="14" t="s">
        <v>922</v>
      </c>
      <c r="C6" s="1" t="s">
        <v>23</v>
      </c>
      <c r="D6" s="1" t="s">
        <v>7</v>
      </c>
      <c r="E6" s="2">
        <v>125</v>
      </c>
      <c r="F6" s="1" t="s">
        <v>926</v>
      </c>
      <c r="G6" s="16" t="s">
        <v>660</v>
      </c>
    </row>
    <row r="7" spans="2:7" x14ac:dyDescent="0.25">
      <c r="B7" s="14" t="s">
        <v>922</v>
      </c>
      <c r="C7" s="1" t="s">
        <v>23</v>
      </c>
      <c r="D7" s="1" t="s">
        <v>7</v>
      </c>
      <c r="E7" s="2">
        <v>68</v>
      </c>
      <c r="F7" s="1" t="s">
        <v>927</v>
      </c>
      <c r="G7" s="16" t="s">
        <v>660</v>
      </c>
    </row>
    <row r="8" spans="2:7" x14ac:dyDescent="0.25">
      <c r="B8" s="14" t="s">
        <v>922</v>
      </c>
      <c r="C8" s="1" t="s">
        <v>928</v>
      </c>
      <c r="D8" s="1" t="s">
        <v>7</v>
      </c>
      <c r="E8" s="2">
        <v>106</v>
      </c>
      <c r="F8" s="1" t="s">
        <v>929</v>
      </c>
      <c r="G8" s="16" t="s">
        <v>953</v>
      </c>
    </row>
    <row r="9" spans="2:7" x14ac:dyDescent="0.25">
      <c r="B9" s="14" t="s">
        <v>922</v>
      </c>
      <c r="C9" s="1" t="s">
        <v>161</v>
      </c>
      <c r="D9" s="1" t="s">
        <v>7</v>
      </c>
      <c r="E9" s="2">
        <v>26</v>
      </c>
      <c r="F9" s="1" t="s">
        <v>930</v>
      </c>
      <c r="G9" s="16" t="s">
        <v>948</v>
      </c>
    </row>
    <row r="10" spans="2:7" x14ac:dyDescent="0.25">
      <c r="B10" s="14" t="s">
        <v>922</v>
      </c>
      <c r="C10" s="1" t="s">
        <v>373</v>
      </c>
      <c r="D10" s="1" t="s">
        <v>7</v>
      </c>
      <c r="E10" s="2">
        <v>37.5</v>
      </c>
      <c r="F10" s="1" t="s">
        <v>931</v>
      </c>
      <c r="G10" s="16" t="s">
        <v>954</v>
      </c>
    </row>
    <row r="11" spans="2:7" x14ac:dyDescent="0.25">
      <c r="B11" s="14" t="s">
        <v>922</v>
      </c>
      <c r="C11" s="1" t="s">
        <v>161</v>
      </c>
      <c r="D11" s="1" t="s">
        <v>7</v>
      </c>
      <c r="E11" s="2">
        <v>230</v>
      </c>
      <c r="F11" s="1" t="s">
        <v>932</v>
      </c>
      <c r="G11" s="16" t="s">
        <v>283</v>
      </c>
    </row>
    <row r="12" spans="2:7" x14ac:dyDescent="0.25">
      <c r="B12" s="14" t="s">
        <v>922</v>
      </c>
      <c r="C12" s="1" t="s">
        <v>933</v>
      </c>
      <c r="D12" s="1" t="s">
        <v>7</v>
      </c>
      <c r="E12" s="2">
        <v>400</v>
      </c>
      <c r="F12" s="1" t="s">
        <v>934</v>
      </c>
      <c r="G12" s="16" t="s">
        <v>283</v>
      </c>
    </row>
    <row r="13" spans="2:7" x14ac:dyDescent="0.25">
      <c r="B13" s="14" t="s">
        <v>922</v>
      </c>
      <c r="C13" s="1" t="s">
        <v>933</v>
      </c>
      <c r="D13" s="1" t="s">
        <v>7</v>
      </c>
      <c r="E13" s="2">
        <v>500</v>
      </c>
      <c r="F13" s="1" t="s">
        <v>935</v>
      </c>
      <c r="G13" s="16" t="s">
        <v>283</v>
      </c>
    </row>
    <row r="14" spans="2:7" x14ac:dyDescent="0.25">
      <c r="B14" s="14" t="s">
        <v>922</v>
      </c>
      <c r="C14" s="1" t="s">
        <v>161</v>
      </c>
      <c r="D14" s="1" t="s">
        <v>7</v>
      </c>
      <c r="E14" s="2">
        <v>195</v>
      </c>
      <c r="F14" s="1" t="s">
        <v>936</v>
      </c>
      <c r="G14" s="16" t="s">
        <v>947</v>
      </c>
    </row>
    <row r="15" spans="2:7" x14ac:dyDescent="0.25">
      <c r="B15" s="14" t="s">
        <v>922</v>
      </c>
      <c r="C15" s="1" t="s">
        <v>161</v>
      </c>
      <c r="D15" s="1" t="s">
        <v>7</v>
      </c>
      <c r="E15" s="2">
        <v>500</v>
      </c>
      <c r="F15" s="1" t="s">
        <v>937</v>
      </c>
      <c r="G15" s="16" t="s">
        <v>947</v>
      </c>
    </row>
    <row r="16" spans="2:7" x14ac:dyDescent="0.25">
      <c r="B16" s="14" t="s">
        <v>922</v>
      </c>
      <c r="C16" s="1" t="s">
        <v>161</v>
      </c>
      <c r="D16" s="1" t="s">
        <v>7</v>
      </c>
      <c r="E16" s="2">
        <v>500</v>
      </c>
      <c r="F16" s="1" t="s">
        <v>938</v>
      </c>
      <c r="G16" s="16" t="s">
        <v>947</v>
      </c>
    </row>
    <row r="17" spans="2:7" x14ac:dyDescent="0.25">
      <c r="B17" s="14" t="s">
        <v>922</v>
      </c>
      <c r="C17" s="1" t="s">
        <v>161</v>
      </c>
      <c r="D17" s="1" t="s">
        <v>7</v>
      </c>
      <c r="E17" s="2">
        <v>500</v>
      </c>
      <c r="F17" s="1" t="s">
        <v>939</v>
      </c>
      <c r="G17" s="16" t="s">
        <v>947</v>
      </c>
    </row>
    <row r="18" spans="2:7" x14ac:dyDescent="0.25">
      <c r="B18" s="14" t="s">
        <v>922</v>
      </c>
      <c r="C18" s="1" t="s">
        <v>15</v>
      </c>
      <c r="D18" s="1" t="s">
        <v>7</v>
      </c>
      <c r="E18" s="2">
        <v>246</v>
      </c>
      <c r="F18" s="1" t="s">
        <v>940</v>
      </c>
      <c r="G18" s="16" t="s">
        <v>56</v>
      </c>
    </row>
    <row r="19" spans="2:7" x14ac:dyDescent="0.25">
      <c r="B19" s="14" t="s">
        <v>922</v>
      </c>
      <c r="C19" s="1" t="s">
        <v>289</v>
      </c>
      <c r="D19" s="1" t="s">
        <v>7</v>
      </c>
      <c r="E19" s="2">
        <v>140</v>
      </c>
      <c r="F19" s="1" t="s">
        <v>941</v>
      </c>
      <c r="G19" s="16" t="s">
        <v>956</v>
      </c>
    </row>
    <row r="20" spans="2:7" x14ac:dyDescent="0.25">
      <c r="B20" s="14" t="s">
        <v>922</v>
      </c>
      <c r="C20" s="1" t="s">
        <v>23</v>
      </c>
      <c r="D20" s="1" t="s">
        <v>7</v>
      </c>
      <c r="E20" s="2">
        <v>887.5</v>
      </c>
      <c r="F20" s="1" t="s">
        <v>942</v>
      </c>
      <c r="G20" s="16" t="s">
        <v>660</v>
      </c>
    </row>
    <row r="21" spans="2:7" x14ac:dyDescent="0.25">
      <c r="B21" s="14" t="s">
        <v>922</v>
      </c>
      <c r="C21" s="1" t="s">
        <v>240</v>
      </c>
      <c r="D21" s="1" t="s">
        <v>7</v>
      </c>
      <c r="E21" s="2">
        <v>5.5</v>
      </c>
      <c r="F21" s="1" t="s">
        <v>943</v>
      </c>
      <c r="G21" s="16" t="s">
        <v>946</v>
      </c>
    </row>
    <row r="22" spans="2:7" x14ac:dyDescent="0.25">
      <c r="B22" s="14" t="s">
        <v>922</v>
      </c>
      <c r="C22" s="1" t="s">
        <v>944</v>
      </c>
      <c r="D22" s="1" t="s">
        <v>7</v>
      </c>
      <c r="E22" s="2">
        <v>454.5</v>
      </c>
      <c r="F22" s="1" t="s">
        <v>945</v>
      </c>
      <c r="G22" s="16" t="s">
        <v>955</v>
      </c>
    </row>
    <row r="23" spans="2:7" x14ac:dyDescent="0.25">
      <c r="B23" s="14" t="s">
        <v>922</v>
      </c>
      <c r="C23" s="1" t="s">
        <v>69</v>
      </c>
      <c r="D23" s="1" t="s">
        <v>7</v>
      </c>
      <c r="E23" s="2">
        <v>1338.4</v>
      </c>
      <c r="F23" s="1" t="s">
        <v>957</v>
      </c>
      <c r="G23" s="16" t="s">
        <v>971</v>
      </c>
    </row>
    <row r="24" spans="2:7" x14ac:dyDescent="0.25">
      <c r="B24" s="29" t="s">
        <v>922</v>
      </c>
      <c r="C24" s="28" t="s">
        <v>472</v>
      </c>
      <c r="D24" s="28" t="s">
        <v>7</v>
      </c>
      <c r="E24" s="48">
        <v>-5416.5</v>
      </c>
      <c r="F24" s="28" t="s">
        <v>958</v>
      </c>
      <c r="G24" s="30" t="s">
        <v>967</v>
      </c>
    </row>
    <row r="25" spans="2:7" x14ac:dyDescent="0.25">
      <c r="B25" s="14" t="s">
        <v>922</v>
      </c>
      <c r="C25" s="1" t="s">
        <v>665</v>
      </c>
      <c r="D25" s="1" t="s">
        <v>7</v>
      </c>
      <c r="E25" s="2">
        <v>326</v>
      </c>
      <c r="F25" s="1" t="s">
        <v>959</v>
      </c>
      <c r="G25" s="16" t="s">
        <v>386</v>
      </c>
    </row>
    <row r="26" spans="2:7" x14ac:dyDescent="0.25">
      <c r="B26" s="14" t="s">
        <v>922</v>
      </c>
      <c r="C26" s="1" t="s">
        <v>960</v>
      </c>
      <c r="D26" s="1" t="s">
        <v>7</v>
      </c>
      <c r="E26" s="2">
        <v>21</v>
      </c>
      <c r="F26" s="1" t="s">
        <v>961</v>
      </c>
      <c r="G26" s="16" t="s">
        <v>970</v>
      </c>
    </row>
    <row r="27" spans="2:7" x14ac:dyDescent="0.25">
      <c r="B27" s="14" t="s">
        <v>922</v>
      </c>
      <c r="C27" s="1" t="s">
        <v>655</v>
      </c>
      <c r="D27" s="1" t="s">
        <v>7</v>
      </c>
      <c r="E27" s="2">
        <v>117.5</v>
      </c>
      <c r="F27" s="1" t="s">
        <v>962</v>
      </c>
      <c r="G27" s="16" t="s">
        <v>735</v>
      </c>
    </row>
    <row r="28" spans="2:7" x14ac:dyDescent="0.25">
      <c r="B28" s="14" t="s">
        <v>922</v>
      </c>
      <c r="C28" s="1" t="s">
        <v>23</v>
      </c>
      <c r="D28" s="1" t="s">
        <v>7</v>
      </c>
      <c r="E28" s="2">
        <v>950</v>
      </c>
      <c r="F28" s="1" t="s">
        <v>963</v>
      </c>
      <c r="G28" s="16" t="s">
        <v>968</v>
      </c>
    </row>
    <row r="29" spans="2:7" x14ac:dyDescent="0.25">
      <c r="B29" s="14" t="s">
        <v>922</v>
      </c>
      <c r="C29" s="1" t="s">
        <v>75</v>
      </c>
      <c r="D29" s="1" t="s">
        <v>7</v>
      </c>
      <c r="E29" s="2">
        <v>255</v>
      </c>
      <c r="F29" s="1" t="s">
        <v>964</v>
      </c>
      <c r="G29" s="16" t="s">
        <v>969</v>
      </c>
    </row>
    <row r="30" spans="2:7" x14ac:dyDescent="0.25">
      <c r="B30" s="29" t="s">
        <v>922</v>
      </c>
      <c r="C30" s="28" t="s">
        <v>965</v>
      </c>
      <c r="D30" s="28" t="s">
        <v>7</v>
      </c>
      <c r="E30" s="48">
        <v>-106</v>
      </c>
      <c r="F30" s="28" t="s">
        <v>966</v>
      </c>
      <c r="G30" s="30" t="s">
        <v>953</v>
      </c>
    </row>
    <row r="31" spans="2:7" x14ac:dyDescent="0.25">
      <c r="B31" s="14"/>
      <c r="C31" s="1"/>
      <c r="D31" s="1"/>
      <c r="E31" s="1"/>
      <c r="F31" s="1"/>
      <c r="G31" s="16"/>
    </row>
    <row r="32" spans="2:7" x14ac:dyDescent="0.25">
      <c r="B32" s="14"/>
      <c r="C32" s="1"/>
      <c r="D32" s="1"/>
      <c r="E32" s="1"/>
      <c r="F32" s="1"/>
      <c r="G32" s="16"/>
    </row>
    <row r="33" spans="2:7" x14ac:dyDescent="0.25">
      <c r="B33" s="14"/>
      <c r="C33" s="1"/>
      <c r="D33" s="1"/>
      <c r="E33" s="1"/>
      <c r="F33" s="1"/>
      <c r="G33" s="16"/>
    </row>
    <row r="34" spans="2:7" ht="16.5" thickBot="1" x14ac:dyDescent="0.3">
      <c r="B34" s="17">
        <v>46095</v>
      </c>
      <c r="C34" s="18" t="s">
        <v>78</v>
      </c>
      <c r="D34" s="18"/>
      <c r="E34" s="53">
        <v>5928</v>
      </c>
      <c r="F34" s="18"/>
      <c r="G34" s="27" t="s">
        <v>950</v>
      </c>
    </row>
  </sheetData>
  <pageMargins left="0.7" right="0.7" top="0.75" bottom="0.75" header="0.3" footer="0.3"/>
  <pageSetup paperSize="256" orientation="portrait" horizontalDpi="203" verticalDpi="203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BB1D1D-30BD-453E-9543-9595B6A8D524}">
  <sheetPr codeName="Hoja18"/>
  <dimension ref="B1:G25"/>
  <sheetViews>
    <sheetView workbookViewId="0">
      <selection activeCell="J32" sqref="J32"/>
    </sheetView>
  </sheetViews>
  <sheetFormatPr baseColWidth="10" defaultRowHeight="15.75" x14ac:dyDescent="0.25"/>
  <cols>
    <col min="2" max="2" width="11" style="3"/>
    <col min="3" max="3" width="27.75" style="3" customWidth="1"/>
    <col min="4" max="5" width="11" style="3"/>
    <col min="6" max="6" width="24.375" style="3" customWidth="1"/>
    <col min="7" max="7" width="28.5" style="3" customWidth="1"/>
  </cols>
  <sheetData>
    <row r="1" spans="2:7" ht="16.5" thickBot="1" x14ac:dyDescent="0.3"/>
    <row r="2" spans="2:7" x14ac:dyDescent="0.25">
      <c r="B2" s="11" t="s">
        <v>0</v>
      </c>
      <c r="C2" s="12" t="s">
        <v>1</v>
      </c>
      <c r="D2" s="12" t="s">
        <v>2</v>
      </c>
      <c r="E2" s="12" t="s">
        <v>3</v>
      </c>
      <c r="F2" s="12" t="s">
        <v>4</v>
      </c>
      <c r="G2" s="13"/>
    </row>
    <row r="3" spans="2:7" x14ac:dyDescent="0.25">
      <c r="B3" s="14" t="s">
        <v>973</v>
      </c>
      <c r="C3" s="1" t="s">
        <v>240</v>
      </c>
      <c r="D3" s="1" t="s">
        <v>7</v>
      </c>
      <c r="E3" s="1">
        <v>428</v>
      </c>
      <c r="F3" s="1" t="s">
        <v>974</v>
      </c>
      <c r="G3" s="16" t="s">
        <v>68</v>
      </c>
    </row>
    <row r="4" spans="2:7" x14ac:dyDescent="0.25">
      <c r="B4" s="14" t="s">
        <v>973</v>
      </c>
      <c r="C4" s="1" t="s">
        <v>172</v>
      </c>
      <c r="D4" s="1" t="s">
        <v>7</v>
      </c>
      <c r="E4" s="1">
        <v>-46000</v>
      </c>
      <c r="F4" s="1" t="s">
        <v>975</v>
      </c>
      <c r="G4" s="16" t="s">
        <v>997</v>
      </c>
    </row>
    <row r="5" spans="2:7" x14ac:dyDescent="0.25">
      <c r="B5" s="14" t="s">
        <v>973</v>
      </c>
      <c r="C5" s="1" t="s">
        <v>759</v>
      </c>
      <c r="D5" s="1" t="s">
        <v>7</v>
      </c>
      <c r="E5" s="1">
        <v>488</v>
      </c>
      <c r="F5" s="1" t="s">
        <v>976</v>
      </c>
      <c r="G5" s="16" t="s">
        <v>1000</v>
      </c>
    </row>
    <row r="6" spans="2:7" x14ac:dyDescent="0.25">
      <c r="B6" s="14" t="s">
        <v>973</v>
      </c>
      <c r="C6" s="1" t="s">
        <v>269</v>
      </c>
      <c r="D6" s="1" t="s">
        <v>7</v>
      </c>
      <c r="E6" s="1">
        <v>20</v>
      </c>
      <c r="F6" s="1" t="s">
        <v>977</v>
      </c>
      <c r="G6" s="16" t="s">
        <v>996</v>
      </c>
    </row>
    <row r="7" spans="2:7" x14ac:dyDescent="0.25">
      <c r="B7" s="14" t="s">
        <v>973</v>
      </c>
      <c r="C7" s="1" t="s">
        <v>19</v>
      </c>
      <c r="D7" s="1" t="s">
        <v>7</v>
      </c>
      <c r="E7" s="1">
        <v>22</v>
      </c>
      <c r="F7" s="1" t="s">
        <v>978</v>
      </c>
      <c r="G7" s="16" t="s">
        <v>998</v>
      </c>
    </row>
    <row r="8" spans="2:7" x14ac:dyDescent="0.25">
      <c r="B8" s="14" t="s">
        <v>973</v>
      </c>
      <c r="C8" s="1" t="s">
        <v>979</v>
      </c>
      <c r="D8" s="1" t="s">
        <v>7</v>
      </c>
      <c r="E8" s="1">
        <v>4</v>
      </c>
      <c r="F8" s="1" t="s">
        <v>980</v>
      </c>
      <c r="G8" s="16" t="s">
        <v>994</v>
      </c>
    </row>
    <row r="9" spans="2:7" x14ac:dyDescent="0.25">
      <c r="B9" s="14" t="s">
        <v>973</v>
      </c>
      <c r="C9" s="1" t="s">
        <v>960</v>
      </c>
      <c r="D9" s="1" t="s">
        <v>7</v>
      </c>
      <c r="E9" s="1">
        <v>44</v>
      </c>
      <c r="F9" s="1" t="s">
        <v>981</v>
      </c>
      <c r="G9" s="16" t="s">
        <v>993</v>
      </c>
    </row>
    <row r="10" spans="2:7" x14ac:dyDescent="0.25">
      <c r="B10" s="14" t="s">
        <v>973</v>
      </c>
      <c r="C10" s="1" t="s">
        <v>161</v>
      </c>
      <c r="D10" s="1" t="s">
        <v>7</v>
      </c>
      <c r="E10" s="1">
        <v>16</v>
      </c>
      <c r="F10" s="1" t="s">
        <v>982</v>
      </c>
      <c r="G10" s="16" t="s">
        <v>992</v>
      </c>
    </row>
    <row r="11" spans="2:7" x14ac:dyDescent="0.25">
      <c r="B11" s="14" t="s">
        <v>973</v>
      </c>
      <c r="C11" s="1" t="s">
        <v>23</v>
      </c>
      <c r="D11" s="1" t="s">
        <v>7</v>
      </c>
      <c r="E11" s="1">
        <v>2675</v>
      </c>
      <c r="F11" s="1" t="s">
        <v>983</v>
      </c>
      <c r="G11" s="16" t="s">
        <v>660</v>
      </c>
    </row>
    <row r="12" spans="2:7" x14ac:dyDescent="0.25">
      <c r="B12" s="14" t="s">
        <v>973</v>
      </c>
      <c r="C12" s="1" t="s">
        <v>72</v>
      </c>
      <c r="D12" s="1" t="s">
        <v>7</v>
      </c>
      <c r="E12" s="1">
        <v>4</v>
      </c>
      <c r="F12" s="1" t="s">
        <v>984</v>
      </c>
      <c r="G12" s="16" t="s">
        <v>999</v>
      </c>
    </row>
    <row r="13" spans="2:7" x14ac:dyDescent="0.25">
      <c r="B13" s="14" t="s">
        <v>973</v>
      </c>
      <c r="C13" s="1" t="s">
        <v>183</v>
      </c>
      <c r="D13" s="1" t="s">
        <v>7</v>
      </c>
      <c r="E13" s="1">
        <v>16.5</v>
      </c>
      <c r="F13" s="1" t="s">
        <v>985</v>
      </c>
      <c r="G13" s="16" t="s">
        <v>660</v>
      </c>
    </row>
    <row r="14" spans="2:7" x14ac:dyDescent="0.25">
      <c r="B14" s="14" t="s">
        <v>973</v>
      </c>
      <c r="C14" s="1" t="s">
        <v>509</v>
      </c>
      <c r="D14" s="1" t="s">
        <v>7</v>
      </c>
      <c r="E14" s="1">
        <v>40.5</v>
      </c>
      <c r="F14" s="1" t="s">
        <v>986</v>
      </c>
      <c r="G14" s="16" t="s">
        <v>776</v>
      </c>
    </row>
    <row r="15" spans="2:7" x14ac:dyDescent="0.25">
      <c r="B15" s="14" t="s">
        <v>973</v>
      </c>
      <c r="C15" s="1" t="s">
        <v>23</v>
      </c>
      <c r="D15" s="1" t="s">
        <v>7</v>
      </c>
      <c r="E15" s="1">
        <v>410</v>
      </c>
      <c r="F15" s="1" t="s">
        <v>987</v>
      </c>
      <c r="G15" s="16" t="s">
        <v>533</v>
      </c>
    </row>
    <row r="16" spans="2:7" x14ac:dyDescent="0.25">
      <c r="B16" s="14" t="s">
        <v>973</v>
      </c>
      <c r="C16" s="1" t="s">
        <v>944</v>
      </c>
      <c r="D16" s="1" t="s">
        <v>7</v>
      </c>
      <c r="E16" s="1">
        <v>36.5</v>
      </c>
      <c r="F16" s="1" t="s">
        <v>988</v>
      </c>
      <c r="G16" s="16" t="s">
        <v>991</v>
      </c>
    </row>
    <row r="17" spans="2:7" x14ac:dyDescent="0.25">
      <c r="B17" s="14" t="s">
        <v>973</v>
      </c>
      <c r="C17" s="1" t="s">
        <v>23</v>
      </c>
      <c r="D17" s="1" t="s">
        <v>7</v>
      </c>
      <c r="E17" s="1">
        <v>160</v>
      </c>
      <c r="F17" s="1" t="s">
        <v>989</v>
      </c>
      <c r="G17" s="16" t="s">
        <v>660</v>
      </c>
    </row>
    <row r="18" spans="2:7" x14ac:dyDescent="0.25">
      <c r="B18" s="14" t="s">
        <v>973</v>
      </c>
      <c r="C18" s="1" t="s">
        <v>27</v>
      </c>
      <c r="D18" s="1" t="s">
        <v>7</v>
      </c>
      <c r="E18" s="1">
        <v>368</v>
      </c>
      <c r="F18" s="1" t="s">
        <v>990</v>
      </c>
      <c r="G18" s="16" t="s">
        <v>1001</v>
      </c>
    </row>
    <row r="19" spans="2:7" x14ac:dyDescent="0.25">
      <c r="B19" s="14"/>
      <c r="C19" s="1"/>
      <c r="D19" s="1"/>
      <c r="E19" s="1"/>
      <c r="F19" s="1"/>
      <c r="G19" s="16"/>
    </row>
    <row r="20" spans="2:7" x14ac:dyDescent="0.25">
      <c r="B20" s="14"/>
      <c r="C20" s="1"/>
      <c r="D20" s="1"/>
      <c r="E20" s="1"/>
      <c r="F20" s="1"/>
      <c r="G20" s="16"/>
    </row>
    <row r="21" spans="2:7" x14ac:dyDescent="0.25">
      <c r="B21" s="32">
        <v>46097</v>
      </c>
      <c r="C21" s="1" t="s">
        <v>78</v>
      </c>
      <c r="D21" s="1"/>
      <c r="E21" s="58">
        <v>3706</v>
      </c>
      <c r="F21" s="1"/>
      <c r="G21" s="16" t="s">
        <v>995</v>
      </c>
    </row>
    <row r="22" spans="2:7" x14ac:dyDescent="0.25">
      <c r="B22" s="32">
        <v>46097</v>
      </c>
      <c r="C22" s="1" t="s">
        <v>78</v>
      </c>
      <c r="D22" s="1"/>
      <c r="E22" s="58">
        <v>7455.9</v>
      </c>
      <c r="F22" s="1"/>
      <c r="G22" s="16" t="s">
        <v>995</v>
      </c>
    </row>
    <row r="23" spans="2:7" x14ac:dyDescent="0.25">
      <c r="B23" s="32">
        <v>46097</v>
      </c>
      <c r="C23" s="1" t="s">
        <v>78</v>
      </c>
      <c r="D23" s="1"/>
      <c r="E23" s="58">
        <v>135</v>
      </c>
      <c r="F23" s="1"/>
      <c r="G23" s="16" t="s">
        <v>995</v>
      </c>
    </row>
    <row r="24" spans="2:7" ht="16.5" thickBot="1" x14ac:dyDescent="0.3">
      <c r="B24" s="17">
        <v>46097</v>
      </c>
      <c r="C24" s="18" t="s">
        <v>78</v>
      </c>
      <c r="D24" s="18"/>
      <c r="E24" s="59">
        <v>775</v>
      </c>
      <c r="F24" s="18"/>
      <c r="G24" s="27" t="s">
        <v>547</v>
      </c>
    </row>
    <row r="25" spans="2:7" x14ac:dyDescent="0.25">
      <c r="B25" s="57"/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7B5226-057D-4F84-84BC-5DB3B8BE4D52}">
  <sheetPr codeName="Hoja19"/>
  <dimension ref="B1:H25"/>
  <sheetViews>
    <sheetView workbookViewId="0">
      <selection activeCell="H24" sqref="H24"/>
    </sheetView>
  </sheetViews>
  <sheetFormatPr baseColWidth="10" defaultRowHeight="15.75" x14ac:dyDescent="0.25"/>
  <cols>
    <col min="2" max="2" width="11" style="3"/>
    <col min="3" max="3" width="31.25" style="3" customWidth="1"/>
    <col min="4" max="5" width="11" style="3"/>
    <col min="6" max="6" width="23" style="3" customWidth="1"/>
    <col min="7" max="7" width="31.125" style="3" customWidth="1"/>
    <col min="8" max="8" width="11" style="3"/>
  </cols>
  <sheetData>
    <row r="1" spans="2:7" ht="16.5" thickBot="1" x14ac:dyDescent="0.3"/>
    <row r="2" spans="2:7" x14ac:dyDescent="0.25">
      <c r="B2" s="21" t="s">
        <v>0</v>
      </c>
      <c r="C2" s="22" t="s">
        <v>1</v>
      </c>
      <c r="D2" s="22" t="s">
        <v>2</v>
      </c>
      <c r="E2" s="22" t="s">
        <v>3</v>
      </c>
      <c r="F2" s="22" t="s">
        <v>4</v>
      </c>
      <c r="G2" s="13"/>
    </row>
    <row r="3" spans="2:7" x14ac:dyDescent="0.25">
      <c r="B3" s="14" t="s">
        <v>1002</v>
      </c>
      <c r="C3" s="1" t="s">
        <v>23</v>
      </c>
      <c r="D3" s="1" t="s">
        <v>7</v>
      </c>
      <c r="E3" s="1">
        <v>930</v>
      </c>
      <c r="F3" s="1" t="s">
        <v>1003</v>
      </c>
      <c r="G3" s="16" t="s">
        <v>210</v>
      </c>
    </row>
    <row r="4" spans="2:7" x14ac:dyDescent="0.25">
      <c r="B4" s="14" t="s">
        <v>1002</v>
      </c>
      <c r="C4" s="1" t="s">
        <v>6</v>
      </c>
      <c r="D4" s="1" t="s">
        <v>7</v>
      </c>
      <c r="E4" s="1">
        <v>90</v>
      </c>
      <c r="F4" s="1" t="s">
        <v>1004</v>
      </c>
      <c r="G4" s="16" t="s">
        <v>1030</v>
      </c>
    </row>
    <row r="5" spans="2:7" x14ac:dyDescent="0.25">
      <c r="B5" s="14" t="s">
        <v>1002</v>
      </c>
      <c r="C5" s="1" t="s">
        <v>356</v>
      </c>
      <c r="D5" s="1" t="s">
        <v>7</v>
      </c>
      <c r="E5" s="1">
        <v>980</v>
      </c>
      <c r="F5" s="1" t="s">
        <v>1005</v>
      </c>
      <c r="G5" s="16" t="s">
        <v>1028</v>
      </c>
    </row>
    <row r="6" spans="2:7" x14ac:dyDescent="0.25">
      <c r="B6" s="29" t="s">
        <v>1002</v>
      </c>
      <c r="C6" s="28" t="s">
        <v>248</v>
      </c>
      <c r="D6" s="28" t="s">
        <v>7</v>
      </c>
      <c r="E6" s="28">
        <v>-280</v>
      </c>
      <c r="F6" s="28" t="s">
        <v>1006</v>
      </c>
      <c r="G6" s="30" t="s">
        <v>1029</v>
      </c>
    </row>
    <row r="7" spans="2:7" x14ac:dyDescent="0.25">
      <c r="B7" s="14" t="s">
        <v>1002</v>
      </c>
      <c r="C7" s="1" t="s">
        <v>1007</v>
      </c>
      <c r="D7" s="1" t="s">
        <v>7</v>
      </c>
      <c r="E7" s="1">
        <v>82</v>
      </c>
      <c r="F7" s="1" t="s">
        <v>1008</v>
      </c>
      <c r="G7" s="16" t="s">
        <v>1028</v>
      </c>
    </row>
    <row r="8" spans="2:7" x14ac:dyDescent="0.25">
      <c r="B8" s="14" t="s">
        <v>1002</v>
      </c>
      <c r="C8" s="1" t="s">
        <v>360</v>
      </c>
      <c r="D8" s="1" t="s">
        <v>7</v>
      </c>
      <c r="E8" s="1">
        <v>38</v>
      </c>
      <c r="F8" s="1" t="s">
        <v>1009</v>
      </c>
      <c r="G8" s="16" t="s">
        <v>1031</v>
      </c>
    </row>
    <row r="9" spans="2:7" x14ac:dyDescent="0.25">
      <c r="B9" s="14" t="s">
        <v>1002</v>
      </c>
      <c r="C9" s="1" t="s">
        <v>161</v>
      </c>
      <c r="D9" s="1" t="s">
        <v>7</v>
      </c>
      <c r="E9" s="1">
        <v>45</v>
      </c>
      <c r="F9" s="1" t="s">
        <v>1010</v>
      </c>
      <c r="G9" s="16" t="s">
        <v>1027</v>
      </c>
    </row>
    <row r="10" spans="2:7" x14ac:dyDescent="0.25">
      <c r="B10" s="14" t="s">
        <v>1002</v>
      </c>
      <c r="C10" s="1" t="s">
        <v>360</v>
      </c>
      <c r="D10" s="1" t="s">
        <v>7</v>
      </c>
      <c r="E10" s="1">
        <v>12.5</v>
      </c>
      <c r="F10" s="1" t="s">
        <v>1011</v>
      </c>
      <c r="G10" s="16" t="s">
        <v>1026</v>
      </c>
    </row>
    <row r="11" spans="2:7" x14ac:dyDescent="0.25">
      <c r="B11" s="14" t="s">
        <v>1002</v>
      </c>
      <c r="C11" s="1" t="s">
        <v>382</v>
      </c>
      <c r="D11" s="1" t="s">
        <v>7</v>
      </c>
      <c r="E11" s="1">
        <v>18</v>
      </c>
      <c r="F11" s="1" t="s">
        <v>1012</v>
      </c>
      <c r="G11" s="16" t="s">
        <v>1032</v>
      </c>
    </row>
    <row r="12" spans="2:7" x14ac:dyDescent="0.25">
      <c r="B12" s="14" t="s">
        <v>1002</v>
      </c>
      <c r="C12" s="1" t="s">
        <v>13</v>
      </c>
      <c r="D12" s="1" t="s">
        <v>7</v>
      </c>
      <c r="E12" s="1">
        <v>5</v>
      </c>
      <c r="F12" s="1" t="s">
        <v>1013</v>
      </c>
      <c r="G12" s="16" t="s">
        <v>1025</v>
      </c>
    </row>
    <row r="13" spans="2:7" x14ac:dyDescent="0.25">
      <c r="B13" s="14" t="s">
        <v>1002</v>
      </c>
      <c r="C13" s="1" t="s">
        <v>605</v>
      </c>
      <c r="D13" s="1" t="s">
        <v>7</v>
      </c>
      <c r="E13" s="1">
        <v>380</v>
      </c>
      <c r="F13" s="1" t="s">
        <v>1014</v>
      </c>
      <c r="G13" s="16" t="s">
        <v>607</v>
      </c>
    </row>
    <row r="14" spans="2:7" x14ac:dyDescent="0.25">
      <c r="B14" s="14" t="s">
        <v>1002</v>
      </c>
      <c r="C14" s="1" t="s">
        <v>269</v>
      </c>
      <c r="D14" s="1" t="s">
        <v>7</v>
      </c>
      <c r="E14" s="1">
        <v>181</v>
      </c>
      <c r="F14" s="1" t="s">
        <v>1015</v>
      </c>
      <c r="G14" s="16" t="s">
        <v>778</v>
      </c>
    </row>
    <row r="15" spans="2:7" x14ac:dyDescent="0.25">
      <c r="B15" s="14" t="s">
        <v>1002</v>
      </c>
      <c r="C15" s="1" t="s">
        <v>382</v>
      </c>
      <c r="D15" s="1" t="s">
        <v>7</v>
      </c>
      <c r="E15" s="1">
        <v>20</v>
      </c>
      <c r="F15" s="1" t="s">
        <v>1016</v>
      </c>
      <c r="G15" s="16" t="s">
        <v>1024</v>
      </c>
    </row>
    <row r="16" spans="2:7" x14ac:dyDescent="0.25">
      <c r="B16" s="14" t="s">
        <v>1002</v>
      </c>
      <c r="C16" s="1" t="s">
        <v>23</v>
      </c>
      <c r="D16" s="1" t="s">
        <v>7</v>
      </c>
      <c r="E16" s="1">
        <v>1230</v>
      </c>
      <c r="F16" s="1" t="s">
        <v>1017</v>
      </c>
      <c r="G16" s="16" t="s">
        <v>1033</v>
      </c>
    </row>
    <row r="17" spans="2:7" x14ac:dyDescent="0.25">
      <c r="B17" s="14" t="s">
        <v>1002</v>
      </c>
      <c r="C17" s="1" t="s">
        <v>521</v>
      </c>
      <c r="D17" s="1" t="s">
        <v>7</v>
      </c>
      <c r="E17" s="1">
        <v>45.5</v>
      </c>
      <c r="F17" s="1" t="s">
        <v>1018</v>
      </c>
      <c r="G17" s="16" t="s">
        <v>1023</v>
      </c>
    </row>
    <row r="18" spans="2:7" x14ac:dyDescent="0.25">
      <c r="B18" s="14" t="s">
        <v>1002</v>
      </c>
      <c r="C18" s="1" t="s">
        <v>6</v>
      </c>
      <c r="D18" s="1" t="s">
        <v>7</v>
      </c>
      <c r="E18" s="1">
        <v>22.5</v>
      </c>
      <c r="F18" s="1" t="s">
        <v>1019</v>
      </c>
      <c r="G18" s="16" t="s">
        <v>1022</v>
      </c>
    </row>
    <row r="19" spans="2:7" x14ac:dyDescent="0.25">
      <c r="B19" s="14" t="s">
        <v>1002</v>
      </c>
      <c r="C19" s="1" t="s">
        <v>95</v>
      </c>
      <c r="D19" s="1" t="s">
        <v>7</v>
      </c>
      <c r="E19" s="1">
        <v>3</v>
      </c>
      <c r="F19" s="1" t="s">
        <v>1020</v>
      </c>
      <c r="G19" s="16" t="s">
        <v>1034</v>
      </c>
    </row>
    <row r="20" spans="2:7" x14ac:dyDescent="0.25">
      <c r="B20" s="14" t="s">
        <v>1002</v>
      </c>
      <c r="C20" s="1" t="s">
        <v>23</v>
      </c>
      <c r="D20" s="1" t="s">
        <v>7</v>
      </c>
      <c r="E20" s="1">
        <v>250</v>
      </c>
      <c r="F20" s="1" t="s">
        <v>1021</v>
      </c>
      <c r="G20" s="16" t="s">
        <v>660</v>
      </c>
    </row>
    <row r="21" spans="2:7" x14ac:dyDescent="0.25">
      <c r="B21" s="14"/>
      <c r="C21" s="1"/>
      <c r="D21" s="1"/>
      <c r="E21" s="1"/>
      <c r="F21" s="1"/>
      <c r="G21" s="16"/>
    </row>
    <row r="22" spans="2:7" x14ac:dyDescent="0.25">
      <c r="B22" s="14"/>
      <c r="C22" s="1"/>
      <c r="D22" s="1"/>
      <c r="E22" s="1"/>
      <c r="F22" s="1"/>
      <c r="G22" s="16"/>
    </row>
    <row r="23" spans="2:7" x14ac:dyDescent="0.25">
      <c r="B23" s="14"/>
      <c r="C23" s="1"/>
      <c r="D23" s="1"/>
      <c r="E23" s="1"/>
      <c r="F23" s="1"/>
      <c r="G23" s="16"/>
    </row>
    <row r="24" spans="2:7" x14ac:dyDescent="0.25">
      <c r="B24" s="14"/>
      <c r="C24" s="1"/>
      <c r="D24" s="1"/>
      <c r="E24" s="1"/>
      <c r="F24" s="1"/>
      <c r="G24" s="16"/>
    </row>
    <row r="25" spans="2:7" ht="16.5" thickBot="1" x14ac:dyDescent="0.3">
      <c r="B25" s="25"/>
      <c r="C25" s="18" t="s">
        <v>871</v>
      </c>
      <c r="D25" s="18">
        <v>4345</v>
      </c>
      <c r="E25" s="18"/>
      <c r="F25" s="18" t="s">
        <v>78</v>
      </c>
      <c r="G25" s="27"/>
    </row>
  </sheetData>
  <pageMargins left="0.7" right="0.7" top="0.75" bottom="0.75" header="0.3" footer="0.3"/>
  <pageSetup paperSize="256" orientation="portrait" horizontalDpi="203" verticalDpi="203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4C5D72-0D98-4C92-B0A6-29A833C52747}">
  <sheetPr codeName="Hoja20"/>
  <dimension ref="B1:H30"/>
  <sheetViews>
    <sheetView workbookViewId="0">
      <selection activeCell="B15" sqref="B15:G15"/>
    </sheetView>
  </sheetViews>
  <sheetFormatPr baseColWidth="10" defaultRowHeight="15.75" x14ac:dyDescent="0.25"/>
  <cols>
    <col min="2" max="2" width="11" style="3"/>
    <col min="3" max="3" width="29.75" style="3" customWidth="1"/>
    <col min="4" max="4" width="11" style="3"/>
    <col min="5" max="5" width="12" style="3" customWidth="1"/>
    <col min="6" max="6" width="22" style="3" customWidth="1"/>
    <col min="7" max="7" width="28.875" style="3" customWidth="1"/>
    <col min="8" max="8" width="11" style="3"/>
  </cols>
  <sheetData>
    <row r="1" spans="2:7" ht="16.5" thickBot="1" x14ac:dyDescent="0.3"/>
    <row r="2" spans="2:7" x14ac:dyDescent="0.25">
      <c r="B2" s="21" t="s">
        <v>0</v>
      </c>
      <c r="C2" s="22" t="s">
        <v>1</v>
      </c>
      <c r="D2" s="22" t="s">
        <v>2</v>
      </c>
      <c r="E2" s="22" t="s">
        <v>3</v>
      </c>
      <c r="F2" s="22" t="s">
        <v>4</v>
      </c>
      <c r="G2" s="23"/>
    </row>
    <row r="3" spans="2:7" x14ac:dyDescent="0.25">
      <c r="B3" s="14" t="s">
        <v>1035</v>
      </c>
      <c r="C3" s="1" t="s">
        <v>23</v>
      </c>
      <c r="D3" s="1" t="s">
        <v>7</v>
      </c>
      <c r="E3" s="1">
        <v>935</v>
      </c>
      <c r="F3" s="1" t="s">
        <v>1036</v>
      </c>
      <c r="G3" s="16" t="s">
        <v>185</v>
      </c>
    </row>
    <row r="4" spans="2:7" x14ac:dyDescent="0.25">
      <c r="B4" s="14" t="s">
        <v>1035</v>
      </c>
      <c r="C4" s="1" t="s">
        <v>360</v>
      </c>
      <c r="D4" s="1" t="s">
        <v>7</v>
      </c>
      <c r="E4" s="1">
        <v>6</v>
      </c>
      <c r="F4" s="1" t="s">
        <v>1037</v>
      </c>
      <c r="G4" s="16" t="s">
        <v>1067</v>
      </c>
    </row>
    <row r="5" spans="2:7" x14ac:dyDescent="0.25">
      <c r="B5" s="14" t="s">
        <v>1035</v>
      </c>
      <c r="C5" s="1" t="s">
        <v>979</v>
      </c>
      <c r="D5" s="1" t="s">
        <v>7</v>
      </c>
      <c r="E5" s="1">
        <v>4</v>
      </c>
      <c r="F5" s="1" t="s">
        <v>1038</v>
      </c>
      <c r="G5" s="16" t="s">
        <v>1066</v>
      </c>
    </row>
    <row r="6" spans="2:7" x14ac:dyDescent="0.25">
      <c r="B6" s="14" t="s">
        <v>1035</v>
      </c>
      <c r="C6" s="1" t="s">
        <v>23</v>
      </c>
      <c r="D6" s="1" t="s">
        <v>7</v>
      </c>
      <c r="E6" s="1">
        <v>4617.5</v>
      </c>
      <c r="F6" s="1" t="s">
        <v>1039</v>
      </c>
      <c r="G6" s="16" t="s">
        <v>1065</v>
      </c>
    </row>
    <row r="7" spans="2:7" x14ac:dyDescent="0.25">
      <c r="B7" s="14" t="s">
        <v>1035</v>
      </c>
      <c r="C7" s="1" t="s">
        <v>23</v>
      </c>
      <c r="D7" s="1" t="s">
        <v>7</v>
      </c>
      <c r="E7" s="1">
        <v>3360</v>
      </c>
      <c r="F7" s="1" t="s">
        <v>1040</v>
      </c>
      <c r="G7" s="16" t="s">
        <v>185</v>
      </c>
    </row>
    <row r="8" spans="2:7" x14ac:dyDescent="0.25">
      <c r="B8" s="64" t="s">
        <v>1035</v>
      </c>
      <c r="C8" s="6" t="s">
        <v>23</v>
      </c>
      <c r="D8" s="6" t="s">
        <v>7</v>
      </c>
      <c r="E8" s="6">
        <v>3350</v>
      </c>
      <c r="F8" s="6" t="s">
        <v>1041</v>
      </c>
      <c r="G8" s="65" t="s">
        <v>832</v>
      </c>
    </row>
    <row r="9" spans="2:7" x14ac:dyDescent="0.25">
      <c r="B9" s="14" t="s">
        <v>1035</v>
      </c>
      <c r="C9" s="1" t="s">
        <v>33</v>
      </c>
      <c r="D9" s="1" t="s">
        <v>7</v>
      </c>
      <c r="E9" s="1">
        <v>6.5</v>
      </c>
      <c r="F9" s="1" t="s">
        <v>1042</v>
      </c>
      <c r="G9" s="16" t="s">
        <v>1062</v>
      </c>
    </row>
    <row r="10" spans="2:7" x14ac:dyDescent="0.25">
      <c r="B10" s="29" t="s">
        <v>1035</v>
      </c>
      <c r="C10" s="28" t="s">
        <v>248</v>
      </c>
      <c r="D10" s="28" t="s">
        <v>7</v>
      </c>
      <c r="E10" s="28">
        <v>-315</v>
      </c>
      <c r="F10" s="28" t="s">
        <v>1043</v>
      </c>
      <c r="G10" s="30" t="s">
        <v>1069</v>
      </c>
    </row>
    <row r="11" spans="2:7" x14ac:dyDescent="0.25">
      <c r="B11" s="14" t="s">
        <v>1035</v>
      </c>
      <c r="C11" s="1" t="s">
        <v>23</v>
      </c>
      <c r="D11" s="1" t="s">
        <v>7</v>
      </c>
      <c r="E11" s="1">
        <v>2000</v>
      </c>
      <c r="F11" s="1" t="s">
        <v>1044</v>
      </c>
      <c r="G11" s="16" t="s">
        <v>1068</v>
      </c>
    </row>
    <row r="12" spans="2:7" x14ac:dyDescent="0.25">
      <c r="B12" s="14" t="s">
        <v>1035</v>
      </c>
      <c r="C12" s="1" t="s">
        <v>1045</v>
      </c>
      <c r="D12" s="1" t="s">
        <v>7</v>
      </c>
      <c r="E12" s="1">
        <v>8</v>
      </c>
      <c r="F12" s="1" t="s">
        <v>1046</v>
      </c>
      <c r="G12" s="16" t="s">
        <v>1061</v>
      </c>
    </row>
    <row r="13" spans="2:7" x14ac:dyDescent="0.25">
      <c r="B13" s="14" t="s">
        <v>1035</v>
      </c>
      <c r="C13" s="1" t="s">
        <v>1047</v>
      </c>
      <c r="D13" s="1" t="s">
        <v>7</v>
      </c>
      <c r="E13" s="1">
        <v>65</v>
      </c>
      <c r="F13" s="1" t="s">
        <v>1048</v>
      </c>
      <c r="G13" s="16" t="s">
        <v>1060</v>
      </c>
    </row>
    <row r="14" spans="2:7" x14ac:dyDescent="0.25">
      <c r="B14" s="14" t="s">
        <v>1035</v>
      </c>
      <c r="C14" s="1" t="s">
        <v>23</v>
      </c>
      <c r="D14" s="1" t="s">
        <v>7</v>
      </c>
      <c r="E14" s="1">
        <v>580</v>
      </c>
      <c r="F14" s="1" t="s">
        <v>1049</v>
      </c>
      <c r="G14" s="16" t="s">
        <v>590</v>
      </c>
    </row>
    <row r="15" spans="2:7" x14ac:dyDescent="0.25">
      <c r="B15" s="61" t="s">
        <v>1035</v>
      </c>
      <c r="C15" s="60" t="s">
        <v>23</v>
      </c>
      <c r="D15" s="60" t="s">
        <v>7</v>
      </c>
      <c r="E15" s="60">
        <v>2000</v>
      </c>
      <c r="F15" s="60" t="s">
        <v>1050</v>
      </c>
      <c r="G15" s="15"/>
    </row>
    <row r="16" spans="2:7" x14ac:dyDescent="0.25">
      <c r="B16" s="14" t="s">
        <v>1035</v>
      </c>
      <c r="C16" s="1" t="s">
        <v>1051</v>
      </c>
      <c r="D16" s="1" t="s">
        <v>7</v>
      </c>
      <c r="E16" s="1">
        <v>84</v>
      </c>
      <c r="F16" s="1" t="s">
        <v>1052</v>
      </c>
      <c r="G16" s="16" t="s">
        <v>1063</v>
      </c>
    </row>
    <row r="17" spans="2:7" x14ac:dyDescent="0.25">
      <c r="B17" s="14" t="s">
        <v>1035</v>
      </c>
      <c r="C17" s="1" t="s">
        <v>521</v>
      </c>
      <c r="D17" s="1" t="s">
        <v>7</v>
      </c>
      <c r="E17" s="1">
        <v>15</v>
      </c>
      <c r="F17" s="1" t="s">
        <v>1053</v>
      </c>
      <c r="G17" s="16" t="s">
        <v>1064</v>
      </c>
    </row>
    <row r="18" spans="2:7" x14ac:dyDescent="0.25">
      <c r="B18" s="14" t="s">
        <v>1035</v>
      </c>
      <c r="C18" s="1" t="s">
        <v>398</v>
      </c>
      <c r="D18" s="1" t="s">
        <v>7</v>
      </c>
      <c r="E18" s="1">
        <v>30</v>
      </c>
      <c r="F18" s="1" t="s">
        <v>1054</v>
      </c>
      <c r="G18" s="16" t="s">
        <v>1059</v>
      </c>
    </row>
    <row r="19" spans="2:7" x14ac:dyDescent="0.25">
      <c r="B19" s="14" t="s">
        <v>1035</v>
      </c>
      <c r="C19" s="1" t="s">
        <v>6</v>
      </c>
      <c r="D19" s="1" t="s">
        <v>7</v>
      </c>
      <c r="E19" s="1">
        <v>110</v>
      </c>
      <c r="F19" s="1" t="s">
        <v>1055</v>
      </c>
      <c r="G19" s="16" t="s">
        <v>52</v>
      </c>
    </row>
    <row r="20" spans="2:7" x14ac:dyDescent="0.25">
      <c r="B20" s="14" t="s">
        <v>1035</v>
      </c>
      <c r="C20" s="1" t="s">
        <v>398</v>
      </c>
      <c r="D20" s="1" t="s">
        <v>7</v>
      </c>
      <c r="E20" s="1">
        <v>50</v>
      </c>
      <c r="F20" s="1" t="s">
        <v>1056</v>
      </c>
      <c r="G20" s="16" t="s">
        <v>1059</v>
      </c>
    </row>
    <row r="21" spans="2:7" x14ac:dyDescent="0.25">
      <c r="B21" s="14" t="s">
        <v>1035</v>
      </c>
      <c r="C21" s="1" t="s">
        <v>6</v>
      </c>
      <c r="D21" s="1" t="s">
        <v>7</v>
      </c>
      <c r="E21" s="1">
        <v>500</v>
      </c>
      <c r="F21" s="1" t="s">
        <v>1057</v>
      </c>
      <c r="G21" s="16" t="s">
        <v>52</v>
      </c>
    </row>
    <row r="22" spans="2:7" x14ac:dyDescent="0.25">
      <c r="B22" s="14" t="s">
        <v>1035</v>
      </c>
      <c r="C22" s="1" t="s">
        <v>6</v>
      </c>
      <c r="D22" s="1" t="s">
        <v>7</v>
      </c>
      <c r="E22" s="1">
        <v>500</v>
      </c>
      <c r="F22" s="1" t="s">
        <v>1058</v>
      </c>
      <c r="G22" s="16" t="s">
        <v>52</v>
      </c>
    </row>
    <row r="23" spans="2:7" x14ac:dyDescent="0.25">
      <c r="B23" s="14" t="s">
        <v>1035</v>
      </c>
      <c r="C23" s="1" t="s">
        <v>295</v>
      </c>
      <c r="D23" s="1" t="s">
        <v>7</v>
      </c>
      <c r="E23" s="1">
        <v>80</v>
      </c>
      <c r="F23" s="1" t="s">
        <v>1070</v>
      </c>
      <c r="G23" s="16" t="s">
        <v>1080</v>
      </c>
    </row>
    <row r="24" spans="2:7" x14ac:dyDescent="0.25">
      <c r="B24" s="14" t="s">
        <v>1035</v>
      </c>
      <c r="C24" s="1" t="s">
        <v>295</v>
      </c>
      <c r="D24" s="1" t="s">
        <v>7</v>
      </c>
      <c r="E24" s="1">
        <v>500</v>
      </c>
      <c r="F24" s="1" t="s">
        <v>1071</v>
      </c>
      <c r="G24" s="16" t="s">
        <v>1080</v>
      </c>
    </row>
    <row r="25" spans="2:7" x14ac:dyDescent="0.25">
      <c r="B25" s="14" t="s">
        <v>1035</v>
      </c>
      <c r="C25" s="1" t="s">
        <v>13</v>
      </c>
      <c r="D25" s="1" t="s">
        <v>7</v>
      </c>
      <c r="E25" s="1">
        <v>101.92</v>
      </c>
      <c r="F25" s="1" t="s">
        <v>1072</v>
      </c>
      <c r="G25" s="16" t="s">
        <v>68</v>
      </c>
    </row>
    <row r="26" spans="2:7" x14ac:dyDescent="0.25">
      <c r="B26" s="14" t="s">
        <v>1035</v>
      </c>
      <c r="C26" s="1" t="s">
        <v>23</v>
      </c>
      <c r="D26" s="1" t="s">
        <v>7</v>
      </c>
      <c r="E26" s="1">
        <v>9320</v>
      </c>
      <c r="F26" s="1" t="s">
        <v>1073</v>
      </c>
      <c r="G26" s="16" t="s">
        <v>590</v>
      </c>
    </row>
    <row r="27" spans="2:7" x14ac:dyDescent="0.25">
      <c r="B27" s="14" t="s">
        <v>1035</v>
      </c>
      <c r="C27" s="1" t="s">
        <v>23</v>
      </c>
      <c r="D27" s="1" t="s">
        <v>7</v>
      </c>
      <c r="E27" s="1">
        <v>1717.5</v>
      </c>
      <c r="F27" s="1" t="s">
        <v>1074</v>
      </c>
      <c r="G27" s="16" t="s">
        <v>1068</v>
      </c>
    </row>
    <row r="28" spans="2:7" x14ac:dyDescent="0.25">
      <c r="B28" s="14" t="s">
        <v>1035</v>
      </c>
      <c r="C28" s="1" t="s">
        <v>1075</v>
      </c>
      <c r="D28" s="1" t="s">
        <v>7</v>
      </c>
      <c r="E28" s="1">
        <v>166</v>
      </c>
      <c r="F28" s="1" t="s">
        <v>1076</v>
      </c>
      <c r="G28" s="16" t="s">
        <v>630</v>
      </c>
    </row>
    <row r="29" spans="2:7" x14ac:dyDescent="0.25">
      <c r="B29" s="14" t="s">
        <v>1035</v>
      </c>
      <c r="C29" s="1" t="s">
        <v>1075</v>
      </c>
      <c r="D29" s="1" t="s">
        <v>7</v>
      </c>
      <c r="E29" s="1">
        <v>500</v>
      </c>
      <c r="F29" s="1" t="s">
        <v>1077</v>
      </c>
      <c r="G29" s="16" t="s">
        <v>630</v>
      </c>
    </row>
    <row r="30" spans="2:7" ht="16.5" thickBot="1" x14ac:dyDescent="0.3">
      <c r="B30" s="25" t="s">
        <v>1035</v>
      </c>
      <c r="C30" s="18" t="s">
        <v>521</v>
      </c>
      <c r="D30" s="18" t="s">
        <v>7</v>
      </c>
      <c r="E30" s="18">
        <v>11</v>
      </c>
      <c r="F30" s="18" t="s">
        <v>1078</v>
      </c>
      <c r="G30" s="27" t="s">
        <v>1079</v>
      </c>
    </row>
  </sheetData>
  <pageMargins left="0.7" right="0.7" top="0.75" bottom="0.75" header="0.3" footer="0.3"/>
  <pageSetup paperSize="256" orientation="portrait" horizontalDpi="203" verticalDpi="203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A20410-B0F5-44F7-837E-5ED4992FD20A}">
  <sheetPr codeName="Hoja21"/>
  <dimension ref="B1:H34"/>
  <sheetViews>
    <sheetView topLeftCell="A4" workbookViewId="0">
      <selection activeCell="H18" sqref="H18"/>
    </sheetView>
  </sheetViews>
  <sheetFormatPr baseColWidth="10" defaultRowHeight="15.75" x14ac:dyDescent="0.25"/>
  <cols>
    <col min="2" max="2" width="11" style="3"/>
    <col min="3" max="3" width="26.5" style="3" customWidth="1"/>
    <col min="4" max="5" width="11" style="3"/>
    <col min="6" max="6" width="28.875" style="3" customWidth="1"/>
    <col min="7" max="7" width="23.625" style="3" customWidth="1"/>
    <col min="8" max="8" width="11" style="3"/>
  </cols>
  <sheetData>
    <row r="1" spans="2:7" ht="16.5" thickBot="1" x14ac:dyDescent="0.3"/>
    <row r="2" spans="2:7" x14ac:dyDescent="0.25">
      <c r="B2" s="62" t="s">
        <v>0</v>
      </c>
      <c r="C2" s="63" t="s">
        <v>1</v>
      </c>
      <c r="D2" s="63" t="s">
        <v>2</v>
      </c>
      <c r="E2" s="63" t="s">
        <v>3</v>
      </c>
      <c r="F2" s="63" t="s">
        <v>4</v>
      </c>
      <c r="G2" s="13"/>
    </row>
    <row r="3" spans="2:7" x14ac:dyDescent="0.25">
      <c r="B3" s="14" t="s">
        <v>1081</v>
      </c>
      <c r="C3" s="1" t="s">
        <v>509</v>
      </c>
      <c r="D3" s="1" t="s">
        <v>7</v>
      </c>
      <c r="E3" s="1">
        <v>30</v>
      </c>
      <c r="F3" s="1" t="s">
        <v>1082</v>
      </c>
      <c r="G3" s="16" t="s">
        <v>1123</v>
      </c>
    </row>
    <row r="4" spans="2:7" x14ac:dyDescent="0.25">
      <c r="B4" s="14" t="s">
        <v>1081</v>
      </c>
      <c r="C4" s="1" t="s">
        <v>509</v>
      </c>
      <c r="D4" s="1" t="s">
        <v>7</v>
      </c>
      <c r="E4" s="1">
        <v>150</v>
      </c>
      <c r="F4" s="1" t="s">
        <v>1083</v>
      </c>
      <c r="G4" s="16" t="s">
        <v>1123</v>
      </c>
    </row>
    <row r="5" spans="2:7" x14ac:dyDescent="0.25">
      <c r="B5" s="14" t="s">
        <v>1081</v>
      </c>
      <c r="C5" s="1" t="s">
        <v>23</v>
      </c>
      <c r="D5" s="1" t="s">
        <v>7</v>
      </c>
      <c r="E5" s="1">
        <v>1370</v>
      </c>
      <c r="F5" s="1" t="s">
        <v>1084</v>
      </c>
      <c r="G5" s="16" t="s">
        <v>1122</v>
      </c>
    </row>
    <row r="6" spans="2:7" x14ac:dyDescent="0.25">
      <c r="B6" s="14" t="s">
        <v>1081</v>
      </c>
      <c r="C6" s="1" t="s">
        <v>23</v>
      </c>
      <c r="D6" s="1" t="s">
        <v>7</v>
      </c>
      <c r="E6" s="1">
        <v>100</v>
      </c>
      <c r="F6" s="1" t="s">
        <v>1085</v>
      </c>
      <c r="G6" s="16" t="s">
        <v>210</v>
      </c>
    </row>
    <row r="7" spans="2:7" x14ac:dyDescent="0.25">
      <c r="B7" s="14" t="s">
        <v>1081</v>
      </c>
      <c r="C7" s="1" t="s">
        <v>183</v>
      </c>
      <c r="D7" s="1" t="s">
        <v>7</v>
      </c>
      <c r="E7" s="1">
        <v>9</v>
      </c>
      <c r="F7" s="1" t="s">
        <v>1086</v>
      </c>
      <c r="G7" s="16" t="s">
        <v>915</v>
      </c>
    </row>
    <row r="8" spans="2:7" x14ac:dyDescent="0.25">
      <c r="B8" s="14" t="s">
        <v>1081</v>
      </c>
      <c r="C8" s="1" t="s">
        <v>183</v>
      </c>
      <c r="D8" s="1" t="s">
        <v>7</v>
      </c>
      <c r="E8" s="1">
        <v>6</v>
      </c>
      <c r="F8" s="1" t="s">
        <v>1087</v>
      </c>
      <c r="G8" s="16" t="s">
        <v>915</v>
      </c>
    </row>
    <row r="9" spans="2:7" x14ac:dyDescent="0.25">
      <c r="B9" s="14" t="s">
        <v>1081</v>
      </c>
      <c r="C9" s="1" t="s">
        <v>23</v>
      </c>
      <c r="D9" s="1" t="s">
        <v>7</v>
      </c>
      <c r="E9" s="1">
        <v>950</v>
      </c>
      <c r="F9" s="1" t="s">
        <v>1088</v>
      </c>
      <c r="G9" s="16" t="s">
        <v>590</v>
      </c>
    </row>
    <row r="10" spans="2:7" x14ac:dyDescent="0.25">
      <c r="B10" s="14" t="s">
        <v>1081</v>
      </c>
      <c r="C10" s="1" t="s">
        <v>220</v>
      </c>
      <c r="D10" s="1" t="s">
        <v>7</v>
      </c>
      <c r="E10" s="1">
        <v>16</v>
      </c>
      <c r="F10" s="1" t="s">
        <v>1089</v>
      </c>
      <c r="G10" s="16" t="s">
        <v>1103</v>
      </c>
    </row>
    <row r="11" spans="2:7" x14ac:dyDescent="0.25">
      <c r="B11" s="14" t="s">
        <v>1081</v>
      </c>
      <c r="C11" s="1" t="s">
        <v>220</v>
      </c>
      <c r="D11" s="1" t="s">
        <v>7</v>
      </c>
      <c r="E11" s="1">
        <v>22</v>
      </c>
      <c r="F11" s="1" t="s">
        <v>1090</v>
      </c>
      <c r="G11" s="16" t="s">
        <v>1102</v>
      </c>
    </row>
    <row r="12" spans="2:7" x14ac:dyDescent="0.25">
      <c r="B12" s="14" t="s">
        <v>1081</v>
      </c>
      <c r="C12" s="1" t="s">
        <v>183</v>
      </c>
      <c r="D12" s="1" t="s">
        <v>7</v>
      </c>
      <c r="E12" s="1">
        <v>30</v>
      </c>
      <c r="F12" s="1" t="s">
        <v>1091</v>
      </c>
      <c r="G12" s="16" t="s">
        <v>915</v>
      </c>
    </row>
    <row r="13" spans="2:7" x14ac:dyDescent="0.25">
      <c r="B13" s="29" t="s">
        <v>1081</v>
      </c>
      <c r="C13" s="28" t="s">
        <v>109</v>
      </c>
      <c r="D13" s="28" t="s">
        <v>7</v>
      </c>
      <c r="E13" s="28">
        <v>-160</v>
      </c>
      <c r="F13" s="28" t="s">
        <v>1092</v>
      </c>
      <c r="G13" s="30" t="s">
        <v>1129</v>
      </c>
    </row>
    <row r="14" spans="2:7" x14ac:dyDescent="0.25">
      <c r="B14" s="14" t="s">
        <v>1081</v>
      </c>
      <c r="C14" s="1" t="s">
        <v>370</v>
      </c>
      <c r="D14" s="1" t="s">
        <v>7</v>
      </c>
      <c r="E14" s="1">
        <v>10</v>
      </c>
      <c r="F14" s="1" t="s">
        <v>1093</v>
      </c>
      <c r="G14" s="16" t="s">
        <v>1130</v>
      </c>
    </row>
    <row r="15" spans="2:7" x14ac:dyDescent="0.25">
      <c r="B15" s="14" t="s">
        <v>1081</v>
      </c>
      <c r="C15" s="1" t="s">
        <v>41</v>
      </c>
      <c r="D15" s="1" t="s">
        <v>7</v>
      </c>
      <c r="E15" s="1">
        <v>4</v>
      </c>
      <c r="F15" s="1" t="s">
        <v>1094</v>
      </c>
      <c r="G15" s="16" t="s">
        <v>1126</v>
      </c>
    </row>
    <row r="16" spans="2:7" x14ac:dyDescent="0.25">
      <c r="B16" s="14" t="s">
        <v>1081</v>
      </c>
      <c r="C16" s="1" t="s">
        <v>370</v>
      </c>
      <c r="D16" s="1" t="s">
        <v>7</v>
      </c>
      <c r="E16" s="1">
        <v>42</v>
      </c>
      <c r="F16" s="1" t="s">
        <v>1095</v>
      </c>
      <c r="G16" s="16" t="s">
        <v>1101</v>
      </c>
    </row>
    <row r="17" spans="2:7" x14ac:dyDescent="0.25">
      <c r="B17" s="14" t="s">
        <v>1081</v>
      </c>
      <c r="C17" s="1" t="s">
        <v>269</v>
      </c>
      <c r="D17" s="1" t="s">
        <v>7</v>
      </c>
      <c r="E17" s="1">
        <v>380</v>
      </c>
      <c r="F17" s="1" t="s">
        <v>1096</v>
      </c>
      <c r="G17" s="16" t="s">
        <v>1125</v>
      </c>
    </row>
    <row r="18" spans="2:7" x14ac:dyDescent="0.25">
      <c r="B18" s="14" t="s">
        <v>1081</v>
      </c>
      <c r="C18" s="1" t="s">
        <v>178</v>
      </c>
      <c r="D18" s="1" t="s">
        <v>7</v>
      </c>
      <c r="E18" s="1">
        <v>12</v>
      </c>
      <c r="F18" s="1" t="s">
        <v>1097</v>
      </c>
      <c r="G18" s="16" t="s">
        <v>1124</v>
      </c>
    </row>
    <row r="19" spans="2:7" x14ac:dyDescent="0.25">
      <c r="B19" s="14" t="s">
        <v>1081</v>
      </c>
      <c r="C19" s="1" t="s">
        <v>17</v>
      </c>
      <c r="D19" s="1" t="s">
        <v>7</v>
      </c>
      <c r="E19" s="1">
        <v>49</v>
      </c>
      <c r="F19" s="1" t="s">
        <v>1098</v>
      </c>
      <c r="G19" s="16" t="s">
        <v>63</v>
      </c>
    </row>
    <row r="20" spans="2:7" x14ac:dyDescent="0.25">
      <c r="B20" s="14" t="s">
        <v>1081</v>
      </c>
      <c r="C20" s="1" t="s">
        <v>17</v>
      </c>
      <c r="D20" s="1" t="s">
        <v>7</v>
      </c>
      <c r="E20" s="1">
        <v>10</v>
      </c>
      <c r="F20" s="1" t="s">
        <v>1099</v>
      </c>
      <c r="G20" s="16" t="s">
        <v>1100</v>
      </c>
    </row>
    <row r="21" spans="2:7" x14ac:dyDescent="0.25">
      <c r="B21" s="14" t="s">
        <v>1081</v>
      </c>
      <c r="C21" s="1" t="s">
        <v>665</v>
      </c>
      <c r="D21" s="1" t="s">
        <v>7</v>
      </c>
      <c r="E21" s="1">
        <v>178</v>
      </c>
      <c r="F21" s="1" t="s">
        <v>1104</v>
      </c>
      <c r="G21" s="16" t="s">
        <v>386</v>
      </c>
    </row>
    <row r="22" spans="2:7" x14ac:dyDescent="0.25">
      <c r="B22" s="14" t="s">
        <v>1081</v>
      </c>
      <c r="C22" s="1" t="s">
        <v>23</v>
      </c>
      <c r="D22" s="1" t="s">
        <v>7</v>
      </c>
      <c r="E22" s="1">
        <v>803.75</v>
      </c>
      <c r="F22" s="1" t="s">
        <v>1105</v>
      </c>
      <c r="G22" s="16" t="s">
        <v>68</v>
      </c>
    </row>
    <row r="23" spans="2:7" x14ac:dyDescent="0.25">
      <c r="B23" s="14" t="s">
        <v>1081</v>
      </c>
      <c r="C23" s="1" t="s">
        <v>797</v>
      </c>
      <c r="D23" s="1" t="s">
        <v>7</v>
      </c>
      <c r="E23" s="1">
        <v>31.5</v>
      </c>
      <c r="F23" s="1" t="s">
        <v>1106</v>
      </c>
      <c r="G23" s="16" t="s">
        <v>1128</v>
      </c>
    </row>
    <row r="24" spans="2:7" x14ac:dyDescent="0.25">
      <c r="B24" s="14" t="s">
        <v>1081</v>
      </c>
      <c r="C24" s="1" t="s">
        <v>27</v>
      </c>
      <c r="D24" s="1" t="s">
        <v>7</v>
      </c>
      <c r="E24" s="1">
        <v>5</v>
      </c>
      <c r="F24" s="1" t="s">
        <v>1107</v>
      </c>
      <c r="G24" s="16" t="s">
        <v>1127</v>
      </c>
    </row>
    <row r="25" spans="2:7" x14ac:dyDescent="0.25">
      <c r="B25" s="14" t="s">
        <v>1081</v>
      </c>
      <c r="C25" s="1" t="s">
        <v>17</v>
      </c>
      <c r="D25" s="1" t="s">
        <v>7</v>
      </c>
      <c r="E25" s="1">
        <v>28</v>
      </c>
      <c r="F25" s="1" t="s">
        <v>1108</v>
      </c>
      <c r="G25" s="16" t="s">
        <v>63</v>
      </c>
    </row>
    <row r="26" spans="2:7" x14ac:dyDescent="0.25">
      <c r="B26" s="14" t="s">
        <v>1081</v>
      </c>
      <c r="C26" s="1" t="s">
        <v>183</v>
      </c>
      <c r="D26" s="1" t="s">
        <v>7</v>
      </c>
      <c r="E26" s="1">
        <v>5</v>
      </c>
      <c r="F26" s="1" t="s">
        <v>1109</v>
      </c>
      <c r="G26" s="16" t="s">
        <v>915</v>
      </c>
    </row>
    <row r="27" spans="2:7" x14ac:dyDescent="0.25">
      <c r="B27" s="14" t="s">
        <v>1081</v>
      </c>
      <c r="C27" s="1" t="s">
        <v>23</v>
      </c>
      <c r="D27" s="1" t="s">
        <v>7</v>
      </c>
      <c r="E27" s="1">
        <v>120</v>
      </c>
      <c r="F27" s="1" t="s">
        <v>1110</v>
      </c>
      <c r="G27" s="16" t="s">
        <v>915</v>
      </c>
    </row>
    <row r="28" spans="2:7" x14ac:dyDescent="0.25">
      <c r="B28" s="14" t="s">
        <v>1081</v>
      </c>
      <c r="C28" s="1" t="s">
        <v>95</v>
      </c>
      <c r="D28" s="1" t="s">
        <v>7</v>
      </c>
      <c r="E28" s="1">
        <v>3</v>
      </c>
      <c r="F28" s="1" t="s">
        <v>1111</v>
      </c>
      <c r="G28" s="16" t="s">
        <v>1121</v>
      </c>
    </row>
    <row r="29" spans="2:7" x14ac:dyDescent="0.25">
      <c r="B29" s="14" t="s">
        <v>1081</v>
      </c>
      <c r="C29" s="1" t="s">
        <v>95</v>
      </c>
      <c r="D29" s="1" t="s">
        <v>7</v>
      </c>
      <c r="E29" s="1">
        <v>2.5</v>
      </c>
      <c r="F29" s="1" t="s">
        <v>1112</v>
      </c>
      <c r="G29" s="16" t="s">
        <v>1120</v>
      </c>
    </row>
    <row r="30" spans="2:7" x14ac:dyDescent="0.25">
      <c r="B30" s="14" t="s">
        <v>1081</v>
      </c>
      <c r="C30" s="1" t="s">
        <v>1113</v>
      </c>
      <c r="D30" s="1" t="s">
        <v>7</v>
      </c>
      <c r="E30" s="1">
        <v>16</v>
      </c>
      <c r="F30" s="1" t="s">
        <v>1114</v>
      </c>
      <c r="G30" s="16" t="s">
        <v>1118</v>
      </c>
    </row>
    <row r="31" spans="2:7" x14ac:dyDescent="0.25">
      <c r="B31" s="14" t="s">
        <v>1081</v>
      </c>
      <c r="C31" s="1" t="s">
        <v>1113</v>
      </c>
      <c r="D31" s="1" t="s">
        <v>7</v>
      </c>
      <c r="E31" s="1">
        <v>25</v>
      </c>
      <c r="F31" s="1" t="s">
        <v>1115</v>
      </c>
      <c r="G31" s="16" t="s">
        <v>1117</v>
      </c>
    </row>
    <row r="32" spans="2:7" x14ac:dyDescent="0.25">
      <c r="B32" s="14" t="s">
        <v>1081</v>
      </c>
      <c r="C32" s="1" t="s">
        <v>6</v>
      </c>
      <c r="D32" s="1" t="s">
        <v>7</v>
      </c>
      <c r="E32" s="1">
        <v>40</v>
      </c>
      <c r="F32" s="1" t="s">
        <v>1116</v>
      </c>
      <c r="G32" s="16" t="s">
        <v>1119</v>
      </c>
    </row>
    <row r="33" spans="2:7" x14ac:dyDescent="0.25">
      <c r="B33" s="14"/>
      <c r="C33" s="1"/>
      <c r="D33" s="1"/>
      <c r="E33" s="1"/>
      <c r="F33" s="1"/>
      <c r="G33" s="16"/>
    </row>
    <row r="34" spans="2:7" ht="16.5" thickBot="1" x14ac:dyDescent="0.3">
      <c r="B34" s="17">
        <v>46100</v>
      </c>
      <c r="C34" s="18" t="s">
        <v>871</v>
      </c>
      <c r="D34" s="18"/>
      <c r="E34" s="18">
        <v>2555</v>
      </c>
      <c r="F34" s="18"/>
      <c r="G34" s="27"/>
    </row>
  </sheetData>
  <pageMargins left="0.7" right="0.7" top="0.75" bottom="0.75" header="0.3" footer="0.3"/>
  <pageSetup paperSize="256" orientation="portrait" horizontalDpi="203" verticalDpi="203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9FFB06-D93A-484C-B040-7C8ED276AF21}">
  <sheetPr codeName="Hoja22"/>
  <dimension ref="B4:H26"/>
  <sheetViews>
    <sheetView workbookViewId="0">
      <selection activeCell="G15" sqref="G15"/>
    </sheetView>
  </sheetViews>
  <sheetFormatPr baseColWidth="10" defaultRowHeight="15.75" x14ac:dyDescent="0.25"/>
  <cols>
    <col min="2" max="2" width="11" style="3"/>
    <col min="3" max="3" width="28.875" style="3" customWidth="1"/>
    <col min="4" max="5" width="11" style="3"/>
    <col min="6" max="6" width="24.125" style="3" customWidth="1"/>
    <col min="7" max="7" width="27.25" style="3" customWidth="1"/>
    <col min="8" max="8" width="11" style="3"/>
  </cols>
  <sheetData>
    <row r="4" spans="2:7" ht="16.5" thickBot="1" x14ac:dyDescent="0.3"/>
    <row r="5" spans="2:7" x14ac:dyDescent="0.25">
      <c r="B5" s="21" t="s">
        <v>0</v>
      </c>
      <c r="C5" s="22" t="s">
        <v>1</v>
      </c>
      <c r="D5" s="22" t="s">
        <v>2</v>
      </c>
      <c r="E5" s="22" t="s">
        <v>3</v>
      </c>
      <c r="F5" s="22" t="s">
        <v>4</v>
      </c>
      <c r="G5" s="23"/>
    </row>
    <row r="6" spans="2:7" x14ac:dyDescent="0.25">
      <c r="B6" s="29" t="s">
        <v>1131</v>
      </c>
      <c r="C6" s="28" t="s">
        <v>1159</v>
      </c>
      <c r="D6" s="28" t="s">
        <v>7</v>
      </c>
      <c r="E6" s="28">
        <v>-130</v>
      </c>
      <c r="F6" s="28" t="s">
        <v>1160</v>
      </c>
      <c r="G6" s="30" t="s">
        <v>1162</v>
      </c>
    </row>
    <row r="7" spans="2:7" x14ac:dyDescent="0.25">
      <c r="B7" s="14" t="s">
        <v>1131</v>
      </c>
      <c r="C7" s="1" t="s">
        <v>284</v>
      </c>
      <c r="D7" s="1" t="s">
        <v>7</v>
      </c>
      <c r="E7" s="1">
        <v>420</v>
      </c>
      <c r="F7" s="1" t="s">
        <v>1161</v>
      </c>
      <c r="G7" s="16" t="s">
        <v>1163</v>
      </c>
    </row>
    <row r="8" spans="2:7" x14ac:dyDescent="0.25">
      <c r="B8" s="14" t="s">
        <v>1131</v>
      </c>
      <c r="C8" s="1" t="s">
        <v>240</v>
      </c>
      <c r="D8" s="1" t="s">
        <v>7</v>
      </c>
      <c r="E8" s="1">
        <v>202.5</v>
      </c>
      <c r="F8" s="1" t="s">
        <v>1132</v>
      </c>
      <c r="G8" s="16" t="s">
        <v>68</v>
      </c>
    </row>
    <row r="9" spans="2:7" x14ac:dyDescent="0.25">
      <c r="B9" s="14" t="s">
        <v>1131</v>
      </c>
      <c r="C9" s="1" t="s">
        <v>164</v>
      </c>
      <c r="D9" s="1" t="s">
        <v>7</v>
      </c>
      <c r="E9" s="1">
        <v>3</v>
      </c>
      <c r="F9" s="1" t="s">
        <v>1133</v>
      </c>
      <c r="G9" s="16" t="s">
        <v>1158</v>
      </c>
    </row>
    <row r="10" spans="2:7" x14ac:dyDescent="0.25">
      <c r="B10" s="14" t="s">
        <v>1131</v>
      </c>
      <c r="C10" s="1" t="s">
        <v>9</v>
      </c>
      <c r="D10" s="1" t="s">
        <v>7</v>
      </c>
      <c r="E10" s="1">
        <v>22.8</v>
      </c>
      <c r="F10" s="1" t="s">
        <v>1134</v>
      </c>
      <c r="G10" s="16" t="s">
        <v>1155</v>
      </c>
    </row>
    <row r="11" spans="2:7" x14ac:dyDescent="0.25">
      <c r="B11" s="29" t="s">
        <v>1131</v>
      </c>
      <c r="C11" s="28" t="s">
        <v>1135</v>
      </c>
      <c r="D11" s="28" t="s">
        <v>7</v>
      </c>
      <c r="E11" s="28">
        <v>-500</v>
      </c>
      <c r="F11" s="28" t="s">
        <v>1136</v>
      </c>
      <c r="G11" s="30" t="s">
        <v>1156</v>
      </c>
    </row>
    <row r="12" spans="2:7" x14ac:dyDescent="0.25">
      <c r="B12" s="29" t="s">
        <v>1131</v>
      </c>
      <c r="C12" s="28" t="s">
        <v>1135</v>
      </c>
      <c r="D12" s="28" t="s">
        <v>7</v>
      </c>
      <c r="E12" s="28">
        <v>-500</v>
      </c>
      <c r="F12" s="28" t="s">
        <v>1137</v>
      </c>
      <c r="G12" s="30" t="s">
        <v>1156</v>
      </c>
    </row>
    <row r="13" spans="2:7" x14ac:dyDescent="0.25">
      <c r="B13" s="14" t="s">
        <v>1131</v>
      </c>
      <c r="C13" s="1" t="s">
        <v>15</v>
      </c>
      <c r="D13" s="1" t="s">
        <v>7</v>
      </c>
      <c r="E13" s="1">
        <v>170</v>
      </c>
      <c r="F13" s="1" t="s">
        <v>1138</v>
      </c>
      <c r="G13" s="16" t="s">
        <v>1154</v>
      </c>
    </row>
    <row r="14" spans="2:7" x14ac:dyDescent="0.25">
      <c r="B14" s="14" t="s">
        <v>1131</v>
      </c>
      <c r="C14" s="1" t="s">
        <v>117</v>
      </c>
      <c r="D14" s="1" t="s">
        <v>7</v>
      </c>
      <c r="E14" s="1">
        <v>130</v>
      </c>
      <c r="F14" s="1" t="s">
        <v>1139</v>
      </c>
      <c r="G14" s="16" t="s">
        <v>1165</v>
      </c>
    </row>
    <row r="15" spans="2:7" x14ac:dyDescent="0.25">
      <c r="B15" s="14" t="s">
        <v>1131</v>
      </c>
      <c r="C15" s="1" t="s">
        <v>117</v>
      </c>
      <c r="D15" s="1" t="s">
        <v>7</v>
      </c>
      <c r="E15" s="1">
        <v>130</v>
      </c>
      <c r="F15" s="1" t="s">
        <v>1140</v>
      </c>
      <c r="G15" s="16" t="s">
        <v>1166</v>
      </c>
    </row>
    <row r="16" spans="2:7" x14ac:dyDescent="0.25">
      <c r="B16" s="14" t="s">
        <v>1131</v>
      </c>
      <c r="C16" s="1" t="s">
        <v>1141</v>
      </c>
      <c r="D16" s="1" t="s">
        <v>7</v>
      </c>
      <c r="E16" s="1">
        <v>56</v>
      </c>
      <c r="F16" s="1" t="s">
        <v>1142</v>
      </c>
      <c r="G16" s="16" t="s">
        <v>1164</v>
      </c>
    </row>
    <row r="17" spans="2:7" x14ac:dyDescent="0.25">
      <c r="B17" s="14" t="s">
        <v>1131</v>
      </c>
      <c r="C17" s="1" t="s">
        <v>164</v>
      </c>
      <c r="D17" s="1" t="s">
        <v>7</v>
      </c>
      <c r="E17" s="1">
        <v>6.5</v>
      </c>
      <c r="F17" s="1" t="s">
        <v>1143</v>
      </c>
      <c r="G17" s="16" t="s">
        <v>1167</v>
      </c>
    </row>
    <row r="18" spans="2:7" x14ac:dyDescent="0.25">
      <c r="B18" s="14" t="s">
        <v>1131</v>
      </c>
      <c r="C18" s="1" t="s">
        <v>655</v>
      </c>
      <c r="D18" s="1" t="s">
        <v>7</v>
      </c>
      <c r="E18" s="1">
        <v>11</v>
      </c>
      <c r="F18" s="1" t="s">
        <v>1144</v>
      </c>
      <c r="G18" s="16" t="s">
        <v>1153</v>
      </c>
    </row>
    <row r="19" spans="2:7" x14ac:dyDescent="0.25">
      <c r="B19" s="14" t="s">
        <v>1131</v>
      </c>
      <c r="C19" s="1" t="s">
        <v>655</v>
      </c>
      <c r="D19" s="1" t="s">
        <v>7</v>
      </c>
      <c r="E19" s="1">
        <v>32</v>
      </c>
      <c r="F19" s="1" t="s">
        <v>1145</v>
      </c>
      <c r="G19" s="16" t="s">
        <v>1152</v>
      </c>
    </row>
    <row r="20" spans="2:7" x14ac:dyDescent="0.25">
      <c r="B20" s="14" t="s">
        <v>1131</v>
      </c>
      <c r="C20" s="1" t="s">
        <v>23</v>
      </c>
      <c r="D20" s="1" t="s">
        <v>7</v>
      </c>
      <c r="E20" s="1">
        <v>576</v>
      </c>
      <c r="F20" s="1" t="s">
        <v>1146</v>
      </c>
      <c r="G20" s="16" t="s">
        <v>590</v>
      </c>
    </row>
    <row r="21" spans="2:7" x14ac:dyDescent="0.25">
      <c r="B21" s="14" t="s">
        <v>1131</v>
      </c>
      <c r="C21" s="1" t="s">
        <v>269</v>
      </c>
      <c r="D21" s="1" t="s">
        <v>7</v>
      </c>
      <c r="E21" s="1">
        <v>23</v>
      </c>
      <c r="F21" s="1" t="s">
        <v>1147</v>
      </c>
      <c r="G21" s="16" t="s">
        <v>1151</v>
      </c>
    </row>
    <row r="22" spans="2:7" x14ac:dyDescent="0.25">
      <c r="B22" s="14" t="s">
        <v>1131</v>
      </c>
      <c r="C22" s="1" t="s">
        <v>944</v>
      </c>
      <c r="D22" s="1" t="s">
        <v>7</v>
      </c>
      <c r="E22" s="1">
        <v>266.39999999999998</v>
      </c>
      <c r="F22" s="1" t="s">
        <v>1148</v>
      </c>
      <c r="G22" s="16" t="s">
        <v>955</v>
      </c>
    </row>
    <row r="23" spans="2:7" x14ac:dyDescent="0.25">
      <c r="B23" s="14" t="s">
        <v>1131</v>
      </c>
      <c r="C23" s="1" t="s">
        <v>9</v>
      </c>
      <c r="D23" s="1" t="s">
        <v>7</v>
      </c>
      <c r="E23" s="1">
        <v>55</v>
      </c>
      <c r="F23" s="1" t="s">
        <v>1149</v>
      </c>
      <c r="G23" s="16" t="s">
        <v>177</v>
      </c>
    </row>
    <row r="24" spans="2:7" x14ac:dyDescent="0.25">
      <c r="B24" s="14" t="s">
        <v>1131</v>
      </c>
      <c r="C24" s="1" t="s">
        <v>17</v>
      </c>
      <c r="D24" s="1" t="s">
        <v>7</v>
      </c>
      <c r="E24" s="1">
        <v>33.4</v>
      </c>
      <c r="F24" s="1" t="s">
        <v>1150</v>
      </c>
      <c r="G24" s="16" t="s">
        <v>1157</v>
      </c>
    </row>
    <row r="25" spans="2:7" x14ac:dyDescent="0.25">
      <c r="B25" s="14"/>
      <c r="C25" s="1"/>
      <c r="D25" s="1"/>
      <c r="E25" s="1"/>
      <c r="F25" s="1"/>
      <c r="G25" s="16"/>
    </row>
    <row r="26" spans="2:7" ht="16.5" thickBot="1" x14ac:dyDescent="0.3">
      <c r="B26" s="17">
        <v>46101</v>
      </c>
      <c r="C26" s="18" t="s">
        <v>78</v>
      </c>
      <c r="D26" s="18"/>
      <c r="E26" s="18">
        <v>725</v>
      </c>
      <c r="F26" s="18"/>
      <c r="G26" s="27" t="s">
        <v>547</v>
      </c>
    </row>
  </sheetData>
  <pageMargins left="0.7" right="0.7" top="0.75" bottom="0.75" header="0.3" footer="0.3"/>
  <pageSetup paperSize="256" orientation="portrait" horizontalDpi="203" verticalDpi="203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9358B0-A07C-4166-AA97-DD589A5E13A7}">
  <sheetPr codeName="Hoja23"/>
  <dimension ref="B1:H46"/>
  <sheetViews>
    <sheetView topLeftCell="A10" zoomScale="115" zoomScaleNormal="115" workbookViewId="0">
      <selection activeCell="E13" sqref="E13"/>
    </sheetView>
  </sheetViews>
  <sheetFormatPr baseColWidth="10" defaultRowHeight="15.75" x14ac:dyDescent="0.25"/>
  <cols>
    <col min="2" max="2" width="11" style="3"/>
    <col min="3" max="3" width="25.5" style="3" customWidth="1"/>
    <col min="4" max="5" width="11" style="3"/>
    <col min="6" max="6" width="22.625" style="3" customWidth="1"/>
    <col min="7" max="7" width="40.75" style="3" bestFit="1" customWidth="1"/>
    <col min="8" max="8" width="11" style="3"/>
  </cols>
  <sheetData>
    <row r="1" spans="2:7" ht="16.5" thickBot="1" x14ac:dyDescent="0.3"/>
    <row r="2" spans="2:7" x14ac:dyDescent="0.25">
      <c r="B2" s="21" t="s">
        <v>0</v>
      </c>
      <c r="C2" s="22" t="s">
        <v>1</v>
      </c>
      <c r="D2" s="22" t="s">
        <v>2</v>
      </c>
      <c r="E2" s="22" t="s">
        <v>3</v>
      </c>
      <c r="F2" s="22" t="s">
        <v>4</v>
      </c>
      <c r="G2" s="13"/>
    </row>
    <row r="3" spans="2:7" x14ac:dyDescent="0.25">
      <c r="B3" s="14" t="s">
        <v>1168</v>
      </c>
      <c r="C3" s="1" t="s">
        <v>72</v>
      </c>
      <c r="D3" s="1" t="s">
        <v>7</v>
      </c>
      <c r="E3" s="1">
        <v>58</v>
      </c>
      <c r="F3" s="1" t="s">
        <v>1169</v>
      </c>
      <c r="G3" s="16" t="s">
        <v>81</v>
      </c>
    </row>
    <row r="4" spans="2:7" x14ac:dyDescent="0.25">
      <c r="B4" s="14" t="s">
        <v>1168</v>
      </c>
      <c r="C4" s="1" t="s">
        <v>23</v>
      </c>
      <c r="D4" s="1" t="s">
        <v>7</v>
      </c>
      <c r="E4" s="1">
        <v>1980</v>
      </c>
      <c r="F4" s="1" t="s">
        <v>1170</v>
      </c>
      <c r="G4" s="16" t="s">
        <v>1205</v>
      </c>
    </row>
    <row r="5" spans="2:7" x14ac:dyDescent="0.25">
      <c r="B5" s="14" t="s">
        <v>1168</v>
      </c>
      <c r="C5" s="1" t="s">
        <v>1171</v>
      </c>
      <c r="D5" s="1" t="s">
        <v>7</v>
      </c>
      <c r="E5" s="1">
        <v>110.5</v>
      </c>
      <c r="F5" s="1" t="s">
        <v>1172</v>
      </c>
      <c r="G5" s="16" t="s">
        <v>723</v>
      </c>
    </row>
    <row r="6" spans="2:7" x14ac:dyDescent="0.25">
      <c r="B6" s="14" t="s">
        <v>1168</v>
      </c>
      <c r="C6" s="1" t="s">
        <v>289</v>
      </c>
      <c r="D6" s="1" t="s">
        <v>7</v>
      </c>
      <c r="E6" s="1">
        <v>500</v>
      </c>
      <c r="F6" s="1" t="s">
        <v>1173</v>
      </c>
      <c r="G6" s="16" t="s">
        <v>1206</v>
      </c>
    </row>
    <row r="7" spans="2:7" x14ac:dyDescent="0.25">
      <c r="B7" s="14" t="s">
        <v>1168</v>
      </c>
      <c r="C7" s="1" t="s">
        <v>289</v>
      </c>
      <c r="D7" s="1" t="s">
        <v>7</v>
      </c>
      <c r="E7" s="1">
        <v>500</v>
      </c>
      <c r="F7" s="1" t="s">
        <v>1174</v>
      </c>
      <c r="G7" s="16" t="s">
        <v>1206</v>
      </c>
    </row>
    <row r="8" spans="2:7" x14ac:dyDescent="0.25">
      <c r="B8" s="14" t="s">
        <v>1168</v>
      </c>
      <c r="C8" s="1" t="s">
        <v>39</v>
      </c>
      <c r="D8" s="1" t="s">
        <v>7</v>
      </c>
      <c r="E8" s="1">
        <v>33.5</v>
      </c>
      <c r="F8" s="1" t="s">
        <v>1175</v>
      </c>
      <c r="G8" s="16" t="s">
        <v>1204</v>
      </c>
    </row>
    <row r="9" spans="2:7" x14ac:dyDescent="0.25">
      <c r="B9" s="29" t="s">
        <v>1168</v>
      </c>
      <c r="C9" s="28" t="s">
        <v>248</v>
      </c>
      <c r="D9" s="28" t="s">
        <v>7</v>
      </c>
      <c r="E9" s="28">
        <v>-256</v>
      </c>
      <c r="F9" s="28" t="s">
        <v>1176</v>
      </c>
      <c r="G9" s="30" t="s">
        <v>1203</v>
      </c>
    </row>
    <row r="10" spans="2:7" x14ac:dyDescent="0.25">
      <c r="B10" s="14" t="s">
        <v>1168</v>
      </c>
      <c r="C10" s="1" t="s">
        <v>39</v>
      </c>
      <c r="D10" s="1" t="s">
        <v>7</v>
      </c>
      <c r="E10" s="1">
        <v>15</v>
      </c>
      <c r="F10" s="1" t="s">
        <v>1177</v>
      </c>
      <c r="G10" s="16" t="s">
        <v>1201</v>
      </c>
    </row>
    <row r="11" spans="2:7" x14ac:dyDescent="0.25">
      <c r="B11" s="14" t="s">
        <v>1168</v>
      </c>
      <c r="C11" s="1" t="s">
        <v>509</v>
      </c>
      <c r="D11" s="1" t="s">
        <v>7</v>
      </c>
      <c r="E11" s="1">
        <v>30</v>
      </c>
      <c r="F11" s="1" t="s">
        <v>1178</v>
      </c>
      <c r="G11" s="16" t="s">
        <v>1208</v>
      </c>
    </row>
    <row r="12" spans="2:7" x14ac:dyDescent="0.25">
      <c r="B12" s="14" t="s">
        <v>1168</v>
      </c>
      <c r="C12" s="1" t="s">
        <v>39</v>
      </c>
      <c r="D12" s="1" t="s">
        <v>7</v>
      </c>
      <c r="E12" s="1">
        <v>70</v>
      </c>
      <c r="F12" s="1" t="s">
        <v>1179</v>
      </c>
      <c r="G12" s="16" t="s">
        <v>1200</v>
      </c>
    </row>
    <row r="13" spans="2:7" x14ac:dyDescent="0.25">
      <c r="B13" s="14" t="s">
        <v>1168</v>
      </c>
      <c r="C13" s="1" t="s">
        <v>183</v>
      </c>
      <c r="D13" s="1" t="s">
        <v>7</v>
      </c>
      <c r="E13" s="1">
        <v>50</v>
      </c>
      <c r="F13" s="1" t="s">
        <v>1180</v>
      </c>
      <c r="G13" s="16" t="s">
        <v>660</v>
      </c>
    </row>
    <row r="14" spans="2:7" x14ac:dyDescent="0.25">
      <c r="B14" s="14" t="s">
        <v>1168</v>
      </c>
      <c r="C14" s="1" t="s">
        <v>398</v>
      </c>
      <c r="D14" s="1" t="s">
        <v>7</v>
      </c>
      <c r="E14" s="1">
        <v>25</v>
      </c>
      <c r="F14" s="1" t="s">
        <v>1181</v>
      </c>
      <c r="G14" s="16" t="s">
        <v>1198</v>
      </c>
    </row>
    <row r="15" spans="2:7" x14ac:dyDescent="0.25">
      <c r="B15" s="29" t="s">
        <v>1168</v>
      </c>
      <c r="C15" s="28" t="s">
        <v>172</v>
      </c>
      <c r="D15" s="28" t="s">
        <v>7</v>
      </c>
      <c r="E15" s="28">
        <v>-44000</v>
      </c>
      <c r="F15" s="28" t="s">
        <v>1182</v>
      </c>
      <c r="G15" s="30" t="s">
        <v>1207</v>
      </c>
    </row>
    <row r="16" spans="2:7" x14ac:dyDescent="0.25">
      <c r="B16" s="14" t="s">
        <v>1168</v>
      </c>
      <c r="C16" s="1" t="s">
        <v>398</v>
      </c>
      <c r="D16" s="1" t="s">
        <v>7</v>
      </c>
      <c r="E16" s="1">
        <v>159.80000000000001</v>
      </c>
      <c r="F16" s="1" t="s">
        <v>1183</v>
      </c>
      <c r="G16" s="16" t="s">
        <v>1197</v>
      </c>
    </row>
    <row r="17" spans="2:7" x14ac:dyDescent="0.25">
      <c r="B17" s="14" t="s">
        <v>1168</v>
      </c>
      <c r="C17" s="1" t="s">
        <v>240</v>
      </c>
      <c r="D17" s="1" t="s">
        <v>7</v>
      </c>
      <c r="E17" s="1">
        <v>5.5</v>
      </c>
      <c r="F17" s="1" t="s">
        <v>1184</v>
      </c>
      <c r="G17" s="16" t="s">
        <v>1196</v>
      </c>
    </row>
    <row r="18" spans="2:7" x14ac:dyDescent="0.25">
      <c r="B18" s="14" t="s">
        <v>1168</v>
      </c>
      <c r="C18" s="1" t="s">
        <v>343</v>
      </c>
      <c r="D18" s="1" t="s">
        <v>7</v>
      </c>
      <c r="E18" s="1">
        <v>63</v>
      </c>
      <c r="F18" s="1" t="s">
        <v>1185</v>
      </c>
      <c r="G18" s="16" t="s">
        <v>1199</v>
      </c>
    </row>
    <row r="19" spans="2:7" x14ac:dyDescent="0.25">
      <c r="B19" s="14" t="s">
        <v>1168</v>
      </c>
      <c r="C19" s="1" t="s">
        <v>27</v>
      </c>
      <c r="D19" s="1" t="s">
        <v>7</v>
      </c>
      <c r="E19" s="1">
        <v>9</v>
      </c>
      <c r="F19" s="1" t="s">
        <v>1186</v>
      </c>
      <c r="G19" s="16" t="s">
        <v>1193</v>
      </c>
    </row>
    <row r="20" spans="2:7" x14ac:dyDescent="0.25">
      <c r="B20" s="14" t="s">
        <v>1168</v>
      </c>
      <c r="C20" s="1" t="s">
        <v>655</v>
      </c>
      <c r="D20" s="1" t="s">
        <v>7</v>
      </c>
      <c r="E20" s="1">
        <v>60</v>
      </c>
      <c r="F20" s="1" t="s">
        <v>1187</v>
      </c>
      <c r="G20" s="16" t="s">
        <v>1192</v>
      </c>
    </row>
    <row r="21" spans="2:7" x14ac:dyDescent="0.25">
      <c r="B21" s="14" t="s">
        <v>1168</v>
      </c>
      <c r="C21" s="1" t="s">
        <v>17</v>
      </c>
      <c r="D21" s="1" t="s">
        <v>7</v>
      </c>
      <c r="E21" s="1">
        <v>15</v>
      </c>
      <c r="F21" s="1" t="s">
        <v>1188</v>
      </c>
      <c r="G21" s="16" t="s">
        <v>1191</v>
      </c>
    </row>
    <row r="22" spans="2:7" x14ac:dyDescent="0.25">
      <c r="B22" s="14" t="s">
        <v>1168</v>
      </c>
      <c r="C22" s="1" t="s">
        <v>23</v>
      </c>
      <c r="D22" s="1" t="s">
        <v>7</v>
      </c>
      <c r="E22" s="1">
        <v>385</v>
      </c>
      <c r="F22" s="1" t="s">
        <v>1189</v>
      </c>
      <c r="G22" s="16" t="s">
        <v>1065</v>
      </c>
    </row>
    <row r="23" spans="2:7" x14ac:dyDescent="0.25">
      <c r="B23" s="14" t="s">
        <v>1168</v>
      </c>
      <c r="C23" s="1" t="s">
        <v>23</v>
      </c>
      <c r="D23" s="1" t="s">
        <v>7</v>
      </c>
      <c r="E23" s="1">
        <v>1562</v>
      </c>
      <c r="F23" s="1">
        <v>361410</v>
      </c>
      <c r="G23" s="16" t="s">
        <v>660</v>
      </c>
    </row>
    <row r="24" spans="2:7" x14ac:dyDescent="0.25">
      <c r="B24" s="14" t="s">
        <v>1168</v>
      </c>
      <c r="C24" s="1" t="s">
        <v>1195</v>
      </c>
      <c r="D24" s="1"/>
      <c r="E24" s="1">
        <v>4604.25</v>
      </c>
      <c r="F24" s="1"/>
      <c r="G24" s="16" t="s">
        <v>1194</v>
      </c>
    </row>
    <row r="25" spans="2:7" x14ac:dyDescent="0.25">
      <c r="B25" s="29" t="s">
        <v>1168</v>
      </c>
      <c r="C25" s="28" t="s">
        <v>78</v>
      </c>
      <c r="D25" s="28"/>
      <c r="E25" s="28">
        <v>-2519.81</v>
      </c>
      <c r="F25" s="28"/>
      <c r="G25" s="30" t="s">
        <v>1202</v>
      </c>
    </row>
    <row r="26" spans="2:7" x14ac:dyDescent="0.25">
      <c r="B26" s="68">
        <v>46101</v>
      </c>
      <c r="C26" s="67"/>
      <c r="D26" s="67"/>
      <c r="E26" s="67">
        <v>240</v>
      </c>
      <c r="F26" s="67"/>
      <c r="G26" s="69" t="s">
        <v>1190</v>
      </c>
    </row>
    <row r="27" spans="2:7" x14ac:dyDescent="0.25">
      <c r="B27" s="14" t="s">
        <v>1168</v>
      </c>
      <c r="C27" s="1" t="s">
        <v>665</v>
      </c>
      <c r="D27" s="1" t="s">
        <v>7</v>
      </c>
      <c r="E27" s="1">
        <v>240</v>
      </c>
      <c r="F27" s="1" t="s">
        <v>1209</v>
      </c>
      <c r="G27" s="16" t="s">
        <v>1227</v>
      </c>
    </row>
    <row r="28" spans="2:7" x14ac:dyDescent="0.25">
      <c r="B28" s="14" t="s">
        <v>1168</v>
      </c>
      <c r="C28" s="1" t="s">
        <v>6</v>
      </c>
      <c r="D28" s="1" t="s">
        <v>7</v>
      </c>
      <c r="E28" s="1">
        <v>155</v>
      </c>
      <c r="F28" s="1" t="s">
        <v>1210</v>
      </c>
      <c r="G28" s="16" t="s">
        <v>1226</v>
      </c>
    </row>
    <row r="29" spans="2:7" x14ac:dyDescent="0.25">
      <c r="B29" s="14" t="s">
        <v>1168</v>
      </c>
      <c r="C29" s="1" t="s">
        <v>39</v>
      </c>
      <c r="D29" s="1" t="s">
        <v>7</v>
      </c>
      <c r="E29" s="1">
        <v>118</v>
      </c>
      <c r="F29" s="1" t="s">
        <v>1211</v>
      </c>
      <c r="G29" s="16" t="s">
        <v>236</v>
      </c>
    </row>
    <row r="30" spans="2:7" x14ac:dyDescent="0.25">
      <c r="B30" s="14" t="s">
        <v>1168</v>
      </c>
      <c r="C30" s="1" t="s">
        <v>665</v>
      </c>
      <c r="D30" s="1" t="s">
        <v>7</v>
      </c>
      <c r="E30" s="1">
        <v>120</v>
      </c>
      <c r="F30" s="1" t="s">
        <v>1212</v>
      </c>
      <c r="G30" s="16" t="s">
        <v>1227</v>
      </c>
    </row>
    <row r="31" spans="2:7" x14ac:dyDescent="0.25">
      <c r="B31" s="14" t="s">
        <v>1168</v>
      </c>
      <c r="C31" s="1" t="s">
        <v>27</v>
      </c>
      <c r="D31" s="1" t="s">
        <v>7</v>
      </c>
      <c r="E31" s="1">
        <v>200</v>
      </c>
      <c r="F31" s="1" t="s">
        <v>1213</v>
      </c>
      <c r="G31" s="16" t="s">
        <v>77</v>
      </c>
    </row>
    <row r="32" spans="2:7" x14ac:dyDescent="0.25">
      <c r="B32" s="14" t="s">
        <v>1168</v>
      </c>
      <c r="C32" s="1" t="s">
        <v>13</v>
      </c>
      <c r="D32" s="1" t="s">
        <v>7</v>
      </c>
      <c r="E32" s="1">
        <v>459</v>
      </c>
      <c r="F32" s="1" t="s">
        <v>1214</v>
      </c>
      <c r="G32" s="16" t="s">
        <v>68</v>
      </c>
    </row>
    <row r="33" spans="2:7" x14ac:dyDescent="0.25">
      <c r="B33" s="14" t="s">
        <v>1168</v>
      </c>
      <c r="C33" s="1" t="s">
        <v>23</v>
      </c>
      <c r="D33" s="1" t="s">
        <v>7</v>
      </c>
      <c r="E33" s="1">
        <v>620</v>
      </c>
      <c r="F33" s="1" t="s">
        <v>1215</v>
      </c>
      <c r="G33" s="16" t="s">
        <v>1224</v>
      </c>
    </row>
    <row r="34" spans="2:7" x14ac:dyDescent="0.25">
      <c r="B34" s="29" t="s">
        <v>1168</v>
      </c>
      <c r="C34" s="28" t="s">
        <v>109</v>
      </c>
      <c r="D34" s="28" t="s">
        <v>7</v>
      </c>
      <c r="E34" s="28">
        <v>-50</v>
      </c>
      <c r="F34" s="28" t="s">
        <v>1216</v>
      </c>
      <c r="G34" s="30" t="s">
        <v>1223</v>
      </c>
    </row>
    <row r="35" spans="2:7" x14ac:dyDescent="0.25">
      <c r="B35" s="14" t="s">
        <v>1168</v>
      </c>
      <c r="C35" s="1" t="s">
        <v>262</v>
      </c>
      <c r="D35" s="1" t="s">
        <v>7</v>
      </c>
      <c r="E35" s="1">
        <v>340</v>
      </c>
      <c r="F35" s="1" t="s">
        <v>1217</v>
      </c>
      <c r="G35" s="16" t="s">
        <v>869</v>
      </c>
    </row>
    <row r="36" spans="2:7" x14ac:dyDescent="0.25">
      <c r="B36" s="14" t="s">
        <v>1168</v>
      </c>
      <c r="C36" s="1" t="s">
        <v>295</v>
      </c>
      <c r="D36" s="1" t="s">
        <v>7</v>
      </c>
      <c r="E36" s="1">
        <v>35</v>
      </c>
      <c r="F36" s="1" t="s">
        <v>1218</v>
      </c>
      <c r="G36" s="16" t="s">
        <v>1225</v>
      </c>
    </row>
    <row r="37" spans="2:7" x14ac:dyDescent="0.25">
      <c r="B37" s="14" t="s">
        <v>1168</v>
      </c>
      <c r="C37" s="1" t="s">
        <v>284</v>
      </c>
      <c r="D37" s="1" t="s">
        <v>7</v>
      </c>
      <c r="E37" s="1">
        <v>100</v>
      </c>
      <c r="F37" s="1" t="s">
        <v>1219</v>
      </c>
      <c r="G37" s="16" t="s">
        <v>1222</v>
      </c>
    </row>
    <row r="38" spans="2:7" x14ac:dyDescent="0.25">
      <c r="B38" s="14" t="s">
        <v>1168</v>
      </c>
      <c r="C38" s="1" t="s">
        <v>75</v>
      </c>
      <c r="D38" s="1" t="s">
        <v>7</v>
      </c>
      <c r="E38" s="1">
        <v>20</v>
      </c>
      <c r="F38" s="1" t="s">
        <v>1220</v>
      </c>
      <c r="G38" s="16" t="s">
        <v>1221</v>
      </c>
    </row>
    <row r="39" spans="2:7" x14ac:dyDescent="0.25">
      <c r="B39" s="14" t="s">
        <v>1168</v>
      </c>
      <c r="C39" s="1" t="s">
        <v>78</v>
      </c>
      <c r="D39" s="1" t="s">
        <v>7</v>
      </c>
      <c r="E39" s="1">
        <v>794.5</v>
      </c>
      <c r="F39" s="1"/>
      <c r="G39" s="16" t="s">
        <v>995</v>
      </c>
    </row>
    <row r="40" spans="2:7" ht="16.5" thickBot="1" x14ac:dyDescent="0.3">
      <c r="B40" s="25" t="s">
        <v>1168</v>
      </c>
      <c r="C40" s="18" t="s">
        <v>78</v>
      </c>
      <c r="D40" s="18" t="s">
        <v>7</v>
      </c>
      <c r="E40" s="18">
        <v>25</v>
      </c>
      <c r="F40" s="18"/>
      <c r="G40" s="27" t="s">
        <v>995</v>
      </c>
    </row>
    <row r="41" spans="2:7" x14ac:dyDescent="0.25">
      <c r="B41" s="57"/>
    </row>
    <row r="42" spans="2:7" x14ac:dyDescent="0.25">
      <c r="B42" s="57"/>
    </row>
    <row r="43" spans="2:7" x14ac:dyDescent="0.25">
      <c r="B43" s="57"/>
    </row>
    <row r="44" spans="2:7" x14ac:dyDescent="0.25">
      <c r="B44" s="57"/>
    </row>
    <row r="46" spans="2:7" x14ac:dyDescent="0.25">
      <c r="B46" s="66">
        <v>46101</v>
      </c>
      <c r="C46" s="3" t="s">
        <v>23</v>
      </c>
      <c r="D46" s="3" t="s">
        <v>7</v>
      </c>
      <c r="E46" s="3">
        <v>240</v>
      </c>
      <c r="F46" s="3">
        <v>5693276</v>
      </c>
      <c r="G46" s="3" t="s">
        <v>1190</v>
      </c>
    </row>
  </sheetData>
  <pageMargins left="0.7" right="0.7" top="0.75" bottom="0.75" header="0.3" footer="0.3"/>
  <pageSetup paperSize="256" orientation="portrait" horizontalDpi="203" verticalDpi="203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DC2E5D-3228-4F63-A222-A10123861285}">
  <sheetPr codeName="Hoja24"/>
  <dimension ref="B1:H31"/>
  <sheetViews>
    <sheetView workbookViewId="0">
      <selection sqref="A1:H32"/>
    </sheetView>
  </sheetViews>
  <sheetFormatPr baseColWidth="10" defaultRowHeight="15.75" x14ac:dyDescent="0.25"/>
  <cols>
    <col min="2" max="2" width="11" style="3"/>
    <col min="3" max="3" width="32.875" style="3" customWidth="1"/>
    <col min="4" max="5" width="11" style="3"/>
    <col min="6" max="6" width="21.5" style="3" customWidth="1"/>
    <col min="7" max="7" width="35.75" style="3" customWidth="1"/>
    <col min="8" max="8" width="11" style="3"/>
  </cols>
  <sheetData>
    <row r="1" spans="2:7" ht="16.5" thickBot="1" x14ac:dyDescent="0.3"/>
    <row r="2" spans="2:7" x14ac:dyDescent="0.25">
      <c r="B2" s="21" t="s">
        <v>0</v>
      </c>
      <c r="C2" s="22" t="s">
        <v>1</v>
      </c>
      <c r="D2" s="22" t="s">
        <v>2</v>
      </c>
      <c r="E2" s="22" t="s">
        <v>3</v>
      </c>
      <c r="F2" s="22" t="s">
        <v>4</v>
      </c>
      <c r="G2" s="13"/>
    </row>
    <row r="3" spans="2:7" x14ac:dyDescent="0.25">
      <c r="B3" s="14" t="s">
        <v>1228</v>
      </c>
      <c r="C3" s="1" t="s">
        <v>299</v>
      </c>
      <c r="D3" s="1" t="s">
        <v>7</v>
      </c>
      <c r="E3" s="1">
        <v>34</v>
      </c>
      <c r="F3" s="1" t="s">
        <v>1229</v>
      </c>
      <c r="G3" s="16" t="s">
        <v>536</v>
      </c>
    </row>
    <row r="4" spans="2:7" x14ac:dyDescent="0.25">
      <c r="B4" s="14" t="s">
        <v>1228</v>
      </c>
      <c r="C4" s="1" t="s">
        <v>655</v>
      </c>
      <c r="D4" s="1" t="s">
        <v>7</v>
      </c>
      <c r="E4" s="1">
        <v>2</v>
      </c>
      <c r="F4" s="1" t="s">
        <v>1230</v>
      </c>
      <c r="G4" s="16" t="s">
        <v>1272</v>
      </c>
    </row>
    <row r="5" spans="2:7" x14ac:dyDescent="0.25">
      <c r="B5" s="29" t="s">
        <v>1228</v>
      </c>
      <c r="C5" s="28" t="s">
        <v>472</v>
      </c>
      <c r="D5" s="28" t="s">
        <v>7</v>
      </c>
      <c r="E5" s="28">
        <v>-1342</v>
      </c>
      <c r="F5" s="28" t="s">
        <v>1231</v>
      </c>
      <c r="G5" s="30" t="s">
        <v>1268</v>
      </c>
    </row>
    <row r="6" spans="2:7" x14ac:dyDescent="0.25">
      <c r="B6" s="14" t="s">
        <v>1228</v>
      </c>
      <c r="C6" s="1" t="s">
        <v>373</v>
      </c>
      <c r="D6" s="1" t="s">
        <v>7</v>
      </c>
      <c r="E6" s="1">
        <v>10</v>
      </c>
      <c r="F6" s="1" t="s">
        <v>1232</v>
      </c>
      <c r="G6" s="16" t="s">
        <v>1267</v>
      </c>
    </row>
    <row r="7" spans="2:7" x14ac:dyDescent="0.25">
      <c r="B7" s="14" t="s">
        <v>1228</v>
      </c>
      <c r="C7" s="1" t="s">
        <v>24</v>
      </c>
      <c r="D7" s="1" t="s">
        <v>7</v>
      </c>
      <c r="E7" s="1">
        <v>60</v>
      </c>
      <c r="F7" s="1" t="s">
        <v>1233</v>
      </c>
      <c r="G7" s="16" t="s">
        <v>52</v>
      </c>
    </row>
    <row r="8" spans="2:7" x14ac:dyDescent="0.25">
      <c r="B8" s="14" t="s">
        <v>1228</v>
      </c>
      <c r="C8" s="1" t="s">
        <v>23</v>
      </c>
      <c r="D8" s="1" t="s">
        <v>7</v>
      </c>
      <c r="E8" s="1">
        <v>1250</v>
      </c>
      <c r="F8" s="1" t="s">
        <v>1234</v>
      </c>
      <c r="G8" s="16" t="s">
        <v>1271</v>
      </c>
    </row>
    <row r="9" spans="2:7" x14ac:dyDescent="0.25">
      <c r="B9" s="14" t="s">
        <v>1228</v>
      </c>
      <c r="C9" s="1" t="s">
        <v>299</v>
      </c>
      <c r="D9" s="1" t="s">
        <v>7</v>
      </c>
      <c r="E9" s="1">
        <v>5</v>
      </c>
      <c r="F9" s="1" t="s">
        <v>1235</v>
      </c>
      <c r="G9" s="16" t="s">
        <v>1266</v>
      </c>
    </row>
    <row r="10" spans="2:7" x14ac:dyDescent="0.25">
      <c r="B10" s="14" t="s">
        <v>1228</v>
      </c>
      <c r="C10" s="1" t="s">
        <v>6</v>
      </c>
      <c r="D10" s="1" t="s">
        <v>7</v>
      </c>
      <c r="E10" s="1">
        <v>500</v>
      </c>
      <c r="F10" s="1" t="s">
        <v>1236</v>
      </c>
      <c r="G10" s="16" t="s">
        <v>1276</v>
      </c>
    </row>
    <row r="11" spans="2:7" x14ac:dyDescent="0.25">
      <c r="B11" s="14" t="s">
        <v>1228</v>
      </c>
      <c r="C11" s="1" t="s">
        <v>6</v>
      </c>
      <c r="D11" s="1" t="s">
        <v>7</v>
      </c>
      <c r="E11" s="1">
        <v>500</v>
      </c>
      <c r="F11" s="1" t="s">
        <v>1237</v>
      </c>
      <c r="G11" s="16" t="s">
        <v>1276</v>
      </c>
    </row>
    <row r="12" spans="2:7" x14ac:dyDescent="0.25">
      <c r="B12" s="14" t="s">
        <v>1228</v>
      </c>
      <c r="C12" s="1" t="s">
        <v>1238</v>
      </c>
      <c r="D12" s="1" t="s">
        <v>7</v>
      </c>
      <c r="E12" s="1">
        <v>32</v>
      </c>
      <c r="F12" s="1" t="s">
        <v>1239</v>
      </c>
      <c r="G12" s="16" t="s">
        <v>1265</v>
      </c>
    </row>
    <row r="13" spans="2:7" x14ac:dyDescent="0.25">
      <c r="B13" s="14" t="s">
        <v>1228</v>
      </c>
      <c r="C13" s="1" t="s">
        <v>23</v>
      </c>
      <c r="D13" s="1" t="s">
        <v>7</v>
      </c>
      <c r="E13" s="1">
        <v>1525</v>
      </c>
      <c r="F13" s="1" t="s">
        <v>1240</v>
      </c>
      <c r="G13" s="16" t="s">
        <v>660</v>
      </c>
    </row>
    <row r="14" spans="2:7" x14ac:dyDescent="0.25">
      <c r="B14" s="29" t="s">
        <v>1228</v>
      </c>
      <c r="C14" s="28" t="s">
        <v>1241</v>
      </c>
      <c r="D14" s="28" t="s">
        <v>7</v>
      </c>
      <c r="E14" s="28">
        <v>-460</v>
      </c>
      <c r="F14" s="28" t="s">
        <v>1242</v>
      </c>
      <c r="G14" s="30" t="s">
        <v>1264</v>
      </c>
    </row>
    <row r="15" spans="2:7" x14ac:dyDescent="0.25">
      <c r="B15" s="29" t="s">
        <v>1228</v>
      </c>
      <c r="C15" s="28" t="s">
        <v>1241</v>
      </c>
      <c r="D15" s="28" t="s">
        <v>7</v>
      </c>
      <c r="E15" s="28">
        <v>-500</v>
      </c>
      <c r="F15" s="28" t="s">
        <v>1243</v>
      </c>
      <c r="G15" s="30" t="s">
        <v>1264</v>
      </c>
    </row>
    <row r="16" spans="2:7" x14ac:dyDescent="0.25">
      <c r="B16" s="14" t="s">
        <v>1228</v>
      </c>
      <c r="C16" s="1" t="s">
        <v>19</v>
      </c>
      <c r="D16" s="1" t="s">
        <v>7</v>
      </c>
      <c r="E16" s="1">
        <v>9</v>
      </c>
      <c r="F16" s="1" t="s">
        <v>1244</v>
      </c>
      <c r="G16" s="16" t="s">
        <v>1263</v>
      </c>
    </row>
    <row r="17" spans="2:7" x14ac:dyDescent="0.25">
      <c r="B17" s="14" t="s">
        <v>1228</v>
      </c>
      <c r="C17" s="1" t="s">
        <v>17</v>
      </c>
      <c r="D17" s="1" t="s">
        <v>7</v>
      </c>
      <c r="E17" s="1">
        <v>173</v>
      </c>
      <c r="F17" s="1" t="s">
        <v>1245</v>
      </c>
      <c r="G17" s="16" t="s">
        <v>1262</v>
      </c>
    </row>
    <row r="18" spans="2:7" x14ac:dyDescent="0.25">
      <c r="B18" s="14" t="s">
        <v>1228</v>
      </c>
      <c r="C18" s="1" t="s">
        <v>1246</v>
      </c>
      <c r="D18" s="1" t="s">
        <v>7</v>
      </c>
      <c r="E18" s="1">
        <v>23.5</v>
      </c>
      <c r="F18" s="1" t="s">
        <v>1247</v>
      </c>
      <c r="G18" s="16" t="s">
        <v>1261</v>
      </c>
    </row>
    <row r="19" spans="2:7" x14ac:dyDescent="0.25">
      <c r="B19" s="14" t="s">
        <v>1228</v>
      </c>
      <c r="C19" s="1" t="s">
        <v>6</v>
      </c>
      <c r="D19" s="1" t="s">
        <v>7</v>
      </c>
      <c r="E19" s="1">
        <v>110</v>
      </c>
      <c r="F19" s="1" t="s">
        <v>1248</v>
      </c>
      <c r="G19" s="16" t="s">
        <v>52</v>
      </c>
    </row>
    <row r="20" spans="2:7" x14ac:dyDescent="0.25">
      <c r="B20" s="14" t="s">
        <v>1228</v>
      </c>
      <c r="C20" s="1" t="s">
        <v>6</v>
      </c>
      <c r="D20" s="1" t="s">
        <v>7</v>
      </c>
      <c r="E20" s="1">
        <v>500</v>
      </c>
      <c r="F20" s="1" t="s">
        <v>1249</v>
      </c>
      <c r="G20" s="16" t="s">
        <v>52</v>
      </c>
    </row>
    <row r="21" spans="2:7" x14ac:dyDescent="0.25">
      <c r="B21" s="14" t="s">
        <v>1228</v>
      </c>
      <c r="C21" s="1" t="s">
        <v>6</v>
      </c>
      <c r="D21" s="1" t="s">
        <v>7</v>
      </c>
      <c r="E21" s="1">
        <v>500</v>
      </c>
      <c r="F21" s="1" t="s">
        <v>1250</v>
      </c>
      <c r="G21" s="16" t="s">
        <v>52</v>
      </c>
    </row>
    <row r="22" spans="2:7" x14ac:dyDescent="0.25">
      <c r="B22" s="14" t="s">
        <v>1228</v>
      </c>
      <c r="C22" s="1" t="s">
        <v>665</v>
      </c>
      <c r="D22" s="1" t="s">
        <v>7</v>
      </c>
      <c r="E22" s="1">
        <v>120</v>
      </c>
      <c r="F22" s="1" t="s">
        <v>1251</v>
      </c>
      <c r="G22" s="16" t="s">
        <v>386</v>
      </c>
    </row>
    <row r="23" spans="2:7" x14ac:dyDescent="0.25">
      <c r="B23" s="14" t="s">
        <v>1228</v>
      </c>
      <c r="C23" s="1" t="s">
        <v>23</v>
      </c>
      <c r="D23" s="1" t="s">
        <v>7</v>
      </c>
      <c r="E23" s="1">
        <v>137</v>
      </c>
      <c r="F23" s="1" t="s">
        <v>1252</v>
      </c>
      <c r="G23" s="16" t="s">
        <v>1271</v>
      </c>
    </row>
    <row r="24" spans="2:7" x14ac:dyDescent="0.25">
      <c r="B24" s="14" t="s">
        <v>1228</v>
      </c>
      <c r="C24" s="1" t="s">
        <v>95</v>
      </c>
      <c r="D24" s="1" t="s">
        <v>7</v>
      </c>
      <c r="E24" s="1">
        <v>291</v>
      </c>
      <c r="F24" s="1" t="s">
        <v>1253</v>
      </c>
      <c r="G24" s="16" t="s">
        <v>630</v>
      </c>
    </row>
    <row r="25" spans="2:7" x14ac:dyDescent="0.25">
      <c r="B25" s="14" t="s">
        <v>1228</v>
      </c>
      <c r="C25" s="1" t="s">
        <v>19</v>
      </c>
      <c r="D25" s="1" t="s">
        <v>7</v>
      </c>
      <c r="E25" s="1">
        <v>9</v>
      </c>
      <c r="F25" s="1" t="s">
        <v>1254</v>
      </c>
      <c r="G25" s="16" t="s">
        <v>1275</v>
      </c>
    </row>
    <row r="26" spans="2:7" x14ac:dyDescent="0.25">
      <c r="B26" s="71" t="s">
        <v>1228</v>
      </c>
      <c r="C26" s="70" t="s">
        <v>669</v>
      </c>
      <c r="D26" s="70" t="s">
        <v>7</v>
      </c>
      <c r="E26" s="70">
        <v>4427.29</v>
      </c>
      <c r="F26" s="70" t="s">
        <v>1255</v>
      </c>
      <c r="G26" s="72" t="s">
        <v>1194</v>
      </c>
    </row>
    <row r="27" spans="2:7" x14ac:dyDescent="0.25">
      <c r="B27" s="14" t="s">
        <v>1228</v>
      </c>
      <c r="C27" s="1" t="s">
        <v>39</v>
      </c>
      <c r="D27" s="1" t="s">
        <v>7</v>
      </c>
      <c r="E27" s="1">
        <v>84</v>
      </c>
      <c r="F27" s="1" t="s">
        <v>1256</v>
      </c>
      <c r="G27" s="16" t="s">
        <v>1270</v>
      </c>
    </row>
    <row r="28" spans="2:7" x14ac:dyDescent="0.25">
      <c r="B28" s="14" t="s">
        <v>1228</v>
      </c>
      <c r="C28" s="1" t="s">
        <v>13</v>
      </c>
      <c r="D28" s="1" t="s">
        <v>7</v>
      </c>
      <c r="E28" s="1">
        <v>12.5</v>
      </c>
      <c r="F28" s="1" t="s">
        <v>1257</v>
      </c>
      <c r="G28" s="16" t="s">
        <v>1273</v>
      </c>
    </row>
    <row r="29" spans="2:7" x14ac:dyDescent="0.25">
      <c r="B29" s="14" t="s">
        <v>1228</v>
      </c>
      <c r="C29" s="1" t="s">
        <v>356</v>
      </c>
      <c r="D29" s="1" t="s">
        <v>7</v>
      </c>
      <c r="E29" s="1">
        <v>32</v>
      </c>
      <c r="F29" s="1" t="s">
        <v>1258</v>
      </c>
      <c r="G29" s="16" t="s">
        <v>1269</v>
      </c>
    </row>
    <row r="30" spans="2:7" x14ac:dyDescent="0.25">
      <c r="B30" s="14" t="s">
        <v>1228</v>
      </c>
      <c r="C30" s="1" t="s">
        <v>1259</v>
      </c>
      <c r="D30" s="1" t="s">
        <v>7</v>
      </c>
      <c r="E30" s="1">
        <v>12.5</v>
      </c>
      <c r="F30" s="1" t="s">
        <v>1260</v>
      </c>
      <c r="G30" s="16" t="s">
        <v>1274</v>
      </c>
    </row>
    <row r="31" spans="2:7" ht="16.5" thickBot="1" x14ac:dyDescent="0.3">
      <c r="B31" s="73">
        <v>46104</v>
      </c>
      <c r="C31" s="18" t="s">
        <v>23</v>
      </c>
      <c r="D31" s="18" t="s">
        <v>7</v>
      </c>
      <c r="E31" s="18">
        <v>240</v>
      </c>
      <c r="F31" s="18" t="s">
        <v>1277</v>
      </c>
      <c r="G31" s="27" t="s">
        <v>590</v>
      </c>
    </row>
  </sheetData>
  <pageMargins left="0.7" right="0.7" top="0.75" bottom="0.75" header="0.3" footer="0.3"/>
  <pageSetup paperSize="256" orientation="portrait" horizontalDpi="203" verticalDpi="203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233C85-BA51-4FE1-A55E-66737C37018B}">
  <sheetPr codeName="Hoja25"/>
  <dimension ref="B1:H33"/>
  <sheetViews>
    <sheetView topLeftCell="A4" workbookViewId="0">
      <selection activeCell="F15" sqref="F15:F16"/>
    </sheetView>
  </sheetViews>
  <sheetFormatPr baseColWidth="10" defaultRowHeight="15.75" x14ac:dyDescent="0.25"/>
  <cols>
    <col min="2" max="2" width="11" style="3"/>
    <col min="3" max="3" width="26.25" style="3" customWidth="1"/>
    <col min="4" max="5" width="11" style="3"/>
    <col min="6" max="6" width="26.125" style="3" customWidth="1"/>
    <col min="7" max="7" width="33" style="3" bestFit="1" customWidth="1"/>
    <col min="8" max="8" width="11" style="3"/>
  </cols>
  <sheetData>
    <row r="1" spans="2:7" ht="16.5" thickBot="1" x14ac:dyDescent="0.3"/>
    <row r="2" spans="2:7" x14ac:dyDescent="0.25">
      <c r="B2" s="21" t="s">
        <v>0</v>
      </c>
      <c r="C2" s="22" t="s">
        <v>1</v>
      </c>
      <c r="D2" s="22" t="s">
        <v>2</v>
      </c>
      <c r="E2" s="22" t="s">
        <v>3</v>
      </c>
      <c r="F2" s="22" t="s">
        <v>4</v>
      </c>
      <c r="G2" s="13"/>
    </row>
    <row r="3" spans="2:7" x14ac:dyDescent="0.25">
      <c r="B3" s="14" t="s">
        <v>1278</v>
      </c>
      <c r="C3" s="1" t="s">
        <v>1279</v>
      </c>
      <c r="D3" s="1" t="s">
        <v>7</v>
      </c>
      <c r="E3" s="1">
        <v>65</v>
      </c>
      <c r="F3" s="1" t="s">
        <v>1280</v>
      </c>
      <c r="G3" s="16" t="s">
        <v>1331</v>
      </c>
    </row>
    <row r="4" spans="2:7" x14ac:dyDescent="0.25">
      <c r="B4" s="14" t="s">
        <v>1278</v>
      </c>
      <c r="C4" s="1" t="s">
        <v>23</v>
      </c>
      <c r="D4" s="1" t="s">
        <v>7</v>
      </c>
      <c r="E4" s="1">
        <v>2560</v>
      </c>
      <c r="F4" s="1" t="s">
        <v>1281</v>
      </c>
      <c r="G4" s="16" t="s">
        <v>1332</v>
      </c>
    </row>
    <row r="5" spans="2:7" x14ac:dyDescent="0.25">
      <c r="B5" s="14" t="s">
        <v>1278</v>
      </c>
      <c r="C5" s="1" t="s">
        <v>1259</v>
      </c>
      <c r="D5" s="1" t="s">
        <v>7</v>
      </c>
      <c r="E5" s="1">
        <v>6</v>
      </c>
      <c r="F5" s="1" t="s">
        <v>1282</v>
      </c>
      <c r="G5" s="16" t="s">
        <v>1329</v>
      </c>
    </row>
    <row r="6" spans="2:7" x14ac:dyDescent="0.25">
      <c r="B6" s="14" t="s">
        <v>1278</v>
      </c>
      <c r="C6" s="1" t="s">
        <v>521</v>
      </c>
      <c r="D6" s="1" t="s">
        <v>7</v>
      </c>
      <c r="E6" s="1">
        <v>0.2</v>
      </c>
      <c r="F6" s="1" t="s">
        <v>1283</v>
      </c>
      <c r="G6" s="16" t="s">
        <v>1330</v>
      </c>
    </row>
    <row r="7" spans="2:7" x14ac:dyDescent="0.25">
      <c r="B7" s="14" t="s">
        <v>1278</v>
      </c>
      <c r="C7" s="1" t="s">
        <v>521</v>
      </c>
      <c r="D7" s="1" t="s">
        <v>7</v>
      </c>
      <c r="E7" s="1">
        <v>207</v>
      </c>
      <c r="F7" s="1" t="s">
        <v>1284</v>
      </c>
      <c r="G7" s="16" t="s">
        <v>1330</v>
      </c>
    </row>
    <row r="8" spans="2:7" x14ac:dyDescent="0.25">
      <c r="B8" s="14" t="s">
        <v>1278</v>
      </c>
      <c r="C8" s="1" t="s">
        <v>655</v>
      </c>
      <c r="D8" s="1" t="s">
        <v>7</v>
      </c>
      <c r="E8" s="1">
        <v>4</v>
      </c>
      <c r="F8" s="1" t="s">
        <v>1285</v>
      </c>
      <c r="G8" s="16" t="s">
        <v>1316</v>
      </c>
    </row>
    <row r="9" spans="2:7" x14ac:dyDescent="0.25">
      <c r="B9" s="14" t="s">
        <v>1278</v>
      </c>
      <c r="C9" s="1" t="s">
        <v>23</v>
      </c>
      <c r="D9" s="1" t="s">
        <v>7</v>
      </c>
      <c r="E9" s="1">
        <v>193</v>
      </c>
      <c r="F9" s="1" t="s">
        <v>1286</v>
      </c>
      <c r="G9" s="16" t="s">
        <v>590</v>
      </c>
    </row>
    <row r="10" spans="2:7" x14ac:dyDescent="0.25">
      <c r="B10" s="14" t="s">
        <v>1278</v>
      </c>
      <c r="C10" s="1" t="s">
        <v>23</v>
      </c>
      <c r="D10" s="1" t="s">
        <v>7</v>
      </c>
      <c r="E10" s="1">
        <v>928</v>
      </c>
      <c r="F10" s="1" t="s">
        <v>1287</v>
      </c>
      <c r="G10" s="16" t="s">
        <v>1327</v>
      </c>
    </row>
    <row r="11" spans="2:7" x14ac:dyDescent="0.25">
      <c r="B11" s="14" t="s">
        <v>1278</v>
      </c>
      <c r="C11" s="1" t="s">
        <v>299</v>
      </c>
      <c r="D11" s="1" t="s">
        <v>7</v>
      </c>
      <c r="E11" s="1">
        <v>12</v>
      </c>
      <c r="F11" s="1" t="s">
        <v>1288</v>
      </c>
      <c r="G11" s="16" t="s">
        <v>1326</v>
      </c>
    </row>
    <row r="12" spans="2:7" x14ac:dyDescent="0.25">
      <c r="B12" s="14" t="s">
        <v>1278</v>
      </c>
      <c r="C12" s="1" t="s">
        <v>299</v>
      </c>
      <c r="D12" s="1" t="s">
        <v>7</v>
      </c>
      <c r="E12" s="1">
        <v>1.8</v>
      </c>
      <c r="F12" s="1" t="s">
        <v>1289</v>
      </c>
      <c r="G12" s="16" t="s">
        <v>1325</v>
      </c>
    </row>
    <row r="13" spans="2:7" x14ac:dyDescent="0.25">
      <c r="B13" s="29" t="s">
        <v>1278</v>
      </c>
      <c r="C13" s="28" t="s">
        <v>1290</v>
      </c>
      <c r="D13" s="28" t="s">
        <v>7</v>
      </c>
      <c r="E13" s="28">
        <v>-30</v>
      </c>
      <c r="F13" s="28" t="s">
        <v>1291</v>
      </c>
      <c r="G13" s="30" t="s">
        <v>1333</v>
      </c>
    </row>
    <row r="14" spans="2:7" x14ac:dyDescent="0.25">
      <c r="B14" s="14" t="s">
        <v>1278</v>
      </c>
      <c r="C14" s="1" t="s">
        <v>1292</v>
      </c>
      <c r="D14" s="1" t="s">
        <v>7</v>
      </c>
      <c r="E14" s="1">
        <v>5.9</v>
      </c>
      <c r="F14" s="1" t="s">
        <v>1293</v>
      </c>
      <c r="G14" s="16" t="s">
        <v>1324</v>
      </c>
    </row>
    <row r="15" spans="2:7" x14ac:dyDescent="0.25">
      <c r="B15" s="14" t="s">
        <v>1278</v>
      </c>
      <c r="C15" s="1" t="s">
        <v>9</v>
      </c>
      <c r="D15" s="1" t="s">
        <v>7</v>
      </c>
      <c r="E15" s="1">
        <v>173</v>
      </c>
      <c r="F15" s="1" t="s">
        <v>1294</v>
      </c>
      <c r="G15" s="16" t="s">
        <v>1322</v>
      </c>
    </row>
    <row r="16" spans="2:7" x14ac:dyDescent="0.25">
      <c r="B16" s="14" t="s">
        <v>1278</v>
      </c>
      <c r="C16" s="1" t="s">
        <v>23</v>
      </c>
      <c r="D16" s="1" t="s">
        <v>7</v>
      </c>
      <c r="E16" s="1">
        <v>3390</v>
      </c>
      <c r="F16" s="1" t="s">
        <v>1295</v>
      </c>
      <c r="G16" s="16" t="s">
        <v>660</v>
      </c>
    </row>
    <row r="17" spans="2:7" x14ac:dyDescent="0.25">
      <c r="B17" s="14" t="s">
        <v>1278</v>
      </c>
      <c r="C17" s="1" t="s">
        <v>23</v>
      </c>
      <c r="D17" s="1" t="s">
        <v>7</v>
      </c>
      <c r="E17" s="1">
        <v>449</v>
      </c>
      <c r="F17" s="1" t="s">
        <v>1296</v>
      </c>
      <c r="G17" s="16" t="s">
        <v>1065</v>
      </c>
    </row>
    <row r="18" spans="2:7" x14ac:dyDescent="0.25">
      <c r="B18" s="14" t="s">
        <v>1278</v>
      </c>
      <c r="C18" s="1" t="s">
        <v>509</v>
      </c>
      <c r="D18" s="1" t="s">
        <v>7</v>
      </c>
      <c r="E18" s="1">
        <v>915</v>
      </c>
      <c r="F18" s="1" t="s">
        <v>1297</v>
      </c>
      <c r="G18" s="16" t="s">
        <v>1335</v>
      </c>
    </row>
    <row r="19" spans="2:7" x14ac:dyDescent="0.25">
      <c r="B19" s="14" t="s">
        <v>1278</v>
      </c>
      <c r="C19" s="1" t="s">
        <v>269</v>
      </c>
      <c r="D19" s="1" t="s">
        <v>7</v>
      </c>
      <c r="E19" s="1">
        <v>15</v>
      </c>
      <c r="F19" s="1" t="s">
        <v>1298</v>
      </c>
      <c r="G19" s="16" t="s">
        <v>1323</v>
      </c>
    </row>
    <row r="20" spans="2:7" x14ac:dyDescent="0.25">
      <c r="B20" s="14" t="s">
        <v>1278</v>
      </c>
      <c r="C20" s="1" t="s">
        <v>521</v>
      </c>
      <c r="D20" s="1" t="s">
        <v>7</v>
      </c>
      <c r="E20" s="1">
        <v>16</v>
      </c>
      <c r="F20" s="1" t="s">
        <v>1299</v>
      </c>
      <c r="G20" s="16" t="s">
        <v>1314</v>
      </c>
    </row>
    <row r="21" spans="2:7" x14ac:dyDescent="0.25">
      <c r="B21" s="14" t="s">
        <v>1278</v>
      </c>
      <c r="C21" s="1" t="s">
        <v>15</v>
      </c>
      <c r="D21" s="1" t="s">
        <v>7</v>
      </c>
      <c r="E21" s="1">
        <v>128</v>
      </c>
      <c r="F21" s="1" t="s">
        <v>1300</v>
      </c>
      <c r="G21" s="16" t="s">
        <v>869</v>
      </c>
    </row>
    <row r="22" spans="2:7" x14ac:dyDescent="0.25">
      <c r="B22" s="14" t="s">
        <v>1278</v>
      </c>
      <c r="C22" s="1" t="s">
        <v>269</v>
      </c>
      <c r="D22" s="1" t="s">
        <v>7</v>
      </c>
      <c r="E22" s="1">
        <v>10</v>
      </c>
      <c r="F22" s="1" t="s">
        <v>1301</v>
      </c>
      <c r="G22" s="16" t="s">
        <v>1321</v>
      </c>
    </row>
    <row r="23" spans="2:7" x14ac:dyDescent="0.25">
      <c r="B23" s="29" t="s">
        <v>1278</v>
      </c>
      <c r="C23" s="28" t="s">
        <v>1302</v>
      </c>
      <c r="D23" s="28" t="s">
        <v>7</v>
      </c>
      <c r="E23" s="28">
        <v>-60</v>
      </c>
      <c r="F23" s="28" t="s">
        <v>1303</v>
      </c>
      <c r="G23" s="30" t="s">
        <v>1320</v>
      </c>
    </row>
    <row r="24" spans="2:7" x14ac:dyDescent="0.25">
      <c r="B24" s="14" t="s">
        <v>1278</v>
      </c>
      <c r="C24" s="1" t="s">
        <v>1304</v>
      </c>
      <c r="D24" s="1" t="s">
        <v>7</v>
      </c>
      <c r="E24" s="1">
        <v>134</v>
      </c>
      <c r="F24" s="1" t="s">
        <v>1305</v>
      </c>
      <c r="G24" s="16" t="s">
        <v>1271</v>
      </c>
    </row>
    <row r="25" spans="2:7" x14ac:dyDescent="0.25">
      <c r="B25" s="14" t="s">
        <v>1278</v>
      </c>
      <c r="C25" s="1" t="s">
        <v>103</v>
      </c>
      <c r="D25" s="1" t="s">
        <v>7</v>
      </c>
      <c r="E25" s="1">
        <v>50</v>
      </c>
      <c r="F25" s="1" t="s">
        <v>1306</v>
      </c>
      <c r="G25" s="16" t="s">
        <v>1319</v>
      </c>
    </row>
    <row r="26" spans="2:7" x14ac:dyDescent="0.25">
      <c r="B26" s="14" t="s">
        <v>1278</v>
      </c>
      <c r="C26" s="1" t="s">
        <v>103</v>
      </c>
      <c r="D26" s="1" t="s">
        <v>7</v>
      </c>
      <c r="E26" s="1">
        <v>500</v>
      </c>
      <c r="F26" s="1" t="s">
        <v>1307</v>
      </c>
      <c r="G26" s="16" t="s">
        <v>1319</v>
      </c>
    </row>
    <row r="27" spans="2:7" x14ac:dyDescent="0.25">
      <c r="B27" s="14" t="s">
        <v>1278</v>
      </c>
      <c r="C27" s="1" t="s">
        <v>23</v>
      </c>
      <c r="D27" s="1" t="s">
        <v>7</v>
      </c>
      <c r="E27" s="1">
        <v>389.99</v>
      </c>
      <c r="F27" s="1" t="s">
        <v>1308</v>
      </c>
      <c r="G27" s="16" t="s">
        <v>1318</v>
      </c>
    </row>
    <row r="28" spans="2:7" x14ac:dyDescent="0.25">
      <c r="B28" s="14" t="s">
        <v>1278</v>
      </c>
      <c r="C28" s="1" t="s">
        <v>509</v>
      </c>
      <c r="D28" s="1" t="s">
        <v>7</v>
      </c>
      <c r="E28" s="1">
        <v>88</v>
      </c>
      <c r="F28" s="1" t="s">
        <v>1309</v>
      </c>
      <c r="G28" s="16" t="s">
        <v>1334</v>
      </c>
    </row>
    <row r="29" spans="2:7" x14ac:dyDescent="0.25">
      <c r="B29" s="14" t="s">
        <v>1278</v>
      </c>
      <c r="C29" s="1" t="s">
        <v>797</v>
      </c>
      <c r="D29" s="1" t="s">
        <v>7</v>
      </c>
      <c r="E29" s="1">
        <v>40.5</v>
      </c>
      <c r="F29" s="1" t="s">
        <v>1310</v>
      </c>
      <c r="G29" s="16" t="s">
        <v>1317</v>
      </c>
    </row>
    <row r="30" spans="2:7" x14ac:dyDescent="0.25">
      <c r="B30" s="14" t="s">
        <v>1278</v>
      </c>
      <c r="C30" s="1" t="s">
        <v>1311</v>
      </c>
      <c r="D30" s="1" t="s">
        <v>7</v>
      </c>
      <c r="E30" s="1">
        <v>4</v>
      </c>
      <c r="F30" s="1" t="s">
        <v>1312</v>
      </c>
      <c r="G30" s="16" t="s">
        <v>1328</v>
      </c>
    </row>
    <row r="31" spans="2:7" x14ac:dyDescent="0.25">
      <c r="B31" s="14" t="s">
        <v>1278</v>
      </c>
      <c r="C31" s="1" t="s">
        <v>944</v>
      </c>
      <c r="D31" s="1" t="s">
        <v>7</v>
      </c>
      <c r="E31" s="1">
        <v>159</v>
      </c>
      <c r="F31" s="1" t="s">
        <v>1313</v>
      </c>
      <c r="G31" s="16" t="s">
        <v>955</v>
      </c>
    </row>
    <row r="32" spans="2:7" x14ac:dyDescent="0.25">
      <c r="B32" s="14"/>
      <c r="C32" s="1"/>
      <c r="D32" s="1"/>
      <c r="E32" s="1"/>
      <c r="F32" s="1"/>
      <c r="G32" s="16"/>
    </row>
    <row r="33" spans="2:7" ht="16.5" thickBot="1" x14ac:dyDescent="0.3">
      <c r="B33" s="25"/>
      <c r="C33" s="18" t="s">
        <v>1315</v>
      </c>
      <c r="D33" s="18"/>
      <c r="E33" s="18">
        <v>332.3</v>
      </c>
      <c r="F33" s="18"/>
      <c r="G33" s="27" t="s">
        <v>1336</v>
      </c>
    </row>
  </sheetData>
  <pageMargins left="0.7" right="0.7" top="0.75" bottom="0.75" header="0.3" footer="0.3"/>
  <pageSetup paperSize="256" orientation="portrait" horizontalDpi="203" verticalDpi="203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7EB254-ED9B-419C-AD7A-1D56D8E395DA}">
  <sheetPr codeName="Hoja26"/>
  <dimension ref="B1:H37"/>
  <sheetViews>
    <sheetView workbookViewId="0">
      <selection activeCell="L36" sqref="L36"/>
    </sheetView>
  </sheetViews>
  <sheetFormatPr baseColWidth="10" defaultRowHeight="15.75" x14ac:dyDescent="0.25"/>
  <cols>
    <col min="2" max="2" width="11" style="3"/>
    <col min="3" max="3" width="26.375" style="3" customWidth="1"/>
    <col min="4" max="5" width="11" style="3"/>
    <col min="6" max="6" width="22.75" style="3" customWidth="1"/>
    <col min="7" max="7" width="35" style="3" customWidth="1"/>
    <col min="8" max="8" width="11" style="3"/>
  </cols>
  <sheetData>
    <row r="1" spans="2:7" ht="16.5" thickBot="1" x14ac:dyDescent="0.3"/>
    <row r="2" spans="2:7" x14ac:dyDescent="0.25">
      <c r="B2" s="21" t="s">
        <v>0</v>
      </c>
      <c r="C2" s="22" t="s">
        <v>1</v>
      </c>
      <c r="D2" s="22" t="s">
        <v>2</v>
      </c>
      <c r="E2" s="22" t="s">
        <v>3</v>
      </c>
      <c r="F2" s="22" t="s">
        <v>4</v>
      </c>
      <c r="G2" s="13"/>
    </row>
    <row r="3" spans="2:7" x14ac:dyDescent="0.25">
      <c r="B3" s="74">
        <v>46105</v>
      </c>
      <c r="C3" s="1" t="s">
        <v>23</v>
      </c>
      <c r="D3" s="1" t="s">
        <v>7</v>
      </c>
      <c r="E3" s="1">
        <v>1180</v>
      </c>
      <c r="F3" s="1">
        <v>4993576</v>
      </c>
      <c r="G3" s="16" t="s">
        <v>1371</v>
      </c>
    </row>
    <row r="4" spans="2:7" x14ac:dyDescent="0.25">
      <c r="B4" s="14" t="s">
        <v>1337</v>
      </c>
      <c r="C4" s="1" t="s">
        <v>23</v>
      </c>
      <c r="D4" s="1" t="s">
        <v>7</v>
      </c>
      <c r="E4" s="1">
        <v>390</v>
      </c>
      <c r="F4" s="1" t="s">
        <v>1338</v>
      </c>
      <c r="G4" s="16" t="s">
        <v>660</v>
      </c>
    </row>
    <row r="5" spans="2:7" x14ac:dyDescent="0.25">
      <c r="B5" s="14" t="s">
        <v>1337</v>
      </c>
      <c r="C5" s="1" t="s">
        <v>398</v>
      </c>
      <c r="D5" s="1" t="s">
        <v>7</v>
      </c>
      <c r="E5" s="1">
        <v>5.5</v>
      </c>
      <c r="F5" s="1" t="s">
        <v>1339</v>
      </c>
      <c r="G5" s="16" t="s">
        <v>1372</v>
      </c>
    </row>
    <row r="6" spans="2:7" x14ac:dyDescent="0.25">
      <c r="B6" s="14" t="s">
        <v>1337</v>
      </c>
      <c r="C6" s="1" t="s">
        <v>1259</v>
      </c>
      <c r="D6" s="1" t="s">
        <v>7</v>
      </c>
      <c r="E6" s="1">
        <v>50</v>
      </c>
      <c r="F6" s="1" t="s">
        <v>1340</v>
      </c>
      <c r="G6" s="16" t="s">
        <v>1370</v>
      </c>
    </row>
    <row r="7" spans="2:7" x14ac:dyDescent="0.25">
      <c r="B7" s="14" t="s">
        <v>1337</v>
      </c>
      <c r="C7" s="1" t="s">
        <v>509</v>
      </c>
      <c r="D7" s="1" t="s">
        <v>7</v>
      </c>
      <c r="E7" s="1">
        <v>760</v>
      </c>
      <c r="F7" s="1" t="s">
        <v>1341</v>
      </c>
      <c r="G7" s="16" t="s">
        <v>1225</v>
      </c>
    </row>
    <row r="8" spans="2:7" x14ac:dyDescent="0.25">
      <c r="B8" s="14" t="s">
        <v>1337</v>
      </c>
      <c r="C8" s="1" t="s">
        <v>1342</v>
      </c>
      <c r="D8" s="1" t="s">
        <v>7</v>
      </c>
      <c r="E8" s="1">
        <v>475</v>
      </c>
      <c r="F8" s="1" t="s">
        <v>1343</v>
      </c>
      <c r="G8" s="16" t="s">
        <v>1373</v>
      </c>
    </row>
    <row r="9" spans="2:7" x14ac:dyDescent="0.25">
      <c r="B9" s="14" t="s">
        <v>1337</v>
      </c>
      <c r="C9" s="1" t="s">
        <v>655</v>
      </c>
      <c r="D9" s="1" t="s">
        <v>7</v>
      </c>
      <c r="E9" s="1">
        <v>3</v>
      </c>
      <c r="F9" s="1" t="s">
        <v>1344</v>
      </c>
      <c r="G9" s="16" t="s">
        <v>735</v>
      </c>
    </row>
    <row r="10" spans="2:7" x14ac:dyDescent="0.25">
      <c r="B10" s="14" t="s">
        <v>1337</v>
      </c>
      <c r="C10" s="1" t="s">
        <v>797</v>
      </c>
      <c r="D10" s="1" t="s">
        <v>7</v>
      </c>
      <c r="E10" s="1">
        <v>9.5</v>
      </c>
      <c r="F10" s="1" t="s">
        <v>1345</v>
      </c>
      <c r="G10" s="16" t="s">
        <v>1368</v>
      </c>
    </row>
    <row r="11" spans="2:7" x14ac:dyDescent="0.25">
      <c r="B11" s="14" t="s">
        <v>1337</v>
      </c>
      <c r="C11" s="1" t="s">
        <v>111</v>
      </c>
      <c r="D11" s="1" t="s">
        <v>7</v>
      </c>
      <c r="E11" s="1">
        <v>37.5</v>
      </c>
      <c r="F11" s="1" t="s">
        <v>1346</v>
      </c>
      <c r="G11" s="16" t="s">
        <v>1367</v>
      </c>
    </row>
    <row r="12" spans="2:7" x14ac:dyDescent="0.25">
      <c r="B12" s="14" t="s">
        <v>1337</v>
      </c>
      <c r="C12" s="1" t="s">
        <v>284</v>
      </c>
      <c r="D12" s="1" t="s">
        <v>7</v>
      </c>
      <c r="E12" s="1">
        <v>2</v>
      </c>
      <c r="F12" s="1" t="s">
        <v>1347</v>
      </c>
      <c r="G12" s="16" t="s">
        <v>1366</v>
      </c>
    </row>
    <row r="13" spans="2:7" x14ac:dyDescent="0.25">
      <c r="B13" s="14" t="s">
        <v>1337</v>
      </c>
      <c r="C13" s="1" t="s">
        <v>190</v>
      </c>
      <c r="D13" s="1" t="s">
        <v>7</v>
      </c>
      <c r="E13" s="1">
        <v>335</v>
      </c>
      <c r="F13" s="1" t="s">
        <v>1348</v>
      </c>
      <c r="G13" s="16" t="s">
        <v>1369</v>
      </c>
    </row>
    <row r="14" spans="2:7" x14ac:dyDescent="0.25">
      <c r="B14" s="14" t="s">
        <v>1337</v>
      </c>
      <c r="C14" s="1" t="s">
        <v>111</v>
      </c>
      <c r="D14" s="1" t="s">
        <v>7</v>
      </c>
      <c r="E14" s="1">
        <v>5</v>
      </c>
      <c r="F14" s="1" t="s">
        <v>1349</v>
      </c>
      <c r="G14" s="16" t="s">
        <v>1393</v>
      </c>
    </row>
    <row r="15" spans="2:7" x14ac:dyDescent="0.25">
      <c r="B15" s="14" t="s">
        <v>1337</v>
      </c>
      <c r="C15" s="1" t="s">
        <v>23</v>
      </c>
      <c r="D15" s="1" t="s">
        <v>7</v>
      </c>
      <c r="E15" s="1">
        <v>135</v>
      </c>
      <c r="F15" s="1" t="s">
        <v>1350</v>
      </c>
      <c r="G15" s="16" t="s">
        <v>210</v>
      </c>
    </row>
    <row r="16" spans="2:7" x14ac:dyDescent="0.25">
      <c r="B16" s="14" t="s">
        <v>1337</v>
      </c>
      <c r="C16" s="1" t="s">
        <v>6</v>
      </c>
      <c r="D16" s="1" t="s">
        <v>7</v>
      </c>
      <c r="E16" s="1">
        <v>54</v>
      </c>
      <c r="F16" s="1" t="s">
        <v>1351</v>
      </c>
      <c r="G16" s="16" t="s">
        <v>52</v>
      </c>
    </row>
    <row r="17" spans="2:7" x14ac:dyDescent="0.25">
      <c r="B17" s="29" t="s">
        <v>1337</v>
      </c>
      <c r="C17" s="28" t="s">
        <v>472</v>
      </c>
      <c r="D17" s="28" t="s">
        <v>7</v>
      </c>
      <c r="E17" s="28">
        <v>-1771</v>
      </c>
      <c r="F17" s="28" t="s">
        <v>1352</v>
      </c>
      <c r="G17" s="30" t="s">
        <v>1364</v>
      </c>
    </row>
    <row r="18" spans="2:7" x14ac:dyDescent="0.25">
      <c r="B18" s="14" t="s">
        <v>1337</v>
      </c>
      <c r="C18" s="1" t="s">
        <v>1353</v>
      </c>
      <c r="D18" s="1" t="s">
        <v>7</v>
      </c>
      <c r="E18" s="1">
        <v>65</v>
      </c>
      <c r="F18" s="1" t="s">
        <v>1354</v>
      </c>
      <c r="G18" s="16" t="s">
        <v>1363</v>
      </c>
    </row>
    <row r="19" spans="2:7" x14ac:dyDescent="0.25">
      <c r="B19" s="14" t="s">
        <v>1337</v>
      </c>
      <c r="C19" s="1" t="s">
        <v>495</v>
      </c>
      <c r="D19" s="1" t="s">
        <v>7</v>
      </c>
      <c r="E19" s="1">
        <v>24</v>
      </c>
      <c r="F19" s="1" t="s">
        <v>1355</v>
      </c>
      <c r="G19" s="16" t="s">
        <v>1362</v>
      </c>
    </row>
    <row r="20" spans="2:7" x14ac:dyDescent="0.25">
      <c r="B20" s="14" t="s">
        <v>1337</v>
      </c>
      <c r="C20" s="1" t="s">
        <v>33</v>
      </c>
      <c r="D20" s="1" t="s">
        <v>7</v>
      </c>
      <c r="E20" s="1">
        <v>10</v>
      </c>
      <c r="F20" s="1" t="s">
        <v>1356</v>
      </c>
      <c r="G20" s="16" t="s">
        <v>1361</v>
      </c>
    </row>
    <row r="21" spans="2:7" x14ac:dyDescent="0.25">
      <c r="B21" s="14" t="s">
        <v>1337</v>
      </c>
      <c r="C21" s="1" t="s">
        <v>15</v>
      </c>
      <c r="D21" s="1" t="s">
        <v>7</v>
      </c>
      <c r="E21" s="1">
        <v>8355.2999999999993</v>
      </c>
      <c r="F21" s="1" t="s">
        <v>1357</v>
      </c>
      <c r="G21" s="16" t="s">
        <v>1365</v>
      </c>
    </row>
    <row r="22" spans="2:7" x14ac:dyDescent="0.25">
      <c r="B22" s="14" t="s">
        <v>1337</v>
      </c>
      <c r="C22" s="1" t="s">
        <v>269</v>
      </c>
      <c r="D22" s="1" t="s">
        <v>7</v>
      </c>
      <c r="E22" s="1">
        <v>260</v>
      </c>
      <c r="F22" s="1" t="s">
        <v>1358</v>
      </c>
      <c r="G22" s="16" t="s">
        <v>1360</v>
      </c>
    </row>
    <row r="23" spans="2:7" x14ac:dyDescent="0.25">
      <c r="B23" s="14" t="s">
        <v>1337</v>
      </c>
      <c r="C23" s="1" t="s">
        <v>23</v>
      </c>
      <c r="D23" s="1" t="s">
        <v>7</v>
      </c>
      <c r="E23" s="1">
        <v>120.5</v>
      </c>
      <c r="F23" s="1" t="s">
        <v>1359</v>
      </c>
      <c r="G23" s="16" t="s">
        <v>645</v>
      </c>
    </row>
    <row r="24" spans="2:7" x14ac:dyDescent="0.25">
      <c r="B24" s="14" t="s">
        <v>1337</v>
      </c>
      <c r="C24" s="1" t="s">
        <v>655</v>
      </c>
      <c r="D24" s="1" t="s">
        <v>7</v>
      </c>
      <c r="E24" s="1">
        <v>4</v>
      </c>
      <c r="F24" s="1" t="s">
        <v>1374</v>
      </c>
      <c r="G24" s="16" t="s">
        <v>1391</v>
      </c>
    </row>
    <row r="25" spans="2:7" x14ac:dyDescent="0.25">
      <c r="B25" s="14" t="s">
        <v>1337</v>
      </c>
      <c r="C25" s="1" t="s">
        <v>69</v>
      </c>
      <c r="D25" s="1" t="s">
        <v>7</v>
      </c>
      <c r="E25" s="1">
        <v>1328</v>
      </c>
      <c r="F25" s="1" t="s">
        <v>1375</v>
      </c>
      <c r="G25" s="16" t="s">
        <v>77</v>
      </c>
    </row>
    <row r="26" spans="2:7" x14ac:dyDescent="0.25">
      <c r="B26" s="14" t="s">
        <v>1337</v>
      </c>
      <c r="C26" s="1" t="s">
        <v>41</v>
      </c>
      <c r="D26" s="1" t="s">
        <v>7</v>
      </c>
      <c r="E26" s="1">
        <v>4</v>
      </c>
      <c r="F26" s="1" t="s">
        <v>1376</v>
      </c>
      <c r="G26" s="16" t="s">
        <v>1392</v>
      </c>
    </row>
    <row r="27" spans="2:7" x14ac:dyDescent="0.25">
      <c r="B27" s="14" t="s">
        <v>1337</v>
      </c>
      <c r="C27" s="1" t="s">
        <v>24</v>
      </c>
      <c r="D27" s="1" t="s">
        <v>7</v>
      </c>
      <c r="E27" s="1">
        <v>27</v>
      </c>
      <c r="F27" s="1" t="s">
        <v>1377</v>
      </c>
      <c r="G27" s="16" t="s">
        <v>52</v>
      </c>
    </row>
    <row r="28" spans="2:7" x14ac:dyDescent="0.25">
      <c r="B28" s="14" t="s">
        <v>1337</v>
      </c>
      <c r="C28" s="1" t="s">
        <v>75</v>
      </c>
      <c r="D28" s="1" t="s">
        <v>7</v>
      </c>
      <c r="E28" s="1">
        <v>175</v>
      </c>
      <c r="F28" s="1" t="s">
        <v>1378</v>
      </c>
      <c r="G28" s="16" t="s">
        <v>1389</v>
      </c>
    </row>
    <row r="29" spans="2:7" x14ac:dyDescent="0.25">
      <c r="B29" s="14" t="s">
        <v>1337</v>
      </c>
      <c r="C29" s="1" t="s">
        <v>289</v>
      </c>
      <c r="D29" s="1" t="s">
        <v>7</v>
      </c>
      <c r="E29" s="1">
        <v>75</v>
      </c>
      <c r="F29" s="1" t="s">
        <v>1379</v>
      </c>
      <c r="G29" s="16" t="s">
        <v>1390</v>
      </c>
    </row>
    <row r="30" spans="2:7" x14ac:dyDescent="0.25">
      <c r="B30" s="14" t="s">
        <v>1337</v>
      </c>
      <c r="C30" s="1" t="s">
        <v>519</v>
      </c>
      <c r="D30" s="1" t="s">
        <v>7</v>
      </c>
      <c r="E30" s="1">
        <v>400</v>
      </c>
      <c r="F30" s="1" t="s">
        <v>1380</v>
      </c>
      <c r="G30" s="16" t="s">
        <v>1388</v>
      </c>
    </row>
    <row r="31" spans="2:7" x14ac:dyDescent="0.25">
      <c r="B31" s="14" t="s">
        <v>1337</v>
      </c>
      <c r="C31" s="1" t="s">
        <v>519</v>
      </c>
      <c r="D31" s="1" t="s">
        <v>7</v>
      </c>
      <c r="E31" s="1">
        <v>500</v>
      </c>
      <c r="F31" s="1" t="s">
        <v>1381</v>
      </c>
      <c r="G31" s="16" t="s">
        <v>1388</v>
      </c>
    </row>
    <row r="32" spans="2:7" x14ac:dyDescent="0.25">
      <c r="B32" s="14" t="s">
        <v>1337</v>
      </c>
      <c r="C32" s="1" t="s">
        <v>519</v>
      </c>
      <c r="D32" s="1" t="s">
        <v>7</v>
      </c>
      <c r="E32" s="1">
        <v>500</v>
      </c>
      <c r="F32" s="1" t="s">
        <v>1382</v>
      </c>
      <c r="G32" s="16" t="s">
        <v>1388</v>
      </c>
    </row>
    <row r="33" spans="2:7" x14ac:dyDescent="0.25">
      <c r="B33" s="14" t="s">
        <v>1337</v>
      </c>
      <c r="C33" s="1" t="s">
        <v>519</v>
      </c>
      <c r="D33" s="1" t="s">
        <v>7</v>
      </c>
      <c r="E33" s="1">
        <v>500</v>
      </c>
      <c r="F33" s="1" t="s">
        <v>1383</v>
      </c>
      <c r="G33" s="16" t="s">
        <v>1388</v>
      </c>
    </row>
    <row r="34" spans="2:7" x14ac:dyDescent="0.25">
      <c r="B34" s="14" t="s">
        <v>1337</v>
      </c>
      <c r="C34" s="1" t="s">
        <v>1384</v>
      </c>
      <c r="D34" s="1" t="s">
        <v>7</v>
      </c>
      <c r="E34" s="1">
        <v>4.5</v>
      </c>
      <c r="F34" s="1" t="s">
        <v>1385</v>
      </c>
      <c r="G34" s="16" t="s">
        <v>1387</v>
      </c>
    </row>
    <row r="35" spans="2:7" x14ac:dyDescent="0.25">
      <c r="B35" s="14" t="s">
        <v>1337</v>
      </c>
      <c r="C35" s="1" t="s">
        <v>289</v>
      </c>
      <c r="D35" s="1" t="s">
        <v>7</v>
      </c>
      <c r="E35" s="1">
        <v>7</v>
      </c>
      <c r="F35" s="1" t="s">
        <v>1386</v>
      </c>
      <c r="G35" s="16" t="s">
        <v>1390</v>
      </c>
    </row>
    <row r="36" spans="2:7" x14ac:dyDescent="0.25">
      <c r="B36" s="14"/>
      <c r="C36" s="1"/>
      <c r="D36" s="1"/>
      <c r="E36" s="1"/>
      <c r="F36" s="1"/>
      <c r="G36" s="16"/>
    </row>
    <row r="37" spans="2:7" ht="16.5" thickBot="1" x14ac:dyDescent="0.3">
      <c r="B37" s="25" t="s">
        <v>1337</v>
      </c>
      <c r="C37" s="18" t="s">
        <v>78</v>
      </c>
      <c r="D37" s="18" t="s">
        <v>7</v>
      </c>
      <c r="E37" s="18">
        <v>825</v>
      </c>
      <c r="F37" s="18"/>
      <c r="G37" s="27" t="s">
        <v>871</v>
      </c>
    </row>
  </sheetData>
  <pageMargins left="0.7" right="0.7" top="0.75" bottom="0.75" header="0.3" footer="0.3"/>
  <pageSetup paperSize="256" orientation="portrait" horizontalDpi="203" verticalDpi="203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5EDC25-1DCD-41B9-AC37-021B2ED6A2C8}">
  <sheetPr codeName="Hoja27"/>
  <dimension ref="B1:H24"/>
  <sheetViews>
    <sheetView workbookViewId="0">
      <selection activeCell="G21" sqref="G21"/>
    </sheetView>
  </sheetViews>
  <sheetFormatPr baseColWidth="10" defaultRowHeight="15.75" x14ac:dyDescent="0.25"/>
  <cols>
    <col min="2" max="2" width="11" style="3"/>
    <col min="3" max="3" width="23.125" style="3" customWidth="1"/>
    <col min="4" max="5" width="11" style="3"/>
    <col min="6" max="6" width="20.75" style="3" customWidth="1"/>
    <col min="7" max="7" width="27.5" style="3" customWidth="1"/>
    <col min="8" max="8" width="11" style="3"/>
  </cols>
  <sheetData>
    <row r="1" spans="2:7" ht="16.5" thickBot="1" x14ac:dyDescent="0.3"/>
    <row r="2" spans="2:7" x14ac:dyDescent="0.25">
      <c r="B2" s="75" t="s">
        <v>0</v>
      </c>
      <c r="C2" s="76" t="s">
        <v>1</v>
      </c>
      <c r="D2" s="76" t="s">
        <v>2</v>
      </c>
      <c r="E2" s="76" t="s">
        <v>3</v>
      </c>
      <c r="F2" s="76" t="s">
        <v>4</v>
      </c>
      <c r="G2" s="13"/>
    </row>
    <row r="3" spans="2:7" x14ac:dyDescent="0.25">
      <c r="B3" s="14" t="s">
        <v>1394</v>
      </c>
      <c r="C3" s="1" t="s">
        <v>122</v>
      </c>
      <c r="D3" s="1" t="s">
        <v>7</v>
      </c>
      <c r="E3" s="36">
        <v>15</v>
      </c>
      <c r="F3" s="1" t="s">
        <v>1395</v>
      </c>
      <c r="G3" s="16" t="s">
        <v>1426</v>
      </c>
    </row>
    <row r="4" spans="2:7" x14ac:dyDescent="0.25">
      <c r="B4" s="14" t="s">
        <v>1394</v>
      </c>
      <c r="C4" s="1" t="s">
        <v>23</v>
      </c>
      <c r="D4" s="1" t="s">
        <v>7</v>
      </c>
      <c r="E4" s="36">
        <v>1331</v>
      </c>
      <c r="F4" s="1" t="s">
        <v>1396</v>
      </c>
      <c r="G4" s="16" t="s">
        <v>590</v>
      </c>
    </row>
    <row r="5" spans="2:7" x14ac:dyDescent="0.25">
      <c r="B5" s="14" t="s">
        <v>1394</v>
      </c>
      <c r="C5" s="1" t="s">
        <v>23</v>
      </c>
      <c r="D5" s="1" t="s">
        <v>7</v>
      </c>
      <c r="E5" s="36">
        <v>500</v>
      </c>
      <c r="F5" s="1" t="s">
        <v>1397</v>
      </c>
      <c r="G5" s="16" t="s">
        <v>660</v>
      </c>
    </row>
    <row r="6" spans="2:7" x14ac:dyDescent="0.25">
      <c r="B6" s="14" t="s">
        <v>1394</v>
      </c>
      <c r="C6" s="1" t="s">
        <v>360</v>
      </c>
      <c r="D6" s="1" t="s">
        <v>7</v>
      </c>
      <c r="E6" s="36">
        <v>6.5</v>
      </c>
      <c r="F6" s="1" t="s">
        <v>1398</v>
      </c>
      <c r="G6" s="16" t="s">
        <v>1421</v>
      </c>
    </row>
    <row r="7" spans="2:7" x14ac:dyDescent="0.25">
      <c r="B7" s="14" t="s">
        <v>1394</v>
      </c>
      <c r="C7" s="1" t="s">
        <v>382</v>
      </c>
      <c r="D7" s="1" t="s">
        <v>7</v>
      </c>
      <c r="E7" s="36">
        <v>20</v>
      </c>
      <c r="F7" s="1" t="s">
        <v>1399</v>
      </c>
      <c r="G7" s="16" t="s">
        <v>660</v>
      </c>
    </row>
    <row r="8" spans="2:7" x14ac:dyDescent="0.25">
      <c r="B8" s="14" t="s">
        <v>1394</v>
      </c>
      <c r="C8" s="1" t="s">
        <v>19</v>
      </c>
      <c r="D8" s="1" t="s">
        <v>7</v>
      </c>
      <c r="E8" s="36">
        <v>16</v>
      </c>
      <c r="F8" s="1" t="s">
        <v>1400</v>
      </c>
      <c r="G8" s="16" t="s">
        <v>1420</v>
      </c>
    </row>
    <row r="9" spans="2:7" x14ac:dyDescent="0.25">
      <c r="B9" s="14" t="s">
        <v>1394</v>
      </c>
      <c r="C9" s="1" t="s">
        <v>183</v>
      </c>
      <c r="D9" s="1" t="s">
        <v>7</v>
      </c>
      <c r="E9" s="36">
        <v>20</v>
      </c>
      <c r="F9" s="1" t="s">
        <v>1401</v>
      </c>
      <c r="G9" s="16" t="s">
        <v>1425</v>
      </c>
    </row>
    <row r="10" spans="2:7" x14ac:dyDescent="0.25">
      <c r="B10" s="14" t="s">
        <v>1394</v>
      </c>
      <c r="C10" s="1" t="s">
        <v>6</v>
      </c>
      <c r="D10" s="1" t="s">
        <v>7</v>
      </c>
      <c r="E10" s="36">
        <v>100</v>
      </c>
      <c r="F10" s="1" t="s">
        <v>1402</v>
      </c>
      <c r="G10" s="16" t="s">
        <v>1419</v>
      </c>
    </row>
    <row r="11" spans="2:7" x14ac:dyDescent="0.25">
      <c r="B11" s="14" t="s">
        <v>1394</v>
      </c>
      <c r="C11" s="1" t="s">
        <v>178</v>
      </c>
      <c r="D11" s="1" t="s">
        <v>7</v>
      </c>
      <c r="E11" s="36">
        <v>20</v>
      </c>
      <c r="F11" s="1" t="s">
        <v>1403</v>
      </c>
      <c r="G11" s="16" t="s">
        <v>1424</v>
      </c>
    </row>
    <row r="12" spans="2:7" x14ac:dyDescent="0.25">
      <c r="B12" s="14" t="s">
        <v>1394</v>
      </c>
      <c r="C12" s="1" t="s">
        <v>224</v>
      </c>
      <c r="D12" s="1" t="s">
        <v>7</v>
      </c>
      <c r="E12" s="36">
        <v>28</v>
      </c>
      <c r="F12" s="1" t="s">
        <v>1404</v>
      </c>
      <c r="G12" s="16" t="s">
        <v>1423</v>
      </c>
    </row>
    <row r="13" spans="2:7" x14ac:dyDescent="0.25">
      <c r="B13" s="14" t="s">
        <v>1394</v>
      </c>
      <c r="C13" s="1" t="s">
        <v>95</v>
      </c>
      <c r="D13" s="1" t="s">
        <v>7</v>
      </c>
      <c r="E13" s="36">
        <v>2</v>
      </c>
      <c r="F13" s="1" t="s">
        <v>1405</v>
      </c>
      <c r="G13" s="16" t="s">
        <v>1418</v>
      </c>
    </row>
    <row r="14" spans="2:7" x14ac:dyDescent="0.25">
      <c r="B14" s="14" t="s">
        <v>1394</v>
      </c>
      <c r="C14" s="1" t="s">
        <v>95</v>
      </c>
      <c r="D14" s="1" t="s">
        <v>7</v>
      </c>
      <c r="E14" s="36">
        <v>7</v>
      </c>
      <c r="F14" s="1" t="s">
        <v>1406</v>
      </c>
      <c r="G14" s="16" t="s">
        <v>1418</v>
      </c>
    </row>
    <row r="15" spans="2:7" x14ac:dyDescent="0.25">
      <c r="B15" s="29" t="s">
        <v>1394</v>
      </c>
      <c r="C15" s="28" t="s">
        <v>1407</v>
      </c>
      <c r="D15" s="28" t="s">
        <v>7</v>
      </c>
      <c r="E15" s="28">
        <v>-80</v>
      </c>
      <c r="F15" s="28" t="s">
        <v>1408</v>
      </c>
      <c r="G15" s="30" t="s">
        <v>1427</v>
      </c>
    </row>
    <row r="16" spans="2:7" x14ac:dyDescent="0.25">
      <c r="B16" s="29" t="s">
        <v>1394</v>
      </c>
      <c r="C16" s="28" t="s">
        <v>1407</v>
      </c>
      <c r="D16" s="28" t="s">
        <v>7</v>
      </c>
      <c r="E16" s="28">
        <v>-500</v>
      </c>
      <c r="F16" s="28" t="s">
        <v>1409</v>
      </c>
      <c r="G16" s="30" t="s">
        <v>1427</v>
      </c>
    </row>
    <row r="17" spans="2:7" x14ac:dyDescent="0.25">
      <c r="B17" s="14" t="s">
        <v>1394</v>
      </c>
      <c r="C17" s="1" t="s">
        <v>95</v>
      </c>
      <c r="D17" s="1" t="s">
        <v>7</v>
      </c>
      <c r="E17" s="36">
        <v>46</v>
      </c>
      <c r="F17" s="1" t="s">
        <v>1410</v>
      </c>
      <c r="G17" s="16" t="s">
        <v>1418</v>
      </c>
    </row>
    <row r="18" spans="2:7" x14ac:dyDescent="0.25">
      <c r="B18" s="14" t="s">
        <v>1394</v>
      </c>
      <c r="C18" s="1" t="s">
        <v>284</v>
      </c>
      <c r="D18" s="1" t="s">
        <v>7</v>
      </c>
      <c r="E18" s="36">
        <v>180</v>
      </c>
      <c r="F18" s="1" t="s">
        <v>1411</v>
      </c>
      <c r="G18" s="16" t="s">
        <v>1422</v>
      </c>
    </row>
    <row r="19" spans="2:7" x14ac:dyDescent="0.25">
      <c r="B19" s="14" t="s">
        <v>1394</v>
      </c>
      <c r="C19" s="1" t="s">
        <v>944</v>
      </c>
      <c r="D19" s="1" t="s">
        <v>7</v>
      </c>
      <c r="E19" s="36">
        <v>420.9</v>
      </c>
      <c r="F19" s="1" t="s">
        <v>1412</v>
      </c>
      <c r="G19" s="16" t="s">
        <v>955</v>
      </c>
    </row>
    <row r="20" spans="2:7" x14ac:dyDescent="0.25">
      <c r="B20" s="14" t="s">
        <v>1394</v>
      </c>
      <c r="C20" s="1" t="s">
        <v>6</v>
      </c>
      <c r="D20" s="1" t="s">
        <v>7</v>
      </c>
      <c r="E20" s="36">
        <v>81</v>
      </c>
      <c r="F20" s="1" t="s">
        <v>1413</v>
      </c>
      <c r="G20" s="16" t="s">
        <v>52</v>
      </c>
    </row>
    <row r="21" spans="2:7" x14ac:dyDescent="0.25">
      <c r="B21" s="14" t="s">
        <v>1394</v>
      </c>
      <c r="C21" s="1" t="s">
        <v>23</v>
      </c>
      <c r="D21" s="1" t="s">
        <v>7</v>
      </c>
      <c r="E21" s="78">
        <v>1530.5</v>
      </c>
      <c r="F21" s="1" t="s">
        <v>1414</v>
      </c>
      <c r="G21" s="16" t="s">
        <v>738</v>
      </c>
    </row>
    <row r="22" spans="2:7" x14ac:dyDescent="0.25">
      <c r="B22" s="14" t="s">
        <v>1394</v>
      </c>
      <c r="C22" s="1" t="s">
        <v>519</v>
      </c>
      <c r="D22" s="1" t="s">
        <v>7</v>
      </c>
      <c r="E22" s="78">
        <v>500</v>
      </c>
      <c r="F22" s="1" t="s">
        <v>1415</v>
      </c>
      <c r="G22" s="16" t="s">
        <v>1388</v>
      </c>
    </row>
    <row r="23" spans="2:7" x14ac:dyDescent="0.25">
      <c r="B23" s="14" t="s">
        <v>1394</v>
      </c>
      <c r="C23" s="1" t="s">
        <v>519</v>
      </c>
      <c r="D23" s="1" t="s">
        <v>7</v>
      </c>
      <c r="E23" s="78">
        <v>500</v>
      </c>
      <c r="F23" s="1" t="s">
        <v>1416</v>
      </c>
      <c r="G23" s="16" t="s">
        <v>1388</v>
      </c>
    </row>
    <row r="24" spans="2:7" ht="16.5" thickBot="1" x14ac:dyDescent="0.3">
      <c r="B24" s="25" t="s">
        <v>1394</v>
      </c>
      <c r="C24" s="18" t="s">
        <v>23</v>
      </c>
      <c r="D24" s="18" t="s">
        <v>7</v>
      </c>
      <c r="E24" s="77">
        <v>3792</v>
      </c>
      <c r="F24" s="18" t="s">
        <v>1417</v>
      </c>
      <c r="G24" s="27" t="s">
        <v>589</v>
      </c>
    </row>
  </sheetData>
  <pageMargins left="0.7" right="0.7" top="0.75" bottom="0.75" header="0.3" footer="0.3"/>
  <pageSetup paperSize="256" orientation="portrait" horizontalDpi="203" verticalDpi="203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F96A36-EC68-4552-B0A7-35AB10F65B5A}">
  <sheetPr codeName="Hoja28"/>
  <dimension ref="B1:G30"/>
  <sheetViews>
    <sheetView workbookViewId="0">
      <selection sqref="A1:H31"/>
    </sheetView>
  </sheetViews>
  <sheetFormatPr baseColWidth="10" defaultRowHeight="15.75" x14ac:dyDescent="0.25"/>
  <cols>
    <col min="2" max="2" width="11" style="3"/>
    <col min="3" max="3" width="25.5" style="3" customWidth="1"/>
    <col min="4" max="5" width="11" style="3"/>
    <col min="6" max="6" width="20.875" style="3" customWidth="1"/>
    <col min="7" max="7" width="34.125" style="3" bestFit="1" customWidth="1"/>
  </cols>
  <sheetData>
    <row r="1" spans="2:7" ht="16.5" thickBot="1" x14ac:dyDescent="0.3"/>
    <row r="2" spans="2:7" x14ac:dyDescent="0.25">
      <c r="B2" s="21" t="s">
        <v>0</v>
      </c>
      <c r="C2" s="22" t="s">
        <v>1</v>
      </c>
      <c r="D2" s="22" t="s">
        <v>2</v>
      </c>
      <c r="E2" s="22" t="s">
        <v>3</v>
      </c>
      <c r="F2" s="22" t="s">
        <v>4</v>
      </c>
      <c r="G2" s="23"/>
    </row>
    <row r="3" spans="2:7" x14ac:dyDescent="0.25">
      <c r="B3" s="29" t="s">
        <v>1428</v>
      </c>
      <c r="C3" s="28" t="s">
        <v>1429</v>
      </c>
      <c r="D3" s="28" t="s">
        <v>7</v>
      </c>
      <c r="E3" s="28">
        <v>-400</v>
      </c>
      <c r="F3" s="28" t="s">
        <v>1430</v>
      </c>
      <c r="G3" s="30" t="s">
        <v>1464</v>
      </c>
    </row>
    <row r="4" spans="2:7" x14ac:dyDescent="0.25">
      <c r="B4" s="14" t="s">
        <v>1428</v>
      </c>
      <c r="C4" s="1" t="s">
        <v>269</v>
      </c>
      <c r="D4" s="1" t="s">
        <v>7</v>
      </c>
      <c r="E4" s="1">
        <v>80</v>
      </c>
      <c r="F4" s="1" t="s">
        <v>1431</v>
      </c>
      <c r="G4" s="16" t="s">
        <v>1360</v>
      </c>
    </row>
    <row r="5" spans="2:7" x14ac:dyDescent="0.25">
      <c r="B5" s="14" t="s">
        <v>1428</v>
      </c>
      <c r="C5" s="1" t="s">
        <v>519</v>
      </c>
      <c r="D5" s="1" t="s">
        <v>7</v>
      </c>
      <c r="E5" s="1">
        <v>35</v>
      </c>
      <c r="F5" s="1" t="s">
        <v>1432</v>
      </c>
      <c r="G5" s="16" t="s">
        <v>1472</v>
      </c>
    </row>
    <row r="6" spans="2:7" x14ac:dyDescent="0.25">
      <c r="B6" s="14" t="s">
        <v>1428</v>
      </c>
      <c r="C6" s="1" t="s">
        <v>17</v>
      </c>
      <c r="D6" s="1" t="s">
        <v>7</v>
      </c>
      <c r="E6" s="1">
        <v>54</v>
      </c>
      <c r="F6" s="1" t="s">
        <v>1433</v>
      </c>
      <c r="G6" s="16" t="s">
        <v>832</v>
      </c>
    </row>
    <row r="7" spans="2:7" x14ac:dyDescent="0.25">
      <c r="B7" s="14" t="s">
        <v>1428</v>
      </c>
      <c r="C7" s="1" t="s">
        <v>75</v>
      </c>
      <c r="D7" s="1" t="s">
        <v>7</v>
      </c>
      <c r="E7" s="1">
        <v>419</v>
      </c>
      <c r="F7" s="1" t="s">
        <v>1434</v>
      </c>
      <c r="G7" s="16" t="s">
        <v>60</v>
      </c>
    </row>
    <row r="8" spans="2:7" x14ac:dyDescent="0.25">
      <c r="B8" s="14" t="s">
        <v>1428</v>
      </c>
      <c r="C8" s="1" t="s">
        <v>979</v>
      </c>
      <c r="D8" s="1" t="s">
        <v>7</v>
      </c>
      <c r="E8" s="1">
        <v>9.5</v>
      </c>
      <c r="F8" s="1" t="s">
        <v>1435</v>
      </c>
      <c r="G8" s="16" t="s">
        <v>1477</v>
      </c>
    </row>
    <row r="9" spans="2:7" x14ac:dyDescent="0.25">
      <c r="B9" s="14" t="s">
        <v>1428</v>
      </c>
      <c r="C9" s="1" t="s">
        <v>382</v>
      </c>
      <c r="D9" s="1" t="s">
        <v>7</v>
      </c>
      <c r="E9" s="1">
        <v>3</v>
      </c>
      <c r="F9" s="1" t="s">
        <v>1436</v>
      </c>
      <c r="G9" s="16" t="s">
        <v>1463</v>
      </c>
    </row>
    <row r="10" spans="2:7" x14ac:dyDescent="0.25">
      <c r="B10" s="29" t="s">
        <v>1428</v>
      </c>
      <c r="C10" s="28" t="s">
        <v>172</v>
      </c>
      <c r="D10" s="28" t="s">
        <v>7</v>
      </c>
      <c r="E10" s="28">
        <v>-21900</v>
      </c>
      <c r="F10" s="28" t="s">
        <v>1437</v>
      </c>
      <c r="G10" s="30" t="s">
        <v>1478</v>
      </c>
    </row>
    <row r="11" spans="2:7" x14ac:dyDescent="0.25">
      <c r="B11" s="14" t="s">
        <v>1428</v>
      </c>
      <c r="C11" s="1" t="s">
        <v>75</v>
      </c>
      <c r="D11" s="1" t="s">
        <v>7</v>
      </c>
      <c r="E11" s="1">
        <v>30</v>
      </c>
      <c r="F11" s="1" t="s">
        <v>1438</v>
      </c>
      <c r="G11" s="16" t="s">
        <v>1462</v>
      </c>
    </row>
    <row r="12" spans="2:7" x14ac:dyDescent="0.25">
      <c r="B12" s="14" t="s">
        <v>1428</v>
      </c>
      <c r="C12" s="1" t="s">
        <v>979</v>
      </c>
      <c r="D12" s="1" t="s">
        <v>7</v>
      </c>
      <c r="E12" s="1">
        <v>54</v>
      </c>
      <c r="F12" s="1" t="s">
        <v>1439</v>
      </c>
      <c r="G12" s="16" t="s">
        <v>1461</v>
      </c>
    </row>
    <row r="13" spans="2:7" x14ac:dyDescent="0.25">
      <c r="B13" s="14" t="s">
        <v>1428</v>
      </c>
      <c r="C13" s="1" t="s">
        <v>979</v>
      </c>
      <c r="D13" s="1" t="s">
        <v>7</v>
      </c>
      <c r="E13" s="1">
        <v>6</v>
      </c>
      <c r="F13" s="1" t="s">
        <v>1440</v>
      </c>
      <c r="G13" s="16" t="s">
        <v>1461</v>
      </c>
    </row>
    <row r="14" spans="2:7" x14ac:dyDescent="0.25">
      <c r="B14" s="14" t="s">
        <v>1428</v>
      </c>
      <c r="C14" s="1" t="s">
        <v>269</v>
      </c>
      <c r="D14" s="1" t="s">
        <v>7</v>
      </c>
      <c r="E14" s="1">
        <v>5</v>
      </c>
      <c r="F14" s="1" t="s">
        <v>1441</v>
      </c>
      <c r="G14" s="16" t="s">
        <v>1460</v>
      </c>
    </row>
    <row r="15" spans="2:7" x14ac:dyDescent="0.25">
      <c r="B15" s="14" t="s">
        <v>1428</v>
      </c>
      <c r="C15" s="1" t="s">
        <v>979</v>
      </c>
      <c r="D15" s="1" t="s">
        <v>7</v>
      </c>
      <c r="E15" s="1">
        <v>17</v>
      </c>
      <c r="F15" s="1" t="s">
        <v>1442</v>
      </c>
      <c r="G15" s="16" t="s">
        <v>1459</v>
      </c>
    </row>
    <row r="16" spans="2:7" x14ac:dyDescent="0.25">
      <c r="B16" s="14" t="s">
        <v>1428</v>
      </c>
      <c r="C16" s="1" t="s">
        <v>23</v>
      </c>
      <c r="D16" s="1" t="s">
        <v>7</v>
      </c>
      <c r="E16" s="1">
        <v>770</v>
      </c>
      <c r="F16" s="1" t="s">
        <v>1443</v>
      </c>
      <c r="G16" s="16" t="s">
        <v>1065</v>
      </c>
    </row>
    <row r="17" spans="2:7" x14ac:dyDescent="0.25">
      <c r="B17" s="14" t="s">
        <v>1428</v>
      </c>
      <c r="C17" s="1" t="s">
        <v>944</v>
      </c>
      <c r="D17" s="1" t="s">
        <v>7</v>
      </c>
      <c r="E17" s="1">
        <v>270.89999999999998</v>
      </c>
      <c r="F17" s="1" t="s">
        <v>1444</v>
      </c>
      <c r="G17" s="16" t="s">
        <v>955</v>
      </c>
    </row>
    <row r="18" spans="2:7" x14ac:dyDescent="0.25">
      <c r="B18" s="14" t="s">
        <v>1428</v>
      </c>
      <c r="C18" s="1" t="s">
        <v>17</v>
      </c>
      <c r="D18" s="1" t="s">
        <v>7</v>
      </c>
      <c r="E18" s="1">
        <v>46</v>
      </c>
      <c r="F18" s="1" t="s">
        <v>1445</v>
      </c>
      <c r="G18" s="16" t="s">
        <v>1471</v>
      </c>
    </row>
    <row r="19" spans="2:7" x14ac:dyDescent="0.25">
      <c r="B19" s="14" t="s">
        <v>1428</v>
      </c>
      <c r="C19" s="1" t="s">
        <v>23</v>
      </c>
      <c r="D19" s="1" t="s">
        <v>7</v>
      </c>
      <c r="E19" s="1">
        <v>405</v>
      </c>
      <c r="F19" s="1" t="s">
        <v>1446</v>
      </c>
      <c r="G19" s="16" t="s">
        <v>1476</v>
      </c>
    </row>
    <row r="20" spans="2:7" x14ac:dyDescent="0.25">
      <c r="B20" s="14" t="s">
        <v>1428</v>
      </c>
      <c r="C20" s="1" t="s">
        <v>1447</v>
      </c>
      <c r="D20" s="1" t="s">
        <v>7</v>
      </c>
      <c r="E20" s="1">
        <v>13</v>
      </c>
      <c r="F20" s="1" t="s">
        <v>1448</v>
      </c>
      <c r="G20" s="16" t="s">
        <v>1470</v>
      </c>
    </row>
    <row r="21" spans="2:7" x14ac:dyDescent="0.25">
      <c r="B21" s="14" t="s">
        <v>1428</v>
      </c>
      <c r="C21" s="1" t="s">
        <v>6</v>
      </c>
      <c r="D21" s="1" t="s">
        <v>7</v>
      </c>
      <c r="E21" s="1">
        <v>500</v>
      </c>
      <c r="F21" s="1" t="s">
        <v>1449</v>
      </c>
      <c r="G21" s="16" t="s">
        <v>52</v>
      </c>
    </row>
    <row r="22" spans="2:7" x14ac:dyDescent="0.25">
      <c r="B22" s="14" t="s">
        <v>1428</v>
      </c>
      <c r="C22" s="1" t="s">
        <v>6</v>
      </c>
      <c r="D22" s="1" t="s">
        <v>7</v>
      </c>
      <c r="E22" s="1">
        <v>500</v>
      </c>
      <c r="F22" s="1" t="s">
        <v>1450</v>
      </c>
      <c r="G22" s="16" t="s">
        <v>52</v>
      </c>
    </row>
    <row r="23" spans="2:7" x14ac:dyDescent="0.25">
      <c r="B23" s="14" t="s">
        <v>1428</v>
      </c>
      <c r="C23" s="1" t="s">
        <v>111</v>
      </c>
      <c r="D23" s="1" t="s">
        <v>7</v>
      </c>
      <c r="E23" s="1">
        <v>11</v>
      </c>
      <c r="F23" s="1" t="s">
        <v>1451</v>
      </c>
      <c r="G23" s="16" t="s">
        <v>1469</v>
      </c>
    </row>
    <row r="24" spans="2:7" x14ac:dyDescent="0.25">
      <c r="B24" s="14" t="s">
        <v>1428</v>
      </c>
      <c r="C24" s="1" t="s">
        <v>69</v>
      </c>
      <c r="D24" s="1" t="s">
        <v>7</v>
      </c>
      <c r="E24" s="1">
        <v>1240</v>
      </c>
      <c r="F24" s="1" t="s">
        <v>1452</v>
      </c>
      <c r="G24" s="16" t="s">
        <v>1468</v>
      </c>
    </row>
    <row r="25" spans="2:7" x14ac:dyDescent="0.25">
      <c r="B25" s="14" t="s">
        <v>1428</v>
      </c>
      <c r="C25" s="1" t="s">
        <v>6</v>
      </c>
      <c r="D25" s="1" t="s">
        <v>7</v>
      </c>
      <c r="E25" s="1">
        <v>2.1</v>
      </c>
      <c r="F25" s="1" t="s">
        <v>1453</v>
      </c>
      <c r="G25" s="16" t="s">
        <v>1467</v>
      </c>
    </row>
    <row r="26" spans="2:7" x14ac:dyDescent="0.25">
      <c r="B26" s="29" t="s">
        <v>1428</v>
      </c>
      <c r="C26" s="28" t="s">
        <v>248</v>
      </c>
      <c r="D26" s="28" t="s">
        <v>7</v>
      </c>
      <c r="E26" s="28">
        <v>-200</v>
      </c>
      <c r="F26" s="28" t="s">
        <v>1454</v>
      </c>
      <c r="G26" s="30" t="s">
        <v>1466</v>
      </c>
    </row>
    <row r="27" spans="2:7" x14ac:dyDescent="0.25">
      <c r="B27" s="14" t="s">
        <v>1428</v>
      </c>
      <c r="C27" s="1" t="s">
        <v>19</v>
      </c>
      <c r="D27" s="1" t="s">
        <v>7</v>
      </c>
      <c r="E27" s="1">
        <v>19</v>
      </c>
      <c r="F27" s="1" t="s">
        <v>1455</v>
      </c>
      <c r="G27" s="16" t="s">
        <v>1475</v>
      </c>
    </row>
    <row r="28" spans="2:7" x14ac:dyDescent="0.25">
      <c r="B28" s="14" t="s">
        <v>1428</v>
      </c>
      <c r="C28" s="1" t="s">
        <v>23</v>
      </c>
      <c r="D28" s="1" t="s">
        <v>7</v>
      </c>
      <c r="E28" s="1">
        <v>3000</v>
      </c>
      <c r="F28" s="1" t="s">
        <v>1456</v>
      </c>
      <c r="G28" s="16" t="s">
        <v>1465</v>
      </c>
    </row>
    <row r="29" spans="2:7" x14ac:dyDescent="0.25">
      <c r="B29" s="14" t="s">
        <v>1428</v>
      </c>
      <c r="C29" s="1" t="s">
        <v>111</v>
      </c>
      <c r="D29" s="1" t="s">
        <v>7</v>
      </c>
      <c r="E29" s="1">
        <v>1</v>
      </c>
      <c r="F29" s="1" t="s">
        <v>1457</v>
      </c>
      <c r="G29" s="16" t="s">
        <v>1473</v>
      </c>
    </row>
    <row r="30" spans="2:7" ht="16.5" thickBot="1" x14ac:dyDescent="0.3">
      <c r="B30" s="25" t="s">
        <v>1428</v>
      </c>
      <c r="C30" s="18" t="s">
        <v>111</v>
      </c>
      <c r="D30" s="18" t="s">
        <v>7</v>
      </c>
      <c r="E30" s="18">
        <v>67.5</v>
      </c>
      <c r="F30" s="18" t="s">
        <v>1458</v>
      </c>
      <c r="G30" s="27" t="s">
        <v>1474</v>
      </c>
    </row>
  </sheetData>
  <phoneticPr fontId="3" type="noConversion"/>
  <pageMargins left="0.7" right="0.7" top="0.75" bottom="0.75" header="0.3" footer="0.3"/>
  <pageSetup paperSize="256" orientation="portrait" horizontalDpi="203" verticalDpi="203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87764D-8D49-4605-84CF-BCDB641359C8}">
  <sheetPr codeName="Hoja29"/>
  <dimension ref="B1:G45"/>
  <sheetViews>
    <sheetView topLeftCell="A13" workbookViewId="0">
      <selection activeCell="F42" sqref="F42"/>
    </sheetView>
  </sheetViews>
  <sheetFormatPr baseColWidth="10" defaultRowHeight="15.75" x14ac:dyDescent="0.25"/>
  <cols>
    <col min="2" max="2" width="11" style="3"/>
    <col min="3" max="3" width="26.375" style="3" customWidth="1"/>
    <col min="4" max="5" width="11" style="3"/>
    <col min="6" max="6" width="27.375" style="3" customWidth="1"/>
    <col min="7" max="7" width="28.25" style="3" bestFit="1" customWidth="1"/>
  </cols>
  <sheetData>
    <row r="1" spans="2:7" ht="16.5" thickBot="1" x14ac:dyDescent="0.3"/>
    <row r="2" spans="2:7" x14ac:dyDescent="0.25">
      <c r="B2" s="21" t="s">
        <v>0</v>
      </c>
      <c r="C2" s="22" t="s">
        <v>1</v>
      </c>
      <c r="D2" s="22" t="s">
        <v>2</v>
      </c>
      <c r="E2" s="22" t="s">
        <v>3</v>
      </c>
      <c r="F2" s="22" t="s">
        <v>4</v>
      </c>
      <c r="G2" s="13"/>
    </row>
    <row r="3" spans="2:7" x14ac:dyDescent="0.25">
      <c r="B3" s="14" t="s">
        <v>1479</v>
      </c>
      <c r="C3" s="1" t="s">
        <v>1480</v>
      </c>
      <c r="D3" s="1" t="s">
        <v>7</v>
      </c>
      <c r="E3" s="36">
        <v>4</v>
      </c>
      <c r="F3" s="1" t="s">
        <v>1481</v>
      </c>
      <c r="G3" s="16" t="s">
        <v>1533</v>
      </c>
    </row>
    <row r="4" spans="2:7" x14ac:dyDescent="0.25">
      <c r="B4" s="29" t="s">
        <v>1479</v>
      </c>
      <c r="C4" s="28" t="s">
        <v>472</v>
      </c>
      <c r="D4" s="28" t="s">
        <v>7</v>
      </c>
      <c r="E4" s="28">
        <v>-1663.2</v>
      </c>
      <c r="F4" s="28" t="s">
        <v>1482</v>
      </c>
      <c r="G4" s="30" t="s">
        <v>1532</v>
      </c>
    </row>
    <row r="5" spans="2:7" x14ac:dyDescent="0.25">
      <c r="B5" s="14" t="s">
        <v>1479</v>
      </c>
      <c r="C5" s="1" t="s">
        <v>6</v>
      </c>
      <c r="D5" s="1" t="s">
        <v>7</v>
      </c>
      <c r="E5" s="79">
        <v>368</v>
      </c>
      <c r="F5" s="1" t="s">
        <v>1483</v>
      </c>
      <c r="G5" s="16" t="s">
        <v>52</v>
      </c>
    </row>
    <row r="6" spans="2:7" x14ac:dyDescent="0.25">
      <c r="B6" s="14" t="s">
        <v>1479</v>
      </c>
      <c r="C6" s="1" t="s">
        <v>356</v>
      </c>
      <c r="D6" s="1" t="s">
        <v>7</v>
      </c>
      <c r="E6" s="36">
        <v>466</v>
      </c>
      <c r="F6" s="1" t="s">
        <v>1484</v>
      </c>
      <c r="G6" s="16" t="s">
        <v>1531</v>
      </c>
    </row>
    <row r="7" spans="2:7" x14ac:dyDescent="0.25">
      <c r="B7" s="14" t="s">
        <v>1479</v>
      </c>
      <c r="C7" s="1" t="s">
        <v>23</v>
      </c>
      <c r="D7" s="1" t="s">
        <v>7</v>
      </c>
      <c r="E7" s="36">
        <v>476</v>
      </c>
      <c r="F7" s="1" t="s">
        <v>1485</v>
      </c>
      <c r="G7" s="16" t="s">
        <v>660</v>
      </c>
    </row>
    <row r="8" spans="2:7" x14ac:dyDescent="0.25">
      <c r="B8" s="14" t="s">
        <v>1479</v>
      </c>
      <c r="C8" s="1" t="s">
        <v>521</v>
      </c>
      <c r="D8" s="1" t="s">
        <v>7</v>
      </c>
      <c r="E8" s="36">
        <v>3</v>
      </c>
      <c r="F8" s="1" t="s">
        <v>1486</v>
      </c>
      <c r="G8" s="16" t="s">
        <v>1527</v>
      </c>
    </row>
    <row r="9" spans="2:7" x14ac:dyDescent="0.25">
      <c r="B9" s="14" t="s">
        <v>1479</v>
      </c>
      <c r="C9" s="1" t="s">
        <v>33</v>
      </c>
      <c r="D9" s="1" t="s">
        <v>7</v>
      </c>
      <c r="E9" s="36">
        <v>4</v>
      </c>
      <c r="F9" s="1" t="s">
        <v>1487</v>
      </c>
      <c r="G9" s="16" t="s">
        <v>1530</v>
      </c>
    </row>
    <row r="10" spans="2:7" x14ac:dyDescent="0.25">
      <c r="B10" s="14" t="s">
        <v>1479</v>
      </c>
      <c r="C10" s="1" t="s">
        <v>797</v>
      </c>
      <c r="D10" s="1" t="s">
        <v>7</v>
      </c>
      <c r="E10" s="36">
        <v>5</v>
      </c>
      <c r="F10" s="1" t="s">
        <v>1488</v>
      </c>
      <c r="G10" s="16" t="s">
        <v>1528</v>
      </c>
    </row>
    <row r="11" spans="2:7" x14ac:dyDescent="0.25">
      <c r="B11" s="14" t="s">
        <v>1479</v>
      </c>
      <c r="C11" s="1" t="s">
        <v>240</v>
      </c>
      <c r="D11" s="1" t="s">
        <v>7</v>
      </c>
      <c r="E11" s="36">
        <v>4.5</v>
      </c>
      <c r="F11" s="1" t="s">
        <v>1489</v>
      </c>
      <c r="G11" s="16" t="s">
        <v>1529</v>
      </c>
    </row>
    <row r="12" spans="2:7" x14ac:dyDescent="0.25">
      <c r="B12" s="14" t="s">
        <v>1479</v>
      </c>
      <c r="C12" s="1" t="s">
        <v>509</v>
      </c>
      <c r="D12" s="1" t="s">
        <v>7</v>
      </c>
      <c r="E12" s="36">
        <v>15</v>
      </c>
      <c r="F12" s="1" t="s">
        <v>1490</v>
      </c>
      <c r="G12" s="16" t="s">
        <v>1526</v>
      </c>
    </row>
    <row r="13" spans="2:7" x14ac:dyDescent="0.25">
      <c r="B13" s="14" t="s">
        <v>1479</v>
      </c>
      <c r="C13" s="1" t="s">
        <v>161</v>
      </c>
      <c r="D13" s="1" t="s">
        <v>7</v>
      </c>
      <c r="E13" s="36">
        <v>23.5</v>
      </c>
      <c r="F13" s="1" t="s">
        <v>1491</v>
      </c>
      <c r="G13" s="16" t="s">
        <v>1525</v>
      </c>
    </row>
    <row r="14" spans="2:7" x14ac:dyDescent="0.25">
      <c r="B14" s="29" t="s">
        <v>1479</v>
      </c>
      <c r="C14" s="28" t="s">
        <v>1492</v>
      </c>
      <c r="D14" s="28" t="s">
        <v>7</v>
      </c>
      <c r="E14" s="28">
        <v>-85.9</v>
      </c>
      <c r="F14" s="28" t="s">
        <v>1493</v>
      </c>
      <c r="G14" s="30" t="s">
        <v>1524</v>
      </c>
    </row>
    <row r="15" spans="2:7" x14ac:dyDescent="0.25">
      <c r="B15" s="29" t="s">
        <v>1479</v>
      </c>
      <c r="C15" s="28" t="s">
        <v>1494</v>
      </c>
      <c r="D15" s="28" t="s">
        <v>7</v>
      </c>
      <c r="E15" s="28">
        <v>-89.9</v>
      </c>
      <c r="F15" s="28" t="s">
        <v>1495</v>
      </c>
      <c r="G15" s="30" t="s">
        <v>1523</v>
      </c>
    </row>
    <row r="16" spans="2:7" x14ac:dyDescent="0.25">
      <c r="B16" s="14" t="s">
        <v>1479</v>
      </c>
      <c r="C16" s="1" t="s">
        <v>183</v>
      </c>
      <c r="D16" s="1" t="s">
        <v>7</v>
      </c>
      <c r="E16" s="36">
        <v>76</v>
      </c>
      <c r="F16" s="1" t="s">
        <v>1496</v>
      </c>
      <c r="G16" s="16" t="s">
        <v>660</v>
      </c>
    </row>
    <row r="17" spans="2:7" x14ac:dyDescent="0.25">
      <c r="B17" s="14" t="s">
        <v>1479</v>
      </c>
      <c r="C17" s="1" t="s">
        <v>1259</v>
      </c>
      <c r="D17" s="1" t="s">
        <v>7</v>
      </c>
      <c r="E17" s="36">
        <v>2</v>
      </c>
      <c r="F17" s="1" t="s">
        <v>1497</v>
      </c>
      <c r="G17" s="16" t="s">
        <v>1522</v>
      </c>
    </row>
    <row r="18" spans="2:7" x14ac:dyDescent="0.25">
      <c r="B18" s="14" t="s">
        <v>1479</v>
      </c>
      <c r="C18" s="1" t="s">
        <v>944</v>
      </c>
      <c r="D18" s="1" t="s">
        <v>7</v>
      </c>
      <c r="E18" s="36">
        <v>454.6</v>
      </c>
      <c r="F18" s="1" t="s">
        <v>1498</v>
      </c>
      <c r="G18" s="16" t="s">
        <v>1553</v>
      </c>
    </row>
    <row r="19" spans="2:7" x14ac:dyDescent="0.25">
      <c r="B19" s="14" t="s">
        <v>1479</v>
      </c>
      <c r="C19" s="1" t="s">
        <v>17</v>
      </c>
      <c r="D19" s="1" t="s">
        <v>7</v>
      </c>
      <c r="E19" s="36">
        <v>19</v>
      </c>
      <c r="F19" s="1" t="s">
        <v>1499</v>
      </c>
      <c r="G19" s="16" t="s">
        <v>1541</v>
      </c>
    </row>
    <row r="20" spans="2:7" x14ac:dyDescent="0.25">
      <c r="B20" s="29" t="s">
        <v>1479</v>
      </c>
      <c r="C20" s="28" t="s">
        <v>105</v>
      </c>
      <c r="D20" s="28" t="s">
        <v>7</v>
      </c>
      <c r="E20" s="28">
        <v>-4260.33</v>
      </c>
      <c r="F20" s="28" t="s">
        <v>1500</v>
      </c>
      <c r="G20" s="30" t="s">
        <v>1554</v>
      </c>
    </row>
    <row r="21" spans="2:7" x14ac:dyDescent="0.25">
      <c r="B21" s="29" t="s">
        <v>1479</v>
      </c>
      <c r="C21" s="28" t="s">
        <v>248</v>
      </c>
      <c r="D21" s="28" t="s">
        <v>7</v>
      </c>
      <c r="E21" s="28">
        <v>-256</v>
      </c>
      <c r="F21" s="28" t="s">
        <v>1501</v>
      </c>
      <c r="G21" s="30" t="s">
        <v>1547</v>
      </c>
    </row>
    <row r="22" spans="2:7" x14ac:dyDescent="0.25">
      <c r="B22" s="14" t="s">
        <v>1479</v>
      </c>
      <c r="C22" s="1" t="s">
        <v>1502</v>
      </c>
      <c r="D22" s="1" t="s">
        <v>7</v>
      </c>
      <c r="E22" s="36">
        <v>46.5</v>
      </c>
      <c r="F22" s="1" t="s">
        <v>1503</v>
      </c>
      <c r="G22" s="16" t="s">
        <v>1546</v>
      </c>
    </row>
    <row r="23" spans="2:7" x14ac:dyDescent="0.25">
      <c r="B23" s="14" t="s">
        <v>1479</v>
      </c>
      <c r="C23" s="1" t="s">
        <v>111</v>
      </c>
      <c r="D23" s="1" t="s">
        <v>7</v>
      </c>
      <c r="E23" s="36">
        <v>28</v>
      </c>
      <c r="F23" s="1" t="s">
        <v>1504</v>
      </c>
      <c r="G23" s="16" t="s">
        <v>1538</v>
      </c>
    </row>
    <row r="24" spans="2:7" x14ac:dyDescent="0.25">
      <c r="B24" s="14" t="s">
        <v>1479</v>
      </c>
      <c r="C24" s="1" t="s">
        <v>1505</v>
      </c>
      <c r="D24" s="1" t="s">
        <v>7</v>
      </c>
      <c r="E24" s="79">
        <v>78</v>
      </c>
      <c r="F24" s="1" t="s">
        <v>1506</v>
      </c>
      <c r="G24" s="16" t="s">
        <v>1545</v>
      </c>
    </row>
    <row r="25" spans="2:7" x14ac:dyDescent="0.25">
      <c r="B25" s="14" t="s">
        <v>1479</v>
      </c>
      <c r="C25" s="1" t="s">
        <v>1507</v>
      </c>
      <c r="D25" s="1" t="s">
        <v>7</v>
      </c>
      <c r="E25" s="36">
        <v>759</v>
      </c>
      <c r="F25" s="1" t="s">
        <v>1508</v>
      </c>
      <c r="G25" s="16" t="s">
        <v>1549</v>
      </c>
    </row>
    <row r="26" spans="2:7" x14ac:dyDescent="0.25">
      <c r="B26" s="14" t="s">
        <v>1479</v>
      </c>
      <c r="C26" s="1" t="s">
        <v>1505</v>
      </c>
      <c r="D26" s="1" t="s">
        <v>7</v>
      </c>
      <c r="E26" s="79">
        <v>1000</v>
      </c>
      <c r="F26" s="1" t="s">
        <v>1509</v>
      </c>
      <c r="G26" s="16" t="s">
        <v>1545</v>
      </c>
    </row>
    <row r="27" spans="2:7" x14ac:dyDescent="0.25">
      <c r="B27" s="14" t="s">
        <v>1479</v>
      </c>
      <c r="C27" s="1" t="s">
        <v>1510</v>
      </c>
      <c r="D27" s="1" t="s">
        <v>7</v>
      </c>
      <c r="E27" s="79">
        <v>60</v>
      </c>
      <c r="F27" s="1" t="s">
        <v>1511</v>
      </c>
      <c r="G27" s="16" t="s">
        <v>1543</v>
      </c>
    </row>
    <row r="28" spans="2:7" x14ac:dyDescent="0.25">
      <c r="B28" s="14" t="s">
        <v>1479</v>
      </c>
      <c r="C28" s="1" t="s">
        <v>1507</v>
      </c>
      <c r="D28" s="1" t="s">
        <v>7</v>
      </c>
      <c r="E28" s="36">
        <v>4500</v>
      </c>
      <c r="F28" s="1" t="s">
        <v>1512</v>
      </c>
      <c r="G28" s="16" t="s">
        <v>1549</v>
      </c>
    </row>
    <row r="29" spans="2:7" x14ac:dyDescent="0.25">
      <c r="B29" s="14" t="s">
        <v>1479</v>
      </c>
      <c r="C29" s="1" t="s">
        <v>299</v>
      </c>
      <c r="D29" s="1" t="s">
        <v>7</v>
      </c>
      <c r="E29" s="36">
        <v>1</v>
      </c>
      <c r="F29" s="1" t="s">
        <v>1513</v>
      </c>
      <c r="G29" s="16" t="s">
        <v>536</v>
      </c>
    </row>
    <row r="30" spans="2:7" x14ac:dyDescent="0.25">
      <c r="B30" s="14" t="s">
        <v>1479</v>
      </c>
      <c r="C30" s="1" t="s">
        <v>178</v>
      </c>
      <c r="D30" s="1" t="s">
        <v>7</v>
      </c>
      <c r="E30" s="36">
        <v>87.5</v>
      </c>
      <c r="F30" s="1" t="s">
        <v>1514</v>
      </c>
      <c r="G30" s="16" t="s">
        <v>1539</v>
      </c>
    </row>
    <row r="31" spans="2:7" x14ac:dyDescent="0.25">
      <c r="B31" s="14" t="s">
        <v>1479</v>
      </c>
      <c r="C31" s="1" t="s">
        <v>95</v>
      </c>
      <c r="D31" s="1" t="s">
        <v>7</v>
      </c>
      <c r="E31" s="36">
        <v>12</v>
      </c>
      <c r="F31" s="1" t="s">
        <v>1515</v>
      </c>
      <c r="G31" s="16" t="s">
        <v>1542</v>
      </c>
    </row>
    <row r="32" spans="2:7" x14ac:dyDescent="0.25">
      <c r="B32" s="14" t="s">
        <v>1479</v>
      </c>
      <c r="C32" s="1" t="s">
        <v>224</v>
      </c>
      <c r="D32" s="1" t="s">
        <v>7</v>
      </c>
      <c r="E32" s="36">
        <v>43</v>
      </c>
      <c r="F32" s="1" t="s">
        <v>1516</v>
      </c>
      <c r="G32" s="16" t="s">
        <v>1537</v>
      </c>
    </row>
    <row r="33" spans="2:7" x14ac:dyDescent="0.25">
      <c r="B33" s="14" t="s">
        <v>1479</v>
      </c>
      <c r="C33" s="1" t="s">
        <v>370</v>
      </c>
      <c r="D33" s="1" t="s">
        <v>7</v>
      </c>
      <c r="E33" s="36">
        <v>35</v>
      </c>
      <c r="F33" s="1" t="s">
        <v>1517</v>
      </c>
      <c r="G33" s="16" t="s">
        <v>1536</v>
      </c>
    </row>
    <row r="34" spans="2:7" x14ac:dyDescent="0.25">
      <c r="B34" s="14" t="s">
        <v>1479</v>
      </c>
      <c r="C34" s="1" t="s">
        <v>75</v>
      </c>
      <c r="D34" s="1" t="s">
        <v>7</v>
      </c>
      <c r="E34" s="36">
        <v>125</v>
      </c>
      <c r="F34" s="1" t="s">
        <v>1518</v>
      </c>
      <c r="G34" s="16" t="s">
        <v>1535</v>
      </c>
    </row>
    <row r="35" spans="2:7" x14ac:dyDescent="0.25">
      <c r="B35" s="14" t="s">
        <v>1479</v>
      </c>
      <c r="C35" s="1" t="s">
        <v>370</v>
      </c>
      <c r="D35" s="1" t="s">
        <v>7</v>
      </c>
      <c r="E35" s="36">
        <v>64.5</v>
      </c>
      <c r="F35" s="1" t="s">
        <v>1519</v>
      </c>
      <c r="G35" s="16" t="s">
        <v>1534</v>
      </c>
    </row>
    <row r="36" spans="2:7" x14ac:dyDescent="0.25">
      <c r="B36" s="14" t="s">
        <v>1479</v>
      </c>
      <c r="C36" s="1" t="s">
        <v>161</v>
      </c>
      <c r="D36" s="1" t="s">
        <v>7</v>
      </c>
      <c r="E36" s="36">
        <v>28</v>
      </c>
      <c r="F36" s="1" t="s">
        <v>1520</v>
      </c>
      <c r="G36" s="16" t="s">
        <v>1544</v>
      </c>
    </row>
    <row r="37" spans="2:7" x14ac:dyDescent="0.25">
      <c r="B37" s="14" t="s">
        <v>1479</v>
      </c>
      <c r="C37" s="1" t="s">
        <v>295</v>
      </c>
      <c r="D37" s="1" t="s">
        <v>7</v>
      </c>
      <c r="E37" s="36">
        <v>35</v>
      </c>
      <c r="F37" s="1" t="s">
        <v>1521</v>
      </c>
      <c r="G37" s="16" t="s">
        <v>1540</v>
      </c>
    </row>
    <row r="38" spans="2:7" x14ac:dyDescent="0.25">
      <c r="B38" s="14" t="s">
        <v>1479</v>
      </c>
      <c r="C38" s="1" t="s">
        <v>295</v>
      </c>
      <c r="D38" s="1" t="s">
        <v>7</v>
      </c>
      <c r="E38" s="36">
        <v>288</v>
      </c>
      <c r="F38" s="1">
        <v>5063256</v>
      </c>
      <c r="G38" s="16" t="s">
        <v>1550</v>
      </c>
    </row>
    <row r="39" spans="2:7" x14ac:dyDescent="0.25">
      <c r="B39" s="14" t="s">
        <v>1479</v>
      </c>
      <c r="C39" s="1" t="s">
        <v>295</v>
      </c>
      <c r="D39" s="1" t="s">
        <v>7</v>
      </c>
      <c r="E39" s="36">
        <v>3</v>
      </c>
      <c r="F39" s="1">
        <v>5315632</v>
      </c>
      <c r="G39" s="16" t="s">
        <v>1551</v>
      </c>
    </row>
    <row r="40" spans="2:7" x14ac:dyDescent="0.25">
      <c r="B40" s="14" t="s">
        <v>1479</v>
      </c>
      <c r="C40" s="1" t="s">
        <v>295</v>
      </c>
      <c r="D40" s="1" t="s">
        <v>7</v>
      </c>
      <c r="E40" s="36">
        <v>50</v>
      </c>
      <c r="F40" s="1">
        <v>5418373</v>
      </c>
      <c r="G40" s="16" t="s">
        <v>1552</v>
      </c>
    </row>
    <row r="41" spans="2:7" x14ac:dyDescent="0.25">
      <c r="B41" s="80"/>
      <c r="G41" s="81"/>
    </row>
    <row r="42" spans="2:7" x14ac:dyDescent="0.25">
      <c r="B42" s="80"/>
      <c r="G42" s="81"/>
    </row>
    <row r="43" spans="2:7" x14ac:dyDescent="0.25">
      <c r="B43" s="32">
        <v>46109</v>
      </c>
      <c r="C43" s="1" t="s">
        <v>78</v>
      </c>
      <c r="D43" s="1"/>
      <c r="E43" s="79">
        <v>7140.5</v>
      </c>
      <c r="F43" s="1"/>
      <c r="G43" s="16" t="s">
        <v>995</v>
      </c>
    </row>
    <row r="44" spans="2:7" ht="16.5" thickBot="1" x14ac:dyDescent="0.3">
      <c r="B44" s="17">
        <v>46109</v>
      </c>
      <c r="C44" s="18" t="s">
        <v>78</v>
      </c>
      <c r="D44" s="18"/>
      <c r="E44" s="77">
        <v>2700</v>
      </c>
      <c r="F44" s="18"/>
      <c r="G44" s="27" t="s">
        <v>1548</v>
      </c>
    </row>
    <row r="45" spans="2:7" x14ac:dyDescent="0.25">
      <c r="B45" s="57">
        <v>46109</v>
      </c>
      <c r="E45" s="3">
        <v>2000</v>
      </c>
      <c r="G45" s="3" t="s">
        <v>1918</v>
      </c>
    </row>
  </sheetData>
  <pageMargins left="0.7" right="0.7" top="0.75" bottom="0.75" header="0.3" footer="0.3"/>
  <pageSetup paperSize="256" orientation="portrait" horizontalDpi="203" verticalDpi="203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6328C0-49CD-4942-BDBD-B8F3F865E9ED}">
  <sheetPr codeName="Hoja30"/>
  <dimension ref="B1:H24"/>
  <sheetViews>
    <sheetView workbookViewId="0">
      <selection activeCell="F22" sqref="F22"/>
    </sheetView>
  </sheetViews>
  <sheetFormatPr baseColWidth="10" defaultRowHeight="15.75" x14ac:dyDescent="0.25"/>
  <cols>
    <col min="2" max="2" width="11" style="3"/>
    <col min="3" max="3" width="25.875" style="3" customWidth="1"/>
    <col min="4" max="5" width="11" style="3"/>
    <col min="6" max="6" width="23.75" style="3" customWidth="1"/>
    <col min="7" max="7" width="22.75" style="3" customWidth="1"/>
    <col min="8" max="8" width="11" style="3"/>
  </cols>
  <sheetData>
    <row r="1" spans="2:7" ht="16.5" thickBot="1" x14ac:dyDescent="0.3"/>
    <row r="2" spans="2:7" x14ac:dyDescent="0.25">
      <c r="B2" s="11" t="s">
        <v>0</v>
      </c>
      <c r="C2" s="12" t="s">
        <v>1</v>
      </c>
      <c r="D2" s="12" t="s">
        <v>2</v>
      </c>
      <c r="E2" s="12" t="s">
        <v>3</v>
      </c>
      <c r="F2" s="12" t="s">
        <v>4</v>
      </c>
      <c r="G2" s="13"/>
    </row>
    <row r="3" spans="2:7" x14ac:dyDescent="0.25">
      <c r="B3" s="14" t="s">
        <v>1555</v>
      </c>
      <c r="C3" s="1" t="s">
        <v>1556</v>
      </c>
      <c r="D3" s="1" t="s">
        <v>7</v>
      </c>
      <c r="E3" s="36">
        <v>7.5</v>
      </c>
      <c r="F3" s="1" t="s">
        <v>1557</v>
      </c>
      <c r="G3" s="16" t="s">
        <v>1586</v>
      </c>
    </row>
    <row r="4" spans="2:7" x14ac:dyDescent="0.25">
      <c r="B4" s="14" t="s">
        <v>1555</v>
      </c>
      <c r="C4" s="1" t="s">
        <v>665</v>
      </c>
      <c r="D4" s="1" t="s">
        <v>7</v>
      </c>
      <c r="E4" s="36">
        <v>15.5</v>
      </c>
      <c r="F4" s="1" t="s">
        <v>1558</v>
      </c>
      <c r="G4" s="16" t="s">
        <v>386</v>
      </c>
    </row>
    <row r="5" spans="2:7" x14ac:dyDescent="0.25">
      <c r="B5" s="14" t="s">
        <v>1555</v>
      </c>
      <c r="C5" s="1" t="s">
        <v>240</v>
      </c>
      <c r="D5" s="1" t="s">
        <v>7</v>
      </c>
      <c r="E5" s="36">
        <v>260</v>
      </c>
      <c r="F5" s="1" t="s">
        <v>1559</v>
      </c>
      <c r="G5" s="16" t="s">
        <v>68</v>
      </c>
    </row>
    <row r="6" spans="2:7" x14ac:dyDescent="0.25">
      <c r="B6" s="14" t="s">
        <v>1555</v>
      </c>
      <c r="C6" s="1" t="s">
        <v>23</v>
      </c>
      <c r="D6" s="1" t="s">
        <v>7</v>
      </c>
      <c r="E6" s="36">
        <v>5036</v>
      </c>
      <c r="F6" s="1" t="s">
        <v>1560</v>
      </c>
      <c r="G6" s="16" t="s">
        <v>1585</v>
      </c>
    </row>
    <row r="7" spans="2:7" x14ac:dyDescent="0.25">
      <c r="B7" s="14" t="s">
        <v>1555</v>
      </c>
      <c r="C7" s="1" t="s">
        <v>1561</v>
      </c>
      <c r="D7" s="1" t="s">
        <v>7</v>
      </c>
      <c r="E7" s="36">
        <v>400</v>
      </c>
      <c r="F7" s="1" t="s">
        <v>1562</v>
      </c>
      <c r="G7" s="82" t="s">
        <v>1583</v>
      </c>
    </row>
    <row r="8" spans="2:7" x14ac:dyDescent="0.25">
      <c r="B8" s="29" t="s">
        <v>1555</v>
      </c>
      <c r="C8" s="28" t="s">
        <v>1563</v>
      </c>
      <c r="D8" s="28" t="s">
        <v>7</v>
      </c>
      <c r="E8" s="28">
        <v>-20</v>
      </c>
      <c r="F8" s="28" t="s">
        <v>1564</v>
      </c>
      <c r="G8" s="30" t="s">
        <v>1582</v>
      </c>
    </row>
    <row r="9" spans="2:7" x14ac:dyDescent="0.25">
      <c r="B9" s="14" t="s">
        <v>1555</v>
      </c>
      <c r="C9" s="1" t="s">
        <v>519</v>
      </c>
      <c r="D9" s="1" t="s">
        <v>7</v>
      </c>
      <c r="E9" s="36">
        <v>6.5</v>
      </c>
      <c r="F9" s="1" t="s">
        <v>1565</v>
      </c>
      <c r="G9" s="16" t="s">
        <v>1587</v>
      </c>
    </row>
    <row r="10" spans="2:7" x14ac:dyDescent="0.25">
      <c r="B10" s="14" t="s">
        <v>1555</v>
      </c>
      <c r="C10" s="1" t="s">
        <v>9</v>
      </c>
      <c r="D10" s="1" t="s">
        <v>7</v>
      </c>
      <c r="E10" s="36">
        <v>22.5</v>
      </c>
      <c r="F10" s="1" t="s">
        <v>1566</v>
      </c>
      <c r="G10" s="16" t="s">
        <v>1588</v>
      </c>
    </row>
    <row r="11" spans="2:7" x14ac:dyDescent="0.25">
      <c r="B11" s="14" t="s">
        <v>1555</v>
      </c>
      <c r="C11" s="1" t="s">
        <v>75</v>
      </c>
      <c r="D11" s="1" t="s">
        <v>7</v>
      </c>
      <c r="E11" s="36">
        <v>10</v>
      </c>
      <c r="F11" s="1" t="s">
        <v>1567</v>
      </c>
      <c r="G11" s="16" t="s">
        <v>1589</v>
      </c>
    </row>
    <row r="12" spans="2:7" x14ac:dyDescent="0.25">
      <c r="B12" s="14" t="s">
        <v>1555</v>
      </c>
      <c r="C12" s="1" t="s">
        <v>240</v>
      </c>
      <c r="D12" s="1" t="s">
        <v>7</v>
      </c>
      <c r="E12" s="36">
        <v>7</v>
      </c>
      <c r="F12" s="1" t="s">
        <v>1568</v>
      </c>
      <c r="G12" s="16" t="s">
        <v>1579</v>
      </c>
    </row>
    <row r="13" spans="2:7" x14ac:dyDescent="0.25">
      <c r="B13" s="14" t="s">
        <v>1555</v>
      </c>
      <c r="C13" s="1" t="s">
        <v>1561</v>
      </c>
      <c r="D13" s="1" t="s">
        <v>7</v>
      </c>
      <c r="E13" s="36">
        <v>100</v>
      </c>
      <c r="F13" s="1" t="s">
        <v>1569</v>
      </c>
      <c r="G13" s="82" t="s">
        <v>1583</v>
      </c>
    </row>
    <row r="14" spans="2:7" x14ac:dyDescent="0.25">
      <c r="B14" s="14" t="s">
        <v>1555</v>
      </c>
      <c r="C14" s="1" t="s">
        <v>240</v>
      </c>
      <c r="D14" s="1" t="s">
        <v>7</v>
      </c>
      <c r="E14" s="36">
        <v>5.5</v>
      </c>
      <c r="F14" s="1" t="s">
        <v>1570</v>
      </c>
      <c r="G14" s="16" t="s">
        <v>1578</v>
      </c>
    </row>
    <row r="15" spans="2:7" x14ac:dyDescent="0.25">
      <c r="B15" s="14" t="s">
        <v>1555</v>
      </c>
      <c r="C15" s="1" t="s">
        <v>1342</v>
      </c>
      <c r="D15" s="1" t="s">
        <v>7</v>
      </c>
      <c r="E15" s="36">
        <v>100</v>
      </c>
      <c r="F15" s="1" t="s">
        <v>1571</v>
      </c>
      <c r="G15" s="16" t="s">
        <v>1373</v>
      </c>
    </row>
    <row r="16" spans="2:7" x14ac:dyDescent="0.25">
      <c r="B16" s="14" t="s">
        <v>1555</v>
      </c>
      <c r="C16" s="1" t="s">
        <v>1342</v>
      </c>
      <c r="D16" s="1" t="s">
        <v>7</v>
      </c>
      <c r="E16" s="36">
        <v>500</v>
      </c>
      <c r="F16" s="1" t="s">
        <v>1572</v>
      </c>
      <c r="G16" s="16" t="s">
        <v>1373</v>
      </c>
    </row>
    <row r="17" spans="2:7" x14ac:dyDescent="0.25">
      <c r="B17" s="14" t="s">
        <v>1555</v>
      </c>
      <c r="C17" s="1" t="s">
        <v>519</v>
      </c>
      <c r="D17" s="1" t="s">
        <v>7</v>
      </c>
      <c r="E17" s="36">
        <v>14</v>
      </c>
      <c r="F17" s="1" t="s">
        <v>1573</v>
      </c>
      <c r="G17" s="16" t="s">
        <v>1577</v>
      </c>
    </row>
    <row r="18" spans="2:7" x14ac:dyDescent="0.25">
      <c r="B18" s="14" t="s">
        <v>1555</v>
      </c>
      <c r="C18" s="1" t="s">
        <v>13</v>
      </c>
      <c r="D18" s="1" t="s">
        <v>7</v>
      </c>
      <c r="E18" s="36">
        <v>277</v>
      </c>
      <c r="F18" s="1" t="s">
        <v>1574</v>
      </c>
      <c r="G18" s="16" t="s">
        <v>1592</v>
      </c>
    </row>
    <row r="19" spans="2:7" x14ac:dyDescent="0.25">
      <c r="B19" s="14" t="s">
        <v>1555</v>
      </c>
      <c r="C19" s="1" t="s">
        <v>17</v>
      </c>
      <c r="D19" s="1" t="s">
        <v>7</v>
      </c>
      <c r="E19" s="36">
        <v>27</v>
      </c>
      <c r="F19" s="1" t="s">
        <v>1575</v>
      </c>
      <c r="G19" s="16" t="s">
        <v>1591</v>
      </c>
    </row>
    <row r="20" spans="2:7" x14ac:dyDescent="0.25">
      <c r="B20" s="14" t="s">
        <v>1555</v>
      </c>
      <c r="C20" s="1" t="s">
        <v>220</v>
      </c>
      <c r="D20" s="1" t="s">
        <v>7</v>
      </c>
      <c r="E20" s="36">
        <v>6</v>
      </c>
      <c r="F20" s="1" t="s">
        <v>1576</v>
      </c>
      <c r="G20" s="16" t="s">
        <v>1590</v>
      </c>
    </row>
    <row r="21" spans="2:7" x14ac:dyDescent="0.25">
      <c r="B21" s="14" t="s">
        <v>1555</v>
      </c>
      <c r="C21" s="1" t="s">
        <v>1580</v>
      </c>
      <c r="D21" s="1" t="s">
        <v>7</v>
      </c>
      <c r="E21" s="36">
        <v>210</v>
      </c>
      <c r="F21" s="1"/>
      <c r="G21" s="16" t="s">
        <v>1581</v>
      </c>
    </row>
    <row r="22" spans="2:7" x14ac:dyDescent="0.25">
      <c r="B22" s="14"/>
      <c r="C22" s="1"/>
      <c r="D22" s="1"/>
      <c r="E22" s="1"/>
      <c r="F22" s="1"/>
      <c r="G22" s="16"/>
    </row>
    <row r="23" spans="2:7" x14ac:dyDescent="0.25">
      <c r="B23" s="14" t="s">
        <v>1555</v>
      </c>
      <c r="C23" s="1" t="s">
        <v>78</v>
      </c>
      <c r="D23" s="1" t="s">
        <v>7</v>
      </c>
      <c r="E23" s="36">
        <v>2185</v>
      </c>
      <c r="F23" s="1"/>
      <c r="G23" s="16" t="s">
        <v>871</v>
      </c>
    </row>
    <row r="24" spans="2:7" ht="16.5" thickBot="1" x14ac:dyDescent="0.3">
      <c r="B24" s="25" t="s">
        <v>1555</v>
      </c>
      <c r="C24" s="18" t="s">
        <v>78</v>
      </c>
      <c r="D24" s="18" t="s">
        <v>7</v>
      </c>
      <c r="E24" s="77">
        <v>2633</v>
      </c>
      <c r="F24" s="18"/>
      <c r="G24" s="27" t="s">
        <v>1584</v>
      </c>
    </row>
  </sheetData>
  <pageMargins left="0.7" right="0.7" top="0.75" bottom="0.75" header="0.3" footer="0.3"/>
  <pageSetup paperSize="256" orientation="portrait" horizontalDpi="203" verticalDpi="203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C39167-759E-4E53-9776-CA7A4DC995EA}">
  <sheetPr codeName="Hoja31"/>
  <dimension ref="B1:G34"/>
  <sheetViews>
    <sheetView workbookViewId="0">
      <selection activeCell="F36" sqref="F36"/>
    </sheetView>
  </sheetViews>
  <sheetFormatPr baseColWidth="10" defaultRowHeight="15.75" x14ac:dyDescent="0.25"/>
  <cols>
    <col min="2" max="2" width="11" style="3"/>
    <col min="3" max="3" width="27" style="3" customWidth="1"/>
    <col min="4" max="5" width="11" style="3"/>
    <col min="6" max="6" width="21" style="3" customWidth="1"/>
    <col min="7" max="7" width="23" style="3" customWidth="1"/>
  </cols>
  <sheetData>
    <row r="1" spans="2:7" ht="16.5" thickBot="1" x14ac:dyDescent="0.3"/>
    <row r="2" spans="2:7" x14ac:dyDescent="0.25">
      <c r="B2" s="21" t="s">
        <v>0</v>
      </c>
      <c r="C2" s="22" t="s">
        <v>1</v>
      </c>
      <c r="D2" s="22" t="s">
        <v>2</v>
      </c>
      <c r="E2" s="22" t="s">
        <v>3</v>
      </c>
      <c r="F2" s="22" t="s">
        <v>4</v>
      </c>
      <c r="G2" s="23"/>
    </row>
    <row r="3" spans="2:7" x14ac:dyDescent="0.25">
      <c r="B3" s="14" t="s">
        <v>1593</v>
      </c>
      <c r="C3" s="1" t="s">
        <v>23</v>
      </c>
      <c r="D3" s="1" t="s">
        <v>7</v>
      </c>
      <c r="E3" s="36">
        <v>419.8</v>
      </c>
      <c r="F3" s="1" t="s">
        <v>1594</v>
      </c>
      <c r="G3" s="16" t="s">
        <v>1622</v>
      </c>
    </row>
    <row r="4" spans="2:7" x14ac:dyDescent="0.25">
      <c r="B4" s="14" t="s">
        <v>1593</v>
      </c>
      <c r="C4" s="1" t="s">
        <v>72</v>
      </c>
      <c r="D4" s="1" t="s">
        <v>7</v>
      </c>
      <c r="E4" s="36">
        <v>27</v>
      </c>
      <c r="F4" s="1" t="s">
        <v>1595</v>
      </c>
      <c r="G4" s="16" t="s">
        <v>1621</v>
      </c>
    </row>
    <row r="5" spans="2:7" x14ac:dyDescent="0.25">
      <c r="B5" s="14" t="s">
        <v>1593</v>
      </c>
      <c r="C5" s="1" t="s">
        <v>521</v>
      </c>
      <c r="D5" s="1" t="s">
        <v>7</v>
      </c>
      <c r="E5" s="36">
        <v>5</v>
      </c>
      <c r="F5" s="1" t="s">
        <v>1596</v>
      </c>
      <c r="G5" s="16" t="s">
        <v>1636</v>
      </c>
    </row>
    <row r="6" spans="2:7" x14ac:dyDescent="0.25">
      <c r="B6" s="14" t="s">
        <v>1593</v>
      </c>
      <c r="C6" s="1" t="s">
        <v>23</v>
      </c>
      <c r="D6" s="1" t="s">
        <v>7</v>
      </c>
      <c r="E6" s="36">
        <v>62.5</v>
      </c>
      <c r="F6" s="1" t="s">
        <v>1597</v>
      </c>
      <c r="G6" s="16" t="s">
        <v>1635</v>
      </c>
    </row>
    <row r="7" spans="2:7" x14ac:dyDescent="0.25">
      <c r="B7" s="14" t="s">
        <v>1593</v>
      </c>
      <c r="C7" s="1" t="s">
        <v>161</v>
      </c>
      <c r="D7" s="1" t="s">
        <v>7</v>
      </c>
      <c r="E7" s="36">
        <v>24</v>
      </c>
      <c r="F7" s="1" t="s">
        <v>1598</v>
      </c>
      <c r="G7" s="16" t="s">
        <v>1620</v>
      </c>
    </row>
    <row r="8" spans="2:7" x14ac:dyDescent="0.25">
      <c r="B8" s="14" t="s">
        <v>1593</v>
      </c>
      <c r="C8" s="1" t="s">
        <v>240</v>
      </c>
      <c r="D8" s="1" t="s">
        <v>7</v>
      </c>
      <c r="E8" s="36">
        <v>6</v>
      </c>
      <c r="F8" s="1" t="s">
        <v>1599</v>
      </c>
      <c r="G8" s="16" t="s">
        <v>1619</v>
      </c>
    </row>
    <row r="9" spans="2:7" x14ac:dyDescent="0.25">
      <c r="B9" s="14" t="s">
        <v>1593</v>
      </c>
      <c r="C9" s="1" t="s">
        <v>27</v>
      </c>
      <c r="D9" s="1" t="s">
        <v>7</v>
      </c>
      <c r="E9" s="36">
        <v>380</v>
      </c>
      <c r="F9" s="1" t="s">
        <v>1600</v>
      </c>
      <c r="G9" s="16" t="s">
        <v>1640</v>
      </c>
    </row>
    <row r="10" spans="2:7" x14ac:dyDescent="0.25">
      <c r="B10" s="14" t="s">
        <v>1593</v>
      </c>
      <c r="C10" s="1" t="s">
        <v>519</v>
      </c>
      <c r="D10" s="1" t="s">
        <v>7</v>
      </c>
      <c r="E10" s="36">
        <v>23.5</v>
      </c>
      <c r="F10" s="1" t="s">
        <v>1601</v>
      </c>
      <c r="G10" s="16" t="s">
        <v>1618</v>
      </c>
    </row>
    <row r="11" spans="2:7" x14ac:dyDescent="0.25">
      <c r="B11" s="14" t="s">
        <v>1593</v>
      </c>
      <c r="C11" s="1" t="s">
        <v>1602</v>
      </c>
      <c r="D11" s="1" t="s">
        <v>7</v>
      </c>
      <c r="E11" s="36">
        <v>28</v>
      </c>
      <c r="F11" s="1" t="s">
        <v>1603</v>
      </c>
      <c r="G11" s="16" t="s">
        <v>1637</v>
      </c>
    </row>
    <row r="12" spans="2:7" x14ac:dyDescent="0.25">
      <c r="B12" s="14" t="s">
        <v>1593</v>
      </c>
      <c r="C12" s="1" t="s">
        <v>23</v>
      </c>
      <c r="D12" s="1" t="s">
        <v>7</v>
      </c>
      <c r="E12" s="36">
        <v>110</v>
      </c>
      <c r="F12" s="1" t="s">
        <v>1604</v>
      </c>
      <c r="G12" s="16" t="s">
        <v>210</v>
      </c>
    </row>
    <row r="13" spans="2:7" x14ac:dyDescent="0.25">
      <c r="B13" s="14" t="s">
        <v>1593</v>
      </c>
      <c r="C13" s="1" t="s">
        <v>6</v>
      </c>
      <c r="D13" s="1" t="s">
        <v>7</v>
      </c>
      <c r="E13" s="36">
        <v>416</v>
      </c>
      <c r="F13" s="1" t="s">
        <v>1605</v>
      </c>
      <c r="G13" s="16" t="s">
        <v>52</v>
      </c>
    </row>
    <row r="14" spans="2:7" x14ac:dyDescent="0.25">
      <c r="B14" s="14" t="s">
        <v>1593</v>
      </c>
      <c r="C14" s="1" t="s">
        <v>1606</v>
      </c>
      <c r="D14" s="1" t="s">
        <v>7</v>
      </c>
      <c r="E14" s="36">
        <v>39.5</v>
      </c>
      <c r="F14" s="1" t="s">
        <v>1607</v>
      </c>
      <c r="G14" s="16" t="s">
        <v>1617</v>
      </c>
    </row>
    <row r="15" spans="2:7" x14ac:dyDescent="0.25">
      <c r="B15" s="14" t="s">
        <v>1593</v>
      </c>
      <c r="C15" s="1" t="s">
        <v>23</v>
      </c>
      <c r="D15" s="1" t="s">
        <v>7</v>
      </c>
      <c r="E15" s="78">
        <v>4325</v>
      </c>
      <c r="F15" s="1" t="s">
        <v>1608</v>
      </c>
      <c r="G15" s="16" t="s">
        <v>575</v>
      </c>
    </row>
    <row r="16" spans="2:7" x14ac:dyDescent="0.25">
      <c r="B16" s="14" t="s">
        <v>1593</v>
      </c>
      <c r="C16" s="1" t="s">
        <v>23</v>
      </c>
      <c r="D16" s="1" t="s">
        <v>7</v>
      </c>
      <c r="E16" s="78">
        <v>872</v>
      </c>
      <c r="F16" s="1" t="s">
        <v>1609</v>
      </c>
      <c r="G16" s="16" t="s">
        <v>575</v>
      </c>
    </row>
    <row r="17" spans="2:7" x14ac:dyDescent="0.25">
      <c r="B17" s="14" t="s">
        <v>1593</v>
      </c>
      <c r="C17" s="1" t="s">
        <v>23</v>
      </c>
      <c r="D17" s="1" t="s">
        <v>7</v>
      </c>
      <c r="E17" s="78">
        <v>3970</v>
      </c>
      <c r="F17" s="1" t="s">
        <v>1610</v>
      </c>
      <c r="G17" s="16" t="s">
        <v>575</v>
      </c>
    </row>
    <row r="18" spans="2:7" x14ac:dyDescent="0.25">
      <c r="B18" s="29" t="s">
        <v>1593</v>
      </c>
      <c r="C18" s="28" t="s">
        <v>172</v>
      </c>
      <c r="D18" s="28" t="s">
        <v>7</v>
      </c>
      <c r="E18" s="28">
        <v>-26767</v>
      </c>
      <c r="F18" s="28" t="s">
        <v>1611</v>
      </c>
      <c r="G18" s="30" t="s">
        <v>1639</v>
      </c>
    </row>
    <row r="19" spans="2:7" x14ac:dyDescent="0.25">
      <c r="B19" s="29" t="s">
        <v>1593</v>
      </c>
      <c r="C19" s="28" t="s">
        <v>172</v>
      </c>
      <c r="D19" s="28" t="s">
        <v>7</v>
      </c>
      <c r="E19" s="28">
        <v>-3000</v>
      </c>
      <c r="F19" s="28" t="s">
        <v>1612</v>
      </c>
      <c r="G19" s="30" t="s">
        <v>1639</v>
      </c>
    </row>
    <row r="20" spans="2:7" x14ac:dyDescent="0.25">
      <c r="B20" s="14" t="s">
        <v>1593</v>
      </c>
      <c r="C20" s="1" t="s">
        <v>1613</v>
      </c>
      <c r="D20" s="1" t="s">
        <v>7</v>
      </c>
      <c r="E20" s="36">
        <v>15</v>
      </c>
      <c r="F20" s="1" t="s">
        <v>1614</v>
      </c>
      <c r="G20" s="16" t="s">
        <v>1616</v>
      </c>
    </row>
    <row r="21" spans="2:7" x14ac:dyDescent="0.25">
      <c r="B21" s="14" t="s">
        <v>1593</v>
      </c>
      <c r="C21" s="1" t="s">
        <v>17</v>
      </c>
      <c r="D21" s="1" t="s">
        <v>7</v>
      </c>
      <c r="E21" s="36">
        <v>10</v>
      </c>
      <c r="F21" s="1" t="s">
        <v>1615</v>
      </c>
      <c r="G21" s="16" t="s">
        <v>1638</v>
      </c>
    </row>
    <row r="22" spans="2:7" x14ac:dyDescent="0.25">
      <c r="B22" s="14" t="s">
        <v>1593</v>
      </c>
      <c r="C22" s="1" t="s">
        <v>240</v>
      </c>
      <c r="D22" s="1" t="s">
        <v>7</v>
      </c>
      <c r="E22" s="36">
        <v>227.5</v>
      </c>
      <c r="F22" s="1" t="s">
        <v>1623</v>
      </c>
      <c r="G22" s="16" t="s">
        <v>68</v>
      </c>
    </row>
    <row r="23" spans="2:7" x14ac:dyDescent="0.25">
      <c r="B23" s="14" t="s">
        <v>1593</v>
      </c>
      <c r="C23" s="1" t="s">
        <v>23</v>
      </c>
      <c r="D23" s="1" t="s">
        <v>7</v>
      </c>
      <c r="E23" s="36">
        <v>226.2</v>
      </c>
      <c r="F23" s="1" t="s">
        <v>1624</v>
      </c>
      <c r="G23" s="16" t="s">
        <v>1635</v>
      </c>
    </row>
    <row r="24" spans="2:7" x14ac:dyDescent="0.25">
      <c r="B24" s="14" t="s">
        <v>1593</v>
      </c>
      <c r="C24" s="1" t="s">
        <v>665</v>
      </c>
      <c r="D24" s="1" t="s">
        <v>7</v>
      </c>
      <c r="E24" s="36">
        <v>75</v>
      </c>
      <c r="F24" s="1" t="s">
        <v>1625</v>
      </c>
      <c r="G24" s="16" t="s">
        <v>386</v>
      </c>
    </row>
    <row r="25" spans="2:7" x14ac:dyDescent="0.25">
      <c r="B25" s="14" t="s">
        <v>1593</v>
      </c>
      <c r="C25" s="1" t="s">
        <v>284</v>
      </c>
      <c r="D25" s="1" t="s">
        <v>7</v>
      </c>
      <c r="E25" s="36">
        <v>25</v>
      </c>
      <c r="F25" s="1" t="s">
        <v>1626</v>
      </c>
      <c r="G25" s="16" t="s">
        <v>1633</v>
      </c>
    </row>
    <row r="26" spans="2:7" x14ac:dyDescent="0.25">
      <c r="B26" s="14" t="s">
        <v>1593</v>
      </c>
      <c r="C26" s="1" t="s">
        <v>519</v>
      </c>
      <c r="D26" s="1" t="s">
        <v>7</v>
      </c>
      <c r="E26" s="36">
        <v>23.5</v>
      </c>
      <c r="F26" s="1" t="s">
        <v>1627</v>
      </c>
      <c r="G26" s="16" t="s">
        <v>1634</v>
      </c>
    </row>
    <row r="27" spans="2:7" x14ac:dyDescent="0.25">
      <c r="B27" s="14" t="s">
        <v>1593</v>
      </c>
      <c r="C27" s="1" t="s">
        <v>24</v>
      </c>
      <c r="D27" s="1" t="s">
        <v>7</v>
      </c>
      <c r="E27" s="36">
        <v>100</v>
      </c>
      <c r="F27" s="1" t="s">
        <v>1628</v>
      </c>
      <c r="G27" s="16" t="s">
        <v>52</v>
      </c>
    </row>
    <row r="28" spans="2:7" x14ac:dyDescent="0.25">
      <c r="B28" s="14" t="s">
        <v>1593</v>
      </c>
      <c r="C28" s="1" t="s">
        <v>24</v>
      </c>
      <c r="D28" s="1" t="s">
        <v>7</v>
      </c>
      <c r="E28" s="36">
        <v>500</v>
      </c>
      <c r="F28" s="1" t="s">
        <v>1629</v>
      </c>
      <c r="G28" s="16" t="s">
        <v>52</v>
      </c>
    </row>
    <row r="29" spans="2:7" x14ac:dyDescent="0.25">
      <c r="B29" s="14" t="s">
        <v>1593</v>
      </c>
      <c r="C29" s="1" t="s">
        <v>24</v>
      </c>
      <c r="D29" s="1" t="s">
        <v>7</v>
      </c>
      <c r="E29" s="36">
        <v>500</v>
      </c>
      <c r="F29" s="1" t="s">
        <v>1630</v>
      </c>
      <c r="G29" s="16" t="s">
        <v>52</v>
      </c>
    </row>
    <row r="30" spans="2:7" ht="16.5" thickBot="1" x14ac:dyDescent="0.3">
      <c r="B30" s="25" t="s">
        <v>1593</v>
      </c>
      <c r="C30" s="18" t="s">
        <v>23</v>
      </c>
      <c r="D30" s="18" t="s">
        <v>7</v>
      </c>
      <c r="E30" s="77">
        <v>240</v>
      </c>
      <c r="F30" s="18" t="s">
        <v>1631</v>
      </c>
      <c r="G30" s="27" t="s">
        <v>1632</v>
      </c>
    </row>
    <row r="32" spans="2:7" x14ac:dyDescent="0.25">
      <c r="B32" s="57">
        <v>46112</v>
      </c>
      <c r="C32" s="3" t="s">
        <v>78</v>
      </c>
      <c r="E32" s="3">
        <v>2700</v>
      </c>
      <c r="G32" s="3" t="s">
        <v>1548</v>
      </c>
    </row>
    <row r="33" spans="2:7" x14ac:dyDescent="0.25">
      <c r="B33" s="57">
        <v>46112</v>
      </c>
      <c r="C33" s="3" t="s">
        <v>78</v>
      </c>
      <c r="E33" s="3">
        <v>2960</v>
      </c>
      <c r="G33" s="3" t="s">
        <v>1122</v>
      </c>
    </row>
    <row r="34" spans="2:7" x14ac:dyDescent="0.25">
      <c r="B34" s="57">
        <v>46112</v>
      </c>
      <c r="C34" s="3" t="s">
        <v>78</v>
      </c>
      <c r="E34" s="3">
        <v>2520</v>
      </c>
      <c r="G34" s="3" t="s">
        <v>1664</v>
      </c>
    </row>
  </sheetData>
  <pageMargins left="0.7" right="0.7" top="0.75" bottom="0.75" header="0.3" footer="0.3"/>
  <pageSetup paperSize="256" orientation="portrait" horizontalDpi="203" verticalDpi="203"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BDF20A-899B-4188-B265-0DF1A32F1AE9}">
  <sheetPr codeName="Hoja32"/>
  <dimension ref="C1:H32"/>
  <sheetViews>
    <sheetView topLeftCell="A4" workbookViewId="0">
      <selection activeCell="F28" sqref="F28"/>
    </sheetView>
  </sheetViews>
  <sheetFormatPr baseColWidth="10" defaultRowHeight="15.75" x14ac:dyDescent="0.25"/>
  <cols>
    <col min="3" max="3" width="11" style="3"/>
    <col min="4" max="4" width="24.75" style="3" customWidth="1"/>
    <col min="5" max="6" width="11" style="3"/>
    <col min="7" max="7" width="26.375" style="3" customWidth="1"/>
    <col min="8" max="8" width="29.5" style="83" customWidth="1"/>
  </cols>
  <sheetData>
    <row r="1" spans="3:8" ht="16.5" thickBot="1" x14ac:dyDescent="0.3"/>
    <row r="2" spans="3:8" x14ac:dyDescent="0.25">
      <c r="C2" s="21" t="s">
        <v>0</v>
      </c>
      <c r="D2" s="22" t="s">
        <v>1</v>
      </c>
      <c r="E2" s="22" t="s">
        <v>2</v>
      </c>
      <c r="F2" s="22" t="s">
        <v>3</v>
      </c>
      <c r="G2" s="22" t="s">
        <v>4</v>
      </c>
      <c r="H2" s="84"/>
    </row>
    <row r="3" spans="3:8" x14ac:dyDescent="0.25">
      <c r="C3" s="14" t="s">
        <v>1641</v>
      </c>
      <c r="D3" s="1" t="s">
        <v>6</v>
      </c>
      <c r="E3" s="1" t="s">
        <v>7</v>
      </c>
      <c r="F3" s="4">
        <v>66.5</v>
      </c>
      <c r="G3" s="1" t="s">
        <v>1642</v>
      </c>
      <c r="H3" s="85" t="s">
        <v>52</v>
      </c>
    </row>
    <row r="4" spans="3:8" x14ac:dyDescent="0.25">
      <c r="C4" s="14" t="s">
        <v>1641</v>
      </c>
      <c r="D4" s="1" t="s">
        <v>24</v>
      </c>
      <c r="E4" s="1" t="s">
        <v>7</v>
      </c>
      <c r="F4" s="4">
        <v>100</v>
      </c>
      <c r="G4" s="1" t="s">
        <v>1643</v>
      </c>
      <c r="H4" s="85" t="s">
        <v>52</v>
      </c>
    </row>
    <row r="5" spans="3:8" x14ac:dyDescent="0.25">
      <c r="C5" s="14" t="s">
        <v>1641</v>
      </c>
      <c r="D5" s="1" t="s">
        <v>24</v>
      </c>
      <c r="E5" s="1" t="s">
        <v>7</v>
      </c>
      <c r="F5" s="4">
        <v>500</v>
      </c>
      <c r="G5" s="1" t="s">
        <v>1644</v>
      </c>
      <c r="H5" s="85" t="s">
        <v>52</v>
      </c>
    </row>
    <row r="6" spans="3:8" x14ac:dyDescent="0.25">
      <c r="C6" s="14" t="s">
        <v>1641</v>
      </c>
      <c r="D6" s="1" t="s">
        <v>24</v>
      </c>
      <c r="E6" s="1" t="s">
        <v>7</v>
      </c>
      <c r="F6" s="4">
        <v>500</v>
      </c>
      <c r="G6" s="1" t="s">
        <v>1645</v>
      </c>
      <c r="H6" s="85" t="s">
        <v>52</v>
      </c>
    </row>
    <row r="7" spans="3:8" x14ac:dyDescent="0.25">
      <c r="C7" s="14" t="s">
        <v>1641</v>
      </c>
      <c r="D7" s="1" t="s">
        <v>519</v>
      </c>
      <c r="E7" s="1" t="s">
        <v>7</v>
      </c>
      <c r="F7" s="4">
        <v>120</v>
      </c>
      <c r="G7" s="1" t="s">
        <v>1646</v>
      </c>
      <c r="H7" s="85" t="s">
        <v>1681</v>
      </c>
    </row>
    <row r="8" spans="3:8" x14ac:dyDescent="0.25">
      <c r="C8" s="14" t="s">
        <v>1641</v>
      </c>
      <c r="D8" s="1" t="s">
        <v>240</v>
      </c>
      <c r="E8" s="1" t="s">
        <v>7</v>
      </c>
      <c r="F8" s="4">
        <v>5.5</v>
      </c>
      <c r="G8" s="1" t="s">
        <v>1647</v>
      </c>
      <c r="H8" s="85" t="s">
        <v>1679</v>
      </c>
    </row>
    <row r="9" spans="3:8" x14ac:dyDescent="0.25">
      <c r="C9" s="14" t="s">
        <v>1641</v>
      </c>
      <c r="D9" s="1" t="s">
        <v>27</v>
      </c>
      <c r="E9" s="1" t="s">
        <v>7</v>
      </c>
      <c r="F9" s="4">
        <v>113</v>
      </c>
      <c r="G9" s="1" t="s">
        <v>1648</v>
      </c>
      <c r="H9" s="85" t="s">
        <v>1680</v>
      </c>
    </row>
    <row r="10" spans="3:8" x14ac:dyDescent="0.25">
      <c r="C10" s="14" t="s">
        <v>1641</v>
      </c>
      <c r="D10" s="1" t="s">
        <v>27</v>
      </c>
      <c r="E10" s="1" t="s">
        <v>7</v>
      </c>
      <c r="F10" s="4">
        <v>500</v>
      </c>
      <c r="G10" s="1" t="s">
        <v>1649</v>
      </c>
      <c r="H10" s="85" t="s">
        <v>1680</v>
      </c>
    </row>
    <row r="11" spans="3:8" x14ac:dyDescent="0.25">
      <c r="C11" s="14" t="s">
        <v>1641</v>
      </c>
      <c r="D11" s="1" t="s">
        <v>27</v>
      </c>
      <c r="E11" s="1" t="s">
        <v>7</v>
      </c>
      <c r="F11" s="4">
        <v>500</v>
      </c>
      <c r="G11" s="1" t="s">
        <v>1650</v>
      </c>
      <c r="H11" s="85" t="s">
        <v>1680</v>
      </c>
    </row>
    <row r="12" spans="3:8" x14ac:dyDescent="0.25">
      <c r="C12" s="14" t="s">
        <v>1641</v>
      </c>
      <c r="D12" s="1" t="s">
        <v>398</v>
      </c>
      <c r="E12" s="1" t="s">
        <v>7</v>
      </c>
      <c r="F12" s="4">
        <v>97</v>
      </c>
      <c r="G12" s="1" t="s">
        <v>1651</v>
      </c>
      <c r="H12" s="85" t="s">
        <v>1678</v>
      </c>
    </row>
    <row r="13" spans="3:8" x14ac:dyDescent="0.25">
      <c r="C13" s="14" t="s">
        <v>1641</v>
      </c>
      <c r="D13" s="1" t="s">
        <v>190</v>
      </c>
      <c r="E13" s="1" t="s">
        <v>7</v>
      </c>
      <c r="F13" s="4">
        <v>182</v>
      </c>
      <c r="G13" s="1" t="s">
        <v>1652</v>
      </c>
      <c r="H13" s="85" t="s">
        <v>1686</v>
      </c>
    </row>
    <row r="14" spans="3:8" x14ac:dyDescent="0.25">
      <c r="C14" s="14" t="s">
        <v>1641</v>
      </c>
      <c r="D14" s="1" t="s">
        <v>24</v>
      </c>
      <c r="E14" s="1" t="s">
        <v>7</v>
      </c>
      <c r="F14" s="4">
        <v>184</v>
      </c>
      <c r="G14" s="1" t="s">
        <v>1653</v>
      </c>
      <c r="H14" s="85" t="s">
        <v>52</v>
      </c>
    </row>
    <row r="15" spans="3:8" x14ac:dyDescent="0.25">
      <c r="C15" s="14" t="s">
        <v>1641</v>
      </c>
      <c r="D15" s="1" t="s">
        <v>23</v>
      </c>
      <c r="E15" s="1" t="s">
        <v>7</v>
      </c>
      <c r="F15" s="78">
        <v>4609.1000000000004</v>
      </c>
      <c r="G15" s="1" t="s">
        <v>1654</v>
      </c>
      <c r="H15" s="85" t="s">
        <v>64</v>
      </c>
    </row>
    <row r="16" spans="3:8" x14ac:dyDescent="0.25">
      <c r="C16" s="14" t="s">
        <v>1641</v>
      </c>
      <c r="D16" s="1" t="s">
        <v>24</v>
      </c>
      <c r="E16" s="1" t="s">
        <v>7</v>
      </c>
      <c r="F16" s="4">
        <v>200</v>
      </c>
      <c r="G16" s="1" t="s">
        <v>1655</v>
      </c>
      <c r="H16" s="85" t="s">
        <v>52</v>
      </c>
    </row>
    <row r="17" spans="3:8" x14ac:dyDescent="0.25">
      <c r="C17" s="14" t="s">
        <v>1641</v>
      </c>
      <c r="D17" s="1" t="s">
        <v>6</v>
      </c>
      <c r="E17" s="1" t="s">
        <v>7</v>
      </c>
      <c r="F17" s="4">
        <v>240</v>
      </c>
      <c r="G17" s="1" t="s">
        <v>1656</v>
      </c>
      <c r="H17" s="85" t="s">
        <v>52</v>
      </c>
    </row>
    <row r="18" spans="3:8" x14ac:dyDescent="0.25">
      <c r="C18" s="14" t="s">
        <v>1641</v>
      </c>
      <c r="D18" s="1" t="s">
        <v>6</v>
      </c>
      <c r="E18" s="1" t="s">
        <v>7</v>
      </c>
      <c r="F18" s="4">
        <v>500</v>
      </c>
      <c r="G18" s="1" t="s">
        <v>1657</v>
      </c>
      <c r="H18" s="85" t="s">
        <v>52</v>
      </c>
    </row>
    <row r="19" spans="3:8" x14ac:dyDescent="0.25">
      <c r="C19" s="14" t="s">
        <v>1641</v>
      </c>
      <c r="D19" s="1" t="s">
        <v>1658</v>
      </c>
      <c r="E19" s="1" t="s">
        <v>7</v>
      </c>
      <c r="F19" s="4">
        <v>14</v>
      </c>
      <c r="G19" s="1" t="s">
        <v>1659</v>
      </c>
      <c r="H19" s="85" t="s">
        <v>1677</v>
      </c>
    </row>
    <row r="20" spans="3:8" x14ac:dyDescent="0.25">
      <c r="C20" s="14" t="s">
        <v>1641</v>
      </c>
      <c r="D20" s="1" t="s">
        <v>269</v>
      </c>
      <c r="E20" s="1" t="s">
        <v>7</v>
      </c>
      <c r="F20" s="4">
        <v>180</v>
      </c>
      <c r="G20" s="1" t="s">
        <v>1660</v>
      </c>
      <c r="H20" s="85" t="s">
        <v>1676</v>
      </c>
    </row>
    <row r="21" spans="3:8" x14ac:dyDescent="0.25">
      <c r="C21" s="14" t="s">
        <v>1641</v>
      </c>
      <c r="D21" s="1" t="s">
        <v>1661</v>
      </c>
      <c r="E21" s="1" t="s">
        <v>7</v>
      </c>
      <c r="F21" s="4">
        <v>3</v>
      </c>
      <c r="G21" s="1" t="s">
        <v>1662</v>
      </c>
      <c r="H21" s="85" t="s">
        <v>1675</v>
      </c>
    </row>
    <row r="22" spans="3:8" x14ac:dyDescent="0.25">
      <c r="C22" s="14" t="s">
        <v>1641</v>
      </c>
      <c r="D22" s="1" t="s">
        <v>1661</v>
      </c>
      <c r="E22" s="1" t="s">
        <v>7</v>
      </c>
      <c r="F22" s="4">
        <v>8</v>
      </c>
      <c r="G22" s="1" t="s">
        <v>1663</v>
      </c>
      <c r="H22" s="85" t="s">
        <v>1674</v>
      </c>
    </row>
    <row r="23" spans="3:8" x14ac:dyDescent="0.25">
      <c r="C23" s="14" t="s">
        <v>1641</v>
      </c>
      <c r="D23" s="1" t="s">
        <v>23</v>
      </c>
      <c r="E23" s="1" t="s">
        <v>7</v>
      </c>
      <c r="F23" s="4">
        <v>1521</v>
      </c>
      <c r="G23" s="1">
        <v>765452</v>
      </c>
      <c r="H23" s="85" t="s">
        <v>142</v>
      </c>
    </row>
    <row r="24" spans="3:8" x14ac:dyDescent="0.25">
      <c r="C24" s="14" t="s">
        <v>1641</v>
      </c>
      <c r="D24" s="1" t="s">
        <v>24</v>
      </c>
      <c r="E24" s="1" t="s">
        <v>7</v>
      </c>
      <c r="F24" s="4">
        <v>460</v>
      </c>
      <c r="G24" s="1">
        <v>1979883</v>
      </c>
      <c r="H24" s="85" t="s">
        <v>52</v>
      </c>
    </row>
    <row r="25" spans="3:8" x14ac:dyDescent="0.25">
      <c r="C25" s="29" t="s">
        <v>1641</v>
      </c>
      <c r="D25" s="28" t="s">
        <v>1665</v>
      </c>
      <c r="E25" s="28" t="s">
        <v>7</v>
      </c>
      <c r="F25" s="28">
        <v>-16.399999999999999</v>
      </c>
      <c r="G25" s="28" t="s">
        <v>1666</v>
      </c>
      <c r="H25" s="86" t="s">
        <v>1685</v>
      </c>
    </row>
    <row r="26" spans="3:8" x14ac:dyDescent="0.25">
      <c r="C26" s="14" t="s">
        <v>1641</v>
      </c>
      <c r="D26" s="1" t="s">
        <v>240</v>
      </c>
      <c r="E26" s="1" t="s">
        <v>7</v>
      </c>
      <c r="F26" s="4">
        <v>25</v>
      </c>
      <c r="G26" s="1" t="s">
        <v>1667</v>
      </c>
      <c r="H26" s="85" t="s">
        <v>68</v>
      </c>
    </row>
    <row r="27" spans="3:8" x14ac:dyDescent="0.25">
      <c r="C27" s="14" t="s">
        <v>1641</v>
      </c>
      <c r="D27" s="1" t="s">
        <v>325</v>
      </c>
      <c r="E27" s="1" t="s">
        <v>7</v>
      </c>
      <c r="F27" s="4">
        <v>8.5</v>
      </c>
      <c r="G27" s="1" t="s">
        <v>1668</v>
      </c>
      <c r="H27" s="85" t="s">
        <v>1684</v>
      </c>
    </row>
    <row r="28" spans="3:8" x14ac:dyDescent="0.25">
      <c r="C28" s="14" t="s">
        <v>1641</v>
      </c>
      <c r="D28" s="1" t="s">
        <v>356</v>
      </c>
      <c r="E28" s="1" t="s">
        <v>7</v>
      </c>
      <c r="F28" s="78">
        <v>2050</v>
      </c>
      <c r="G28" s="1" t="s">
        <v>1669</v>
      </c>
      <c r="H28" s="85" t="s">
        <v>1335</v>
      </c>
    </row>
    <row r="29" spans="3:8" x14ac:dyDescent="0.25">
      <c r="C29" s="14" t="s">
        <v>1641</v>
      </c>
      <c r="D29" s="1" t="s">
        <v>325</v>
      </c>
      <c r="E29" s="1" t="s">
        <v>7</v>
      </c>
      <c r="F29" s="4">
        <v>95</v>
      </c>
      <c r="G29" s="1" t="s">
        <v>1670</v>
      </c>
      <c r="H29" s="85" t="s">
        <v>1683</v>
      </c>
    </row>
    <row r="30" spans="3:8" x14ac:dyDescent="0.25">
      <c r="C30" s="14" t="s">
        <v>1641</v>
      </c>
      <c r="D30" s="1" t="s">
        <v>23</v>
      </c>
      <c r="E30" s="1" t="s">
        <v>7</v>
      </c>
      <c r="F30" s="4">
        <v>768</v>
      </c>
      <c r="G30" s="1" t="s">
        <v>1671</v>
      </c>
      <c r="H30" s="85" t="s">
        <v>1682</v>
      </c>
    </row>
    <row r="31" spans="3:8" x14ac:dyDescent="0.25">
      <c r="C31" s="14" t="s">
        <v>1641</v>
      </c>
      <c r="D31" s="1" t="s">
        <v>23</v>
      </c>
      <c r="E31" s="1" t="s">
        <v>7</v>
      </c>
      <c r="F31" s="4">
        <v>1623.5</v>
      </c>
      <c r="G31" s="1" t="s">
        <v>1672</v>
      </c>
      <c r="H31" s="85" t="s">
        <v>660</v>
      </c>
    </row>
    <row r="32" spans="3:8" ht="16.5" thickBot="1" x14ac:dyDescent="0.3">
      <c r="C32" s="25" t="s">
        <v>1641</v>
      </c>
      <c r="D32" s="18" t="s">
        <v>17</v>
      </c>
      <c r="E32" s="18" t="s">
        <v>7</v>
      </c>
      <c r="F32" s="88">
        <v>27</v>
      </c>
      <c r="G32" s="18" t="s">
        <v>1673</v>
      </c>
      <c r="H32" s="87" t="s">
        <v>832</v>
      </c>
    </row>
  </sheetData>
  <pageMargins left="0.7" right="0.7" top="0.75" bottom="0.75" header="0.3" footer="0.3"/>
  <pageSetup paperSize="256" orientation="portrait" horizontalDpi="203" verticalDpi="203"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B3E35E-0EB1-4812-8898-FA7713FDC090}">
  <sheetPr codeName="Hoja33"/>
  <dimension ref="B1:G33"/>
  <sheetViews>
    <sheetView topLeftCell="A7" workbookViewId="0">
      <selection activeCell="G36" sqref="G36"/>
    </sheetView>
  </sheetViews>
  <sheetFormatPr baseColWidth="10" defaultRowHeight="15.75" x14ac:dyDescent="0.25"/>
  <cols>
    <col min="2" max="2" width="11" style="3"/>
    <col min="3" max="3" width="27.625" style="3" customWidth="1"/>
    <col min="4" max="5" width="11" style="3"/>
    <col min="6" max="6" width="21.375" style="3" customWidth="1"/>
    <col min="7" max="7" width="37.875" style="83" customWidth="1"/>
  </cols>
  <sheetData>
    <row r="1" spans="2:7" ht="16.5" thickBot="1" x14ac:dyDescent="0.3"/>
    <row r="2" spans="2:7" x14ac:dyDescent="0.25">
      <c r="B2" s="21" t="s">
        <v>0</v>
      </c>
      <c r="C2" s="22" t="s">
        <v>1</v>
      </c>
      <c r="D2" s="22" t="s">
        <v>2</v>
      </c>
      <c r="E2" s="22" t="s">
        <v>3</v>
      </c>
      <c r="F2" s="22" t="s">
        <v>4</v>
      </c>
      <c r="G2" s="89"/>
    </row>
    <row r="3" spans="2:7" x14ac:dyDescent="0.25">
      <c r="B3" s="14" t="s">
        <v>1687</v>
      </c>
      <c r="C3" s="1" t="s">
        <v>15</v>
      </c>
      <c r="D3" s="1" t="s">
        <v>7</v>
      </c>
      <c r="E3" s="92">
        <v>477.5</v>
      </c>
      <c r="F3" s="1" t="s">
        <v>1688</v>
      </c>
      <c r="G3" s="90" t="s">
        <v>1584</v>
      </c>
    </row>
    <row r="4" spans="2:7" x14ac:dyDescent="0.25">
      <c r="B4" s="14" t="s">
        <v>1687</v>
      </c>
      <c r="C4" s="1" t="s">
        <v>509</v>
      </c>
      <c r="D4" s="1" t="s">
        <v>7</v>
      </c>
      <c r="E4" s="78">
        <v>780</v>
      </c>
      <c r="F4" s="1" t="s">
        <v>1689</v>
      </c>
      <c r="G4" s="90" t="s">
        <v>1737</v>
      </c>
    </row>
    <row r="5" spans="2:7" x14ac:dyDescent="0.25">
      <c r="B5" s="14" t="s">
        <v>1687</v>
      </c>
      <c r="C5" s="1" t="s">
        <v>103</v>
      </c>
      <c r="D5" s="1" t="s">
        <v>7</v>
      </c>
      <c r="E5" s="92">
        <v>28.5</v>
      </c>
      <c r="F5" s="1" t="s">
        <v>1690</v>
      </c>
      <c r="G5" s="90" t="s">
        <v>1709</v>
      </c>
    </row>
    <row r="6" spans="2:7" x14ac:dyDescent="0.25">
      <c r="B6" s="14" t="s">
        <v>1687</v>
      </c>
      <c r="C6" s="1" t="s">
        <v>17</v>
      </c>
      <c r="D6" s="1" t="s">
        <v>7</v>
      </c>
      <c r="E6" s="92">
        <v>14.5</v>
      </c>
      <c r="F6" s="1" t="s">
        <v>1691</v>
      </c>
      <c r="G6" s="90" t="s">
        <v>1707</v>
      </c>
    </row>
    <row r="7" spans="2:7" x14ac:dyDescent="0.25">
      <c r="B7" s="14" t="s">
        <v>1687</v>
      </c>
      <c r="C7" s="1" t="s">
        <v>742</v>
      </c>
      <c r="D7" s="1" t="s">
        <v>7</v>
      </c>
      <c r="E7" s="78">
        <v>100</v>
      </c>
      <c r="F7" s="1" t="s">
        <v>1692</v>
      </c>
      <c r="G7" s="90" t="s">
        <v>64</v>
      </c>
    </row>
    <row r="8" spans="2:7" x14ac:dyDescent="0.25">
      <c r="B8" s="14" t="s">
        <v>1687</v>
      </c>
      <c r="C8" s="1" t="s">
        <v>190</v>
      </c>
      <c r="D8" s="1" t="s">
        <v>7</v>
      </c>
      <c r="E8" s="92">
        <v>9</v>
      </c>
      <c r="F8" s="1" t="s">
        <v>1693</v>
      </c>
      <c r="G8" s="90" t="s">
        <v>1686</v>
      </c>
    </row>
    <row r="9" spans="2:7" x14ac:dyDescent="0.25">
      <c r="B9" s="14" t="s">
        <v>1687</v>
      </c>
      <c r="C9" s="1" t="s">
        <v>33</v>
      </c>
      <c r="D9" s="1" t="s">
        <v>7</v>
      </c>
      <c r="E9" s="92">
        <v>18</v>
      </c>
      <c r="F9" s="1" t="s">
        <v>1694</v>
      </c>
      <c r="G9" s="90" t="s">
        <v>1708</v>
      </c>
    </row>
    <row r="10" spans="2:7" x14ac:dyDescent="0.25">
      <c r="B10" s="14" t="s">
        <v>1687</v>
      </c>
      <c r="C10" s="1" t="s">
        <v>103</v>
      </c>
      <c r="D10" s="1" t="s">
        <v>7</v>
      </c>
      <c r="E10" s="92">
        <v>47.5</v>
      </c>
      <c r="F10" s="1" t="s">
        <v>1695</v>
      </c>
      <c r="G10" s="90" t="s">
        <v>1706</v>
      </c>
    </row>
    <row r="11" spans="2:7" x14ac:dyDescent="0.25">
      <c r="B11" s="14" t="s">
        <v>1687</v>
      </c>
      <c r="C11" s="1" t="s">
        <v>370</v>
      </c>
      <c r="D11" s="1" t="s">
        <v>7</v>
      </c>
      <c r="E11" s="92">
        <v>206.6</v>
      </c>
      <c r="F11" s="1" t="s">
        <v>1696</v>
      </c>
      <c r="G11" s="90" t="s">
        <v>171</v>
      </c>
    </row>
    <row r="12" spans="2:7" x14ac:dyDescent="0.25">
      <c r="B12" s="14" t="s">
        <v>1687</v>
      </c>
      <c r="C12" s="1" t="s">
        <v>6</v>
      </c>
      <c r="D12" s="1" t="s">
        <v>7</v>
      </c>
      <c r="E12" s="92">
        <v>457.76</v>
      </c>
      <c r="F12" s="1" t="s">
        <v>1697</v>
      </c>
      <c r="G12" s="90" t="s">
        <v>52</v>
      </c>
    </row>
    <row r="13" spans="2:7" x14ac:dyDescent="0.25">
      <c r="B13" s="14" t="s">
        <v>1687</v>
      </c>
      <c r="C13" s="1" t="s">
        <v>6</v>
      </c>
      <c r="D13" s="1" t="s">
        <v>7</v>
      </c>
      <c r="E13" s="92">
        <v>500</v>
      </c>
      <c r="F13" s="1" t="s">
        <v>1698</v>
      </c>
      <c r="G13" s="90" t="s">
        <v>52</v>
      </c>
    </row>
    <row r="14" spans="2:7" x14ac:dyDescent="0.25">
      <c r="B14" s="14" t="s">
        <v>1687</v>
      </c>
      <c r="C14" s="1" t="s">
        <v>742</v>
      </c>
      <c r="D14" s="1" t="s">
        <v>7</v>
      </c>
      <c r="E14" s="92">
        <v>491.6</v>
      </c>
      <c r="F14" s="1" t="s">
        <v>1699</v>
      </c>
      <c r="G14" s="90" t="s">
        <v>1705</v>
      </c>
    </row>
    <row r="15" spans="2:7" x14ac:dyDescent="0.25">
      <c r="B15" s="14" t="s">
        <v>1687</v>
      </c>
      <c r="C15" s="1" t="s">
        <v>655</v>
      </c>
      <c r="D15" s="1" t="s">
        <v>7</v>
      </c>
      <c r="E15" s="92">
        <v>14</v>
      </c>
      <c r="F15" s="1" t="s">
        <v>1700</v>
      </c>
      <c r="G15" s="90" t="s">
        <v>1703</v>
      </c>
    </row>
    <row r="16" spans="2:7" x14ac:dyDescent="0.25">
      <c r="B16" s="14" t="s">
        <v>1687</v>
      </c>
      <c r="C16" s="1" t="s">
        <v>655</v>
      </c>
      <c r="D16" s="1" t="s">
        <v>7</v>
      </c>
      <c r="E16" s="92">
        <v>109.4</v>
      </c>
      <c r="F16" s="1" t="s">
        <v>1701</v>
      </c>
      <c r="G16" s="90" t="s">
        <v>1703</v>
      </c>
    </row>
    <row r="17" spans="2:7" x14ac:dyDescent="0.25">
      <c r="B17" s="14" t="s">
        <v>1687</v>
      </c>
      <c r="C17" s="1" t="s">
        <v>360</v>
      </c>
      <c r="D17" s="1" t="s">
        <v>7</v>
      </c>
      <c r="E17" s="92">
        <v>36</v>
      </c>
      <c r="F17" s="1" t="s">
        <v>1702</v>
      </c>
      <c r="G17" s="90" t="s">
        <v>1704</v>
      </c>
    </row>
    <row r="18" spans="2:7" x14ac:dyDescent="0.25">
      <c r="B18" s="14" t="s">
        <v>1687</v>
      </c>
      <c r="C18" s="1" t="s">
        <v>360</v>
      </c>
      <c r="D18" s="1" t="s">
        <v>7</v>
      </c>
      <c r="E18" s="92">
        <v>226.8</v>
      </c>
      <c r="F18" s="1" t="s">
        <v>1710</v>
      </c>
      <c r="G18" s="90" t="s">
        <v>1727</v>
      </c>
    </row>
    <row r="19" spans="2:7" x14ac:dyDescent="0.25">
      <c r="B19" s="14" t="s">
        <v>1687</v>
      </c>
      <c r="C19" s="1" t="s">
        <v>240</v>
      </c>
      <c r="D19" s="1" t="s">
        <v>7</v>
      </c>
      <c r="E19" s="92">
        <v>5</v>
      </c>
      <c r="F19" s="1" t="s">
        <v>1711</v>
      </c>
      <c r="G19" s="90" t="s">
        <v>1731</v>
      </c>
    </row>
    <row r="20" spans="2:7" x14ac:dyDescent="0.25">
      <c r="B20" s="14" t="s">
        <v>1687</v>
      </c>
      <c r="C20" s="1" t="s">
        <v>23</v>
      </c>
      <c r="D20" s="1" t="s">
        <v>7</v>
      </c>
      <c r="E20" s="92">
        <v>500</v>
      </c>
      <c r="F20" s="1" t="s">
        <v>1712</v>
      </c>
      <c r="G20" s="90" t="s">
        <v>1635</v>
      </c>
    </row>
    <row r="21" spans="2:7" x14ac:dyDescent="0.25">
      <c r="B21" s="14" t="s">
        <v>1687</v>
      </c>
      <c r="C21" s="1" t="s">
        <v>299</v>
      </c>
      <c r="D21" s="1" t="s">
        <v>7</v>
      </c>
      <c r="E21" s="92">
        <v>183.3</v>
      </c>
      <c r="F21" s="1" t="s">
        <v>1713</v>
      </c>
      <c r="G21" s="90" t="s">
        <v>1728</v>
      </c>
    </row>
    <row r="22" spans="2:7" x14ac:dyDescent="0.25">
      <c r="B22" s="14" t="s">
        <v>1687</v>
      </c>
      <c r="C22" s="1" t="s">
        <v>13</v>
      </c>
      <c r="D22" s="1" t="s">
        <v>7</v>
      </c>
      <c r="E22" s="92">
        <v>33.700000000000003</v>
      </c>
      <c r="F22" s="1" t="s">
        <v>1714</v>
      </c>
      <c r="G22" s="90" t="s">
        <v>1725</v>
      </c>
    </row>
    <row r="23" spans="2:7" x14ac:dyDescent="0.25">
      <c r="B23" s="14" t="s">
        <v>1687</v>
      </c>
      <c r="C23" s="1" t="s">
        <v>23</v>
      </c>
      <c r="D23" s="1" t="s">
        <v>7</v>
      </c>
      <c r="E23" s="92">
        <v>1820</v>
      </c>
      <c r="F23" s="1" t="s">
        <v>1715</v>
      </c>
      <c r="G23" s="90" t="s">
        <v>1730</v>
      </c>
    </row>
    <row r="24" spans="2:7" x14ac:dyDescent="0.25">
      <c r="B24" s="14" t="s">
        <v>1687</v>
      </c>
      <c r="C24" s="1" t="s">
        <v>521</v>
      </c>
      <c r="D24" s="1" t="s">
        <v>7</v>
      </c>
      <c r="E24" s="92">
        <v>42</v>
      </c>
      <c r="F24" s="1" t="s">
        <v>1716</v>
      </c>
      <c r="G24" s="90" t="s">
        <v>1732</v>
      </c>
    </row>
    <row r="25" spans="2:7" x14ac:dyDescent="0.25">
      <c r="B25" s="14" t="s">
        <v>1687</v>
      </c>
      <c r="C25" s="1" t="s">
        <v>19</v>
      </c>
      <c r="D25" s="1" t="s">
        <v>7</v>
      </c>
      <c r="E25" s="92">
        <v>12</v>
      </c>
      <c r="F25" s="1" t="s">
        <v>1717</v>
      </c>
      <c r="G25" s="90" t="s">
        <v>1726</v>
      </c>
    </row>
    <row r="26" spans="2:7" x14ac:dyDescent="0.25">
      <c r="B26" s="14" t="s">
        <v>1687</v>
      </c>
      <c r="C26" s="1" t="s">
        <v>289</v>
      </c>
      <c r="D26" s="1" t="s">
        <v>7</v>
      </c>
      <c r="E26" s="92">
        <v>67</v>
      </c>
      <c r="F26" s="1" t="s">
        <v>1718</v>
      </c>
      <c r="G26" s="90" t="s">
        <v>1733</v>
      </c>
    </row>
    <row r="27" spans="2:7" x14ac:dyDescent="0.25">
      <c r="B27" s="14" t="s">
        <v>1687</v>
      </c>
      <c r="C27" s="1" t="s">
        <v>23</v>
      </c>
      <c r="D27" s="1" t="s">
        <v>7</v>
      </c>
      <c r="E27" s="92">
        <v>155</v>
      </c>
      <c r="F27" s="1" t="s">
        <v>1719</v>
      </c>
      <c r="G27" s="90" t="s">
        <v>1729</v>
      </c>
    </row>
    <row r="28" spans="2:7" x14ac:dyDescent="0.25">
      <c r="B28" s="14" t="s">
        <v>1687</v>
      </c>
      <c r="C28" s="1" t="s">
        <v>262</v>
      </c>
      <c r="D28" s="1" t="s">
        <v>7</v>
      </c>
      <c r="E28" s="92">
        <v>15</v>
      </c>
      <c r="F28" s="1" t="s">
        <v>1720</v>
      </c>
      <c r="G28" s="90" t="s">
        <v>1738</v>
      </c>
    </row>
    <row r="29" spans="2:7" x14ac:dyDescent="0.25">
      <c r="B29" s="14" t="s">
        <v>1687</v>
      </c>
      <c r="C29" s="1" t="s">
        <v>72</v>
      </c>
      <c r="D29" s="1" t="s">
        <v>7</v>
      </c>
      <c r="E29" s="92">
        <v>305</v>
      </c>
      <c r="F29" s="1" t="s">
        <v>1721</v>
      </c>
      <c r="G29" s="90" t="s">
        <v>81</v>
      </c>
    </row>
    <row r="30" spans="2:7" x14ac:dyDescent="0.25">
      <c r="B30" s="14" t="s">
        <v>1687</v>
      </c>
      <c r="C30" s="1" t="s">
        <v>103</v>
      </c>
      <c r="D30" s="1" t="s">
        <v>7</v>
      </c>
      <c r="E30" s="92">
        <v>9</v>
      </c>
      <c r="F30" s="1" t="s">
        <v>1722</v>
      </c>
      <c r="G30" s="90" t="s">
        <v>1739</v>
      </c>
    </row>
    <row r="31" spans="2:7" x14ac:dyDescent="0.25">
      <c r="B31" s="14" t="s">
        <v>1687</v>
      </c>
      <c r="C31" s="1" t="s">
        <v>240</v>
      </c>
      <c r="D31" s="1" t="s">
        <v>7</v>
      </c>
      <c r="E31" s="92">
        <v>8</v>
      </c>
      <c r="F31" s="1" t="s">
        <v>1723</v>
      </c>
      <c r="G31" s="90" t="s">
        <v>1735</v>
      </c>
    </row>
    <row r="32" spans="2:7" x14ac:dyDescent="0.25">
      <c r="B32" s="14" t="s">
        <v>1687</v>
      </c>
      <c r="C32" s="1" t="s">
        <v>1113</v>
      </c>
      <c r="D32" s="1" t="s">
        <v>7</v>
      </c>
      <c r="E32" s="92">
        <v>92</v>
      </c>
      <c r="F32" s="1" t="s">
        <v>1724</v>
      </c>
      <c r="G32" s="90" t="s">
        <v>1734</v>
      </c>
    </row>
    <row r="33" spans="2:7" ht="16.5" thickBot="1" x14ac:dyDescent="0.3">
      <c r="B33" s="25" t="s">
        <v>1687</v>
      </c>
      <c r="C33" s="3" t="s">
        <v>1763</v>
      </c>
      <c r="D33" s="3" t="s">
        <v>7</v>
      </c>
      <c r="E33" s="93">
        <v>209</v>
      </c>
      <c r="F33" s="3" t="s">
        <v>1764</v>
      </c>
      <c r="G33" s="91" t="s">
        <v>1736</v>
      </c>
    </row>
  </sheetData>
  <pageMargins left="0.7" right="0.7" top="0.75" bottom="0.75" header="0.3" footer="0.3"/>
  <pageSetup paperSize="256" orientation="portrait" horizontalDpi="203" verticalDpi="203"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21DC4C-FD55-45F1-BB7A-3F43DCEA6F5D}">
  <sheetPr codeName="Hoja34"/>
  <dimension ref="B2:H13"/>
  <sheetViews>
    <sheetView workbookViewId="0">
      <selection activeCell="G21" sqref="F21:G21"/>
    </sheetView>
  </sheetViews>
  <sheetFormatPr baseColWidth="10" defaultRowHeight="15.75" x14ac:dyDescent="0.25"/>
  <cols>
    <col min="2" max="2" width="11" style="3"/>
    <col min="3" max="3" width="25.25" style="3" customWidth="1"/>
    <col min="4" max="5" width="11" style="3"/>
    <col min="6" max="6" width="23.125" style="3" customWidth="1"/>
    <col min="7" max="7" width="30.875" style="83" bestFit="1" customWidth="1"/>
    <col min="8" max="8" width="11" style="3"/>
  </cols>
  <sheetData>
    <row r="2" spans="2:7" x14ac:dyDescent="0.25">
      <c r="B2" s="7" t="s">
        <v>0</v>
      </c>
      <c r="C2" s="7" t="s">
        <v>1</v>
      </c>
      <c r="D2" s="7" t="s">
        <v>2</v>
      </c>
      <c r="E2" s="7" t="s">
        <v>3</v>
      </c>
      <c r="F2" s="7" t="s">
        <v>4</v>
      </c>
      <c r="G2" s="94"/>
    </row>
    <row r="3" spans="2:7" x14ac:dyDescent="0.25">
      <c r="B3" s="1" t="s">
        <v>1747</v>
      </c>
      <c r="C3" s="1" t="s">
        <v>23</v>
      </c>
      <c r="D3" s="1" t="s">
        <v>7</v>
      </c>
      <c r="E3" s="1">
        <v>1670</v>
      </c>
      <c r="F3" s="1" t="s">
        <v>1748</v>
      </c>
      <c r="G3" s="94" t="s">
        <v>1769</v>
      </c>
    </row>
    <row r="4" spans="2:7" x14ac:dyDescent="0.25">
      <c r="B4" s="1" t="s">
        <v>1747</v>
      </c>
      <c r="C4" s="1" t="s">
        <v>295</v>
      </c>
      <c r="D4" s="1" t="s">
        <v>7</v>
      </c>
      <c r="E4" s="1">
        <v>32</v>
      </c>
      <c r="F4" s="1" t="s">
        <v>1749</v>
      </c>
      <c r="G4" s="94" t="s">
        <v>1775</v>
      </c>
    </row>
    <row r="5" spans="2:7" x14ac:dyDescent="0.25">
      <c r="B5" s="1" t="s">
        <v>1747</v>
      </c>
      <c r="C5" s="1" t="s">
        <v>1750</v>
      </c>
      <c r="D5" s="1" t="s">
        <v>7</v>
      </c>
      <c r="E5" s="1">
        <v>30</v>
      </c>
      <c r="F5" s="1" t="s">
        <v>1751</v>
      </c>
      <c r="G5" s="94" t="s">
        <v>1774</v>
      </c>
    </row>
    <row r="6" spans="2:7" x14ac:dyDescent="0.25">
      <c r="B6" s="1" t="s">
        <v>1747</v>
      </c>
      <c r="C6" s="1" t="s">
        <v>19</v>
      </c>
      <c r="D6" s="1" t="s">
        <v>7</v>
      </c>
      <c r="E6" s="1">
        <v>41.5</v>
      </c>
      <c r="F6" s="1" t="s">
        <v>1752</v>
      </c>
      <c r="G6" s="94" t="s">
        <v>1773</v>
      </c>
    </row>
    <row r="7" spans="2:7" x14ac:dyDescent="0.25">
      <c r="B7" s="28" t="s">
        <v>1747</v>
      </c>
      <c r="C7" s="28" t="s">
        <v>472</v>
      </c>
      <c r="D7" s="28" t="s">
        <v>7</v>
      </c>
      <c r="E7" s="28">
        <v>-18566</v>
      </c>
      <c r="F7" s="28" t="s">
        <v>1753</v>
      </c>
      <c r="G7" s="95" t="s">
        <v>1768</v>
      </c>
    </row>
    <row r="8" spans="2:7" x14ac:dyDescent="0.25">
      <c r="B8" s="1" t="s">
        <v>1747</v>
      </c>
      <c r="C8" s="1" t="s">
        <v>1754</v>
      </c>
      <c r="D8" s="1" t="s">
        <v>7</v>
      </c>
      <c r="E8" s="1">
        <v>33.6</v>
      </c>
      <c r="F8" s="1" t="s">
        <v>1755</v>
      </c>
      <c r="G8" s="94" t="s">
        <v>1766</v>
      </c>
    </row>
    <row r="9" spans="2:7" x14ac:dyDescent="0.25">
      <c r="B9" s="1" t="s">
        <v>1747</v>
      </c>
      <c r="C9" s="1" t="s">
        <v>1045</v>
      </c>
      <c r="D9" s="1" t="s">
        <v>7</v>
      </c>
      <c r="E9" s="1">
        <v>100</v>
      </c>
      <c r="F9" s="1" t="s">
        <v>1756</v>
      </c>
      <c r="G9" s="94" t="s">
        <v>1767</v>
      </c>
    </row>
    <row r="10" spans="2:7" x14ac:dyDescent="0.25">
      <c r="B10" s="1" t="s">
        <v>1747</v>
      </c>
      <c r="C10" s="1" t="s">
        <v>39</v>
      </c>
      <c r="D10" s="1" t="s">
        <v>7</v>
      </c>
      <c r="E10" s="1">
        <v>7</v>
      </c>
      <c r="F10" s="1" t="s">
        <v>1757</v>
      </c>
      <c r="G10" s="94" t="s">
        <v>1772</v>
      </c>
    </row>
    <row r="11" spans="2:7" x14ac:dyDescent="0.25">
      <c r="B11" s="1" t="s">
        <v>1747</v>
      </c>
      <c r="C11" s="1" t="s">
        <v>1758</v>
      </c>
      <c r="D11" s="1" t="s">
        <v>7</v>
      </c>
      <c r="E11" s="1">
        <v>26</v>
      </c>
      <c r="F11" s="1" t="s">
        <v>1759</v>
      </c>
      <c r="G11" s="94" t="s">
        <v>1771</v>
      </c>
    </row>
    <row r="12" spans="2:7" x14ac:dyDescent="0.25">
      <c r="B12" s="1" t="s">
        <v>1747</v>
      </c>
      <c r="C12" s="1" t="s">
        <v>1754</v>
      </c>
      <c r="D12" s="1" t="s">
        <v>7</v>
      </c>
      <c r="E12" s="1">
        <v>15</v>
      </c>
      <c r="F12" s="1" t="s">
        <v>1760</v>
      </c>
      <c r="G12" s="94" t="s">
        <v>1770</v>
      </c>
    </row>
    <row r="13" spans="2:7" x14ac:dyDescent="0.25">
      <c r="B13" s="1" t="s">
        <v>1747</v>
      </c>
      <c r="C13" s="1" t="s">
        <v>1761</v>
      </c>
      <c r="D13" s="1" t="s">
        <v>7</v>
      </c>
      <c r="E13" s="1">
        <v>20</v>
      </c>
      <c r="F13" s="1" t="s">
        <v>1762</v>
      </c>
      <c r="G13" s="94" t="s">
        <v>1765</v>
      </c>
    </row>
  </sheetData>
  <pageMargins left="0.7" right="0.7" top="0.75" bottom="0.75" header="0.3" footer="0.3"/>
  <pageSetup paperSize="256" orientation="portrait" horizontalDpi="203" verticalDpi="203"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13BFFF-08E4-47BD-8E05-4A76F752E7BD}">
  <sheetPr codeName="Hoja35"/>
  <dimension ref="B1:G32"/>
  <sheetViews>
    <sheetView topLeftCell="A4" workbookViewId="0">
      <selection activeCell="F25" sqref="F25"/>
    </sheetView>
  </sheetViews>
  <sheetFormatPr baseColWidth="10" defaultRowHeight="15.75" x14ac:dyDescent="0.25"/>
  <cols>
    <col min="2" max="2" width="11" style="3"/>
    <col min="3" max="3" width="25" style="3" customWidth="1"/>
    <col min="4" max="5" width="11" style="3"/>
    <col min="6" max="6" width="22" style="3" customWidth="1"/>
    <col min="7" max="7" width="33.25" style="3" bestFit="1" customWidth="1"/>
  </cols>
  <sheetData>
    <row r="1" spans="2:7" ht="16.5" thickBot="1" x14ac:dyDescent="0.3"/>
    <row r="2" spans="2:7" x14ac:dyDescent="0.25">
      <c r="B2" s="21" t="s">
        <v>0</v>
      </c>
      <c r="C2" s="22" t="s">
        <v>1</v>
      </c>
      <c r="D2" s="22" t="s">
        <v>2</v>
      </c>
      <c r="E2" s="22" t="s">
        <v>3</v>
      </c>
      <c r="F2" s="22" t="s">
        <v>4</v>
      </c>
      <c r="G2" s="13"/>
    </row>
    <row r="3" spans="2:7" x14ac:dyDescent="0.25">
      <c r="B3" s="14" t="s">
        <v>1740</v>
      </c>
      <c r="C3" s="1" t="s">
        <v>295</v>
      </c>
      <c r="D3" s="1" t="s">
        <v>7</v>
      </c>
      <c r="E3" s="1">
        <v>459.32</v>
      </c>
      <c r="F3" s="1" t="s">
        <v>1796</v>
      </c>
      <c r="G3" s="16" t="s">
        <v>365</v>
      </c>
    </row>
    <row r="4" spans="2:7" x14ac:dyDescent="0.25">
      <c r="B4" s="14" t="s">
        <v>1740</v>
      </c>
      <c r="C4" s="1" t="s">
        <v>95</v>
      </c>
      <c r="D4" s="1" t="s">
        <v>7</v>
      </c>
      <c r="E4" s="1">
        <v>20</v>
      </c>
      <c r="F4" s="1" t="s">
        <v>1797</v>
      </c>
      <c r="G4" s="16" t="s">
        <v>1812</v>
      </c>
    </row>
    <row r="5" spans="2:7" x14ac:dyDescent="0.25">
      <c r="B5" s="14" t="s">
        <v>1740</v>
      </c>
      <c r="C5" s="1" t="s">
        <v>23</v>
      </c>
      <c r="D5" s="1" t="s">
        <v>7</v>
      </c>
      <c r="E5" s="1">
        <v>2337</v>
      </c>
      <c r="F5" s="1" t="s">
        <v>1798</v>
      </c>
      <c r="G5" s="16" t="s">
        <v>1806</v>
      </c>
    </row>
    <row r="6" spans="2:7" x14ac:dyDescent="0.25">
      <c r="B6" s="14" t="s">
        <v>1740</v>
      </c>
      <c r="C6" s="1" t="s">
        <v>164</v>
      </c>
      <c r="D6" s="1" t="s">
        <v>7</v>
      </c>
      <c r="E6" s="1">
        <v>200</v>
      </c>
      <c r="F6" s="1" t="s">
        <v>1799</v>
      </c>
      <c r="G6" s="16" t="s">
        <v>1811</v>
      </c>
    </row>
    <row r="7" spans="2:7" x14ac:dyDescent="0.25">
      <c r="B7" s="97" t="s">
        <v>1740</v>
      </c>
      <c r="C7" s="96" t="s">
        <v>23</v>
      </c>
      <c r="D7" s="96" t="s">
        <v>7</v>
      </c>
      <c r="E7" s="96">
        <v>894</v>
      </c>
      <c r="F7" s="96" t="s">
        <v>1800</v>
      </c>
      <c r="G7" s="98"/>
    </row>
    <row r="8" spans="2:7" x14ac:dyDescent="0.25">
      <c r="B8" s="14" t="s">
        <v>1740</v>
      </c>
      <c r="C8" s="1" t="s">
        <v>33</v>
      </c>
      <c r="D8" s="1" t="s">
        <v>7</v>
      </c>
      <c r="E8" s="1">
        <v>3</v>
      </c>
      <c r="F8" s="1" t="s">
        <v>1801</v>
      </c>
      <c r="G8" s="16" t="s">
        <v>1810</v>
      </c>
    </row>
    <row r="9" spans="2:7" x14ac:dyDescent="0.25">
      <c r="B9" s="14" t="s">
        <v>1740</v>
      </c>
      <c r="C9" s="1" t="s">
        <v>519</v>
      </c>
      <c r="D9" s="1" t="s">
        <v>7</v>
      </c>
      <c r="E9" s="1">
        <v>335</v>
      </c>
      <c r="F9" s="1" t="s">
        <v>1802</v>
      </c>
      <c r="G9" s="16" t="s">
        <v>1388</v>
      </c>
    </row>
    <row r="10" spans="2:7" x14ac:dyDescent="0.25">
      <c r="B10" s="14" t="s">
        <v>1740</v>
      </c>
      <c r="C10" s="1" t="s">
        <v>519</v>
      </c>
      <c r="D10" s="1" t="s">
        <v>7</v>
      </c>
      <c r="E10" s="1">
        <v>500</v>
      </c>
      <c r="F10" s="1" t="s">
        <v>1776</v>
      </c>
      <c r="G10" s="16" t="s">
        <v>1388</v>
      </c>
    </row>
    <row r="11" spans="2:7" x14ac:dyDescent="0.25">
      <c r="B11" s="14" t="s">
        <v>1740</v>
      </c>
      <c r="C11" s="1" t="s">
        <v>519</v>
      </c>
      <c r="D11" s="1" t="s">
        <v>7</v>
      </c>
      <c r="E11" s="1">
        <v>500</v>
      </c>
      <c r="F11" s="1" t="s">
        <v>1777</v>
      </c>
      <c r="G11" s="16" t="s">
        <v>1388</v>
      </c>
    </row>
    <row r="12" spans="2:7" x14ac:dyDescent="0.25">
      <c r="B12" s="14" t="s">
        <v>1740</v>
      </c>
      <c r="C12" s="1" t="s">
        <v>519</v>
      </c>
      <c r="D12" s="1" t="s">
        <v>7</v>
      </c>
      <c r="E12" s="1">
        <v>500</v>
      </c>
      <c r="F12" s="1" t="s">
        <v>1778</v>
      </c>
      <c r="G12" s="16" t="s">
        <v>1388</v>
      </c>
    </row>
    <row r="13" spans="2:7" x14ac:dyDescent="0.25">
      <c r="B13" s="14" t="s">
        <v>1740</v>
      </c>
      <c r="C13" s="1" t="s">
        <v>13</v>
      </c>
      <c r="D13" s="1" t="s">
        <v>7</v>
      </c>
      <c r="E13" s="1">
        <v>57.5</v>
      </c>
      <c r="F13" s="1" t="s">
        <v>1779</v>
      </c>
      <c r="G13" s="16" t="s">
        <v>1809</v>
      </c>
    </row>
    <row r="14" spans="2:7" x14ac:dyDescent="0.25">
      <c r="B14" s="14" t="s">
        <v>1740</v>
      </c>
      <c r="C14" s="1" t="s">
        <v>269</v>
      </c>
      <c r="D14" s="1" t="s">
        <v>7</v>
      </c>
      <c r="E14" s="1">
        <v>4</v>
      </c>
      <c r="F14" s="1" t="s">
        <v>1780</v>
      </c>
      <c r="G14" s="16" t="s">
        <v>1808</v>
      </c>
    </row>
    <row r="15" spans="2:7" x14ac:dyDescent="0.25">
      <c r="B15" s="14" t="s">
        <v>1740</v>
      </c>
      <c r="C15" s="1" t="s">
        <v>284</v>
      </c>
      <c r="D15" s="1" t="s">
        <v>7</v>
      </c>
      <c r="E15" s="1">
        <v>180</v>
      </c>
      <c r="F15" s="1" t="s">
        <v>1781</v>
      </c>
      <c r="G15" s="16" t="s">
        <v>1807</v>
      </c>
    </row>
    <row r="16" spans="2:7" x14ac:dyDescent="0.25">
      <c r="B16" s="14" t="s">
        <v>1740</v>
      </c>
      <c r="C16" s="1" t="s">
        <v>23</v>
      </c>
      <c r="D16" s="1" t="s">
        <v>7</v>
      </c>
      <c r="E16" s="1">
        <v>9036</v>
      </c>
      <c r="F16" s="1" t="s">
        <v>1782</v>
      </c>
      <c r="G16" s="16" t="s">
        <v>1388</v>
      </c>
    </row>
    <row r="17" spans="2:7" x14ac:dyDescent="0.25">
      <c r="B17" s="29" t="s">
        <v>1740</v>
      </c>
      <c r="C17" s="28" t="s">
        <v>1783</v>
      </c>
      <c r="D17" s="28" t="s">
        <v>7</v>
      </c>
      <c r="E17" s="28">
        <v>-62</v>
      </c>
      <c r="F17" s="28" t="s">
        <v>1784</v>
      </c>
      <c r="G17" s="30" t="s">
        <v>1818</v>
      </c>
    </row>
    <row r="18" spans="2:7" x14ac:dyDescent="0.25">
      <c r="B18" s="14" t="s">
        <v>1740</v>
      </c>
      <c r="C18" s="1" t="s">
        <v>23</v>
      </c>
      <c r="D18" s="1" t="s">
        <v>7</v>
      </c>
      <c r="E18" s="1">
        <v>1260</v>
      </c>
      <c r="F18" s="1" t="s">
        <v>1785</v>
      </c>
      <c r="G18" s="16" t="s">
        <v>949</v>
      </c>
    </row>
    <row r="19" spans="2:7" x14ac:dyDescent="0.25">
      <c r="B19" s="14" t="s">
        <v>1740</v>
      </c>
      <c r="C19" s="1" t="s">
        <v>6</v>
      </c>
      <c r="D19" s="1" t="s">
        <v>7</v>
      </c>
      <c r="E19" s="1">
        <v>1</v>
      </c>
      <c r="F19" s="1" t="s">
        <v>1786</v>
      </c>
      <c r="G19" s="16" t="s">
        <v>1805</v>
      </c>
    </row>
    <row r="20" spans="2:7" x14ac:dyDescent="0.25">
      <c r="B20" s="41" t="s">
        <v>1740</v>
      </c>
      <c r="C20" s="2" t="s">
        <v>23</v>
      </c>
      <c r="D20" s="2" t="s">
        <v>7</v>
      </c>
      <c r="E20" s="2">
        <v>875</v>
      </c>
      <c r="F20" s="2" t="s">
        <v>1787</v>
      </c>
      <c r="G20" s="24" t="s">
        <v>832</v>
      </c>
    </row>
    <row r="21" spans="2:7" x14ac:dyDescent="0.25">
      <c r="B21" s="41" t="s">
        <v>1740</v>
      </c>
      <c r="C21" s="2" t="s">
        <v>23</v>
      </c>
      <c r="D21" s="2" t="s">
        <v>7</v>
      </c>
      <c r="E21" s="2">
        <v>2030</v>
      </c>
      <c r="F21" s="2" t="s">
        <v>1788</v>
      </c>
      <c r="G21" s="24" t="s">
        <v>832</v>
      </c>
    </row>
    <row r="22" spans="2:7" x14ac:dyDescent="0.25">
      <c r="B22" s="14" t="s">
        <v>1740</v>
      </c>
      <c r="C22" s="1" t="s">
        <v>1789</v>
      </c>
      <c r="D22" s="1" t="s">
        <v>7</v>
      </c>
      <c r="E22" s="1">
        <v>320</v>
      </c>
      <c r="F22" s="1" t="s">
        <v>1790</v>
      </c>
      <c r="G22" s="16" t="s">
        <v>1804</v>
      </c>
    </row>
    <row r="23" spans="2:7" x14ac:dyDescent="0.25">
      <c r="B23" s="14" t="s">
        <v>1740</v>
      </c>
      <c r="C23" s="1" t="s">
        <v>23</v>
      </c>
      <c r="D23" s="1" t="s">
        <v>7</v>
      </c>
      <c r="E23" s="1">
        <v>565</v>
      </c>
      <c r="F23" s="1" t="s">
        <v>1791</v>
      </c>
      <c r="G23" s="16" t="s">
        <v>1806</v>
      </c>
    </row>
    <row r="24" spans="2:7" x14ac:dyDescent="0.25">
      <c r="B24" s="14" t="s">
        <v>1740</v>
      </c>
      <c r="C24" s="1" t="s">
        <v>382</v>
      </c>
      <c r="D24" s="1" t="s">
        <v>7</v>
      </c>
      <c r="E24" s="1">
        <v>16</v>
      </c>
      <c r="F24" s="1" t="s">
        <v>1792</v>
      </c>
      <c r="G24" s="16" t="s">
        <v>1803</v>
      </c>
    </row>
    <row r="25" spans="2:7" x14ac:dyDescent="0.25">
      <c r="B25" s="14" t="s">
        <v>1740</v>
      </c>
      <c r="C25" s="1" t="s">
        <v>1246</v>
      </c>
      <c r="D25" s="1" t="s">
        <v>7</v>
      </c>
      <c r="E25" s="1">
        <v>10</v>
      </c>
      <c r="F25" s="1" t="s">
        <v>1793</v>
      </c>
      <c r="G25" s="16" t="s">
        <v>1803</v>
      </c>
    </row>
    <row r="26" spans="2:7" x14ac:dyDescent="0.25">
      <c r="B26" s="14" t="s">
        <v>1740</v>
      </c>
      <c r="C26" s="1" t="s">
        <v>1246</v>
      </c>
      <c r="D26" s="1" t="s">
        <v>7</v>
      </c>
      <c r="E26" s="1">
        <v>71.5</v>
      </c>
      <c r="F26" s="1" t="s">
        <v>1794</v>
      </c>
      <c r="G26" s="16" t="s">
        <v>1817</v>
      </c>
    </row>
    <row r="27" spans="2:7" x14ac:dyDescent="0.25">
      <c r="B27" s="14" t="s">
        <v>1740</v>
      </c>
      <c r="C27" s="1" t="s">
        <v>161</v>
      </c>
      <c r="D27" s="1" t="s">
        <v>7</v>
      </c>
      <c r="E27" s="1">
        <v>10</v>
      </c>
      <c r="F27" s="1" t="s">
        <v>1795</v>
      </c>
      <c r="G27" s="16" t="s">
        <v>1816</v>
      </c>
    </row>
    <row r="28" spans="2:7" x14ac:dyDescent="0.25">
      <c r="B28" s="14" t="s">
        <v>1740</v>
      </c>
      <c r="C28" s="1" t="s">
        <v>382</v>
      </c>
      <c r="D28" s="1" t="s">
        <v>7</v>
      </c>
      <c r="E28" s="1">
        <v>15</v>
      </c>
      <c r="F28" s="1" t="s">
        <v>1741</v>
      </c>
      <c r="G28" s="16" t="s">
        <v>1815</v>
      </c>
    </row>
    <row r="29" spans="2:7" x14ac:dyDescent="0.25">
      <c r="B29" s="14" t="s">
        <v>1740</v>
      </c>
      <c r="C29" s="1" t="s">
        <v>75</v>
      </c>
      <c r="D29" s="1" t="s">
        <v>7</v>
      </c>
      <c r="E29" s="1">
        <v>106</v>
      </c>
      <c r="F29" s="1" t="s">
        <v>1742</v>
      </c>
      <c r="G29" s="16" t="s">
        <v>1814</v>
      </c>
    </row>
    <row r="30" spans="2:7" x14ac:dyDescent="0.25">
      <c r="B30" s="14" t="s">
        <v>1740</v>
      </c>
      <c r="C30" s="1" t="s">
        <v>1743</v>
      </c>
      <c r="D30" s="1" t="s">
        <v>7</v>
      </c>
      <c r="E30" s="1">
        <v>10</v>
      </c>
      <c r="F30" s="1" t="s">
        <v>1744</v>
      </c>
      <c r="G30" s="16" t="s">
        <v>1816</v>
      </c>
    </row>
    <row r="31" spans="2:7" x14ac:dyDescent="0.25">
      <c r="B31" s="14" t="s">
        <v>1740</v>
      </c>
      <c r="C31" s="1" t="s">
        <v>1743</v>
      </c>
      <c r="D31" s="1" t="s">
        <v>7</v>
      </c>
      <c r="E31" s="1">
        <v>29.5</v>
      </c>
      <c r="F31" s="1" t="s">
        <v>1745</v>
      </c>
      <c r="G31" s="16" t="s">
        <v>1813</v>
      </c>
    </row>
    <row r="32" spans="2:7" ht="16.5" thickBot="1" x14ac:dyDescent="0.3">
      <c r="B32" s="25" t="s">
        <v>1740</v>
      </c>
      <c r="C32" s="18" t="s">
        <v>944</v>
      </c>
      <c r="D32" s="18" t="s">
        <v>7</v>
      </c>
      <c r="E32" s="18">
        <v>203.5</v>
      </c>
      <c r="F32" s="18" t="s">
        <v>1746</v>
      </c>
      <c r="G32" s="27" t="s">
        <v>955</v>
      </c>
    </row>
  </sheetData>
  <pageMargins left="0.7" right="0.7" top="0.75" bottom="0.75" header="0.3" footer="0.3"/>
  <pageSetup paperSize="256" orientation="portrait" horizontalDpi="203" verticalDpi="203" r:id="rId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A7EFF6-31B6-4EBC-80A6-1C56BE97DA58}">
  <sheetPr codeName="Hoja36"/>
  <dimension ref="B1:K24"/>
  <sheetViews>
    <sheetView workbookViewId="0">
      <selection activeCell="G11" sqref="G11"/>
    </sheetView>
  </sheetViews>
  <sheetFormatPr baseColWidth="10" defaultRowHeight="15.75" x14ac:dyDescent="0.25"/>
  <cols>
    <col min="2" max="2" width="11" style="3"/>
    <col min="3" max="3" width="24.875" style="3" customWidth="1"/>
    <col min="4" max="5" width="11" style="3"/>
    <col min="6" max="6" width="21.25" style="3" customWidth="1"/>
    <col min="7" max="7" width="24.25" style="83" customWidth="1"/>
    <col min="8" max="8" width="11" style="3"/>
  </cols>
  <sheetData>
    <row r="1" spans="2:7" ht="16.5" thickBot="1" x14ac:dyDescent="0.3"/>
    <row r="2" spans="2:7" x14ac:dyDescent="0.25">
      <c r="B2" s="21" t="s">
        <v>0</v>
      </c>
      <c r="C2" s="22" t="s">
        <v>1</v>
      </c>
      <c r="D2" s="22" t="s">
        <v>2</v>
      </c>
      <c r="E2" s="22" t="s">
        <v>3</v>
      </c>
      <c r="F2" s="22" t="s">
        <v>4</v>
      </c>
      <c r="G2" s="89"/>
    </row>
    <row r="3" spans="2:7" x14ac:dyDescent="0.25">
      <c r="B3" s="14" t="s">
        <v>1819</v>
      </c>
      <c r="C3" s="1" t="s">
        <v>829</v>
      </c>
      <c r="D3" s="1" t="s">
        <v>7</v>
      </c>
      <c r="E3" s="4">
        <v>450.7</v>
      </c>
      <c r="F3" s="1" t="s">
        <v>1820</v>
      </c>
      <c r="G3" s="85" t="s">
        <v>832</v>
      </c>
    </row>
    <row r="4" spans="2:7" x14ac:dyDescent="0.25">
      <c r="B4" s="14" t="s">
        <v>1819</v>
      </c>
      <c r="C4" s="1" t="s">
        <v>72</v>
      </c>
      <c r="D4" s="1" t="s">
        <v>7</v>
      </c>
      <c r="E4" s="4">
        <v>52</v>
      </c>
      <c r="F4" s="1" t="s">
        <v>1821</v>
      </c>
      <c r="G4" s="85" t="s">
        <v>81</v>
      </c>
    </row>
    <row r="5" spans="2:7" x14ac:dyDescent="0.25">
      <c r="B5" s="14" t="s">
        <v>1819</v>
      </c>
      <c r="C5" s="1" t="s">
        <v>295</v>
      </c>
      <c r="D5" s="1" t="s">
        <v>7</v>
      </c>
      <c r="E5" s="4">
        <v>5.5</v>
      </c>
      <c r="F5" s="1" t="s">
        <v>1822</v>
      </c>
      <c r="G5" s="85" t="s">
        <v>1847</v>
      </c>
    </row>
    <row r="6" spans="2:7" x14ac:dyDescent="0.25">
      <c r="B6" s="14" t="s">
        <v>1819</v>
      </c>
      <c r="C6" s="1" t="s">
        <v>75</v>
      </c>
      <c r="D6" s="1" t="s">
        <v>7</v>
      </c>
      <c r="E6" s="4">
        <v>493</v>
      </c>
      <c r="F6" s="1" t="s">
        <v>1823</v>
      </c>
      <c r="G6" s="85" t="s">
        <v>60</v>
      </c>
    </row>
    <row r="7" spans="2:7" x14ac:dyDescent="0.25">
      <c r="B7" s="14" t="s">
        <v>1819</v>
      </c>
      <c r="C7" s="1" t="s">
        <v>509</v>
      </c>
      <c r="D7" s="1" t="s">
        <v>7</v>
      </c>
      <c r="E7" s="4">
        <v>150</v>
      </c>
      <c r="F7" s="1" t="s">
        <v>1824</v>
      </c>
      <c r="G7" s="85" t="s">
        <v>1844</v>
      </c>
    </row>
    <row r="8" spans="2:7" x14ac:dyDescent="0.25">
      <c r="B8" s="14" t="s">
        <v>1819</v>
      </c>
      <c r="C8" s="1" t="s">
        <v>72</v>
      </c>
      <c r="D8" s="1" t="s">
        <v>7</v>
      </c>
      <c r="E8" s="4">
        <v>200</v>
      </c>
      <c r="F8" s="1" t="s">
        <v>1825</v>
      </c>
      <c r="G8" s="85" t="s">
        <v>1849</v>
      </c>
    </row>
    <row r="9" spans="2:7" x14ac:dyDescent="0.25">
      <c r="B9" s="14" t="s">
        <v>1819</v>
      </c>
      <c r="C9" s="1" t="s">
        <v>269</v>
      </c>
      <c r="D9" s="1" t="s">
        <v>7</v>
      </c>
      <c r="E9" s="4">
        <v>43.1</v>
      </c>
      <c r="F9" s="1" t="s">
        <v>1826</v>
      </c>
      <c r="G9" s="85" t="s">
        <v>1846</v>
      </c>
    </row>
    <row r="10" spans="2:7" x14ac:dyDescent="0.25">
      <c r="B10" s="14" t="s">
        <v>1819</v>
      </c>
      <c r="C10" s="1" t="s">
        <v>23</v>
      </c>
      <c r="D10" s="1" t="s">
        <v>7</v>
      </c>
      <c r="E10" s="4">
        <v>2224.8000000000002</v>
      </c>
      <c r="F10" s="1" t="s">
        <v>1827</v>
      </c>
      <c r="G10" s="85" t="s">
        <v>81</v>
      </c>
    </row>
    <row r="11" spans="2:7" x14ac:dyDescent="0.25">
      <c r="B11" s="14" t="s">
        <v>1819</v>
      </c>
      <c r="C11" s="1" t="s">
        <v>17</v>
      </c>
      <c r="D11" s="1" t="s">
        <v>7</v>
      </c>
      <c r="E11" s="4">
        <v>25.5</v>
      </c>
      <c r="F11" s="1" t="s">
        <v>1828</v>
      </c>
      <c r="G11" s="85" t="s">
        <v>1845</v>
      </c>
    </row>
    <row r="12" spans="2:7" x14ac:dyDescent="0.25">
      <c r="B12" s="14" t="s">
        <v>1819</v>
      </c>
      <c r="C12" s="1" t="s">
        <v>9</v>
      </c>
      <c r="D12" s="1" t="s">
        <v>7</v>
      </c>
      <c r="E12" s="4">
        <v>80</v>
      </c>
      <c r="F12" s="1" t="s">
        <v>1829</v>
      </c>
      <c r="G12" s="85" t="s">
        <v>1843</v>
      </c>
    </row>
    <row r="13" spans="2:7" x14ac:dyDescent="0.25">
      <c r="B13" s="14" t="s">
        <v>1819</v>
      </c>
      <c r="C13" s="1" t="s">
        <v>979</v>
      </c>
      <c r="D13" s="1" t="s">
        <v>7</v>
      </c>
      <c r="E13" s="4">
        <v>180.7</v>
      </c>
      <c r="F13" s="1" t="s">
        <v>1830</v>
      </c>
      <c r="G13" s="85" t="s">
        <v>1844</v>
      </c>
    </row>
    <row r="14" spans="2:7" x14ac:dyDescent="0.25">
      <c r="B14" s="14" t="s">
        <v>1819</v>
      </c>
      <c r="C14" s="1" t="s">
        <v>1841</v>
      </c>
      <c r="D14" s="1" t="s">
        <v>7</v>
      </c>
      <c r="E14" s="4">
        <v>400</v>
      </c>
      <c r="F14" s="1">
        <v>6357151</v>
      </c>
      <c r="G14" s="85" t="s">
        <v>1844</v>
      </c>
    </row>
    <row r="15" spans="2:7" x14ac:dyDescent="0.25">
      <c r="B15" s="74">
        <v>46117</v>
      </c>
      <c r="C15" s="1" t="s">
        <v>1841</v>
      </c>
      <c r="D15" s="1" t="s">
        <v>7</v>
      </c>
      <c r="E15" s="4">
        <v>5</v>
      </c>
      <c r="F15" s="1">
        <v>214215905</v>
      </c>
      <c r="G15" s="85" t="s">
        <v>1842</v>
      </c>
    </row>
    <row r="16" spans="2:7" x14ac:dyDescent="0.25">
      <c r="B16" s="74">
        <v>46117</v>
      </c>
      <c r="C16" s="1" t="s">
        <v>1841</v>
      </c>
      <c r="D16" s="1" t="s">
        <v>7</v>
      </c>
      <c r="E16" s="4">
        <v>26</v>
      </c>
      <c r="F16" s="1">
        <v>423443</v>
      </c>
      <c r="G16" s="85" t="s">
        <v>1848</v>
      </c>
    </row>
    <row r="17" spans="2:11" ht="16.5" thickBot="1" x14ac:dyDescent="0.3">
      <c r="B17" s="73">
        <v>46117</v>
      </c>
      <c r="C17" s="18" t="s">
        <v>1841</v>
      </c>
      <c r="D17" s="18" t="s">
        <v>7</v>
      </c>
      <c r="E17" s="88">
        <v>8</v>
      </c>
      <c r="F17" s="18">
        <v>3347473</v>
      </c>
      <c r="G17" s="87" t="s">
        <v>1848</v>
      </c>
    </row>
    <row r="24" spans="2:11" x14ac:dyDescent="0.25">
      <c r="K24" t="s">
        <v>1850</v>
      </c>
    </row>
  </sheetData>
  <pageMargins left="0.7" right="0.7" top="0.75" bottom="0.75" header="0.3" footer="0.3"/>
  <pageSetup paperSize="256" orientation="portrait" horizontalDpi="203" verticalDpi="203" r:id="rId1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3CB25C-F77C-4616-A312-30435C4FFA09}">
  <sheetPr codeName="Hoja37"/>
  <dimension ref="B1:H31"/>
  <sheetViews>
    <sheetView workbookViewId="0">
      <selection activeCell="G17" sqref="G17"/>
    </sheetView>
  </sheetViews>
  <sheetFormatPr baseColWidth="10" defaultRowHeight="15.75" x14ac:dyDescent="0.25"/>
  <cols>
    <col min="2" max="2" width="11" style="3"/>
    <col min="3" max="3" width="21.25" style="3" customWidth="1"/>
    <col min="4" max="5" width="11" style="3"/>
    <col min="6" max="6" width="19.125" style="3" customWidth="1"/>
    <col min="7" max="7" width="45.125" style="3" bestFit="1" customWidth="1"/>
    <col min="8" max="8" width="11" style="3"/>
  </cols>
  <sheetData>
    <row r="1" spans="2:7" ht="16.5" thickBot="1" x14ac:dyDescent="0.3"/>
    <row r="2" spans="2:7" x14ac:dyDescent="0.25">
      <c r="B2" s="21" t="s">
        <v>0</v>
      </c>
      <c r="C2" s="22" t="s">
        <v>1</v>
      </c>
      <c r="D2" s="22" t="s">
        <v>2</v>
      </c>
      <c r="E2" s="22" t="s">
        <v>3</v>
      </c>
      <c r="F2" s="22" t="s">
        <v>4</v>
      </c>
      <c r="G2" s="13"/>
    </row>
    <row r="3" spans="2:7" x14ac:dyDescent="0.25">
      <c r="B3" s="14"/>
      <c r="C3" s="1"/>
      <c r="D3" s="1"/>
      <c r="E3" s="1"/>
      <c r="F3" s="1"/>
      <c r="G3" s="16"/>
    </row>
    <row r="4" spans="2:7" x14ac:dyDescent="0.25">
      <c r="B4" s="29" t="s">
        <v>1831</v>
      </c>
      <c r="C4" s="28" t="s">
        <v>335</v>
      </c>
      <c r="D4" s="28" t="s">
        <v>7</v>
      </c>
      <c r="E4" s="28">
        <v>-300</v>
      </c>
      <c r="F4" s="28" t="s">
        <v>1872</v>
      </c>
      <c r="G4" s="30" t="s">
        <v>1882</v>
      </c>
    </row>
    <row r="5" spans="2:7" x14ac:dyDescent="0.25">
      <c r="B5" s="14" t="s">
        <v>1831</v>
      </c>
      <c r="C5" s="1" t="s">
        <v>240</v>
      </c>
      <c r="D5" s="1" t="s">
        <v>7</v>
      </c>
      <c r="E5" s="1">
        <v>273</v>
      </c>
      <c r="F5" s="1" t="s">
        <v>1873</v>
      </c>
      <c r="G5" s="16" t="s">
        <v>68</v>
      </c>
    </row>
    <row r="6" spans="2:7" x14ac:dyDescent="0.25">
      <c r="B6" s="14" t="s">
        <v>1831</v>
      </c>
      <c r="C6" s="1" t="s">
        <v>669</v>
      </c>
      <c r="D6" s="1" t="s">
        <v>7</v>
      </c>
      <c r="E6" s="1">
        <v>697.14</v>
      </c>
      <c r="F6" s="1" t="s">
        <v>1874</v>
      </c>
      <c r="G6" s="16" t="s">
        <v>1336</v>
      </c>
    </row>
    <row r="7" spans="2:7" x14ac:dyDescent="0.25">
      <c r="B7" s="29" t="s">
        <v>1831</v>
      </c>
      <c r="C7" s="28" t="s">
        <v>1241</v>
      </c>
      <c r="D7" s="28" t="s">
        <v>7</v>
      </c>
      <c r="E7" s="28">
        <v>-100</v>
      </c>
      <c r="F7" s="28" t="s">
        <v>1875</v>
      </c>
      <c r="G7" s="30" t="s">
        <v>1881</v>
      </c>
    </row>
    <row r="8" spans="2:7" x14ac:dyDescent="0.25">
      <c r="B8" s="29" t="s">
        <v>1831</v>
      </c>
      <c r="C8" s="28" t="s">
        <v>1876</v>
      </c>
      <c r="D8" s="28" t="s">
        <v>7</v>
      </c>
      <c r="E8" s="28">
        <v>-120</v>
      </c>
      <c r="F8" s="28" t="s">
        <v>1877</v>
      </c>
      <c r="G8" s="30" t="s">
        <v>1880</v>
      </c>
    </row>
    <row r="9" spans="2:7" x14ac:dyDescent="0.25">
      <c r="B9" s="29" t="s">
        <v>1831</v>
      </c>
      <c r="C9" s="28" t="s">
        <v>1876</v>
      </c>
      <c r="D9" s="28" t="s">
        <v>7</v>
      </c>
      <c r="E9" s="28">
        <v>-500</v>
      </c>
      <c r="F9" s="28" t="s">
        <v>1878</v>
      </c>
      <c r="G9" s="30" t="s">
        <v>1880</v>
      </c>
    </row>
    <row r="10" spans="2:7" x14ac:dyDescent="0.25">
      <c r="B10" s="14" t="s">
        <v>1831</v>
      </c>
      <c r="C10" s="1" t="s">
        <v>665</v>
      </c>
      <c r="D10" s="1" t="s">
        <v>7</v>
      </c>
      <c r="E10" s="1">
        <v>27</v>
      </c>
      <c r="F10" s="1" t="s">
        <v>1879</v>
      </c>
      <c r="G10" s="16" t="s">
        <v>386</v>
      </c>
    </row>
    <row r="11" spans="2:7" x14ac:dyDescent="0.25">
      <c r="B11" s="29" t="s">
        <v>1831</v>
      </c>
      <c r="C11" s="28" t="s">
        <v>1856</v>
      </c>
      <c r="D11" s="28" t="s">
        <v>7</v>
      </c>
      <c r="E11" s="28">
        <v>-129</v>
      </c>
      <c r="F11" s="28" t="s">
        <v>1857</v>
      </c>
      <c r="G11" s="30" t="s">
        <v>1869</v>
      </c>
    </row>
    <row r="12" spans="2:7" x14ac:dyDescent="0.25">
      <c r="B12" s="29" t="s">
        <v>1831</v>
      </c>
      <c r="C12" s="28" t="s">
        <v>1856</v>
      </c>
      <c r="D12" s="28" t="s">
        <v>7</v>
      </c>
      <c r="E12" s="28">
        <v>-500</v>
      </c>
      <c r="F12" s="28" t="s">
        <v>1858</v>
      </c>
      <c r="G12" s="30" t="s">
        <v>1869</v>
      </c>
    </row>
    <row r="13" spans="2:7" x14ac:dyDescent="0.25">
      <c r="B13" s="14" t="s">
        <v>1831</v>
      </c>
      <c r="C13" s="1" t="s">
        <v>269</v>
      </c>
      <c r="D13" s="1" t="s">
        <v>7</v>
      </c>
      <c r="E13" s="1">
        <v>17</v>
      </c>
      <c r="F13" s="1" t="s">
        <v>1859</v>
      </c>
      <c r="G13" s="16" t="s">
        <v>1870</v>
      </c>
    </row>
    <row r="14" spans="2:7" x14ac:dyDescent="0.25">
      <c r="B14" s="14" t="s">
        <v>1831</v>
      </c>
      <c r="C14" s="1" t="s">
        <v>23</v>
      </c>
      <c r="D14" s="1" t="s">
        <v>7</v>
      </c>
      <c r="E14" s="1">
        <v>1200</v>
      </c>
      <c r="F14" s="1" t="s">
        <v>1860</v>
      </c>
      <c r="G14" s="16" t="s">
        <v>1871</v>
      </c>
    </row>
    <row r="15" spans="2:7" x14ac:dyDescent="0.25">
      <c r="B15" s="14" t="s">
        <v>1831</v>
      </c>
      <c r="C15" s="1" t="s">
        <v>373</v>
      </c>
      <c r="D15" s="1" t="s">
        <v>7</v>
      </c>
      <c r="E15" s="1">
        <v>6</v>
      </c>
      <c r="F15" s="1" t="s">
        <v>1861</v>
      </c>
      <c r="G15" s="16" t="s">
        <v>1868</v>
      </c>
    </row>
    <row r="16" spans="2:7" x14ac:dyDescent="0.25">
      <c r="B16" s="14" t="s">
        <v>1831</v>
      </c>
      <c r="C16" s="1" t="s">
        <v>655</v>
      </c>
      <c r="D16" s="1" t="s">
        <v>7</v>
      </c>
      <c r="E16" s="1">
        <v>242</v>
      </c>
      <c r="F16" s="1" t="s">
        <v>1862</v>
      </c>
      <c r="G16" s="16" t="s">
        <v>810</v>
      </c>
    </row>
    <row r="17" spans="2:7" x14ac:dyDescent="0.25">
      <c r="B17" s="14" t="s">
        <v>1831</v>
      </c>
      <c r="C17" s="1" t="s">
        <v>299</v>
      </c>
      <c r="D17" s="1" t="s">
        <v>7</v>
      </c>
      <c r="E17" s="1">
        <v>100</v>
      </c>
      <c r="F17" s="1" t="s">
        <v>1863</v>
      </c>
      <c r="G17" s="16" t="s">
        <v>1867</v>
      </c>
    </row>
    <row r="18" spans="2:7" x14ac:dyDescent="0.25">
      <c r="B18" s="14" t="s">
        <v>1831</v>
      </c>
      <c r="C18" s="1" t="s">
        <v>269</v>
      </c>
      <c r="D18" s="1" t="s">
        <v>7</v>
      </c>
      <c r="E18" s="1">
        <v>28</v>
      </c>
      <c r="F18" s="1" t="s">
        <v>1864</v>
      </c>
      <c r="G18" s="16" t="s">
        <v>1866</v>
      </c>
    </row>
    <row r="19" spans="2:7" x14ac:dyDescent="0.25">
      <c r="B19" s="14" t="s">
        <v>1831</v>
      </c>
      <c r="C19" s="1" t="s">
        <v>262</v>
      </c>
      <c r="D19" s="1" t="s">
        <v>7</v>
      </c>
      <c r="E19" s="1">
        <v>341</v>
      </c>
      <c r="F19" s="1" t="s">
        <v>1865</v>
      </c>
      <c r="G19" s="16" t="s">
        <v>869</v>
      </c>
    </row>
    <row r="20" spans="2:7" x14ac:dyDescent="0.25">
      <c r="B20" s="14" t="s">
        <v>1831</v>
      </c>
      <c r="C20" s="1" t="s">
        <v>23</v>
      </c>
      <c r="D20" s="1" t="s">
        <v>7</v>
      </c>
      <c r="E20" s="1">
        <v>2577</v>
      </c>
      <c r="F20" s="1" t="s">
        <v>1832</v>
      </c>
      <c r="G20" s="16" t="s">
        <v>1585</v>
      </c>
    </row>
    <row r="21" spans="2:7" x14ac:dyDescent="0.25">
      <c r="B21" s="29" t="s">
        <v>1831</v>
      </c>
      <c r="C21" s="28" t="s">
        <v>248</v>
      </c>
      <c r="D21" s="28" t="s">
        <v>7</v>
      </c>
      <c r="E21" s="28">
        <v>-256</v>
      </c>
      <c r="F21" s="28" t="s">
        <v>1833</v>
      </c>
      <c r="G21" s="30" t="s">
        <v>1855</v>
      </c>
    </row>
    <row r="22" spans="2:7" x14ac:dyDescent="0.25">
      <c r="B22" s="14" t="s">
        <v>1831</v>
      </c>
      <c r="C22" s="1" t="s">
        <v>370</v>
      </c>
      <c r="D22" s="1" t="s">
        <v>7</v>
      </c>
      <c r="E22" s="1">
        <v>27.5</v>
      </c>
      <c r="F22" s="1" t="s">
        <v>1834</v>
      </c>
      <c r="G22" s="16" t="s">
        <v>1854</v>
      </c>
    </row>
    <row r="23" spans="2:7" x14ac:dyDescent="0.25">
      <c r="B23" s="14" t="s">
        <v>1831</v>
      </c>
      <c r="C23" s="1" t="s">
        <v>164</v>
      </c>
      <c r="D23" s="1" t="s">
        <v>7</v>
      </c>
      <c r="E23" s="1">
        <v>24</v>
      </c>
      <c r="F23" s="1" t="s">
        <v>1835</v>
      </c>
      <c r="G23" s="16" t="s">
        <v>1853</v>
      </c>
    </row>
    <row r="24" spans="2:7" x14ac:dyDescent="0.25">
      <c r="B24" s="14" t="s">
        <v>1831</v>
      </c>
      <c r="C24" s="1" t="s">
        <v>370</v>
      </c>
      <c r="D24" s="1" t="s">
        <v>7</v>
      </c>
      <c r="E24" s="1">
        <v>33.5</v>
      </c>
      <c r="F24" s="1" t="s">
        <v>1836</v>
      </c>
      <c r="G24" s="16" t="s">
        <v>1852</v>
      </c>
    </row>
    <row r="25" spans="2:7" x14ac:dyDescent="0.25">
      <c r="B25" s="14" t="s">
        <v>1831</v>
      </c>
      <c r="C25" s="1" t="s">
        <v>6</v>
      </c>
      <c r="D25" s="1" t="s">
        <v>7</v>
      </c>
      <c r="E25" s="1">
        <v>29.6</v>
      </c>
      <c r="F25" s="1" t="s">
        <v>1837</v>
      </c>
      <c r="G25" s="16" t="s">
        <v>52</v>
      </c>
    </row>
    <row r="26" spans="2:7" x14ac:dyDescent="0.25">
      <c r="B26" s="14" t="s">
        <v>1831</v>
      </c>
      <c r="C26" s="1" t="s">
        <v>6</v>
      </c>
      <c r="D26" s="1" t="s">
        <v>7</v>
      </c>
      <c r="E26" s="1">
        <v>500</v>
      </c>
      <c r="F26" s="1" t="s">
        <v>1838</v>
      </c>
      <c r="G26" s="16" t="s">
        <v>52</v>
      </c>
    </row>
    <row r="27" spans="2:7" x14ac:dyDescent="0.25">
      <c r="B27" s="14" t="s">
        <v>1831</v>
      </c>
      <c r="C27" s="1" t="s">
        <v>6</v>
      </c>
      <c r="D27" s="1" t="s">
        <v>7</v>
      </c>
      <c r="E27" s="1">
        <v>500</v>
      </c>
      <c r="F27" s="1" t="s">
        <v>1839</v>
      </c>
      <c r="G27" s="16" t="s">
        <v>52</v>
      </c>
    </row>
    <row r="28" spans="2:7" x14ac:dyDescent="0.25">
      <c r="B28" s="14" t="s">
        <v>1831</v>
      </c>
      <c r="C28" s="1" t="s">
        <v>370</v>
      </c>
      <c r="D28" s="1" t="s">
        <v>7</v>
      </c>
      <c r="E28" s="1">
        <v>2</v>
      </c>
      <c r="F28" s="1" t="s">
        <v>1840</v>
      </c>
      <c r="G28" s="16" t="s">
        <v>1851</v>
      </c>
    </row>
    <row r="29" spans="2:7" x14ac:dyDescent="0.25">
      <c r="B29" s="14"/>
      <c r="C29" s="1"/>
      <c r="D29" s="1"/>
      <c r="E29" s="1"/>
      <c r="F29" s="1"/>
      <c r="G29" s="16"/>
    </row>
    <row r="30" spans="2:7" ht="16.5" thickBot="1" x14ac:dyDescent="0.3">
      <c r="B30" s="25" t="s">
        <v>1831</v>
      </c>
      <c r="C30" s="18" t="s">
        <v>78</v>
      </c>
      <c r="D30" s="18" t="s">
        <v>7</v>
      </c>
      <c r="E30" s="18">
        <v>570</v>
      </c>
      <c r="F30" s="18"/>
      <c r="G30" s="27" t="s">
        <v>871</v>
      </c>
    </row>
    <row r="31" spans="2:7" x14ac:dyDescent="0.25">
      <c r="B31" s="66">
        <v>46118</v>
      </c>
      <c r="C31" s="3" t="s">
        <v>1925</v>
      </c>
      <c r="E31" s="3">
        <v>6060</v>
      </c>
      <c r="G31" s="3" t="s">
        <v>1924</v>
      </c>
    </row>
  </sheetData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175797-9CC0-441B-BF30-B462B6F05876}">
  <sheetPr codeName="Hoja38"/>
  <dimension ref="B3:G35"/>
  <sheetViews>
    <sheetView topLeftCell="A4" workbookViewId="0">
      <selection activeCell="J32" sqref="J32"/>
    </sheetView>
  </sheetViews>
  <sheetFormatPr baseColWidth="10" defaultRowHeight="15.75" x14ac:dyDescent="0.25"/>
  <cols>
    <col min="2" max="2" width="11" style="3"/>
    <col min="3" max="3" width="22.875" style="3" bestFit="1" customWidth="1"/>
    <col min="4" max="5" width="11" style="3"/>
    <col min="6" max="6" width="18.75" style="3" bestFit="1" customWidth="1"/>
    <col min="7" max="7" width="28" style="3" customWidth="1"/>
  </cols>
  <sheetData>
    <row r="3" spans="2:7" ht="16.5" thickBot="1" x14ac:dyDescent="0.3"/>
    <row r="4" spans="2:7" x14ac:dyDescent="0.25">
      <c r="B4" s="11" t="s">
        <v>0</v>
      </c>
      <c r="C4" s="12" t="s">
        <v>1</v>
      </c>
      <c r="D4" s="12" t="s">
        <v>2</v>
      </c>
      <c r="E4" s="12" t="s">
        <v>3</v>
      </c>
      <c r="F4" s="12" t="s">
        <v>4</v>
      </c>
      <c r="G4" s="13"/>
    </row>
    <row r="5" spans="2:7" x14ac:dyDescent="0.25">
      <c r="B5" s="29" t="s">
        <v>1883</v>
      </c>
      <c r="C5" s="28" t="s">
        <v>598</v>
      </c>
      <c r="D5" s="28" t="s">
        <v>7</v>
      </c>
      <c r="E5" s="28">
        <v>-33834.69</v>
      </c>
      <c r="F5" s="28" t="s">
        <v>1932</v>
      </c>
      <c r="G5" s="30" t="s">
        <v>1936</v>
      </c>
    </row>
    <row r="6" spans="2:7" x14ac:dyDescent="0.25">
      <c r="B6" s="29" t="s">
        <v>1883</v>
      </c>
      <c r="C6" s="28" t="s">
        <v>472</v>
      </c>
      <c r="D6" s="28" t="s">
        <v>7</v>
      </c>
      <c r="E6" s="28">
        <v>-13806</v>
      </c>
      <c r="F6" s="28" t="s">
        <v>1933</v>
      </c>
      <c r="G6" s="30" t="s">
        <v>1935</v>
      </c>
    </row>
    <row r="7" spans="2:7" x14ac:dyDescent="0.25">
      <c r="B7" s="14" t="s">
        <v>1883</v>
      </c>
      <c r="C7" s="1" t="s">
        <v>23</v>
      </c>
      <c r="D7" s="1" t="s">
        <v>7</v>
      </c>
      <c r="E7" s="1">
        <v>1895</v>
      </c>
      <c r="F7" s="1" t="s">
        <v>1934</v>
      </c>
      <c r="G7" s="16" t="s">
        <v>1585</v>
      </c>
    </row>
    <row r="8" spans="2:7" x14ac:dyDescent="0.25">
      <c r="B8" s="29" t="s">
        <v>1883</v>
      </c>
      <c r="C8" s="28" t="s">
        <v>1900</v>
      </c>
      <c r="D8" s="28" t="s">
        <v>7</v>
      </c>
      <c r="E8" s="28">
        <v>-100</v>
      </c>
      <c r="F8" s="28" t="s">
        <v>1901</v>
      </c>
      <c r="G8" s="30" t="s">
        <v>1921</v>
      </c>
    </row>
    <row r="9" spans="2:7" x14ac:dyDescent="0.25">
      <c r="B9" s="29" t="s">
        <v>1883</v>
      </c>
      <c r="C9" s="28" t="s">
        <v>1900</v>
      </c>
      <c r="D9" s="28" t="s">
        <v>7</v>
      </c>
      <c r="E9" s="28">
        <v>-490</v>
      </c>
      <c r="F9" s="28" t="s">
        <v>1902</v>
      </c>
      <c r="G9" s="30" t="s">
        <v>1921</v>
      </c>
    </row>
    <row r="10" spans="2:7" x14ac:dyDescent="0.25">
      <c r="B10" s="29" t="s">
        <v>1883</v>
      </c>
      <c r="C10" s="28" t="s">
        <v>1900</v>
      </c>
      <c r="D10" s="28" t="s">
        <v>7</v>
      </c>
      <c r="E10" s="28">
        <v>-400</v>
      </c>
      <c r="F10" s="28" t="s">
        <v>1903</v>
      </c>
      <c r="G10" s="30" t="s">
        <v>1921</v>
      </c>
    </row>
    <row r="11" spans="2:7" x14ac:dyDescent="0.25">
      <c r="B11" s="29" t="s">
        <v>1883</v>
      </c>
      <c r="C11" s="28" t="s">
        <v>248</v>
      </c>
      <c r="D11" s="28" t="s">
        <v>7</v>
      </c>
      <c r="E11" s="28">
        <v>-110</v>
      </c>
      <c r="F11" s="28" t="s">
        <v>1904</v>
      </c>
      <c r="G11" s="30" t="s">
        <v>1920</v>
      </c>
    </row>
    <row r="12" spans="2:7" x14ac:dyDescent="0.25">
      <c r="B12" s="14" t="s">
        <v>1883</v>
      </c>
      <c r="C12" s="1" t="s">
        <v>262</v>
      </c>
      <c r="D12" s="1" t="s">
        <v>7</v>
      </c>
      <c r="E12" s="1">
        <v>23.5</v>
      </c>
      <c r="F12" s="1" t="s">
        <v>1905</v>
      </c>
      <c r="G12" s="16" t="s">
        <v>1930</v>
      </c>
    </row>
    <row r="13" spans="2:7" x14ac:dyDescent="0.25">
      <c r="B13" s="14" t="s">
        <v>1883</v>
      </c>
      <c r="C13" s="1" t="s">
        <v>295</v>
      </c>
      <c r="D13" s="1" t="s">
        <v>7</v>
      </c>
      <c r="E13" s="1">
        <v>141.30000000000001</v>
      </c>
      <c r="F13" s="1" t="s">
        <v>1906</v>
      </c>
      <c r="G13" s="16" t="s">
        <v>1931</v>
      </c>
    </row>
    <row r="14" spans="2:7" x14ac:dyDescent="0.25">
      <c r="B14" s="14" t="s">
        <v>1883</v>
      </c>
      <c r="C14" s="1" t="s">
        <v>655</v>
      </c>
      <c r="D14" s="1" t="s">
        <v>7</v>
      </c>
      <c r="E14" s="1">
        <v>152</v>
      </c>
      <c r="F14" s="1" t="s">
        <v>1907</v>
      </c>
      <c r="G14" s="16" t="s">
        <v>1919</v>
      </c>
    </row>
    <row r="15" spans="2:7" x14ac:dyDescent="0.25">
      <c r="B15" s="14" t="s">
        <v>1883</v>
      </c>
      <c r="C15" s="1" t="s">
        <v>960</v>
      </c>
      <c r="D15" s="1" t="s">
        <v>7</v>
      </c>
      <c r="E15" s="1">
        <v>1</v>
      </c>
      <c r="F15" s="1" t="s">
        <v>1908</v>
      </c>
      <c r="G15" s="16" t="s">
        <v>1917</v>
      </c>
    </row>
    <row r="16" spans="2:7" x14ac:dyDescent="0.25">
      <c r="B16" s="14" t="s">
        <v>1883</v>
      </c>
      <c r="C16" s="1" t="s">
        <v>23</v>
      </c>
      <c r="D16" s="1" t="s">
        <v>7</v>
      </c>
      <c r="E16" s="1">
        <v>300</v>
      </c>
      <c r="F16" s="1" t="s">
        <v>1909</v>
      </c>
      <c r="G16" s="16" t="s">
        <v>1927</v>
      </c>
    </row>
    <row r="17" spans="2:7" x14ac:dyDescent="0.25">
      <c r="B17" s="14" t="s">
        <v>1883</v>
      </c>
      <c r="C17" s="1" t="s">
        <v>23</v>
      </c>
      <c r="D17" s="1" t="s">
        <v>7</v>
      </c>
      <c r="E17" s="1">
        <v>1105</v>
      </c>
      <c r="F17" s="1" t="s">
        <v>1910</v>
      </c>
      <c r="G17" s="16" t="s">
        <v>1465</v>
      </c>
    </row>
    <row r="18" spans="2:7" x14ac:dyDescent="0.25">
      <c r="B18" s="14" t="s">
        <v>1883</v>
      </c>
      <c r="C18" s="1" t="s">
        <v>519</v>
      </c>
      <c r="D18" s="1" t="s">
        <v>7</v>
      </c>
      <c r="E18" s="1">
        <v>30</v>
      </c>
      <c r="F18" s="1" t="s">
        <v>1911</v>
      </c>
      <c r="G18" s="16" t="s">
        <v>1929</v>
      </c>
    </row>
    <row r="19" spans="2:7" x14ac:dyDescent="0.25">
      <c r="B19" s="14" t="s">
        <v>1883</v>
      </c>
      <c r="C19" s="1" t="s">
        <v>6</v>
      </c>
      <c r="D19" s="1" t="s">
        <v>7</v>
      </c>
      <c r="E19" s="1">
        <v>10.5</v>
      </c>
      <c r="F19" s="1" t="s">
        <v>1912</v>
      </c>
      <c r="G19" s="16" t="s">
        <v>1928</v>
      </c>
    </row>
    <row r="20" spans="2:7" x14ac:dyDescent="0.25">
      <c r="B20" s="14" t="s">
        <v>1883</v>
      </c>
      <c r="C20" s="1" t="s">
        <v>1259</v>
      </c>
      <c r="D20" s="1" t="s">
        <v>7</v>
      </c>
      <c r="E20" s="1">
        <v>4.5</v>
      </c>
      <c r="F20" s="1" t="s">
        <v>1884</v>
      </c>
      <c r="G20" s="16" t="s">
        <v>1938</v>
      </c>
    </row>
    <row r="21" spans="2:7" x14ac:dyDescent="0.25">
      <c r="B21" s="14" t="s">
        <v>1883</v>
      </c>
      <c r="C21" s="1" t="s">
        <v>183</v>
      </c>
      <c r="D21" s="1" t="s">
        <v>7</v>
      </c>
      <c r="E21" s="1">
        <v>8.5</v>
      </c>
      <c r="F21" s="1" t="s">
        <v>1885</v>
      </c>
      <c r="G21" s="16" t="s">
        <v>660</v>
      </c>
    </row>
    <row r="22" spans="2:7" x14ac:dyDescent="0.25">
      <c r="B22" s="14" t="s">
        <v>1883</v>
      </c>
      <c r="C22" s="1" t="s">
        <v>284</v>
      </c>
      <c r="D22" s="1" t="s">
        <v>7</v>
      </c>
      <c r="E22" s="1">
        <v>20.3</v>
      </c>
      <c r="F22" s="1" t="s">
        <v>1886</v>
      </c>
      <c r="G22" s="16" t="s">
        <v>1916</v>
      </c>
    </row>
    <row r="23" spans="2:7" x14ac:dyDescent="0.25">
      <c r="B23" s="14" t="s">
        <v>1883</v>
      </c>
      <c r="C23" s="1" t="s">
        <v>295</v>
      </c>
      <c r="D23" s="1" t="s">
        <v>7</v>
      </c>
      <c r="E23" s="1">
        <v>21</v>
      </c>
      <c r="F23" s="1" t="s">
        <v>1887</v>
      </c>
      <c r="G23" s="16" t="s">
        <v>1915</v>
      </c>
    </row>
    <row r="24" spans="2:7" x14ac:dyDescent="0.25">
      <c r="B24" s="14" t="s">
        <v>1883</v>
      </c>
      <c r="C24" s="1" t="s">
        <v>960</v>
      </c>
      <c r="D24" s="1" t="s">
        <v>7</v>
      </c>
      <c r="E24" s="1">
        <v>2</v>
      </c>
      <c r="F24" s="1" t="s">
        <v>1888</v>
      </c>
      <c r="G24" s="16" t="s">
        <v>1926</v>
      </c>
    </row>
    <row r="25" spans="2:7" x14ac:dyDescent="0.25">
      <c r="B25" s="14" t="s">
        <v>1883</v>
      </c>
      <c r="C25" s="1" t="s">
        <v>1889</v>
      </c>
      <c r="D25" s="1" t="s">
        <v>7</v>
      </c>
      <c r="E25" s="1">
        <v>300</v>
      </c>
      <c r="F25" s="1" t="s">
        <v>1890</v>
      </c>
      <c r="G25" s="16" t="s">
        <v>660</v>
      </c>
    </row>
    <row r="26" spans="2:7" x14ac:dyDescent="0.25">
      <c r="B26" s="14" t="s">
        <v>1883</v>
      </c>
      <c r="C26" s="1" t="s">
        <v>960</v>
      </c>
      <c r="D26" s="1" t="s">
        <v>7</v>
      </c>
      <c r="E26" s="1">
        <v>100</v>
      </c>
      <c r="F26" s="1" t="s">
        <v>1891</v>
      </c>
      <c r="G26" s="16" t="s">
        <v>415</v>
      </c>
    </row>
    <row r="27" spans="2:7" x14ac:dyDescent="0.25">
      <c r="B27" s="14" t="s">
        <v>1883</v>
      </c>
      <c r="C27" s="1" t="s">
        <v>284</v>
      </c>
      <c r="D27" s="1" t="s">
        <v>7</v>
      </c>
      <c r="E27" s="1">
        <v>10</v>
      </c>
      <c r="F27" s="1" t="s">
        <v>1892</v>
      </c>
      <c r="G27" s="16" t="s">
        <v>1914</v>
      </c>
    </row>
    <row r="28" spans="2:7" x14ac:dyDescent="0.25">
      <c r="B28" s="14" t="s">
        <v>1883</v>
      </c>
      <c r="C28" s="1" t="s">
        <v>509</v>
      </c>
      <c r="D28" s="1" t="s">
        <v>7</v>
      </c>
      <c r="E28" s="1">
        <v>884</v>
      </c>
      <c r="F28" s="1" t="s">
        <v>1893</v>
      </c>
      <c r="G28" s="16" t="s">
        <v>1913</v>
      </c>
    </row>
    <row r="29" spans="2:7" x14ac:dyDescent="0.25">
      <c r="B29" s="14" t="s">
        <v>1883</v>
      </c>
      <c r="C29" s="1" t="s">
        <v>295</v>
      </c>
      <c r="D29" s="1" t="s">
        <v>7</v>
      </c>
      <c r="E29" s="1">
        <v>263.5</v>
      </c>
      <c r="F29" s="1" t="s">
        <v>1894</v>
      </c>
      <c r="G29" s="16" t="s">
        <v>1922</v>
      </c>
    </row>
    <row r="30" spans="2:7" x14ac:dyDescent="0.25">
      <c r="B30" s="14" t="s">
        <v>1883</v>
      </c>
      <c r="C30" s="1" t="s">
        <v>23</v>
      </c>
      <c r="D30" s="1" t="s">
        <v>7</v>
      </c>
      <c r="E30" s="1">
        <v>3010.5</v>
      </c>
      <c r="F30" s="1" t="s">
        <v>1895</v>
      </c>
      <c r="G30" s="16" t="s">
        <v>660</v>
      </c>
    </row>
    <row r="31" spans="2:7" x14ac:dyDescent="0.25">
      <c r="B31" s="14" t="s">
        <v>1883</v>
      </c>
      <c r="C31" s="1" t="s">
        <v>944</v>
      </c>
      <c r="D31" s="1" t="s">
        <v>7</v>
      </c>
      <c r="E31" s="1">
        <v>224</v>
      </c>
      <c r="F31" s="1" t="s">
        <v>1896</v>
      </c>
      <c r="G31" s="16" t="s">
        <v>955</v>
      </c>
    </row>
    <row r="32" spans="2:7" x14ac:dyDescent="0.25">
      <c r="B32" s="14" t="s">
        <v>1831</v>
      </c>
      <c r="C32" s="1" t="s">
        <v>1897</v>
      </c>
      <c r="D32" s="1" t="s">
        <v>7</v>
      </c>
      <c r="E32" s="1">
        <v>140</v>
      </c>
      <c r="F32" s="1" t="s">
        <v>1898</v>
      </c>
      <c r="G32" s="16" t="s">
        <v>1923</v>
      </c>
    </row>
    <row r="33" spans="2:7" ht="16.5" thickBot="1" x14ac:dyDescent="0.3">
      <c r="B33" s="25" t="s">
        <v>1831</v>
      </c>
      <c r="C33" s="18" t="s">
        <v>1897</v>
      </c>
      <c r="D33" s="18" t="s">
        <v>7</v>
      </c>
      <c r="E33" s="18">
        <v>500</v>
      </c>
      <c r="F33" s="18" t="s">
        <v>1899</v>
      </c>
      <c r="G33" s="27" t="s">
        <v>1923</v>
      </c>
    </row>
    <row r="35" spans="2:7" ht="16.5" thickBot="1" x14ac:dyDescent="0.3">
      <c r="B35" s="25" t="s">
        <v>1831</v>
      </c>
      <c r="C35" s="3" t="s">
        <v>78</v>
      </c>
      <c r="E35" s="3">
        <v>1980</v>
      </c>
      <c r="G35" s="3" t="s">
        <v>1937</v>
      </c>
    </row>
  </sheetData>
  <pageMargins left="0.7" right="0.7" top="0.75" bottom="0.75" header="0.3" footer="0.3"/>
  <pageSetup paperSize="256" orientation="portrait" horizontalDpi="203" verticalDpi="203" r:id="rId1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F1A4FD-8ADA-4361-B18C-C611B4138D48}">
  <sheetPr codeName="Hoja39"/>
  <dimension ref="C3:P38"/>
  <sheetViews>
    <sheetView topLeftCell="B7" workbookViewId="0">
      <selection activeCell="J37" sqref="J37"/>
    </sheetView>
  </sheetViews>
  <sheetFormatPr baseColWidth="10" defaultRowHeight="15.75" x14ac:dyDescent="0.25"/>
  <cols>
    <col min="3" max="3" width="11" style="3"/>
    <col min="4" max="4" width="21.75" style="3" customWidth="1"/>
    <col min="5" max="6" width="11" style="3"/>
    <col min="7" max="7" width="18.75" style="3" bestFit="1" customWidth="1"/>
    <col min="8" max="8" width="35.375" style="3" customWidth="1"/>
    <col min="13" max="13" width="23.75" bestFit="1" customWidth="1"/>
    <col min="14" max="14" width="12.875" customWidth="1"/>
    <col min="15" max="16" width="14.125" bestFit="1" customWidth="1"/>
  </cols>
  <sheetData>
    <row r="3" spans="3:9" x14ac:dyDescent="0.25">
      <c r="C3" s="1" t="s">
        <v>0</v>
      </c>
      <c r="D3" s="1" t="s">
        <v>1</v>
      </c>
      <c r="E3" s="1" t="s">
        <v>2</v>
      </c>
      <c r="F3" s="1" t="s">
        <v>3</v>
      </c>
      <c r="G3" s="1" t="s">
        <v>4</v>
      </c>
      <c r="H3" s="1"/>
    </row>
    <row r="4" spans="3:9" x14ac:dyDescent="0.25">
      <c r="C4" s="28" t="s">
        <v>1939</v>
      </c>
      <c r="D4" s="28" t="s">
        <v>472</v>
      </c>
      <c r="E4" s="28" t="s">
        <v>7</v>
      </c>
      <c r="F4" s="28">
        <v>-3270</v>
      </c>
      <c r="G4" s="28" t="s">
        <v>2006</v>
      </c>
      <c r="H4" s="28" t="s">
        <v>2007</v>
      </c>
    </row>
    <row r="5" spans="3:9" x14ac:dyDescent="0.25">
      <c r="C5" s="28" t="s">
        <v>1939</v>
      </c>
      <c r="D5" s="28" t="s">
        <v>158</v>
      </c>
      <c r="E5" s="28" t="s">
        <v>7</v>
      </c>
      <c r="F5" s="28">
        <v>-10</v>
      </c>
      <c r="G5" s="28" t="s">
        <v>1975</v>
      </c>
      <c r="H5" s="28" t="s">
        <v>1995</v>
      </c>
    </row>
    <row r="6" spans="3:9" x14ac:dyDescent="0.25">
      <c r="C6" s="1" t="s">
        <v>1939</v>
      </c>
      <c r="D6" s="1" t="s">
        <v>23</v>
      </c>
      <c r="E6" s="1" t="s">
        <v>7</v>
      </c>
      <c r="F6" s="1">
        <v>94.5</v>
      </c>
      <c r="G6" s="1" t="s">
        <v>1976</v>
      </c>
      <c r="H6" s="1" t="s">
        <v>590</v>
      </c>
    </row>
    <row r="7" spans="3:9" x14ac:dyDescent="0.25">
      <c r="C7" s="28" t="s">
        <v>1939</v>
      </c>
      <c r="D7" s="28" t="s">
        <v>472</v>
      </c>
      <c r="E7" s="28" t="s">
        <v>7</v>
      </c>
      <c r="F7" s="106">
        <v>-15388</v>
      </c>
      <c r="G7" s="28" t="s">
        <v>1977</v>
      </c>
      <c r="H7" s="28" t="s">
        <v>1997</v>
      </c>
    </row>
    <row r="8" spans="3:9" x14ac:dyDescent="0.25">
      <c r="C8" s="1" t="s">
        <v>1939</v>
      </c>
      <c r="D8" s="1" t="s">
        <v>521</v>
      </c>
      <c r="E8" s="1" t="s">
        <v>7</v>
      </c>
      <c r="F8" s="1">
        <v>2</v>
      </c>
      <c r="G8" s="1" t="s">
        <v>1978</v>
      </c>
      <c r="H8" s="1" t="s">
        <v>1994</v>
      </c>
    </row>
    <row r="9" spans="3:9" x14ac:dyDescent="0.25">
      <c r="C9" s="4" t="s">
        <v>1939</v>
      </c>
      <c r="D9" s="4" t="s">
        <v>23</v>
      </c>
      <c r="E9" s="4" t="s">
        <v>7</v>
      </c>
      <c r="F9" s="43">
        <v>33487</v>
      </c>
      <c r="G9" s="4" t="s">
        <v>1979</v>
      </c>
      <c r="H9" s="4" t="s">
        <v>1997</v>
      </c>
    </row>
    <row r="10" spans="3:9" x14ac:dyDescent="0.25">
      <c r="C10" s="1" t="s">
        <v>1939</v>
      </c>
      <c r="D10" s="1" t="s">
        <v>95</v>
      </c>
      <c r="E10" s="1" t="s">
        <v>7</v>
      </c>
      <c r="F10" s="1">
        <v>3</v>
      </c>
      <c r="G10" s="1" t="s">
        <v>1980</v>
      </c>
      <c r="H10" s="1" t="s">
        <v>1993</v>
      </c>
    </row>
    <row r="11" spans="3:9" x14ac:dyDescent="0.25">
      <c r="C11" s="1" t="s">
        <v>1939</v>
      </c>
      <c r="D11" s="1" t="s">
        <v>1981</v>
      </c>
      <c r="E11" s="1" t="s">
        <v>7</v>
      </c>
      <c r="F11" s="1">
        <v>5</v>
      </c>
      <c r="G11" s="1" t="s">
        <v>1982</v>
      </c>
      <c r="H11" s="1" t="s">
        <v>1992</v>
      </c>
    </row>
    <row r="12" spans="3:9" x14ac:dyDescent="0.25">
      <c r="C12" s="1" t="s">
        <v>1939</v>
      </c>
      <c r="D12" s="1" t="s">
        <v>1983</v>
      </c>
      <c r="E12" s="1" t="s">
        <v>7</v>
      </c>
      <c r="F12" s="1">
        <v>10</v>
      </c>
      <c r="G12" s="1" t="s">
        <v>1984</v>
      </c>
      <c r="H12" s="1" t="s">
        <v>1208</v>
      </c>
    </row>
    <row r="13" spans="3:9" x14ac:dyDescent="0.25">
      <c r="C13" s="1" t="s">
        <v>1939</v>
      </c>
      <c r="D13" s="1" t="s">
        <v>23</v>
      </c>
      <c r="E13" s="1" t="s">
        <v>7</v>
      </c>
      <c r="F13" s="1">
        <v>5167.5</v>
      </c>
      <c r="G13" s="1" t="s">
        <v>1985</v>
      </c>
      <c r="H13" s="1" t="s">
        <v>1991</v>
      </c>
      <c r="I13" s="3" t="s">
        <v>1996</v>
      </c>
    </row>
    <row r="14" spans="3:9" x14ac:dyDescent="0.25">
      <c r="C14" s="1" t="s">
        <v>1939</v>
      </c>
      <c r="D14" s="1" t="s">
        <v>1986</v>
      </c>
      <c r="E14" s="1" t="s">
        <v>7</v>
      </c>
      <c r="F14" s="1">
        <v>3.5</v>
      </c>
      <c r="G14" s="1" t="s">
        <v>1987</v>
      </c>
      <c r="H14" s="1" t="s">
        <v>1989</v>
      </c>
    </row>
    <row r="15" spans="3:9" x14ac:dyDescent="0.25">
      <c r="C15" s="1" t="s">
        <v>1939</v>
      </c>
      <c r="D15" s="1" t="s">
        <v>23</v>
      </c>
      <c r="E15" s="1" t="s">
        <v>7</v>
      </c>
      <c r="F15" s="1">
        <v>1340</v>
      </c>
      <c r="G15" s="1" t="s">
        <v>1988</v>
      </c>
      <c r="H15" s="1" t="s">
        <v>1622</v>
      </c>
    </row>
    <row r="16" spans="3:9" x14ac:dyDescent="0.25">
      <c r="C16" s="1" t="s">
        <v>1939</v>
      </c>
      <c r="D16" s="1" t="s">
        <v>33</v>
      </c>
      <c r="E16" s="1" t="s">
        <v>7</v>
      </c>
      <c r="F16" s="1">
        <v>450</v>
      </c>
      <c r="G16" s="1" t="s">
        <v>1940</v>
      </c>
      <c r="H16" s="1" t="s">
        <v>1969</v>
      </c>
    </row>
    <row r="17" spans="3:16" x14ac:dyDescent="0.25">
      <c r="C17" s="28" t="s">
        <v>1939</v>
      </c>
      <c r="D17" s="28" t="s">
        <v>1941</v>
      </c>
      <c r="E17" s="28" t="s">
        <v>7</v>
      </c>
      <c r="F17" s="28">
        <v>-39.5</v>
      </c>
      <c r="G17" s="28" t="s">
        <v>1942</v>
      </c>
      <c r="H17" s="28" t="s">
        <v>1971</v>
      </c>
    </row>
    <row r="18" spans="3:16" x14ac:dyDescent="0.25">
      <c r="C18" s="1" t="s">
        <v>1939</v>
      </c>
      <c r="D18" s="1" t="s">
        <v>17</v>
      </c>
      <c r="E18" s="1" t="s">
        <v>7</v>
      </c>
      <c r="F18" s="1">
        <v>500</v>
      </c>
      <c r="G18" s="1" t="s">
        <v>1943</v>
      </c>
      <c r="H18" s="1" t="s">
        <v>1968</v>
      </c>
    </row>
    <row r="19" spans="3:16" x14ac:dyDescent="0.25">
      <c r="C19" s="1" t="s">
        <v>1939</v>
      </c>
      <c r="D19" s="1" t="s">
        <v>17</v>
      </c>
      <c r="E19" s="1" t="s">
        <v>7</v>
      </c>
      <c r="F19" s="1">
        <v>500</v>
      </c>
      <c r="G19" s="1" t="s">
        <v>1944</v>
      </c>
      <c r="H19" s="1" t="s">
        <v>1968</v>
      </c>
    </row>
    <row r="20" spans="3:16" x14ac:dyDescent="0.25">
      <c r="C20" s="28" t="s">
        <v>1939</v>
      </c>
      <c r="D20" s="28" t="s">
        <v>1945</v>
      </c>
      <c r="E20" s="28" t="s">
        <v>7</v>
      </c>
      <c r="F20" s="28">
        <v>-21</v>
      </c>
      <c r="G20" s="28" t="s">
        <v>1946</v>
      </c>
      <c r="H20" s="28" t="s">
        <v>2008</v>
      </c>
    </row>
    <row r="21" spans="3:16" x14ac:dyDescent="0.25">
      <c r="C21" s="28" t="s">
        <v>1939</v>
      </c>
      <c r="D21" s="28" t="s">
        <v>1945</v>
      </c>
      <c r="E21" s="28" t="s">
        <v>7</v>
      </c>
      <c r="F21" s="28">
        <v>-500</v>
      </c>
      <c r="G21" s="28" t="s">
        <v>1947</v>
      </c>
      <c r="H21" s="28" t="s">
        <v>2008</v>
      </c>
      <c r="L21" s="3"/>
      <c r="M21" s="3"/>
      <c r="N21" s="3"/>
    </row>
    <row r="22" spans="3:16" x14ac:dyDescent="0.25">
      <c r="C22" s="28" t="s">
        <v>1939</v>
      </c>
      <c r="D22" s="28" t="s">
        <v>1945</v>
      </c>
      <c r="E22" s="28" t="s">
        <v>7</v>
      </c>
      <c r="F22" s="28">
        <v>-500</v>
      </c>
      <c r="G22" s="28" t="s">
        <v>1948</v>
      </c>
      <c r="H22" s="28" t="s">
        <v>2008</v>
      </c>
      <c r="L22" s="101" t="s">
        <v>1998</v>
      </c>
      <c r="M22" s="3"/>
      <c r="N22" s="3"/>
    </row>
    <row r="23" spans="3:16" x14ac:dyDescent="0.25">
      <c r="C23" s="28" t="s">
        <v>1939</v>
      </c>
      <c r="D23" s="28" t="s">
        <v>1945</v>
      </c>
      <c r="E23" s="28" t="s">
        <v>7</v>
      </c>
      <c r="F23" s="28">
        <v>-500</v>
      </c>
      <c r="G23" s="28" t="s">
        <v>1949</v>
      </c>
      <c r="H23" s="28" t="s">
        <v>2008</v>
      </c>
      <c r="L23" s="3">
        <f>+F31</f>
        <v>25290.9</v>
      </c>
      <c r="M23" s="3" t="s">
        <v>1999</v>
      </c>
      <c r="N23" s="3"/>
    </row>
    <row r="24" spans="3:16" x14ac:dyDescent="0.25">
      <c r="C24" s="1" t="s">
        <v>1939</v>
      </c>
      <c r="D24" s="1" t="s">
        <v>509</v>
      </c>
      <c r="E24" s="1" t="s">
        <v>7</v>
      </c>
      <c r="F24" s="1">
        <v>10</v>
      </c>
      <c r="G24" s="1" t="s">
        <v>1950</v>
      </c>
      <c r="H24" s="1" t="s">
        <v>1967</v>
      </c>
      <c r="L24" s="3">
        <f>+F9</f>
        <v>33487</v>
      </c>
      <c r="M24" s="3" t="s">
        <v>1999</v>
      </c>
      <c r="N24" s="3"/>
    </row>
    <row r="25" spans="3:16" x14ac:dyDescent="0.25">
      <c r="C25" s="1" t="s">
        <v>1939</v>
      </c>
      <c r="D25" s="1" t="s">
        <v>224</v>
      </c>
      <c r="E25" s="1" t="s">
        <v>7</v>
      </c>
      <c r="F25" s="1">
        <v>62</v>
      </c>
      <c r="G25" s="1" t="s">
        <v>1951</v>
      </c>
      <c r="H25" s="1" t="s">
        <v>1966</v>
      </c>
      <c r="L25" s="102">
        <f>SUM(L23:L24)</f>
        <v>58777.9</v>
      </c>
      <c r="M25" s="102" t="s">
        <v>2000</v>
      </c>
      <c r="N25" s="3"/>
    </row>
    <row r="26" spans="3:16" x14ac:dyDescent="0.25">
      <c r="C26" s="1" t="s">
        <v>1939</v>
      </c>
      <c r="D26" s="1" t="s">
        <v>75</v>
      </c>
      <c r="E26" s="1" t="s">
        <v>7</v>
      </c>
      <c r="F26" s="1">
        <v>87</v>
      </c>
      <c r="G26" s="1" t="s">
        <v>1952</v>
      </c>
      <c r="H26" s="1" t="s">
        <v>60</v>
      </c>
      <c r="L26" s="3"/>
      <c r="M26" s="3"/>
      <c r="N26" s="3"/>
    </row>
    <row r="27" spans="3:16" x14ac:dyDescent="0.25">
      <c r="C27" s="28" t="s">
        <v>1939</v>
      </c>
      <c r="D27" s="28" t="s">
        <v>172</v>
      </c>
      <c r="E27" s="28" t="s">
        <v>7</v>
      </c>
      <c r="F27" s="106">
        <v>-30000</v>
      </c>
      <c r="G27" s="28" t="s">
        <v>1953</v>
      </c>
      <c r="H27" s="28" t="s">
        <v>1207</v>
      </c>
      <c r="L27" s="3">
        <v>30000</v>
      </c>
      <c r="M27" s="3" t="s">
        <v>2001</v>
      </c>
      <c r="N27" s="3"/>
    </row>
    <row r="28" spans="3:16" x14ac:dyDescent="0.25">
      <c r="C28" s="1" t="s">
        <v>1939</v>
      </c>
      <c r="D28" s="1" t="s">
        <v>299</v>
      </c>
      <c r="E28" s="1" t="s">
        <v>7</v>
      </c>
      <c r="F28" s="1">
        <v>5</v>
      </c>
      <c r="G28" s="1" t="s">
        <v>1954</v>
      </c>
      <c r="H28" s="1" t="s">
        <v>1965</v>
      </c>
      <c r="L28" s="3"/>
      <c r="M28" s="3"/>
      <c r="N28" s="101" t="s">
        <v>2004</v>
      </c>
      <c r="O28" s="100" t="s">
        <v>2003</v>
      </c>
      <c r="P28" s="103" t="s">
        <v>2005</v>
      </c>
    </row>
    <row r="29" spans="3:16" x14ac:dyDescent="0.25">
      <c r="C29" s="1" t="s">
        <v>1939</v>
      </c>
      <c r="D29" s="1" t="s">
        <v>164</v>
      </c>
      <c r="E29" s="1" t="s">
        <v>7</v>
      </c>
      <c r="F29" s="1">
        <v>13</v>
      </c>
      <c r="G29" s="1" t="s">
        <v>1955</v>
      </c>
      <c r="H29" s="1" t="s">
        <v>1964</v>
      </c>
      <c r="L29" s="3">
        <f>+L25-L27</f>
        <v>28777.9</v>
      </c>
      <c r="M29" s="3">
        <v>13500</v>
      </c>
      <c r="N29" s="3">
        <f>+L29-M29</f>
        <v>15277.900000000001</v>
      </c>
      <c r="O29">
        <v>15388</v>
      </c>
      <c r="P29" s="104">
        <f>+O29-N29</f>
        <v>110.09999999999854</v>
      </c>
    </row>
    <row r="30" spans="3:16" x14ac:dyDescent="0.25">
      <c r="C30" s="1" t="s">
        <v>1939</v>
      </c>
      <c r="D30" s="1" t="s">
        <v>299</v>
      </c>
      <c r="E30" s="1" t="s">
        <v>7</v>
      </c>
      <c r="F30" s="1">
        <v>15</v>
      </c>
      <c r="G30" s="1" t="s">
        <v>1956</v>
      </c>
      <c r="H30" s="1" t="s">
        <v>1974</v>
      </c>
      <c r="L30" s="3"/>
      <c r="M30" s="3" t="s">
        <v>2002</v>
      </c>
      <c r="N30" s="3"/>
    </row>
    <row r="31" spans="3:16" x14ac:dyDescent="0.25">
      <c r="C31" s="99" t="s">
        <v>1939</v>
      </c>
      <c r="D31" s="99" t="s">
        <v>1957</v>
      </c>
      <c r="E31" s="99" t="s">
        <v>7</v>
      </c>
      <c r="F31" s="105">
        <v>25290.9</v>
      </c>
      <c r="G31" s="99" t="s">
        <v>1958</v>
      </c>
      <c r="H31" s="99" t="s">
        <v>1972</v>
      </c>
    </row>
    <row r="32" spans="3:16" x14ac:dyDescent="0.25">
      <c r="C32" s="1" t="s">
        <v>1939</v>
      </c>
      <c r="D32" s="1" t="s">
        <v>240</v>
      </c>
      <c r="E32" s="1" t="s">
        <v>7</v>
      </c>
      <c r="F32" s="1">
        <v>10.5</v>
      </c>
      <c r="G32" s="1" t="s">
        <v>1959</v>
      </c>
      <c r="H32" s="1" t="s">
        <v>1970</v>
      </c>
    </row>
    <row r="33" spans="3:8" x14ac:dyDescent="0.25">
      <c r="C33" s="1" t="s">
        <v>1939</v>
      </c>
      <c r="D33" s="1" t="s">
        <v>323</v>
      </c>
      <c r="E33" s="1" t="s">
        <v>7</v>
      </c>
      <c r="F33" s="1">
        <v>500</v>
      </c>
      <c r="G33" s="1" t="s">
        <v>1960</v>
      </c>
      <c r="H33" s="1" t="s">
        <v>150</v>
      </c>
    </row>
    <row r="34" spans="3:8" x14ac:dyDescent="0.25">
      <c r="C34" s="1" t="s">
        <v>1939</v>
      </c>
      <c r="D34" s="1" t="s">
        <v>1259</v>
      </c>
      <c r="E34" s="1" t="s">
        <v>7</v>
      </c>
      <c r="F34" s="1">
        <v>15</v>
      </c>
      <c r="G34" s="1" t="s">
        <v>1961</v>
      </c>
      <c r="H34" s="1" t="s">
        <v>1963</v>
      </c>
    </row>
    <row r="35" spans="3:8" x14ac:dyDescent="0.25">
      <c r="C35" s="1" t="s">
        <v>1939</v>
      </c>
      <c r="D35" s="1" t="s">
        <v>944</v>
      </c>
      <c r="E35" s="1" t="s">
        <v>7</v>
      </c>
      <c r="F35" s="1">
        <v>156.4</v>
      </c>
      <c r="G35" s="1" t="s">
        <v>1962</v>
      </c>
      <c r="H35" s="1" t="s">
        <v>1973</v>
      </c>
    </row>
    <row r="36" spans="3:8" x14ac:dyDescent="0.25">
      <c r="C36" s="1"/>
      <c r="D36" s="1"/>
      <c r="E36" s="1"/>
      <c r="F36" s="1"/>
      <c r="G36" s="1"/>
      <c r="H36" s="1"/>
    </row>
    <row r="37" spans="3:8" x14ac:dyDescent="0.25">
      <c r="C37" s="1" t="s">
        <v>1939</v>
      </c>
      <c r="D37" s="1" t="s">
        <v>78</v>
      </c>
      <c r="E37" s="1" t="s">
        <v>7</v>
      </c>
      <c r="F37" s="1">
        <v>2705.4</v>
      </c>
      <c r="G37" s="1"/>
      <c r="H37" s="1" t="s">
        <v>1990</v>
      </c>
    </row>
    <row r="38" spans="3:8" x14ac:dyDescent="0.25">
      <c r="C38" s="1" t="s">
        <v>1939</v>
      </c>
      <c r="D38" s="1" t="s">
        <v>78</v>
      </c>
      <c r="E38" s="1" t="s">
        <v>7</v>
      </c>
      <c r="F38" s="1">
        <v>1209</v>
      </c>
      <c r="G38" s="1"/>
      <c r="H38" s="1" t="s">
        <v>1584</v>
      </c>
    </row>
  </sheetData>
  <phoneticPr fontId="3" type="noConversion"/>
  <pageMargins left="0.7" right="0.7" top="0.75" bottom="0.75" header="0.3" footer="0.3"/>
  <pageSetup paperSize="256" orientation="portrait" horizontalDpi="203" verticalDpi="203" r:id="rId1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0B73A3-B425-4A58-B6EC-137CBBDAFBA2}">
  <sheetPr codeName="Hoja40"/>
  <dimension ref="C2:H28"/>
  <sheetViews>
    <sheetView workbookViewId="0">
      <selection activeCell="J24" sqref="J24"/>
    </sheetView>
  </sheetViews>
  <sheetFormatPr baseColWidth="10" defaultRowHeight="15.75" x14ac:dyDescent="0.25"/>
  <cols>
    <col min="3" max="3" width="11" style="3"/>
    <col min="4" max="4" width="22.375" style="3" customWidth="1"/>
    <col min="5" max="6" width="11" style="3"/>
    <col min="7" max="7" width="23.625" style="3" customWidth="1"/>
    <col min="8" max="8" width="33.25" style="3" bestFit="1" customWidth="1"/>
  </cols>
  <sheetData>
    <row r="2" spans="3:8" ht="16.5" thickBot="1" x14ac:dyDescent="0.3"/>
    <row r="3" spans="3:8" x14ac:dyDescent="0.25">
      <c r="C3" s="21" t="s">
        <v>0</v>
      </c>
      <c r="D3" s="22" t="s">
        <v>1</v>
      </c>
      <c r="E3" s="22" t="s">
        <v>2</v>
      </c>
      <c r="F3" s="22" t="s">
        <v>3</v>
      </c>
      <c r="G3" s="22" t="s">
        <v>4</v>
      </c>
      <c r="H3" s="13"/>
    </row>
    <row r="4" spans="3:8" x14ac:dyDescent="0.25">
      <c r="C4" s="108"/>
      <c r="D4" s="7"/>
      <c r="E4" s="7"/>
      <c r="F4" s="7"/>
      <c r="G4" s="7"/>
      <c r="H4" s="16"/>
    </row>
    <row r="5" spans="3:8" x14ac:dyDescent="0.25">
      <c r="C5" s="14" t="s">
        <v>2009</v>
      </c>
      <c r="D5" s="1" t="s">
        <v>472</v>
      </c>
      <c r="E5" s="1" t="s">
        <v>7</v>
      </c>
      <c r="F5" s="1">
        <v>-1988.6</v>
      </c>
      <c r="G5" s="1" t="s">
        <v>2050</v>
      </c>
      <c r="H5" s="16" t="s">
        <v>2051</v>
      </c>
    </row>
    <row r="6" spans="3:8" x14ac:dyDescent="0.25">
      <c r="C6" s="14" t="s">
        <v>2009</v>
      </c>
      <c r="D6" s="1" t="s">
        <v>1945</v>
      </c>
      <c r="E6" s="1" t="s">
        <v>7</v>
      </c>
      <c r="F6" s="1">
        <v>-222.64</v>
      </c>
      <c r="G6" s="1" t="s">
        <v>2035</v>
      </c>
      <c r="H6" s="16" t="s">
        <v>2048</v>
      </c>
    </row>
    <row r="7" spans="3:8" x14ac:dyDescent="0.25">
      <c r="C7" s="14" t="s">
        <v>2009</v>
      </c>
      <c r="D7" s="1" t="s">
        <v>262</v>
      </c>
      <c r="E7" s="1" t="s">
        <v>7</v>
      </c>
      <c r="F7" s="1">
        <v>20</v>
      </c>
      <c r="G7" s="1" t="s">
        <v>2036</v>
      </c>
      <c r="H7" s="16" t="s">
        <v>869</v>
      </c>
    </row>
    <row r="8" spans="3:8" x14ac:dyDescent="0.25">
      <c r="C8" s="29" t="s">
        <v>2009</v>
      </c>
      <c r="D8" s="28" t="s">
        <v>2037</v>
      </c>
      <c r="E8" s="28" t="s">
        <v>7</v>
      </c>
      <c r="F8" s="28">
        <v>-300</v>
      </c>
      <c r="G8" s="28" t="s">
        <v>2038</v>
      </c>
      <c r="H8" s="30" t="s">
        <v>2043</v>
      </c>
    </row>
    <row r="9" spans="3:8" x14ac:dyDescent="0.25">
      <c r="C9" s="14" t="s">
        <v>2009</v>
      </c>
      <c r="D9" s="1" t="s">
        <v>6</v>
      </c>
      <c r="E9" s="1" t="s">
        <v>7</v>
      </c>
      <c r="F9" s="1">
        <v>152.5</v>
      </c>
      <c r="G9" s="1" t="s">
        <v>2039</v>
      </c>
      <c r="H9" s="16" t="s">
        <v>2044</v>
      </c>
    </row>
    <row r="10" spans="3:8" x14ac:dyDescent="0.25">
      <c r="C10" s="14" t="s">
        <v>2009</v>
      </c>
      <c r="D10" s="1" t="s">
        <v>1986</v>
      </c>
      <c r="E10" s="1" t="s">
        <v>7</v>
      </c>
      <c r="F10" s="1">
        <v>13</v>
      </c>
      <c r="G10" s="1" t="s">
        <v>2040</v>
      </c>
      <c r="H10" s="16" t="s">
        <v>2045</v>
      </c>
    </row>
    <row r="11" spans="3:8" x14ac:dyDescent="0.25">
      <c r="C11" s="14" t="s">
        <v>2009</v>
      </c>
      <c r="D11" s="1" t="s">
        <v>295</v>
      </c>
      <c r="E11" s="1" t="s">
        <v>7</v>
      </c>
      <c r="F11" s="1">
        <v>10</v>
      </c>
      <c r="G11" s="1" t="s">
        <v>2041</v>
      </c>
      <c r="H11" s="16" t="s">
        <v>2046</v>
      </c>
    </row>
    <row r="12" spans="3:8" x14ac:dyDescent="0.25">
      <c r="C12" s="14" t="s">
        <v>2009</v>
      </c>
      <c r="D12" s="1" t="s">
        <v>509</v>
      </c>
      <c r="E12" s="1" t="s">
        <v>7</v>
      </c>
      <c r="F12" s="1">
        <v>12</v>
      </c>
      <c r="G12" s="1" t="s">
        <v>2042</v>
      </c>
      <c r="H12" s="16" t="s">
        <v>2047</v>
      </c>
    </row>
    <row r="13" spans="3:8" x14ac:dyDescent="0.25">
      <c r="C13" s="14" t="s">
        <v>2009</v>
      </c>
      <c r="D13" s="1" t="s">
        <v>2010</v>
      </c>
      <c r="E13" s="1" t="s">
        <v>7</v>
      </c>
      <c r="F13" s="1">
        <v>136</v>
      </c>
      <c r="G13" s="1" t="s">
        <v>2011</v>
      </c>
      <c r="H13" s="16" t="s">
        <v>2034</v>
      </c>
    </row>
    <row r="14" spans="3:8" x14ac:dyDescent="0.25">
      <c r="C14" s="29" t="s">
        <v>2009</v>
      </c>
      <c r="D14" s="28" t="s">
        <v>2012</v>
      </c>
      <c r="E14" s="28" t="s">
        <v>7</v>
      </c>
      <c r="F14" s="28">
        <v>-10</v>
      </c>
      <c r="G14" s="28" t="s">
        <v>2013</v>
      </c>
      <c r="H14" s="30" t="s">
        <v>2031</v>
      </c>
    </row>
    <row r="15" spans="3:8" x14ac:dyDescent="0.25">
      <c r="C15" s="14" t="s">
        <v>2009</v>
      </c>
      <c r="D15" s="1" t="s">
        <v>262</v>
      </c>
      <c r="E15" s="1" t="s">
        <v>7</v>
      </c>
      <c r="F15" s="1">
        <v>28</v>
      </c>
      <c r="G15" s="1" t="s">
        <v>2014</v>
      </c>
      <c r="H15" s="16" t="s">
        <v>869</v>
      </c>
    </row>
    <row r="16" spans="3:8" x14ac:dyDescent="0.25">
      <c r="C16" s="14" t="s">
        <v>2009</v>
      </c>
      <c r="D16" s="1" t="s">
        <v>15</v>
      </c>
      <c r="E16" s="1" t="s">
        <v>7</v>
      </c>
      <c r="F16" s="1">
        <v>100</v>
      </c>
      <c r="G16" s="1" t="s">
        <v>2015</v>
      </c>
      <c r="H16" s="16" t="s">
        <v>869</v>
      </c>
    </row>
    <row r="17" spans="3:8" x14ac:dyDescent="0.25">
      <c r="C17" s="14" t="s">
        <v>2009</v>
      </c>
      <c r="D17" s="1" t="s">
        <v>382</v>
      </c>
      <c r="E17" s="1" t="s">
        <v>7</v>
      </c>
      <c r="F17" s="1">
        <v>35.5</v>
      </c>
      <c r="G17" s="1" t="s">
        <v>2016</v>
      </c>
      <c r="H17" s="16" t="s">
        <v>2033</v>
      </c>
    </row>
    <row r="18" spans="3:8" x14ac:dyDescent="0.25">
      <c r="C18" s="14" t="s">
        <v>2009</v>
      </c>
      <c r="D18" s="1" t="s">
        <v>23</v>
      </c>
      <c r="E18" s="1" t="s">
        <v>7</v>
      </c>
      <c r="F18" s="1">
        <v>2120</v>
      </c>
      <c r="G18" s="1" t="s">
        <v>2017</v>
      </c>
      <c r="H18" s="16" t="s">
        <v>2030</v>
      </c>
    </row>
    <row r="19" spans="3:8" x14ac:dyDescent="0.25">
      <c r="C19" s="14" t="s">
        <v>2009</v>
      </c>
      <c r="D19" s="1" t="s">
        <v>2018</v>
      </c>
      <c r="E19" s="1" t="s">
        <v>7</v>
      </c>
      <c r="F19" s="1">
        <v>16.5</v>
      </c>
      <c r="G19" s="1" t="s">
        <v>2019</v>
      </c>
      <c r="H19" s="16" t="s">
        <v>2029</v>
      </c>
    </row>
    <row r="20" spans="3:8" x14ac:dyDescent="0.25">
      <c r="C20" s="14" t="s">
        <v>2009</v>
      </c>
      <c r="D20" s="1" t="s">
        <v>23</v>
      </c>
      <c r="E20" s="1" t="s">
        <v>7</v>
      </c>
      <c r="F20" s="1">
        <v>6957.5</v>
      </c>
      <c r="G20" s="1" t="s">
        <v>2020</v>
      </c>
      <c r="H20" s="16" t="s">
        <v>1388</v>
      </c>
    </row>
    <row r="21" spans="3:8" x14ac:dyDescent="0.25">
      <c r="C21" s="14" t="s">
        <v>2009</v>
      </c>
      <c r="D21" s="1" t="s">
        <v>161</v>
      </c>
      <c r="E21" s="1" t="s">
        <v>7</v>
      </c>
      <c r="F21" s="1">
        <v>9.5</v>
      </c>
      <c r="G21" s="1" t="s">
        <v>2021</v>
      </c>
      <c r="H21" s="16" t="s">
        <v>2028</v>
      </c>
    </row>
    <row r="22" spans="3:8" x14ac:dyDescent="0.25">
      <c r="C22" s="14" t="s">
        <v>2009</v>
      </c>
      <c r="D22" s="1" t="s">
        <v>111</v>
      </c>
      <c r="E22" s="1" t="s">
        <v>7</v>
      </c>
      <c r="F22" s="1">
        <v>31</v>
      </c>
      <c r="G22" s="1" t="s">
        <v>2022</v>
      </c>
      <c r="H22" s="16" t="s">
        <v>2027</v>
      </c>
    </row>
    <row r="23" spans="3:8" x14ac:dyDescent="0.25">
      <c r="C23" s="109" t="s">
        <v>2009</v>
      </c>
      <c r="D23" s="107" t="s">
        <v>33</v>
      </c>
      <c r="E23" s="107" t="s">
        <v>7</v>
      </c>
      <c r="F23" s="107">
        <v>58</v>
      </c>
      <c r="G23" s="107" t="s">
        <v>2023</v>
      </c>
      <c r="H23" s="110" t="s">
        <v>2049</v>
      </c>
    </row>
    <row r="24" spans="3:8" x14ac:dyDescent="0.25">
      <c r="C24" s="1" t="s">
        <v>2009</v>
      </c>
      <c r="D24" s="1" t="s">
        <v>1981</v>
      </c>
      <c r="E24" s="1" t="s">
        <v>7</v>
      </c>
      <c r="F24" s="1">
        <v>5</v>
      </c>
      <c r="G24" s="1" t="s">
        <v>2024</v>
      </c>
      <c r="H24" s="1" t="s">
        <v>2032</v>
      </c>
    </row>
    <row r="25" spans="3:8" x14ac:dyDescent="0.25">
      <c r="C25" s="1" t="s">
        <v>2009</v>
      </c>
      <c r="D25" s="1" t="s">
        <v>111</v>
      </c>
      <c r="E25" s="1" t="s">
        <v>7</v>
      </c>
      <c r="F25" s="1">
        <v>4</v>
      </c>
      <c r="G25" s="1" t="s">
        <v>2025</v>
      </c>
      <c r="H25" s="1" t="s">
        <v>2026</v>
      </c>
    </row>
    <row r="26" spans="3:8" x14ac:dyDescent="0.25">
      <c r="C26" s="1" t="s">
        <v>2009</v>
      </c>
      <c r="D26" s="1" t="s">
        <v>663</v>
      </c>
      <c r="E26" s="1" t="s">
        <v>7</v>
      </c>
      <c r="F26" s="1">
        <v>-0.45</v>
      </c>
      <c r="G26" s="1" t="s">
        <v>664</v>
      </c>
      <c r="H26" s="1"/>
    </row>
    <row r="27" spans="3:8" x14ac:dyDescent="0.25">
      <c r="C27" s="14" t="s">
        <v>2009</v>
      </c>
      <c r="D27" s="1" t="s">
        <v>78</v>
      </c>
      <c r="E27" s="1" t="s">
        <v>7</v>
      </c>
      <c r="F27" s="1">
        <v>355</v>
      </c>
      <c r="G27" s="1"/>
      <c r="H27" s="16" t="s">
        <v>607</v>
      </c>
    </row>
    <row r="28" spans="3:8" ht="16.5" thickBot="1" x14ac:dyDescent="0.3">
      <c r="C28" s="25"/>
      <c r="D28" s="18"/>
      <c r="E28" s="18"/>
      <c r="F28" s="18"/>
      <c r="G28" s="18"/>
      <c r="H28" s="27"/>
    </row>
  </sheetData>
  <pageMargins left="0.7" right="0.7" top="0.75" bottom="0.75" header="0.3" footer="0.3"/>
  <pageSetup paperSize="256" orientation="portrait" horizontalDpi="203" verticalDpi="203" r:id="rId1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94C257-7CB5-4C9B-B396-4F99F934C8D5}">
  <sheetPr codeName="Hoja41"/>
  <dimension ref="C2:H32"/>
  <sheetViews>
    <sheetView workbookViewId="0">
      <selection activeCell="F18" sqref="F18"/>
    </sheetView>
  </sheetViews>
  <sheetFormatPr baseColWidth="10" defaultRowHeight="15.75" x14ac:dyDescent="0.25"/>
  <cols>
    <col min="3" max="3" width="11" style="3"/>
    <col min="4" max="4" width="25.625" style="3" customWidth="1"/>
    <col min="5" max="6" width="11" style="3"/>
    <col min="7" max="7" width="18.75" style="3" bestFit="1" customWidth="1"/>
    <col min="8" max="8" width="40" style="3" bestFit="1" customWidth="1"/>
  </cols>
  <sheetData>
    <row r="2" spans="3:8" ht="16.5" thickBot="1" x14ac:dyDescent="0.3"/>
    <row r="3" spans="3:8" x14ac:dyDescent="0.25">
      <c r="C3" s="21" t="s">
        <v>0</v>
      </c>
      <c r="D3" s="22" t="s">
        <v>1</v>
      </c>
      <c r="E3" s="22" t="s">
        <v>2</v>
      </c>
      <c r="F3" s="22" t="s">
        <v>3</v>
      </c>
      <c r="G3" s="22" t="s">
        <v>4</v>
      </c>
      <c r="H3" s="23"/>
    </row>
    <row r="4" spans="3:8" x14ac:dyDescent="0.25">
      <c r="C4" s="29" t="s">
        <v>2052</v>
      </c>
      <c r="D4" s="28" t="s">
        <v>1945</v>
      </c>
      <c r="E4" s="28" t="s">
        <v>7</v>
      </c>
      <c r="F4" s="28">
        <v>-266.25</v>
      </c>
      <c r="G4" s="28" t="s">
        <v>2088</v>
      </c>
      <c r="H4" s="30" t="s">
        <v>2097</v>
      </c>
    </row>
    <row r="5" spans="3:8" x14ac:dyDescent="0.25">
      <c r="C5" s="14" t="s">
        <v>2052</v>
      </c>
      <c r="D5" s="1" t="s">
        <v>27</v>
      </c>
      <c r="E5" s="1" t="s">
        <v>7</v>
      </c>
      <c r="F5" s="1">
        <v>4.5</v>
      </c>
      <c r="G5" s="1" t="s">
        <v>2089</v>
      </c>
      <c r="H5" s="16" t="s">
        <v>2098</v>
      </c>
    </row>
    <row r="6" spans="3:8" x14ac:dyDescent="0.25">
      <c r="C6" s="14" t="s">
        <v>2052</v>
      </c>
      <c r="D6" s="1" t="s">
        <v>299</v>
      </c>
      <c r="E6" s="1" t="s">
        <v>7</v>
      </c>
      <c r="F6" s="1">
        <v>45</v>
      </c>
      <c r="G6" s="1" t="s">
        <v>2090</v>
      </c>
      <c r="H6" s="16" t="s">
        <v>536</v>
      </c>
    </row>
    <row r="7" spans="3:8" x14ac:dyDescent="0.25">
      <c r="C7" s="14" t="s">
        <v>2052</v>
      </c>
      <c r="D7" s="1" t="s">
        <v>23</v>
      </c>
      <c r="E7" s="1" t="s">
        <v>7</v>
      </c>
      <c r="F7" s="1">
        <v>580</v>
      </c>
      <c r="G7" s="1" t="s">
        <v>2091</v>
      </c>
      <c r="H7" s="16" t="s">
        <v>590</v>
      </c>
    </row>
    <row r="8" spans="3:8" x14ac:dyDescent="0.25">
      <c r="C8" s="14" t="s">
        <v>2052</v>
      </c>
      <c r="D8" s="1" t="s">
        <v>23</v>
      </c>
      <c r="E8" s="1" t="s">
        <v>7</v>
      </c>
      <c r="F8" s="1">
        <v>575</v>
      </c>
      <c r="G8" s="1" t="s">
        <v>2092</v>
      </c>
      <c r="H8" s="16" t="s">
        <v>590</v>
      </c>
    </row>
    <row r="9" spans="3:8" x14ac:dyDescent="0.25">
      <c r="C9" s="29" t="s">
        <v>2052</v>
      </c>
      <c r="D9" s="28" t="s">
        <v>1856</v>
      </c>
      <c r="E9" s="28" t="s">
        <v>7</v>
      </c>
      <c r="F9" s="28">
        <v>-146</v>
      </c>
      <c r="G9" s="28" t="s">
        <v>2093</v>
      </c>
      <c r="H9" s="30" t="s">
        <v>2099</v>
      </c>
    </row>
    <row r="10" spans="3:8" x14ac:dyDescent="0.25">
      <c r="C10" s="29" t="s">
        <v>2052</v>
      </c>
      <c r="D10" s="28" t="s">
        <v>1856</v>
      </c>
      <c r="E10" s="28" t="s">
        <v>7</v>
      </c>
      <c r="F10" s="28">
        <v>-500</v>
      </c>
      <c r="G10" s="28" t="s">
        <v>2094</v>
      </c>
      <c r="H10" s="30" t="s">
        <v>2099</v>
      </c>
    </row>
    <row r="11" spans="3:8" x14ac:dyDescent="0.25">
      <c r="C11" s="14" t="s">
        <v>2052</v>
      </c>
      <c r="D11" s="1" t="s">
        <v>370</v>
      </c>
      <c r="E11" s="1" t="s">
        <v>7</v>
      </c>
      <c r="F11" s="1">
        <v>40.5</v>
      </c>
      <c r="G11" s="1" t="s">
        <v>2095</v>
      </c>
      <c r="H11" s="16" t="s">
        <v>2100</v>
      </c>
    </row>
    <row r="12" spans="3:8" x14ac:dyDescent="0.25">
      <c r="C12" s="14" t="s">
        <v>2052</v>
      </c>
      <c r="D12" s="1" t="s">
        <v>23</v>
      </c>
      <c r="E12" s="1" t="s">
        <v>7</v>
      </c>
      <c r="F12" s="1">
        <v>275</v>
      </c>
      <c r="G12" s="1" t="s">
        <v>2096</v>
      </c>
      <c r="H12" s="16" t="s">
        <v>1585</v>
      </c>
    </row>
    <row r="13" spans="3:8" x14ac:dyDescent="0.25">
      <c r="C13" s="14" t="s">
        <v>2052</v>
      </c>
      <c r="D13" s="1" t="s">
        <v>370</v>
      </c>
      <c r="E13" s="1" t="s">
        <v>7</v>
      </c>
      <c r="F13" s="1">
        <v>31</v>
      </c>
      <c r="G13" s="1" t="s">
        <v>2066</v>
      </c>
      <c r="H13" s="16" t="s">
        <v>2084</v>
      </c>
    </row>
    <row r="14" spans="3:8" x14ac:dyDescent="0.25">
      <c r="C14" s="14" t="s">
        <v>2052</v>
      </c>
      <c r="D14" s="1" t="s">
        <v>269</v>
      </c>
      <c r="E14" s="1" t="s">
        <v>7</v>
      </c>
      <c r="F14" s="1">
        <v>20</v>
      </c>
      <c r="G14" s="1" t="s">
        <v>2067</v>
      </c>
      <c r="H14" s="16" t="s">
        <v>2083</v>
      </c>
    </row>
    <row r="15" spans="3:8" x14ac:dyDescent="0.25">
      <c r="C15" s="14" t="s">
        <v>2052</v>
      </c>
      <c r="D15" s="1" t="s">
        <v>2064</v>
      </c>
      <c r="E15" s="1" t="s">
        <v>7</v>
      </c>
      <c r="F15" s="1">
        <v>6</v>
      </c>
      <c r="G15" s="1" t="s">
        <v>2068</v>
      </c>
      <c r="H15" s="16" t="s">
        <v>2082</v>
      </c>
    </row>
    <row r="16" spans="3:8" x14ac:dyDescent="0.25">
      <c r="C16" s="14" t="s">
        <v>2052</v>
      </c>
      <c r="D16" s="1" t="s">
        <v>269</v>
      </c>
      <c r="E16" s="1" t="s">
        <v>7</v>
      </c>
      <c r="F16" s="1">
        <v>157</v>
      </c>
      <c r="G16" s="1" t="s">
        <v>2069</v>
      </c>
      <c r="H16" s="16" t="s">
        <v>2086</v>
      </c>
    </row>
    <row r="17" spans="3:8" x14ac:dyDescent="0.25">
      <c r="C17" s="14" t="s">
        <v>2052</v>
      </c>
      <c r="D17" s="1" t="s">
        <v>2070</v>
      </c>
      <c r="E17" s="1" t="s">
        <v>7</v>
      </c>
      <c r="F17" s="1">
        <v>29</v>
      </c>
      <c r="G17" s="1" t="s">
        <v>2071</v>
      </c>
      <c r="H17" s="16" t="s">
        <v>2081</v>
      </c>
    </row>
    <row r="18" spans="3:8" x14ac:dyDescent="0.25">
      <c r="C18" s="14" t="s">
        <v>2052</v>
      </c>
      <c r="D18" s="1" t="s">
        <v>295</v>
      </c>
      <c r="E18" s="1" t="s">
        <v>7</v>
      </c>
      <c r="F18" s="1">
        <v>500</v>
      </c>
      <c r="G18" s="1" t="s">
        <v>2072</v>
      </c>
      <c r="H18" s="16" t="s">
        <v>2081</v>
      </c>
    </row>
    <row r="19" spans="3:8" x14ac:dyDescent="0.25">
      <c r="C19" s="14" t="s">
        <v>2052</v>
      </c>
      <c r="D19" s="1" t="s">
        <v>370</v>
      </c>
      <c r="E19" s="1" t="s">
        <v>7</v>
      </c>
      <c r="F19" s="1">
        <v>109</v>
      </c>
      <c r="G19" s="1" t="s">
        <v>2073</v>
      </c>
      <c r="H19" s="16" t="s">
        <v>2087</v>
      </c>
    </row>
    <row r="20" spans="3:8" x14ac:dyDescent="0.25">
      <c r="C20" s="14" t="s">
        <v>2052</v>
      </c>
      <c r="D20" s="1" t="s">
        <v>370</v>
      </c>
      <c r="E20" s="1" t="s">
        <v>7</v>
      </c>
      <c r="F20" s="1">
        <v>500</v>
      </c>
      <c r="G20" s="1" t="s">
        <v>2074</v>
      </c>
      <c r="H20" s="16" t="s">
        <v>2087</v>
      </c>
    </row>
    <row r="21" spans="3:8" x14ac:dyDescent="0.25">
      <c r="C21" s="14" t="s">
        <v>2052</v>
      </c>
      <c r="D21" s="1" t="s">
        <v>262</v>
      </c>
      <c r="E21" s="1" t="s">
        <v>7</v>
      </c>
      <c r="F21" s="1">
        <v>232</v>
      </c>
      <c r="G21" s="1" t="s">
        <v>2053</v>
      </c>
      <c r="H21" s="16" t="s">
        <v>2085</v>
      </c>
    </row>
    <row r="22" spans="3:8" x14ac:dyDescent="0.25">
      <c r="C22" s="14" t="s">
        <v>2052</v>
      </c>
      <c r="D22" s="1" t="s">
        <v>262</v>
      </c>
      <c r="E22" s="1" t="s">
        <v>7</v>
      </c>
      <c r="F22" s="1">
        <v>1000</v>
      </c>
      <c r="G22" s="1" t="s">
        <v>2054</v>
      </c>
      <c r="H22" s="16" t="s">
        <v>2085</v>
      </c>
    </row>
    <row r="23" spans="3:8" x14ac:dyDescent="0.25">
      <c r="C23" s="14" t="s">
        <v>2052</v>
      </c>
      <c r="D23" s="1" t="s">
        <v>262</v>
      </c>
      <c r="E23" s="1" t="s">
        <v>7</v>
      </c>
      <c r="F23" s="1">
        <v>1000</v>
      </c>
      <c r="G23" s="1" t="s">
        <v>2055</v>
      </c>
      <c r="H23" s="16" t="s">
        <v>2085</v>
      </c>
    </row>
    <row r="24" spans="3:8" x14ac:dyDescent="0.25">
      <c r="C24" s="29" t="s">
        <v>2052</v>
      </c>
      <c r="D24" s="28" t="s">
        <v>2056</v>
      </c>
      <c r="E24" s="28" t="s">
        <v>7</v>
      </c>
      <c r="F24" s="28">
        <v>-68.69</v>
      </c>
      <c r="G24" s="28" t="s">
        <v>2057</v>
      </c>
      <c r="H24" s="30" t="s">
        <v>2080</v>
      </c>
    </row>
    <row r="25" spans="3:8" x14ac:dyDescent="0.25">
      <c r="C25" s="14" t="s">
        <v>2052</v>
      </c>
      <c r="D25" s="1" t="s">
        <v>33</v>
      </c>
      <c r="E25" s="1" t="s">
        <v>7</v>
      </c>
      <c r="F25" s="1">
        <v>3.5</v>
      </c>
      <c r="G25" s="1" t="s">
        <v>2058</v>
      </c>
      <c r="H25" s="16" t="s">
        <v>2079</v>
      </c>
    </row>
    <row r="26" spans="3:8" x14ac:dyDescent="0.25">
      <c r="C26" s="14" t="s">
        <v>2052</v>
      </c>
      <c r="D26" s="1" t="s">
        <v>33</v>
      </c>
      <c r="E26" s="1" t="s">
        <v>7</v>
      </c>
      <c r="F26" s="1">
        <v>5</v>
      </c>
      <c r="G26" s="1" t="s">
        <v>2059</v>
      </c>
      <c r="H26" s="16" t="s">
        <v>2078</v>
      </c>
    </row>
    <row r="27" spans="3:8" x14ac:dyDescent="0.25">
      <c r="C27" s="14" t="s">
        <v>2052</v>
      </c>
      <c r="D27" s="1" t="s">
        <v>2060</v>
      </c>
      <c r="E27" s="1" t="s">
        <v>7</v>
      </c>
      <c r="F27" s="1">
        <v>18</v>
      </c>
      <c r="G27" s="1" t="s">
        <v>2061</v>
      </c>
      <c r="H27" s="16" t="s">
        <v>2077</v>
      </c>
    </row>
    <row r="28" spans="3:8" x14ac:dyDescent="0.25">
      <c r="C28" s="14" t="s">
        <v>2052</v>
      </c>
      <c r="D28" s="1" t="s">
        <v>382</v>
      </c>
      <c r="E28" s="1" t="s">
        <v>7</v>
      </c>
      <c r="F28" s="1">
        <v>98.5</v>
      </c>
      <c r="G28" s="1" t="s">
        <v>2062</v>
      </c>
      <c r="H28" s="16" t="s">
        <v>2076</v>
      </c>
    </row>
    <row r="29" spans="3:8" x14ac:dyDescent="0.25">
      <c r="C29" s="14" t="s">
        <v>2052</v>
      </c>
      <c r="D29" s="1" t="s">
        <v>325</v>
      </c>
      <c r="E29" s="1" t="s">
        <v>7</v>
      </c>
      <c r="F29" s="1">
        <v>50</v>
      </c>
      <c r="G29" s="1" t="s">
        <v>2063</v>
      </c>
      <c r="H29" s="16" t="s">
        <v>972</v>
      </c>
    </row>
    <row r="30" spans="3:8" x14ac:dyDescent="0.25">
      <c r="C30" s="14" t="s">
        <v>2052</v>
      </c>
      <c r="D30" s="1" t="s">
        <v>2064</v>
      </c>
      <c r="E30" s="1" t="s">
        <v>7</v>
      </c>
      <c r="F30" s="1">
        <v>11</v>
      </c>
      <c r="G30" s="1" t="s">
        <v>2065</v>
      </c>
      <c r="H30" s="16" t="s">
        <v>2075</v>
      </c>
    </row>
    <row r="31" spans="3:8" x14ac:dyDescent="0.25">
      <c r="C31" s="14"/>
      <c r="D31" s="1"/>
      <c r="E31" s="1"/>
      <c r="F31" s="1"/>
      <c r="G31" s="1"/>
      <c r="H31" s="16"/>
    </row>
    <row r="32" spans="3:8" ht="16.5" thickBot="1" x14ac:dyDescent="0.3">
      <c r="C32" s="25" t="s">
        <v>2052</v>
      </c>
      <c r="D32" s="18" t="s">
        <v>78</v>
      </c>
      <c r="E32" s="18" t="s">
        <v>7</v>
      </c>
      <c r="F32" s="18">
        <v>851</v>
      </c>
      <c r="G32" s="18"/>
      <c r="H32" s="27" t="s">
        <v>1990</v>
      </c>
    </row>
  </sheetData>
  <pageMargins left="0.7" right="0.7" top="0.75" bottom="0.75" header="0.3" footer="0.3"/>
  <pageSetup paperSize="256" orientation="portrait" r:id="rId1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020B3F-D3EB-43C5-8622-0D1403E86930}">
  <sheetPr codeName="Hoja42"/>
  <dimension ref="B4:H36"/>
  <sheetViews>
    <sheetView topLeftCell="A4" workbookViewId="0">
      <selection activeCell="G35" sqref="G35:G36"/>
    </sheetView>
  </sheetViews>
  <sheetFormatPr baseColWidth="10" defaultRowHeight="15.75" x14ac:dyDescent="0.25"/>
  <cols>
    <col min="2" max="2" width="11" style="3"/>
    <col min="3" max="3" width="21.875" style="3" customWidth="1"/>
    <col min="4" max="5" width="11" style="3"/>
    <col min="6" max="6" width="20.5" style="3" customWidth="1"/>
    <col min="7" max="7" width="36" style="3" bestFit="1" customWidth="1"/>
  </cols>
  <sheetData>
    <row r="4" spans="2:8" x14ac:dyDescent="0.25">
      <c r="B4" s="1" t="s">
        <v>0</v>
      </c>
      <c r="C4" s="1" t="s">
        <v>1</v>
      </c>
      <c r="D4" s="1" t="s">
        <v>2</v>
      </c>
      <c r="E4" s="1" t="s">
        <v>3</v>
      </c>
      <c r="F4" s="1" t="s">
        <v>4</v>
      </c>
      <c r="G4" s="1"/>
      <c r="H4" s="111"/>
    </row>
    <row r="5" spans="2:8" x14ac:dyDescent="0.25">
      <c r="B5" s="1"/>
      <c r="C5" s="1"/>
      <c r="D5" s="1"/>
      <c r="E5" s="1"/>
      <c r="F5" s="1"/>
      <c r="G5" s="1"/>
      <c r="H5" s="111"/>
    </row>
    <row r="6" spans="2:8" x14ac:dyDescent="0.25">
      <c r="B6" s="1" t="s">
        <v>2102</v>
      </c>
      <c r="C6" s="1" t="s">
        <v>39</v>
      </c>
      <c r="D6" s="1" t="s">
        <v>7</v>
      </c>
      <c r="E6" s="1">
        <v>105</v>
      </c>
      <c r="F6" s="1" t="s">
        <v>2117</v>
      </c>
      <c r="G6" s="1" t="s">
        <v>2145</v>
      </c>
      <c r="H6" s="111"/>
    </row>
    <row r="7" spans="2:8" x14ac:dyDescent="0.25">
      <c r="B7" s="1" t="s">
        <v>2102</v>
      </c>
      <c r="C7" s="1" t="s">
        <v>23</v>
      </c>
      <c r="D7" s="1" t="s">
        <v>7</v>
      </c>
      <c r="E7" s="1">
        <v>1200</v>
      </c>
      <c r="F7" s="1" t="s">
        <v>2118</v>
      </c>
      <c r="G7" s="1" t="s">
        <v>2144</v>
      </c>
      <c r="H7" s="111"/>
    </row>
    <row r="8" spans="2:8" x14ac:dyDescent="0.25">
      <c r="B8" s="28" t="s">
        <v>2102</v>
      </c>
      <c r="C8" s="28" t="s">
        <v>472</v>
      </c>
      <c r="D8" s="28" t="s">
        <v>7</v>
      </c>
      <c r="E8" s="28">
        <v>-1182.7</v>
      </c>
      <c r="F8" s="28" t="s">
        <v>2119</v>
      </c>
      <c r="G8" s="28" t="s">
        <v>2143</v>
      </c>
      <c r="H8" s="111"/>
    </row>
    <row r="9" spans="2:8" x14ac:dyDescent="0.25">
      <c r="B9" s="1" t="s">
        <v>2102</v>
      </c>
      <c r="C9" s="1" t="s">
        <v>240</v>
      </c>
      <c r="D9" s="1" t="s">
        <v>7</v>
      </c>
      <c r="E9" s="1">
        <v>238</v>
      </c>
      <c r="F9" s="1" t="s">
        <v>2120</v>
      </c>
      <c r="G9" s="1" t="s">
        <v>68</v>
      </c>
      <c r="H9" s="111"/>
    </row>
    <row r="10" spans="2:8" x14ac:dyDescent="0.25">
      <c r="B10" s="28" t="s">
        <v>2102</v>
      </c>
      <c r="C10" s="28" t="s">
        <v>69</v>
      </c>
      <c r="D10" s="28" t="s">
        <v>7</v>
      </c>
      <c r="E10" s="28">
        <v>-974</v>
      </c>
      <c r="F10" s="28" t="s">
        <v>2121</v>
      </c>
      <c r="G10" s="28" t="s">
        <v>2149</v>
      </c>
      <c r="H10" s="111"/>
    </row>
    <row r="11" spans="2:8" x14ac:dyDescent="0.25">
      <c r="B11" s="1" t="s">
        <v>2102</v>
      </c>
      <c r="C11" s="1" t="s">
        <v>979</v>
      </c>
      <c r="D11" s="1" t="s">
        <v>7</v>
      </c>
      <c r="E11" s="1">
        <v>1</v>
      </c>
      <c r="F11" s="1" t="s">
        <v>2122</v>
      </c>
      <c r="G11" s="1" t="s">
        <v>2142</v>
      </c>
      <c r="H11" s="111"/>
    </row>
    <row r="12" spans="2:8" x14ac:dyDescent="0.25">
      <c r="B12" s="28" t="s">
        <v>2102</v>
      </c>
      <c r="C12" s="28" t="s">
        <v>472</v>
      </c>
      <c r="D12" s="28" t="s">
        <v>7</v>
      </c>
      <c r="E12" s="28">
        <v>-998.67</v>
      </c>
      <c r="F12" s="28" t="s">
        <v>2123</v>
      </c>
      <c r="G12" s="28" t="s">
        <v>2150</v>
      </c>
      <c r="H12" s="111"/>
    </row>
    <row r="13" spans="2:8" x14ac:dyDescent="0.25">
      <c r="B13" s="1" t="s">
        <v>2102</v>
      </c>
      <c r="C13" s="1" t="s">
        <v>299</v>
      </c>
      <c r="D13" s="1" t="s">
        <v>7</v>
      </c>
      <c r="E13" s="1">
        <v>65</v>
      </c>
      <c r="F13" s="1" t="s">
        <v>2124</v>
      </c>
      <c r="G13" s="1" t="s">
        <v>536</v>
      </c>
      <c r="H13" s="111"/>
    </row>
    <row r="14" spans="2:8" x14ac:dyDescent="0.25">
      <c r="B14" s="28" t="s">
        <v>2102</v>
      </c>
      <c r="C14" s="28" t="s">
        <v>472</v>
      </c>
      <c r="D14" s="28" t="s">
        <v>7</v>
      </c>
      <c r="E14" s="28">
        <v>-11073</v>
      </c>
      <c r="F14" s="28" t="s">
        <v>2125</v>
      </c>
      <c r="G14" s="28" t="s">
        <v>2141</v>
      </c>
      <c r="H14" s="111"/>
    </row>
    <row r="15" spans="2:8" x14ac:dyDescent="0.25">
      <c r="B15" s="1" t="s">
        <v>2102</v>
      </c>
      <c r="C15" s="1" t="s">
        <v>519</v>
      </c>
      <c r="D15" s="1" t="s">
        <v>7</v>
      </c>
      <c r="E15" s="1">
        <v>174.5</v>
      </c>
      <c r="F15" s="1" t="s">
        <v>2126</v>
      </c>
      <c r="G15" s="1" t="s">
        <v>533</v>
      </c>
      <c r="H15" s="111"/>
    </row>
    <row r="16" spans="2:8" x14ac:dyDescent="0.25">
      <c r="B16" s="1" t="s">
        <v>2102</v>
      </c>
      <c r="C16" s="1" t="s">
        <v>164</v>
      </c>
      <c r="D16" s="1" t="s">
        <v>7</v>
      </c>
      <c r="E16" s="1">
        <v>6</v>
      </c>
      <c r="F16" s="1" t="s">
        <v>2127</v>
      </c>
      <c r="G16" s="1" t="s">
        <v>2140</v>
      </c>
      <c r="H16" s="111"/>
    </row>
    <row r="17" spans="2:8" x14ac:dyDescent="0.25">
      <c r="B17" s="1" t="s">
        <v>2102</v>
      </c>
      <c r="C17" s="1" t="s">
        <v>27</v>
      </c>
      <c r="D17" s="1" t="s">
        <v>7</v>
      </c>
      <c r="E17" s="1">
        <v>3</v>
      </c>
      <c r="F17" s="1" t="s">
        <v>2128</v>
      </c>
      <c r="G17" s="1" t="s">
        <v>2139</v>
      </c>
      <c r="H17" s="111"/>
    </row>
    <row r="18" spans="2:8" x14ac:dyDescent="0.25">
      <c r="B18" s="112" t="s">
        <v>2102</v>
      </c>
      <c r="C18" s="112" t="s">
        <v>23</v>
      </c>
      <c r="D18" s="112" t="s">
        <v>7</v>
      </c>
      <c r="E18" s="112">
        <v>8137.4</v>
      </c>
      <c r="F18" s="112" t="s">
        <v>2129</v>
      </c>
      <c r="G18" s="112" t="s">
        <v>2148</v>
      </c>
      <c r="H18" s="111"/>
    </row>
    <row r="19" spans="2:8" x14ac:dyDescent="0.25">
      <c r="B19" s="1" t="s">
        <v>2102</v>
      </c>
      <c r="C19" s="1" t="s">
        <v>23</v>
      </c>
      <c r="D19" s="1" t="s">
        <v>7</v>
      </c>
      <c r="E19" s="1">
        <v>80</v>
      </c>
      <c r="F19" s="1" t="s">
        <v>2130</v>
      </c>
      <c r="G19" s="1" t="s">
        <v>185</v>
      </c>
      <c r="H19" s="111"/>
    </row>
    <row r="20" spans="2:8" x14ac:dyDescent="0.25">
      <c r="B20" s="1" t="s">
        <v>2102</v>
      </c>
      <c r="C20" s="1" t="s">
        <v>75</v>
      </c>
      <c r="D20" s="1" t="s">
        <v>7</v>
      </c>
      <c r="E20" s="1">
        <v>101</v>
      </c>
      <c r="F20" s="1" t="s">
        <v>2131</v>
      </c>
      <c r="G20" s="1" t="s">
        <v>60</v>
      </c>
      <c r="H20" s="111"/>
    </row>
    <row r="21" spans="2:8" x14ac:dyDescent="0.25">
      <c r="B21" s="1" t="s">
        <v>2102</v>
      </c>
      <c r="C21" s="1" t="s">
        <v>75</v>
      </c>
      <c r="D21" s="1" t="s">
        <v>7</v>
      </c>
      <c r="E21" s="1">
        <v>40</v>
      </c>
      <c r="F21" s="1" t="s">
        <v>2103</v>
      </c>
      <c r="G21" s="1" t="s">
        <v>60</v>
      </c>
      <c r="H21" s="111"/>
    </row>
    <row r="22" spans="2:8" x14ac:dyDescent="0.25">
      <c r="B22" s="1" t="s">
        <v>2102</v>
      </c>
      <c r="C22" s="1" t="s">
        <v>224</v>
      </c>
      <c r="D22" s="1" t="s">
        <v>7</v>
      </c>
      <c r="E22" s="1">
        <v>10</v>
      </c>
      <c r="F22" s="1" t="s">
        <v>2104</v>
      </c>
      <c r="G22" s="1" t="s">
        <v>2138</v>
      </c>
      <c r="H22" s="111"/>
    </row>
    <row r="23" spans="2:8" x14ac:dyDescent="0.25">
      <c r="B23" s="1" t="s">
        <v>2102</v>
      </c>
      <c r="C23" s="1" t="s">
        <v>2105</v>
      </c>
      <c r="D23" s="1" t="s">
        <v>7</v>
      </c>
      <c r="E23" s="1">
        <v>18</v>
      </c>
      <c r="F23" s="1" t="s">
        <v>2106</v>
      </c>
      <c r="G23" s="1" t="s">
        <v>2147</v>
      </c>
      <c r="H23" s="111"/>
    </row>
    <row r="24" spans="2:8" x14ac:dyDescent="0.25">
      <c r="B24" s="1" t="s">
        <v>2102</v>
      </c>
      <c r="C24" s="1" t="s">
        <v>509</v>
      </c>
      <c r="D24" s="1" t="s">
        <v>7</v>
      </c>
      <c r="E24" s="1">
        <v>1020</v>
      </c>
      <c r="F24" s="1" t="s">
        <v>2107</v>
      </c>
      <c r="G24" s="1" t="s">
        <v>1335</v>
      </c>
      <c r="H24" s="111"/>
    </row>
    <row r="25" spans="2:8" x14ac:dyDescent="0.25">
      <c r="B25" s="1" t="s">
        <v>2102</v>
      </c>
      <c r="C25" s="1" t="s">
        <v>2108</v>
      </c>
      <c r="D25" s="1" t="s">
        <v>7</v>
      </c>
      <c r="E25" s="1">
        <v>14.5</v>
      </c>
      <c r="F25" s="1" t="s">
        <v>2109</v>
      </c>
      <c r="G25" s="1" t="s">
        <v>2146</v>
      </c>
      <c r="H25" s="111"/>
    </row>
    <row r="26" spans="2:8" x14ac:dyDescent="0.25">
      <c r="B26" s="112" t="s">
        <v>2102</v>
      </c>
      <c r="C26" s="112" t="s">
        <v>2110</v>
      </c>
      <c r="D26" s="112" t="s">
        <v>7</v>
      </c>
      <c r="E26" s="112">
        <v>7952.6</v>
      </c>
      <c r="F26" s="112" t="s">
        <v>2111</v>
      </c>
      <c r="G26" s="112" t="s">
        <v>2137</v>
      </c>
      <c r="H26" s="111"/>
    </row>
    <row r="27" spans="2:8" x14ac:dyDescent="0.25">
      <c r="B27" s="1" t="s">
        <v>2102</v>
      </c>
      <c r="C27" s="1" t="s">
        <v>23</v>
      </c>
      <c r="D27" s="1" t="s">
        <v>7</v>
      </c>
      <c r="E27" s="1">
        <v>547.70000000000005</v>
      </c>
      <c r="F27" s="1" t="s">
        <v>2112</v>
      </c>
      <c r="G27" s="1" t="s">
        <v>2136</v>
      </c>
      <c r="H27" s="111"/>
    </row>
    <row r="28" spans="2:8" x14ac:dyDescent="0.25">
      <c r="B28" s="1" t="s">
        <v>2102</v>
      </c>
      <c r="C28" s="1" t="s">
        <v>27</v>
      </c>
      <c r="D28" s="1" t="s">
        <v>7</v>
      </c>
      <c r="E28" s="1">
        <v>100</v>
      </c>
      <c r="F28" s="1" t="s">
        <v>2113</v>
      </c>
      <c r="G28" s="1" t="s">
        <v>2135</v>
      </c>
      <c r="H28" s="111"/>
    </row>
    <row r="29" spans="2:8" x14ac:dyDescent="0.25">
      <c r="B29" s="1" t="s">
        <v>2102</v>
      </c>
      <c r="C29" s="1" t="s">
        <v>382</v>
      </c>
      <c r="D29" s="1" t="s">
        <v>7</v>
      </c>
      <c r="E29" s="1">
        <v>6</v>
      </c>
      <c r="F29" s="1" t="s">
        <v>2114</v>
      </c>
      <c r="G29" s="1" t="s">
        <v>2134</v>
      </c>
      <c r="H29" s="111"/>
    </row>
    <row r="30" spans="2:8" x14ac:dyDescent="0.25">
      <c r="B30" s="28" t="s">
        <v>2102</v>
      </c>
      <c r="C30" s="28" t="s">
        <v>248</v>
      </c>
      <c r="D30" s="28" t="s">
        <v>7</v>
      </c>
      <c r="E30" s="28">
        <v>-58</v>
      </c>
      <c r="F30" s="28" t="s">
        <v>2115</v>
      </c>
      <c r="G30" s="28" t="s">
        <v>2133</v>
      </c>
      <c r="H30" s="111"/>
    </row>
    <row r="31" spans="2:8" x14ac:dyDescent="0.25">
      <c r="B31" s="1" t="s">
        <v>2102</v>
      </c>
      <c r="C31" s="1" t="s">
        <v>360</v>
      </c>
      <c r="D31" s="1" t="s">
        <v>7</v>
      </c>
      <c r="E31" s="1">
        <v>32</v>
      </c>
      <c r="F31" s="1" t="s">
        <v>2116</v>
      </c>
      <c r="G31" s="1" t="s">
        <v>2132</v>
      </c>
      <c r="H31" s="111"/>
    </row>
    <row r="32" spans="2:8" x14ac:dyDescent="0.25">
      <c r="B32" s="1"/>
      <c r="C32" s="1"/>
      <c r="D32" s="1"/>
      <c r="E32" s="1"/>
      <c r="F32" s="1"/>
      <c r="G32" s="1"/>
      <c r="H32" s="111"/>
    </row>
    <row r="33" spans="2:8" x14ac:dyDescent="0.25">
      <c r="B33" s="1" t="s">
        <v>2102</v>
      </c>
      <c r="C33" s="1" t="s">
        <v>78</v>
      </c>
      <c r="D33" s="1" t="s">
        <v>7</v>
      </c>
      <c r="E33" s="1">
        <v>-11073</v>
      </c>
      <c r="F33" s="1" t="s">
        <v>2125</v>
      </c>
      <c r="G33" s="1" t="s">
        <v>2141</v>
      </c>
      <c r="H33" s="1" t="s">
        <v>1999</v>
      </c>
    </row>
    <row r="35" spans="2:8" x14ac:dyDescent="0.25">
      <c r="B35" s="1" t="s">
        <v>2102</v>
      </c>
      <c r="C35" s="1" t="s">
        <v>27</v>
      </c>
      <c r="D35" s="1" t="s">
        <v>7</v>
      </c>
      <c r="E35" s="3">
        <v>500</v>
      </c>
      <c r="F35" s="3">
        <v>4087788</v>
      </c>
      <c r="G35" s="3" t="s">
        <v>63</v>
      </c>
    </row>
    <row r="36" spans="2:8" x14ac:dyDescent="0.25">
      <c r="B36" s="1" t="s">
        <v>2102</v>
      </c>
      <c r="C36" s="1" t="s">
        <v>27</v>
      </c>
      <c r="D36" s="1" t="s">
        <v>7</v>
      </c>
      <c r="E36" s="3">
        <v>46</v>
      </c>
      <c r="F36" s="3">
        <v>23732671</v>
      </c>
      <c r="G36" s="3" t="s">
        <v>63</v>
      </c>
    </row>
  </sheetData>
  <pageMargins left="0.7" right="0.7" top="0.75" bottom="0.75" header="0.3" footer="0.3"/>
  <pageSetup paperSize="256" orientation="portrait" horizontalDpi="203" verticalDpi="203" r:id="rId1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C7659F-446C-45AD-A375-5A77401307B0}">
  <sheetPr codeName="Hoja43"/>
  <dimension ref="B3:G68"/>
  <sheetViews>
    <sheetView topLeftCell="A40" workbookViewId="0">
      <selection activeCell="F64" sqref="F64"/>
    </sheetView>
  </sheetViews>
  <sheetFormatPr baseColWidth="10" defaultRowHeight="15.75" x14ac:dyDescent="0.25"/>
  <cols>
    <col min="2" max="2" width="11" style="3"/>
    <col min="3" max="3" width="24.75" style="3" bestFit="1" customWidth="1"/>
    <col min="4" max="5" width="11" style="3"/>
    <col min="6" max="6" width="21.25" style="3" customWidth="1"/>
    <col min="7" max="7" width="42.75" style="3" customWidth="1"/>
  </cols>
  <sheetData>
    <row r="3" spans="2:7" x14ac:dyDescent="0.25">
      <c r="B3" s="7" t="s">
        <v>0</v>
      </c>
      <c r="C3" s="7" t="s">
        <v>1</v>
      </c>
      <c r="D3" s="7" t="s">
        <v>2</v>
      </c>
      <c r="E3" s="7" t="s">
        <v>3</v>
      </c>
      <c r="F3" s="7" t="s">
        <v>4</v>
      </c>
      <c r="G3" s="1"/>
    </row>
    <row r="4" spans="2:7" x14ac:dyDescent="0.25">
      <c r="B4" s="1"/>
      <c r="C4" s="1"/>
      <c r="D4" s="1"/>
      <c r="E4" s="1"/>
      <c r="F4" s="1"/>
      <c r="G4" s="1"/>
    </row>
    <row r="5" spans="2:7" x14ac:dyDescent="0.25">
      <c r="B5" s="1" t="s">
        <v>2174</v>
      </c>
      <c r="C5" s="1" t="s">
        <v>472</v>
      </c>
      <c r="D5" s="1" t="s">
        <v>7</v>
      </c>
      <c r="E5" s="78">
        <v>1126</v>
      </c>
      <c r="F5" s="1" t="s">
        <v>2210</v>
      </c>
      <c r="G5" s="1" t="s">
        <v>2238</v>
      </c>
    </row>
    <row r="6" spans="2:7" x14ac:dyDescent="0.25">
      <c r="B6" s="1" t="s">
        <v>2174</v>
      </c>
      <c r="C6" s="1" t="s">
        <v>665</v>
      </c>
      <c r="D6" s="1" t="s">
        <v>7</v>
      </c>
      <c r="E6" s="78">
        <v>10</v>
      </c>
      <c r="F6" s="1" t="s">
        <v>2211</v>
      </c>
      <c r="G6" s="1" t="s">
        <v>386</v>
      </c>
    </row>
    <row r="7" spans="2:7" x14ac:dyDescent="0.25">
      <c r="B7" s="1" t="s">
        <v>2174</v>
      </c>
      <c r="C7" s="1" t="s">
        <v>23</v>
      </c>
      <c r="D7" s="1" t="s">
        <v>7</v>
      </c>
      <c r="E7" s="78">
        <v>22.5</v>
      </c>
      <c r="F7" s="1" t="s">
        <v>2212</v>
      </c>
      <c r="G7" s="1" t="s">
        <v>2234</v>
      </c>
    </row>
    <row r="8" spans="2:7" x14ac:dyDescent="0.25">
      <c r="B8" s="1" t="s">
        <v>2174</v>
      </c>
      <c r="C8" s="1" t="s">
        <v>23</v>
      </c>
      <c r="D8" s="1" t="s">
        <v>7</v>
      </c>
      <c r="E8" s="78">
        <v>380</v>
      </c>
      <c r="F8" s="1" t="s">
        <v>2213</v>
      </c>
      <c r="G8" s="1" t="s">
        <v>2234</v>
      </c>
    </row>
    <row r="9" spans="2:7" x14ac:dyDescent="0.25">
      <c r="B9" s="1" t="s">
        <v>2174</v>
      </c>
      <c r="C9" s="1" t="s">
        <v>95</v>
      </c>
      <c r="D9" s="1" t="s">
        <v>7</v>
      </c>
      <c r="E9" s="78">
        <v>74</v>
      </c>
      <c r="F9" s="1" t="s">
        <v>2214</v>
      </c>
      <c r="G9" s="1" t="s">
        <v>2232</v>
      </c>
    </row>
    <row r="10" spans="2:7" x14ac:dyDescent="0.25">
      <c r="B10" s="1" t="s">
        <v>2174</v>
      </c>
      <c r="C10" s="1" t="s">
        <v>23</v>
      </c>
      <c r="D10" s="1" t="s">
        <v>7</v>
      </c>
      <c r="E10" s="78">
        <v>3095</v>
      </c>
      <c r="F10" s="1" t="s">
        <v>2215</v>
      </c>
      <c r="G10" s="1" t="s">
        <v>2218</v>
      </c>
    </row>
    <row r="11" spans="2:7" x14ac:dyDescent="0.25">
      <c r="B11" s="1" t="s">
        <v>2174</v>
      </c>
      <c r="C11" s="1" t="s">
        <v>190</v>
      </c>
      <c r="D11" s="1" t="s">
        <v>7</v>
      </c>
      <c r="E11" s="78">
        <v>3</v>
      </c>
      <c r="F11" s="1" t="s">
        <v>2175</v>
      </c>
      <c r="G11" s="1" t="s">
        <v>2228</v>
      </c>
    </row>
    <row r="12" spans="2:7" x14ac:dyDescent="0.25">
      <c r="B12" s="1" t="s">
        <v>2174</v>
      </c>
      <c r="C12" s="1" t="s">
        <v>960</v>
      </c>
      <c r="D12" s="1" t="s">
        <v>7</v>
      </c>
      <c r="E12" s="78">
        <v>200.5</v>
      </c>
      <c r="F12" s="1" t="s">
        <v>2176</v>
      </c>
      <c r="G12" s="1" t="s">
        <v>2229</v>
      </c>
    </row>
    <row r="13" spans="2:7" x14ac:dyDescent="0.25">
      <c r="B13" s="1" t="s">
        <v>2174</v>
      </c>
      <c r="C13" s="1" t="s">
        <v>72</v>
      </c>
      <c r="D13" s="1" t="s">
        <v>7</v>
      </c>
      <c r="E13" s="78">
        <v>19</v>
      </c>
      <c r="F13" s="1" t="s">
        <v>2177</v>
      </c>
      <c r="G13" s="1" t="s">
        <v>2231</v>
      </c>
    </row>
    <row r="14" spans="2:7" x14ac:dyDescent="0.25">
      <c r="B14" s="49">
        <v>46126</v>
      </c>
      <c r="C14" s="1" t="s">
        <v>164</v>
      </c>
      <c r="D14" s="1" t="s">
        <v>7</v>
      </c>
      <c r="E14" s="78">
        <v>150</v>
      </c>
      <c r="F14" s="1" t="s">
        <v>2178</v>
      </c>
      <c r="G14" s="1" t="s">
        <v>1811</v>
      </c>
    </row>
    <row r="15" spans="2:7" x14ac:dyDescent="0.25">
      <c r="B15" s="1" t="s">
        <v>2174</v>
      </c>
      <c r="C15" s="1" t="s">
        <v>521</v>
      </c>
      <c r="D15" s="1" t="s">
        <v>7</v>
      </c>
      <c r="E15" s="78">
        <v>10</v>
      </c>
      <c r="F15" s="1" t="s">
        <v>2179</v>
      </c>
      <c r="G15" s="1" t="s">
        <v>2230</v>
      </c>
    </row>
    <row r="16" spans="2:7" x14ac:dyDescent="0.25">
      <c r="B16" s="1" t="s">
        <v>2174</v>
      </c>
      <c r="C16" s="1" t="s">
        <v>161</v>
      </c>
      <c r="D16" s="1" t="s">
        <v>7</v>
      </c>
      <c r="E16" s="78">
        <v>50</v>
      </c>
      <c r="F16" s="1" t="s">
        <v>2180</v>
      </c>
      <c r="G16" s="1" t="s">
        <v>2237</v>
      </c>
    </row>
    <row r="17" spans="2:7" x14ac:dyDescent="0.25">
      <c r="B17" s="1" t="s">
        <v>2174</v>
      </c>
      <c r="C17" s="1" t="s">
        <v>23</v>
      </c>
      <c r="D17" s="1" t="s">
        <v>7</v>
      </c>
      <c r="E17" s="78">
        <v>475</v>
      </c>
      <c r="F17" s="1" t="s">
        <v>2181</v>
      </c>
      <c r="G17" s="1" t="s">
        <v>2204</v>
      </c>
    </row>
    <row r="18" spans="2:7" x14ac:dyDescent="0.25">
      <c r="B18" s="1" t="s">
        <v>2174</v>
      </c>
      <c r="C18" s="1" t="s">
        <v>360</v>
      </c>
      <c r="D18" s="1" t="s">
        <v>7</v>
      </c>
      <c r="E18" s="78">
        <v>6</v>
      </c>
      <c r="F18" s="1" t="s">
        <v>2182</v>
      </c>
      <c r="G18" s="1" t="s">
        <v>2236</v>
      </c>
    </row>
    <row r="19" spans="2:7" x14ac:dyDescent="0.25">
      <c r="B19" s="1" t="s">
        <v>2174</v>
      </c>
      <c r="C19" s="1" t="s">
        <v>23</v>
      </c>
      <c r="D19" s="1" t="s">
        <v>7</v>
      </c>
      <c r="E19" s="78">
        <v>931.4</v>
      </c>
      <c r="F19" s="1" t="s">
        <v>2183</v>
      </c>
      <c r="G19" s="1" t="s">
        <v>2227</v>
      </c>
    </row>
    <row r="20" spans="2:7" x14ac:dyDescent="0.25">
      <c r="B20" s="1" t="s">
        <v>2174</v>
      </c>
      <c r="C20" s="1" t="s">
        <v>521</v>
      </c>
      <c r="D20" s="1" t="s">
        <v>7</v>
      </c>
      <c r="E20" s="78">
        <v>1</v>
      </c>
      <c r="F20" s="1" t="s">
        <v>2184</v>
      </c>
      <c r="G20" s="1" t="s">
        <v>2226</v>
      </c>
    </row>
    <row r="21" spans="2:7" x14ac:dyDescent="0.25">
      <c r="B21" s="1" t="s">
        <v>2174</v>
      </c>
      <c r="C21" s="1" t="s">
        <v>655</v>
      </c>
      <c r="D21" s="1" t="s">
        <v>7</v>
      </c>
      <c r="E21" s="78">
        <v>49.5</v>
      </c>
      <c r="F21" s="1" t="s">
        <v>2185</v>
      </c>
      <c r="G21" s="1" t="s">
        <v>2235</v>
      </c>
    </row>
    <row r="22" spans="2:7" x14ac:dyDescent="0.25">
      <c r="B22" s="1" t="s">
        <v>2174</v>
      </c>
      <c r="C22" s="1" t="s">
        <v>23</v>
      </c>
      <c r="D22" s="1" t="s">
        <v>7</v>
      </c>
      <c r="E22" s="78">
        <v>490</v>
      </c>
      <c r="F22" s="1" t="s">
        <v>2186</v>
      </c>
      <c r="G22" s="1" t="s">
        <v>2209</v>
      </c>
    </row>
    <row r="23" spans="2:7" x14ac:dyDescent="0.25">
      <c r="B23" s="1" t="s">
        <v>2174</v>
      </c>
      <c r="C23" s="1" t="s">
        <v>23</v>
      </c>
      <c r="D23" s="1" t="s">
        <v>7</v>
      </c>
      <c r="E23" s="78">
        <v>950.03</v>
      </c>
      <c r="F23" s="1" t="s">
        <v>2187</v>
      </c>
      <c r="G23" s="1" t="s">
        <v>2240</v>
      </c>
    </row>
    <row r="24" spans="2:7" x14ac:dyDescent="0.25">
      <c r="B24" s="1" t="s">
        <v>2174</v>
      </c>
      <c r="C24" s="1" t="s">
        <v>960</v>
      </c>
      <c r="D24" s="1" t="s">
        <v>7</v>
      </c>
      <c r="E24" s="78">
        <v>12</v>
      </c>
      <c r="F24" s="1" t="s">
        <v>2188</v>
      </c>
      <c r="G24" s="1" t="s">
        <v>2225</v>
      </c>
    </row>
    <row r="25" spans="2:7" x14ac:dyDescent="0.25">
      <c r="B25" s="1" t="s">
        <v>2174</v>
      </c>
      <c r="C25" s="1" t="s">
        <v>190</v>
      </c>
      <c r="D25" s="1" t="s">
        <v>7</v>
      </c>
      <c r="E25" s="78">
        <v>19</v>
      </c>
      <c r="F25" s="1" t="s">
        <v>2189</v>
      </c>
      <c r="G25" s="1" t="s">
        <v>2224</v>
      </c>
    </row>
    <row r="26" spans="2:7" x14ac:dyDescent="0.25">
      <c r="B26" s="1" t="s">
        <v>2174</v>
      </c>
      <c r="C26" s="1" t="s">
        <v>164</v>
      </c>
      <c r="D26" s="1" t="s">
        <v>7</v>
      </c>
      <c r="E26" s="78">
        <v>58</v>
      </c>
      <c r="F26" s="1" t="s">
        <v>2190</v>
      </c>
      <c r="G26" s="1" t="s">
        <v>2223</v>
      </c>
    </row>
    <row r="27" spans="2:7" x14ac:dyDescent="0.25">
      <c r="B27" s="1" t="s">
        <v>2174</v>
      </c>
      <c r="C27" s="1" t="s">
        <v>190</v>
      </c>
      <c r="D27" s="1" t="s">
        <v>7</v>
      </c>
      <c r="E27" s="78">
        <v>19</v>
      </c>
      <c r="F27" s="1" t="s">
        <v>2191</v>
      </c>
      <c r="G27" s="1" t="s">
        <v>2222</v>
      </c>
    </row>
    <row r="28" spans="2:7" x14ac:dyDescent="0.25">
      <c r="B28" s="1" t="s">
        <v>2174</v>
      </c>
      <c r="C28" s="1" t="s">
        <v>190</v>
      </c>
      <c r="D28" s="1" t="s">
        <v>7</v>
      </c>
      <c r="E28" s="78">
        <v>2</v>
      </c>
      <c r="F28" s="1" t="s">
        <v>2192</v>
      </c>
      <c r="G28" s="1" t="s">
        <v>2221</v>
      </c>
    </row>
    <row r="29" spans="2:7" x14ac:dyDescent="0.25">
      <c r="B29" s="1" t="s">
        <v>2174</v>
      </c>
      <c r="C29" s="1" t="s">
        <v>78</v>
      </c>
      <c r="D29" s="1" t="s">
        <v>7</v>
      </c>
      <c r="E29" s="78">
        <v>3754</v>
      </c>
      <c r="F29" s="1"/>
      <c r="G29" s="1" t="s">
        <v>1990</v>
      </c>
    </row>
    <row r="30" spans="2:7" x14ac:dyDescent="0.25">
      <c r="B30" s="1"/>
      <c r="C30" s="1"/>
      <c r="D30" s="1"/>
      <c r="E30" s="1"/>
      <c r="F30" s="1"/>
      <c r="G30" s="1"/>
    </row>
    <row r="31" spans="2:7" x14ac:dyDescent="0.25">
      <c r="B31" s="1"/>
      <c r="C31" s="1"/>
      <c r="D31" s="1"/>
      <c r="E31" s="1"/>
      <c r="F31" s="1"/>
      <c r="G31" s="1"/>
    </row>
    <row r="32" spans="2:7" x14ac:dyDescent="0.25">
      <c r="B32" s="1"/>
      <c r="C32" s="1"/>
      <c r="D32" s="1"/>
      <c r="E32" s="1"/>
      <c r="F32" s="1"/>
      <c r="G32" s="1"/>
    </row>
    <row r="33" spans="2:7" x14ac:dyDescent="0.25">
      <c r="B33" s="1" t="s">
        <v>2174</v>
      </c>
      <c r="C33" s="1" t="s">
        <v>78</v>
      </c>
      <c r="D33" s="1" t="s">
        <v>7</v>
      </c>
      <c r="E33" s="78">
        <v>250</v>
      </c>
      <c r="F33" s="1"/>
      <c r="G33" s="1" t="s">
        <v>871</v>
      </c>
    </row>
    <row r="34" spans="2:7" x14ac:dyDescent="0.25">
      <c r="B34" s="1"/>
      <c r="C34" s="1"/>
      <c r="D34" s="1"/>
      <c r="E34" s="1"/>
      <c r="F34" s="1"/>
      <c r="G34" s="1"/>
    </row>
    <row r="35" spans="2:7" x14ac:dyDescent="0.25">
      <c r="B35" s="1"/>
      <c r="C35" s="1"/>
      <c r="D35" s="1"/>
      <c r="E35" s="1"/>
      <c r="F35" s="1"/>
      <c r="G35" s="1"/>
    </row>
    <row r="36" spans="2:7" x14ac:dyDescent="0.25">
      <c r="B36" s="28" t="s">
        <v>2151</v>
      </c>
      <c r="C36" s="28" t="s">
        <v>663</v>
      </c>
      <c r="D36" s="28" t="s">
        <v>7</v>
      </c>
      <c r="E36" s="113">
        <v>-0.75</v>
      </c>
      <c r="F36" s="28" t="s">
        <v>664</v>
      </c>
      <c r="G36" s="28" t="s">
        <v>2208</v>
      </c>
    </row>
    <row r="37" spans="2:7" x14ac:dyDescent="0.25">
      <c r="B37" s="28" t="s">
        <v>2151</v>
      </c>
      <c r="C37" s="28" t="s">
        <v>2152</v>
      </c>
      <c r="D37" s="28" t="s">
        <v>7</v>
      </c>
      <c r="E37" s="113">
        <v>-175</v>
      </c>
      <c r="F37" s="28" t="s">
        <v>2153</v>
      </c>
      <c r="G37" s="28" t="s">
        <v>2207</v>
      </c>
    </row>
    <row r="38" spans="2:7" x14ac:dyDescent="0.25">
      <c r="B38" s="1" t="s">
        <v>2151</v>
      </c>
      <c r="C38" s="1" t="s">
        <v>15</v>
      </c>
      <c r="D38" s="1" t="s">
        <v>7</v>
      </c>
      <c r="E38" s="78">
        <v>8661</v>
      </c>
      <c r="F38" s="1" t="s">
        <v>2154</v>
      </c>
      <c r="G38" s="1" t="s">
        <v>2241</v>
      </c>
    </row>
    <row r="39" spans="2:7" x14ac:dyDescent="0.25">
      <c r="B39" s="1" t="s">
        <v>2151</v>
      </c>
      <c r="C39" s="1" t="s">
        <v>23</v>
      </c>
      <c r="D39" s="1" t="s">
        <v>7</v>
      </c>
      <c r="E39" s="78">
        <v>3152.5</v>
      </c>
      <c r="F39" s="1" t="s">
        <v>2155</v>
      </c>
      <c r="G39" s="1" t="s">
        <v>2204</v>
      </c>
    </row>
    <row r="40" spans="2:7" x14ac:dyDescent="0.25">
      <c r="B40" s="1" t="s">
        <v>2151</v>
      </c>
      <c r="C40" s="1" t="s">
        <v>23</v>
      </c>
      <c r="D40" s="1" t="s">
        <v>7</v>
      </c>
      <c r="E40" s="78">
        <v>2572.1999999999998</v>
      </c>
      <c r="F40" s="1" t="s">
        <v>2156</v>
      </c>
      <c r="G40" s="1" t="s">
        <v>2219</v>
      </c>
    </row>
    <row r="41" spans="2:7" x14ac:dyDescent="0.25">
      <c r="B41" s="1" t="s">
        <v>2151</v>
      </c>
      <c r="C41" s="1" t="s">
        <v>23</v>
      </c>
      <c r="D41" s="1" t="s">
        <v>7</v>
      </c>
      <c r="E41" s="78">
        <v>1558.5</v>
      </c>
      <c r="F41" s="1" t="s">
        <v>2157</v>
      </c>
      <c r="G41" s="1" t="s">
        <v>2239</v>
      </c>
    </row>
    <row r="42" spans="2:7" x14ac:dyDescent="0.25">
      <c r="B42" s="92" t="s">
        <v>2151</v>
      </c>
      <c r="C42" s="92" t="s">
        <v>23</v>
      </c>
      <c r="D42" s="92" t="s">
        <v>7</v>
      </c>
      <c r="E42" s="92">
        <v>1000</v>
      </c>
      <c r="F42" s="92" t="s">
        <v>2158</v>
      </c>
      <c r="G42" s="92" t="s">
        <v>2242</v>
      </c>
    </row>
    <row r="43" spans="2:7" x14ac:dyDescent="0.25">
      <c r="B43" s="1" t="s">
        <v>2151</v>
      </c>
      <c r="C43" s="1" t="s">
        <v>23</v>
      </c>
      <c r="D43" s="1" t="s">
        <v>7</v>
      </c>
      <c r="E43" s="78">
        <v>760.5</v>
      </c>
      <c r="F43" s="1" t="s">
        <v>2159</v>
      </c>
      <c r="G43" s="1" t="s">
        <v>2200</v>
      </c>
    </row>
    <row r="44" spans="2:7" x14ac:dyDescent="0.25">
      <c r="B44" s="1" t="s">
        <v>2151</v>
      </c>
      <c r="C44" s="1" t="s">
        <v>23</v>
      </c>
      <c r="D44" s="1" t="s">
        <v>7</v>
      </c>
      <c r="E44" s="78">
        <v>700</v>
      </c>
      <c r="F44" s="1" t="s">
        <v>2160</v>
      </c>
      <c r="G44" s="1" t="s">
        <v>2220</v>
      </c>
    </row>
    <row r="45" spans="2:7" x14ac:dyDescent="0.25">
      <c r="B45" s="1" t="s">
        <v>2151</v>
      </c>
      <c r="C45" s="1" t="s">
        <v>797</v>
      </c>
      <c r="D45" s="1" t="s">
        <v>7</v>
      </c>
      <c r="E45" s="78">
        <v>500</v>
      </c>
      <c r="F45" s="1" t="s">
        <v>2161</v>
      </c>
      <c r="G45" s="1" t="s">
        <v>2206</v>
      </c>
    </row>
    <row r="46" spans="2:7" x14ac:dyDescent="0.25">
      <c r="B46" s="1" t="s">
        <v>2151</v>
      </c>
      <c r="C46" s="1" t="s">
        <v>6</v>
      </c>
      <c r="D46" s="1" t="s">
        <v>7</v>
      </c>
      <c r="E46" s="78">
        <v>500</v>
      </c>
      <c r="F46" s="1" t="s">
        <v>2162</v>
      </c>
      <c r="G46" s="1" t="s">
        <v>52</v>
      </c>
    </row>
    <row r="47" spans="2:7" x14ac:dyDescent="0.25">
      <c r="B47" s="1" t="s">
        <v>2151</v>
      </c>
      <c r="C47" s="1" t="s">
        <v>6</v>
      </c>
      <c r="D47" s="1" t="s">
        <v>7</v>
      </c>
      <c r="E47" s="78">
        <v>500</v>
      </c>
      <c r="F47" s="1" t="s">
        <v>2163</v>
      </c>
      <c r="G47" s="1" t="s">
        <v>52</v>
      </c>
    </row>
    <row r="48" spans="2:7" x14ac:dyDescent="0.25">
      <c r="B48" s="1" t="s">
        <v>2151</v>
      </c>
      <c r="C48" s="1" t="s">
        <v>6</v>
      </c>
      <c r="D48" s="1" t="s">
        <v>7</v>
      </c>
      <c r="E48" s="78">
        <v>90</v>
      </c>
      <c r="F48" s="1">
        <v>1313144</v>
      </c>
      <c r="G48" s="1" t="s">
        <v>52</v>
      </c>
    </row>
    <row r="49" spans="2:7" x14ac:dyDescent="0.25">
      <c r="B49" s="1" t="s">
        <v>2151</v>
      </c>
      <c r="C49" s="1" t="s">
        <v>797</v>
      </c>
      <c r="D49" s="1" t="s">
        <v>7</v>
      </c>
      <c r="E49" s="78">
        <v>475</v>
      </c>
      <c r="F49" s="1" t="s">
        <v>2164</v>
      </c>
      <c r="G49" s="1" t="s">
        <v>2206</v>
      </c>
    </row>
    <row r="50" spans="2:7" x14ac:dyDescent="0.25">
      <c r="B50" s="1" t="s">
        <v>2151</v>
      </c>
      <c r="C50" s="1" t="s">
        <v>669</v>
      </c>
      <c r="D50" s="1" t="s">
        <v>7</v>
      </c>
      <c r="E50" s="78">
        <v>471.3</v>
      </c>
      <c r="F50" s="1" t="s">
        <v>2165</v>
      </c>
      <c r="G50" s="1" t="s">
        <v>2193</v>
      </c>
    </row>
    <row r="51" spans="2:7" x14ac:dyDescent="0.25">
      <c r="B51" s="1" t="s">
        <v>2151</v>
      </c>
      <c r="C51" s="1" t="s">
        <v>2166</v>
      </c>
      <c r="D51" s="1" t="s">
        <v>7</v>
      </c>
      <c r="E51" s="78">
        <v>400</v>
      </c>
      <c r="F51" s="1" t="s">
        <v>2167</v>
      </c>
      <c r="G51" s="1" t="s">
        <v>2195</v>
      </c>
    </row>
    <row r="52" spans="2:7" x14ac:dyDescent="0.25">
      <c r="B52" s="1" t="s">
        <v>2151</v>
      </c>
      <c r="C52" s="1" t="s">
        <v>2168</v>
      </c>
      <c r="D52" s="1" t="s">
        <v>7</v>
      </c>
      <c r="E52" s="78">
        <v>400</v>
      </c>
      <c r="F52" s="1" t="s">
        <v>2169</v>
      </c>
      <c r="G52" s="1" t="s">
        <v>2233</v>
      </c>
    </row>
    <row r="53" spans="2:7" x14ac:dyDescent="0.25">
      <c r="B53" s="1" t="s">
        <v>2151</v>
      </c>
      <c r="C53" s="1" t="s">
        <v>1311</v>
      </c>
      <c r="D53" s="1" t="s">
        <v>7</v>
      </c>
      <c r="E53" s="78">
        <v>315</v>
      </c>
      <c r="F53" s="1" t="s">
        <v>2170</v>
      </c>
      <c r="G53" s="1" t="s">
        <v>2199</v>
      </c>
    </row>
    <row r="54" spans="2:7" x14ac:dyDescent="0.25">
      <c r="B54" s="1" t="s">
        <v>2151</v>
      </c>
      <c r="C54" s="1" t="s">
        <v>23</v>
      </c>
      <c r="D54" s="1" t="s">
        <v>7</v>
      </c>
      <c r="E54" s="78">
        <v>225</v>
      </c>
      <c r="F54" s="1" t="s">
        <v>2171</v>
      </c>
      <c r="G54" s="1" t="s">
        <v>1682</v>
      </c>
    </row>
    <row r="55" spans="2:7" x14ac:dyDescent="0.25">
      <c r="B55" s="1" t="s">
        <v>2151</v>
      </c>
      <c r="C55" s="1" t="s">
        <v>944</v>
      </c>
      <c r="D55" s="1" t="s">
        <v>7</v>
      </c>
      <c r="E55" s="78">
        <v>205.4</v>
      </c>
      <c r="F55" s="1" t="s">
        <v>2172</v>
      </c>
      <c r="G55" s="1" t="s">
        <v>955</v>
      </c>
    </row>
    <row r="56" spans="2:7" x14ac:dyDescent="0.25">
      <c r="B56" s="1" t="s">
        <v>2151</v>
      </c>
      <c r="C56" s="1" t="s">
        <v>23</v>
      </c>
      <c r="D56" s="1" t="s">
        <v>7</v>
      </c>
      <c r="E56" s="78">
        <v>95</v>
      </c>
      <c r="F56" s="1" t="s">
        <v>2173</v>
      </c>
      <c r="G56" s="1" t="s">
        <v>2200</v>
      </c>
    </row>
    <row r="57" spans="2:7" x14ac:dyDescent="0.25">
      <c r="B57" s="1" t="s">
        <v>2151</v>
      </c>
      <c r="C57" s="1" t="s">
        <v>1941</v>
      </c>
      <c r="D57" s="1" t="s">
        <v>7</v>
      </c>
      <c r="E57" s="78">
        <v>30</v>
      </c>
      <c r="F57" s="1">
        <v>886838</v>
      </c>
      <c r="G57" s="1" t="s">
        <v>2194</v>
      </c>
    </row>
    <row r="58" spans="2:7" x14ac:dyDescent="0.25">
      <c r="B58" s="1" t="s">
        <v>2151</v>
      </c>
      <c r="C58" s="1" t="s">
        <v>1941</v>
      </c>
      <c r="D58" s="1" t="s">
        <v>7</v>
      </c>
      <c r="E58" s="78">
        <v>28</v>
      </c>
      <c r="F58" s="1">
        <v>8234852</v>
      </c>
      <c r="G58" s="1" t="s">
        <v>2196</v>
      </c>
    </row>
    <row r="59" spans="2:7" x14ac:dyDescent="0.25">
      <c r="B59" s="1" t="s">
        <v>2151</v>
      </c>
      <c r="C59" s="1" t="s">
        <v>1941</v>
      </c>
      <c r="D59" s="1" t="s">
        <v>7</v>
      </c>
      <c r="E59" s="78">
        <v>8</v>
      </c>
      <c r="F59" s="1">
        <v>9624331</v>
      </c>
      <c r="G59" s="1" t="s">
        <v>2197</v>
      </c>
    </row>
    <row r="60" spans="2:7" x14ac:dyDescent="0.25">
      <c r="B60" s="1" t="s">
        <v>2151</v>
      </c>
      <c r="C60" s="1" t="s">
        <v>1941</v>
      </c>
      <c r="D60" s="1" t="s">
        <v>7</v>
      </c>
      <c r="E60" s="78">
        <v>25</v>
      </c>
      <c r="F60" s="1">
        <v>17017031</v>
      </c>
      <c r="G60" s="1" t="s">
        <v>2198</v>
      </c>
    </row>
    <row r="61" spans="2:7" x14ac:dyDescent="0.25">
      <c r="B61" s="1" t="s">
        <v>2151</v>
      </c>
      <c r="C61" s="1" t="s">
        <v>2201</v>
      </c>
      <c r="D61" s="1" t="s">
        <v>7</v>
      </c>
      <c r="E61" s="78">
        <v>95</v>
      </c>
      <c r="F61" s="1">
        <v>983890</v>
      </c>
      <c r="G61" s="1" t="s">
        <v>2200</v>
      </c>
    </row>
    <row r="62" spans="2:7" x14ac:dyDescent="0.25">
      <c r="B62" s="1" t="s">
        <v>2151</v>
      </c>
      <c r="C62" s="1" t="s">
        <v>1941</v>
      </c>
      <c r="D62" s="1" t="s">
        <v>7</v>
      </c>
      <c r="E62" s="78">
        <v>2.2999999999999998</v>
      </c>
      <c r="F62" s="1">
        <v>17984244</v>
      </c>
      <c r="G62" s="1" t="s">
        <v>2202</v>
      </c>
    </row>
    <row r="63" spans="2:7" x14ac:dyDescent="0.25">
      <c r="B63" s="1" t="s">
        <v>2151</v>
      </c>
      <c r="C63" s="1" t="s">
        <v>1941</v>
      </c>
      <c r="D63" s="1" t="s">
        <v>7</v>
      </c>
      <c r="E63" s="78">
        <v>1558.5</v>
      </c>
      <c r="F63" s="1">
        <v>1182450</v>
      </c>
      <c r="G63" s="1" t="s">
        <v>2200</v>
      </c>
    </row>
    <row r="64" spans="2:7" x14ac:dyDescent="0.25">
      <c r="B64" s="1" t="s">
        <v>2151</v>
      </c>
      <c r="C64" s="1" t="s">
        <v>1941</v>
      </c>
      <c r="D64" s="1" t="s">
        <v>7</v>
      </c>
      <c r="E64" s="78">
        <v>72</v>
      </c>
      <c r="F64" s="1">
        <v>3657221</v>
      </c>
      <c r="G64" s="1" t="s">
        <v>2203</v>
      </c>
    </row>
    <row r="65" spans="2:7" x14ac:dyDescent="0.25">
      <c r="B65" s="1" t="s">
        <v>2151</v>
      </c>
      <c r="C65" s="1" t="s">
        <v>1941</v>
      </c>
      <c r="D65" s="1" t="s">
        <v>7</v>
      </c>
      <c r="E65" s="78">
        <v>55</v>
      </c>
      <c r="F65" s="1">
        <v>10924323</v>
      </c>
      <c r="G65" s="1" t="s">
        <v>2193</v>
      </c>
    </row>
    <row r="66" spans="2:7" x14ac:dyDescent="0.25">
      <c r="B66" s="1" t="s">
        <v>2151</v>
      </c>
      <c r="C66" s="1" t="s">
        <v>1941</v>
      </c>
      <c r="D66" s="1" t="s">
        <v>7</v>
      </c>
      <c r="E66" s="78">
        <v>46</v>
      </c>
      <c r="F66" s="1">
        <v>21363920</v>
      </c>
      <c r="G66" s="1" t="s">
        <v>2205</v>
      </c>
    </row>
    <row r="67" spans="2:7" x14ac:dyDescent="0.25">
      <c r="B67" s="5">
        <v>46124</v>
      </c>
      <c r="C67" s="1" t="s">
        <v>1841</v>
      </c>
      <c r="D67" s="1" t="s">
        <v>7</v>
      </c>
      <c r="E67" s="78">
        <v>61</v>
      </c>
      <c r="F67" s="1">
        <v>5915282</v>
      </c>
      <c r="G67" s="1" t="s">
        <v>2216</v>
      </c>
    </row>
    <row r="68" spans="2:7" x14ac:dyDescent="0.25">
      <c r="B68" s="5">
        <v>46124</v>
      </c>
      <c r="C68" s="1" t="s">
        <v>1841</v>
      </c>
      <c r="D68" s="1" t="s">
        <v>7</v>
      </c>
      <c r="E68" s="78">
        <v>92</v>
      </c>
      <c r="F68" s="1">
        <v>70072290</v>
      </c>
      <c r="G68" s="1" t="s">
        <v>2217</v>
      </c>
    </row>
  </sheetData>
  <pageMargins left="0.7" right="0.7" top="0.75" bottom="0.75" header="0.3" footer="0.3"/>
  <pageSetup paperSize="256" orientation="portrait" horizontalDpi="203" verticalDpi="203" r:id="rId1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BD5E93-4CC7-4021-8F57-3E31B20BE75D}">
  <sheetPr codeName="Hoja44"/>
  <dimension ref="C1:H33"/>
  <sheetViews>
    <sheetView workbookViewId="0">
      <selection activeCell="H22" sqref="H22"/>
    </sheetView>
  </sheetViews>
  <sheetFormatPr baseColWidth="10" defaultRowHeight="15.75" x14ac:dyDescent="0.25"/>
  <cols>
    <col min="3" max="3" width="11" style="3"/>
    <col min="4" max="4" width="25.375" style="3" customWidth="1"/>
    <col min="5" max="6" width="11" style="3"/>
    <col min="7" max="7" width="21.5" style="3" customWidth="1"/>
    <col min="8" max="8" width="32.5" style="3" bestFit="1" customWidth="1"/>
  </cols>
  <sheetData>
    <row r="1" spans="3:8" ht="16.5" thickBot="1" x14ac:dyDescent="0.3"/>
    <row r="2" spans="3:8" x14ac:dyDescent="0.25">
      <c r="C2" s="11" t="s">
        <v>0</v>
      </c>
      <c r="D2" s="12" t="s">
        <v>1</v>
      </c>
      <c r="E2" s="12" t="s">
        <v>2</v>
      </c>
      <c r="F2" s="12" t="s">
        <v>3</v>
      </c>
      <c r="G2" s="12" t="s">
        <v>4</v>
      </c>
      <c r="H2" s="13"/>
    </row>
    <row r="3" spans="3:8" x14ac:dyDescent="0.25">
      <c r="C3" s="14" t="s">
        <v>2243</v>
      </c>
      <c r="D3" s="1" t="s">
        <v>23</v>
      </c>
      <c r="E3" s="1" t="s">
        <v>7</v>
      </c>
      <c r="F3" s="1">
        <v>3010</v>
      </c>
      <c r="G3" s="1" t="s">
        <v>2273</v>
      </c>
      <c r="H3" s="16" t="s">
        <v>575</v>
      </c>
    </row>
    <row r="4" spans="3:8" x14ac:dyDescent="0.25">
      <c r="C4" s="14" t="s">
        <v>2243</v>
      </c>
      <c r="D4" s="1" t="s">
        <v>23</v>
      </c>
      <c r="E4" s="1" t="s">
        <v>7</v>
      </c>
      <c r="F4" s="1">
        <v>1053</v>
      </c>
      <c r="G4" s="1" t="s">
        <v>2274</v>
      </c>
      <c r="H4" s="16" t="s">
        <v>2291</v>
      </c>
    </row>
    <row r="5" spans="3:8" x14ac:dyDescent="0.25">
      <c r="C5" s="14" t="s">
        <v>2243</v>
      </c>
      <c r="D5" s="1" t="s">
        <v>797</v>
      </c>
      <c r="E5" s="1" t="s">
        <v>7</v>
      </c>
      <c r="F5" s="1">
        <v>9</v>
      </c>
      <c r="G5" s="1" t="s">
        <v>2275</v>
      </c>
      <c r="H5" s="16" t="s">
        <v>2290</v>
      </c>
    </row>
    <row r="6" spans="3:8" x14ac:dyDescent="0.25">
      <c r="C6" s="29" t="s">
        <v>2243</v>
      </c>
      <c r="D6" s="28" t="s">
        <v>248</v>
      </c>
      <c r="E6" s="28" t="s">
        <v>7</v>
      </c>
      <c r="F6" s="28">
        <v>-148.5</v>
      </c>
      <c r="G6" s="28" t="s">
        <v>2263</v>
      </c>
      <c r="H6" s="30" t="s">
        <v>2297</v>
      </c>
    </row>
    <row r="7" spans="3:8" x14ac:dyDescent="0.25">
      <c r="C7" s="14" t="s">
        <v>2243</v>
      </c>
      <c r="D7" s="1" t="s">
        <v>509</v>
      </c>
      <c r="E7" s="1" t="s">
        <v>7</v>
      </c>
      <c r="F7" s="1">
        <v>1333.3</v>
      </c>
      <c r="G7" s="1" t="s">
        <v>2264</v>
      </c>
      <c r="H7" s="16" t="s">
        <v>2286</v>
      </c>
    </row>
    <row r="8" spans="3:8" x14ac:dyDescent="0.25">
      <c r="C8" s="29" t="s">
        <v>2243</v>
      </c>
      <c r="D8" s="28" t="s">
        <v>172</v>
      </c>
      <c r="E8" s="28" t="s">
        <v>7</v>
      </c>
      <c r="F8" s="28">
        <v>-80000</v>
      </c>
      <c r="G8" s="28" t="s">
        <v>2265</v>
      </c>
      <c r="H8" s="30" t="s">
        <v>2296</v>
      </c>
    </row>
    <row r="9" spans="3:8" x14ac:dyDescent="0.25">
      <c r="C9" s="14" t="s">
        <v>2243</v>
      </c>
      <c r="D9" s="1" t="s">
        <v>13</v>
      </c>
      <c r="E9" s="1" t="s">
        <v>7</v>
      </c>
      <c r="F9" s="1">
        <v>12</v>
      </c>
      <c r="G9" s="1" t="s">
        <v>2266</v>
      </c>
      <c r="H9" s="16" t="s">
        <v>2289</v>
      </c>
    </row>
    <row r="10" spans="3:8" x14ac:dyDescent="0.25">
      <c r="C10" s="14" t="s">
        <v>2243</v>
      </c>
      <c r="D10" s="1" t="s">
        <v>111</v>
      </c>
      <c r="E10" s="1" t="s">
        <v>7</v>
      </c>
      <c r="F10" s="1">
        <v>90</v>
      </c>
      <c r="G10" s="1" t="s">
        <v>2267</v>
      </c>
      <c r="H10" s="16" t="s">
        <v>2285</v>
      </c>
    </row>
    <row r="11" spans="3:8" x14ac:dyDescent="0.25">
      <c r="C11" s="14" t="s">
        <v>2243</v>
      </c>
      <c r="D11" s="1" t="s">
        <v>23</v>
      </c>
      <c r="E11" s="1" t="s">
        <v>7</v>
      </c>
      <c r="F11" s="1">
        <v>225</v>
      </c>
      <c r="G11" s="1" t="s">
        <v>2268</v>
      </c>
      <c r="H11" s="16" t="s">
        <v>660</v>
      </c>
    </row>
    <row r="12" spans="3:8" x14ac:dyDescent="0.25">
      <c r="C12" s="14" t="s">
        <v>2243</v>
      </c>
      <c r="D12" s="1" t="s">
        <v>72</v>
      </c>
      <c r="E12" s="1" t="s">
        <v>7</v>
      </c>
      <c r="F12" s="1">
        <v>228</v>
      </c>
      <c r="G12" s="1" t="s">
        <v>2269</v>
      </c>
      <c r="H12" s="16" t="s">
        <v>2284</v>
      </c>
    </row>
    <row r="13" spans="3:8" x14ac:dyDescent="0.25">
      <c r="C13" s="14" t="s">
        <v>2243</v>
      </c>
      <c r="D13" s="1" t="s">
        <v>299</v>
      </c>
      <c r="E13" s="1" t="s">
        <v>7</v>
      </c>
      <c r="F13" s="1">
        <v>7.5</v>
      </c>
      <c r="G13" s="1" t="s">
        <v>2270</v>
      </c>
      <c r="H13" s="16" t="s">
        <v>2283</v>
      </c>
    </row>
    <row r="14" spans="3:8" x14ac:dyDescent="0.25">
      <c r="C14" s="14" t="s">
        <v>2243</v>
      </c>
      <c r="D14" s="1" t="s">
        <v>23</v>
      </c>
      <c r="E14" s="1" t="s">
        <v>7</v>
      </c>
      <c r="F14" s="1">
        <v>2742.8</v>
      </c>
      <c r="G14" s="1" t="s">
        <v>2271</v>
      </c>
      <c r="H14" s="16" t="s">
        <v>2295</v>
      </c>
    </row>
    <row r="15" spans="3:8" x14ac:dyDescent="0.25">
      <c r="C15" s="14" t="s">
        <v>2243</v>
      </c>
      <c r="D15" s="1" t="s">
        <v>299</v>
      </c>
      <c r="E15" s="1" t="s">
        <v>7</v>
      </c>
      <c r="F15" s="1">
        <v>3</v>
      </c>
      <c r="G15" s="1" t="s">
        <v>2272</v>
      </c>
      <c r="H15" s="16" t="s">
        <v>2282</v>
      </c>
    </row>
    <row r="16" spans="3:8" x14ac:dyDescent="0.25">
      <c r="C16" s="14" t="s">
        <v>2243</v>
      </c>
      <c r="D16" s="1" t="s">
        <v>13</v>
      </c>
      <c r="E16" s="1" t="s">
        <v>7</v>
      </c>
      <c r="F16" s="1">
        <v>5</v>
      </c>
      <c r="G16" s="1" t="s">
        <v>2244</v>
      </c>
      <c r="H16" s="16" t="s">
        <v>2281</v>
      </c>
    </row>
    <row r="17" spans="3:8" x14ac:dyDescent="0.25">
      <c r="C17" s="14" t="s">
        <v>2243</v>
      </c>
      <c r="D17" s="1" t="s">
        <v>2245</v>
      </c>
      <c r="E17" s="1" t="s">
        <v>7</v>
      </c>
      <c r="F17" s="1">
        <v>100</v>
      </c>
      <c r="G17" s="1" t="s">
        <v>2246</v>
      </c>
      <c r="H17" s="16" t="s">
        <v>2280</v>
      </c>
    </row>
    <row r="18" spans="3:8" x14ac:dyDescent="0.25">
      <c r="C18" s="29" t="s">
        <v>2243</v>
      </c>
      <c r="D18" s="28" t="s">
        <v>472</v>
      </c>
      <c r="E18" s="28" t="s">
        <v>7</v>
      </c>
      <c r="F18" s="28">
        <v>-8000</v>
      </c>
      <c r="G18" s="28" t="s">
        <v>2247</v>
      </c>
      <c r="H18" s="30" t="s">
        <v>2279</v>
      </c>
    </row>
    <row r="19" spans="3:8" x14ac:dyDescent="0.25">
      <c r="C19" s="14" t="s">
        <v>2243</v>
      </c>
      <c r="D19" s="1" t="s">
        <v>370</v>
      </c>
      <c r="E19" s="1" t="s">
        <v>7</v>
      </c>
      <c r="F19" s="1">
        <v>80</v>
      </c>
      <c r="G19" s="1" t="s">
        <v>2248</v>
      </c>
      <c r="H19" s="16" t="s">
        <v>2294</v>
      </c>
    </row>
    <row r="20" spans="3:8" x14ac:dyDescent="0.25">
      <c r="C20" s="14" t="s">
        <v>2243</v>
      </c>
      <c r="D20" s="1" t="s">
        <v>2249</v>
      </c>
      <c r="E20" s="1" t="s">
        <v>7</v>
      </c>
      <c r="F20" s="1">
        <v>15</v>
      </c>
      <c r="G20" s="1" t="s">
        <v>2250</v>
      </c>
      <c r="H20" s="16" t="s">
        <v>2278</v>
      </c>
    </row>
    <row r="21" spans="3:8" x14ac:dyDescent="0.25">
      <c r="C21" s="14" t="s">
        <v>2243</v>
      </c>
      <c r="D21" s="1" t="s">
        <v>6</v>
      </c>
      <c r="E21" s="1" t="s">
        <v>7</v>
      </c>
      <c r="F21" s="1">
        <v>55</v>
      </c>
      <c r="G21" s="1" t="s">
        <v>2251</v>
      </c>
      <c r="H21" s="16" t="s">
        <v>2288</v>
      </c>
    </row>
    <row r="22" spans="3:8" x14ac:dyDescent="0.25">
      <c r="C22" s="14" t="s">
        <v>2243</v>
      </c>
      <c r="D22" s="1" t="s">
        <v>17</v>
      </c>
      <c r="E22" s="1" t="s">
        <v>7</v>
      </c>
      <c r="F22" s="1">
        <v>6</v>
      </c>
      <c r="G22" s="1" t="s">
        <v>2252</v>
      </c>
      <c r="H22" s="16" t="s">
        <v>2293</v>
      </c>
    </row>
    <row r="23" spans="3:8" x14ac:dyDescent="0.25">
      <c r="C23" s="14" t="s">
        <v>2243</v>
      </c>
      <c r="D23" s="1" t="s">
        <v>17</v>
      </c>
      <c r="E23" s="1" t="s">
        <v>7</v>
      </c>
      <c r="F23" s="1">
        <v>49.3</v>
      </c>
      <c r="G23" s="1" t="s">
        <v>2253</v>
      </c>
      <c r="H23" s="16" t="s">
        <v>2292</v>
      </c>
    </row>
    <row r="24" spans="3:8" x14ac:dyDescent="0.25">
      <c r="C24" s="14" t="s">
        <v>2243</v>
      </c>
      <c r="D24" s="1" t="s">
        <v>320</v>
      </c>
      <c r="E24" s="1" t="s">
        <v>7</v>
      </c>
      <c r="F24" s="1">
        <v>4066.8</v>
      </c>
      <c r="G24" s="1" t="s">
        <v>2254</v>
      </c>
      <c r="H24" s="16" t="s">
        <v>2287</v>
      </c>
    </row>
    <row r="25" spans="3:8" x14ac:dyDescent="0.25">
      <c r="C25" s="14" t="s">
        <v>2243</v>
      </c>
      <c r="D25" s="1" t="s">
        <v>15</v>
      </c>
      <c r="E25" s="1" t="s">
        <v>7</v>
      </c>
      <c r="F25" s="1">
        <v>118</v>
      </c>
      <c r="G25" s="1" t="s">
        <v>2255</v>
      </c>
      <c r="H25" s="16" t="s">
        <v>1584</v>
      </c>
    </row>
    <row r="26" spans="3:8" x14ac:dyDescent="0.25">
      <c r="C26" s="14" t="s">
        <v>2243</v>
      </c>
      <c r="D26" s="1" t="s">
        <v>95</v>
      </c>
      <c r="E26" s="1" t="s">
        <v>7</v>
      </c>
      <c r="F26" s="1">
        <v>150</v>
      </c>
      <c r="G26" s="1" t="s">
        <v>2256</v>
      </c>
      <c r="H26" s="16" t="s">
        <v>630</v>
      </c>
    </row>
    <row r="27" spans="3:8" x14ac:dyDescent="0.25">
      <c r="C27" s="14" t="s">
        <v>2243</v>
      </c>
      <c r="D27" s="1" t="s">
        <v>23</v>
      </c>
      <c r="E27" s="1" t="s">
        <v>7</v>
      </c>
      <c r="F27" s="1">
        <v>3500</v>
      </c>
      <c r="G27" s="1" t="s">
        <v>2257</v>
      </c>
      <c r="H27" s="16" t="s">
        <v>2287</v>
      </c>
    </row>
    <row r="28" spans="3:8" x14ac:dyDescent="0.25">
      <c r="C28" s="14" t="s">
        <v>2243</v>
      </c>
      <c r="D28" s="1" t="s">
        <v>2258</v>
      </c>
      <c r="E28" s="1" t="s">
        <v>7</v>
      </c>
      <c r="F28" s="1">
        <v>124</v>
      </c>
      <c r="G28" s="1" t="s">
        <v>2259</v>
      </c>
      <c r="H28" s="16" t="s">
        <v>2276</v>
      </c>
    </row>
    <row r="29" spans="3:8" x14ac:dyDescent="0.25">
      <c r="C29" s="14" t="s">
        <v>2243</v>
      </c>
      <c r="D29" s="1" t="s">
        <v>23</v>
      </c>
      <c r="E29" s="1" t="s">
        <v>7</v>
      </c>
      <c r="F29" s="1">
        <v>1640</v>
      </c>
      <c r="G29" s="1" t="s">
        <v>2260</v>
      </c>
      <c r="H29" s="16" t="s">
        <v>660</v>
      </c>
    </row>
    <row r="30" spans="3:8" x14ac:dyDescent="0.25">
      <c r="C30" s="14" t="s">
        <v>2243</v>
      </c>
      <c r="D30" s="1" t="s">
        <v>655</v>
      </c>
      <c r="E30" s="1" t="s">
        <v>7</v>
      </c>
      <c r="F30" s="1">
        <v>208.7</v>
      </c>
      <c r="G30" s="1" t="s">
        <v>2261</v>
      </c>
      <c r="H30" s="16" t="s">
        <v>2277</v>
      </c>
    </row>
    <row r="31" spans="3:8" x14ac:dyDescent="0.25">
      <c r="C31" s="14" t="s">
        <v>2243</v>
      </c>
      <c r="D31" s="1" t="s">
        <v>183</v>
      </c>
      <c r="E31" s="1" t="s">
        <v>7</v>
      </c>
      <c r="F31" s="1">
        <v>90</v>
      </c>
      <c r="G31" s="1" t="s">
        <v>2262</v>
      </c>
      <c r="H31" s="16" t="s">
        <v>660</v>
      </c>
    </row>
    <row r="32" spans="3:8" x14ac:dyDescent="0.25">
      <c r="C32" s="14"/>
      <c r="D32" s="1"/>
      <c r="E32" s="1"/>
      <c r="F32" s="1"/>
      <c r="G32" s="1"/>
      <c r="H32" s="16"/>
    </row>
    <row r="33" spans="3:8" ht="16.5" thickBot="1" x14ac:dyDescent="0.3">
      <c r="C33" s="25" t="s">
        <v>2243</v>
      </c>
      <c r="D33" s="18" t="s">
        <v>78</v>
      </c>
      <c r="E33" s="18" t="s">
        <v>7</v>
      </c>
      <c r="F33" s="18">
        <v>760</v>
      </c>
      <c r="G33" s="18"/>
      <c r="H33" s="27" t="s">
        <v>607</v>
      </c>
    </row>
  </sheetData>
  <pageMargins left="0.7" right="0.7" top="0.75" bottom="0.75" header="0.3" footer="0.3"/>
  <pageSetup paperSize="256" orientation="portrait" horizontalDpi="203" verticalDpi="203" r:id="rId1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20BE5E-86E5-4DD2-AFE2-5AF27CB58D27}">
  <sheetPr codeName="Hoja45"/>
  <dimension ref="C1:H31"/>
  <sheetViews>
    <sheetView workbookViewId="0">
      <selection activeCell="F10" sqref="F10"/>
    </sheetView>
  </sheetViews>
  <sheetFormatPr baseColWidth="10" defaultRowHeight="15.75" x14ac:dyDescent="0.25"/>
  <cols>
    <col min="3" max="3" width="11" style="3"/>
    <col min="4" max="4" width="26.25" style="3" customWidth="1"/>
    <col min="5" max="6" width="11" style="3"/>
    <col min="7" max="7" width="19.875" style="3" customWidth="1"/>
    <col min="8" max="8" width="30.5" style="3" customWidth="1"/>
  </cols>
  <sheetData>
    <row r="1" spans="3:8" ht="16.5" thickBot="1" x14ac:dyDescent="0.3"/>
    <row r="2" spans="3:8" x14ac:dyDescent="0.25">
      <c r="C2" s="11" t="s">
        <v>0</v>
      </c>
      <c r="D2" s="12" t="s">
        <v>1</v>
      </c>
      <c r="E2" s="12" t="s">
        <v>2</v>
      </c>
      <c r="F2" s="12" t="s">
        <v>3</v>
      </c>
      <c r="G2" s="12" t="s">
        <v>4</v>
      </c>
      <c r="H2" s="13"/>
    </row>
    <row r="3" spans="3:8" x14ac:dyDescent="0.25">
      <c r="C3" s="14"/>
      <c r="D3" s="1"/>
      <c r="E3" s="1"/>
      <c r="F3" s="1"/>
      <c r="G3" s="1"/>
      <c r="H3" s="16"/>
    </row>
    <row r="4" spans="3:8" x14ac:dyDescent="0.25">
      <c r="C4" s="14" t="s">
        <v>2298</v>
      </c>
      <c r="D4" s="1" t="s">
        <v>240</v>
      </c>
      <c r="E4" s="1" t="s">
        <v>7</v>
      </c>
      <c r="F4" s="1">
        <v>279</v>
      </c>
      <c r="G4" s="1" t="s">
        <v>2316</v>
      </c>
      <c r="H4" s="16" t="s">
        <v>68</v>
      </c>
    </row>
    <row r="5" spans="3:8" x14ac:dyDescent="0.25">
      <c r="C5" s="14" t="s">
        <v>2298</v>
      </c>
      <c r="D5" s="1" t="s">
        <v>69</v>
      </c>
      <c r="E5" s="1" t="s">
        <v>7</v>
      </c>
      <c r="F5" s="1">
        <v>1516.5</v>
      </c>
      <c r="G5" s="1" t="s">
        <v>2317</v>
      </c>
      <c r="H5" s="16" t="s">
        <v>77</v>
      </c>
    </row>
    <row r="6" spans="3:8" x14ac:dyDescent="0.25">
      <c r="C6" s="14" t="s">
        <v>2298</v>
      </c>
      <c r="D6" s="1" t="s">
        <v>398</v>
      </c>
      <c r="E6" s="1" t="s">
        <v>7</v>
      </c>
      <c r="F6" s="1">
        <v>6.5</v>
      </c>
      <c r="G6" s="1" t="s">
        <v>2318</v>
      </c>
      <c r="H6" s="16" t="s">
        <v>2333</v>
      </c>
    </row>
    <row r="7" spans="3:8" x14ac:dyDescent="0.25">
      <c r="C7" s="14" t="s">
        <v>2298</v>
      </c>
      <c r="D7" s="1" t="s">
        <v>23</v>
      </c>
      <c r="E7" s="1" t="s">
        <v>7</v>
      </c>
      <c r="F7" s="1">
        <v>1002</v>
      </c>
      <c r="G7" s="1" t="s">
        <v>2319</v>
      </c>
      <c r="H7" s="16" t="s">
        <v>1585</v>
      </c>
    </row>
    <row r="8" spans="3:8" x14ac:dyDescent="0.25">
      <c r="C8" s="14" t="s">
        <v>2298</v>
      </c>
      <c r="D8" s="1" t="s">
        <v>665</v>
      </c>
      <c r="E8" s="1" t="s">
        <v>7</v>
      </c>
      <c r="F8" s="1">
        <v>8</v>
      </c>
      <c r="G8" s="1" t="s">
        <v>2320</v>
      </c>
      <c r="H8" s="16" t="s">
        <v>1227</v>
      </c>
    </row>
    <row r="9" spans="3:8" x14ac:dyDescent="0.25">
      <c r="C9" s="14" t="s">
        <v>2298</v>
      </c>
      <c r="D9" s="1" t="s">
        <v>6</v>
      </c>
      <c r="E9" s="1" t="s">
        <v>7</v>
      </c>
      <c r="F9" s="1">
        <v>6</v>
      </c>
      <c r="G9" s="1" t="s">
        <v>2321</v>
      </c>
      <c r="H9" s="16" t="s">
        <v>2331</v>
      </c>
    </row>
    <row r="10" spans="3:8" x14ac:dyDescent="0.25">
      <c r="C10" s="14" t="s">
        <v>2298</v>
      </c>
      <c r="D10" s="1" t="s">
        <v>13</v>
      </c>
      <c r="E10" s="1" t="s">
        <v>7</v>
      </c>
      <c r="F10" s="1">
        <v>14</v>
      </c>
      <c r="G10" s="1" t="s">
        <v>2322</v>
      </c>
      <c r="H10" s="16" t="s">
        <v>2334</v>
      </c>
    </row>
    <row r="11" spans="3:8" x14ac:dyDescent="0.25">
      <c r="C11" s="14" t="s">
        <v>2298</v>
      </c>
      <c r="D11" s="1" t="s">
        <v>299</v>
      </c>
      <c r="E11" s="1" t="s">
        <v>7</v>
      </c>
      <c r="F11" s="1">
        <v>63.7</v>
      </c>
      <c r="G11" s="1" t="s">
        <v>2323</v>
      </c>
      <c r="H11" s="16" t="s">
        <v>689</v>
      </c>
    </row>
    <row r="12" spans="3:8" x14ac:dyDescent="0.25">
      <c r="C12" s="14" t="s">
        <v>2298</v>
      </c>
      <c r="D12" s="1" t="s">
        <v>23</v>
      </c>
      <c r="E12" s="1" t="s">
        <v>7</v>
      </c>
      <c r="F12" s="1">
        <v>57</v>
      </c>
      <c r="G12" s="1" t="s">
        <v>2324</v>
      </c>
      <c r="H12" s="16" t="s">
        <v>2336</v>
      </c>
    </row>
    <row r="13" spans="3:8" x14ac:dyDescent="0.25">
      <c r="C13" s="14" t="s">
        <v>2298</v>
      </c>
      <c r="D13" s="1" t="s">
        <v>27</v>
      </c>
      <c r="E13" s="1" t="s">
        <v>7</v>
      </c>
      <c r="F13" s="1">
        <v>4.5</v>
      </c>
      <c r="G13" s="1" t="s">
        <v>2299</v>
      </c>
      <c r="H13" s="16" t="s">
        <v>2337</v>
      </c>
    </row>
    <row r="14" spans="3:8" x14ac:dyDescent="0.25">
      <c r="C14" s="29" t="s">
        <v>2298</v>
      </c>
      <c r="D14" s="28" t="s">
        <v>472</v>
      </c>
      <c r="E14" s="28" t="s">
        <v>7</v>
      </c>
      <c r="F14" s="28">
        <v>-1830</v>
      </c>
      <c r="G14" s="28" t="s">
        <v>2300</v>
      </c>
      <c r="H14" s="30" t="s">
        <v>2330</v>
      </c>
    </row>
    <row r="15" spans="3:8" x14ac:dyDescent="0.25">
      <c r="C15" s="14" t="s">
        <v>2298</v>
      </c>
      <c r="D15" s="1" t="s">
        <v>979</v>
      </c>
      <c r="E15" s="1" t="s">
        <v>7</v>
      </c>
      <c r="F15" s="1">
        <v>125</v>
      </c>
      <c r="G15" s="1" t="s">
        <v>2301</v>
      </c>
      <c r="H15" s="16" t="s">
        <v>2335</v>
      </c>
    </row>
    <row r="16" spans="3:8" x14ac:dyDescent="0.25">
      <c r="C16" s="29" t="s">
        <v>2298</v>
      </c>
      <c r="D16" s="28" t="s">
        <v>2302</v>
      </c>
      <c r="E16" s="28" t="s">
        <v>7</v>
      </c>
      <c r="F16" s="28">
        <v>-100</v>
      </c>
      <c r="G16" s="28" t="s">
        <v>2303</v>
      </c>
      <c r="H16" s="30" t="s">
        <v>2338</v>
      </c>
    </row>
    <row r="17" spans="3:8" x14ac:dyDescent="0.25">
      <c r="C17" s="14" t="s">
        <v>2298</v>
      </c>
      <c r="D17" s="1" t="s">
        <v>15</v>
      </c>
      <c r="E17" s="1" t="s">
        <v>7</v>
      </c>
      <c r="F17" s="1">
        <v>310</v>
      </c>
      <c r="G17" s="1" t="s">
        <v>2304</v>
      </c>
      <c r="H17" s="16" t="s">
        <v>2339</v>
      </c>
    </row>
    <row r="18" spans="3:8" x14ac:dyDescent="0.25">
      <c r="C18" s="14" t="s">
        <v>2298</v>
      </c>
      <c r="D18" s="1" t="s">
        <v>15</v>
      </c>
      <c r="E18" s="1" t="s">
        <v>7</v>
      </c>
      <c r="F18" s="1">
        <v>500</v>
      </c>
      <c r="G18" s="1" t="s">
        <v>2305</v>
      </c>
      <c r="H18" s="16" t="s">
        <v>2339</v>
      </c>
    </row>
    <row r="19" spans="3:8" x14ac:dyDescent="0.25">
      <c r="C19" s="14" t="s">
        <v>2298</v>
      </c>
      <c r="D19" s="1" t="s">
        <v>1304</v>
      </c>
      <c r="E19" s="1" t="s">
        <v>7</v>
      </c>
      <c r="F19" s="1">
        <v>477</v>
      </c>
      <c r="G19" s="1" t="s">
        <v>2306</v>
      </c>
      <c r="H19" s="16" t="s">
        <v>2339</v>
      </c>
    </row>
    <row r="20" spans="3:8" x14ac:dyDescent="0.25">
      <c r="C20" s="14" t="s">
        <v>2298</v>
      </c>
      <c r="D20" s="1" t="s">
        <v>23</v>
      </c>
      <c r="E20" s="1" t="s">
        <v>7</v>
      </c>
      <c r="F20" s="1">
        <v>1852.5</v>
      </c>
      <c r="G20" s="1" t="s">
        <v>2307</v>
      </c>
      <c r="H20" s="16" t="s">
        <v>2336</v>
      </c>
    </row>
    <row r="21" spans="3:8" x14ac:dyDescent="0.25">
      <c r="C21" s="14" t="s">
        <v>2298</v>
      </c>
      <c r="D21" s="1" t="s">
        <v>382</v>
      </c>
      <c r="E21" s="1" t="s">
        <v>7</v>
      </c>
      <c r="F21" s="1">
        <v>4.5</v>
      </c>
      <c r="G21" s="1" t="s">
        <v>2308</v>
      </c>
      <c r="H21" s="16" t="s">
        <v>2329</v>
      </c>
    </row>
    <row r="22" spans="3:8" x14ac:dyDescent="0.25">
      <c r="C22" s="29" t="s">
        <v>2298</v>
      </c>
      <c r="D22" s="28" t="s">
        <v>109</v>
      </c>
      <c r="E22" s="28" t="s">
        <v>7</v>
      </c>
      <c r="F22" s="28">
        <v>-90</v>
      </c>
      <c r="G22" s="28" t="s">
        <v>2309</v>
      </c>
      <c r="H22" s="30" t="s">
        <v>2328</v>
      </c>
    </row>
    <row r="23" spans="3:8" x14ac:dyDescent="0.25">
      <c r="C23" s="14" t="s">
        <v>2298</v>
      </c>
      <c r="D23" s="1" t="s">
        <v>23</v>
      </c>
      <c r="E23" s="1" t="s">
        <v>7</v>
      </c>
      <c r="F23" s="1">
        <v>2214</v>
      </c>
      <c r="G23" s="1" t="s">
        <v>2310</v>
      </c>
      <c r="H23" s="16" t="s">
        <v>2327</v>
      </c>
    </row>
    <row r="24" spans="3:8" x14ac:dyDescent="0.25">
      <c r="C24" s="14" t="s">
        <v>2298</v>
      </c>
      <c r="D24" s="1" t="s">
        <v>111</v>
      </c>
      <c r="E24" s="1" t="s">
        <v>7</v>
      </c>
      <c r="F24" s="1">
        <v>29.8</v>
      </c>
      <c r="G24" s="1" t="s">
        <v>2311</v>
      </c>
      <c r="H24" s="16" t="s">
        <v>2326</v>
      </c>
    </row>
    <row r="25" spans="3:8" x14ac:dyDescent="0.25">
      <c r="C25" s="14" t="s">
        <v>2298</v>
      </c>
      <c r="D25" s="1" t="s">
        <v>23</v>
      </c>
      <c r="E25" s="1" t="s">
        <v>7</v>
      </c>
      <c r="F25" s="1">
        <v>30</v>
      </c>
      <c r="G25" s="1" t="s">
        <v>2312</v>
      </c>
      <c r="H25" s="16" t="s">
        <v>590</v>
      </c>
    </row>
    <row r="26" spans="3:8" x14ac:dyDescent="0.25">
      <c r="C26" s="14"/>
      <c r="D26" s="1"/>
      <c r="E26" s="1"/>
      <c r="F26" s="1"/>
      <c r="G26" s="1"/>
      <c r="H26" s="16"/>
    </row>
    <row r="27" spans="3:8" x14ac:dyDescent="0.25">
      <c r="C27" s="33" t="s">
        <v>2243</v>
      </c>
      <c r="D27" s="4" t="s">
        <v>2313</v>
      </c>
      <c r="E27" s="4" t="s">
        <v>7</v>
      </c>
      <c r="F27" s="1">
        <v>358.3</v>
      </c>
      <c r="G27" s="4" t="s">
        <v>2314</v>
      </c>
      <c r="H27" s="34" t="s">
        <v>2325</v>
      </c>
    </row>
    <row r="28" spans="3:8" x14ac:dyDescent="0.25">
      <c r="C28" s="33" t="s">
        <v>2243</v>
      </c>
      <c r="D28" s="4" t="s">
        <v>2313</v>
      </c>
      <c r="E28" s="4" t="s">
        <v>7</v>
      </c>
      <c r="F28" s="1">
        <v>500</v>
      </c>
      <c r="G28" s="4" t="s">
        <v>2315</v>
      </c>
      <c r="H28" s="34" t="s">
        <v>2325</v>
      </c>
    </row>
    <row r="29" spans="3:8" ht="16.5" thickBot="1" x14ac:dyDescent="0.3">
      <c r="C29" s="73">
        <v>46128</v>
      </c>
      <c r="D29" s="18" t="s">
        <v>2332</v>
      </c>
      <c r="E29" s="18" t="s">
        <v>7</v>
      </c>
      <c r="F29" s="18">
        <v>2046</v>
      </c>
      <c r="G29" s="18"/>
      <c r="H29" s="27" t="s">
        <v>1990</v>
      </c>
    </row>
    <row r="30" spans="3:8" x14ac:dyDescent="0.25">
      <c r="C30" s="3" t="s">
        <v>2298</v>
      </c>
      <c r="D30" s="3" t="s">
        <v>2245</v>
      </c>
      <c r="E30" s="3" t="s">
        <v>7</v>
      </c>
      <c r="F30" s="3">
        <v>500</v>
      </c>
      <c r="G30" s="3" t="s">
        <v>2370</v>
      </c>
      <c r="H30" s="3" t="s">
        <v>2280</v>
      </c>
    </row>
    <row r="31" spans="3:8" x14ac:dyDescent="0.25">
      <c r="C31" s="3" t="s">
        <v>2298</v>
      </c>
      <c r="D31" s="3" t="s">
        <v>2245</v>
      </c>
      <c r="E31" s="3" t="s">
        <v>7</v>
      </c>
      <c r="F31" s="3">
        <v>180</v>
      </c>
      <c r="G31" s="3" t="s">
        <v>2371</v>
      </c>
      <c r="H31" s="3" t="s">
        <v>2280</v>
      </c>
    </row>
  </sheetData>
  <pageMargins left="0.7" right="0.7" top="0.75" bottom="0.75" header="0.3" footer="0.3"/>
  <pageSetup paperSize="256" orientation="portrait" horizontalDpi="203" verticalDpi="203" r:id="rId1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89FE61-A713-4EDF-9BEB-54F8DDDF7F92}">
  <sheetPr codeName="Hoja46"/>
  <dimension ref="C2:I28"/>
  <sheetViews>
    <sheetView workbookViewId="0">
      <selection activeCell="B1" sqref="B1:J29"/>
    </sheetView>
  </sheetViews>
  <sheetFormatPr baseColWidth="10" defaultRowHeight="15.75" x14ac:dyDescent="0.25"/>
  <cols>
    <col min="3" max="3" width="11" style="3"/>
    <col min="4" max="4" width="21.375" style="3" bestFit="1" customWidth="1"/>
    <col min="5" max="6" width="11" style="3"/>
    <col min="7" max="7" width="23.75" style="3" customWidth="1"/>
    <col min="8" max="8" width="28.25" style="3" bestFit="1" customWidth="1"/>
  </cols>
  <sheetData>
    <row r="2" spans="3:9" x14ac:dyDescent="0.25">
      <c r="C2" s="7" t="s">
        <v>0</v>
      </c>
      <c r="D2" s="7" t="s">
        <v>1</v>
      </c>
      <c r="E2" s="7" t="s">
        <v>2</v>
      </c>
      <c r="F2" s="7" t="s">
        <v>3</v>
      </c>
      <c r="G2" s="7" t="s">
        <v>4</v>
      </c>
      <c r="H2" s="1"/>
      <c r="I2" s="111"/>
    </row>
    <row r="3" spans="3:9" x14ac:dyDescent="0.25">
      <c r="C3" s="1" t="s">
        <v>2340</v>
      </c>
      <c r="D3" s="1" t="s">
        <v>13</v>
      </c>
      <c r="E3" s="1" t="s">
        <v>7</v>
      </c>
      <c r="F3" s="1">
        <v>205</v>
      </c>
      <c r="G3" s="1" t="s">
        <v>2364</v>
      </c>
      <c r="H3" s="1" t="s">
        <v>68</v>
      </c>
      <c r="I3" s="111"/>
    </row>
    <row r="4" spans="3:9" x14ac:dyDescent="0.25">
      <c r="C4" s="1" t="s">
        <v>2340</v>
      </c>
      <c r="D4" s="1" t="s">
        <v>665</v>
      </c>
      <c r="E4" s="1" t="s">
        <v>7</v>
      </c>
      <c r="F4" s="1">
        <v>11</v>
      </c>
      <c r="G4" s="1" t="s">
        <v>2365</v>
      </c>
      <c r="H4" s="1" t="s">
        <v>386</v>
      </c>
      <c r="I4" s="111"/>
    </row>
    <row r="5" spans="3:9" x14ac:dyDescent="0.25">
      <c r="C5" s="1" t="s">
        <v>2340</v>
      </c>
      <c r="D5" s="1" t="s">
        <v>9</v>
      </c>
      <c r="E5" s="1" t="s">
        <v>7</v>
      </c>
      <c r="F5" s="1">
        <v>25</v>
      </c>
      <c r="G5" s="1" t="s">
        <v>2366</v>
      </c>
      <c r="H5" s="1" t="s">
        <v>1322</v>
      </c>
      <c r="I5" s="111"/>
    </row>
    <row r="6" spans="3:9" x14ac:dyDescent="0.25">
      <c r="C6" s="1" t="s">
        <v>2340</v>
      </c>
      <c r="D6" s="1" t="s">
        <v>23</v>
      </c>
      <c r="E6" s="1" t="s">
        <v>7</v>
      </c>
      <c r="F6" s="1">
        <v>140</v>
      </c>
      <c r="G6" s="1" t="s">
        <v>2367</v>
      </c>
      <c r="H6" s="1" t="s">
        <v>2385</v>
      </c>
      <c r="I6" s="111"/>
    </row>
    <row r="7" spans="3:9" x14ac:dyDescent="0.25">
      <c r="C7" s="1" t="s">
        <v>2340</v>
      </c>
      <c r="D7" s="1" t="s">
        <v>295</v>
      </c>
      <c r="E7" s="1" t="s">
        <v>7</v>
      </c>
      <c r="F7" s="1">
        <v>35</v>
      </c>
      <c r="G7" s="1" t="s">
        <v>2368</v>
      </c>
      <c r="H7" s="1" t="s">
        <v>2380</v>
      </c>
      <c r="I7" s="111"/>
    </row>
    <row r="8" spans="3:9" x14ac:dyDescent="0.25">
      <c r="C8" s="1" t="s">
        <v>2340</v>
      </c>
      <c r="D8" s="1" t="s">
        <v>240</v>
      </c>
      <c r="E8" s="1" t="s">
        <v>7</v>
      </c>
      <c r="F8" s="1">
        <v>5.5</v>
      </c>
      <c r="G8" s="1" t="s">
        <v>2369</v>
      </c>
      <c r="H8" s="1" t="s">
        <v>2377</v>
      </c>
      <c r="I8" s="111"/>
    </row>
    <row r="9" spans="3:9" x14ac:dyDescent="0.25">
      <c r="C9" s="28" t="s">
        <v>2340</v>
      </c>
      <c r="D9" s="28" t="s">
        <v>472</v>
      </c>
      <c r="E9" s="28" t="s">
        <v>7</v>
      </c>
      <c r="F9" s="28">
        <v>-6740.7</v>
      </c>
      <c r="G9" s="28" t="s">
        <v>2344</v>
      </c>
      <c r="H9" s="28" t="s">
        <v>2376</v>
      </c>
      <c r="I9" s="114"/>
    </row>
    <row r="10" spans="3:9" x14ac:dyDescent="0.25">
      <c r="C10" s="28" t="s">
        <v>2340</v>
      </c>
      <c r="D10" s="28" t="s">
        <v>248</v>
      </c>
      <c r="E10" s="28" t="s">
        <v>7</v>
      </c>
      <c r="F10" s="28">
        <v>-64</v>
      </c>
      <c r="G10" s="28" t="s">
        <v>2345</v>
      </c>
      <c r="H10" s="28" t="s">
        <v>2374</v>
      </c>
      <c r="I10" s="28" t="s">
        <v>2375</v>
      </c>
    </row>
    <row r="11" spans="3:9" x14ac:dyDescent="0.25">
      <c r="C11" s="1" t="s">
        <v>2340</v>
      </c>
      <c r="D11" s="1" t="s">
        <v>23</v>
      </c>
      <c r="E11" s="1" t="s">
        <v>7</v>
      </c>
      <c r="F11" s="1">
        <v>320</v>
      </c>
      <c r="G11" s="1" t="s">
        <v>2346</v>
      </c>
      <c r="H11" s="1" t="s">
        <v>2378</v>
      </c>
      <c r="I11" s="111"/>
    </row>
    <row r="12" spans="3:9" x14ac:dyDescent="0.25">
      <c r="C12" s="1" t="s">
        <v>2340</v>
      </c>
      <c r="D12" s="1" t="s">
        <v>23</v>
      </c>
      <c r="E12" s="1" t="s">
        <v>7</v>
      </c>
      <c r="F12" s="1">
        <v>900</v>
      </c>
      <c r="G12" s="1" t="s">
        <v>2347</v>
      </c>
      <c r="H12" s="1" t="s">
        <v>2378</v>
      </c>
      <c r="I12" s="111"/>
    </row>
    <row r="13" spans="3:9" x14ac:dyDescent="0.25">
      <c r="C13" s="1" t="s">
        <v>2340</v>
      </c>
      <c r="D13" s="1" t="s">
        <v>23</v>
      </c>
      <c r="E13" s="1" t="s">
        <v>7</v>
      </c>
      <c r="F13" s="1">
        <v>900</v>
      </c>
      <c r="G13" s="1" t="s">
        <v>2348</v>
      </c>
      <c r="H13" s="1" t="s">
        <v>2378</v>
      </c>
      <c r="I13" s="111"/>
    </row>
    <row r="14" spans="3:9" x14ac:dyDescent="0.25">
      <c r="C14" s="1" t="s">
        <v>2340</v>
      </c>
      <c r="D14" s="1" t="s">
        <v>2349</v>
      </c>
      <c r="E14" s="1" t="s">
        <v>7</v>
      </c>
      <c r="F14" s="1">
        <v>50</v>
      </c>
      <c r="G14" s="1" t="s">
        <v>2350</v>
      </c>
      <c r="H14" s="1" t="s">
        <v>2373</v>
      </c>
      <c r="I14" s="111"/>
    </row>
    <row r="15" spans="3:9" x14ac:dyDescent="0.25">
      <c r="C15" s="1" t="s">
        <v>2340</v>
      </c>
      <c r="D15" s="1" t="s">
        <v>23</v>
      </c>
      <c r="E15" s="1" t="s">
        <v>7</v>
      </c>
      <c r="F15" s="1">
        <v>20567.5</v>
      </c>
      <c r="G15" s="1" t="s">
        <v>2351</v>
      </c>
      <c r="H15" s="1" t="s">
        <v>590</v>
      </c>
      <c r="I15" s="111"/>
    </row>
    <row r="16" spans="3:9" x14ac:dyDescent="0.25">
      <c r="C16" s="1" t="s">
        <v>2340</v>
      </c>
      <c r="D16" s="1" t="s">
        <v>284</v>
      </c>
      <c r="E16" s="1" t="s">
        <v>7</v>
      </c>
      <c r="F16" s="1">
        <v>153</v>
      </c>
      <c r="G16" s="1" t="s">
        <v>2352</v>
      </c>
      <c r="H16" s="1" t="s">
        <v>2379</v>
      </c>
      <c r="I16" s="111"/>
    </row>
    <row r="17" spans="3:9" x14ac:dyDescent="0.25">
      <c r="C17" s="28" t="s">
        <v>2340</v>
      </c>
      <c r="D17" s="28" t="s">
        <v>2353</v>
      </c>
      <c r="E17" s="28" t="s">
        <v>7</v>
      </c>
      <c r="F17" s="28">
        <v>-50</v>
      </c>
      <c r="G17" s="28" t="s">
        <v>2354</v>
      </c>
      <c r="H17" s="28" t="s">
        <v>2384</v>
      </c>
      <c r="I17" s="111"/>
    </row>
    <row r="18" spans="3:9" x14ac:dyDescent="0.25">
      <c r="C18" s="1" t="s">
        <v>2340</v>
      </c>
      <c r="D18" s="1" t="s">
        <v>797</v>
      </c>
      <c r="E18" s="1" t="s">
        <v>7</v>
      </c>
      <c r="F18" s="1">
        <v>500</v>
      </c>
      <c r="G18" s="1" t="s">
        <v>2355</v>
      </c>
      <c r="H18" s="1" t="s">
        <v>2372</v>
      </c>
      <c r="I18" s="111"/>
    </row>
    <row r="19" spans="3:9" x14ac:dyDescent="0.25">
      <c r="C19" s="1" t="s">
        <v>2340</v>
      </c>
      <c r="D19" s="1" t="s">
        <v>2356</v>
      </c>
      <c r="E19" s="1" t="s">
        <v>7</v>
      </c>
      <c r="F19" s="1">
        <v>400</v>
      </c>
      <c r="G19" s="1" t="s">
        <v>2357</v>
      </c>
      <c r="H19" s="1" t="s">
        <v>1918</v>
      </c>
      <c r="I19" s="111"/>
    </row>
    <row r="20" spans="3:9" x14ac:dyDescent="0.25">
      <c r="C20" s="1" t="s">
        <v>2340</v>
      </c>
      <c r="D20" s="1" t="s">
        <v>2358</v>
      </c>
      <c r="E20" s="1" t="s">
        <v>7</v>
      </c>
      <c r="F20" s="1">
        <v>900</v>
      </c>
      <c r="G20" s="1" t="s">
        <v>2359</v>
      </c>
      <c r="H20" s="1" t="s">
        <v>1918</v>
      </c>
      <c r="I20" s="111"/>
    </row>
    <row r="21" spans="3:9" x14ac:dyDescent="0.25">
      <c r="C21" s="1" t="s">
        <v>2340</v>
      </c>
      <c r="D21" s="1" t="s">
        <v>2358</v>
      </c>
      <c r="E21" s="1" t="s">
        <v>7</v>
      </c>
      <c r="F21" s="1">
        <v>900</v>
      </c>
      <c r="G21" s="1" t="s">
        <v>2360</v>
      </c>
      <c r="H21" s="1" t="s">
        <v>1918</v>
      </c>
      <c r="I21" s="111"/>
    </row>
    <row r="22" spans="3:9" x14ac:dyDescent="0.25">
      <c r="C22" s="1" t="s">
        <v>2340</v>
      </c>
      <c r="D22" s="1" t="s">
        <v>2358</v>
      </c>
      <c r="E22" s="1" t="s">
        <v>7</v>
      </c>
      <c r="F22" s="1">
        <v>900</v>
      </c>
      <c r="G22" s="1" t="s">
        <v>2361</v>
      </c>
      <c r="H22" s="1" t="s">
        <v>1918</v>
      </c>
      <c r="I22" s="111"/>
    </row>
    <row r="23" spans="3:9" x14ac:dyDescent="0.25">
      <c r="C23" s="1" t="s">
        <v>2340</v>
      </c>
      <c r="D23" s="1" t="s">
        <v>2358</v>
      </c>
      <c r="E23" s="1" t="s">
        <v>7</v>
      </c>
      <c r="F23" s="1">
        <v>900</v>
      </c>
      <c r="G23" s="1" t="s">
        <v>2362</v>
      </c>
      <c r="H23" s="1" t="s">
        <v>1918</v>
      </c>
      <c r="I23" s="111"/>
    </row>
    <row r="24" spans="3:9" x14ac:dyDescent="0.25">
      <c r="C24" s="28" t="s">
        <v>2340</v>
      </c>
      <c r="D24" s="28" t="s">
        <v>172</v>
      </c>
      <c r="E24" s="28" t="s">
        <v>7</v>
      </c>
      <c r="F24" s="28">
        <v>-24000</v>
      </c>
      <c r="G24" s="28" t="s">
        <v>2363</v>
      </c>
      <c r="H24" s="28" t="s">
        <v>2383</v>
      </c>
      <c r="I24" s="111"/>
    </row>
    <row r="25" spans="3:9" x14ac:dyDescent="0.25">
      <c r="C25" s="1" t="s">
        <v>2340</v>
      </c>
      <c r="D25" s="1" t="s">
        <v>356</v>
      </c>
      <c r="E25" s="1" t="s">
        <v>7</v>
      </c>
      <c r="F25" s="1">
        <v>11.5</v>
      </c>
      <c r="G25" s="1" t="s">
        <v>2341</v>
      </c>
      <c r="H25" s="1" t="s">
        <v>2381</v>
      </c>
      <c r="I25" s="111"/>
    </row>
    <row r="26" spans="3:9" x14ac:dyDescent="0.25">
      <c r="C26" s="1" t="s">
        <v>2340</v>
      </c>
      <c r="D26" s="1" t="s">
        <v>1259</v>
      </c>
      <c r="E26" s="1" t="s">
        <v>7</v>
      </c>
      <c r="F26" s="1">
        <v>12.5</v>
      </c>
      <c r="G26" s="1" t="s">
        <v>2342</v>
      </c>
      <c r="H26" s="1" t="s">
        <v>2382</v>
      </c>
      <c r="I26" s="111"/>
    </row>
    <row r="27" spans="3:9" x14ac:dyDescent="0.25">
      <c r="C27" s="1"/>
      <c r="D27" s="1"/>
      <c r="E27" s="1"/>
      <c r="F27" s="1"/>
      <c r="G27" s="1"/>
      <c r="H27" s="1"/>
      <c r="I27" s="111"/>
    </row>
    <row r="28" spans="3:9" x14ac:dyDescent="0.25">
      <c r="C28" s="1" t="s">
        <v>2298</v>
      </c>
      <c r="D28" s="1" t="s">
        <v>23</v>
      </c>
      <c r="E28" s="1" t="s">
        <v>7</v>
      </c>
      <c r="F28" s="1">
        <v>2277</v>
      </c>
      <c r="G28" s="1" t="s">
        <v>2343</v>
      </c>
      <c r="H28" s="1" t="s">
        <v>972</v>
      </c>
      <c r="I28" s="111"/>
    </row>
  </sheetData>
  <pageMargins left="0.7" right="0.7" top="0.75" bottom="0.75" header="0.3" footer="0.3"/>
  <pageSetup paperSize="256" orientation="portrait" horizontalDpi="203" verticalDpi="203" r:id="rId1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4D8ED8-66F3-4539-906F-EC30EFBBB173}">
  <sheetPr codeName="Hoja47"/>
  <dimension ref="C1:I34"/>
  <sheetViews>
    <sheetView workbookViewId="0">
      <selection activeCell="C3" sqref="C3"/>
    </sheetView>
  </sheetViews>
  <sheetFormatPr baseColWidth="10" defaultRowHeight="15.75" x14ac:dyDescent="0.25"/>
  <cols>
    <col min="3" max="3" width="15.625" style="3" customWidth="1"/>
    <col min="4" max="4" width="24.125" style="3" bestFit="1" customWidth="1"/>
    <col min="5" max="6" width="11" style="3"/>
    <col min="7" max="7" width="21.25" style="3" customWidth="1"/>
    <col min="8" max="8" width="26.375" style="3" customWidth="1"/>
    <col min="9" max="9" width="11" style="3"/>
  </cols>
  <sheetData>
    <row r="1" spans="3:8" ht="16.5" thickBot="1" x14ac:dyDescent="0.3"/>
    <row r="2" spans="3:8" x14ac:dyDescent="0.25">
      <c r="C2" s="21" t="s">
        <v>0</v>
      </c>
      <c r="D2" s="22" t="s">
        <v>1</v>
      </c>
      <c r="E2" s="22" t="s">
        <v>2</v>
      </c>
      <c r="F2" s="22" t="s">
        <v>3</v>
      </c>
      <c r="G2" s="22" t="s">
        <v>4</v>
      </c>
      <c r="H2" s="13"/>
    </row>
    <row r="3" spans="3:8" x14ac:dyDescent="0.25">
      <c r="C3" s="108"/>
      <c r="D3" s="7"/>
      <c r="E3" s="7"/>
      <c r="F3" s="7"/>
      <c r="G3" s="7"/>
      <c r="H3" s="16"/>
    </row>
    <row r="4" spans="3:8" x14ac:dyDescent="0.25">
      <c r="C4" s="14" t="s">
        <v>2386</v>
      </c>
      <c r="D4" s="1" t="s">
        <v>2437</v>
      </c>
      <c r="E4" s="1" t="s">
        <v>7</v>
      </c>
      <c r="F4" s="1">
        <v>25</v>
      </c>
      <c r="G4" s="1" t="s">
        <v>2438</v>
      </c>
      <c r="H4" s="16" t="s">
        <v>2441</v>
      </c>
    </row>
    <row r="5" spans="3:8" x14ac:dyDescent="0.25">
      <c r="C5" s="14" t="s">
        <v>2386</v>
      </c>
      <c r="D5" s="1" t="s">
        <v>23</v>
      </c>
      <c r="E5" s="1" t="s">
        <v>7</v>
      </c>
      <c r="F5" s="1">
        <v>138</v>
      </c>
      <c r="G5" s="1" t="s">
        <v>2439</v>
      </c>
      <c r="H5" s="16" t="s">
        <v>1622</v>
      </c>
    </row>
    <row r="6" spans="3:8" x14ac:dyDescent="0.25">
      <c r="C6" s="14" t="s">
        <v>2386</v>
      </c>
      <c r="D6" s="1" t="s">
        <v>23</v>
      </c>
      <c r="E6" s="1" t="s">
        <v>7</v>
      </c>
      <c r="F6" s="1">
        <v>320</v>
      </c>
      <c r="G6" s="1" t="s">
        <v>2440</v>
      </c>
      <c r="H6" s="16" t="s">
        <v>2430</v>
      </c>
    </row>
    <row r="7" spans="3:8" x14ac:dyDescent="0.25">
      <c r="C7" s="14" t="s">
        <v>2386</v>
      </c>
      <c r="D7" s="1" t="s">
        <v>299</v>
      </c>
      <c r="E7" s="1" t="s">
        <v>7</v>
      </c>
      <c r="F7" s="1">
        <v>52</v>
      </c>
      <c r="G7" s="1" t="s">
        <v>2421</v>
      </c>
      <c r="H7" s="16" t="s">
        <v>2431</v>
      </c>
    </row>
    <row r="8" spans="3:8" x14ac:dyDescent="0.25">
      <c r="C8" s="14" t="s">
        <v>2386</v>
      </c>
      <c r="D8" s="1" t="s">
        <v>797</v>
      </c>
      <c r="E8" s="1" t="s">
        <v>7</v>
      </c>
      <c r="F8" s="1">
        <v>4</v>
      </c>
      <c r="G8" s="1" t="s">
        <v>2422</v>
      </c>
      <c r="H8" s="16" t="s">
        <v>2429</v>
      </c>
    </row>
    <row r="9" spans="3:8" x14ac:dyDescent="0.25">
      <c r="C9" s="14" t="s">
        <v>2386</v>
      </c>
      <c r="D9" s="1" t="s">
        <v>23</v>
      </c>
      <c r="E9" s="1" t="s">
        <v>7</v>
      </c>
      <c r="F9" s="1">
        <v>256</v>
      </c>
      <c r="G9" s="1" t="s">
        <v>2423</v>
      </c>
      <c r="H9" s="16" t="s">
        <v>2430</v>
      </c>
    </row>
    <row r="10" spans="3:8" x14ac:dyDescent="0.25">
      <c r="C10" s="14" t="s">
        <v>2386</v>
      </c>
      <c r="D10" s="1" t="s">
        <v>23</v>
      </c>
      <c r="E10" s="1" t="s">
        <v>7</v>
      </c>
      <c r="F10" s="1">
        <v>2869.8</v>
      </c>
      <c r="G10" s="1" t="s">
        <v>2424</v>
      </c>
      <c r="H10" s="16" t="s">
        <v>2432</v>
      </c>
    </row>
    <row r="11" spans="3:8" x14ac:dyDescent="0.25">
      <c r="C11" s="14" t="s">
        <v>2386</v>
      </c>
      <c r="D11" s="1" t="s">
        <v>284</v>
      </c>
      <c r="E11" s="1" t="s">
        <v>7</v>
      </c>
      <c r="F11" s="1">
        <v>396.5</v>
      </c>
      <c r="G11" s="1" t="s">
        <v>2425</v>
      </c>
      <c r="H11" s="16" t="s">
        <v>2081</v>
      </c>
    </row>
    <row r="12" spans="3:8" x14ac:dyDescent="0.25">
      <c r="C12" s="14" t="s">
        <v>2386</v>
      </c>
      <c r="D12" s="1" t="s">
        <v>284</v>
      </c>
      <c r="E12" s="1" t="s">
        <v>7</v>
      </c>
      <c r="F12" s="1">
        <v>500</v>
      </c>
      <c r="G12" s="1" t="s">
        <v>2426</v>
      </c>
      <c r="H12" s="16" t="s">
        <v>2081</v>
      </c>
    </row>
    <row r="13" spans="3:8" x14ac:dyDescent="0.25">
      <c r="C13" s="14" t="s">
        <v>2386</v>
      </c>
      <c r="D13" s="1" t="s">
        <v>23</v>
      </c>
      <c r="E13" s="1" t="s">
        <v>7</v>
      </c>
      <c r="F13" s="1">
        <v>5228</v>
      </c>
      <c r="G13" s="1" t="s">
        <v>2427</v>
      </c>
      <c r="H13" s="16" t="s">
        <v>2204</v>
      </c>
    </row>
    <row r="14" spans="3:8" x14ac:dyDescent="0.25">
      <c r="C14" s="14" t="s">
        <v>2386</v>
      </c>
      <c r="D14" s="1" t="s">
        <v>797</v>
      </c>
      <c r="E14" s="1" t="s">
        <v>7</v>
      </c>
      <c r="F14" s="1">
        <v>128.80000000000001</v>
      </c>
      <c r="G14" s="1" t="s">
        <v>2428</v>
      </c>
      <c r="H14" s="16" t="s">
        <v>2429</v>
      </c>
    </row>
    <row r="15" spans="3:8" x14ac:dyDescent="0.25">
      <c r="C15" s="14" t="s">
        <v>2386</v>
      </c>
      <c r="D15" s="1" t="s">
        <v>519</v>
      </c>
      <c r="E15" s="1" t="s">
        <v>7</v>
      </c>
      <c r="F15" s="1">
        <v>10</v>
      </c>
      <c r="G15" s="1" t="s">
        <v>2387</v>
      </c>
      <c r="H15" s="16" t="s">
        <v>2420</v>
      </c>
    </row>
    <row r="16" spans="3:8" x14ac:dyDescent="0.25">
      <c r="C16" s="14" t="s">
        <v>2386</v>
      </c>
      <c r="D16" s="1" t="s">
        <v>519</v>
      </c>
      <c r="E16" s="1" t="s">
        <v>7</v>
      </c>
      <c r="F16" s="1">
        <v>7</v>
      </c>
      <c r="G16" s="1" t="s">
        <v>2388</v>
      </c>
      <c r="H16" s="16" t="s">
        <v>2420</v>
      </c>
    </row>
    <row r="17" spans="3:8" x14ac:dyDescent="0.25">
      <c r="C17" s="14" t="s">
        <v>2386</v>
      </c>
      <c r="D17" s="1" t="s">
        <v>521</v>
      </c>
      <c r="E17" s="1" t="s">
        <v>7</v>
      </c>
      <c r="F17" s="1">
        <v>10</v>
      </c>
      <c r="G17" s="1" t="s">
        <v>2389</v>
      </c>
      <c r="H17" s="16" t="s">
        <v>2415</v>
      </c>
    </row>
    <row r="18" spans="3:8" x14ac:dyDescent="0.25">
      <c r="C18" s="14" t="s">
        <v>2386</v>
      </c>
      <c r="D18" s="1" t="s">
        <v>382</v>
      </c>
      <c r="E18" s="1" t="s">
        <v>7</v>
      </c>
      <c r="F18" s="1">
        <v>60</v>
      </c>
      <c r="G18" s="1" t="s">
        <v>2390</v>
      </c>
      <c r="H18" s="16" t="s">
        <v>2419</v>
      </c>
    </row>
    <row r="19" spans="3:8" x14ac:dyDescent="0.25">
      <c r="C19" s="14" t="s">
        <v>2386</v>
      </c>
      <c r="D19" s="1" t="s">
        <v>360</v>
      </c>
      <c r="E19" s="1" t="s">
        <v>7</v>
      </c>
      <c r="F19" s="1">
        <v>13</v>
      </c>
      <c r="G19" s="1" t="s">
        <v>2391</v>
      </c>
      <c r="H19" s="16" t="s">
        <v>2414</v>
      </c>
    </row>
    <row r="20" spans="3:8" x14ac:dyDescent="0.25">
      <c r="C20" s="14" t="s">
        <v>2386</v>
      </c>
      <c r="D20" s="1" t="s">
        <v>23</v>
      </c>
      <c r="E20" s="1" t="s">
        <v>7</v>
      </c>
      <c r="F20" s="1">
        <v>1070.5</v>
      </c>
      <c r="G20" s="1" t="s">
        <v>2392</v>
      </c>
      <c r="H20" s="16" t="s">
        <v>832</v>
      </c>
    </row>
    <row r="21" spans="3:8" x14ac:dyDescent="0.25">
      <c r="C21" s="14" t="s">
        <v>2386</v>
      </c>
      <c r="D21" s="1" t="s">
        <v>39</v>
      </c>
      <c r="E21" s="1" t="s">
        <v>7</v>
      </c>
      <c r="F21" s="1">
        <v>105</v>
      </c>
      <c r="G21" s="1" t="s">
        <v>2393</v>
      </c>
      <c r="H21" s="16" t="s">
        <v>2436</v>
      </c>
    </row>
    <row r="22" spans="3:8" x14ac:dyDescent="0.25">
      <c r="C22" s="14" t="s">
        <v>2386</v>
      </c>
      <c r="D22" s="1" t="s">
        <v>2394</v>
      </c>
      <c r="E22" s="1" t="s">
        <v>7</v>
      </c>
      <c r="F22" s="1">
        <v>5.5</v>
      </c>
      <c r="G22" s="1" t="s">
        <v>2395</v>
      </c>
      <c r="H22" s="16" t="s">
        <v>2413</v>
      </c>
    </row>
    <row r="23" spans="3:8" x14ac:dyDescent="0.25">
      <c r="C23" s="14" t="s">
        <v>2386</v>
      </c>
      <c r="D23" s="1" t="s">
        <v>370</v>
      </c>
      <c r="E23" s="1" t="s">
        <v>7</v>
      </c>
      <c r="F23" s="1">
        <v>25</v>
      </c>
      <c r="G23" s="1" t="s">
        <v>2396</v>
      </c>
      <c r="H23" s="16" t="s">
        <v>2412</v>
      </c>
    </row>
    <row r="24" spans="3:8" x14ac:dyDescent="0.25">
      <c r="C24" s="14" t="s">
        <v>2386</v>
      </c>
      <c r="D24" s="1" t="s">
        <v>797</v>
      </c>
      <c r="E24" s="1" t="s">
        <v>7</v>
      </c>
      <c r="F24" s="1">
        <v>20</v>
      </c>
      <c r="G24" s="1" t="s">
        <v>2397</v>
      </c>
      <c r="H24" s="16" t="s">
        <v>2434</v>
      </c>
    </row>
    <row r="25" spans="3:8" x14ac:dyDescent="0.25">
      <c r="C25" s="14" t="s">
        <v>2386</v>
      </c>
      <c r="D25" s="1" t="s">
        <v>797</v>
      </c>
      <c r="E25" s="1" t="s">
        <v>7</v>
      </c>
      <c r="F25" s="1">
        <v>109.8</v>
      </c>
      <c r="G25" s="1" t="s">
        <v>2398</v>
      </c>
      <c r="H25" s="16" t="s">
        <v>2416</v>
      </c>
    </row>
    <row r="26" spans="3:8" x14ac:dyDescent="0.25">
      <c r="C26" s="14" t="s">
        <v>2386</v>
      </c>
      <c r="D26" s="1" t="s">
        <v>15</v>
      </c>
      <c r="E26" s="1" t="s">
        <v>7</v>
      </c>
      <c r="F26" s="1">
        <v>322</v>
      </c>
      <c r="G26" s="1" t="s">
        <v>2399</v>
      </c>
      <c r="H26" s="16" t="s">
        <v>2435</v>
      </c>
    </row>
    <row r="27" spans="3:8" x14ac:dyDescent="0.25">
      <c r="C27" s="14" t="s">
        <v>2386</v>
      </c>
      <c r="D27" s="1" t="s">
        <v>269</v>
      </c>
      <c r="E27" s="1" t="s">
        <v>7</v>
      </c>
      <c r="F27" s="1">
        <v>22</v>
      </c>
      <c r="G27" s="1" t="s">
        <v>2400</v>
      </c>
      <c r="H27" s="16" t="s">
        <v>2411</v>
      </c>
    </row>
    <row r="28" spans="3:8" x14ac:dyDescent="0.25">
      <c r="C28" s="14" t="s">
        <v>2386</v>
      </c>
      <c r="D28" s="1" t="s">
        <v>2401</v>
      </c>
      <c r="E28" s="1" t="s">
        <v>7</v>
      </c>
      <c r="F28" s="1">
        <v>465</v>
      </c>
      <c r="G28" s="1" t="s">
        <v>2402</v>
      </c>
      <c r="H28" s="16" t="s">
        <v>739</v>
      </c>
    </row>
    <row r="29" spans="3:8" x14ac:dyDescent="0.25">
      <c r="C29" s="14" t="s">
        <v>2386</v>
      </c>
      <c r="D29" s="1" t="s">
        <v>2010</v>
      </c>
      <c r="E29" s="1" t="s">
        <v>7</v>
      </c>
      <c r="F29" s="1">
        <v>10</v>
      </c>
      <c r="G29" s="1" t="s">
        <v>2403</v>
      </c>
      <c r="H29" s="16" t="s">
        <v>2410</v>
      </c>
    </row>
    <row r="30" spans="3:8" x14ac:dyDescent="0.25">
      <c r="C30" s="14" t="s">
        <v>2386</v>
      </c>
      <c r="D30" s="1" t="s">
        <v>2404</v>
      </c>
      <c r="E30" s="1" t="s">
        <v>7</v>
      </c>
      <c r="F30" s="1">
        <v>262</v>
      </c>
      <c r="G30" s="1" t="s">
        <v>2405</v>
      </c>
      <c r="H30" s="16" t="s">
        <v>2418</v>
      </c>
    </row>
    <row r="31" spans="3:8" x14ac:dyDescent="0.25">
      <c r="C31" s="14" t="s">
        <v>2386</v>
      </c>
      <c r="D31" s="1" t="s">
        <v>2404</v>
      </c>
      <c r="E31" s="1" t="s">
        <v>7</v>
      </c>
      <c r="F31" s="1">
        <v>500</v>
      </c>
      <c r="G31" s="1" t="s">
        <v>2406</v>
      </c>
      <c r="H31" s="16" t="s">
        <v>2418</v>
      </c>
    </row>
    <row r="32" spans="3:8" x14ac:dyDescent="0.25">
      <c r="C32" s="14" t="s">
        <v>2386</v>
      </c>
      <c r="D32" s="1" t="s">
        <v>2404</v>
      </c>
      <c r="E32" s="1" t="s">
        <v>7</v>
      </c>
      <c r="F32" s="1">
        <v>500</v>
      </c>
      <c r="G32" s="1" t="s">
        <v>2407</v>
      </c>
      <c r="H32" s="16" t="s">
        <v>2418</v>
      </c>
    </row>
    <row r="33" spans="3:8" x14ac:dyDescent="0.25">
      <c r="C33" s="14" t="s">
        <v>2386</v>
      </c>
      <c r="D33" s="1" t="s">
        <v>1758</v>
      </c>
      <c r="E33" s="1" t="s">
        <v>7</v>
      </c>
      <c r="F33" s="1">
        <v>22.5</v>
      </c>
      <c r="G33" s="1" t="s">
        <v>2408</v>
      </c>
      <c r="H33" s="16" t="s">
        <v>2417</v>
      </c>
    </row>
    <row r="34" spans="3:8" ht="16.5" thickBot="1" x14ac:dyDescent="0.3">
      <c r="C34" s="25" t="s">
        <v>2386</v>
      </c>
      <c r="D34" s="18" t="s">
        <v>23</v>
      </c>
      <c r="E34" s="18" t="s">
        <v>7</v>
      </c>
      <c r="F34" s="18">
        <v>1008</v>
      </c>
      <c r="G34" s="18" t="s">
        <v>2409</v>
      </c>
      <c r="H34" s="27" t="s">
        <v>2433</v>
      </c>
    </row>
  </sheetData>
  <phoneticPr fontId="3" type="noConversion"/>
  <pageMargins left="0.7" right="0.7" top="0.75" bottom="0.75" header="0.3" footer="0.3"/>
  <pageSetup orientation="portrait" r:id="rId1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B6E8D4-FA9B-4CA6-8513-E582BABB437A}">
  <sheetPr codeName="Hoja48"/>
  <dimension ref="B2:I48"/>
  <sheetViews>
    <sheetView topLeftCell="A8" workbookViewId="0">
      <selection activeCell="B2" sqref="B2:J38"/>
    </sheetView>
  </sheetViews>
  <sheetFormatPr baseColWidth="10" defaultRowHeight="15.75" x14ac:dyDescent="0.25"/>
  <cols>
    <col min="3" max="3" width="11" style="3"/>
    <col min="4" max="4" width="22.875" style="3" bestFit="1" customWidth="1"/>
    <col min="5" max="6" width="11" style="3"/>
    <col min="7" max="7" width="23.625" style="3" customWidth="1"/>
    <col min="8" max="8" width="38.875" style="3" customWidth="1"/>
    <col min="9" max="9" width="14.625" style="3" bestFit="1" customWidth="1"/>
  </cols>
  <sheetData>
    <row r="2" spans="2:9" ht="16.5" thickBot="1" x14ac:dyDescent="0.3"/>
    <row r="3" spans="2:9" s="3" customFormat="1" x14ac:dyDescent="0.25">
      <c r="B3"/>
      <c r="C3" s="21" t="s">
        <v>0</v>
      </c>
      <c r="D3" s="22" t="s">
        <v>1</v>
      </c>
      <c r="E3" s="22" t="s">
        <v>2</v>
      </c>
      <c r="F3" s="22" t="s">
        <v>3</v>
      </c>
      <c r="G3" s="22" t="s">
        <v>4</v>
      </c>
      <c r="H3" s="12"/>
      <c r="I3" s="13"/>
    </row>
    <row r="4" spans="2:9" s="3" customFormat="1" x14ac:dyDescent="0.25">
      <c r="B4"/>
      <c r="C4" s="108"/>
      <c r="D4" s="7"/>
      <c r="E4" s="7"/>
      <c r="F4" s="7"/>
      <c r="G4" s="7"/>
      <c r="H4" s="1"/>
      <c r="I4" s="16"/>
    </row>
    <row r="5" spans="2:9" s="3" customFormat="1" x14ac:dyDescent="0.25">
      <c r="B5"/>
      <c r="C5" s="115" t="s">
        <v>2442</v>
      </c>
      <c r="D5" s="116" t="s">
        <v>472</v>
      </c>
      <c r="E5" s="116" t="s">
        <v>7</v>
      </c>
      <c r="F5" s="116">
        <v>-1065</v>
      </c>
      <c r="G5" s="116" t="s">
        <v>2499</v>
      </c>
      <c r="H5" s="116" t="s">
        <v>2503</v>
      </c>
      <c r="I5" s="16"/>
    </row>
    <row r="6" spans="2:9" s="3" customFormat="1" x14ac:dyDescent="0.25">
      <c r="B6"/>
      <c r="C6" s="29" t="s">
        <v>2442</v>
      </c>
      <c r="D6" s="28" t="s">
        <v>2500</v>
      </c>
      <c r="E6" s="28" t="s">
        <v>7</v>
      </c>
      <c r="F6" s="28">
        <v>-10</v>
      </c>
      <c r="G6" s="28" t="s">
        <v>2501</v>
      </c>
      <c r="H6" s="28" t="s">
        <v>2502</v>
      </c>
      <c r="I6" s="16"/>
    </row>
    <row r="7" spans="2:9" s="3" customFormat="1" x14ac:dyDescent="0.25">
      <c r="B7"/>
      <c r="C7" s="29" t="s">
        <v>2442</v>
      </c>
      <c r="D7" s="28" t="s">
        <v>384</v>
      </c>
      <c r="E7" s="28" t="s">
        <v>7</v>
      </c>
      <c r="F7" s="28">
        <v>-250</v>
      </c>
      <c r="G7" s="28" t="s">
        <v>2492</v>
      </c>
      <c r="H7" s="28" t="s">
        <v>2495</v>
      </c>
      <c r="I7" s="16"/>
    </row>
    <row r="8" spans="2:9" s="3" customFormat="1" x14ac:dyDescent="0.25">
      <c r="B8"/>
      <c r="C8" s="14" t="s">
        <v>2442</v>
      </c>
      <c r="D8" s="1" t="s">
        <v>23</v>
      </c>
      <c r="E8" s="1" t="s">
        <v>7</v>
      </c>
      <c r="F8" s="1">
        <v>288</v>
      </c>
      <c r="G8" s="1" t="s">
        <v>2493</v>
      </c>
      <c r="H8" s="1" t="s">
        <v>2385</v>
      </c>
      <c r="I8" s="16"/>
    </row>
    <row r="9" spans="2:9" s="3" customFormat="1" x14ac:dyDescent="0.25">
      <c r="B9"/>
      <c r="C9" s="14" t="s">
        <v>2442</v>
      </c>
      <c r="D9" s="1" t="s">
        <v>13</v>
      </c>
      <c r="E9" s="1" t="s">
        <v>7</v>
      </c>
      <c r="F9" s="1">
        <v>75</v>
      </c>
      <c r="G9" s="1" t="s">
        <v>2494</v>
      </c>
      <c r="H9" s="1" t="s">
        <v>2496</v>
      </c>
      <c r="I9" s="16"/>
    </row>
    <row r="10" spans="2:9" s="3" customFormat="1" x14ac:dyDescent="0.25">
      <c r="B10"/>
      <c r="C10" s="29" t="s">
        <v>2442</v>
      </c>
      <c r="D10" s="28" t="s">
        <v>472</v>
      </c>
      <c r="E10" s="28" t="s">
        <v>7</v>
      </c>
      <c r="F10" s="28">
        <v>-14831.3</v>
      </c>
      <c r="G10" s="28" t="s">
        <v>2465</v>
      </c>
      <c r="H10" s="28" t="s">
        <v>2483</v>
      </c>
      <c r="I10" s="16"/>
    </row>
    <row r="11" spans="2:9" s="3" customFormat="1" x14ac:dyDescent="0.25">
      <c r="B11"/>
      <c r="C11" s="29" t="s">
        <v>2442</v>
      </c>
      <c r="D11" s="28" t="s">
        <v>107</v>
      </c>
      <c r="E11" s="28" t="s">
        <v>7</v>
      </c>
      <c r="F11" s="28">
        <v>-90</v>
      </c>
      <c r="G11" s="28" t="s">
        <v>2466</v>
      </c>
      <c r="H11" s="28" t="s">
        <v>2504</v>
      </c>
      <c r="I11" s="16"/>
    </row>
    <row r="12" spans="2:9" s="3" customFormat="1" x14ac:dyDescent="0.25">
      <c r="B12"/>
      <c r="C12" s="14" t="s">
        <v>2442</v>
      </c>
      <c r="D12" s="1" t="s">
        <v>797</v>
      </c>
      <c r="E12" s="1" t="s">
        <v>7</v>
      </c>
      <c r="F12" s="1">
        <v>35</v>
      </c>
      <c r="G12" s="1" t="s">
        <v>2467</v>
      </c>
      <c r="H12" s="1" t="s">
        <v>2491</v>
      </c>
      <c r="I12" s="16"/>
    </row>
    <row r="13" spans="2:9" s="3" customFormat="1" x14ac:dyDescent="0.25">
      <c r="B13"/>
      <c r="C13" s="14" t="s">
        <v>2442</v>
      </c>
      <c r="D13" s="1" t="s">
        <v>13</v>
      </c>
      <c r="E13" s="1" t="s">
        <v>7</v>
      </c>
      <c r="F13" s="1">
        <v>5</v>
      </c>
      <c r="G13" s="1" t="s">
        <v>2468</v>
      </c>
      <c r="H13" s="1" t="s">
        <v>2497</v>
      </c>
      <c r="I13" s="16"/>
    </row>
    <row r="14" spans="2:9" s="3" customFormat="1" x14ac:dyDescent="0.25">
      <c r="B14"/>
      <c r="C14" s="14" t="s">
        <v>2442</v>
      </c>
      <c r="D14" s="1" t="s">
        <v>2469</v>
      </c>
      <c r="E14" s="1" t="s">
        <v>7</v>
      </c>
      <c r="F14" s="1">
        <v>1378.5</v>
      </c>
      <c r="G14" s="1" t="s">
        <v>2470</v>
      </c>
      <c r="H14" s="1" t="s">
        <v>2488</v>
      </c>
      <c r="I14" s="16"/>
    </row>
    <row r="15" spans="2:9" s="3" customFormat="1" x14ac:dyDescent="0.25">
      <c r="B15"/>
      <c r="C15" s="14" t="s">
        <v>2442</v>
      </c>
      <c r="D15" s="1" t="s">
        <v>284</v>
      </c>
      <c r="E15" s="1" t="s">
        <v>7</v>
      </c>
      <c r="F15" s="1">
        <v>4</v>
      </c>
      <c r="G15" s="1" t="s">
        <v>2471</v>
      </c>
      <c r="H15" s="1" t="s">
        <v>2498</v>
      </c>
      <c r="I15" s="16"/>
    </row>
    <row r="16" spans="2:9" s="3" customFormat="1" x14ac:dyDescent="0.25">
      <c r="B16"/>
      <c r="C16" s="14" t="s">
        <v>2442</v>
      </c>
      <c r="D16" s="1" t="s">
        <v>509</v>
      </c>
      <c r="E16" s="1" t="s">
        <v>7</v>
      </c>
      <c r="F16" s="1">
        <v>603</v>
      </c>
      <c r="G16" s="1" t="s">
        <v>2472</v>
      </c>
      <c r="H16" s="1" t="s">
        <v>1335</v>
      </c>
      <c r="I16" s="16"/>
    </row>
    <row r="17" spans="2:9" s="3" customFormat="1" x14ac:dyDescent="0.25">
      <c r="B17"/>
      <c r="C17" s="14" t="s">
        <v>2442</v>
      </c>
      <c r="D17" s="1" t="s">
        <v>284</v>
      </c>
      <c r="E17" s="1" t="s">
        <v>7</v>
      </c>
      <c r="F17" s="1">
        <v>117</v>
      </c>
      <c r="G17" s="1" t="s">
        <v>2473</v>
      </c>
      <c r="H17" s="1" t="s">
        <v>2482</v>
      </c>
      <c r="I17" s="16"/>
    </row>
    <row r="18" spans="2:9" s="3" customFormat="1" x14ac:dyDescent="0.25">
      <c r="B18"/>
      <c r="C18" s="14" t="s">
        <v>2442</v>
      </c>
      <c r="D18" s="1" t="s">
        <v>521</v>
      </c>
      <c r="E18" s="1" t="s">
        <v>7</v>
      </c>
      <c r="F18" s="1">
        <v>5</v>
      </c>
      <c r="G18" s="1" t="s">
        <v>2443</v>
      </c>
      <c r="H18" s="1" t="s">
        <v>2481</v>
      </c>
      <c r="I18" s="16"/>
    </row>
    <row r="19" spans="2:9" s="3" customFormat="1" x14ac:dyDescent="0.25">
      <c r="B19"/>
      <c r="C19" s="52" t="s">
        <v>2442</v>
      </c>
      <c r="D19" s="51" t="s">
        <v>23</v>
      </c>
      <c r="E19" s="51" t="s">
        <v>7</v>
      </c>
      <c r="F19" s="51">
        <v>1065</v>
      </c>
      <c r="G19" s="51" t="s">
        <v>2444</v>
      </c>
      <c r="H19" s="51" t="s">
        <v>2291</v>
      </c>
      <c r="I19" s="16"/>
    </row>
    <row r="20" spans="2:9" s="3" customFormat="1" x14ac:dyDescent="0.25">
      <c r="B20"/>
      <c r="C20" s="14" t="s">
        <v>2442</v>
      </c>
      <c r="D20" s="1" t="s">
        <v>2401</v>
      </c>
      <c r="E20" s="1" t="s">
        <v>7</v>
      </c>
      <c r="F20" s="1">
        <v>44</v>
      </c>
      <c r="G20" s="1" t="s">
        <v>2445</v>
      </c>
      <c r="H20" s="1" t="s">
        <v>2480</v>
      </c>
      <c r="I20" s="16"/>
    </row>
    <row r="21" spans="2:9" s="3" customFormat="1" x14ac:dyDescent="0.25">
      <c r="B21"/>
      <c r="C21" s="14" t="s">
        <v>2442</v>
      </c>
      <c r="D21" s="1" t="s">
        <v>21</v>
      </c>
      <c r="E21" s="1" t="s">
        <v>7</v>
      </c>
      <c r="F21" s="1">
        <v>15</v>
      </c>
      <c r="G21" s="1" t="s">
        <v>2446</v>
      </c>
      <c r="H21" s="1" t="s">
        <v>2487</v>
      </c>
      <c r="I21" s="16"/>
    </row>
    <row r="22" spans="2:9" s="3" customFormat="1" x14ac:dyDescent="0.25">
      <c r="B22"/>
      <c r="C22" s="14" t="s">
        <v>2442</v>
      </c>
      <c r="D22" s="1" t="s">
        <v>1259</v>
      </c>
      <c r="E22" s="1" t="s">
        <v>7</v>
      </c>
      <c r="F22" s="1">
        <v>13</v>
      </c>
      <c r="G22" s="1" t="s">
        <v>2447</v>
      </c>
      <c r="H22" s="1" t="s">
        <v>2479</v>
      </c>
      <c r="I22" s="16"/>
    </row>
    <row r="23" spans="2:9" s="3" customFormat="1" x14ac:dyDescent="0.25">
      <c r="B23"/>
      <c r="C23" s="14" t="s">
        <v>2442</v>
      </c>
      <c r="D23" s="1" t="s">
        <v>2448</v>
      </c>
      <c r="E23" s="1" t="s">
        <v>7</v>
      </c>
      <c r="F23" s="1">
        <v>64.5</v>
      </c>
      <c r="G23" s="1" t="s">
        <v>2449</v>
      </c>
      <c r="H23" s="1" t="s">
        <v>2486</v>
      </c>
      <c r="I23" s="16"/>
    </row>
    <row r="24" spans="2:9" s="3" customFormat="1" x14ac:dyDescent="0.25">
      <c r="B24"/>
      <c r="C24" s="14" t="s">
        <v>2442</v>
      </c>
      <c r="D24" s="1" t="s">
        <v>2401</v>
      </c>
      <c r="E24" s="1" t="s">
        <v>7</v>
      </c>
      <c r="F24" s="1">
        <v>12</v>
      </c>
      <c r="G24" s="1" t="s">
        <v>2450</v>
      </c>
      <c r="H24" s="1" t="s">
        <v>2478</v>
      </c>
      <c r="I24" s="16"/>
    </row>
    <row r="25" spans="2:9" s="3" customFormat="1" x14ac:dyDescent="0.25">
      <c r="B25"/>
      <c r="C25" s="14" t="s">
        <v>2442</v>
      </c>
      <c r="D25" s="1" t="s">
        <v>284</v>
      </c>
      <c r="E25" s="1" t="s">
        <v>7</v>
      </c>
      <c r="F25" s="1">
        <v>21</v>
      </c>
      <c r="G25" s="1" t="s">
        <v>2451</v>
      </c>
      <c r="H25" s="1" t="s">
        <v>2485</v>
      </c>
      <c r="I25" s="16"/>
    </row>
    <row r="26" spans="2:9" s="3" customFormat="1" x14ac:dyDescent="0.25">
      <c r="B26"/>
      <c r="C26" s="14" t="s">
        <v>2442</v>
      </c>
      <c r="D26" s="1" t="s">
        <v>509</v>
      </c>
      <c r="E26" s="1" t="s">
        <v>7</v>
      </c>
      <c r="F26" s="1">
        <v>621.5</v>
      </c>
      <c r="G26" s="1" t="s">
        <v>2452</v>
      </c>
      <c r="H26" s="1" t="s">
        <v>2489</v>
      </c>
      <c r="I26" s="16"/>
    </row>
    <row r="27" spans="2:9" s="3" customFormat="1" x14ac:dyDescent="0.25">
      <c r="B27"/>
      <c r="C27" s="14" t="s">
        <v>2442</v>
      </c>
      <c r="D27" s="1" t="s">
        <v>2064</v>
      </c>
      <c r="E27" s="1" t="s">
        <v>7</v>
      </c>
      <c r="F27" s="1">
        <v>498.5</v>
      </c>
      <c r="G27" s="1" t="s">
        <v>2453</v>
      </c>
      <c r="H27" s="1" t="s">
        <v>2490</v>
      </c>
      <c r="I27" s="16"/>
    </row>
    <row r="28" spans="2:9" s="3" customFormat="1" x14ac:dyDescent="0.25">
      <c r="B28"/>
      <c r="C28" s="14" t="s">
        <v>2442</v>
      </c>
      <c r="D28" s="1" t="s">
        <v>6</v>
      </c>
      <c r="E28" s="1" t="s">
        <v>7</v>
      </c>
      <c r="F28" s="1">
        <v>78</v>
      </c>
      <c r="G28" s="1" t="s">
        <v>2454</v>
      </c>
      <c r="H28" s="1" t="s">
        <v>52</v>
      </c>
      <c r="I28" s="16"/>
    </row>
    <row r="29" spans="2:9" s="3" customFormat="1" x14ac:dyDescent="0.25">
      <c r="B29"/>
      <c r="C29" s="14" t="s">
        <v>2442</v>
      </c>
      <c r="D29" s="1" t="s">
        <v>6</v>
      </c>
      <c r="E29" s="1" t="s">
        <v>7</v>
      </c>
      <c r="F29" s="1">
        <v>500</v>
      </c>
      <c r="G29" s="1" t="s">
        <v>2455</v>
      </c>
      <c r="H29" s="1" t="s">
        <v>52</v>
      </c>
      <c r="I29" s="16"/>
    </row>
    <row r="30" spans="2:9" s="3" customFormat="1" x14ac:dyDescent="0.25">
      <c r="B30"/>
      <c r="C30" s="14" t="s">
        <v>2442</v>
      </c>
      <c r="D30" s="1" t="s">
        <v>2456</v>
      </c>
      <c r="E30" s="1" t="s">
        <v>7</v>
      </c>
      <c r="F30" s="1">
        <v>500</v>
      </c>
      <c r="G30" s="1" t="s">
        <v>2457</v>
      </c>
      <c r="H30" s="1" t="s">
        <v>2484</v>
      </c>
      <c r="I30" s="16"/>
    </row>
    <row r="31" spans="2:9" s="3" customFormat="1" x14ac:dyDescent="0.25">
      <c r="B31"/>
      <c r="C31" s="14" t="s">
        <v>2442</v>
      </c>
      <c r="D31" s="1" t="s">
        <v>2456</v>
      </c>
      <c r="E31" s="1" t="s">
        <v>7</v>
      </c>
      <c r="F31" s="1">
        <v>500</v>
      </c>
      <c r="G31" s="1" t="s">
        <v>2458</v>
      </c>
      <c r="H31" s="1" t="s">
        <v>2484</v>
      </c>
      <c r="I31" s="16"/>
    </row>
    <row r="32" spans="2:9" s="3" customFormat="1" x14ac:dyDescent="0.25">
      <c r="B32"/>
      <c r="C32" s="14" t="s">
        <v>2442</v>
      </c>
      <c r="D32" s="1" t="s">
        <v>2456</v>
      </c>
      <c r="E32" s="1" t="s">
        <v>7</v>
      </c>
      <c r="F32" s="1">
        <v>500</v>
      </c>
      <c r="G32" s="1" t="s">
        <v>2459</v>
      </c>
      <c r="H32" s="1" t="s">
        <v>2484</v>
      </c>
      <c r="I32" s="16"/>
    </row>
    <row r="33" spans="2:9" s="3" customFormat="1" x14ac:dyDescent="0.25">
      <c r="B33"/>
      <c r="C33" s="14" t="s">
        <v>2442</v>
      </c>
      <c r="D33" s="1" t="s">
        <v>2456</v>
      </c>
      <c r="E33" s="1" t="s">
        <v>7</v>
      </c>
      <c r="F33" s="1">
        <v>500</v>
      </c>
      <c r="G33" s="1" t="s">
        <v>2460</v>
      </c>
      <c r="H33" s="1" t="s">
        <v>2484</v>
      </c>
      <c r="I33" s="16"/>
    </row>
    <row r="34" spans="2:9" s="3" customFormat="1" x14ac:dyDescent="0.25">
      <c r="B34"/>
      <c r="C34" s="14" t="s">
        <v>2442</v>
      </c>
      <c r="D34" s="1" t="s">
        <v>519</v>
      </c>
      <c r="E34" s="1" t="s">
        <v>7</v>
      </c>
      <c r="F34" s="1">
        <v>9</v>
      </c>
      <c r="G34" s="1" t="s">
        <v>2461</v>
      </c>
      <c r="H34" s="1" t="s">
        <v>2477</v>
      </c>
      <c r="I34" s="16"/>
    </row>
    <row r="35" spans="2:9" s="3" customFormat="1" x14ac:dyDescent="0.25">
      <c r="B35"/>
      <c r="C35" s="14" t="s">
        <v>2442</v>
      </c>
      <c r="D35" s="1" t="s">
        <v>299</v>
      </c>
      <c r="E35" s="1" t="s">
        <v>7</v>
      </c>
      <c r="F35" s="1">
        <v>60.9</v>
      </c>
      <c r="G35" s="1" t="s">
        <v>2462</v>
      </c>
      <c r="H35" s="1" t="s">
        <v>2476</v>
      </c>
      <c r="I35" s="16"/>
    </row>
    <row r="36" spans="2:9" s="3" customFormat="1" x14ac:dyDescent="0.25">
      <c r="B36"/>
      <c r="C36" s="14" t="s">
        <v>2442</v>
      </c>
      <c r="D36" s="1" t="s">
        <v>1353</v>
      </c>
      <c r="E36" s="1" t="s">
        <v>7</v>
      </c>
      <c r="F36" s="1">
        <v>10</v>
      </c>
      <c r="G36" s="1" t="s">
        <v>2463</v>
      </c>
      <c r="H36" s="1" t="s">
        <v>2475</v>
      </c>
      <c r="I36" s="16"/>
    </row>
    <row r="37" spans="2:9" s="3" customFormat="1" ht="16.5" thickBot="1" x14ac:dyDescent="0.3">
      <c r="B37"/>
      <c r="C37" s="25" t="s">
        <v>2442</v>
      </c>
      <c r="D37" s="18" t="s">
        <v>960</v>
      </c>
      <c r="E37" s="18" t="s">
        <v>7</v>
      </c>
      <c r="F37" s="18">
        <v>18</v>
      </c>
      <c r="G37" s="18" t="s">
        <v>2464</v>
      </c>
      <c r="H37" s="18" t="s">
        <v>2474</v>
      </c>
      <c r="I37" s="27"/>
    </row>
    <row r="38" spans="2:9" s="3" customFormat="1" x14ac:dyDescent="0.25">
      <c r="B38"/>
    </row>
    <row r="39" spans="2:9" s="3" customFormat="1" x14ac:dyDescent="0.25">
      <c r="B39"/>
    </row>
    <row r="40" spans="2:9" s="3" customFormat="1" x14ac:dyDescent="0.25">
      <c r="B40"/>
    </row>
    <row r="41" spans="2:9" s="3" customFormat="1" x14ac:dyDescent="0.25">
      <c r="B41"/>
    </row>
    <row r="42" spans="2:9" s="3" customFormat="1" x14ac:dyDescent="0.25">
      <c r="B42"/>
    </row>
    <row r="43" spans="2:9" s="3" customFormat="1" x14ac:dyDescent="0.25">
      <c r="B43"/>
    </row>
    <row r="44" spans="2:9" s="3" customFormat="1" x14ac:dyDescent="0.25">
      <c r="B44"/>
    </row>
    <row r="45" spans="2:9" s="3" customFormat="1" x14ac:dyDescent="0.25">
      <c r="B45"/>
    </row>
    <row r="46" spans="2:9" s="3" customFormat="1" x14ac:dyDescent="0.25">
      <c r="B46"/>
    </row>
    <row r="47" spans="2:9" s="3" customFormat="1" x14ac:dyDescent="0.25">
      <c r="B47"/>
    </row>
    <row r="48" spans="2:9" s="3" customFormat="1" x14ac:dyDescent="0.25">
      <c r="B48"/>
    </row>
  </sheetData>
  <pageMargins left="0.7" right="0.7" top="0.75" bottom="0.75" header="0.3" footer="0.3"/>
  <pageSetup orientation="portrait" r:id="rId1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6B1321-B325-48A7-A0DB-06427F70ED92}">
  <sheetPr codeName="Hoja49"/>
  <dimension ref="B3:H37"/>
  <sheetViews>
    <sheetView topLeftCell="A4" workbookViewId="0">
      <selection activeCell="B2" sqref="B2:I38"/>
    </sheetView>
  </sheetViews>
  <sheetFormatPr baseColWidth="10" defaultRowHeight="15.75" x14ac:dyDescent="0.25"/>
  <cols>
    <col min="2" max="3" width="11" style="3"/>
    <col min="4" max="4" width="24.625" style="3" customWidth="1"/>
    <col min="5" max="6" width="11" style="3"/>
    <col min="7" max="7" width="18.75" style="3" bestFit="1" customWidth="1"/>
    <col min="8" max="8" width="39.25" style="3" bestFit="1" customWidth="1"/>
  </cols>
  <sheetData>
    <row r="3" spans="3:8" x14ac:dyDescent="0.25">
      <c r="C3" s="7" t="s">
        <v>0</v>
      </c>
      <c r="D3" s="7" t="s">
        <v>1</v>
      </c>
      <c r="E3" s="7" t="s">
        <v>2</v>
      </c>
      <c r="F3" s="7" t="s">
        <v>3</v>
      </c>
      <c r="G3" s="7" t="s">
        <v>4</v>
      </c>
      <c r="H3" s="1"/>
    </row>
    <row r="4" spans="3:8" x14ac:dyDescent="0.25">
      <c r="C4" s="1"/>
      <c r="D4" s="1"/>
      <c r="E4" s="1"/>
      <c r="F4" s="1"/>
      <c r="G4" s="1"/>
      <c r="H4" s="1"/>
    </row>
    <row r="5" spans="3:8" x14ac:dyDescent="0.25">
      <c r="C5" s="1" t="s">
        <v>2505</v>
      </c>
      <c r="D5" s="1" t="s">
        <v>23</v>
      </c>
      <c r="E5" s="1" t="s">
        <v>7</v>
      </c>
      <c r="F5" s="36">
        <v>1815</v>
      </c>
      <c r="G5" s="1" t="s">
        <v>2526</v>
      </c>
      <c r="H5" s="1" t="s">
        <v>1585</v>
      </c>
    </row>
    <row r="6" spans="3:8" x14ac:dyDescent="0.25">
      <c r="C6" s="1" t="s">
        <v>2505</v>
      </c>
      <c r="D6" s="1" t="s">
        <v>665</v>
      </c>
      <c r="E6" s="1" t="s">
        <v>7</v>
      </c>
      <c r="F6" s="36">
        <v>134</v>
      </c>
      <c r="G6" s="1" t="s">
        <v>2527</v>
      </c>
      <c r="H6" s="1" t="s">
        <v>386</v>
      </c>
    </row>
    <row r="7" spans="3:8" x14ac:dyDescent="0.25">
      <c r="C7" s="1" t="s">
        <v>2505</v>
      </c>
      <c r="D7" s="1" t="s">
        <v>19</v>
      </c>
      <c r="E7" s="1" t="s">
        <v>7</v>
      </c>
      <c r="F7" s="36">
        <v>45.5</v>
      </c>
      <c r="G7" s="1" t="s">
        <v>2528</v>
      </c>
      <c r="H7" s="1" t="s">
        <v>2557</v>
      </c>
    </row>
    <row r="8" spans="3:8" x14ac:dyDescent="0.25">
      <c r="C8" s="1" t="s">
        <v>2505</v>
      </c>
      <c r="D8" s="1" t="s">
        <v>75</v>
      </c>
      <c r="E8" s="1" t="s">
        <v>7</v>
      </c>
      <c r="F8" s="36">
        <v>6</v>
      </c>
      <c r="G8" s="1" t="s">
        <v>2529</v>
      </c>
      <c r="H8" s="1" t="s">
        <v>2556</v>
      </c>
    </row>
    <row r="9" spans="3:8" x14ac:dyDescent="0.25">
      <c r="C9" s="28" t="s">
        <v>2505</v>
      </c>
      <c r="D9" s="28" t="s">
        <v>2530</v>
      </c>
      <c r="E9" s="28" t="s">
        <v>7</v>
      </c>
      <c r="F9" s="28">
        <v>-2407.34</v>
      </c>
      <c r="G9" s="28" t="s">
        <v>2531</v>
      </c>
      <c r="H9" s="28" t="s">
        <v>2548</v>
      </c>
    </row>
    <row r="10" spans="3:8" x14ac:dyDescent="0.25">
      <c r="C10" s="28" t="s">
        <v>2505</v>
      </c>
      <c r="D10" s="28" t="s">
        <v>472</v>
      </c>
      <c r="E10" s="28" t="s">
        <v>7</v>
      </c>
      <c r="F10" s="28">
        <v>-4600</v>
      </c>
      <c r="G10" s="28" t="s">
        <v>2532</v>
      </c>
      <c r="H10" s="28" t="s">
        <v>2547</v>
      </c>
    </row>
    <row r="11" spans="3:8" x14ac:dyDescent="0.25">
      <c r="C11" s="1" t="s">
        <v>2505</v>
      </c>
      <c r="D11" s="1" t="s">
        <v>979</v>
      </c>
      <c r="E11" s="1" t="s">
        <v>7</v>
      </c>
      <c r="F11" s="36">
        <v>10</v>
      </c>
      <c r="G11" s="1" t="s">
        <v>2533</v>
      </c>
      <c r="H11" s="1" t="s">
        <v>2546</v>
      </c>
    </row>
    <row r="12" spans="3:8" x14ac:dyDescent="0.25">
      <c r="C12" s="1" t="s">
        <v>2505</v>
      </c>
      <c r="D12" s="1" t="s">
        <v>295</v>
      </c>
      <c r="E12" s="1" t="s">
        <v>7</v>
      </c>
      <c r="F12" s="36">
        <v>85</v>
      </c>
      <c r="G12" s="1" t="s">
        <v>2534</v>
      </c>
      <c r="H12" s="1" t="s">
        <v>1586</v>
      </c>
    </row>
    <row r="13" spans="3:8" x14ac:dyDescent="0.25">
      <c r="C13" s="1" t="s">
        <v>2505</v>
      </c>
      <c r="D13" s="1" t="s">
        <v>759</v>
      </c>
      <c r="E13" s="1" t="s">
        <v>7</v>
      </c>
      <c r="F13" s="36">
        <v>6975</v>
      </c>
      <c r="G13" s="1" t="s">
        <v>2535</v>
      </c>
      <c r="H13" s="1" t="s">
        <v>2553</v>
      </c>
    </row>
    <row r="14" spans="3:8" x14ac:dyDescent="0.25">
      <c r="C14" s="1" t="s">
        <v>2505</v>
      </c>
      <c r="D14" s="1" t="s">
        <v>13</v>
      </c>
      <c r="E14" s="1" t="s">
        <v>7</v>
      </c>
      <c r="F14" s="36">
        <v>6</v>
      </c>
      <c r="G14" s="1" t="s">
        <v>2536</v>
      </c>
      <c r="H14" s="1" t="s">
        <v>2545</v>
      </c>
    </row>
    <row r="15" spans="3:8" x14ac:dyDescent="0.25">
      <c r="C15" s="1" t="s">
        <v>2505</v>
      </c>
      <c r="D15" s="1" t="s">
        <v>2537</v>
      </c>
      <c r="E15" s="1" t="s">
        <v>7</v>
      </c>
      <c r="F15" s="36">
        <v>105</v>
      </c>
      <c r="G15" s="1" t="s">
        <v>2538</v>
      </c>
      <c r="H15" s="1" t="s">
        <v>2555</v>
      </c>
    </row>
    <row r="16" spans="3:8" x14ac:dyDescent="0.25">
      <c r="C16" s="28" t="s">
        <v>2505</v>
      </c>
      <c r="D16" s="28" t="s">
        <v>172</v>
      </c>
      <c r="E16" s="28" t="s">
        <v>7</v>
      </c>
      <c r="F16" s="28">
        <v>-30000</v>
      </c>
      <c r="G16" s="28" t="s">
        <v>2539</v>
      </c>
      <c r="H16" s="28" t="s">
        <v>1207</v>
      </c>
    </row>
    <row r="17" spans="3:8" x14ac:dyDescent="0.25">
      <c r="C17" s="1" t="s">
        <v>2505</v>
      </c>
      <c r="D17" s="1" t="s">
        <v>382</v>
      </c>
      <c r="E17" s="1" t="s">
        <v>7</v>
      </c>
      <c r="F17" s="36">
        <v>14.5</v>
      </c>
      <c r="G17" s="1" t="s">
        <v>2540</v>
      </c>
      <c r="H17" s="1" t="s">
        <v>2544</v>
      </c>
    </row>
    <row r="18" spans="3:8" x14ac:dyDescent="0.25">
      <c r="C18" s="1" t="s">
        <v>2505</v>
      </c>
      <c r="D18" s="1" t="s">
        <v>95</v>
      </c>
      <c r="E18" s="1" t="s">
        <v>7</v>
      </c>
      <c r="F18" s="36">
        <v>150</v>
      </c>
      <c r="G18" s="1" t="s">
        <v>2541</v>
      </c>
      <c r="H18" s="1" t="s">
        <v>630</v>
      </c>
    </row>
    <row r="19" spans="3:8" x14ac:dyDescent="0.25">
      <c r="C19" s="1" t="s">
        <v>2505</v>
      </c>
      <c r="D19" s="1" t="s">
        <v>2506</v>
      </c>
      <c r="E19" s="1" t="s">
        <v>7</v>
      </c>
      <c r="F19" s="36">
        <v>335</v>
      </c>
      <c r="G19" s="1" t="s">
        <v>2507</v>
      </c>
      <c r="H19" s="1" t="s">
        <v>2552</v>
      </c>
    </row>
    <row r="20" spans="3:8" x14ac:dyDescent="0.25">
      <c r="C20" s="1" t="s">
        <v>2505</v>
      </c>
      <c r="D20" s="1" t="s">
        <v>2506</v>
      </c>
      <c r="E20" s="1" t="s">
        <v>7</v>
      </c>
      <c r="F20" s="36">
        <v>500</v>
      </c>
      <c r="G20" s="1" t="s">
        <v>2508</v>
      </c>
      <c r="H20" s="1" t="s">
        <v>2552</v>
      </c>
    </row>
    <row r="21" spans="3:8" x14ac:dyDescent="0.25">
      <c r="C21" s="1" t="s">
        <v>2505</v>
      </c>
      <c r="D21" s="1" t="s">
        <v>2506</v>
      </c>
      <c r="E21" s="1" t="s">
        <v>7</v>
      </c>
      <c r="F21" s="36">
        <v>500</v>
      </c>
      <c r="G21" s="1" t="s">
        <v>2509</v>
      </c>
      <c r="H21" s="1" t="s">
        <v>2552</v>
      </c>
    </row>
    <row r="22" spans="3:8" x14ac:dyDescent="0.25">
      <c r="C22" s="1" t="s">
        <v>2505</v>
      </c>
      <c r="D22" s="1" t="s">
        <v>2506</v>
      </c>
      <c r="E22" s="1" t="s">
        <v>7</v>
      </c>
      <c r="F22" s="36">
        <v>500</v>
      </c>
      <c r="G22" s="1" t="s">
        <v>2510</v>
      </c>
      <c r="H22" s="1" t="s">
        <v>2552</v>
      </c>
    </row>
    <row r="23" spans="3:8" x14ac:dyDescent="0.25">
      <c r="C23" s="1" t="s">
        <v>2505</v>
      </c>
      <c r="D23" s="1" t="s">
        <v>39</v>
      </c>
      <c r="E23" s="1" t="s">
        <v>7</v>
      </c>
      <c r="F23" s="36">
        <v>58.5</v>
      </c>
      <c r="G23" s="1" t="s">
        <v>2511</v>
      </c>
      <c r="H23" s="1" t="s">
        <v>2550</v>
      </c>
    </row>
    <row r="24" spans="3:8" x14ac:dyDescent="0.25">
      <c r="C24" s="1" t="s">
        <v>2505</v>
      </c>
      <c r="D24" s="1" t="s">
        <v>23</v>
      </c>
      <c r="E24" s="1" t="s">
        <v>7</v>
      </c>
      <c r="F24" s="36">
        <v>175</v>
      </c>
      <c r="G24" s="1" t="s">
        <v>2512</v>
      </c>
      <c r="H24" s="1" t="s">
        <v>2551</v>
      </c>
    </row>
    <row r="25" spans="3:8" x14ac:dyDescent="0.25">
      <c r="C25" s="1" t="s">
        <v>2505</v>
      </c>
      <c r="D25" s="1" t="s">
        <v>23</v>
      </c>
      <c r="E25" s="1" t="s">
        <v>7</v>
      </c>
      <c r="F25" s="36">
        <v>150</v>
      </c>
      <c r="G25" s="1" t="s">
        <v>2513</v>
      </c>
      <c r="H25" s="1" t="s">
        <v>2559</v>
      </c>
    </row>
    <row r="26" spans="3:8" x14ac:dyDescent="0.25">
      <c r="C26" s="1" t="s">
        <v>2505</v>
      </c>
      <c r="D26" s="1" t="s">
        <v>262</v>
      </c>
      <c r="E26" s="1" t="s">
        <v>7</v>
      </c>
      <c r="F26" s="36">
        <v>14</v>
      </c>
      <c r="G26" s="1" t="s">
        <v>2514</v>
      </c>
      <c r="H26" s="1" t="s">
        <v>2543</v>
      </c>
    </row>
    <row r="27" spans="3:8" x14ac:dyDescent="0.25">
      <c r="C27" s="1" t="s">
        <v>2505</v>
      </c>
      <c r="D27" s="1" t="s">
        <v>509</v>
      </c>
      <c r="E27" s="1" t="s">
        <v>7</v>
      </c>
      <c r="F27" s="36">
        <v>1700</v>
      </c>
      <c r="G27" s="1" t="s">
        <v>2515</v>
      </c>
      <c r="H27" s="1" t="s">
        <v>2560</v>
      </c>
    </row>
    <row r="28" spans="3:8" x14ac:dyDescent="0.25">
      <c r="C28" s="1" t="s">
        <v>2505</v>
      </c>
      <c r="D28" s="1" t="s">
        <v>24</v>
      </c>
      <c r="E28" s="1" t="s">
        <v>7</v>
      </c>
      <c r="F28" s="36">
        <v>200.4</v>
      </c>
      <c r="G28" s="1" t="s">
        <v>2516</v>
      </c>
      <c r="H28" s="1" t="s">
        <v>52</v>
      </c>
    </row>
    <row r="29" spans="3:8" x14ac:dyDescent="0.25">
      <c r="C29" s="1" t="s">
        <v>2505</v>
      </c>
      <c r="D29" s="1" t="s">
        <v>19</v>
      </c>
      <c r="E29" s="1" t="s">
        <v>7</v>
      </c>
      <c r="F29" s="36">
        <v>245.5</v>
      </c>
      <c r="G29" s="1" t="s">
        <v>2517</v>
      </c>
      <c r="H29" s="1" t="s">
        <v>2542</v>
      </c>
    </row>
    <row r="30" spans="3:8" x14ac:dyDescent="0.25">
      <c r="C30" s="1" t="s">
        <v>2505</v>
      </c>
      <c r="D30" s="1" t="s">
        <v>24</v>
      </c>
      <c r="E30" s="1" t="s">
        <v>7</v>
      </c>
      <c r="F30" s="36">
        <v>150</v>
      </c>
      <c r="G30" s="1" t="s">
        <v>2518</v>
      </c>
      <c r="H30" s="1" t="s">
        <v>52</v>
      </c>
    </row>
    <row r="31" spans="3:8" x14ac:dyDescent="0.25">
      <c r="C31" s="1" t="s">
        <v>2505</v>
      </c>
      <c r="D31" s="1" t="s">
        <v>6</v>
      </c>
      <c r="E31" s="1" t="s">
        <v>7</v>
      </c>
      <c r="F31" s="36">
        <v>51.3</v>
      </c>
      <c r="G31" s="1" t="s">
        <v>2519</v>
      </c>
      <c r="H31" s="1" t="s">
        <v>52</v>
      </c>
    </row>
    <row r="32" spans="3:8" x14ac:dyDescent="0.25">
      <c r="C32" s="1" t="s">
        <v>2505</v>
      </c>
      <c r="D32" s="1" t="s">
        <v>6</v>
      </c>
      <c r="E32" s="1" t="s">
        <v>7</v>
      </c>
      <c r="F32" s="36">
        <v>500</v>
      </c>
      <c r="G32" s="1" t="s">
        <v>2520</v>
      </c>
      <c r="H32" s="1" t="s">
        <v>52</v>
      </c>
    </row>
    <row r="33" spans="3:8" x14ac:dyDescent="0.25">
      <c r="C33" s="1" t="s">
        <v>2505</v>
      </c>
      <c r="D33" s="1" t="s">
        <v>6</v>
      </c>
      <c r="E33" s="1" t="s">
        <v>7</v>
      </c>
      <c r="F33" s="36">
        <v>500</v>
      </c>
      <c r="G33" s="1" t="s">
        <v>2521</v>
      </c>
      <c r="H33" s="1" t="s">
        <v>52</v>
      </c>
    </row>
    <row r="34" spans="3:8" x14ac:dyDescent="0.25">
      <c r="C34" s="1" t="s">
        <v>2505</v>
      </c>
      <c r="D34" s="1" t="s">
        <v>6</v>
      </c>
      <c r="E34" s="1" t="s">
        <v>7</v>
      </c>
      <c r="F34" s="36">
        <v>500</v>
      </c>
      <c r="G34" s="1" t="s">
        <v>2522</v>
      </c>
      <c r="H34" s="1" t="s">
        <v>52</v>
      </c>
    </row>
    <row r="35" spans="3:8" x14ac:dyDescent="0.25">
      <c r="C35" s="1" t="s">
        <v>2505</v>
      </c>
      <c r="D35" s="1" t="s">
        <v>23</v>
      </c>
      <c r="E35" s="1" t="s">
        <v>7</v>
      </c>
      <c r="F35" s="36">
        <v>2236</v>
      </c>
      <c r="G35" s="1" t="s">
        <v>2523</v>
      </c>
      <c r="H35" s="1" t="s">
        <v>2554</v>
      </c>
    </row>
    <row r="36" spans="3:8" x14ac:dyDescent="0.25">
      <c r="C36" s="117" t="s">
        <v>2505</v>
      </c>
      <c r="D36" s="117" t="s">
        <v>2456</v>
      </c>
      <c r="E36" s="117" t="s">
        <v>7</v>
      </c>
      <c r="F36" s="117">
        <v>440</v>
      </c>
      <c r="G36" s="117" t="s">
        <v>2524</v>
      </c>
      <c r="H36" s="117" t="s">
        <v>2558</v>
      </c>
    </row>
    <row r="37" spans="3:8" x14ac:dyDescent="0.25">
      <c r="C37" s="1" t="s">
        <v>2505</v>
      </c>
      <c r="D37" s="1" t="s">
        <v>1480</v>
      </c>
      <c r="E37" s="1" t="s">
        <v>7</v>
      </c>
      <c r="F37" s="36">
        <v>24</v>
      </c>
      <c r="G37" s="1" t="s">
        <v>2525</v>
      </c>
      <c r="H37" s="1" t="s">
        <v>2549</v>
      </c>
    </row>
  </sheetData>
  <pageMargins left="0.7" right="0.7" top="0.75" bottom="0.75" header="0.3" footer="0.3"/>
  <pageSetup paperSize="256" orientation="portrait" horizontalDpi="203" verticalDpi="203" r:id="rId1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1DD94A-9B4D-4971-9B00-D95E3576597A}">
  <sheetPr codeName="Hoja50"/>
  <dimension ref="C1:I35"/>
  <sheetViews>
    <sheetView topLeftCell="A7" workbookViewId="0">
      <selection activeCell="G24" sqref="G24"/>
    </sheetView>
  </sheetViews>
  <sheetFormatPr baseColWidth="10" defaultRowHeight="15.75" x14ac:dyDescent="0.25"/>
  <cols>
    <col min="3" max="3" width="11" style="3"/>
    <col min="4" max="4" width="22.125" style="3" customWidth="1"/>
    <col min="5" max="6" width="11" style="3"/>
    <col min="7" max="7" width="20.75" style="3" customWidth="1"/>
    <col min="8" max="8" width="51.125" style="3" customWidth="1"/>
    <col min="9" max="9" width="11" style="3"/>
  </cols>
  <sheetData>
    <row r="1" spans="3:8" ht="16.5" thickBot="1" x14ac:dyDescent="0.3"/>
    <row r="2" spans="3:8" x14ac:dyDescent="0.25">
      <c r="C2" s="21" t="s">
        <v>0</v>
      </c>
      <c r="D2" s="22" t="s">
        <v>1</v>
      </c>
      <c r="E2" s="22" t="s">
        <v>2</v>
      </c>
      <c r="F2" s="22" t="s">
        <v>3</v>
      </c>
      <c r="G2" s="22" t="s">
        <v>4</v>
      </c>
      <c r="H2" s="13"/>
    </row>
    <row r="3" spans="3:8" x14ac:dyDescent="0.25">
      <c r="C3" s="120" t="s">
        <v>2561</v>
      </c>
      <c r="D3" s="119" t="s">
        <v>472</v>
      </c>
      <c r="E3" s="119" t="s">
        <v>7</v>
      </c>
      <c r="F3" s="119">
        <v>4000</v>
      </c>
      <c r="G3" s="119" t="s">
        <v>2608</v>
      </c>
      <c r="H3" s="121" t="s">
        <v>2610</v>
      </c>
    </row>
    <row r="4" spans="3:8" x14ac:dyDescent="0.25">
      <c r="C4" s="14" t="s">
        <v>2561</v>
      </c>
      <c r="D4" s="1" t="s">
        <v>509</v>
      </c>
      <c r="E4" s="1" t="s">
        <v>7</v>
      </c>
      <c r="F4" s="1">
        <v>550</v>
      </c>
      <c r="G4" s="1" t="s">
        <v>2609</v>
      </c>
      <c r="H4" s="16" t="s">
        <v>2611</v>
      </c>
    </row>
    <row r="5" spans="3:8" x14ac:dyDescent="0.25">
      <c r="C5" s="14" t="s">
        <v>2561</v>
      </c>
      <c r="D5" s="1" t="s">
        <v>519</v>
      </c>
      <c r="E5" s="1" t="s">
        <v>7</v>
      </c>
      <c r="F5" s="1">
        <v>25.6</v>
      </c>
      <c r="G5" s="1" t="s">
        <v>2596</v>
      </c>
      <c r="H5" s="16" t="s">
        <v>1388</v>
      </c>
    </row>
    <row r="6" spans="3:8" x14ac:dyDescent="0.25">
      <c r="C6" s="29" t="s">
        <v>2561</v>
      </c>
      <c r="D6" s="28" t="s">
        <v>472</v>
      </c>
      <c r="E6" s="28" t="s">
        <v>7</v>
      </c>
      <c r="F6" s="28">
        <v>-3681.6</v>
      </c>
      <c r="G6" s="28" t="s">
        <v>2597</v>
      </c>
      <c r="H6" s="30" t="s">
        <v>2605</v>
      </c>
    </row>
    <row r="7" spans="3:8" x14ac:dyDescent="0.25">
      <c r="C7" s="14" t="s">
        <v>2561</v>
      </c>
      <c r="D7" s="1" t="s">
        <v>224</v>
      </c>
      <c r="E7" s="1" t="s">
        <v>7</v>
      </c>
      <c r="F7" s="1">
        <v>7.5</v>
      </c>
      <c r="G7" s="1" t="s">
        <v>2598</v>
      </c>
      <c r="H7" s="16" t="s">
        <v>2604</v>
      </c>
    </row>
    <row r="8" spans="3:8" x14ac:dyDescent="0.25">
      <c r="C8" s="14" t="s">
        <v>2561</v>
      </c>
      <c r="D8" s="1" t="s">
        <v>72</v>
      </c>
      <c r="E8" s="1" t="s">
        <v>7</v>
      </c>
      <c r="F8" s="1">
        <v>105</v>
      </c>
      <c r="G8" s="1" t="s">
        <v>2599</v>
      </c>
      <c r="H8" s="16" t="s">
        <v>2606</v>
      </c>
    </row>
    <row r="9" spans="3:8" x14ac:dyDescent="0.25">
      <c r="C9" s="14" t="s">
        <v>2561</v>
      </c>
      <c r="D9" s="1" t="s">
        <v>13</v>
      </c>
      <c r="E9" s="1" t="s">
        <v>7</v>
      </c>
      <c r="F9" s="1">
        <v>44.2</v>
      </c>
      <c r="G9" s="1" t="s">
        <v>2600</v>
      </c>
      <c r="H9" s="16" t="s">
        <v>68</v>
      </c>
    </row>
    <row r="10" spans="3:8" x14ac:dyDescent="0.25">
      <c r="C10" s="14" t="s">
        <v>2561</v>
      </c>
      <c r="D10" s="1" t="s">
        <v>373</v>
      </c>
      <c r="E10" s="1" t="s">
        <v>7</v>
      </c>
      <c r="F10" s="1">
        <v>40</v>
      </c>
      <c r="G10" s="1" t="s">
        <v>2588</v>
      </c>
      <c r="H10" s="16" t="s">
        <v>2603</v>
      </c>
    </row>
    <row r="11" spans="3:8" x14ac:dyDescent="0.25">
      <c r="C11" s="14" t="s">
        <v>2561</v>
      </c>
      <c r="D11" s="1" t="s">
        <v>509</v>
      </c>
      <c r="E11" s="1" t="s">
        <v>7</v>
      </c>
      <c r="F11" s="1">
        <v>159</v>
      </c>
      <c r="G11" s="1" t="s">
        <v>2589</v>
      </c>
      <c r="H11" s="16" t="s">
        <v>2291</v>
      </c>
    </row>
    <row r="12" spans="3:8" x14ac:dyDescent="0.25">
      <c r="C12" s="14" t="s">
        <v>2561</v>
      </c>
      <c r="D12" s="1" t="s">
        <v>75</v>
      </c>
      <c r="E12" s="1" t="s">
        <v>7</v>
      </c>
      <c r="F12" s="1">
        <v>405</v>
      </c>
      <c r="G12" s="1" t="s">
        <v>2590</v>
      </c>
      <c r="H12" s="16" t="s">
        <v>60</v>
      </c>
    </row>
    <row r="13" spans="3:8" x14ac:dyDescent="0.25">
      <c r="C13" s="14" t="s">
        <v>2561</v>
      </c>
      <c r="D13" s="1" t="s">
        <v>23</v>
      </c>
      <c r="E13" s="1" t="s">
        <v>7</v>
      </c>
      <c r="F13" s="1">
        <v>304.5</v>
      </c>
      <c r="G13" s="1" t="s">
        <v>2591</v>
      </c>
      <c r="H13" s="16" t="s">
        <v>1585</v>
      </c>
    </row>
    <row r="14" spans="3:8" x14ac:dyDescent="0.25">
      <c r="C14" s="29" t="s">
        <v>2561</v>
      </c>
      <c r="D14" s="28" t="s">
        <v>2592</v>
      </c>
      <c r="E14" s="28" t="s">
        <v>7</v>
      </c>
      <c r="F14" s="28">
        <v>-405</v>
      </c>
      <c r="G14" s="28" t="s">
        <v>2593</v>
      </c>
      <c r="H14" s="30" t="s">
        <v>2607</v>
      </c>
    </row>
    <row r="15" spans="3:8" x14ac:dyDescent="0.25">
      <c r="C15" s="29" t="s">
        <v>2561</v>
      </c>
      <c r="D15" s="28" t="s">
        <v>472</v>
      </c>
      <c r="E15" s="28" t="s">
        <v>7</v>
      </c>
      <c r="F15" s="28">
        <v>-14731.76</v>
      </c>
      <c r="G15" s="28" t="s">
        <v>2594</v>
      </c>
      <c r="H15" s="30" t="s">
        <v>2602</v>
      </c>
    </row>
    <row r="16" spans="3:8" x14ac:dyDescent="0.25">
      <c r="C16" s="14" t="s">
        <v>2561</v>
      </c>
      <c r="D16" s="1" t="s">
        <v>373</v>
      </c>
      <c r="E16" s="1" t="s">
        <v>7</v>
      </c>
      <c r="F16" s="1">
        <v>18</v>
      </c>
      <c r="G16" s="1" t="s">
        <v>2595</v>
      </c>
      <c r="H16" s="16" t="s">
        <v>2601</v>
      </c>
    </row>
    <row r="17" spans="3:8" x14ac:dyDescent="0.25">
      <c r="C17" s="14" t="s">
        <v>2561</v>
      </c>
      <c r="D17" s="1" t="s">
        <v>17</v>
      </c>
      <c r="E17" s="1" t="s">
        <v>7</v>
      </c>
      <c r="F17" s="1">
        <v>56</v>
      </c>
      <c r="G17" s="1" t="s">
        <v>2562</v>
      </c>
      <c r="H17" s="16" t="s">
        <v>2580</v>
      </c>
    </row>
    <row r="18" spans="3:8" x14ac:dyDescent="0.25">
      <c r="C18" s="14" t="s">
        <v>2561</v>
      </c>
      <c r="D18" s="1" t="s">
        <v>72</v>
      </c>
      <c r="E18" s="1" t="s">
        <v>7</v>
      </c>
      <c r="F18" s="1">
        <v>69</v>
      </c>
      <c r="G18" s="1" t="s">
        <v>2563</v>
      </c>
      <c r="H18" s="16" t="s">
        <v>2583</v>
      </c>
    </row>
    <row r="19" spans="3:8" x14ac:dyDescent="0.25">
      <c r="C19" s="14" t="s">
        <v>2561</v>
      </c>
      <c r="D19" s="1" t="s">
        <v>23</v>
      </c>
      <c r="E19" s="1" t="s">
        <v>7</v>
      </c>
      <c r="F19" s="1">
        <v>3160</v>
      </c>
      <c r="G19" s="1" t="s">
        <v>2564</v>
      </c>
      <c r="H19" s="16" t="s">
        <v>2584</v>
      </c>
    </row>
    <row r="20" spans="3:8" x14ac:dyDescent="0.25">
      <c r="C20" s="14" t="s">
        <v>2561</v>
      </c>
      <c r="D20" s="1" t="s">
        <v>797</v>
      </c>
      <c r="E20" s="1" t="s">
        <v>7</v>
      </c>
      <c r="F20" s="1">
        <v>4</v>
      </c>
      <c r="G20" s="1" t="s">
        <v>2565</v>
      </c>
      <c r="H20" s="16" t="s">
        <v>2582</v>
      </c>
    </row>
    <row r="21" spans="3:8" x14ac:dyDescent="0.25">
      <c r="C21" s="14" t="s">
        <v>2561</v>
      </c>
      <c r="D21" s="1" t="s">
        <v>797</v>
      </c>
      <c r="E21" s="1" t="s">
        <v>7</v>
      </c>
      <c r="F21" s="1">
        <v>14</v>
      </c>
      <c r="G21" s="1" t="s">
        <v>2566</v>
      </c>
      <c r="H21" s="16" t="s">
        <v>2581</v>
      </c>
    </row>
    <row r="22" spans="3:8" x14ac:dyDescent="0.25">
      <c r="C22" s="29" t="s">
        <v>2561</v>
      </c>
      <c r="D22" s="28" t="s">
        <v>472</v>
      </c>
      <c r="E22" s="28" t="s">
        <v>7</v>
      </c>
      <c r="F22" s="28">
        <v>-4000</v>
      </c>
      <c r="G22" s="28" t="s">
        <v>2567</v>
      </c>
      <c r="H22" s="30" t="s">
        <v>2586</v>
      </c>
    </row>
    <row r="23" spans="3:8" x14ac:dyDescent="0.25">
      <c r="C23" s="14" t="s">
        <v>2561</v>
      </c>
      <c r="D23" s="1" t="s">
        <v>521</v>
      </c>
      <c r="E23" s="1" t="s">
        <v>7</v>
      </c>
      <c r="F23" s="1">
        <v>436.5</v>
      </c>
      <c r="G23" s="1" t="s">
        <v>2568</v>
      </c>
      <c r="H23" s="16" t="s">
        <v>2081</v>
      </c>
    </row>
    <row r="24" spans="3:8" x14ac:dyDescent="0.25">
      <c r="C24" s="122" t="s">
        <v>2561</v>
      </c>
      <c r="D24" s="118" t="s">
        <v>23</v>
      </c>
      <c r="E24" s="118" t="s">
        <v>7</v>
      </c>
      <c r="F24" s="118">
        <v>1500</v>
      </c>
      <c r="G24" s="118" t="s">
        <v>2569</v>
      </c>
      <c r="H24" s="123"/>
    </row>
    <row r="25" spans="3:8" x14ac:dyDescent="0.25">
      <c r="C25" s="14" t="s">
        <v>2561</v>
      </c>
      <c r="D25" s="1" t="s">
        <v>6</v>
      </c>
      <c r="E25" s="1" t="s">
        <v>7</v>
      </c>
      <c r="F25" s="1">
        <v>100</v>
      </c>
      <c r="G25" s="1" t="s">
        <v>2570</v>
      </c>
      <c r="H25" s="16" t="s">
        <v>2587</v>
      </c>
    </row>
    <row r="26" spans="3:8" x14ac:dyDescent="0.25">
      <c r="C26" s="14" t="s">
        <v>2561</v>
      </c>
      <c r="D26" s="1" t="s">
        <v>6</v>
      </c>
      <c r="E26" s="1" t="s">
        <v>7</v>
      </c>
      <c r="F26" s="1">
        <v>500</v>
      </c>
      <c r="G26" s="1" t="s">
        <v>2571</v>
      </c>
      <c r="H26" s="16" t="s">
        <v>2587</v>
      </c>
    </row>
    <row r="27" spans="3:8" x14ac:dyDescent="0.25">
      <c r="C27" s="14" t="s">
        <v>2561</v>
      </c>
      <c r="D27" s="1" t="s">
        <v>17</v>
      </c>
      <c r="E27" s="1" t="s">
        <v>7</v>
      </c>
      <c r="F27" s="1">
        <v>56</v>
      </c>
      <c r="G27" s="1" t="s">
        <v>2572</v>
      </c>
      <c r="H27" s="16" t="s">
        <v>2580</v>
      </c>
    </row>
    <row r="28" spans="3:8" x14ac:dyDescent="0.25">
      <c r="C28" s="14" t="s">
        <v>2561</v>
      </c>
      <c r="D28" s="1" t="s">
        <v>23</v>
      </c>
      <c r="E28" s="1" t="s">
        <v>7</v>
      </c>
      <c r="F28" s="1">
        <v>76</v>
      </c>
      <c r="G28" s="1" t="s">
        <v>2573</v>
      </c>
      <c r="H28" s="16" t="s">
        <v>2209</v>
      </c>
    </row>
    <row r="29" spans="3:8" x14ac:dyDescent="0.25">
      <c r="C29" s="14" t="s">
        <v>2561</v>
      </c>
      <c r="D29" s="1" t="s">
        <v>13</v>
      </c>
      <c r="E29" s="1" t="s">
        <v>7</v>
      </c>
      <c r="F29" s="1">
        <v>34.5</v>
      </c>
      <c r="G29" s="1" t="s">
        <v>2574</v>
      </c>
      <c r="H29" s="16" t="s">
        <v>2579</v>
      </c>
    </row>
    <row r="30" spans="3:8" x14ac:dyDescent="0.25">
      <c r="C30" s="14" t="s">
        <v>2561</v>
      </c>
      <c r="D30" s="1" t="s">
        <v>23</v>
      </c>
      <c r="E30" s="1" t="s">
        <v>7</v>
      </c>
      <c r="F30" s="1">
        <v>8040</v>
      </c>
      <c r="G30" s="1" t="s">
        <v>2575</v>
      </c>
      <c r="H30" s="16" t="s">
        <v>1924</v>
      </c>
    </row>
    <row r="31" spans="3:8" x14ac:dyDescent="0.25">
      <c r="C31" s="14" t="s">
        <v>2561</v>
      </c>
      <c r="D31" s="1" t="s">
        <v>1353</v>
      </c>
      <c r="E31" s="1" t="s">
        <v>7</v>
      </c>
      <c r="F31" s="1">
        <v>16</v>
      </c>
      <c r="G31" s="1" t="s">
        <v>2576</v>
      </c>
      <c r="H31" s="16" t="s">
        <v>2585</v>
      </c>
    </row>
    <row r="32" spans="3:8" x14ac:dyDescent="0.25">
      <c r="C32" s="14" t="s">
        <v>2561</v>
      </c>
      <c r="D32" s="1" t="s">
        <v>382</v>
      </c>
      <c r="E32" s="1" t="s">
        <v>7</v>
      </c>
      <c r="F32" s="1">
        <v>135.5</v>
      </c>
      <c r="G32" s="1" t="s">
        <v>2577</v>
      </c>
      <c r="H32" s="16" t="s">
        <v>2578</v>
      </c>
    </row>
    <row r="33" spans="3:8" x14ac:dyDescent="0.25">
      <c r="C33" s="14"/>
      <c r="D33" s="1"/>
      <c r="E33" s="1"/>
      <c r="F33" s="1"/>
      <c r="G33" s="1"/>
      <c r="H33" s="16"/>
    </row>
    <row r="34" spans="3:8" x14ac:dyDescent="0.25">
      <c r="C34" s="14" t="s">
        <v>2561</v>
      </c>
      <c r="D34" s="1" t="s">
        <v>78</v>
      </c>
      <c r="E34" s="1" t="s">
        <v>7</v>
      </c>
      <c r="F34" s="1">
        <v>119</v>
      </c>
      <c r="G34" s="1"/>
      <c r="H34" s="16" t="s">
        <v>1990</v>
      </c>
    </row>
    <row r="35" spans="3:8" ht="16.5" thickBot="1" x14ac:dyDescent="0.3">
      <c r="C35" s="25" t="s">
        <v>2561</v>
      </c>
      <c r="D35" s="18" t="s">
        <v>78</v>
      </c>
      <c r="E35" s="18" t="s">
        <v>7</v>
      </c>
      <c r="F35" s="18">
        <v>380</v>
      </c>
      <c r="G35" s="18"/>
      <c r="H35" s="27" t="s">
        <v>607</v>
      </c>
    </row>
  </sheetData>
  <pageMargins left="0.7" right="0.7" top="0.75" bottom="0.75" header="0.3" footer="0.3"/>
  <pageSetup paperSize="256" orientation="portrait" horizontalDpi="203" verticalDpi="203" r:id="rId1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B6DEFF-24FB-461A-8768-4F4179F59568}">
  <sheetPr codeName="Hoja51"/>
  <dimension ref="C1:M33"/>
  <sheetViews>
    <sheetView workbookViewId="0">
      <selection activeCell="L17" sqref="L17"/>
    </sheetView>
  </sheetViews>
  <sheetFormatPr baseColWidth="10" defaultRowHeight="15.75" x14ac:dyDescent="0.25"/>
  <cols>
    <col min="3" max="3" width="11" style="3"/>
    <col min="4" max="4" width="23.75" style="3" bestFit="1" customWidth="1"/>
    <col min="5" max="6" width="11" style="3"/>
    <col min="7" max="7" width="22.75" style="3" customWidth="1"/>
    <col min="8" max="8" width="42.25" style="3" customWidth="1"/>
    <col min="9" max="9" width="11" style="3"/>
  </cols>
  <sheetData>
    <row r="1" spans="3:11" ht="16.5" thickBot="1" x14ac:dyDescent="0.3"/>
    <row r="2" spans="3:11" x14ac:dyDescent="0.25">
      <c r="C2" s="21" t="s">
        <v>0</v>
      </c>
      <c r="D2" s="22" t="s">
        <v>1</v>
      </c>
      <c r="E2" s="22" t="s">
        <v>2</v>
      </c>
      <c r="F2" s="22" t="s">
        <v>3</v>
      </c>
      <c r="G2" s="22" t="s">
        <v>4</v>
      </c>
      <c r="H2" s="23"/>
    </row>
    <row r="3" spans="3:11" x14ac:dyDescent="0.25">
      <c r="C3" s="14"/>
      <c r="D3" s="1"/>
      <c r="E3" s="1"/>
      <c r="F3" s="1"/>
      <c r="G3" s="1"/>
      <c r="H3" s="16"/>
    </row>
    <row r="4" spans="3:11" x14ac:dyDescent="0.25">
      <c r="C4" s="29" t="s">
        <v>2612</v>
      </c>
      <c r="D4" s="28" t="s">
        <v>2625</v>
      </c>
      <c r="E4" s="28" t="s">
        <v>7</v>
      </c>
      <c r="F4" s="28">
        <v>-100</v>
      </c>
      <c r="G4" s="28" t="s">
        <v>2632</v>
      </c>
      <c r="H4" s="30" t="s">
        <v>2658</v>
      </c>
    </row>
    <row r="5" spans="3:11" x14ac:dyDescent="0.25">
      <c r="C5" s="14" t="s">
        <v>2612</v>
      </c>
      <c r="D5" s="1" t="s">
        <v>665</v>
      </c>
      <c r="E5" s="1" t="s">
        <v>7</v>
      </c>
      <c r="F5" s="1">
        <v>30</v>
      </c>
      <c r="G5" s="1" t="s">
        <v>2633</v>
      </c>
      <c r="H5" s="16" t="s">
        <v>386</v>
      </c>
    </row>
    <row r="6" spans="3:11" x14ac:dyDescent="0.25">
      <c r="C6" s="14" t="s">
        <v>2612</v>
      </c>
      <c r="D6" s="1" t="s">
        <v>1311</v>
      </c>
      <c r="E6" s="1" t="s">
        <v>7</v>
      </c>
      <c r="F6" s="1">
        <v>119</v>
      </c>
      <c r="G6" s="1" t="s">
        <v>2634</v>
      </c>
      <c r="H6" s="16" t="s">
        <v>2657</v>
      </c>
    </row>
    <row r="7" spans="3:11" x14ac:dyDescent="0.25">
      <c r="C7" s="29" t="s">
        <v>2612</v>
      </c>
      <c r="D7" s="28" t="s">
        <v>2635</v>
      </c>
      <c r="E7" s="28" t="s">
        <v>7</v>
      </c>
      <c r="F7" s="28">
        <v>-58</v>
      </c>
      <c r="G7" s="28" t="s">
        <v>2636</v>
      </c>
      <c r="H7" s="30" t="s">
        <v>2655</v>
      </c>
    </row>
    <row r="8" spans="3:11" x14ac:dyDescent="0.25">
      <c r="C8" s="14" t="s">
        <v>2612</v>
      </c>
      <c r="D8" s="1" t="s">
        <v>797</v>
      </c>
      <c r="E8" s="1" t="s">
        <v>7</v>
      </c>
      <c r="F8" s="1">
        <v>110</v>
      </c>
      <c r="G8" s="1" t="s">
        <v>2637</v>
      </c>
      <c r="H8" s="16" t="s">
        <v>2653</v>
      </c>
    </row>
    <row r="9" spans="3:11" x14ac:dyDescent="0.25">
      <c r="C9" s="14" t="s">
        <v>2612</v>
      </c>
      <c r="D9" s="1" t="s">
        <v>509</v>
      </c>
      <c r="E9" s="1" t="s">
        <v>7</v>
      </c>
      <c r="F9" s="1">
        <v>322</v>
      </c>
      <c r="G9" s="1" t="s">
        <v>2638</v>
      </c>
      <c r="H9" s="16" t="s">
        <v>2652</v>
      </c>
    </row>
    <row r="10" spans="3:11" x14ac:dyDescent="0.25">
      <c r="C10" s="14" t="s">
        <v>2612</v>
      </c>
      <c r="D10" s="1" t="s">
        <v>23</v>
      </c>
      <c r="E10" s="1" t="s">
        <v>7</v>
      </c>
      <c r="F10" s="1">
        <v>2288</v>
      </c>
      <c r="G10" s="1" t="s">
        <v>2639</v>
      </c>
      <c r="H10" s="16" t="s">
        <v>2651</v>
      </c>
    </row>
    <row r="11" spans="3:11" x14ac:dyDescent="0.25">
      <c r="C11" s="14" t="s">
        <v>2612</v>
      </c>
      <c r="D11" s="1" t="s">
        <v>759</v>
      </c>
      <c r="E11" s="1" t="s">
        <v>7</v>
      </c>
      <c r="F11" s="1">
        <v>580</v>
      </c>
      <c r="G11" s="1" t="s">
        <v>2640</v>
      </c>
      <c r="H11" s="16" t="s">
        <v>2659</v>
      </c>
    </row>
    <row r="12" spans="3:11" x14ac:dyDescent="0.25">
      <c r="C12" s="14" t="s">
        <v>2612</v>
      </c>
      <c r="D12" s="1" t="s">
        <v>23</v>
      </c>
      <c r="E12" s="1" t="s">
        <v>7</v>
      </c>
      <c r="F12" s="1">
        <v>1517.5</v>
      </c>
      <c r="G12" s="1" t="s">
        <v>2641</v>
      </c>
      <c r="H12" s="16" t="s">
        <v>2651</v>
      </c>
      <c r="K12">
        <f>1517.5+2288</f>
        <v>3805.5</v>
      </c>
    </row>
    <row r="13" spans="3:11" x14ac:dyDescent="0.25">
      <c r="C13" s="14" t="s">
        <v>2612</v>
      </c>
      <c r="D13" s="1" t="s">
        <v>295</v>
      </c>
      <c r="E13" s="1" t="s">
        <v>7</v>
      </c>
      <c r="F13" s="1">
        <v>306.5</v>
      </c>
      <c r="G13" s="1" t="s">
        <v>2642</v>
      </c>
      <c r="H13" s="16" t="s">
        <v>2654</v>
      </c>
    </row>
    <row r="14" spans="3:11" x14ac:dyDescent="0.25">
      <c r="C14" s="14" t="s">
        <v>2612</v>
      </c>
      <c r="D14" s="1" t="s">
        <v>23</v>
      </c>
      <c r="E14" s="1" t="s">
        <v>7</v>
      </c>
      <c r="F14" s="1">
        <v>6175.2</v>
      </c>
      <c r="G14" s="1" t="s">
        <v>2643</v>
      </c>
      <c r="H14" s="16" t="s">
        <v>2665</v>
      </c>
    </row>
    <row r="15" spans="3:11" x14ac:dyDescent="0.25">
      <c r="C15" s="14" t="s">
        <v>2612</v>
      </c>
      <c r="D15" s="1" t="s">
        <v>797</v>
      </c>
      <c r="E15" s="1" t="s">
        <v>7</v>
      </c>
      <c r="F15" s="1">
        <v>43</v>
      </c>
      <c r="G15" s="1" t="s">
        <v>2644</v>
      </c>
      <c r="H15" s="16" t="s">
        <v>2581</v>
      </c>
    </row>
    <row r="16" spans="3:11" x14ac:dyDescent="0.25">
      <c r="C16" s="14" t="s">
        <v>2612</v>
      </c>
      <c r="D16" s="1" t="s">
        <v>370</v>
      </c>
      <c r="E16" s="1" t="s">
        <v>7</v>
      </c>
      <c r="F16" s="1">
        <v>110</v>
      </c>
      <c r="G16" s="1" t="s">
        <v>2645</v>
      </c>
      <c r="H16" s="16" t="s">
        <v>687</v>
      </c>
    </row>
    <row r="17" spans="3:13" x14ac:dyDescent="0.25">
      <c r="C17" s="29" t="s">
        <v>2612</v>
      </c>
      <c r="D17" s="28" t="s">
        <v>2613</v>
      </c>
      <c r="E17" s="28" t="s">
        <v>7</v>
      </c>
      <c r="F17" s="28">
        <v>-47</v>
      </c>
      <c r="G17" s="28" t="s">
        <v>2614</v>
      </c>
      <c r="H17" s="30" t="s">
        <v>2650</v>
      </c>
    </row>
    <row r="18" spans="3:13" x14ac:dyDescent="0.25">
      <c r="C18" s="29" t="s">
        <v>2612</v>
      </c>
      <c r="D18" s="28" t="s">
        <v>472</v>
      </c>
      <c r="E18" s="28" t="s">
        <v>7</v>
      </c>
      <c r="F18" s="28">
        <v>-12500</v>
      </c>
      <c r="G18" s="28" t="s">
        <v>2615</v>
      </c>
      <c r="H18" s="30" t="s">
        <v>2668</v>
      </c>
    </row>
    <row r="19" spans="3:13" x14ac:dyDescent="0.25">
      <c r="C19" s="14" t="s">
        <v>2612</v>
      </c>
      <c r="D19" s="1" t="s">
        <v>509</v>
      </c>
      <c r="E19" s="1" t="s">
        <v>7</v>
      </c>
      <c r="F19" s="1">
        <v>1128.5</v>
      </c>
      <c r="G19" s="1" t="s">
        <v>2616</v>
      </c>
      <c r="H19" s="16" t="s">
        <v>2648</v>
      </c>
    </row>
    <row r="20" spans="3:13" x14ac:dyDescent="0.25">
      <c r="C20" s="14" t="s">
        <v>2612</v>
      </c>
      <c r="D20" s="1" t="s">
        <v>373</v>
      </c>
      <c r="E20" s="1" t="s">
        <v>7</v>
      </c>
      <c r="F20" s="1">
        <v>22</v>
      </c>
      <c r="G20" s="1" t="s">
        <v>2617</v>
      </c>
      <c r="H20" s="16" t="s">
        <v>2664</v>
      </c>
    </row>
    <row r="21" spans="3:13" x14ac:dyDescent="0.25">
      <c r="C21" s="14" t="s">
        <v>2612</v>
      </c>
      <c r="D21" s="1" t="s">
        <v>262</v>
      </c>
      <c r="E21" s="1" t="s">
        <v>7</v>
      </c>
      <c r="F21" s="1">
        <v>3451.6</v>
      </c>
      <c r="G21" s="1" t="s">
        <v>2618</v>
      </c>
      <c r="H21" s="16" t="s">
        <v>2649</v>
      </c>
    </row>
    <row r="22" spans="3:13" x14ac:dyDescent="0.25">
      <c r="C22" s="14" t="s">
        <v>2612</v>
      </c>
      <c r="D22" s="1" t="s">
        <v>269</v>
      </c>
      <c r="E22" s="1" t="s">
        <v>7</v>
      </c>
      <c r="F22" s="1">
        <v>236</v>
      </c>
      <c r="G22" s="1" t="s">
        <v>2619</v>
      </c>
      <c r="H22" s="16" t="s">
        <v>909</v>
      </c>
    </row>
    <row r="23" spans="3:13" x14ac:dyDescent="0.25">
      <c r="C23" s="14" t="s">
        <v>2612</v>
      </c>
      <c r="D23" s="1" t="s">
        <v>960</v>
      </c>
      <c r="E23" s="1" t="s">
        <v>7</v>
      </c>
      <c r="F23" s="1">
        <v>84</v>
      </c>
      <c r="G23" s="1" t="s">
        <v>2620</v>
      </c>
      <c r="H23" s="16" t="s">
        <v>2647</v>
      </c>
    </row>
    <row r="24" spans="3:13" x14ac:dyDescent="0.25">
      <c r="C24" s="14" t="s">
        <v>2612</v>
      </c>
      <c r="D24" s="1" t="s">
        <v>190</v>
      </c>
      <c r="E24" s="1" t="s">
        <v>7</v>
      </c>
      <c r="F24" s="1">
        <v>7</v>
      </c>
      <c r="G24" s="1" t="s">
        <v>2621</v>
      </c>
      <c r="H24" s="16" t="s">
        <v>2646</v>
      </c>
    </row>
    <row r="25" spans="3:13" x14ac:dyDescent="0.25">
      <c r="C25" s="14" t="s">
        <v>2612</v>
      </c>
      <c r="D25" s="1" t="s">
        <v>23</v>
      </c>
      <c r="E25" s="1" t="s">
        <v>7</v>
      </c>
      <c r="F25" s="1">
        <v>100</v>
      </c>
      <c r="G25" s="1" t="s">
        <v>2622</v>
      </c>
      <c r="H25" s="16" t="s">
        <v>660</v>
      </c>
      <c r="M25" s="3"/>
    </row>
    <row r="26" spans="3:13" x14ac:dyDescent="0.25">
      <c r="C26" s="14" t="s">
        <v>2612</v>
      </c>
      <c r="D26" s="1" t="s">
        <v>95</v>
      </c>
      <c r="E26" s="1" t="s">
        <v>7</v>
      </c>
      <c r="F26" s="1">
        <v>2</v>
      </c>
      <c r="G26" s="1" t="s">
        <v>2623</v>
      </c>
      <c r="H26" s="16" t="s">
        <v>2663</v>
      </c>
    </row>
    <row r="27" spans="3:13" x14ac:dyDescent="0.25">
      <c r="C27" s="14" t="s">
        <v>2612</v>
      </c>
      <c r="D27" s="1" t="s">
        <v>1259</v>
      </c>
      <c r="E27" s="1" t="s">
        <v>7</v>
      </c>
      <c r="F27" s="1">
        <v>278.3</v>
      </c>
      <c r="G27" s="1" t="s">
        <v>2624</v>
      </c>
      <c r="H27" s="16" t="s">
        <v>2662</v>
      </c>
    </row>
    <row r="28" spans="3:13" x14ac:dyDescent="0.25">
      <c r="C28" s="29" t="s">
        <v>2612</v>
      </c>
      <c r="D28" s="28" t="s">
        <v>2625</v>
      </c>
      <c r="E28" s="28" t="s">
        <v>7</v>
      </c>
      <c r="F28" s="28">
        <v>-12</v>
      </c>
      <c r="G28" s="28" t="s">
        <v>2626</v>
      </c>
      <c r="H28" s="30" t="s">
        <v>2666</v>
      </c>
    </row>
    <row r="29" spans="3:13" x14ac:dyDescent="0.25">
      <c r="C29" s="14" t="s">
        <v>2612</v>
      </c>
      <c r="D29" s="1" t="s">
        <v>95</v>
      </c>
      <c r="E29" s="1" t="s">
        <v>7</v>
      </c>
      <c r="F29" s="1">
        <v>500</v>
      </c>
      <c r="G29" s="1" t="s">
        <v>2627</v>
      </c>
      <c r="H29" s="16" t="s">
        <v>2667</v>
      </c>
    </row>
    <row r="30" spans="3:13" x14ac:dyDescent="0.25">
      <c r="C30" s="14" t="s">
        <v>2612</v>
      </c>
      <c r="D30" s="1" t="s">
        <v>95</v>
      </c>
      <c r="E30" s="1" t="s">
        <v>7</v>
      </c>
      <c r="F30" s="1">
        <v>500</v>
      </c>
      <c r="G30" s="1" t="s">
        <v>2628</v>
      </c>
      <c r="H30" s="16" t="s">
        <v>2667</v>
      </c>
    </row>
    <row r="31" spans="3:13" x14ac:dyDescent="0.25">
      <c r="C31" s="14" t="s">
        <v>2612</v>
      </c>
      <c r="D31" s="1" t="s">
        <v>370</v>
      </c>
      <c r="E31" s="1" t="s">
        <v>7</v>
      </c>
      <c r="F31" s="1">
        <v>5</v>
      </c>
      <c r="G31" s="1" t="s">
        <v>2629</v>
      </c>
      <c r="H31" s="16" t="s">
        <v>2661</v>
      </c>
    </row>
    <row r="32" spans="3:13" x14ac:dyDescent="0.25">
      <c r="C32" s="14" t="s">
        <v>2612</v>
      </c>
      <c r="D32" s="1" t="s">
        <v>13</v>
      </c>
      <c r="E32" s="1" t="s">
        <v>7</v>
      </c>
      <c r="F32" s="1">
        <v>14</v>
      </c>
      <c r="G32" s="1" t="s">
        <v>2630</v>
      </c>
      <c r="H32" s="16" t="s">
        <v>2660</v>
      </c>
    </row>
    <row r="33" spans="3:8" ht="16.5" thickBot="1" x14ac:dyDescent="0.3">
      <c r="C33" s="25" t="s">
        <v>2612</v>
      </c>
      <c r="D33" s="18" t="s">
        <v>370</v>
      </c>
      <c r="E33" s="18" t="s">
        <v>7</v>
      </c>
      <c r="F33" s="18">
        <v>79</v>
      </c>
      <c r="G33" s="18" t="s">
        <v>2631</v>
      </c>
      <c r="H33" s="27" t="s">
        <v>2656</v>
      </c>
    </row>
  </sheetData>
  <pageMargins left="0.7" right="0.7" top="0.75" bottom="0.75" header="0.3" footer="0.3"/>
  <pageSetup paperSize="256" orientation="portrait" horizontalDpi="203" verticalDpi="203" r:id="rId1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C0C2C5-F864-4272-AED4-0405FB0FDD2B}">
  <sheetPr codeName="Hoja52"/>
  <dimension ref="C3:H36"/>
  <sheetViews>
    <sheetView topLeftCell="A7" workbookViewId="0">
      <selection activeCell="F30" sqref="F30"/>
    </sheetView>
  </sheetViews>
  <sheetFormatPr baseColWidth="10" defaultRowHeight="15.75" x14ac:dyDescent="0.25"/>
  <cols>
    <col min="3" max="3" width="11" style="3"/>
    <col min="4" max="4" width="23.625" style="3" bestFit="1" customWidth="1"/>
    <col min="5" max="6" width="11" style="3"/>
    <col min="7" max="7" width="18.75" style="3" bestFit="1" customWidth="1"/>
    <col min="8" max="8" width="34" style="3" bestFit="1" customWidth="1"/>
  </cols>
  <sheetData>
    <row r="3" spans="3:8" x14ac:dyDescent="0.25">
      <c r="C3" s="7" t="s">
        <v>0</v>
      </c>
      <c r="D3" s="7" t="s">
        <v>1</v>
      </c>
      <c r="E3" s="7" t="s">
        <v>2</v>
      </c>
      <c r="F3" s="7" t="s">
        <v>3</v>
      </c>
      <c r="G3" s="7" t="s">
        <v>4</v>
      </c>
      <c r="H3" s="7"/>
    </row>
    <row r="4" spans="3:8" x14ac:dyDescent="0.25">
      <c r="C4" s="7"/>
      <c r="D4" s="7"/>
      <c r="E4" s="7"/>
      <c r="F4" s="7"/>
      <c r="G4" s="7"/>
      <c r="H4" s="7"/>
    </row>
    <row r="5" spans="3:8" x14ac:dyDescent="0.25">
      <c r="C5" s="1"/>
      <c r="D5" s="1"/>
      <c r="E5" s="1"/>
      <c r="F5" s="1"/>
      <c r="G5" s="1"/>
      <c r="H5" s="1"/>
    </row>
    <row r="6" spans="3:8" x14ac:dyDescent="0.25">
      <c r="C6" s="1" t="s">
        <v>2669</v>
      </c>
      <c r="D6" s="1" t="s">
        <v>509</v>
      </c>
      <c r="E6" s="1" t="s">
        <v>7</v>
      </c>
      <c r="F6" s="1">
        <v>853</v>
      </c>
      <c r="G6" s="1" t="s">
        <v>2708</v>
      </c>
      <c r="H6" s="1" t="s">
        <v>1227</v>
      </c>
    </row>
    <row r="7" spans="3:8" x14ac:dyDescent="0.25">
      <c r="C7" s="1" t="s">
        <v>2669</v>
      </c>
      <c r="D7" s="1" t="s">
        <v>269</v>
      </c>
      <c r="E7" s="1" t="s">
        <v>7</v>
      </c>
      <c r="F7" s="1">
        <v>4</v>
      </c>
      <c r="G7" s="1" t="s">
        <v>2709</v>
      </c>
      <c r="H7" s="1" t="s">
        <v>2721</v>
      </c>
    </row>
    <row r="8" spans="3:8" x14ac:dyDescent="0.25">
      <c r="C8" s="1" t="s">
        <v>2669</v>
      </c>
      <c r="D8" s="1" t="s">
        <v>23</v>
      </c>
      <c r="E8" s="1" t="s">
        <v>7</v>
      </c>
      <c r="F8" s="1">
        <v>2446</v>
      </c>
      <c r="G8" s="1" t="s">
        <v>2710</v>
      </c>
      <c r="H8" s="1" t="s">
        <v>2725</v>
      </c>
    </row>
    <row r="9" spans="3:8" x14ac:dyDescent="0.25">
      <c r="C9" s="1" t="s">
        <v>2669</v>
      </c>
      <c r="D9" s="1" t="s">
        <v>23</v>
      </c>
      <c r="E9" s="1" t="s">
        <v>7</v>
      </c>
      <c r="F9" s="1">
        <v>1728</v>
      </c>
      <c r="G9" s="1" t="s">
        <v>2711</v>
      </c>
      <c r="H9" s="1" t="s">
        <v>142</v>
      </c>
    </row>
    <row r="10" spans="3:8" x14ac:dyDescent="0.25">
      <c r="C10" s="1" t="s">
        <v>2669</v>
      </c>
      <c r="D10" s="1" t="s">
        <v>164</v>
      </c>
      <c r="E10" s="1" t="s">
        <v>7</v>
      </c>
      <c r="F10" s="1">
        <v>73</v>
      </c>
      <c r="G10" s="1" t="s">
        <v>2712</v>
      </c>
      <c r="H10" s="1" t="s">
        <v>2719</v>
      </c>
    </row>
    <row r="11" spans="3:8" x14ac:dyDescent="0.25">
      <c r="C11" s="1" t="s">
        <v>2669</v>
      </c>
      <c r="D11" s="1" t="s">
        <v>23</v>
      </c>
      <c r="E11" s="1" t="s">
        <v>7</v>
      </c>
      <c r="F11" s="1">
        <v>1725</v>
      </c>
      <c r="G11" s="1" t="s">
        <v>2713</v>
      </c>
      <c r="H11" s="1" t="s">
        <v>738</v>
      </c>
    </row>
    <row r="12" spans="3:8" x14ac:dyDescent="0.25">
      <c r="C12" s="1" t="s">
        <v>2669</v>
      </c>
      <c r="D12" s="1" t="s">
        <v>23</v>
      </c>
      <c r="E12" s="1" t="s">
        <v>7</v>
      </c>
      <c r="F12" s="1">
        <v>433.6</v>
      </c>
      <c r="G12" s="1" t="s">
        <v>2714</v>
      </c>
      <c r="H12" s="1" t="s">
        <v>2722</v>
      </c>
    </row>
    <row r="13" spans="3:8" x14ac:dyDescent="0.25">
      <c r="C13" s="1" t="s">
        <v>2669</v>
      </c>
      <c r="D13" s="1" t="s">
        <v>284</v>
      </c>
      <c r="E13" s="1" t="s">
        <v>7</v>
      </c>
      <c r="F13" s="1">
        <v>5</v>
      </c>
      <c r="G13" s="1" t="s">
        <v>2715</v>
      </c>
      <c r="H13" s="1" t="s">
        <v>2720</v>
      </c>
    </row>
    <row r="14" spans="3:8" x14ac:dyDescent="0.25">
      <c r="C14" s="1" t="s">
        <v>2669</v>
      </c>
      <c r="D14" s="1" t="s">
        <v>15</v>
      </c>
      <c r="E14" s="1" t="s">
        <v>7</v>
      </c>
      <c r="F14" s="1">
        <v>180</v>
      </c>
      <c r="G14" s="1" t="s">
        <v>2716</v>
      </c>
      <c r="H14" s="1" t="s">
        <v>2723</v>
      </c>
    </row>
    <row r="15" spans="3:8" x14ac:dyDescent="0.25">
      <c r="C15" s="1" t="s">
        <v>2669</v>
      </c>
      <c r="D15" s="1" t="s">
        <v>2717</v>
      </c>
      <c r="E15" s="1" t="s">
        <v>7</v>
      </c>
      <c r="F15" s="1">
        <v>1590</v>
      </c>
      <c r="G15" s="1" t="s">
        <v>2718</v>
      </c>
      <c r="H15" s="1" t="s">
        <v>2724</v>
      </c>
    </row>
    <row r="16" spans="3:8" x14ac:dyDescent="0.25">
      <c r="C16" s="1" t="s">
        <v>2669</v>
      </c>
      <c r="D16" s="1" t="s">
        <v>2670</v>
      </c>
      <c r="E16" s="1" t="s">
        <v>7</v>
      </c>
      <c r="F16" s="1">
        <v>10</v>
      </c>
      <c r="G16" s="1" t="s">
        <v>2671</v>
      </c>
      <c r="H16" s="1" t="s">
        <v>2706</v>
      </c>
    </row>
    <row r="17" spans="3:8" x14ac:dyDescent="0.25">
      <c r="C17" s="1" t="s">
        <v>2669</v>
      </c>
      <c r="D17" s="1" t="s">
        <v>370</v>
      </c>
      <c r="E17" s="1" t="s">
        <v>7</v>
      </c>
      <c r="F17" s="1">
        <v>345</v>
      </c>
      <c r="G17" s="1" t="s">
        <v>2672</v>
      </c>
      <c r="H17" s="1" t="s">
        <v>2704</v>
      </c>
    </row>
    <row r="18" spans="3:8" x14ac:dyDescent="0.25">
      <c r="C18" s="1" t="s">
        <v>2669</v>
      </c>
      <c r="D18" s="1" t="s">
        <v>655</v>
      </c>
      <c r="E18" s="1" t="s">
        <v>7</v>
      </c>
      <c r="F18" s="1">
        <v>7</v>
      </c>
      <c r="G18" s="1" t="s">
        <v>2673</v>
      </c>
      <c r="H18" s="1" t="s">
        <v>2703</v>
      </c>
    </row>
    <row r="19" spans="3:8" x14ac:dyDescent="0.25">
      <c r="C19" s="1" t="s">
        <v>2669</v>
      </c>
      <c r="D19" s="1" t="s">
        <v>23</v>
      </c>
      <c r="E19" s="1" t="s">
        <v>7</v>
      </c>
      <c r="F19" s="1">
        <v>130</v>
      </c>
      <c r="G19" s="1" t="s">
        <v>2674</v>
      </c>
      <c r="H19" s="1" t="s">
        <v>660</v>
      </c>
    </row>
    <row r="20" spans="3:8" x14ac:dyDescent="0.25">
      <c r="C20" s="1" t="s">
        <v>2669</v>
      </c>
      <c r="D20" s="1" t="s">
        <v>295</v>
      </c>
      <c r="E20" s="1" t="s">
        <v>7</v>
      </c>
      <c r="F20" s="1">
        <v>143</v>
      </c>
      <c r="G20" s="1" t="s">
        <v>2675</v>
      </c>
      <c r="H20" s="1" t="s">
        <v>1225</v>
      </c>
    </row>
    <row r="21" spans="3:8" x14ac:dyDescent="0.25">
      <c r="C21" s="28" t="s">
        <v>2669</v>
      </c>
      <c r="D21" s="28" t="s">
        <v>2676</v>
      </c>
      <c r="E21" s="28" t="s">
        <v>7</v>
      </c>
      <c r="F21" s="28">
        <v>-400</v>
      </c>
      <c r="G21" s="28" t="s">
        <v>2677</v>
      </c>
      <c r="H21" s="28" t="s">
        <v>2726</v>
      </c>
    </row>
    <row r="22" spans="3:8" x14ac:dyDescent="0.25">
      <c r="C22" s="28" t="s">
        <v>2669</v>
      </c>
      <c r="D22" s="28" t="s">
        <v>2678</v>
      </c>
      <c r="E22" s="28" t="s">
        <v>7</v>
      </c>
      <c r="F22" s="28">
        <v>-10</v>
      </c>
      <c r="G22" s="28" t="s">
        <v>2679</v>
      </c>
      <c r="H22" s="28" t="s">
        <v>2702</v>
      </c>
    </row>
    <row r="23" spans="3:8" x14ac:dyDescent="0.25">
      <c r="C23" s="1" t="s">
        <v>2669</v>
      </c>
      <c r="D23" s="1" t="s">
        <v>521</v>
      </c>
      <c r="E23" s="1" t="s">
        <v>7</v>
      </c>
      <c r="F23" s="1">
        <v>5.5</v>
      </c>
      <c r="G23" s="1" t="s">
        <v>2680</v>
      </c>
      <c r="H23" s="1" t="s">
        <v>2701</v>
      </c>
    </row>
    <row r="24" spans="3:8" x14ac:dyDescent="0.25">
      <c r="C24" s="1" t="s">
        <v>2669</v>
      </c>
      <c r="D24" s="1" t="s">
        <v>192</v>
      </c>
      <c r="E24" s="1" t="s">
        <v>7</v>
      </c>
      <c r="F24" s="1">
        <v>441.6</v>
      </c>
      <c r="G24" s="1" t="s">
        <v>2681</v>
      </c>
      <c r="H24" s="1" t="s">
        <v>2552</v>
      </c>
    </row>
    <row r="25" spans="3:8" x14ac:dyDescent="0.25">
      <c r="C25" s="1" t="s">
        <v>2669</v>
      </c>
      <c r="D25" s="1" t="s">
        <v>262</v>
      </c>
      <c r="E25" s="1" t="s">
        <v>7</v>
      </c>
      <c r="F25" s="1">
        <v>1040</v>
      </c>
      <c r="G25" s="1" t="s">
        <v>2682</v>
      </c>
      <c r="H25" s="1" t="s">
        <v>2707</v>
      </c>
    </row>
    <row r="26" spans="3:8" x14ac:dyDescent="0.25">
      <c r="C26" s="124" t="s">
        <v>2669</v>
      </c>
      <c r="D26" s="124" t="s">
        <v>161</v>
      </c>
      <c r="E26" s="124" t="s">
        <v>7</v>
      </c>
      <c r="F26" s="124">
        <v>90</v>
      </c>
      <c r="G26" s="124" t="s">
        <v>2683</v>
      </c>
      <c r="H26" s="124" t="s">
        <v>2700</v>
      </c>
    </row>
    <row r="27" spans="3:8" x14ac:dyDescent="0.25">
      <c r="C27" s="1" t="s">
        <v>2669</v>
      </c>
      <c r="D27" s="1" t="s">
        <v>269</v>
      </c>
      <c r="E27" s="1" t="s">
        <v>7</v>
      </c>
      <c r="F27" s="1">
        <v>19</v>
      </c>
      <c r="G27" s="1" t="s">
        <v>2684</v>
      </c>
      <c r="H27" s="1" t="s">
        <v>2699</v>
      </c>
    </row>
    <row r="28" spans="3:8" x14ac:dyDescent="0.25">
      <c r="C28" s="28" t="s">
        <v>2669</v>
      </c>
      <c r="D28" s="28" t="s">
        <v>2685</v>
      </c>
      <c r="E28" s="28" t="s">
        <v>7</v>
      </c>
      <c r="F28" s="28">
        <v>-54</v>
      </c>
      <c r="G28" s="28" t="s">
        <v>2686</v>
      </c>
      <c r="H28" s="28" t="s">
        <v>2698</v>
      </c>
    </row>
    <row r="29" spans="3:8" x14ac:dyDescent="0.25">
      <c r="C29" s="1" t="s">
        <v>2669</v>
      </c>
      <c r="D29" s="1" t="s">
        <v>190</v>
      </c>
      <c r="E29" s="1" t="s">
        <v>7</v>
      </c>
      <c r="F29" s="1">
        <v>4.5</v>
      </c>
      <c r="G29" s="1" t="s">
        <v>2687</v>
      </c>
      <c r="H29" s="1" t="s">
        <v>2697</v>
      </c>
    </row>
    <row r="30" spans="3:8" x14ac:dyDescent="0.25">
      <c r="C30" s="1" t="s">
        <v>2669</v>
      </c>
      <c r="D30" s="1" t="s">
        <v>797</v>
      </c>
      <c r="E30" s="1" t="s">
        <v>7</v>
      </c>
      <c r="F30" s="1">
        <v>90</v>
      </c>
      <c r="G30" s="1" t="s">
        <v>2688</v>
      </c>
      <c r="H30" s="1" t="s">
        <v>1373</v>
      </c>
    </row>
    <row r="31" spans="3:8" x14ac:dyDescent="0.25">
      <c r="C31" s="1" t="s">
        <v>2669</v>
      </c>
      <c r="D31" s="1" t="s">
        <v>299</v>
      </c>
      <c r="E31" s="1" t="s">
        <v>7</v>
      </c>
      <c r="F31" s="1">
        <v>4.5999999999999996</v>
      </c>
      <c r="G31" s="1" t="s">
        <v>2689</v>
      </c>
      <c r="H31" s="1" t="s">
        <v>536</v>
      </c>
    </row>
    <row r="32" spans="3:8" x14ac:dyDescent="0.25">
      <c r="C32" s="1" t="s">
        <v>2669</v>
      </c>
      <c r="D32" s="1" t="s">
        <v>655</v>
      </c>
      <c r="E32" s="1" t="s">
        <v>7</v>
      </c>
      <c r="F32" s="1">
        <v>270</v>
      </c>
      <c r="G32" s="1" t="s">
        <v>2690</v>
      </c>
      <c r="H32" s="1" t="s">
        <v>2696</v>
      </c>
    </row>
    <row r="33" spans="3:8" x14ac:dyDescent="0.25">
      <c r="C33" s="1" t="s">
        <v>2669</v>
      </c>
      <c r="D33" s="1" t="s">
        <v>192</v>
      </c>
      <c r="E33" s="1" t="s">
        <v>7</v>
      </c>
      <c r="F33" s="1">
        <v>2018.1</v>
      </c>
      <c r="G33" s="1" t="s">
        <v>2691</v>
      </c>
      <c r="H33" s="1" t="s">
        <v>2552</v>
      </c>
    </row>
    <row r="34" spans="3:8" x14ac:dyDescent="0.25">
      <c r="C34" s="1" t="s">
        <v>2669</v>
      </c>
      <c r="D34" s="1" t="s">
        <v>495</v>
      </c>
      <c r="E34" s="1" t="s">
        <v>7</v>
      </c>
      <c r="F34" s="1">
        <v>4.5</v>
      </c>
      <c r="G34" s="1" t="s">
        <v>2692</v>
      </c>
      <c r="H34" s="1" t="s">
        <v>2695</v>
      </c>
    </row>
    <row r="35" spans="3:8" x14ac:dyDescent="0.25">
      <c r="C35" s="1" t="s">
        <v>2669</v>
      </c>
      <c r="D35" s="1" t="s">
        <v>655</v>
      </c>
      <c r="E35" s="1" t="s">
        <v>7</v>
      </c>
      <c r="F35" s="1">
        <v>25.5</v>
      </c>
      <c r="G35" s="1" t="s">
        <v>2693</v>
      </c>
      <c r="H35" s="1" t="s">
        <v>2694</v>
      </c>
    </row>
    <row r="36" spans="3:8" x14ac:dyDescent="0.25">
      <c r="C36" s="1" t="s">
        <v>2669</v>
      </c>
      <c r="D36" s="1" t="s">
        <v>655</v>
      </c>
      <c r="E36" s="1" t="s">
        <v>7</v>
      </c>
      <c r="F36" s="1">
        <v>12</v>
      </c>
      <c r="G36" s="1">
        <v>2210198</v>
      </c>
      <c r="H36" s="1" t="s">
        <v>2705</v>
      </c>
    </row>
  </sheetData>
  <pageMargins left="0.7" right="0.7" top="0.75" bottom="0.75" header="0.3" footer="0.3"/>
  <pageSetup paperSize="256" orientation="portrait" horizontalDpi="203" verticalDpi="203" r:id="rId1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0379F4-8EFB-4F40-90E1-26E6A6232463}">
  <sheetPr codeName="Hoja53"/>
  <dimension ref="C3:I34"/>
  <sheetViews>
    <sheetView workbookViewId="0">
      <selection activeCell="H37" sqref="H37"/>
    </sheetView>
  </sheetViews>
  <sheetFormatPr baseColWidth="10" defaultRowHeight="15.75" x14ac:dyDescent="0.25"/>
  <cols>
    <col min="3" max="3" width="11" style="3"/>
    <col min="4" max="4" width="22.5" style="3" bestFit="1" customWidth="1"/>
    <col min="5" max="6" width="11" style="3"/>
    <col min="7" max="7" width="22.25" style="3" customWidth="1"/>
    <col min="8" max="8" width="25.25" style="3" bestFit="1" customWidth="1"/>
    <col min="9" max="9" width="11" style="3"/>
  </cols>
  <sheetData>
    <row r="3" spans="3:8" x14ac:dyDescent="0.25">
      <c r="C3" s="7" t="s">
        <v>0</v>
      </c>
      <c r="D3" s="7" t="s">
        <v>1</v>
      </c>
      <c r="E3" s="7" t="s">
        <v>2</v>
      </c>
      <c r="F3" s="7" t="s">
        <v>3</v>
      </c>
      <c r="G3" s="7" t="s">
        <v>4</v>
      </c>
      <c r="H3" s="7"/>
    </row>
    <row r="4" spans="3:8" x14ac:dyDescent="0.25">
      <c r="C4" s="1" t="s">
        <v>2727</v>
      </c>
      <c r="D4" s="1" t="s">
        <v>665</v>
      </c>
      <c r="E4" s="1" t="s">
        <v>7</v>
      </c>
      <c r="F4" s="1">
        <v>337</v>
      </c>
      <c r="G4" s="1" t="s">
        <v>2772</v>
      </c>
      <c r="H4" s="1" t="s">
        <v>386</v>
      </c>
    </row>
    <row r="5" spans="3:8" x14ac:dyDescent="0.25">
      <c r="C5" s="1" t="s">
        <v>2727</v>
      </c>
      <c r="D5" s="1" t="s">
        <v>15</v>
      </c>
      <c r="E5" s="1" t="s">
        <v>7</v>
      </c>
      <c r="F5" s="1">
        <v>224</v>
      </c>
      <c r="G5" s="1" t="s">
        <v>2746</v>
      </c>
      <c r="H5" s="1" t="s">
        <v>2769</v>
      </c>
    </row>
    <row r="6" spans="3:8" x14ac:dyDescent="0.25">
      <c r="C6" s="1" t="s">
        <v>2727</v>
      </c>
      <c r="D6" s="1" t="s">
        <v>192</v>
      </c>
      <c r="E6" s="1" t="s">
        <v>7</v>
      </c>
      <c r="F6" s="1">
        <v>200</v>
      </c>
      <c r="G6" s="1" t="s">
        <v>2747</v>
      </c>
      <c r="H6" s="1" t="s">
        <v>2768</v>
      </c>
    </row>
    <row r="7" spans="3:8" x14ac:dyDescent="0.25">
      <c r="C7" s="1" t="s">
        <v>2727</v>
      </c>
      <c r="D7" s="1" t="s">
        <v>13</v>
      </c>
      <c r="E7" s="1" t="s">
        <v>7</v>
      </c>
      <c r="F7" s="1">
        <v>418</v>
      </c>
      <c r="G7" s="1" t="s">
        <v>2748</v>
      </c>
      <c r="H7" s="1" t="s">
        <v>68</v>
      </c>
    </row>
    <row r="8" spans="3:8" x14ac:dyDescent="0.25">
      <c r="C8" s="1" t="s">
        <v>2727</v>
      </c>
      <c r="D8" s="1" t="s">
        <v>23</v>
      </c>
      <c r="E8" s="1" t="s">
        <v>7</v>
      </c>
      <c r="F8" s="1">
        <v>780</v>
      </c>
      <c r="G8" s="1" t="s">
        <v>2749</v>
      </c>
      <c r="H8" s="1" t="s">
        <v>210</v>
      </c>
    </row>
    <row r="9" spans="3:8" x14ac:dyDescent="0.25">
      <c r="C9" s="28" t="s">
        <v>2727</v>
      </c>
      <c r="D9" s="28" t="s">
        <v>1945</v>
      </c>
      <c r="E9" s="28" t="s">
        <v>7</v>
      </c>
      <c r="F9" s="28">
        <v>-111.36</v>
      </c>
      <c r="G9" s="28" t="s">
        <v>2750</v>
      </c>
      <c r="H9" s="28" t="s">
        <v>2763</v>
      </c>
    </row>
    <row r="10" spans="3:8" x14ac:dyDescent="0.25">
      <c r="C10" s="1" t="s">
        <v>2727</v>
      </c>
      <c r="D10" s="1" t="s">
        <v>23</v>
      </c>
      <c r="E10" s="1" t="s">
        <v>7</v>
      </c>
      <c r="F10" s="1">
        <v>600</v>
      </c>
      <c r="G10" s="1" t="s">
        <v>2751</v>
      </c>
      <c r="H10" s="1" t="s">
        <v>2651</v>
      </c>
    </row>
    <row r="11" spans="3:8" x14ac:dyDescent="0.25">
      <c r="C11" s="1" t="s">
        <v>2727</v>
      </c>
      <c r="D11" s="1" t="s">
        <v>509</v>
      </c>
      <c r="E11" s="1" t="s">
        <v>7</v>
      </c>
      <c r="F11" s="1">
        <v>685</v>
      </c>
      <c r="G11" s="1" t="s">
        <v>2752</v>
      </c>
      <c r="H11" s="1" t="s">
        <v>1586</v>
      </c>
    </row>
    <row r="12" spans="3:8" x14ac:dyDescent="0.25">
      <c r="C12" s="1" t="s">
        <v>2727</v>
      </c>
      <c r="D12" s="1" t="s">
        <v>797</v>
      </c>
      <c r="E12" s="1" t="s">
        <v>7</v>
      </c>
      <c r="F12" s="1">
        <v>266.5</v>
      </c>
      <c r="G12" s="1" t="s">
        <v>2753</v>
      </c>
      <c r="H12" s="1" t="s">
        <v>2653</v>
      </c>
    </row>
    <row r="13" spans="3:8" x14ac:dyDescent="0.25">
      <c r="C13" s="1" t="s">
        <v>2727</v>
      </c>
      <c r="D13" s="1" t="s">
        <v>284</v>
      </c>
      <c r="E13" s="1" t="s">
        <v>7</v>
      </c>
      <c r="F13" s="1">
        <v>2</v>
      </c>
      <c r="G13" s="1" t="s">
        <v>2754</v>
      </c>
      <c r="H13" s="1" t="s">
        <v>2764</v>
      </c>
    </row>
    <row r="14" spans="3:8" x14ac:dyDescent="0.25">
      <c r="C14" s="1" t="s">
        <v>2727</v>
      </c>
      <c r="D14" s="1" t="s">
        <v>224</v>
      </c>
      <c r="E14" s="1" t="s">
        <v>7</v>
      </c>
      <c r="F14" s="1">
        <v>67.2</v>
      </c>
      <c r="G14" s="1" t="s">
        <v>2755</v>
      </c>
      <c r="H14" s="1" t="s">
        <v>2762</v>
      </c>
    </row>
    <row r="15" spans="3:8" x14ac:dyDescent="0.25">
      <c r="C15" s="1" t="s">
        <v>2727</v>
      </c>
      <c r="D15" s="1" t="s">
        <v>13</v>
      </c>
      <c r="E15" s="1" t="s">
        <v>7</v>
      </c>
      <c r="F15" s="1">
        <v>10</v>
      </c>
      <c r="G15" s="1" t="s">
        <v>2728</v>
      </c>
      <c r="H15" s="1" t="s">
        <v>2761</v>
      </c>
    </row>
    <row r="16" spans="3:8" x14ac:dyDescent="0.25">
      <c r="C16" s="51" t="s">
        <v>2727</v>
      </c>
      <c r="D16" s="51" t="s">
        <v>1259</v>
      </c>
      <c r="E16" s="51" t="s">
        <v>7</v>
      </c>
      <c r="F16" s="51">
        <v>71</v>
      </c>
      <c r="G16" s="51" t="s">
        <v>2729</v>
      </c>
      <c r="H16" s="51"/>
    </row>
    <row r="17" spans="3:8" x14ac:dyDescent="0.25">
      <c r="C17" s="1" t="s">
        <v>2727</v>
      </c>
      <c r="D17" s="1" t="s">
        <v>284</v>
      </c>
      <c r="E17" s="1" t="s">
        <v>7</v>
      </c>
      <c r="F17" s="1">
        <v>140</v>
      </c>
      <c r="G17" s="1" t="s">
        <v>2730</v>
      </c>
      <c r="H17" s="1" t="s">
        <v>2081</v>
      </c>
    </row>
    <row r="18" spans="3:8" x14ac:dyDescent="0.25">
      <c r="C18" s="1" t="s">
        <v>2727</v>
      </c>
      <c r="D18" s="1" t="s">
        <v>269</v>
      </c>
      <c r="E18" s="1" t="s">
        <v>7</v>
      </c>
      <c r="F18" s="1">
        <v>18</v>
      </c>
      <c r="G18" s="1" t="s">
        <v>2731</v>
      </c>
      <c r="H18" s="1" t="s">
        <v>2765</v>
      </c>
    </row>
    <row r="19" spans="3:8" x14ac:dyDescent="0.25">
      <c r="C19" s="1" t="s">
        <v>2727</v>
      </c>
      <c r="D19" s="1" t="s">
        <v>95</v>
      </c>
      <c r="E19" s="1" t="s">
        <v>7</v>
      </c>
      <c r="F19" s="1">
        <v>25</v>
      </c>
      <c r="G19" s="1" t="s">
        <v>2732</v>
      </c>
      <c r="H19" s="1" t="s">
        <v>2760</v>
      </c>
    </row>
    <row r="20" spans="3:8" x14ac:dyDescent="0.25">
      <c r="C20" s="1" t="s">
        <v>2727</v>
      </c>
      <c r="D20" s="1" t="s">
        <v>519</v>
      </c>
      <c r="E20" s="1" t="s">
        <v>7</v>
      </c>
      <c r="F20" s="1">
        <v>64.5</v>
      </c>
      <c r="G20" s="1" t="s">
        <v>2733</v>
      </c>
      <c r="H20" s="1" t="s">
        <v>2771</v>
      </c>
    </row>
    <row r="21" spans="3:8" x14ac:dyDescent="0.25">
      <c r="C21" s="1" t="s">
        <v>2727</v>
      </c>
      <c r="D21" s="1" t="s">
        <v>2734</v>
      </c>
      <c r="E21" s="1" t="s">
        <v>7</v>
      </c>
      <c r="F21" s="1">
        <v>13.5</v>
      </c>
      <c r="G21" s="1" t="s">
        <v>2735</v>
      </c>
      <c r="H21" s="1" t="s">
        <v>166</v>
      </c>
    </row>
    <row r="22" spans="3:8" x14ac:dyDescent="0.25">
      <c r="C22" s="28" t="s">
        <v>2727</v>
      </c>
      <c r="D22" s="28" t="s">
        <v>172</v>
      </c>
      <c r="E22" s="28" t="s">
        <v>7</v>
      </c>
      <c r="F22" s="28">
        <v>-11500</v>
      </c>
      <c r="G22" s="28" t="s">
        <v>2736</v>
      </c>
      <c r="H22" s="28" t="s">
        <v>1207</v>
      </c>
    </row>
    <row r="23" spans="3:8" x14ac:dyDescent="0.25">
      <c r="C23" s="1" t="s">
        <v>2727</v>
      </c>
      <c r="D23" s="1" t="s">
        <v>382</v>
      </c>
      <c r="E23" s="1" t="s">
        <v>7</v>
      </c>
      <c r="F23" s="1">
        <v>34.5</v>
      </c>
      <c r="G23" s="1" t="s">
        <v>2737</v>
      </c>
      <c r="H23" s="1" t="s">
        <v>2759</v>
      </c>
    </row>
    <row r="24" spans="3:8" x14ac:dyDescent="0.25">
      <c r="C24" s="1" t="s">
        <v>2727</v>
      </c>
      <c r="D24" s="1" t="s">
        <v>1758</v>
      </c>
      <c r="E24" s="1" t="s">
        <v>7</v>
      </c>
      <c r="F24" s="1">
        <v>23</v>
      </c>
      <c r="G24" s="1" t="s">
        <v>2738</v>
      </c>
      <c r="H24" s="1" t="s">
        <v>2767</v>
      </c>
    </row>
    <row r="25" spans="3:8" x14ac:dyDescent="0.25">
      <c r="C25" s="1" t="s">
        <v>2727</v>
      </c>
      <c r="D25" s="1" t="s">
        <v>655</v>
      </c>
      <c r="E25" s="1" t="s">
        <v>7</v>
      </c>
      <c r="F25" s="1">
        <v>9</v>
      </c>
      <c r="G25" s="1" t="s">
        <v>2739</v>
      </c>
      <c r="H25" s="1" t="s">
        <v>2694</v>
      </c>
    </row>
    <row r="26" spans="3:8" x14ac:dyDescent="0.25">
      <c r="C26" s="1" t="s">
        <v>2727</v>
      </c>
      <c r="D26" s="1" t="s">
        <v>360</v>
      </c>
      <c r="E26" s="1" t="s">
        <v>7</v>
      </c>
      <c r="F26" s="1">
        <v>28</v>
      </c>
      <c r="G26" s="1" t="s">
        <v>2740</v>
      </c>
      <c r="H26" s="1" t="s">
        <v>2770</v>
      </c>
    </row>
    <row r="27" spans="3:8" x14ac:dyDescent="0.25">
      <c r="C27" s="1" t="s">
        <v>2727</v>
      </c>
      <c r="D27" s="1" t="s">
        <v>178</v>
      </c>
      <c r="E27" s="1" t="s">
        <v>7</v>
      </c>
      <c r="F27" s="1">
        <v>63</v>
      </c>
      <c r="G27" s="1" t="s">
        <v>2741</v>
      </c>
      <c r="H27" s="1" t="s">
        <v>2758</v>
      </c>
    </row>
    <row r="28" spans="3:8" x14ac:dyDescent="0.25">
      <c r="C28" s="1" t="s">
        <v>2727</v>
      </c>
      <c r="D28" s="1" t="s">
        <v>23</v>
      </c>
      <c r="E28" s="1" t="s">
        <v>7</v>
      </c>
      <c r="F28" s="1">
        <v>843.5</v>
      </c>
      <c r="G28" s="1" t="s">
        <v>2742</v>
      </c>
      <c r="H28" s="1" t="s">
        <v>660</v>
      </c>
    </row>
    <row r="29" spans="3:8" x14ac:dyDescent="0.25">
      <c r="C29" s="1" t="s">
        <v>2727</v>
      </c>
      <c r="D29" s="1" t="s">
        <v>1259</v>
      </c>
      <c r="E29" s="1" t="s">
        <v>7</v>
      </c>
      <c r="F29" s="1">
        <v>117</v>
      </c>
      <c r="G29" s="1" t="s">
        <v>2743</v>
      </c>
      <c r="H29" s="1" t="s">
        <v>2757</v>
      </c>
    </row>
    <row r="30" spans="3:8" x14ac:dyDescent="0.25">
      <c r="C30" s="1" t="s">
        <v>2727</v>
      </c>
      <c r="D30" s="1" t="s">
        <v>299</v>
      </c>
      <c r="E30" s="1" t="s">
        <v>7</v>
      </c>
      <c r="F30" s="1">
        <v>4</v>
      </c>
      <c r="G30" s="1" t="s">
        <v>2744</v>
      </c>
      <c r="H30" s="1" t="s">
        <v>2766</v>
      </c>
    </row>
    <row r="31" spans="3:8" x14ac:dyDescent="0.25">
      <c r="C31" s="28" t="s">
        <v>2727</v>
      </c>
      <c r="D31" s="28" t="s">
        <v>105</v>
      </c>
      <c r="E31" s="28" t="s">
        <v>7</v>
      </c>
      <c r="F31" s="28">
        <v>-14379.46</v>
      </c>
      <c r="G31" s="28" t="s">
        <v>2745</v>
      </c>
      <c r="H31" s="28" t="s">
        <v>2756</v>
      </c>
    </row>
    <row r="33" spans="3:7" x14ac:dyDescent="0.25">
      <c r="C33" t="s">
        <v>2727</v>
      </c>
      <c r="D33" t="s">
        <v>2773</v>
      </c>
      <c r="E33" t="s">
        <v>7</v>
      </c>
      <c r="F33">
        <v>-450</v>
      </c>
      <c r="G33" t="s">
        <v>2774</v>
      </c>
    </row>
    <row r="34" spans="3:7" x14ac:dyDescent="0.25">
      <c r="C34" t="s">
        <v>2727</v>
      </c>
      <c r="D34" t="s">
        <v>2775</v>
      </c>
      <c r="E34" t="s">
        <v>7</v>
      </c>
      <c r="F34">
        <v>-450</v>
      </c>
      <c r="G34" t="s">
        <v>2776</v>
      </c>
    </row>
  </sheetData>
  <pageMargins left="0.7" right="0.7" top="0.75" bottom="0.75" header="0.3" footer="0.3"/>
  <pageSetup paperSize="256" orientation="portrait" horizontalDpi="203" verticalDpi="203" r:id="rId1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852645-D346-49A7-A331-FF2057201FBC}">
  <sheetPr codeName="Hoja54"/>
  <dimension ref="C5:H10"/>
  <sheetViews>
    <sheetView workbookViewId="0">
      <selection activeCell="G15" sqref="G15"/>
    </sheetView>
  </sheetViews>
  <sheetFormatPr baseColWidth="10" defaultRowHeight="15.75" x14ac:dyDescent="0.25"/>
  <cols>
    <col min="3" max="3" width="11" style="3"/>
    <col min="4" max="4" width="22.625" style="3" customWidth="1"/>
    <col min="5" max="6" width="11" style="3"/>
    <col min="7" max="7" width="22.75" style="3" customWidth="1"/>
    <col min="8" max="8" width="25.75" bestFit="1" customWidth="1"/>
  </cols>
  <sheetData>
    <row r="5" spans="3:8" x14ac:dyDescent="0.25">
      <c r="C5" s="3" t="s">
        <v>0</v>
      </c>
      <c r="D5" s="3" t="s">
        <v>1</v>
      </c>
      <c r="E5" s="3" t="s">
        <v>2</v>
      </c>
      <c r="F5" s="3" t="s">
        <v>3</v>
      </c>
      <c r="G5" s="3" t="s">
        <v>4</v>
      </c>
    </row>
    <row r="6" spans="3:8" x14ac:dyDescent="0.25">
      <c r="C6" s="3" t="s">
        <v>2777</v>
      </c>
      <c r="D6" s="3" t="s">
        <v>663</v>
      </c>
      <c r="E6" s="3" t="s">
        <v>7</v>
      </c>
      <c r="F6" s="3">
        <v>-1.25</v>
      </c>
      <c r="G6" s="3" t="s">
        <v>664</v>
      </c>
      <c r="H6" s="3" t="s">
        <v>2785</v>
      </c>
    </row>
    <row r="7" spans="3:8" x14ac:dyDescent="0.25">
      <c r="C7" s="3" t="s">
        <v>2777</v>
      </c>
      <c r="D7" s="3" t="s">
        <v>1241</v>
      </c>
      <c r="E7" s="3" t="s">
        <v>7</v>
      </c>
      <c r="F7" s="3">
        <v>-460</v>
      </c>
      <c r="G7" s="3" t="s">
        <v>2778</v>
      </c>
      <c r="H7" s="3" t="s">
        <v>2784</v>
      </c>
    </row>
    <row r="8" spans="3:8" x14ac:dyDescent="0.25">
      <c r="C8" s="125" t="s">
        <v>2777</v>
      </c>
      <c r="D8" s="125" t="s">
        <v>509</v>
      </c>
      <c r="E8" s="125" t="s">
        <v>7</v>
      </c>
      <c r="F8" s="125">
        <v>500</v>
      </c>
      <c r="G8" s="125" t="s">
        <v>2779</v>
      </c>
      <c r="H8" s="126" t="s">
        <v>1271</v>
      </c>
    </row>
    <row r="9" spans="3:8" x14ac:dyDescent="0.25">
      <c r="C9" s="3" t="s">
        <v>2777</v>
      </c>
      <c r="D9" s="3" t="s">
        <v>2780</v>
      </c>
      <c r="E9" s="3" t="s">
        <v>7</v>
      </c>
      <c r="F9" s="3">
        <v>180</v>
      </c>
      <c r="G9" s="3" t="s">
        <v>2781</v>
      </c>
      <c r="H9" s="3" t="s">
        <v>1335</v>
      </c>
    </row>
    <row r="10" spans="3:8" x14ac:dyDescent="0.25">
      <c r="C10" s="3" t="s">
        <v>2777</v>
      </c>
      <c r="D10" s="3" t="s">
        <v>13</v>
      </c>
      <c r="E10" s="3" t="s">
        <v>7</v>
      </c>
      <c r="F10" s="3">
        <v>158</v>
      </c>
      <c r="G10" s="3" t="s">
        <v>2782</v>
      </c>
      <c r="H10" t="s">
        <v>2783</v>
      </c>
    </row>
  </sheetData>
  <pageMargins left="0.7" right="0.7" top="0.75" bottom="0.75" header="0.3" footer="0.3"/>
  <pageSetup paperSize="256" orientation="portrait" horizontalDpi="203" verticalDpi="203" r:id="rId1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E8F0F0-8D69-478B-8A8A-0A84F1FAFBAD}">
  <sheetPr codeName="Hoja55"/>
  <dimension ref="C3:H26"/>
  <sheetViews>
    <sheetView workbookViewId="0">
      <selection activeCell="B3" sqref="B3:I27"/>
    </sheetView>
  </sheetViews>
  <sheetFormatPr baseColWidth="10" defaultRowHeight="15.75" x14ac:dyDescent="0.25"/>
  <cols>
    <col min="3" max="3" width="11" style="3"/>
    <col min="4" max="4" width="31.5" style="3" customWidth="1"/>
    <col min="5" max="6" width="11" style="3"/>
    <col min="7" max="7" width="18.75" style="3" bestFit="1" customWidth="1"/>
    <col min="8" max="8" width="34.5" style="3" bestFit="1" customWidth="1"/>
  </cols>
  <sheetData>
    <row r="3" spans="3:8" ht="16.5" thickBot="1" x14ac:dyDescent="0.3"/>
    <row r="4" spans="3:8" x14ac:dyDescent="0.25">
      <c r="C4" s="11" t="s">
        <v>0</v>
      </c>
      <c r="D4" s="12" t="s">
        <v>1</v>
      </c>
      <c r="E4" s="12" t="s">
        <v>2</v>
      </c>
      <c r="F4" s="12" t="s">
        <v>3</v>
      </c>
      <c r="G4" s="12" t="s">
        <v>4</v>
      </c>
      <c r="H4" s="13"/>
    </row>
    <row r="5" spans="3:8" x14ac:dyDescent="0.25">
      <c r="C5" s="14"/>
      <c r="D5" s="1"/>
      <c r="E5" s="1"/>
      <c r="F5" s="1"/>
      <c r="G5" s="1"/>
      <c r="H5" s="16"/>
    </row>
    <row r="6" spans="3:8" x14ac:dyDescent="0.25">
      <c r="C6" s="29" t="s">
        <v>2786</v>
      </c>
      <c r="D6" s="28" t="s">
        <v>598</v>
      </c>
      <c r="E6" s="28" t="s">
        <v>7</v>
      </c>
      <c r="F6" s="28">
        <v>-27024.06</v>
      </c>
      <c r="G6" s="28" t="s">
        <v>2815</v>
      </c>
      <c r="H6" s="30" t="s">
        <v>2822</v>
      </c>
    </row>
    <row r="7" spans="3:8" x14ac:dyDescent="0.25">
      <c r="C7" s="29" t="s">
        <v>2786</v>
      </c>
      <c r="D7" s="28" t="s">
        <v>2816</v>
      </c>
      <c r="E7" s="28" t="s">
        <v>7</v>
      </c>
      <c r="F7" s="28">
        <v>-65</v>
      </c>
      <c r="G7" s="28" t="s">
        <v>2817</v>
      </c>
      <c r="H7" s="30" t="s">
        <v>2823</v>
      </c>
    </row>
    <row r="8" spans="3:8" x14ac:dyDescent="0.25">
      <c r="C8" s="14" t="s">
        <v>2786</v>
      </c>
      <c r="D8" s="1" t="s">
        <v>370</v>
      </c>
      <c r="E8" s="1" t="s">
        <v>7</v>
      </c>
      <c r="F8" s="1">
        <v>65</v>
      </c>
      <c r="G8" s="1" t="s">
        <v>2818</v>
      </c>
      <c r="H8" s="16" t="s">
        <v>2824</v>
      </c>
    </row>
    <row r="9" spans="3:8" x14ac:dyDescent="0.25">
      <c r="C9" s="14" t="s">
        <v>2786</v>
      </c>
      <c r="D9" s="1" t="s">
        <v>2789</v>
      </c>
      <c r="E9" s="1" t="s">
        <v>7</v>
      </c>
      <c r="F9" s="1">
        <v>13.3</v>
      </c>
      <c r="G9" s="1" t="s">
        <v>2819</v>
      </c>
      <c r="H9" s="16" t="s">
        <v>2825</v>
      </c>
    </row>
    <row r="10" spans="3:8" x14ac:dyDescent="0.25">
      <c r="C10" s="14" t="s">
        <v>2786</v>
      </c>
      <c r="D10" s="1" t="s">
        <v>669</v>
      </c>
      <c r="E10" s="1" t="s">
        <v>7</v>
      </c>
      <c r="F10" s="1">
        <v>12827.3</v>
      </c>
      <c r="G10" s="1" t="s">
        <v>2820</v>
      </c>
      <c r="H10" s="16" t="s">
        <v>1194</v>
      </c>
    </row>
    <row r="11" spans="3:8" x14ac:dyDescent="0.25">
      <c r="C11" s="14" t="s">
        <v>2786</v>
      </c>
      <c r="D11" s="1" t="s">
        <v>797</v>
      </c>
      <c r="E11" s="1" t="s">
        <v>7</v>
      </c>
      <c r="F11" s="1">
        <v>20</v>
      </c>
      <c r="G11" s="1" t="s">
        <v>2821</v>
      </c>
      <c r="H11" s="16" t="s">
        <v>2826</v>
      </c>
    </row>
    <row r="12" spans="3:8" x14ac:dyDescent="0.25">
      <c r="C12" s="14" t="s">
        <v>2786</v>
      </c>
      <c r="D12" s="1" t="s">
        <v>1259</v>
      </c>
      <c r="E12" s="1" t="s">
        <v>7</v>
      </c>
      <c r="F12" s="1">
        <v>13</v>
      </c>
      <c r="G12" s="1" t="s">
        <v>2787</v>
      </c>
      <c r="H12" s="16" t="s">
        <v>2809</v>
      </c>
    </row>
    <row r="13" spans="3:8" x14ac:dyDescent="0.25">
      <c r="C13" s="14" t="s">
        <v>2786</v>
      </c>
      <c r="D13" s="1" t="s">
        <v>398</v>
      </c>
      <c r="E13" s="1" t="s">
        <v>7</v>
      </c>
      <c r="F13" s="1">
        <v>120</v>
      </c>
      <c r="G13" s="1" t="s">
        <v>2788</v>
      </c>
      <c r="H13" s="16" t="s">
        <v>2810</v>
      </c>
    </row>
    <row r="14" spans="3:8" x14ac:dyDescent="0.25">
      <c r="C14" s="14" t="s">
        <v>2786</v>
      </c>
      <c r="D14" s="1" t="s">
        <v>2789</v>
      </c>
      <c r="E14" s="1" t="s">
        <v>7</v>
      </c>
      <c r="F14" s="1">
        <v>68</v>
      </c>
      <c r="G14" s="1" t="s">
        <v>2790</v>
      </c>
      <c r="H14" s="16" t="s">
        <v>2811</v>
      </c>
    </row>
    <row r="15" spans="3:8" x14ac:dyDescent="0.25">
      <c r="C15" s="29" t="s">
        <v>2786</v>
      </c>
      <c r="D15" s="28" t="s">
        <v>2625</v>
      </c>
      <c r="E15" s="28" t="s">
        <v>7</v>
      </c>
      <c r="F15" s="28">
        <v>-22</v>
      </c>
      <c r="G15" s="28" t="s">
        <v>2791</v>
      </c>
      <c r="H15" s="30" t="s">
        <v>2808</v>
      </c>
    </row>
    <row r="16" spans="3:8" x14ac:dyDescent="0.25">
      <c r="C16" s="14" t="s">
        <v>2786</v>
      </c>
      <c r="D16" s="1" t="s">
        <v>23</v>
      </c>
      <c r="E16" s="1" t="s">
        <v>7</v>
      </c>
      <c r="F16" s="1">
        <v>79</v>
      </c>
      <c r="G16" s="1" t="s">
        <v>2792</v>
      </c>
      <c r="H16" s="16" t="s">
        <v>2812</v>
      </c>
    </row>
    <row r="17" spans="3:8" x14ac:dyDescent="0.25">
      <c r="C17" s="14" t="s">
        <v>2786</v>
      </c>
      <c r="D17" s="1" t="s">
        <v>23</v>
      </c>
      <c r="E17" s="1" t="s">
        <v>7</v>
      </c>
      <c r="F17" s="1">
        <v>110</v>
      </c>
      <c r="G17" s="1" t="s">
        <v>2793</v>
      </c>
      <c r="H17" s="16" t="s">
        <v>2813</v>
      </c>
    </row>
    <row r="18" spans="3:8" x14ac:dyDescent="0.25">
      <c r="C18" s="14" t="s">
        <v>2786</v>
      </c>
      <c r="D18" s="1" t="s">
        <v>472</v>
      </c>
      <c r="E18" s="1" t="s">
        <v>7</v>
      </c>
      <c r="F18" s="1">
        <v>1932.2</v>
      </c>
      <c r="G18" s="1" t="s">
        <v>2794</v>
      </c>
      <c r="H18" s="16" t="s">
        <v>77</v>
      </c>
    </row>
    <row r="19" spans="3:8" x14ac:dyDescent="0.25">
      <c r="C19" s="29" t="s">
        <v>2786</v>
      </c>
      <c r="D19" s="28" t="s">
        <v>1945</v>
      </c>
      <c r="E19" s="28" t="s">
        <v>7</v>
      </c>
      <c r="F19" s="28">
        <v>-338.75</v>
      </c>
      <c r="G19" s="28" t="s">
        <v>2795</v>
      </c>
      <c r="H19" s="30" t="s">
        <v>2807</v>
      </c>
    </row>
    <row r="20" spans="3:8" x14ac:dyDescent="0.25">
      <c r="C20" s="14" t="s">
        <v>2786</v>
      </c>
      <c r="D20" s="1" t="s">
        <v>240</v>
      </c>
      <c r="E20" s="1" t="s">
        <v>7</v>
      </c>
      <c r="F20" s="1">
        <v>50</v>
      </c>
      <c r="G20" s="1" t="s">
        <v>2796</v>
      </c>
      <c r="H20" s="16" t="s">
        <v>2581</v>
      </c>
    </row>
    <row r="21" spans="3:8" x14ac:dyDescent="0.25">
      <c r="C21" s="14" t="s">
        <v>2786</v>
      </c>
      <c r="D21" s="1" t="s">
        <v>1259</v>
      </c>
      <c r="E21" s="1" t="s">
        <v>7</v>
      </c>
      <c r="F21" s="1">
        <v>12</v>
      </c>
      <c r="G21" s="1" t="s">
        <v>2797</v>
      </c>
      <c r="H21" s="16" t="s">
        <v>2805</v>
      </c>
    </row>
    <row r="22" spans="3:8" x14ac:dyDescent="0.25">
      <c r="C22" s="14" t="s">
        <v>2786</v>
      </c>
      <c r="D22" s="1" t="s">
        <v>15</v>
      </c>
      <c r="E22" s="1" t="s">
        <v>7</v>
      </c>
      <c r="F22" s="1">
        <v>81.5</v>
      </c>
      <c r="G22" s="1" t="s">
        <v>2798</v>
      </c>
      <c r="H22" s="16" t="s">
        <v>2806</v>
      </c>
    </row>
    <row r="23" spans="3:8" x14ac:dyDescent="0.25">
      <c r="C23" s="14" t="s">
        <v>2786</v>
      </c>
      <c r="D23" s="1" t="s">
        <v>23</v>
      </c>
      <c r="E23" s="1" t="s">
        <v>7</v>
      </c>
      <c r="F23" s="1">
        <v>276</v>
      </c>
      <c r="G23" s="1" t="s">
        <v>2799</v>
      </c>
      <c r="H23" s="16" t="s">
        <v>142</v>
      </c>
    </row>
    <row r="24" spans="3:8" x14ac:dyDescent="0.25">
      <c r="C24" s="14" t="s">
        <v>2786</v>
      </c>
      <c r="D24" s="1" t="s">
        <v>23</v>
      </c>
      <c r="E24" s="1" t="s">
        <v>7</v>
      </c>
      <c r="F24" s="1">
        <v>8500</v>
      </c>
      <c r="G24" s="1" t="s">
        <v>2800</v>
      </c>
      <c r="H24" s="16" t="s">
        <v>2814</v>
      </c>
    </row>
    <row r="25" spans="3:8" x14ac:dyDescent="0.25">
      <c r="C25" s="14" t="s">
        <v>2786</v>
      </c>
      <c r="D25" s="1" t="s">
        <v>284</v>
      </c>
      <c r="E25" s="1" t="s">
        <v>7</v>
      </c>
      <c r="F25" s="1">
        <v>8</v>
      </c>
      <c r="G25" s="1" t="s">
        <v>2801</v>
      </c>
      <c r="H25" s="16" t="s">
        <v>2804</v>
      </c>
    </row>
    <row r="26" spans="3:8" ht="16.5" thickBot="1" x14ac:dyDescent="0.3">
      <c r="C26" s="25" t="s">
        <v>2786</v>
      </c>
      <c r="D26" s="18" t="s">
        <v>521</v>
      </c>
      <c r="E26" s="18" t="s">
        <v>7</v>
      </c>
      <c r="F26" s="18">
        <v>6</v>
      </c>
      <c r="G26" s="18" t="s">
        <v>2802</v>
      </c>
      <c r="H26" s="27" t="s">
        <v>2803</v>
      </c>
    </row>
  </sheetData>
  <pageMargins left="0.7" right="0.7" top="0.75" bottom="0.75" header="0.3" footer="0.3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FE3BC7-B6FF-49C4-9116-6C56A6878F29}">
  <sheetPr codeName="Hoja56"/>
  <dimension ref="C2:H29"/>
  <sheetViews>
    <sheetView workbookViewId="0">
      <selection activeCell="B2" sqref="B2:I30"/>
    </sheetView>
  </sheetViews>
  <sheetFormatPr baseColWidth="10" defaultRowHeight="15.75" x14ac:dyDescent="0.25"/>
  <cols>
    <col min="3" max="3" width="11" style="3"/>
    <col min="4" max="4" width="25.875" style="3" customWidth="1"/>
    <col min="5" max="6" width="11" style="3"/>
    <col min="7" max="7" width="18.75" style="3" bestFit="1" customWidth="1"/>
    <col min="8" max="8" width="36.5" style="3" bestFit="1" customWidth="1"/>
  </cols>
  <sheetData>
    <row r="2" spans="3:8" ht="16.5" thickBot="1" x14ac:dyDescent="0.3"/>
    <row r="3" spans="3:8" x14ac:dyDescent="0.25">
      <c r="C3" s="11" t="s">
        <v>0</v>
      </c>
      <c r="D3" s="12" t="s">
        <v>1</v>
      </c>
      <c r="E3" s="12" t="s">
        <v>2</v>
      </c>
      <c r="F3" s="12" t="s">
        <v>3</v>
      </c>
      <c r="G3" s="12" t="s">
        <v>4</v>
      </c>
      <c r="H3" s="13"/>
    </row>
    <row r="4" spans="3:8" x14ac:dyDescent="0.25">
      <c r="C4" s="131" t="s">
        <v>2827</v>
      </c>
      <c r="D4" s="132" t="s">
        <v>23</v>
      </c>
      <c r="E4" s="132" t="s">
        <v>7</v>
      </c>
      <c r="F4" s="132">
        <v>470</v>
      </c>
      <c r="G4" s="132" t="s">
        <v>2851</v>
      </c>
      <c r="H4" s="133"/>
    </row>
    <row r="5" spans="3:8" x14ac:dyDescent="0.25">
      <c r="C5" s="14" t="s">
        <v>2827</v>
      </c>
      <c r="D5" s="1" t="s">
        <v>356</v>
      </c>
      <c r="E5" s="1" t="s">
        <v>7</v>
      </c>
      <c r="F5" s="78">
        <v>7293.5</v>
      </c>
      <c r="G5" s="1" t="s">
        <v>2852</v>
      </c>
      <c r="H5" s="16" t="s">
        <v>2865</v>
      </c>
    </row>
    <row r="6" spans="3:8" x14ac:dyDescent="0.25">
      <c r="C6" s="14" t="s">
        <v>2827</v>
      </c>
      <c r="D6" s="1" t="s">
        <v>370</v>
      </c>
      <c r="E6" s="1" t="s">
        <v>7</v>
      </c>
      <c r="F6" s="78">
        <v>7</v>
      </c>
      <c r="G6" s="1" t="s">
        <v>2853</v>
      </c>
      <c r="H6" s="16" t="s">
        <v>2864</v>
      </c>
    </row>
    <row r="7" spans="3:8" x14ac:dyDescent="0.25">
      <c r="C7" s="14" t="s">
        <v>2827</v>
      </c>
      <c r="D7" s="1" t="s">
        <v>509</v>
      </c>
      <c r="E7" s="1" t="s">
        <v>7</v>
      </c>
      <c r="F7" s="78">
        <v>273.2</v>
      </c>
      <c r="G7" s="1" t="s">
        <v>2854</v>
      </c>
      <c r="H7" s="16" t="s">
        <v>2863</v>
      </c>
    </row>
    <row r="8" spans="3:8" x14ac:dyDescent="0.25">
      <c r="C8" s="14" t="s">
        <v>2827</v>
      </c>
      <c r="D8" s="1" t="s">
        <v>23</v>
      </c>
      <c r="E8" s="1" t="s">
        <v>7</v>
      </c>
      <c r="F8" s="1">
        <v>2319.5</v>
      </c>
      <c r="G8" s="1" t="s">
        <v>2855</v>
      </c>
      <c r="H8" s="16" t="s">
        <v>166</v>
      </c>
    </row>
    <row r="9" spans="3:8" x14ac:dyDescent="0.25">
      <c r="C9" s="33" t="s">
        <v>2827</v>
      </c>
      <c r="D9" s="4" t="s">
        <v>262</v>
      </c>
      <c r="E9" s="4" t="s">
        <v>7</v>
      </c>
      <c r="F9" s="4">
        <v>2000</v>
      </c>
      <c r="G9" s="4" t="s">
        <v>2856</v>
      </c>
      <c r="H9" s="34" t="s">
        <v>2866</v>
      </c>
    </row>
    <row r="10" spans="3:8" x14ac:dyDescent="0.25">
      <c r="C10" s="128" t="s">
        <v>2827</v>
      </c>
      <c r="D10" s="78" t="s">
        <v>2857</v>
      </c>
      <c r="E10" s="78" t="s">
        <v>7</v>
      </c>
      <c r="F10" s="78">
        <v>1320</v>
      </c>
      <c r="G10" s="78" t="s">
        <v>2858</v>
      </c>
      <c r="H10" s="129" t="s">
        <v>1388</v>
      </c>
    </row>
    <row r="11" spans="3:8" x14ac:dyDescent="0.25">
      <c r="C11" s="14" t="s">
        <v>2827</v>
      </c>
      <c r="D11" s="1" t="s">
        <v>1259</v>
      </c>
      <c r="E11" s="1" t="s">
        <v>7</v>
      </c>
      <c r="F11" s="51">
        <v>50</v>
      </c>
      <c r="G11" s="1" t="s">
        <v>2859</v>
      </c>
      <c r="H11" s="16" t="s">
        <v>689</v>
      </c>
    </row>
    <row r="12" spans="3:8" x14ac:dyDescent="0.25">
      <c r="C12" s="14" t="s">
        <v>2827</v>
      </c>
      <c r="D12" s="1" t="s">
        <v>240</v>
      </c>
      <c r="E12" s="1" t="s">
        <v>7</v>
      </c>
      <c r="F12" s="51">
        <v>15.5</v>
      </c>
      <c r="G12" s="1" t="s">
        <v>2860</v>
      </c>
      <c r="H12" s="16" t="s">
        <v>542</v>
      </c>
    </row>
    <row r="13" spans="3:8" x14ac:dyDescent="0.25">
      <c r="C13" s="29" t="s">
        <v>2827</v>
      </c>
      <c r="D13" s="28" t="s">
        <v>2625</v>
      </c>
      <c r="E13" s="28" t="s">
        <v>7</v>
      </c>
      <c r="F13" s="116">
        <v>-40</v>
      </c>
      <c r="G13" s="28" t="s">
        <v>2861</v>
      </c>
      <c r="H13" s="30" t="s">
        <v>2862</v>
      </c>
    </row>
    <row r="14" spans="3:8" x14ac:dyDescent="0.25">
      <c r="C14" s="14" t="s">
        <v>2827</v>
      </c>
      <c r="D14" s="1" t="s">
        <v>224</v>
      </c>
      <c r="E14" s="1" t="s">
        <v>7</v>
      </c>
      <c r="F14" s="1">
        <v>90</v>
      </c>
      <c r="G14" s="1" t="s">
        <v>2836</v>
      </c>
      <c r="H14" s="16" t="s">
        <v>1373</v>
      </c>
    </row>
    <row r="15" spans="3:8" x14ac:dyDescent="0.25">
      <c r="C15" s="14" t="s">
        <v>2827</v>
      </c>
      <c r="D15" s="1" t="s">
        <v>15</v>
      </c>
      <c r="E15" s="1" t="s">
        <v>7</v>
      </c>
      <c r="F15" s="51">
        <v>10</v>
      </c>
      <c r="G15" s="1" t="s">
        <v>2837</v>
      </c>
      <c r="H15" s="16" t="s">
        <v>2850</v>
      </c>
    </row>
    <row r="16" spans="3:8" x14ac:dyDescent="0.25">
      <c r="C16" s="14" t="s">
        <v>2827</v>
      </c>
      <c r="D16" s="1" t="s">
        <v>398</v>
      </c>
      <c r="E16" s="1" t="s">
        <v>7</v>
      </c>
      <c r="F16" s="51">
        <v>14</v>
      </c>
      <c r="G16" s="1" t="s">
        <v>2838</v>
      </c>
      <c r="H16" s="16" t="s">
        <v>2847</v>
      </c>
    </row>
    <row r="17" spans="3:8" x14ac:dyDescent="0.25">
      <c r="C17" s="14" t="s">
        <v>2827</v>
      </c>
      <c r="D17" s="1" t="s">
        <v>192</v>
      </c>
      <c r="E17" s="1" t="s">
        <v>7</v>
      </c>
      <c r="F17" s="1">
        <v>686</v>
      </c>
      <c r="G17" s="1" t="s">
        <v>2839</v>
      </c>
      <c r="H17" s="16" t="s">
        <v>2552</v>
      </c>
    </row>
    <row r="18" spans="3:8" x14ac:dyDescent="0.25">
      <c r="C18" s="14" t="s">
        <v>2827</v>
      </c>
      <c r="D18" s="1" t="s">
        <v>240</v>
      </c>
      <c r="E18" s="1" t="s">
        <v>7</v>
      </c>
      <c r="F18" s="51">
        <v>11</v>
      </c>
      <c r="G18" s="1" t="s">
        <v>2840</v>
      </c>
      <c r="H18" s="16" t="s">
        <v>2849</v>
      </c>
    </row>
    <row r="19" spans="3:8" x14ac:dyDescent="0.25">
      <c r="C19" s="29" t="s">
        <v>2827</v>
      </c>
      <c r="D19" s="28" t="s">
        <v>2841</v>
      </c>
      <c r="E19" s="28" t="s">
        <v>7</v>
      </c>
      <c r="F19" s="116">
        <v>-90</v>
      </c>
      <c r="G19" s="28" t="s">
        <v>2842</v>
      </c>
      <c r="H19" s="30" t="s">
        <v>2845</v>
      </c>
    </row>
    <row r="20" spans="3:8" x14ac:dyDescent="0.25">
      <c r="C20" s="29" t="s">
        <v>2827</v>
      </c>
      <c r="D20" s="28" t="s">
        <v>1945</v>
      </c>
      <c r="E20" s="28" t="s">
        <v>7</v>
      </c>
      <c r="F20" s="116">
        <v>-275.39999999999998</v>
      </c>
      <c r="G20" s="28" t="s">
        <v>2828</v>
      </c>
      <c r="H20" s="30" t="s">
        <v>2844</v>
      </c>
    </row>
    <row r="21" spans="3:8" x14ac:dyDescent="0.25">
      <c r="C21" s="14" t="s">
        <v>2827</v>
      </c>
      <c r="D21" s="1" t="s">
        <v>1304</v>
      </c>
      <c r="E21" s="1" t="s">
        <v>7</v>
      </c>
      <c r="F21" s="127">
        <v>11</v>
      </c>
      <c r="G21" s="1" t="s">
        <v>2829</v>
      </c>
      <c r="H21" s="16" t="s">
        <v>1271</v>
      </c>
    </row>
    <row r="22" spans="3:8" x14ac:dyDescent="0.25">
      <c r="C22" s="29" t="s">
        <v>2827</v>
      </c>
      <c r="D22" s="28" t="s">
        <v>105</v>
      </c>
      <c r="E22" s="28" t="s">
        <v>7</v>
      </c>
      <c r="F22" s="116">
        <v>-469.52</v>
      </c>
      <c r="G22" s="28" t="s">
        <v>2830</v>
      </c>
      <c r="H22" s="30" t="s">
        <v>2843</v>
      </c>
    </row>
    <row r="23" spans="3:8" x14ac:dyDescent="0.25">
      <c r="C23" s="14" t="s">
        <v>2827</v>
      </c>
      <c r="D23" s="1" t="s">
        <v>23</v>
      </c>
      <c r="E23" s="1" t="s">
        <v>7</v>
      </c>
      <c r="F23" s="51">
        <v>5385</v>
      </c>
      <c r="G23" s="1" t="s">
        <v>2831</v>
      </c>
      <c r="H23" s="16" t="s">
        <v>2846</v>
      </c>
    </row>
    <row r="24" spans="3:8" x14ac:dyDescent="0.25">
      <c r="C24" s="29" t="s">
        <v>2827</v>
      </c>
      <c r="D24" s="28" t="s">
        <v>105</v>
      </c>
      <c r="E24" s="28" t="s">
        <v>7</v>
      </c>
      <c r="F24" s="116">
        <v>-0.04</v>
      </c>
      <c r="G24" s="28" t="s">
        <v>2832</v>
      </c>
      <c r="H24" s="30" t="s">
        <v>2843</v>
      </c>
    </row>
    <row r="25" spans="3:8" x14ac:dyDescent="0.25">
      <c r="C25" s="29" t="s">
        <v>2827</v>
      </c>
      <c r="D25" s="28" t="s">
        <v>105</v>
      </c>
      <c r="E25" s="28" t="s">
        <v>7</v>
      </c>
      <c r="F25" s="116">
        <v>-2786.76</v>
      </c>
      <c r="G25" s="28" t="s">
        <v>2833</v>
      </c>
      <c r="H25" s="30" t="s">
        <v>2843</v>
      </c>
    </row>
    <row r="26" spans="3:8" x14ac:dyDescent="0.25">
      <c r="C26" s="14" t="s">
        <v>2827</v>
      </c>
      <c r="D26" s="1" t="s">
        <v>23</v>
      </c>
      <c r="E26" s="1" t="s">
        <v>7</v>
      </c>
      <c r="F26" s="51">
        <v>2787</v>
      </c>
      <c r="G26" s="1" t="s">
        <v>2834</v>
      </c>
      <c r="H26" s="16" t="s">
        <v>2848</v>
      </c>
    </row>
    <row r="27" spans="3:8" x14ac:dyDescent="0.25">
      <c r="C27" s="29" t="s">
        <v>2827</v>
      </c>
      <c r="D27" s="28" t="s">
        <v>105</v>
      </c>
      <c r="E27" s="28" t="s">
        <v>7</v>
      </c>
      <c r="F27" s="116">
        <v>-1004.01</v>
      </c>
      <c r="G27" s="28" t="s">
        <v>2835</v>
      </c>
      <c r="H27" s="30" t="s">
        <v>2843</v>
      </c>
    </row>
    <row r="28" spans="3:8" x14ac:dyDescent="0.25">
      <c r="C28" s="14"/>
      <c r="D28" s="1"/>
      <c r="E28" s="1"/>
      <c r="F28" s="1"/>
      <c r="G28" s="1"/>
      <c r="H28" s="16"/>
    </row>
    <row r="29" spans="3:8" ht="16.5" thickBot="1" x14ac:dyDescent="0.3">
      <c r="C29" s="25" t="s">
        <v>2827</v>
      </c>
      <c r="D29" s="18" t="s">
        <v>78</v>
      </c>
      <c r="E29" s="18" t="s">
        <v>7</v>
      </c>
      <c r="F29" s="130">
        <v>271</v>
      </c>
      <c r="G29" s="18"/>
      <c r="H29" s="27" t="s">
        <v>1990</v>
      </c>
    </row>
  </sheetData>
  <pageMargins left="0.7" right="0.7" top="0.75" bottom="0.75" header="0.3" footer="0.3"/>
  <pageSetup paperSize="256" orientation="portrait" horizontalDpi="203" verticalDpi="203" r:id="rId1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13E90B-59D1-4883-8524-32FA1264A3D2}">
  <sheetPr codeName="Hoja57"/>
  <dimension ref="C2:I36"/>
  <sheetViews>
    <sheetView topLeftCell="A4" workbookViewId="0">
      <selection activeCell="B2" sqref="B2:I37"/>
    </sheetView>
  </sheetViews>
  <sheetFormatPr baseColWidth="10" defaultRowHeight="15.75" x14ac:dyDescent="0.25"/>
  <cols>
    <col min="3" max="3" width="11" style="3"/>
    <col min="4" max="4" width="27.875" style="3" customWidth="1"/>
    <col min="5" max="6" width="11" style="3"/>
    <col min="7" max="7" width="18.75" style="3" bestFit="1" customWidth="1"/>
    <col min="8" max="8" width="28.5" style="3" bestFit="1" customWidth="1"/>
    <col min="9" max="9" width="11" style="3"/>
  </cols>
  <sheetData>
    <row r="2" spans="3:8" ht="16.5" thickBot="1" x14ac:dyDescent="0.3"/>
    <row r="3" spans="3:8" x14ac:dyDescent="0.25">
      <c r="C3" s="11" t="s">
        <v>0</v>
      </c>
      <c r="D3" s="12" t="s">
        <v>1</v>
      </c>
      <c r="E3" s="12" t="s">
        <v>2</v>
      </c>
      <c r="F3" s="12" t="s">
        <v>3</v>
      </c>
      <c r="G3" s="12" t="s">
        <v>4</v>
      </c>
      <c r="H3" s="13"/>
    </row>
    <row r="4" spans="3:8" x14ac:dyDescent="0.25">
      <c r="C4" s="1" t="s">
        <v>2867</v>
      </c>
      <c r="D4" s="1" t="s">
        <v>2923</v>
      </c>
      <c r="E4" s="1" t="s">
        <v>7</v>
      </c>
      <c r="F4" s="1">
        <v>-90</v>
      </c>
      <c r="G4" s="1" t="s">
        <v>2924</v>
      </c>
      <c r="H4" s="16" t="s">
        <v>2925</v>
      </c>
    </row>
    <row r="5" spans="3:8" x14ac:dyDescent="0.25">
      <c r="C5" s="1" t="s">
        <v>2867</v>
      </c>
      <c r="D5" s="1" t="s">
        <v>2887</v>
      </c>
      <c r="E5" s="1" t="s">
        <v>7</v>
      </c>
      <c r="F5" s="1">
        <v>-80</v>
      </c>
      <c r="G5" s="1" t="s">
        <v>2888</v>
      </c>
      <c r="H5" s="30" t="s">
        <v>2920</v>
      </c>
    </row>
    <row r="6" spans="3:8" x14ac:dyDescent="0.25">
      <c r="C6" s="1" t="s">
        <v>2867</v>
      </c>
      <c r="D6" s="1" t="s">
        <v>2887</v>
      </c>
      <c r="E6" s="1" t="s">
        <v>7</v>
      </c>
      <c r="F6" s="1">
        <v>-500</v>
      </c>
      <c r="G6" s="1" t="s">
        <v>2889</v>
      </c>
      <c r="H6" s="30" t="s">
        <v>2920</v>
      </c>
    </row>
    <row r="7" spans="3:8" x14ac:dyDescent="0.25">
      <c r="C7" s="1" t="s">
        <v>2867</v>
      </c>
      <c r="D7" s="1" t="s">
        <v>2887</v>
      </c>
      <c r="E7" s="1" t="s">
        <v>7</v>
      </c>
      <c r="F7" s="1">
        <v>-500</v>
      </c>
      <c r="G7" s="1" t="s">
        <v>2890</v>
      </c>
      <c r="H7" s="30" t="s">
        <v>2920</v>
      </c>
    </row>
    <row r="8" spans="3:8" x14ac:dyDescent="0.25">
      <c r="C8" s="14" t="s">
        <v>2867</v>
      </c>
      <c r="D8" s="1" t="s">
        <v>2401</v>
      </c>
      <c r="E8" s="1" t="s">
        <v>7</v>
      </c>
      <c r="F8" s="1">
        <v>7</v>
      </c>
      <c r="G8" s="1" t="s">
        <v>2891</v>
      </c>
      <c r="H8" s="16" t="s">
        <v>2919</v>
      </c>
    </row>
    <row r="9" spans="3:8" x14ac:dyDescent="0.25">
      <c r="C9" s="14" t="s">
        <v>2867</v>
      </c>
      <c r="D9" s="1" t="s">
        <v>13</v>
      </c>
      <c r="E9" s="1" t="s">
        <v>7</v>
      </c>
      <c r="F9" s="1">
        <v>189</v>
      </c>
      <c r="G9" s="1" t="s">
        <v>2892</v>
      </c>
      <c r="H9" s="16" t="s">
        <v>68</v>
      </c>
    </row>
    <row r="10" spans="3:8" x14ac:dyDescent="0.25">
      <c r="C10" s="14" t="s">
        <v>2867</v>
      </c>
      <c r="D10" s="1" t="s">
        <v>23</v>
      </c>
      <c r="E10" s="1" t="s">
        <v>7</v>
      </c>
      <c r="F10" s="1">
        <v>892.9</v>
      </c>
      <c r="G10" s="1" t="s">
        <v>2893</v>
      </c>
      <c r="H10" s="16" t="s">
        <v>2204</v>
      </c>
    </row>
    <row r="11" spans="3:8" x14ac:dyDescent="0.25">
      <c r="C11" s="14" t="s">
        <v>2867</v>
      </c>
      <c r="D11" s="1" t="s">
        <v>509</v>
      </c>
      <c r="E11" s="1" t="s">
        <v>7</v>
      </c>
      <c r="F11" s="1">
        <v>659.5</v>
      </c>
      <c r="G11" s="1" t="s">
        <v>2894</v>
      </c>
      <c r="H11" s="16" t="s">
        <v>1586</v>
      </c>
    </row>
    <row r="12" spans="3:8" x14ac:dyDescent="0.25">
      <c r="C12" s="14" t="s">
        <v>2867</v>
      </c>
      <c r="D12" s="1" t="s">
        <v>75</v>
      </c>
      <c r="E12" s="1" t="s">
        <v>7</v>
      </c>
      <c r="F12" s="1">
        <v>15.5</v>
      </c>
      <c r="G12" s="1" t="s">
        <v>2895</v>
      </c>
      <c r="H12" s="16" t="s">
        <v>2913</v>
      </c>
    </row>
    <row r="13" spans="3:8" x14ac:dyDescent="0.25">
      <c r="C13" s="14" t="s">
        <v>2867</v>
      </c>
      <c r="D13" s="1" t="s">
        <v>325</v>
      </c>
      <c r="E13" s="1" t="s">
        <v>7</v>
      </c>
      <c r="F13" s="1">
        <v>35</v>
      </c>
      <c r="G13" s="1" t="s">
        <v>2896</v>
      </c>
      <c r="H13" s="16" t="s">
        <v>2912</v>
      </c>
    </row>
    <row r="14" spans="3:8" x14ac:dyDescent="0.25">
      <c r="C14" s="14" t="s">
        <v>2867</v>
      </c>
      <c r="D14" s="1" t="s">
        <v>284</v>
      </c>
      <c r="E14" s="1" t="s">
        <v>7</v>
      </c>
      <c r="F14" s="1">
        <v>7</v>
      </c>
      <c r="G14" s="1" t="s">
        <v>2897</v>
      </c>
      <c r="H14" s="16" t="s">
        <v>2911</v>
      </c>
    </row>
    <row r="15" spans="3:8" x14ac:dyDescent="0.25">
      <c r="C15" s="14" t="s">
        <v>2867</v>
      </c>
      <c r="D15" s="1" t="s">
        <v>655</v>
      </c>
      <c r="E15" s="1" t="s">
        <v>7</v>
      </c>
      <c r="F15" s="1">
        <v>44</v>
      </c>
      <c r="G15" s="1" t="s">
        <v>2898</v>
      </c>
      <c r="H15" s="16" t="s">
        <v>2914</v>
      </c>
    </row>
    <row r="16" spans="3:8" x14ac:dyDescent="0.25">
      <c r="C16" s="14" t="s">
        <v>2867</v>
      </c>
      <c r="D16" s="1" t="s">
        <v>979</v>
      </c>
      <c r="E16" s="1" t="s">
        <v>7</v>
      </c>
      <c r="F16" s="1">
        <v>6.5</v>
      </c>
      <c r="G16" s="1" t="s">
        <v>2899</v>
      </c>
      <c r="H16" s="16" t="s">
        <v>2915</v>
      </c>
    </row>
    <row r="17" spans="3:8" x14ac:dyDescent="0.25">
      <c r="C17" s="14" t="s">
        <v>2867</v>
      </c>
      <c r="D17" s="1" t="s">
        <v>349</v>
      </c>
      <c r="E17" s="1" t="s">
        <v>7</v>
      </c>
      <c r="F17" s="1">
        <v>30</v>
      </c>
      <c r="G17" s="1" t="s">
        <v>2868</v>
      </c>
      <c r="H17" s="16" t="s">
        <v>2916</v>
      </c>
    </row>
    <row r="18" spans="3:8" x14ac:dyDescent="0.25">
      <c r="C18" s="14" t="s">
        <v>2867</v>
      </c>
      <c r="D18" s="1" t="s">
        <v>190</v>
      </c>
      <c r="E18" s="1" t="s">
        <v>7</v>
      </c>
      <c r="F18" s="1">
        <v>22</v>
      </c>
      <c r="G18" s="1" t="s">
        <v>2869</v>
      </c>
      <c r="H18" s="16" t="s">
        <v>2917</v>
      </c>
    </row>
    <row r="19" spans="3:8" x14ac:dyDescent="0.25">
      <c r="C19" s="14" t="s">
        <v>2867</v>
      </c>
      <c r="D19" s="1" t="s">
        <v>960</v>
      </c>
      <c r="E19" s="1" t="s">
        <v>7</v>
      </c>
      <c r="F19" s="1">
        <v>9.5</v>
      </c>
      <c r="G19" s="1" t="s">
        <v>2870</v>
      </c>
      <c r="H19" s="16" t="s">
        <v>2910</v>
      </c>
    </row>
    <row r="20" spans="3:8" x14ac:dyDescent="0.25">
      <c r="C20" s="14" t="s">
        <v>2867</v>
      </c>
      <c r="D20" s="1" t="s">
        <v>356</v>
      </c>
      <c r="E20" s="1" t="s">
        <v>7</v>
      </c>
      <c r="F20" s="1">
        <v>5039</v>
      </c>
      <c r="G20" s="1" t="s">
        <v>2871</v>
      </c>
      <c r="H20" s="16" t="s">
        <v>2865</v>
      </c>
    </row>
    <row r="21" spans="3:8" x14ac:dyDescent="0.25">
      <c r="C21" s="14" t="s">
        <v>2867</v>
      </c>
      <c r="D21" s="1" t="s">
        <v>6</v>
      </c>
      <c r="E21" s="1" t="s">
        <v>7</v>
      </c>
      <c r="F21" s="1">
        <v>31.5</v>
      </c>
      <c r="G21" s="1" t="s">
        <v>2872</v>
      </c>
      <c r="H21" s="16" t="s">
        <v>2918</v>
      </c>
    </row>
    <row r="22" spans="3:8" x14ac:dyDescent="0.25">
      <c r="C22" s="14" t="s">
        <v>2867</v>
      </c>
      <c r="D22" s="1" t="s">
        <v>23</v>
      </c>
      <c r="E22" s="1" t="s">
        <v>7</v>
      </c>
      <c r="F22" s="1">
        <v>369</v>
      </c>
      <c r="G22" s="1" t="s">
        <v>2873</v>
      </c>
      <c r="H22" s="16" t="s">
        <v>660</v>
      </c>
    </row>
    <row r="23" spans="3:8" x14ac:dyDescent="0.25">
      <c r="C23" s="14" t="s">
        <v>2867</v>
      </c>
      <c r="D23" s="1" t="s">
        <v>299</v>
      </c>
      <c r="E23" s="1" t="s">
        <v>7</v>
      </c>
      <c r="F23" s="1">
        <v>8</v>
      </c>
      <c r="G23" s="1" t="s">
        <v>2874</v>
      </c>
      <c r="H23" s="16" t="s">
        <v>2909</v>
      </c>
    </row>
    <row r="24" spans="3:8" x14ac:dyDescent="0.25">
      <c r="C24" s="14" t="s">
        <v>2867</v>
      </c>
      <c r="D24" s="1" t="s">
        <v>519</v>
      </c>
      <c r="E24" s="1" t="s">
        <v>7</v>
      </c>
      <c r="F24" s="1">
        <v>42</v>
      </c>
      <c r="G24" s="1" t="s">
        <v>2875</v>
      </c>
      <c r="H24" s="16" t="s">
        <v>2908</v>
      </c>
    </row>
    <row r="25" spans="3:8" x14ac:dyDescent="0.25">
      <c r="C25" s="14" t="s">
        <v>2867</v>
      </c>
      <c r="D25" s="1" t="s">
        <v>224</v>
      </c>
      <c r="E25" s="1" t="s">
        <v>7</v>
      </c>
      <c r="F25" s="1">
        <v>145</v>
      </c>
      <c r="G25" s="1" t="s">
        <v>2876</v>
      </c>
      <c r="H25" s="16" t="s">
        <v>2907</v>
      </c>
    </row>
    <row r="26" spans="3:8" x14ac:dyDescent="0.25">
      <c r="C26" s="14" t="s">
        <v>2867</v>
      </c>
      <c r="D26" s="1" t="s">
        <v>111</v>
      </c>
      <c r="E26" s="1" t="s">
        <v>7</v>
      </c>
      <c r="F26" s="1">
        <v>40.6</v>
      </c>
      <c r="G26" s="1" t="s">
        <v>2690</v>
      </c>
      <c r="H26" s="16" t="s">
        <v>2906</v>
      </c>
    </row>
    <row r="27" spans="3:8" x14ac:dyDescent="0.25">
      <c r="C27" s="14" t="s">
        <v>2867</v>
      </c>
      <c r="D27" s="1" t="s">
        <v>183</v>
      </c>
      <c r="E27" s="1" t="s">
        <v>7</v>
      </c>
      <c r="F27" s="1">
        <v>18</v>
      </c>
      <c r="G27" s="1" t="s">
        <v>2877</v>
      </c>
      <c r="H27" s="16" t="s">
        <v>660</v>
      </c>
    </row>
    <row r="28" spans="3:8" x14ac:dyDescent="0.25">
      <c r="C28" s="14" t="s">
        <v>2867</v>
      </c>
      <c r="D28" s="1" t="s">
        <v>979</v>
      </c>
      <c r="E28" s="1" t="s">
        <v>7</v>
      </c>
      <c r="F28" s="1">
        <v>12</v>
      </c>
      <c r="G28" s="1" t="s">
        <v>2878</v>
      </c>
      <c r="H28" s="16" t="s">
        <v>2922</v>
      </c>
    </row>
    <row r="29" spans="3:8" x14ac:dyDescent="0.25">
      <c r="C29" s="14" t="s">
        <v>2867</v>
      </c>
      <c r="D29" s="1" t="s">
        <v>1259</v>
      </c>
      <c r="E29" s="1" t="s">
        <v>7</v>
      </c>
      <c r="F29" s="1">
        <v>12.5</v>
      </c>
      <c r="G29" s="1" t="s">
        <v>2879</v>
      </c>
      <c r="H29" s="16" t="s">
        <v>2904</v>
      </c>
    </row>
    <row r="30" spans="3:8" x14ac:dyDescent="0.25">
      <c r="C30" s="14" t="s">
        <v>2867</v>
      </c>
      <c r="D30" s="1" t="s">
        <v>1259</v>
      </c>
      <c r="E30" s="1" t="s">
        <v>7</v>
      </c>
      <c r="F30" s="1">
        <v>17</v>
      </c>
      <c r="G30" s="1" t="s">
        <v>2880</v>
      </c>
      <c r="H30" s="16" t="s">
        <v>2902</v>
      </c>
    </row>
    <row r="31" spans="3:8" x14ac:dyDescent="0.25">
      <c r="C31" s="14" t="s">
        <v>2867</v>
      </c>
      <c r="D31" s="1" t="s">
        <v>1259</v>
      </c>
      <c r="E31" s="1" t="s">
        <v>7</v>
      </c>
      <c r="F31" s="1">
        <v>10.5</v>
      </c>
      <c r="G31" s="1" t="s">
        <v>2881</v>
      </c>
      <c r="H31" s="16" t="s">
        <v>2901</v>
      </c>
    </row>
    <row r="32" spans="3:8" x14ac:dyDescent="0.25">
      <c r="C32" s="14" t="s">
        <v>2867</v>
      </c>
      <c r="D32" s="1" t="s">
        <v>23</v>
      </c>
      <c r="E32" s="1" t="s">
        <v>7</v>
      </c>
      <c r="F32" s="1">
        <v>3067</v>
      </c>
      <c r="G32" s="1" t="s">
        <v>2882</v>
      </c>
      <c r="H32" s="16" t="s">
        <v>2905</v>
      </c>
    </row>
    <row r="33" spans="3:8" x14ac:dyDescent="0.25">
      <c r="C33" s="14" t="s">
        <v>2867</v>
      </c>
      <c r="D33" s="1" t="s">
        <v>23</v>
      </c>
      <c r="E33" s="1" t="s">
        <v>7</v>
      </c>
      <c r="F33" s="1">
        <v>80</v>
      </c>
      <c r="G33" s="1" t="s">
        <v>2883</v>
      </c>
      <c r="H33" s="16" t="s">
        <v>660</v>
      </c>
    </row>
    <row r="34" spans="3:8" x14ac:dyDescent="0.25">
      <c r="C34" s="14" t="s">
        <v>2867</v>
      </c>
      <c r="D34" s="1" t="s">
        <v>23</v>
      </c>
      <c r="E34" s="1" t="s">
        <v>7</v>
      </c>
      <c r="F34" s="1">
        <v>912.5</v>
      </c>
      <c r="G34" s="1" t="s">
        <v>2884</v>
      </c>
      <c r="H34" s="16" t="s">
        <v>2921</v>
      </c>
    </row>
    <row r="35" spans="3:8" x14ac:dyDescent="0.25">
      <c r="C35" s="14" t="s">
        <v>2867</v>
      </c>
      <c r="D35" s="1" t="s">
        <v>370</v>
      </c>
      <c r="E35" s="1" t="s">
        <v>7</v>
      </c>
      <c r="F35" s="1">
        <v>34.5</v>
      </c>
      <c r="G35" s="1" t="s">
        <v>2885</v>
      </c>
      <c r="H35" s="16" t="s">
        <v>2900</v>
      </c>
    </row>
    <row r="36" spans="3:8" ht="16.5" thickBot="1" x14ac:dyDescent="0.3">
      <c r="C36" s="25" t="s">
        <v>2867</v>
      </c>
      <c r="D36" s="18" t="s">
        <v>289</v>
      </c>
      <c r="E36" s="18" t="s">
        <v>7</v>
      </c>
      <c r="F36" s="18">
        <v>40</v>
      </c>
      <c r="G36" s="18" t="s">
        <v>2886</v>
      </c>
      <c r="H36" s="27" t="s">
        <v>2903</v>
      </c>
    </row>
  </sheetData>
  <phoneticPr fontId="3" type="noConversion"/>
  <pageMargins left="0.7" right="0.7" top="0.75" bottom="0.75" header="0.3" footer="0.3"/>
  <pageSetup paperSize="256" orientation="portrait" horizontalDpi="203" verticalDpi="203" r:id="rId1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842791-612C-435B-98AE-E6CF0DE7AE22}">
  <sheetPr codeName="Hoja58"/>
  <dimension ref="C3:I36"/>
  <sheetViews>
    <sheetView workbookViewId="0">
      <selection activeCell="B3" sqref="B3:J37"/>
    </sheetView>
  </sheetViews>
  <sheetFormatPr baseColWidth="10" defaultRowHeight="15.75" x14ac:dyDescent="0.25"/>
  <cols>
    <col min="3" max="3" width="11" style="3"/>
    <col min="4" max="4" width="25.625" style="3" customWidth="1"/>
    <col min="5" max="6" width="11" style="3"/>
    <col min="7" max="7" width="24.125" style="3" customWidth="1"/>
    <col min="8" max="8" width="32.875" style="3" customWidth="1"/>
    <col min="9" max="9" width="11" style="3"/>
  </cols>
  <sheetData>
    <row r="3" spans="3:9" ht="16.5" thickBot="1" x14ac:dyDescent="0.3"/>
    <row r="4" spans="3:9" x14ac:dyDescent="0.25">
      <c r="C4" s="11" t="s">
        <v>0</v>
      </c>
      <c r="D4" s="12" t="s">
        <v>1</v>
      </c>
      <c r="E4" s="12" t="s">
        <v>2</v>
      </c>
      <c r="F4" s="12" t="s">
        <v>3</v>
      </c>
      <c r="G4" s="12" t="s">
        <v>4</v>
      </c>
      <c r="H4" s="12"/>
      <c r="I4" s="13"/>
    </row>
    <row r="5" spans="3:9" x14ac:dyDescent="0.25">
      <c r="C5" s="3" t="s">
        <v>2926</v>
      </c>
      <c r="D5" s="3" t="s">
        <v>472</v>
      </c>
      <c r="E5" s="3" t="s">
        <v>7</v>
      </c>
      <c r="F5" s="3">
        <v>500</v>
      </c>
      <c r="G5" s="3" t="s">
        <v>2977</v>
      </c>
      <c r="H5" s="1" t="s">
        <v>2976</v>
      </c>
      <c r="I5" s="16"/>
    </row>
    <row r="6" spans="3:9" x14ac:dyDescent="0.25">
      <c r="C6" s="14" t="s">
        <v>2926</v>
      </c>
      <c r="D6" s="1" t="s">
        <v>665</v>
      </c>
      <c r="E6" s="1" t="s">
        <v>7</v>
      </c>
      <c r="F6" s="1">
        <v>34</v>
      </c>
      <c r="G6" s="1" t="s">
        <v>2942</v>
      </c>
      <c r="H6" s="1" t="s">
        <v>386</v>
      </c>
      <c r="I6" s="16"/>
    </row>
    <row r="7" spans="3:9" x14ac:dyDescent="0.25">
      <c r="C7" s="14" t="s">
        <v>2926</v>
      </c>
      <c r="D7" s="1" t="s">
        <v>39</v>
      </c>
      <c r="E7" s="1" t="s">
        <v>7</v>
      </c>
      <c r="F7" s="1">
        <v>122</v>
      </c>
      <c r="G7" s="1" t="s">
        <v>2943</v>
      </c>
      <c r="H7" s="1" t="s">
        <v>2970</v>
      </c>
      <c r="I7" s="16"/>
    </row>
    <row r="8" spans="3:9" x14ac:dyDescent="0.25">
      <c r="C8" s="14" t="s">
        <v>2926</v>
      </c>
      <c r="D8" s="1" t="s">
        <v>15</v>
      </c>
      <c r="E8" s="1" t="s">
        <v>7</v>
      </c>
      <c r="F8" s="1">
        <v>276</v>
      </c>
      <c r="G8" s="1" t="s">
        <v>2944</v>
      </c>
      <c r="H8" s="1" t="s">
        <v>2969</v>
      </c>
      <c r="I8" s="16"/>
    </row>
    <row r="9" spans="3:9" x14ac:dyDescent="0.25">
      <c r="C9" s="14" t="s">
        <v>2926</v>
      </c>
      <c r="D9" s="1" t="s">
        <v>15</v>
      </c>
      <c r="E9" s="1" t="s">
        <v>7</v>
      </c>
      <c r="F9" s="1">
        <v>500</v>
      </c>
      <c r="G9" s="1" t="s">
        <v>2945</v>
      </c>
      <c r="H9" s="1" t="s">
        <v>2969</v>
      </c>
      <c r="I9" s="16"/>
    </row>
    <row r="10" spans="3:9" x14ac:dyDescent="0.25">
      <c r="C10" s="14" t="s">
        <v>2926</v>
      </c>
      <c r="D10" s="1" t="s">
        <v>15</v>
      </c>
      <c r="E10" s="1" t="s">
        <v>7</v>
      </c>
      <c r="F10" s="1">
        <v>500</v>
      </c>
      <c r="G10" s="1" t="s">
        <v>2946</v>
      </c>
      <c r="H10" s="1" t="s">
        <v>2969</v>
      </c>
      <c r="I10" s="16"/>
    </row>
    <row r="11" spans="3:9" x14ac:dyDescent="0.25">
      <c r="C11" s="14" t="s">
        <v>2926</v>
      </c>
      <c r="D11" s="1" t="s">
        <v>23</v>
      </c>
      <c r="E11" s="1" t="s">
        <v>7</v>
      </c>
      <c r="F11" s="1">
        <v>262</v>
      </c>
      <c r="G11" s="1" t="s">
        <v>2947</v>
      </c>
      <c r="H11" s="1" t="s">
        <v>590</v>
      </c>
      <c r="I11" s="16"/>
    </row>
    <row r="12" spans="3:9" x14ac:dyDescent="0.25">
      <c r="C12" s="29" t="s">
        <v>2926</v>
      </c>
      <c r="D12" s="28" t="s">
        <v>472</v>
      </c>
      <c r="E12" s="28" t="s">
        <v>7</v>
      </c>
      <c r="F12" s="28">
        <v>-790</v>
      </c>
      <c r="G12" s="28" t="s">
        <v>2948</v>
      </c>
      <c r="H12" s="28" t="s">
        <v>2968</v>
      </c>
      <c r="I12" s="16"/>
    </row>
    <row r="13" spans="3:9" x14ac:dyDescent="0.25">
      <c r="C13" s="14" t="s">
        <v>2926</v>
      </c>
      <c r="D13" s="1" t="s">
        <v>472</v>
      </c>
      <c r="E13" s="1" t="s">
        <v>7</v>
      </c>
      <c r="F13" s="1">
        <v>9600</v>
      </c>
      <c r="G13" s="1" t="s">
        <v>2949</v>
      </c>
      <c r="H13" s="1" t="s">
        <v>2976</v>
      </c>
      <c r="I13" s="16"/>
    </row>
    <row r="14" spans="3:9" x14ac:dyDescent="0.25">
      <c r="C14" s="29" t="s">
        <v>2926</v>
      </c>
      <c r="D14" s="28" t="s">
        <v>2950</v>
      </c>
      <c r="E14" s="28" t="s">
        <v>7</v>
      </c>
      <c r="F14" s="28">
        <v>-260</v>
      </c>
      <c r="G14" s="28" t="s">
        <v>2951</v>
      </c>
      <c r="H14" s="28" t="s">
        <v>2967</v>
      </c>
      <c r="I14" s="16"/>
    </row>
    <row r="15" spans="3:9" x14ac:dyDescent="0.25">
      <c r="C15" s="29" t="s">
        <v>2926</v>
      </c>
      <c r="D15" s="28" t="s">
        <v>2950</v>
      </c>
      <c r="E15" s="28" t="s">
        <v>7</v>
      </c>
      <c r="F15" s="28">
        <v>-500</v>
      </c>
      <c r="G15" s="28" t="s">
        <v>2952</v>
      </c>
      <c r="H15" s="28" t="s">
        <v>2967</v>
      </c>
      <c r="I15" s="16"/>
    </row>
    <row r="16" spans="3:9" x14ac:dyDescent="0.25">
      <c r="C16" s="14" t="s">
        <v>2926</v>
      </c>
      <c r="D16" s="1" t="s">
        <v>2953</v>
      </c>
      <c r="E16" s="1" t="s">
        <v>7</v>
      </c>
      <c r="F16" s="1">
        <v>75</v>
      </c>
      <c r="G16" s="1" t="s">
        <v>2954</v>
      </c>
      <c r="H16" s="1" t="s">
        <v>2966</v>
      </c>
      <c r="I16" s="16"/>
    </row>
    <row r="17" spans="3:9" x14ac:dyDescent="0.25">
      <c r="C17" s="14" t="s">
        <v>2926</v>
      </c>
      <c r="D17" s="1" t="s">
        <v>95</v>
      </c>
      <c r="E17" s="1" t="s">
        <v>7</v>
      </c>
      <c r="F17" s="1">
        <v>3</v>
      </c>
      <c r="G17" s="1" t="s">
        <v>2955</v>
      </c>
      <c r="H17" s="1" t="s">
        <v>2965</v>
      </c>
      <c r="I17" s="16"/>
    </row>
    <row r="18" spans="3:9" x14ac:dyDescent="0.25">
      <c r="C18" s="14" t="s">
        <v>2926</v>
      </c>
      <c r="D18" s="1" t="s">
        <v>23</v>
      </c>
      <c r="E18" s="1" t="s">
        <v>7</v>
      </c>
      <c r="F18" s="1">
        <v>1390</v>
      </c>
      <c r="G18" s="1" t="s">
        <v>2956</v>
      </c>
      <c r="H18" s="1" t="s">
        <v>142</v>
      </c>
      <c r="I18" s="16"/>
    </row>
    <row r="19" spans="3:9" x14ac:dyDescent="0.25">
      <c r="C19" s="29" t="s">
        <v>2926</v>
      </c>
      <c r="D19" s="28" t="s">
        <v>2957</v>
      </c>
      <c r="E19" s="28" t="s">
        <v>7</v>
      </c>
      <c r="F19" s="28">
        <v>-235</v>
      </c>
      <c r="G19" s="28" t="s">
        <v>2958</v>
      </c>
      <c r="H19" s="28" t="s">
        <v>2964</v>
      </c>
      <c r="I19" s="16"/>
    </row>
    <row r="20" spans="3:9" x14ac:dyDescent="0.25">
      <c r="C20" s="14" t="s">
        <v>2926</v>
      </c>
      <c r="D20" s="1" t="s">
        <v>1259</v>
      </c>
      <c r="E20" s="1" t="s">
        <v>7</v>
      </c>
      <c r="F20" s="1">
        <v>12.5</v>
      </c>
      <c r="G20" s="1" t="s">
        <v>2959</v>
      </c>
      <c r="H20" s="1" t="s">
        <v>2963</v>
      </c>
      <c r="I20" s="16"/>
    </row>
    <row r="21" spans="3:9" x14ac:dyDescent="0.25">
      <c r="C21" s="14" t="s">
        <v>2926</v>
      </c>
      <c r="D21" s="1" t="s">
        <v>262</v>
      </c>
      <c r="E21" s="1" t="s">
        <v>7</v>
      </c>
      <c r="F21" s="1">
        <v>63.6</v>
      </c>
      <c r="G21" s="1" t="s">
        <v>2927</v>
      </c>
      <c r="H21" s="1" t="s">
        <v>2974</v>
      </c>
      <c r="I21" s="16"/>
    </row>
    <row r="22" spans="3:9" x14ac:dyDescent="0.25">
      <c r="C22" s="14" t="s">
        <v>2926</v>
      </c>
      <c r="D22" s="1" t="s">
        <v>2928</v>
      </c>
      <c r="E22" s="1" t="s">
        <v>7</v>
      </c>
      <c r="F22" s="1">
        <v>129</v>
      </c>
      <c r="G22" s="1" t="s">
        <v>2929</v>
      </c>
      <c r="H22" s="1" t="s">
        <v>561</v>
      </c>
      <c r="I22" s="16"/>
    </row>
    <row r="23" spans="3:9" x14ac:dyDescent="0.25">
      <c r="C23" s="14" t="s">
        <v>2926</v>
      </c>
      <c r="D23" s="1" t="s">
        <v>6</v>
      </c>
      <c r="E23" s="1" t="s">
        <v>7</v>
      </c>
      <c r="F23" s="1">
        <v>176</v>
      </c>
      <c r="G23" s="1" t="s">
        <v>2930</v>
      </c>
      <c r="H23" s="1" t="s">
        <v>52</v>
      </c>
      <c r="I23" s="16"/>
    </row>
    <row r="24" spans="3:9" x14ac:dyDescent="0.25">
      <c r="C24" s="14" t="s">
        <v>2926</v>
      </c>
      <c r="D24" s="1" t="s">
        <v>509</v>
      </c>
      <c r="E24" s="1" t="s">
        <v>7</v>
      </c>
      <c r="F24" s="1">
        <v>4.5</v>
      </c>
      <c r="G24" s="1" t="s">
        <v>2931</v>
      </c>
      <c r="H24" s="1" t="s">
        <v>2962</v>
      </c>
      <c r="I24" s="16"/>
    </row>
    <row r="25" spans="3:9" x14ac:dyDescent="0.25">
      <c r="C25" s="14" t="s">
        <v>2926</v>
      </c>
      <c r="D25" s="1" t="s">
        <v>164</v>
      </c>
      <c r="E25" s="1" t="s">
        <v>7</v>
      </c>
      <c r="F25" s="1">
        <v>69</v>
      </c>
      <c r="G25" s="1" t="s">
        <v>2932</v>
      </c>
      <c r="H25" s="1" t="s">
        <v>2973</v>
      </c>
      <c r="I25" s="16"/>
    </row>
    <row r="26" spans="3:9" x14ac:dyDescent="0.25">
      <c r="C26" s="14" t="s">
        <v>2926</v>
      </c>
      <c r="D26" s="1" t="s">
        <v>2933</v>
      </c>
      <c r="E26" s="1" t="s">
        <v>7</v>
      </c>
      <c r="F26" s="1">
        <v>349</v>
      </c>
      <c r="G26" s="1" t="s">
        <v>2934</v>
      </c>
      <c r="H26" s="1" t="s">
        <v>1919</v>
      </c>
      <c r="I26" s="16"/>
    </row>
    <row r="27" spans="3:9" x14ac:dyDescent="0.25">
      <c r="C27" s="14" t="s">
        <v>2926</v>
      </c>
      <c r="D27" s="1" t="s">
        <v>23</v>
      </c>
      <c r="E27" s="1" t="s">
        <v>7</v>
      </c>
      <c r="F27" s="1">
        <v>140</v>
      </c>
      <c r="G27" s="1" t="s">
        <v>2935</v>
      </c>
      <c r="H27" s="1" t="s">
        <v>660</v>
      </c>
      <c r="I27" s="16"/>
    </row>
    <row r="28" spans="3:9" x14ac:dyDescent="0.25">
      <c r="C28" s="14" t="s">
        <v>2926</v>
      </c>
      <c r="D28" s="1" t="s">
        <v>1342</v>
      </c>
      <c r="E28" s="1" t="s">
        <v>7</v>
      </c>
      <c r="F28" s="1">
        <v>420</v>
      </c>
      <c r="G28" s="1" t="s">
        <v>2936</v>
      </c>
      <c r="H28" s="1" t="s">
        <v>1373</v>
      </c>
      <c r="I28" s="16"/>
    </row>
    <row r="29" spans="3:9" x14ac:dyDescent="0.25">
      <c r="C29" s="29" t="s">
        <v>2926</v>
      </c>
      <c r="D29" s="28" t="s">
        <v>172</v>
      </c>
      <c r="E29" s="28" t="s">
        <v>7</v>
      </c>
      <c r="F29" s="28">
        <v>-29500</v>
      </c>
      <c r="G29" s="28" t="s">
        <v>2937</v>
      </c>
      <c r="H29" s="28" t="s">
        <v>2975</v>
      </c>
      <c r="I29" s="16"/>
    </row>
    <row r="30" spans="3:9" x14ac:dyDescent="0.25">
      <c r="C30" s="14" t="s">
        <v>2926</v>
      </c>
      <c r="D30" s="1" t="s">
        <v>262</v>
      </c>
      <c r="E30" s="1" t="s">
        <v>7</v>
      </c>
      <c r="F30" s="1">
        <v>65</v>
      </c>
      <c r="G30" s="1" t="s">
        <v>2938</v>
      </c>
      <c r="H30" s="1" t="s">
        <v>2971</v>
      </c>
      <c r="I30" s="16"/>
    </row>
    <row r="31" spans="3:9" x14ac:dyDescent="0.25">
      <c r="C31" s="14" t="s">
        <v>2926</v>
      </c>
      <c r="D31" s="1" t="s">
        <v>2780</v>
      </c>
      <c r="E31" s="1" t="s">
        <v>7</v>
      </c>
      <c r="F31" s="1">
        <v>100</v>
      </c>
      <c r="G31" s="1" t="s">
        <v>2939</v>
      </c>
      <c r="H31" s="1" t="s">
        <v>2961</v>
      </c>
      <c r="I31" s="16"/>
    </row>
    <row r="32" spans="3:9" x14ac:dyDescent="0.25">
      <c r="C32" s="14" t="s">
        <v>2926</v>
      </c>
      <c r="D32" s="1" t="s">
        <v>2064</v>
      </c>
      <c r="E32" s="1" t="s">
        <v>7</v>
      </c>
      <c r="F32" s="1">
        <v>21.5</v>
      </c>
      <c r="G32" s="1" t="s">
        <v>2940</v>
      </c>
      <c r="H32" s="1" t="s">
        <v>2960</v>
      </c>
      <c r="I32" s="16"/>
    </row>
    <row r="33" spans="3:9" x14ac:dyDescent="0.25">
      <c r="C33" s="14" t="s">
        <v>2926</v>
      </c>
      <c r="D33" s="1" t="s">
        <v>183</v>
      </c>
      <c r="E33" s="1" t="s">
        <v>7</v>
      </c>
      <c r="F33" s="1">
        <v>60</v>
      </c>
      <c r="G33" s="1" t="s">
        <v>2941</v>
      </c>
      <c r="H33" s="1" t="s">
        <v>660</v>
      </c>
      <c r="I33" s="16"/>
    </row>
    <row r="34" spans="3:9" x14ac:dyDescent="0.25">
      <c r="C34" s="14"/>
      <c r="D34" s="1"/>
      <c r="E34" s="1"/>
      <c r="F34" s="1"/>
      <c r="G34" s="1"/>
      <c r="H34" s="1"/>
      <c r="I34" s="16"/>
    </row>
    <row r="35" spans="3:9" x14ac:dyDescent="0.25">
      <c r="C35" s="14" t="s">
        <v>2926</v>
      </c>
      <c r="D35" s="1" t="s">
        <v>2972</v>
      </c>
      <c r="E35" s="1" t="s">
        <v>7</v>
      </c>
      <c r="F35" s="1">
        <v>20</v>
      </c>
      <c r="G35" s="1"/>
      <c r="H35" s="1" t="s">
        <v>1990</v>
      </c>
      <c r="I35" s="16"/>
    </row>
    <row r="36" spans="3:9" ht="16.5" thickBot="1" x14ac:dyDescent="0.3">
      <c r="C36" s="25" t="s">
        <v>2926</v>
      </c>
      <c r="D36" s="18" t="s">
        <v>2972</v>
      </c>
      <c r="E36" s="18" t="s">
        <v>7</v>
      </c>
      <c r="F36" s="18">
        <v>50.5</v>
      </c>
      <c r="G36" s="18"/>
      <c r="H36" s="18" t="s">
        <v>1990</v>
      </c>
      <c r="I36" s="27"/>
    </row>
  </sheetData>
  <pageMargins left="0.7" right="0.7" top="0.75" bottom="0.75" header="0.3" footer="0.3"/>
  <pageSetup paperSize="256" orientation="portrait" horizontalDpi="203" verticalDpi="203" r:id="rId1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CF2E1F-7433-42B3-8E43-DCEF16A5B905}">
  <sheetPr codeName="Hoja59"/>
  <dimension ref="D4:J15"/>
  <sheetViews>
    <sheetView workbookViewId="0">
      <selection activeCell="I8" sqref="I8"/>
    </sheetView>
  </sheetViews>
  <sheetFormatPr baseColWidth="10" defaultRowHeight="15.75" x14ac:dyDescent="0.25"/>
  <cols>
    <col min="4" max="4" width="11" style="3"/>
    <col min="5" max="5" width="22.375" style="3" bestFit="1" customWidth="1"/>
    <col min="6" max="7" width="11" style="3"/>
    <col min="8" max="8" width="29" style="3" customWidth="1"/>
    <col min="9" max="9" width="22.75" style="3" customWidth="1"/>
    <col min="10" max="10" width="11" style="3"/>
  </cols>
  <sheetData>
    <row r="4" spans="4:9" x14ac:dyDescent="0.25">
      <c r="D4" s="1" t="s">
        <v>0</v>
      </c>
      <c r="E4" s="1" t="s">
        <v>1</v>
      </c>
      <c r="F4" s="1" t="s">
        <v>2</v>
      </c>
      <c r="G4" s="1" t="s">
        <v>3</v>
      </c>
      <c r="H4" s="1" t="s">
        <v>4</v>
      </c>
      <c r="I4" s="1"/>
    </row>
    <row r="5" spans="4:9" x14ac:dyDescent="0.25">
      <c r="D5" s="1"/>
      <c r="E5" s="1"/>
      <c r="F5" s="1"/>
      <c r="G5" s="1"/>
      <c r="H5" s="1"/>
      <c r="I5" s="1"/>
    </row>
    <row r="6" spans="4:9" x14ac:dyDescent="0.25">
      <c r="D6" s="1" t="s">
        <v>2978</v>
      </c>
      <c r="E6" s="1" t="s">
        <v>2245</v>
      </c>
      <c r="F6" s="1" t="s">
        <v>7</v>
      </c>
      <c r="G6" s="1">
        <v>217</v>
      </c>
      <c r="H6" s="1" t="s">
        <v>2996</v>
      </c>
      <c r="I6" s="1" t="s">
        <v>2280</v>
      </c>
    </row>
    <row r="7" spans="4:9" x14ac:dyDescent="0.25">
      <c r="D7" s="1" t="s">
        <v>2978</v>
      </c>
      <c r="E7" s="1" t="s">
        <v>2245</v>
      </c>
      <c r="F7" s="1" t="s">
        <v>7</v>
      </c>
      <c r="G7" s="1">
        <v>500</v>
      </c>
      <c r="H7" s="1" t="s">
        <v>2997</v>
      </c>
      <c r="I7" s="1" t="s">
        <v>2280</v>
      </c>
    </row>
    <row r="8" spans="4:9" x14ac:dyDescent="0.25">
      <c r="D8" s="1" t="s">
        <v>2978</v>
      </c>
      <c r="E8" s="1" t="s">
        <v>23</v>
      </c>
      <c r="F8" s="1" t="s">
        <v>7</v>
      </c>
      <c r="G8" s="1">
        <v>780</v>
      </c>
      <c r="H8" s="1" t="s">
        <v>2998</v>
      </c>
      <c r="I8" s="1" t="s">
        <v>590</v>
      </c>
    </row>
    <row r="9" spans="4:9" x14ac:dyDescent="0.25">
      <c r="D9" s="1" t="s">
        <v>2978</v>
      </c>
      <c r="E9" s="1" t="s">
        <v>2625</v>
      </c>
      <c r="F9" s="1" t="s">
        <v>7</v>
      </c>
      <c r="G9" s="1">
        <v>-40</v>
      </c>
      <c r="H9" s="1" t="s">
        <v>2999</v>
      </c>
      <c r="I9" s="1" t="s">
        <v>839</v>
      </c>
    </row>
    <row r="10" spans="4:9" x14ac:dyDescent="0.25">
      <c r="D10" s="1" t="s">
        <v>2978</v>
      </c>
      <c r="E10" s="1" t="s">
        <v>2979</v>
      </c>
      <c r="F10" s="1" t="s">
        <v>7</v>
      </c>
      <c r="G10" s="1">
        <v>65</v>
      </c>
      <c r="H10" s="1" t="s">
        <v>2980</v>
      </c>
      <c r="I10" s="1" t="s">
        <v>2993</v>
      </c>
    </row>
    <row r="11" spans="4:9" x14ac:dyDescent="0.25">
      <c r="D11" s="1" t="s">
        <v>2978</v>
      </c>
      <c r="E11" s="1" t="s">
        <v>2981</v>
      </c>
      <c r="F11" s="1" t="s">
        <v>7</v>
      </c>
      <c r="G11" s="1">
        <v>57</v>
      </c>
      <c r="H11" s="1" t="s">
        <v>2982</v>
      </c>
      <c r="I11" s="1" t="s">
        <v>2992</v>
      </c>
    </row>
    <row r="12" spans="4:9" x14ac:dyDescent="0.25">
      <c r="D12" s="1" t="s">
        <v>2978</v>
      </c>
      <c r="E12" s="1" t="s">
        <v>2983</v>
      </c>
      <c r="F12" s="1" t="s">
        <v>7</v>
      </c>
      <c r="G12" s="1">
        <v>1</v>
      </c>
      <c r="H12" s="1" t="s">
        <v>2984</v>
      </c>
      <c r="I12" s="1" t="s">
        <v>2991</v>
      </c>
    </row>
    <row r="13" spans="4:9" x14ac:dyDescent="0.25">
      <c r="D13" s="1" t="s">
        <v>2978</v>
      </c>
      <c r="E13" s="1" t="s">
        <v>2985</v>
      </c>
      <c r="F13" s="1" t="s">
        <v>7</v>
      </c>
      <c r="G13" s="1">
        <v>315</v>
      </c>
      <c r="H13" s="1" t="s">
        <v>2986</v>
      </c>
      <c r="I13" s="1" t="s">
        <v>2990</v>
      </c>
    </row>
    <row r="14" spans="4:9" x14ac:dyDescent="0.25">
      <c r="D14" s="1" t="s">
        <v>2978</v>
      </c>
      <c r="E14" s="1" t="s">
        <v>2987</v>
      </c>
      <c r="F14" s="1" t="s">
        <v>7</v>
      </c>
      <c r="G14" s="1">
        <v>16</v>
      </c>
      <c r="H14" s="1" t="s">
        <v>2988</v>
      </c>
      <c r="I14" s="1" t="s">
        <v>2995</v>
      </c>
    </row>
    <row r="15" spans="4:9" x14ac:dyDescent="0.25">
      <c r="D15" s="1" t="s">
        <v>2978</v>
      </c>
      <c r="E15" s="1" t="s">
        <v>23</v>
      </c>
      <c r="F15" s="1" t="s">
        <v>7</v>
      </c>
      <c r="G15" s="1">
        <v>3135</v>
      </c>
      <c r="H15" s="1" t="s">
        <v>2989</v>
      </c>
      <c r="I15" s="1" t="s">
        <v>2994</v>
      </c>
    </row>
  </sheetData>
  <pageMargins left="0.7" right="0.7" top="0.75" bottom="0.75" header="0.3" footer="0.3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0FB1B8-9DE2-4BA7-B680-F3AC0AC558BA}">
  <sheetPr codeName="Hoja60"/>
  <dimension ref="D4:I28"/>
  <sheetViews>
    <sheetView workbookViewId="0">
      <selection activeCell="H17" sqref="H17"/>
    </sheetView>
  </sheetViews>
  <sheetFormatPr baseColWidth="10" defaultRowHeight="15.75" x14ac:dyDescent="0.25"/>
  <cols>
    <col min="4" max="4" width="11" style="3"/>
    <col min="5" max="5" width="27.5" style="3" customWidth="1"/>
    <col min="6" max="7" width="11" style="3"/>
    <col min="8" max="8" width="22.875" style="3" customWidth="1"/>
    <col min="9" max="9" width="34.5" style="3" customWidth="1"/>
  </cols>
  <sheetData>
    <row r="4" spans="4:9" ht="16.5" thickBot="1" x14ac:dyDescent="0.3"/>
    <row r="5" spans="4:9" x14ac:dyDescent="0.25">
      <c r="D5" s="11" t="s">
        <v>0</v>
      </c>
      <c r="E5" s="12" t="s">
        <v>1</v>
      </c>
      <c r="F5" s="12" t="s">
        <v>2</v>
      </c>
      <c r="G5" s="12" t="s">
        <v>3</v>
      </c>
      <c r="H5" s="12" t="s">
        <v>4</v>
      </c>
      <c r="I5" s="13"/>
    </row>
    <row r="6" spans="4:9" x14ac:dyDescent="0.25">
      <c r="D6" s="14"/>
      <c r="E6" s="1"/>
      <c r="F6" s="1"/>
      <c r="G6" s="1"/>
      <c r="H6" s="1"/>
      <c r="I6" s="16"/>
    </row>
    <row r="7" spans="4:9" x14ac:dyDescent="0.25">
      <c r="D7" s="14"/>
      <c r="E7" s="1"/>
      <c r="F7" s="1"/>
      <c r="G7" s="1"/>
      <c r="H7" s="1"/>
      <c r="I7" s="16"/>
    </row>
    <row r="8" spans="4:9" x14ac:dyDescent="0.25">
      <c r="D8" s="14"/>
      <c r="E8" s="1"/>
      <c r="F8" s="1"/>
      <c r="G8" s="1"/>
      <c r="H8" s="1"/>
      <c r="I8" s="16"/>
    </row>
    <row r="9" spans="4:9" x14ac:dyDescent="0.25">
      <c r="D9" s="3" t="s">
        <v>3000</v>
      </c>
      <c r="E9" s="3" t="s">
        <v>75</v>
      </c>
      <c r="F9" s="3" t="s">
        <v>7</v>
      </c>
      <c r="G9" s="3">
        <v>10</v>
      </c>
      <c r="H9" s="3" t="s">
        <v>3049</v>
      </c>
      <c r="I9" s="16"/>
    </row>
    <row r="10" spans="4:9" x14ac:dyDescent="0.25">
      <c r="D10" s="14" t="s">
        <v>3000</v>
      </c>
      <c r="E10" s="1" t="s">
        <v>23</v>
      </c>
      <c r="F10" s="1" t="s">
        <v>7</v>
      </c>
      <c r="G10" s="1">
        <v>870</v>
      </c>
      <c r="H10" s="1" t="s">
        <v>3012</v>
      </c>
      <c r="I10" s="16" t="s">
        <v>68</v>
      </c>
    </row>
    <row r="11" spans="4:9" x14ac:dyDescent="0.25">
      <c r="D11" s="14" t="s">
        <v>3000</v>
      </c>
      <c r="E11" s="1" t="s">
        <v>3013</v>
      </c>
      <c r="F11" s="1" t="s">
        <v>7</v>
      </c>
      <c r="G11" s="1">
        <v>2.5</v>
      </c>
      <c r="H11" s="1" t="s">
        <v>3014</v>
      </c>
      <c r="I11" s="16" t="s">
        <v>3044</v>
      </c>
    </row>
    <row r="12" spans="4:9" x14ac:dyDescent="0.25">
      <c r="D12" s="14" t="s">
        <v>3000</v>
      </c>
      <c r="E12" s="1" t="s">
        <v>3015</v>
      </c>
      <c r="F12" s="1" t="s">
        <v>7</v>
      </c>
      <c r="G12" s="1">
        <v>8</v>
      </c>
      <c r="H12" s="1" t="s">
        <v>3016</v>
      </c>
      <c r="I12" s="16" t="s">
        <v>3033</v>
      </c>
    </row>
    <row r="13" spans="4:9" x14ac:dyDescent="0.25">
      <c r="D13" s="14" t="s">
        <v>3000</v>
      </c>
      <c r="E13" s="1" t="s">
        <v>23</v>
      </c>
      <c r="F13" s="1" t="s">
        <v>7</v>
      </c>
      <c r="G13" s="1">
        <v>3560.3</v>
      </c>
      <c r="H13" s="1" t="s">
        <v>3017</v>
      </c>
      <c r="I13" s="16" t="s">
        <v>3045</v>
      </c>
    </row>
    <row r="14" spans="4:9" x14ac:dyDescent="0.25">
      <c r="D14" s="14" t="s">
        <v>3000</v>
      </c>
      <c r="E14" s="1" t="s">
        <v>3001</v>
      </c>
      <c r="F14" s="1" t="s">
        <v>7</v>
      </c>
      <c r="G14" s="1">
        <v>4</v>
      </c>
      <c r="H14" s="1" t="s">
        <v>3018</v>
      </c>
      <c r="I14" s="16" t="s">
        <v>3043</v>
      </c>
    </row>
    <row r="15" spans="4:9" x14ac:dyDescent="0.25">
      <c r="D15" s="14" t="s">
        <v>3000</v>
      </c>
      <c r="E15" s="1" t="s">
        <v>2979</v>
      </c>
      <c r="F15" s="1" t="s">
        <v>7</v>
      </c>
      <c r="G15" s="1">
        <v>7.5</v>
      </c>
      <c r="H15" s="1" t="s">
        <v>3019</v>
      </c>
      <c r="I15" s="16" t="s">
        <v>3042</v>
      </c>
    </row>
    <row r="16" spans="4:9" x14ac:dyDescent="0.25">
      <c r="D16" s="14" t="s">
        <v>3000</v>
      </c>
      <c r="E16" s="1" t="s">
        <v>23</v>
      </c>
      <c r="F16" s="1" t="s">
        <v>7</v>
      </c>
      <c r="G16" s="1">
        <v>318</v>
      </c>
      <c r="H16" s="1" t="s">
        <v>3020</v>
      </c>
      <c r="I16" s="16" t="s">
        <v>3041</v>
      </c>
    </row>
    <row r="17" spans="4:9" x14ac:dyDescent="0.25">
      <c r="D17" s="14" t="s">
        <v>3000</v>
      </c>
      <c r="E17" s="1" t="s">
        <v>3021</v>
      </c>
      <c r="F17" s="1" t="s">
        <v>7</v>
      </c>
      <c r="G17" s="1">
        <v>7</v>
      </c>
      <c r="H17" s="1" t="s">
        <v>3022</v>
      </c>
      <c r="I17" s="16" t="s">
        <v>3039</v>
      </c>
    </row>
    <row r="18" spans="4:9" x14ac:dyDescent="0.25">
      <c r="D18" s="14" t="s">
        <v>3000</v>
      </c>
      <c r="E18" s="1" t="s">
        <v>3023</v>
      </c>
      <c r="F18" s="1" t="s">
        <v>7</v>
      </c>
      <c r="G18" s="1">
        <v>5</v>
      </c>
      <c r="H18" s="1" t="s">
        <v>3024</v>
      </c>
      <c r="I18" s="16" t="s">
        <v>3040</v>
      </c>
    </row>
    <row r="19" spans="4:9" x14ac:dyDescent="0.25">
      <c r="D19" s="29" t="s">
        <v>3000</v>
      </c>
      <c r="E19" s="28" t="s">
        <v>472</v>
      </c>
      <c r="F19" s="28" t="s">
        <v>7</v>
      </c>
      <c r="G19" s="28">
        <v>-18000</v>
      </c>
      <c r="H19" s="28" t="s">
        <v>3025</v>
      </c>
      <c r="I19" s="30" t="s">
        <v>3038</v>
      </c>
    </row>
    <row r="20" spans="4:9" x14ac:dyDescent="0.25">
      <c r="D20" s="14" t="s">
        <v>3000</v>
      </c>
      <c r="E20" s="1" t="s">
        <v>3026</v>
      </c>
      <c r="F20" s="1" t="s">
        <v>7</v>
      </c>
      <c r="G20" s="1">
        <v>39.5</v>
      </c>
      <c r="H20" s="1" t="s">
        <v>3027</v>
      </c>
      <c r="I20" s="16" t="s">
        <v>3037</v>
      </c>
    </row>
    <row r="21" spans="4:9" x14ac:dyDescent="0.25">
      <c r="D21" s="14" t="s">
        <v>3000</v>
      </c>
      <c r="E21" s="1" t="s">
        <v>3028</v>
      </c>
      <c r="F21" s="1" t="s">
        <v>7</v>
      </c>
      <c r="G21" s="1">
        <v>22</v>
      </c>
      <c r="H21" s="1" t="s">
        <v>3029</v>
      </c>
      <c r="I21" s="16" t="s">
        <v>3047</v>
      </c>
    </row>
    <row r="22" spans="4:9" x14ac:dyDescent="0.25">
      <c r="D22" s="14" t="s">
        <v>3000</v>
      </c>
      <c r="E22" s="1" t="s">
        <v>3030</v>
      </c>
      <c r="F22" s="1" t="s">
        <v>7</v>
      </c>
      <c r="G22" s="1">
        <v>9</v>
      </c>
      <c r="H22" s="1" t="s">
        <v>3031</v>
      </c>
      <c r="I22" s="16" t="s">
        <v>3046</v>
      </c>
    </row>
    <row r="23" spans="4:9" x14ac:dyDescent="0.25">
      <c r="D23" s="14" t="s">
        <v>3000</v>
      </c>
      <c r="E23" s="1" t="s">
        <v>3001</v>
      </c>
      <c r="F23" s="1" t="s">
        <v>7</v>
      </c>
      <c r="G23" s="1">
        <v>10</v>
      </c>
      <c r="H23" s="1" t="s">
        <v>3002</v>
      </c>
      <c r="I23" s="16" t="s">
        <v>3036</v>
      </c>
    </row>
    <row r="24" spans="4:9" x14ac:dyDescent="0.25">
      <c r="D24" s="14" t="s">
        <v>3000</v>
      </c>
      <c r="E24" s="1" t="s">
        <v>3003</v>
      </c>
      <c r="F24" s="1" t="s">
        <v>7</v>
      </c>
      <c r="G24" s="1">
        <v>1.5</v>
      </c>
      <c r="H24" s="1" t="s">
        <v>3004</v>
      </c>
      <c r="I24" s="16" t="s">
        <v>3035</v>
      </c>
    </row>
    <row r="25" spans="4:9" x14ac:dyDescent="0.25">
      <c r="D25" s="29" t="s">
        <v>3000</v>
      </c>
      <c r="E25" s="28" t="s">
        <v>3005</v>
      </c>
      <c r="F25" s="28" t="s">
        <v>7</v>
      </c>
      <c r="G25" s="28">
        <v>-434.5</v>
      </c>
      <c r="H25" s="28" t="s">
        <v>3006</v>
      </c>
      <c r="I25" s="30" t="s">
        <v>3034</v>
      </c>
    </row>
    <row r="26" spans="4:9" x14ac:dyDescent="0.25">
      <c r="D26" s="14" t="s">
        <v>3000</v>
      </c>
      <c r="E26" s="1" t="s">
        <v>3007</v>
      </c>
      <c r="F26" s="1" t="s">
        <v>7</v>
      </c>
      <c r="G26" s="1">
        <v>53</v>
      </c>
      <c r="H26" s="1" t="s">
        <v>3008</v>
      </c>
      <c r="I26" s="16" t="s">
        <v>3033</v>
      </c>
    </row>
    <row r="27" spans="4:9" x14ac:dyDescent="0.25">
      <c r="D27" s="29" t="s">
        <v>3000</v>
      </c>
      <c r="E27" s="28" t="s">
        <v>3009</v>
      </c>
      <c r="F27" s="28" t="s">
        <v>7</v>
      </c>
      <c r="G27" s="28">
        <v>-146.57</v>
      </c>
      <c r="H27" s="28" t="s">
        <v>3010</v>
      </c>
      <c r="I27" s="30" t="s">
        <v>3032</v>
      </c>
    </row>
    <row r="28" spans="4:9" ht="16.5" thickBot="1" x14ac:dyDescent="0.3">
      <c r="D28" s="25" t="s">
        <v>3000</v>
      </c>
      <c r="E28" s="18" t="s">
        <v>23</v>
      </c>
      <c r="F28" s="18" t="s">
        <v>7</v>
      </c>
      <c r="G28" s="18">
        <v>65</v>
      </c>
      <c r="H28" s="18" t="s">
        <v>3011</v>
      </c>
      <c r="I28" s="27" t="s">
        <v>3048</v>
      </c>
    </row>
  </sheetData>
  <pageMargins left="0.7" right="0.7" top="0.75" bottom="0.75" header="0.3" footer="0.3"/>
  <pageSetup paperSize="256" orientation="portrait" horizontalDpi="203" verticalDpi="203" r:id="rId1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9ACCAD-D7D7-47B5-A841-B3B60B70CFA0}">
  <sheetPr codeName="Hoja61"/>
  <dimension ref="D2:J17"/>
  <sheetViews>
    <sheetView workbookViewId="0">
      <selection activeCell="K14" sqref="K14"/>
    </sheetView>
  </sheetViews>
  <sheetFormatPr baseColWidth="10" defaultRowHeight="15.75" x14ac:dyDescent="0.25"/>
  <cols>
    <col min="4" max="4" width="11" style="3"/>
    <col min="5" max="5" width="24.375" style="3" customWidth="1"/>
    <col min="6" max="7" width="11" style="3"/>
    <col min="8" max="8" width="26.125" style="3" customWidth="1"/>
    <col min="9" max="9" width="21.25" style="3" customWidth="1"/>
    <col min="10" max="10" width="11" style="3"/>
  </cols>
  <sheetData>
    <row r="2" spans="4:9" ht="16.5" thickBot="1" x14ac:dyDescent="0.3"/>
    <row r="3" spans="4:9" x14ac:dyDescent="0.25">
      <c r="D3" s="11" t="s">
        <v>0</v>
      </c>
      <c r="E3" s="12" t="s">
        <v>1</v>
      </c>
      <c r="F3" s="12" t="s">
        <v>2</v>
      </c>
      <c r="G3" s="12" t="s">
        <v>3</v>
      </c>
      <c r="H3" s="12" t="s">
        <v>4</v>
      </c>
      <c r="I3" s="13"/>
    </row>
    <row r="4" spans="4:9" x14ac:dyDescent="0.25">
      <c r="D4" s="14"/>
      <c r="E4" s="1"/>
      <c r="F4" s="1"/>
      <c r="G4" s="1"/>
      <c r="H4" s="1"/>
      <c r="I4" s="16"/>
    </row>
    <row r="5" spans="4:9" x14ac:dyDescent="0.25">
      <c r="D5" s="14" t="s">
        <v>3050</v>
      </c>
      <c r="E5" s="1" t="s">
        <v>3067</v>
      </c>
      <c r="F5" s="1" t="s">
        <v>7</v>
      </c>
      <c r="G5" s="1">
        <v>30</v>
      </c>
      <c r="H5" s="1" t="s">
        <v>3068</v>
      </c>
      <c r="I5" s="16" t="s">
        <v>3073</v>
      </c>
    </row>
    <row r="6" spans="4:9" x14ac:dyDescent="0.25">
      <c r="D6" s="14" t="s">
        <v>3050</v>
      </c>
      <c r="E6" s="1" t="s">
        <v>3067</v>
      </c>
      <c r="F6" s="1" t="s">
        <v>7</v>
      </c>
      <c r="G6" s="1">
        <v>33.6</v>
      </c>
      <c r="H6" s="1" t="s">
        <v>3069</v>
      </c>
      <c r="I6" s="16" t="s">
        <v>3073</v>
      </c>
    </row>
    <row r="7" spans="4:9" x14ac:dyDescent="0.25">
      <c r="D7" s="14" t="s">
        <v>3050</v>
      </c>
      <c r="E7" s="1" t="s">
        <v>3070</v>
      </c>
      <c r="F7" s="1" t="s">
        <v>7</v>
      </c>
      <c r="G7" s="1">
        <v>60</v>
      </c>
      <c r="H7" s="1" t="s">
        <v>3071</v>
      </c>
      <c r="I7" s="16" t="s">
        <v>3074</v>
      </c>
    </row>
    <row r="8" spans="4:9" x14ac:dyDescent="0.25">
      <c r="D8" s="14" t="s">
        <v>3050</v>
      </c>
      <c r="E8" s="1" t="s">
        <v>3051</v>
      </c>
      <c r="F8" s="1" t="s">
        <v>7</v>
      </c>
      <c r="G8" s="1">
        <v>10</v>
      </c>
      <c r="H8" s="1" t="s">
        <v>3052</v>
      </c>
      <c r="I8" s="16" t="s">
        <v>3075</v>
      </c>
    </row>
    <row r="9" spans="4:9" x14ac:dyDescent="0.25">
      <c r="D9" s="14" t="s">
        <v>3050</v>
      </c>
      <c r="E9" s="1" t="s">
        <v>3053</v>
      </c>
      <c r="F9" s="1" t="s">
        <v>7</v>
      </c>
      <c r="G9" s="1">
        <v>30</v>
      </c>
      <c r="H9" s="1" t="s">
        <v>3054</v>
      </c>
      <c r="I9" s="16" t="s">
        <v>3076</v>
      </c>
    </row>
    <row r="10" spans="4:9" x14ac:dyDescent="0.25">
      <c r="D10" s="14" t="s">
        <v>3050</v>
      </c>
      <c r="E10" s="1" t="s">
        <v>3055</v>
      </c>
      <c r="F10" s="1" t="s">
        <v>7</v>
      </c>
      <c r="G10" s="1">
        <v>49</v>
      </c>
      <c r="H10" s="1" t="s">
        <v>3056</v>
      </c>
      <c r="I10" s="16" t="s">
        <v>3077</v>
      </c>
    </row>
    <row r="11" spans="4:9" x14ac:dyDescent="0.25">
      <c r="D11" s="14" t="s">
        <v>3050</v>
      </c>
      <c r="E11" s="1" t="s">
        <v>3053</v>
      </c>
      <c r="F11" s="1" t="s">
        <v>7</v>
      </c>
      <c r="G11" s="1">
        <v>69</v>
      </c>
      <c r="H11" s="1" t="s">
        <v>3057</v>
      </c>
      <c r="I11" s="16" t="s">
        <v>3078</v>
      </c>
    </row>
    <row r="12" spans="4:9" x14ac:dyDescent="0.25">
      <c r="D12" s="14" t="s">
        <v>3050</v>
      </c>
      <c r="E12" s="1" t="s">
        <v>3058</v>
      </c>
      <c r="F12" s="1" t="s">
        <v>7</v>
      </c>
      <c r="G12" s="1">
        <v>57</v>
      </c>
      <c r="H12" s="1" t="s">
        <v>3059</v>
      </c>
      <c r="I12" s="16" t="s">
        <v>3079</v>
      </c>
    </row>
    <row r="13" spans="4:9" x14ac:dyDescent="0.25">
      <c r="D13" s="14" t="s">
        <v>3050</v>
      </c>
      <c r="E13" s="1" t="s">
        <v>3060</v>
      </c>
      <c r="F13" s="1" t="s">
        <v>7</v>
      </c>
      <c r="G13" s="1">
        <v>376.6</v>
      </c>
      <c r="H13" s="1" t="s">
        <v>3061</v>
      </c>
      <c r="I13" s="16" t="s">
        <v>3080</v>
      </c>
    </row>
    <row r="14" spans="4:9" x14ac:dyDescent="0.25">
      <c r="D14" s="52" t="s">
        <v>3050</v>
      </c>
      <c r="E14" s="51" t="s">
        <v>3062</v>
      </c>
      <c r="F14" s="51" t="s">
        <v>7</v>
      </c>
      <c r="G14" s="51">
        <v>500</v>
      </c>
      <c r="H14" s="51" t="s">
        <v>3063</v>
      </c>
      <c r="I14" s="37" t="s">
        <v>3072</v>
      </c>
    </row>
    <row r="15" spans="4:9" x14ac:dyDescent="0.25">
      <c r="D15" s="52" t="s">
        <v>3050</v>
      </c>
      <c r="E15" s="51" t="s">
        <v>3062</v>
      </c>
      <c r="F15" s="51" t="s">
        <v>7</v>
      </c>
      <c r="G15" s="51">
        <v>500</v>
      </c>
      <c r="H15" s="51" t="s">
        <v>3064</v>
      </c>
      <c r="I15" s="37" t="s">
        <v>3072</v>
      </c>
    </row>
    <row r="16" spans="4:9" x14ac:dyDescent="0.25">
      <c r="D16" s="52" t="s">
        <v>3050</v>
      </c>
      <c r="E16" s="51" t="s">
        <v>3062</v>
      </c>
      <c r="F16" s="51" t="s">
        <v>7</v>
      </c>
      <c r="G16" s="51">
        <v>500</v>
      </c>
      <c r="H16" s="51" t="s">
        <v>3065</v>
      </c>
      <c r="I16" s="37" t="s">
        <v>3072</v>
      </c>
    </row>
    <row r="17" spans="4:9" ht="16.5" thickBot="1" x14ac:dyDescent="0.3">
      <c r="D17" s="25" t="s">
        <v>3050</v>
      </c>
      <c r="E17" s="18" t="s">
        <v>1353</v>
      </c>
      <c r="F17" s="18" t="s">
        <v>7</v>
      </c>
      <c r="G17" s="18">
        <v>18</v>
      </c>
      <c r="H17" s="18" t="s">
        <v>3066</v>
      </c>
      <c r="I17" s="27" t="s">
        <v>3081</v>
      </c>
    </row>
  </sheetData>
  <pageMargins left="0.7" right="0.7" top="0.75" bottom="0.75" header="0.3" footer="0.3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CBEA7E-ADDB-4F54-AFB0-9306BA9824DE}">
  <sheetPr codeName="Hoja62"/>
  <dimension ref="D3:J34"/>
  <sheetViews>
    <sheetView topLeftCell="A7" workbookViewId="0">
      <selection activeCell="I28" sqref="I28"/>
    </sheetView>
  </sheetViews>
  <sheetFormatPr baseColWidth="10" defaultRowHeight="15.75" x14ac:dyDescent="0.25"/>
  <cols>
    <col min="4" max="4" width="11" style="3"/>
    <col min="5" max="5" width="24.75" style="3" bestFit="1" customWidth="1"/>
    <col min="6" max="7" width="11" style="3"/>
    <col min="8" max="8" width="18.75" style="3" bestFit="1" customWidth="1"/>
    <col min="9" max="9" width="29.25" style="3" customWidth="1"/>
  </cols>
  <sheetData>
    <row r="3" spans="4:10" x14ac:dyDescent="0.25">
      <c r="D3" s="3" t="s">
        <v>0</v>
      </c>
      <c r="E3" s="3" t="s">
        <v>1</v>
      </c>
      <c r="F3" s="3" t="s">
        <v>2</v>
      </c>
      <c r="G3" s="3" t="s">
        <v>3</v>
      </c>
      <c r="H3" s="3" t="s">
        <v>4</v>
      </c>
    </row>
    <row r="5" spans="4:10" x14ac:dyDescent="0.25">
      <c r="D5" s="31" t="s">
        <v>3082</v>
      </c>
      <c r="E5" s="31" t="s">
        <v>1945</v>
      </c>
      <c r="F5" s="31" t="s">
        <v>7</v>
      </c>
      <c r="G5" s="31">
        <v>-409.84</v>
      </c>
      <c r="H5" s="31" t="s">
        <v>3119</v>
      </c>
      <c r="I5" s="31" t="s">
        <v>3139</v>
      </c>
      <c r="J5" s="31" t="s">
        <v>3140</v>
      </c>
    </row>
    <row r="6" spans="4:10" x14ac:dyDescent="0.25">
      <c r="D6" s="31" t="s">
        <v>3082</v>
      </c>
      <c r="E6" s="31" t="s">
        <v>1945</v>
      </c>
      <c r="F6" s="31" t="s">
        <v>7</v>
      </c>
      <c r="G6" s="31">
        <v>-500</v>
      </c>
      <c r="H6" s="31" t="s">
        <v>3120</v>
      </c>
      <c r="I6" s="31" t="s">
        <v>3139</v>
      </c>
      <c r="J6" s="31" t="s">
        <v>3140</v>
      </c>
    </row>
    <row r="7" spans="4:10" x14ac:dyDescent="0.25">
      <c r="D7" s="31" t="s">
        <v>3082</v>
      </c>
      <c r="E7" s="31" t="s">
        <v>472</v>
      </c>
      <c r="F7" s="31" t="s">
        <v>7</v>
      </c>
      <c r="G7" s="31">
        <v>-408</v>
      </c>
      <c r="H7" s="31" t="s">
        <v>3121</v>
      </c>
      <c r="I7" s="31" t="s">
        <v>3138</v>
      </c>
      <c r="J7" s="31" t="s">
        <v>386</v>
      </c>
    </row>
    <row r="8" spans="4:10" x14ac:dyDescent="0.25">
      <c r="D8" s="3" t="s">
        <v>3082</v>
      </c>
      <c r="E8" s="3" t="s">
        <v>23</v>
      </c>
      <c r="F8" s="3" t="s">
        <v>7</v>
      </c>
      <c r="G8" s="3">
        <v>31</v>
      </c>
      <c r="H8" s="3" t="s">
        <v>3122</v>
      </c>
      <c r="I8" s="3" t="s">
        <v>590</v>
      </c>
    </row>
    <row r="9" spans="4:10" x14ac:dyDescent="0.25">
      <c r="D9" s="3" t="s">
        <v>3082</v>
      </c>
      <c r="E9" s="3" t="s">
        <v>509</v>
      </c>
      <c r="F9" s="3" t="s">
        <v>7</v>
      </c>
      <c r="G9" s="3">
        <v>87</v>
      </c>
      <c r="H9" s="3" t="s">
        <v>3123</v>
      </c>
      <c r="I9" s="3" t="s">
        <v>3137</v>
      </c>
    </row>
    <row r="10" spans="4:10" x14ac:dyDescent="0.25">
      <c r="D10" s="3" t="s">
        <v>3082</v>
      </c>
      <c r="E10" s="3" t="s">
        <v>3070</v>
      </c>
      <c r="F10" s="3" t="s">
        <v>7</v>
      </c>
      <c r="G10" s="3">
        <v>5</v>
      </c>
      <c r="H10" s="3" t="s">
        <v>3124</v>
      </c>
      <c r="I10" s="3" t="s">
        <v>3133</v>
      </c>
    </row>
    <row r="11" spans="4:10" x14ac:dyDescent="0.25">
      <c r="D11" s="3" t="s">
        <v>3082</v>
      </c>
      <c r="E11" s="3" t="s">
        <v>669</v>
      </c>
      <c r="F11" s="3" t="s">
        <v>7</v>
      </c>
      <c r="G11" s="3">
        <v>100.49</v>
      </c>
      <c r="H11" s="3" t="s">
        <v>3125</v>
      </c>
      <c r="I11" s="94" t="s">
        <v>3141</v>
      </c>
    </row>
    <row r="12" spans="4:10" x14ac:dyDescent="0.25">
      <c r="D12" s="3" t="s">
        <v>3082</v>
      </c>
      <c r="E12" s="3" t="s">
        <v>3126</v>
      </c>
      <c r="F12" s="3" t="s">
        <v>7</v>
      </c>
      <c r="G12" s="3">
        <v>8</v>
      </c>
      <c r="H12" s="3" t="s">
        <v>3127</v>
      </c>
      <c r="I12" s="3" t="s">
        <v>3132</v>
      </c>
    </row>
    <row r="13" spans="4:10" x14ac:dyDescent="0.25">
      <c r="D13" s="3" t="s">
        <v>3082</v>
      </c>
      <c r="E13" s="3" t="s">
        <v>519</v>
      </c>
      <c r="F13" s="3" t="s">
        <v>7</v>
      </c>
      <c r="G13" s="3">
        <v>3</v>
      </c>
      <c r="H13" s="3" t="s">
        <v>3128</v>
      </c>
      <c r="I13" s="3" t="s">
        <v>3136</v>
      </c>
    </row>
    <row r="14" spans="4:10" x14ac:dyDescent="0.25">
      <c r="D14" s="3" t="s">
        <v>3082</v>
      </c>
      <c r="E14" s="3" t="s">
        <v>519</v>
      </c>
      <c r="F14" s="3" t="s">
        <v>7</v>
      </c>
      <c r="G14" s="3">
        <v>3</v>
      </c>
      <c r="H14" s="3" t="s">
        <v>3129</v>
      </c>
      <c r="I14" s="3" t="s">
        <v>3135</v>
      </c>
    </row>
    <row r="15" spans="4:10" x14ac:dyDescent="0.25">
      <c r="D15" s="3" t="s">
        <v>3082</v>
      </c>
      <c r="E15" s="3" t="s">
        <v>3130</v>
      </c>
      <c r="F15" s="3" t="s">
        <v>7</v>
      </c>
      <c r="G15" s="3">
        <v>4.5</v>
      </c>
      <c r="H15" s="3" t="s">
        <v>3131</v>
      </c>
      <c r="I15" s="3" t="s">
        <v>3134</v>
      </c>
    </row>
    <row r="16" spans="4:10" x14ac:dyDescent="0.25">
      <c r="D16" s="3" t="s">
        <v>3082</v>
      </c>
      <c r="E16" s="3" t="s">
        <v>2625</v>
      </c>
      <c r="F16" s="3" t="s">
        <v>7</v>
      </c>
      <c r="G16" s="3">
        <v>123</v>
      </c>
      <c r="H16" s="3" t="s">
        <v>3083</v>
      </c>
      <c r="I16" s="3" t="s">
        <v>52</v>
      </c>
    </row>
    <row r="17" spans="4:9" x14ac:dyDescent="0.25">
      <c r="D17" s="3" t="s">
        <v>3082</v>
      </c>
      <c r="E17" s="3" t="s">
        <v>2625</v>
      </c>
      <c r="F17" s="3" t="s">
        <v>7</v>
      </c>
      <c r="G17" s="3">
        <v>500</v>
      </c>
      <c r="H17" s="3" t="s">
        <v>3084</v>
      </c>
      <c r="I17" s="3" t="s">
        <v>52</v>
      </c>
    </row>
    <row r="18" spans="4:9" x14ac:dyDescent="0.25">
      <c r="D18" s="3" t="s">
        <v>3082</v>
      </c>
      <c r="E18" s="3" t="s">
        <v>523</v>
      </c>
      <c r="F18" s="3" t="s">
        <v>7</v>
      </c>
      <c r="G18" s="3">
        <v>19</v>
      </c>
      <c r="H18" s="3" t="s">
        <v>3085</v>
      </c>
      <c r="I18" s="3" t="s">
        <v>583</v>
      </c>
    </row>
    <row r="19" spans="4:9" x14ac:dyDescent="0.25">
      <c r="D19" s="3" t="s">
        <v>3082</v>
      </c>
      <c r="E19" s="3" t="s">
        <v>3086</v>
      </c>
      <c r="F19" s="3" t="s">
        <v>7</v>
      </c>
      <c r="G19" s="3">
        <v>10</v>
      </c>
      <c r="H19" s="3" t="s">
        <v>3087</v>
      </c>
      <c r="I19" s="3" t="s">
        <v>3118</v>
      </c>
    </row>
    <row r="20" spans="4:9" x14ac:dyDescent="0.25">
      <c r="D20" s="3" t="s">
        <v>3082</v>
      </c>
      <c r="E20" s="3" t="s">
        <v>3088</v>
      </c>
      <c r="F20" s="3" t="s">
        <v>7</v>
      </c>
      <c r="G20" s="3">
        <v>50</v>
      </c>
      <c r="H20" s="3" t="s">
        <v>3089</v>
      </c>
      <c r="I20" s="3" t="s">
        <v>3116</v>
      </c>
    </row>
    <row r="21" spans="4:9" x14ac:dyDescent="0.25">
      <c r="D21" s="3" t="s">
        <v>3082</v>
      </c>
      <c r="E21" s="3" t="s">
        <v>3090</v>
      </c>
      <c r="F21" s="3" t="s">
        <v>7</v>
      </c>
      <c r="G21" s="3">
        <v>48.6</v>
      </c>
      <c r="H21" s="3" t="s">
        <v>3091</v>
      </c>
      <c r="I21" s="3" t="s">
        <v>3115</v>
      </c>
    </row>
    <row r="22" spans="4:9" x14ac:dyDescent="0.25">
      <c r="D22" s="3" t="s">
        <v>3082</v>
      </c>
      <c r="E22" s="3" t="s">
        <v>3092</v>
      </c>
      <c r="F22" s="3" t="s">
        <v>7</v>
      </c>
      <c r="G22" s="3">
        <v>20</v>
      </c>
      <c r="H22" s="3" t="s">
        <v>3093</v>
      </c>
      <c r="I22" s="3" t="s">
        <v>3114</v>
      </c>
    </row>
    <row r="23" spans="4:9" x14ac:dyDescent="0.25">
      <c r="D23" s="3" t="s">
        <v>3082</v>
      </c>
      <c r="E23" s="3" t="s">
        <v>3094</v>
      </c>
      <c r="F23" s="3" t="s">
        <v>7</v>
      </c>
      <c r="G23" s="3">
        <v>19</v>
      </c>
      <c r="H23" s="3" t="s">
        <v>3095</v>
      </c>
      <c r="I23" s="3" t="s">
        <v>3113</v>
      </c>
    </row>
    <row r="24" spans="4:9" x14ac:dyDescent="0.25">
      <c r="D24" s="3" t="s">
        <v>3082</v>
      </c>
      <c r="E24" s="3" t="s">
        <v>23</v>
      </c>
      <c r="F24" s="3" t="s">
        <v>7</v>
      </c>
      <c r="G24" s="3">
        <v>5840.5</v>
      </c>
      <c r="H24" s="3" t="s">
        <v>3096</v>
      </c>
      <c r="I24" s="3" t="s">
        <v>3117</v>
      </c>
    </row>
    <row r="25" spans="4:9" x14ac:dyDescent="0.25">
      <c r="D25" s="3" t="s">
        <v>3082</v>
      </c>
      <c r="E25" s="3" t="s">
        <v>3088</v>
      </c>
      <c r="F25" s="3" t="s">
        <v>7</v>
      </c>
      <c r="G25" s="3">
        <v>113.5</v>
      </c>
      <c r="H25" s="3" t="s">
        <v>3097</v>
      </c>
      <c r="I25" s="3" t="s">
        <v>3116</v>
      </c>
    </row>
    <row r="26" spans="4:9" x14ac:dyDescent="0.25">
      <c r="D26" s="3" t="s">
        <v>3082</v>
      </c>
      <c r="E26" s="3" t="s">
        <v>3098</v>
      </c>
      <c r="F26" s="3" t="s">
        <v>7</v>
      </c>
      <c r="G26" s="3">
        <v>126</v>
      </c>
      <c r="H26" s="3" t="s">
        <v>3099</v>
      </c>
      <c r="I26" s="3" t="s">
        <v>536</v>
      </c>
    </row>
    <row r="27" spans="4:9" x14ac:dyDescent="0.25">
      <c r="D27" s="3" t="s">
        <v>3082</v>
      </c>
      <c r="E27" s="3" t="s">
        <v>3100</v>
      </c>
      <c r="F27" s="3" t="s">
        <v>7</v>
      </c>
      <c r="G27" s="3">
        <v>280</v>
      </c>
      <c r="H27" s="3" t="s">
        <v>3101</v>
      </c>
      <c r="I27" s="3" t="s">
        <v>972</v>
      </c>
    </row>
    <row r="28" spans="4:9" x14ac:dyDescent="0.25">
      <c r="D28" s="3" t="s">
        <v>3082</v>
      </c>
      <c r="E28" s="3" t="s">
        <v>23</v>
      </c>
      <c r="F28" s="3" t="s">
        <v>7</v>
      </c>
      <c r="G28" s="3">
        <v>2411</v>
      </c>
      <c r="H28" s="3" t="s">
        <v>3102</v>
      </c>
      <c r="I28" s="3" t="s">
        <v>590</v>
      </c>
    </row>
    <row r="29" spans="4:9" x14ac:dyDescent="0.25">
      <c r="D29" s="3" t="s">
        <v>3082</v>
      </c>
      <c r="E29" s="3" t="s">
        <v>3103</v>
      </c>
      <c r="F29" s="3" t="s">
        <v>7</v>
      </c>
      <c r="G29" s="3">
        <v>6</v>
      </c>
      <c r="H29" s="3" t="s">
        <v>3104</v>
      </c>
      <c r="I29" s="3" t="s">
        <v>3112</v>
      </c>
    </row>
    <row r="30" spans="4:9" x14ac:dyDescent="0.25">
      <c r="D30" s="3" t="s">
        <v>3082</v>
      </c>
      <c r="E30" s="3" t="s">
        <v>3105</v>
      </c>
      <c r="F30" s="3" t="s">
        <v>7</v>
      </c>
      <c r="G30" s="3">
        <v>103</v>
      </c>
      <c r="H30" s="3" t="s">
        <v>3106</v>
      </c>
      <c r="I30" s="3" t="s">
        <v>3111</v>
      </c>
    </row>
    <row r="31" spans="4:9" x14ac:dyDescent="0.25">
      <c r="D31" s="3" t="s">
        <v>3082</v>
      </c>
      <c r="E31" s="3" t="s">
        <v>3107</v>
      </c>
      <c r="F31" s="3" t="s">
        <v>7</v>
      </c>
      <c r="G31" s="3">
        <v>20</v>
      </c>
      <c r="H31" s="3" t="s">
        <v>3108</v>
      </c>
      <c r="I31" s="3" t="s">
        <v>3110</v>
      </c>
    </row>
    <row r="32" spans="4:9" x14ac:dyDescent="0.25">
      <c r="D32" s="3" t="s">
        <v>3082</v>
      </c>
      <c r="E32" s="3" t="s">
        <v>521</v>
      </c>
      <c r="F32" s="3" t="s">
        <v>7</v>
      </c>
      <c r="G32" s="3">
        <v>6</v>
      </c>
      <c r="H32" s="3" t="s">
        <v>3109</v>
      </c>
      <c r="I32" s="3" t="s">
        <v>3112</v>
      </c>
    </row>
    <row r="34" spans="4:9" x14ac:dyDescent="0.25">
      <c r="D34" s="3" t="s">
        <v>3082</v>
      </c>
      <c r="E34" s="3" t="s">
        <v>78</v>
      </c>
      <c r="F34" s="3" t="s">
        <v>7</v>
      </c>
      <c r="G34" s="3">
        <v>699</v>
      </c>
      <c r="I34" s="3" t="s">
        <v>1990</v>
      </c>
    </row>
  </sheetData>
  <pageMargins left="0.7" right="0.7" top="0.75" bottom="0.75" header="0.3" footer="0.3"/>
  <pageSetup paperSize="256" orientation="portrait" horizontalDpi="203" verticalDpi="203" r:id="rId1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F50997-885E-4114-94C3-97F098D52225}">
  <sheetPr codeName="Hoja63"/>
  <dimension ref="D2:J41"/>
  <sheetViews>
    <sheetView topLeftCell="A7" workbookViewId="0">
      <selection activeCell="D3" sqref="D3:I41"/>
    </sheetView>
  </sheetViews>
  <sheetFormatPr baseColWidth="10" defaultRowHeight="15.75" x14ac:dyDescent="0.25"/>
  <cols>
    <col min="4" max="4" width="11" style="3"/>
    <col min="5" max="5" width="26.5" style="3" customWidth="1"/>
    <col min="6" max="7" width="11" style="3"/>
    <col min="8" max="8" width="25.375" style="3" customWidth="1"/>
    <col min="9" max="9" width="31" style="3" customWidth="1"/>
    <col min="10" max="10" width="17.5" customWidth="1"/>
  </cols>
  <sheetData>
    <row r="2" spans="4:9" ht="16.5" thickBot="1" x14ac:dyDescent="0.3"/>
    <row r="3" spans="4:9" x14ac:dyDescent="0.25">
      <c r="D3" s="11" t="s">
        <v>0</v>
      </c>
      <c r="E3" s="12" t="s">
        <v>1</v>
      </c>
      <c r="F3" s="12" t="s">
        <v>2</v>
      </c>
      <c r="G3" s="12" t="s">
        <v>3</v>
      </c>
      <c r="H3" s="12" t="s">
        <v>4</v>
      </c>
      <c r="I3" s="13"/>
    </row>
    <row r="4" spans="4:9" x14ac:dyDescent="0.25">
      <c r="D4" s="14"/>
      <c r="E4" s="1"/>
      <c r="F4" s="1"/>
      <c r="G4" s="1"/>
      <c r="H4" s="1"/>
      <c r="I4" s="16"/>
    </row>
    <row r="5" spans="4:9" x14ac:dyDescent="0.25">
      <c r="D5" s="14" t="s">
        <v>3142</v>
      </c>
      <c r="E5" s="1" t="s">
        <v>3179</v>
      </c>
      <c r="F5" s="1" t="s">
        <v>7</v>
      </c>
      <c r="G5" s="134">
        <v>160</v>
      </c>
      <c r="H5" s="1" t="s">
        <v>3180</v>
      </c>
      <c r="I5" s="16" t="s">
        <v>68</v>
      </c>
    </row>
    <row r="6" spans="4:9" x14ac:dyDescent="0.25">
      <c r="D6" s="14" t="s">
        <v>3142</v>
      </c>
      <c r="E6" s="1" t="s">
        <v>3005</v>
      </c>
      <c r="F6" s="1" t="s">
        <v>7</v>
      </c>
      <c r="G6" s="134">
        <v>4</v>
      </c>
      <c r="H6" s="1" t="s">
        <v>3181</v>
      </c>
      <c r="I6" s="16" t="s">
        <v>386</v>
      </c>
    </row>
    <row r="7" spans="4:9" x14ac:dyDescent="0.25">
      <c r="D7" s="29" t="s">
        <v>3142</v>
      </c>
      <c r="E7" s="28" t="s">
        <v>3005</v>
      </c>
      <c r="F7" s="28" t="s">
        <v>7</v>
      </c>
      <c r="G7" s="135">
        <v>-16</v>
      </c>
      <c r="H7" s="28" t="s">
        <v>3182</v>
      </c>
      <c r="I7" s="30" t="s">
        <v>3205</v>
      </c>
    </row>
    <row r="8" spans="4:9" x14ac:dyDescent="0.25">
      <c r="D8" s="14" t="s">
        <v>3142</v>
      </c>
      <c r="E8" s="1" t="s">
        <v>23</v>
      </c>
      <c r="F8" s="1" t="s">
        <v>7</v>
      </c>
      <c r="G8" s="134">
        <v>4400</v>
      </c>
      <c r="H8" s="1" t="s">
        <v>3183</v>
      </c>
      <c r="I8" s="16" t="s">
        <v>590</v>
      </c>
    </row>
    <row r="9" spans="4:9" x14ac:dyDescent="0.25">
      <c r="D9" s="29" t="s">
        <v>3142</v>
      </c>
      <c r="E9" s="28" t="s">
        <v>1492</v>
      </c>
      <c r="F9" s="28" t="s">
        <v>7</v>
      </c>
      <c r="G9" s="135">
        <v>-90.5</v>
      </c>
      <c r="H9" s="28" t="s">
        <v>3184</v>
      </c>
      <c r="I9" s="30" t="s">
        <v>3199</v>
      </c>
    </row>
    <row r="10" spans="4:9" x14ac:dyDescent="0.25">
      <c r="D10" s="29" t="s">
        <v>3142</v>
      </c>
      <c r="E10" s="28" t="s">
        <v>2056</v>
      </c>
      <c r="F10" s="28" t="s">
        <v>7</v>
      </c>
      <c r="G10" s="135">
        <v>-70.959999999999994</v>
      </c>
      <c r="H10" s="28" t="s">
        <v>3185</v>
      </c>
      <c r="I10" s="30" t="s">
        <v>3200</v>
      </c>
    </row>
    <row r="11" spans="4:9" x14ac:dyDescent="0.25">
      <c r="D11" s="29" t="s">
        <v>3142</v>
      </c>
      <c r="E11" s="28" t="s">
        <v>3143</v>
      </c>
      <c r="F11" s="28" t="s">
        <v>7</v>
      </c>
      <c r="G11" s="135">
        <v>-240</v>
      </c>
      <c r="H11" s="28" t="s">
        <v>3186</v>
      </c>
      <c r="I11" s="30" t="s">
        <v>3201</v>
      </c>
    </row>
    <row r="12" spans="4:9" x14ac:dyDescent="0.25">
      <c r="D12" s="14" t="s">
        <v>3142</v>
      </c>
      <c r="E12" s="1" t="s">
        <v>3187</v>
      </c>
      <c r="F12" s="1" t="s">
        <v>7</v>
      </c>
      <c r="G12" s="134">
        <v>13</v>
      </c>
      <c r="H12" s="1" t="s">
        <v>3188</v>
      </c>
      <c r="I12" s="16" t="s">
        <v>3203</v>
      </c>
    </row>
    <row r="13" spans="4:9" x14ac:dyDescent="0.25">
      <c r="D13" s="14" t="s">
        <v>3142</v>
      </c>
      <c r="E13" s="1" t="s">
        <v>3187</v>
      </c>
      <c r="F13" s="1" t="s">
        <v>7</v>
      </c>
      <c r="G13" s="134">
        <v>34.5</v>
      </c>
      <c r="H13" s="1" t="s">
        <v>3189</v>
      </c>
      <c r="I13" s="16" t="s">
        <v>3204</v>
      </c>
    </row>
    <row r="14" spans="4:9" x14ac:dyDescent="0.25">
      <c r="D14" s="14" t="s">
        <v>3142</v>
      </c>
      <c r="E14" s="1" t="s">
        <v>23</v>
      </c>
      <c r="F14" s="1" t="s">
        <v>7</v>
      </c>
      <c r="G14" s="134">
        <v>429.5</v>
      </c>
      <c r="H14" s="1" t="s">
        <v>3190</v>
      </c>
      <c r="I14" s="16" t="s">
        <v>660</v>
      </c>
    </row>
    <row r="15" spans="4:9" x14ac:dyDescent="0.25">
      <c r="D15" s="29" t="s">
        <v>3142</v>
      </c>
      <c r="E15" s="28" t="s">
        <v>472</v>
      </c>
      <c r="F15" s="28" t="s">
        <v>7</v>
      </c>
      <c r="G15" s="135">
        <v>-4315.22</v>
      </c>
      <c r="H15" s="28" t="s">
        <v>3191</v>
      </c>
      <c r="I15" s="30" t="s">
        <v>3202</v>
      </c>
    </row>
    <row r="16" spans="4:9" x14ac:dyDescent="0.25">
      <c r="D16" s="14" t="s">
        <v>3142</v>
      </c>
      <c r="E16" s="1" t="s">
        <v>3088</v>
      </c>
      <c r="F16" s="1" t="s">
        <v>7</v>
      </c>
      <c r="G16" s="134">
        <v>38</v>
      </c>
      <c r="H16" s="1" t="s">
        <v>3192</v>
      </c>
      <c r="I16" s="16" t="s">
        <v>3206</v>
      </c>
    </row>
    <row r="17" spans="4:9" x14ac:dyDescent="0.25">
      <c r="D17" s="14" t="s">
        <v>3142</v>
      </c>
      <c r="E17" s="1" t="s">
        <v>23</v>
      </c>
      <c r="F17" s="1" t="s">
        <v>7</v>
      </c>
      <c r="G17" s="134">
        <v>13.5</v>
      </c>
      <c r="H17" s="1" t="s">
        <v>3193</v>
      </c>
      <c r="I17" s="16" t="s">
        <v>3210</v>
      </c>
    </row>
    <row r="18" spans="4:9" x14ac:dyDescent="0.25">
      <c r="D18" s="14" t="s">
        <v>3142</v>
      </c>
      <c r="E18" s="1" t="s">
        <v>3001</v>
      </c>
      <c r="F18" s="1" t="s">
        <v>7</v>
      </c>
      <c r="G18" s="134">
        <v>34.5</v>
      </c>
      <c r="H18" s="1" t="s">
        <v>3194</v>
      </c>
      <c r="I18" s="16" t="s">
        <v>3208</v>
      </c>
    </row>
    <row r="19" spans="4:9" x14ac:dyDescent="0.25">
      <c r="D19" s="14" t="s">
        <v>3142</v>
      </c>
      <c r="E19" s="1" t="s">
        <v>3001</v>
      </c>
      <c r="F19" s="1" t="s">
        <v>7</v>
      </c>
      <c r="G19" s="134">
        <v>122.5</v>
      </c>
      <c r="H19" s="1" t="s">
        <v>3195</v>
      </c>
      <c r="I19" s="16" t="s">
        <v>3209</v>
      </c>
    </row>
    <row r="20" spans="4:9" x14ac:dyDescent="0.25">
      <c r="D20" s="14" t="s">
        <v>3142</v>
      </c>
      <c r="E20" s="1" t="s">
        <v>23</v>
      </c>
      <c r="F20" s="1" t="s">
        <v>7</v>
      </c>
      <c r="G20" s="134">
        <v>759</v>
      </c>
      <c r="H20" s="1" t="s">
        <v>3196</v>
      </c>
      <c r="I20" s="16" t="s">
        <v>3207</v>
      </c>
    </row>
    <row r="21" spans="4:9" x14ac:dyDescent="0.25">
      <c r="D21" s="14" t="s">
        <v>3142</v>
      </c>
      <c r="E21" s="1" t="s">
        <v>3197</v>
      </c>
      <c r="F21" s="1" t="s">
        <v>7</v>
      </c>
      <c r="G21" s="134">
        <v>34</v>
      </c>
      <c r="H21" s="1" t="s">
        <v>3198</v>
      </c>
      <c r="I21" s="16" t="s">
        <v>832</v>
      </c>
    </row>
    <row r="22" spans="4:9" x14ac:dyDescent="0.25">
      <c r="D22" s="29" t="s">
        <v>3142</v>
      </c>
      <c r="E22" s="28" t="s">
        <v>3143</v>
      </c>
      <c r="F22" s="28" t="s">
        <v>7</v>
      </c>
      <c r="G22" s="135">
        <v>-60</v>
      </c>
      <c r="H22" s="28" t="s">
        <v>3144</v>
      </c>
      <c r="I22" s="30" t="s">
        <v>3177</v>
      </c>
    </row>
    <row r="23" spans="4:9" x14ac:dyDescent="0.25">
      <c r="D23" s="14" t="s">
        <v>3142</v>
      </c>
      <c r="E23" s="1" t="s">
        <v>3145</v>
      </c>
      <c r="F23" s="1" t="s">
        <v>7</v>
      </c>
      <c r="G23" s="134">
        <v>37</v>
      </c>
      <c r="H23" s="1" t="s">
        <v>3146</v>
      </c>
      <c r="I23" s="16" t="s">
        <v>3173</v>
      </c>
    </row>
    <row r="24" spans="4:9" x14ac:dyDescent="0.25">
      <c r="D24" s="14" t="s">
        <v>3142</v>
      </c>
      <c r="E24" s="1" t="s">
        <v>284</v>
      </c>
      <c r="F24" s="1" t="s">
        <v>7</v>
      </c>
      <c r="G24" s="134">
        <v>488</v>
      </c>
      <c r="H24" s="1" t="s">
        <v>3147</v>
      </c>
      <c r="I24" s="16" t="s">
        <v>3178</v>
      </c>
    </row>
    <row r="25" spans="4:9" x14ac:dyDescent="0.25">
      <c r="D25" s="14" t="s">
        <v>3142</v>
      </c>
      <c r="E25" s="1" t="s">
        <v>284</v>
      </c>
      <c r="F25" s="1" t="s">
        <v>7</v>
      </c>
      <c r="G25" s="134">
        <v>500</v>
      </c>
      <c r="H25" s="1" t="s">
        <v>3148</v>
      </c>
      <c r="I25" s="16" t="s">
        <v>3178</v>
      </c>
    </row>
    <row r="26" spans="4:9" x14ac:dyDescent="0.25">
      <c r="D26" s="14" t="s">
        <v>3142</v>
      </c>
      <c r="E26" s="1" t="s">
        <v>23</v>
      </c>
      <c r="F26" s="1" t="s">
        <v>7</v>
      </c>
      <c r="G26" s="134">
        <v>75</v>
      </c>
      <c r="H26" s="1" t="s">
        <v>3149</v>
      </c>
      <c r="I26" s="16" t="s">
        <v>660</v>
      </c>
    </row>
    <row r="27" spans="4:9" x14ac:dyDescent="0.25">
      <c r="D27" s="14" t="s">
        <v>3142</v>
      </c>
      <c r="E27" s="1" t="s">
        <v>23</v>
      </c>
      <c r="F27" s="1" t="s">
        <v>7</v>
      </c>
      <c r="G27" s="134">
        <v>448</v>
      </c>
      <c r="H27" s="1" t="s">
        <v>3150</v>
      </c>
      <c r="I27" s="16" t="s">
        <v>166</v>
      </c>
    </row>
    <row r="28" spans="4:9" x14ac:dyDescent="0.25">
      <c r="D28" s="14" t="s">
        <v>3142</v>
      </c>
      <c r="E28" s="1" t="s">
        <v>3151</v>
      </c>
      <c r="F28" s="1" t="s">
        <v>7</v>
      </c>
      <c r="G28" s="134">
        <v>58</v>
      </c>
      <c r="H28" s="1" t="s">
        <v>3152</v>
      </c>
      <c r="I28" s="16" t="s">
        <v>3174</v>
      </c>
    </row>
    <row r="29" spans="4:9" x14ac:dyDescent="0.25">
      <c r="D29" s="14" t="s">
        <v>3142</v>
      </c>
      <c r="E29" s="1" t="s">
        <v>3153</v>
      </c>
      <c r="F29" s="1" t="s">
        <v>7</v>
      </c>
      <c r="G29" s="134">
        <v>9</v>
      </c>
      <c r="H29" s="1" t="s">
        <v>3154</v>
      </c>
      <c r="I29" s="16" t="s">
        <v>3172</v>
      </c>
    </row>
    <row r="30" spans="4:9" x14ac:dyDescent="0.25">
      <c r="D30" s="14" t="s">
        <v>3142</v>
      </c>
      <c r="E30" s="1" t="s">
        <v>3098</v>
      </c>
      <c r="F30" s="1" t="s">
        <v>7</v>
      </c>
      <c r="G30" s="134">
        <v>37.5</v>
      </c>
      <c r="H30" s="1" t="s">
        <v>3155</v>
      </c>
      <c r="I30" s="16" t="s">
        <v>3171</v>
      </c>
    </row>
    <row r="31" spans="4:9" x14ac:dyDescent="0.25">
      <c r="D31" s="14" t="s">
        <v>3142</v>
      </c>
      <c r="E31" s="1" t="s">
        <v>1259</v>
      </c>
      <c r="F31" s="1" t="s">
        <v>7</v>
      </c>
      <c r="G31" s="134">
        <v>18</v>
      </c>
      <c r="H31" s="1" t="s">
        <v>3156</v>
      </c>
      <c r="I31" s="16" t="s">
        <v>3170</v>
      </c>
    </row>
    <row r="32" spans="4:9" x14ac:dyDescent="0.25">
      <c r="D32" s="14" t="s">
        <v>3142</v>
      </c>
      <c r="E32" s="1" t="s">
        <v>262</v>
      </c>
      <c r="F32" s="1" t="s">
        <v>7</v>
      </c>
      <c r="G32" s="134">
        <v>151</v>
      </c>
      <c r="H32" s="1" t="s">
        <v>3157</v>
      </c>
      <c r="I32" s="16" t="s">
        <v>832</v>
      </c>
    </row>
    <row r="33" spans="4:10" x14ac:dyDescent="0.25">
      <c r="D33" s="14" t="s">
        <v>3142</v>
      </c>
      <c r="E33" s="1" t="s">
        <v>262</v>
      </c>
      <c r="F33" s="1" t="s">
        <v>7</v>
      </c>
      <c r="G33" s="134">
        <v>1000</v>
      </c>
      <c r="H33" s="1" t="s">
        <v>3158</v>
      </c>
      <c r="I33" s="16" t="s">
        <v>832</v>
      </c>
    </row>
    <row r="34" spans="4:10" x14ac:dyDescent="0.25">
      <c r="D34" s="14" t="s">
        <v>3142</v>
      </c>
      <c r="E34" s="1" t="s">
        <v>262</v>
      </c>
      <c r="F34" s="1" t="s">
        <v>7</v>
      </c>
      <c r="G34" s="134">
        <v>1000</v>
      </c>
      <c r="H34" s="1" t="s">
        <v>3159</v>
      </c>
      <c r="I34" s="16" t="s">
        <v>832</v>
      </c>
      <c r="J34" s="3"/>
    </row>
    <row r="35" spans="4:10" x14ac:dyDescent="0.25">
      <c r="D35" s="14" t="s">
        <v>3142</v>
      </c>
      <c r="E35" s="1" t="s">
        <v>262</v>
      </c>
      <c r="F35" s="1" t="s">
        <v>7</v>
      </c>
      <c r="G35" s="134">
        <v>1000</v>
      </c>
      <c r="H35" s="1" t="s">
        <v>3160</v>
      </c>
      <c r="I35" s="16" t="s">
        <v>832</v>
      </c>
    </row>
    <row r="36" spans="4:10" x14ac:dyDescent="0.25">
      <c r="D36" s="29" t="s">
        <v>3142</v>
      </c>
      <c r="E36" s="28" t="s">
        <v>472</v>
      </c>
      <c r="F36" s="28" t="s">
        <v>7</v>
      </c>
      <c r="G36" s="135">
        <v>-5143.5</v>
      </c>
      <c r="H36" s="28" t="s">
        <v>3161</v>
      </c>
      <c r="I36" s="30" t="s">
        <v>3169</v>
      </c>
    </row>
    <row r="37" spans="4:10" x14ac:dyDescent="0.25">
      <c r="D37" s="14" t="s">
        <v>3142</v>
      </c>
      <c r="E37" s="1" t="s">
        <v>23</v>
      </c>
      <c r="F37" s="1" t="s">
        <v>7</v>
      </c>
      <c r="G37" s="134">
        <v>2654</v>
      </c>
      <c r="H37" s="1" t="s">
        <v>3162</v>
      </c>
      <c r="I37" s="16" t="s">
        <v>2848</v>
      </c>
    </row>
    <row r="38" spans="4:10" x14ac:dyDescent="0.25">
      <c r="D38" s="14" t="s">
        <v>3142</v>
      </c>
      <c r="E38" s="1" t="s">
        <v>3098</v>
      </c>
      <c r="F38" s="1" t="s">
        <v>7</v>
      </c>
      <c r="G38" s="134">
        <v>78</v>
      </c>
      <c r="H38" s="1" t="s">
        <v>3163</v>
      </c>
      <c r="I38" s="16" t="s">
        <v>3168</v>
      </c>
    </row>
    <row r="39" spans="4:10" x14ac:dyDescent="0.25">
      <c r="D39" s="14" t="s">
        <v>3142</v>
      </c>
      <c r="E39" s="1" t="s">
        <v>3130</v>
      </c>
      <c r="F39" s="1" t="s">
        <v>7</v>
      </c>
      <c r="G39" s="134">
        <v>12.5</v>
      </c>
      <c r="H39" s="1" t="s">
        <v>3164</v>
      </c>
      <c r="I39" s="16" t="s">
        <v>3175</v>
      </c>
    </row>
    <row r="40" spans="4:10" x14ac:dyDescent="0.25">
      <c r="D40" s="14" t="s">
        <v>3142</v>
      </c>
      <c r="E40" s="1" t="s">
        <v>3130</v>
      </c>
      <c r="F40" s="1" t="s">
        <v>7</v>
      </c>
      <c r="G40" s="134">
        <v>7</v>
      </c>
      <c r="H40" s="1" t="s">
        <v>3165</v>
      </c>
      <c r="I40" s="16" t="s">
        <v>3176</v>
      </c>
    </row>
    <row r="41" spans="4:10" ht="16.5" thickBot="1" x14ac:dyDescent="0.3">
      <c r="D41" s="25" t="s">
        <v>3142</v>
      </c>
      <c r="E41" s="18" t="s">
        <v>23</v>
      </c>
      <c r="F41" s="18" t="s">
        <v>7</v>
      </c>
      <c r="G41" s="136">
        <v>1904.5</v>
      </c>
      <c r="H41" s="18" t="s">
        <v>3166</v>
      </c>
      <c r="I41" s="27" t="s">
        <v>3167</v>
      </c>
    </row>
  </sheetData>
  <pageMargins left="0.7" right="0.7" top="0.75" bottom="0.75" header="0.3" footer="0.3"/>
  <pageSetup paperSize="256" orientation="portrait" horizontalDpi="203" verticalDpi="203" r:id="rId1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D776AB-053A-4158-A61D-07A6ACDD7789}">
  <sheetPr codeName="Hoja64"/>
  <dimension ref="D3:K31"/>
  <sheetViews>
    <sheetView topLeftCell="A4" workbookViewId="0">
      <selection activeCell="I17" sqref="I17"/>
    </sheetView>
  </sheetViews>
  <sheetFormatPr baseColWidth="10" defaultRowHeight="15.75" x14ac:dyDescent="0.25"/>
  <cols>
    <col min="4" max="4" width="11" style="3"/>
    <col min="5" max="5" width="23" style="3" customWidth="1"/>
    <col min="6" max="7" width="11" style="3"/>
    <col min="8" max="8" width="23.25" style="3" customWidth="1"/>
    <col min="9" max="9" width="29.375" style="3" bestFit="1" customWidth="1"/>
    <col min="10" max="10" width="23.875" style="3" bestFit="1" customWidth="1"/>
  </cols>
  <sheetData>
    <row r="3" spans="4:9" x14ac:dyDescent="0.25">
      <c r="D3" s="1" t="s">
        <v>0</v>
      </c>
      <c r="E3" s="1" t="s">
        <v>1</v>
      </c>
      <c r="F3" s="1" t="s">
        <v>2</v>
      </c>
      <c r="G3" s="1" t="s">
        <v>3</v>
      </c>
      <c r="H3" s="1" t="s">
        <v>4</v>
      </c>
      <c r="I3" s="1"/>
    </row>
    <row r="4" spans="4:9" x14ac:dyDescent="0.25">
      <c r="D4" s="1"/>
      <c r="E4" s="1"/>
      <c r="F4" s="1"/>
      <c r="G4" s="1"/>
      <c r="H4" s="1"/>
      <c r="I4" s="1"/>
    </row>
    <row r="5" spans="4:9" x14ac:dyDescent="0.25">
      <c r="D5" s="28" t="s">
        <v>3211</v>
      </c>
      <c r="E5" s="28" t="s">
        <v>3244</v>
      </c>
      <c r="F5" s="28" t="s">
        <v>7</v>
      </c>
      <c r="G5" s="28">
        <v>-429.12</v>
      </c>
      <c r="H5" s="28" t="s">
        <v>3245</v>
      </c>
      <c r="I5" s="28" t="s">
        <v>3263</v>
      </c>
    </row>
    <row r="6" spans="4:9" x14ac:dyDescent="0.25">
      <c r="D6" s="1" t="s">
        <v>3211</v>
      </c>
      <c r="E6" s="1" t="s">
        <v>3246</v>
      </c>
      <c r="F6" s="1" t="s">
        <v>7</v>
      </c>
      <c r="G6" s="1">
        <v>90</v>
      </c>
      <c r="H6" s="1" t="s">
        <v>3247</v>
      </c>
      <c r="I6" s="1" t="s">
        <v>3267</v>
      </c>
    </row>
    <row r="7" spans="4:9" x14ac:dyDescent="0.25">
      <c r="D7" s="1" t="s">
        <v>3211</v>
      </c>
      <c r="E7" s="1" t="s">
        <v>3248</v>
      </c>
      <c r="F7" s="1" t="s">
        <v>7</v>
      </c>
      <c r="G7" s="1">
        <v>12</v>
      </c>
      <c r="H7" s="1" t="s">
        <v>3249</v>
      </c>
      <c r="I7" s="1" t="s">
        <v>3265</v>
      </c>
    </row>
    <row r="8" spans="4:9" x14ac:dyDescent="0.25">
      <c r="D8" s="28" t="s">
        <v>3211</v>
      </c>
      <c r="E8" s="28" t="s">
        <v>69</v>
      </c>
      <c r="F8" s="28" t="s">
        <v>7</v>
      </c>
      <c r="G8" s="28">
        <v>-241.6</v>
      </c>
      <c r="H8" s="28" t="s">
        <v>3250</v>
      </c>
      <c r="I8" s="28" t="s">
        <v>3266</v>
      </c>
    </row>
    <row r="9" spans="4:9" x14ac:dyDescent="0.25">
      <c r="D9" s="28" t="s">
        <v>3211</v>
      </c>
      <c r="E9" s="28" t="s">
        <v>472</v>
      </c>
      <c r="F9" s="28" t="s">
        <v>7</v>
      </c>
      <c r="G9" s="28">
        <v>-476</v>
      </c>
      <c r="H9" s="28" t="s">
        <v>3251</v>
      </c>
      <c r="I9" s="28" t="s">
        <v>3268</v>
      </c>
    </row>
    <row r="10" spans="4:9" x14ac:dyDescent="0.25">
      <c r="D10" s="28" t="s">
        <v>3211</v>
      </c>
      <c r="E10" s="28" t="s">
        <v>3252</v>
      </c>
      <c r="F10" s="28" t="s">
        <v>7</v>
      </c>
      <c r="G10" s="28">
        <v>-330</v>
      </c>
      <c r="H10" s="28" t="s">
        <v>3253</v>
      </c>
      <c r="I10" s="28" t="s">
        <v>3262</v>
      </c>
    </row>
    <row r="11" spans="4:9" x14ac:dyDescent="0.25">
      <c r="D11" s="1" t="s">
        <v>3211</v>
      </c>
      <c r="E11" s="1" t="s">
        <v>3254</v>
      </c>
      <c r="F11" s="1" t="s">
        <v>7</v>
      </c>
      <c r="G11" s="1">
        <v>272</v>
      </c>
      <c r="H11" s="1" t="s">
        <v>3255</v>
      </c>
      <c r="I11" s="1" t="s">
        <v>68</v>
      </c>
    </row>
    <row r="12" spans="4:9" x14ac:dyDescent="0.25">
      <c r="D12" s="1" t="s">
        <v>3211</v>
      </c>
      <c r="E12" s="1" t="s">
        <v>3256</v>
      </c>
      <c r="F12" s="1" t="s">
        <v>7</v>
      </c>
      <c r="G12" s="1">
        <v>3</v>
      </c>
      <c r="H12" s="1" t="s">
        <v>3257</v>
      </c>
      <c r="I12" s="1" t="s">
        <v>3261</v>
      </c>
    </row>
    <row r="13" spans="4:9" x14ac:dyDescent="0.25">
      <c r="D13" s="1" t="s">
        <v>3211</v>
      </c>
      <c r="E13" s="1" t="s">
        <v>262</v>
      </c>
      <c r="F13" s="1" t="s">
        <v>7</v>
      </c>
      <c r="G13" s="1">
        <v>120</v>
      </c>
      <c r="H13" s="1" t="s">
        <v>3258</v>
      </c>
      <c r="I13" s="1" t="s">
        <v>832</v>
      </c>
    </row>
    <row r="14" spans="4:9" x14ac:dyDescent="0.25">
      <c r="D14" s="1" t="s">
        <v>3211</v>
      </c>
      <c r="E14" s="1" t="s">
        <v>262</v>
      </c>
      <c r="F14" s="1" t="s">
        <v>7</v>
      </c>
      <c r="G14" s="1">
        <v>500</v>
      </c>
      <c r="H14" s="1" t="s">
        <v>3259</v>
      </c>
      <c r="I14" s="1" t="s">
        <v>832</v>
      </c>
    </row>
    <row r="15" spans="4:9" x14ac:dyDescent="0.25">
      <c r="D15" s="1" t="s">
        <v>3211</v>
      </c>
      <c r="E15" s="1" t="s">
        <v>262</v>
      </c>
      <c r="F15" s="1" t="s">
        <v>7</v>
      </c>
      <c r="G15" s="1">
        <v>500</v>
      </c>
      <c r="H15" s="1" t="s">
        <v>3260</v>
      </c>
      <c r="I15" s="1" t="s">
        <v>832</v>
      </c>
    </row>
    <row r="16" spans="4:9" x14ac:dyDescent="0.25">
      <c r="D16" s="1" t="s">
        <v>3211</v>
      </c>
      <c r="E16" s="1" t="s">
        <v>3212</v>
      </c>
      <c r="F16" s="1" t="s">
        <v>7</v>
      </c>
      <c r="G16" s="1">
        <v>8</v>
      </c>
      <c r="H16" s="1" t="s">
        <v>3213</v>
      </c>
      <c r="I16" s="1" t="s">
        <v>3242</v>
      </c>
    </row>
    <row r="17" spans="4:11" x14ac:dyDescent="0.25">
      <c r="D17" s="1" t="s">
        <v>3211</v>
      </c>
      <c r="E17" s="1" t="s">
        <v>1259</v>
      </c>
      <c r="F17" s="1" t="s">
        <v>7</v>
      </c>
      <c r="G17" s="1">
        <v>2.5</v>
      </c>
      <c r="H17" s="1" t="s">
        <v>3214</v>
      </c>
      <c r="I17" s="1" t="s">
        <v>3241</v>
      </c>
    </row>
    <row r="18" spans="4:11" x14ac:dyDescent="0.25">
      <c r="D18" s="1" t="s">
        <v>3211</v>
      </c>
      <c r="E18" s="1" t="s">
        <v>3215</v>
      </c>
      <c r="F18" s="1" t="s">
        <v>7</v>
      </c>
      <c r="G18" s="1">
        <v>47</v>
      </c>
      <c r="H18" s="1" t="s">
        <v>3216</v>
      </c>
      <c r="I18" s="1" t="s">
        <v>3240</v>
      </c>
    </row>
    <row r="19" spans="4:11" x14ac:dyDescent="0.25">
      <c r="D19" s="1" t="s">
        <v>3211</v>
      </c>
      <c r="E19" s="1" t="s">
        <v>23</v>
      </c>
      <c r="F19" s="1" t="s">
        <v>7</v>
      </c>
      <c r="G19" s="1">
        <v>30</v>
      </c>
      <c r="H19" s="1" t="s">
        <v>3217</v>
      </c>
      <c r="I19" s="1" t="s">
        <v>660</v>
      </c>
    </row>
    <row r="20" spans="4:11" x14ac:dyDescent="0.25">
      <c r="D20" s="1" t="s">
        <v>3211</v>
      </c>
      <c r="E20" s="1" t="s">
        <v>23</v>
      </c>
      <c r="F20" s="1" t="s">
        <v>7</v>
      </c>
      <c r="G20" s="1">
        <v>2880</v>
      </c>
      <c r="H20" s="1" t="s">
        <v>3218</v>
      </c>
      <c r="I20" s="1" t="s">
        <v>660</v>
      </c>
    </row>
    <row r="21" spans="4:11" x14ac:dyDescent="0.25">
      <c r="D21" s="1" t="s">
        <v>3211</v>
      </c>
      <c r="E21" s="1" t="s">
        <v>23</v>
      </c>
      <c r="F21" s="1" t="s">
        <v>7</v>
      </c>
      <c r="G21" s="1">
        <v>561.20000000000005</v>
      </c>
      <c r="H21" s="1" t="s">
        <v>3219</v>
      </c>
      <c r="I21" s="1" t="s">
        <v>3243</v>
      </c>
    </row>
    <row r="22" spans="4:11" x14ac:dyDescent="0.25">
      <c r="D22" s="1" t="s">
        <v>3211</v>
      </c>
      <c r="E22" s="1" t="s">
        <v>23</v>
      </c>
      <c r="F22" s="1" t="s">
        <v>7</v>
      </c>
      <c r="G22" s="1">
        <v>345.5</v>
      </c>
      <c r="H22" s="1" t="s">
        <v>3220</v>
      </c>
      <c r="I22" s="1" t="s">
        <v>660</v>
      </c>
    </row>
    <row r="23" spans="4:11" x14ac:dyDescent="0.25">
      <c r="D23" s="1" t="s">
        <v>3211</v>
      </c>
      <c r="E23" s="1" t="s">
        <v>3221</v>
      </c>
      <c r="F23" s="1" t="s">
        <v>7</v>
      </c>
      <c r="G23" s="1">
        <v>5</v>
      </c>
      <c r="H23" s="1" t="s">
        <v>3222</v>
      </c>
      <c r="I23" s="1" t="s">
        <v>3239</v>
      </c>
    </row>
    <row r="24" spans="4:11" x14ac:dyDescent="0.25">
      <c r="D24" s="36" t="s">
        <v>3211</v>
      </c>
      <c r="E24" s="36" t="s">
        <v>23</v>
      </c>
      <c r="F24" s="36" t="s">
        <v>7</v>
      </c>
      <c r="G24" s="36">
        <v>1360</v>
      </c>
      <c r="H24" s="36" t="s">
        <v>3223</v>
      </c>
      <c r="I24" s="36" t="s">
        <v>52</v>
      </c>
      <c r="J24" s="3" t="s">
        <v>3309</v>
      </c>
      <c r="K24">
        <f>2000-1360</f>
        <v>640</v>
      </c>
    </row>
    <row r="25" spans="4:11" x14ac:dyDescent="0.25">
      <c r="D25" s="1" t="s">
        <v>3211</v>
      </c>
      <c r="E25" s="1" t="s">
        <v>23</v>
      </c>
      <c r="F25" s="1" t="s">
        <v>7</v>
      </c>
      <c r="G25" s="1">
        <v>120</v>
      </c>
      <c r="H25" s="1" t="s">
        <v>3224</v>
      </c>
      <c r="I25" s="1" t="s">
        <v>3264</v>
      </c>
    </row>
    <row r="26" spans="4:11" x14ac:dyDescent="0.25">
      <c r="D26" s="1" t="s">
        <v>3211</v>
      </c>
      <c r="E26" s="1" t="s">
        <v>23</v>
      </c>
      <c r="F26" s="1" t="s">
        <v>7</v>
      </c>
      <c r="G26" s="1">
        <v>880</v>
      </c>
      <c r="H26" s="1" t="s">
        <v>3225</v>
      </c>
      <c r="I26" s="1" t="s">
        <v>3264</v>
      </c>
    </row>
    <row r="27" spans="4:11" x14ac:dyDescent="0.25">
      <c r="D27" s="1" t="s">
        <v>3211</v>
      </c>
      <c r="E27" s="1" t="s">
        <v>3226</v>
      </c>
      <c r="F27" s="1" t="s">
        <v>7</v>
      </c>
      <c r="G27" s="1">
        <v>5.7</v>
      </c>
      <c r="H27" s="1" t="s">
        <v>3227</v>
      </c>
      <c r="I27" s="1" t="s">
        <v>3237</v>
      </c>
    </row>
    <row r="28" spans="4:11" x14ac:dyDescent="0.25">
      <c r="D28" s="1" t="s">
        <v>3211</v>
      </c>
      <c r="E28" s="1" t="s">
        <v>3228</v>
      </c>
      <c r="F28" s="1" t="s">
        <v>7</v>
      </c>
      <c r="G28" s="1">
        <v>42</v>
      </c>
      <c r="H28" s="1" t="s">
        <v>3229</v>
      </c>
      <c r="I28" s="1" t="s">
        <v>3238</v>
      </c>
    </row>
    <row r="29" spans="4:11" x14ac:dyDescent="0.25">
      <c r="D29" s="1" t="s">
        <v>3211</v>
      </c>
      <c r="E29" s="1" t="s">
        <v>1259</v>
      </c>
      <c r="F29" s="1" t="s">
        <v>7</v>
      </c>
      <c r="G29" s="1">
        <v>24</v>
      </c>
      <c r="H29" s="1" t="s">
        <v>3230</v>
      </c>
      <c r="I29" s="1" t="s">
        <v>3236</v>
      </c>
    </row>
    <row r="30" spans="4:11" x14ac:dyDescent="0.25">
      <c r="D30" s="1" t="s">
        <v>3211</v>
      </c>
      <c r="E30" s="1" t="s">
        <v>1259</v>
      </c>
      <c r="F30" s="1" t="s">
        <v>7</v>
      </c>
      <c r="G30" s="1">
        <v>5</v>
      </c>
      <c r="H30" s="1" t="s">
        <v>3231</v>
      </c>
      <c r="I30" s="1" t="s">
        <v>3235</v>
      </c>
    </row>
    <row r="31" spans="4:11" x14ac:dyDescent="0.25">
      <c r="D31" s="1" t="s">
        <v>3211</v>
      </c>
      <c r="E31" s="1" t="s">
        <v>3232</v>
      </c>
      <c r="F31" s="1" t="s">
        <v>7</v>
      </c>
      <c r="G31" s="1">
        <v>56.5</v>
      </c>
      <c r="H31" s="1" t="s">
        <v>3233</v>
      </c>
      <c r="I31" s="1" t="s">
        <v>3234</v>
      </c>
    </row>
  </sheetData>
  <pageMargins left="0.7" right="0.7" top="0.75" bottom="0.75" header="0.3" footer="0.3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584888-FB13-40EA-BC24-D19FC0141AFB}">
  <sheetPr codeName="Hoja65"/>
  <dimension ref="C3:I26"/>
  <sheetViews>
    <sheetView workbookViewId="0">
      <selection activeCell="C7" sqref="C7:H7"/>
    </sheetView>
  </sheetViews>
  <sheetFormatPr baseColWidth="10" defaultRowHeight="15.75" x14ac:dyDescent="0.25"/>
  <cols>
    <col min="3" max="3" width="11" style="3"/>
    <col min="4" max="4" width="25.75" style="3" customWidth="1"/>
    <col min="5" max="6" width="11" style="3"/>
    <col min="7" max="7" width="18.75" style="3" bestFit="1" customWidth="1"/>
    <col min="8" max="8" width="33.375" style="3" customWidth="1"/>
    <col min="9" max="9" width="11" style="3"/>
  </cols>
  <sheetData>
    <row r="3" spans="3:9" ht="16.5" thickBot="1" x14ac:dyDescent="0.3"/>
    <row r="4" spans="3:9" x14ac:dyDescent="0.25">
      <c r="C4" s="11" t="s">
        <v>0</v>
      </c>
      <c r="D4" s="12" t="s">
        <v>1</v>
      </c>
      <c r="E4" s="12" t="s">
        <v>2</v>
      </c>
      <c r="F4" s="12" t="s">
        <v>3</v>
      </c>
      <c r="G4" s="12" t="s">
        <v>4</v>
      </c>
      <c r="H4" s="12"/>
      <c r="I4" s="13"/>
    </row>
    <row r="5" spans="3:9" x14ac:dyDescent="0.25">
      <c r="C5" s="14" t="s">
        <v>3269</v>
      </c>
      <c r="D5" s="1" t="s">
        <v>3005</v>
      </c>
      <c r="E5" s="1" t="s">
        <v>7</v>
      </c>
      <c r="F5" s="1">
        <v>207</v>
      </c>
      <c r="G5" s="1" t="s">
        <v>3295</v>
      </c>
      <c r="H5" s="1" t="s">
        <v>3308</v>
      </c>
      <c r="I5" s="16"/>
    </row>
    <row r="6" spans="3:9" x14ac:dyDescent="0.25">
      <c r="C6" s="14" t="s">
        <v>3269</v>
      </c>
      <c r="D6" s="1" t="s">
        <v>23</v>
      </c>
      <c r="E6" s="1" t="s">
        <v>7</v>
      </c>
      <c r="F6" s="1">
        <v>80</v>
      </c>
      <c r="G6" s="1" t="s">
        <v>3296</v>
      </c>
      <c r="H6" s="1" t="s">
        <v>3307</v>
      </c>
      <c r="I6" s="16"/>
    </row>
    <row r="7" spans="3:9" x14ac:dyDescent="0.25">
      <c r="C7" s="14" t="s">
        <v>3269</v>
      </c>
      <c r="D7" s="1" t="s">
        <v>23</v>
      </c>
      <c r="E7" s="1" t="s">
        <v>7</v>
      </c>
      <c r="F7" s="1">
        <v>353</v>
      </c>
      <c r="G7" s="1" t="s">
        <v>3297</v>
      </c>
      <c r="H7" s="1" t="s">
        <v>590</v>
      </c>
      <c r="I7" s="16"/>
    </row>
    <row r="8" spans="3:9" x14ac:dyDescent="0.25">
      <c r="C8" s="14" t="s">
        <v>3269</v>
      </c>
      <c r="D8" s="1" t="s">
        <v>3254</v>
      </c>
      <c r="E8" s="1" t="s">
        <v>7</v>
      </c>
      <c r="F8" s="1">
        <v>76</v>
      </c>
      <c r="G8" s="1" t="s">
        <v>3298</v>
      </c>
      <c r="H8" s="1" t="s">
        <v>68</v>
      </c>
      <c r="I8" s="16"/>
    </row>
    <row r="9" spans="3:9" x14ac:dyDescent="0.25">
      <c r="C9" s="14" t="s">
        <v>3269</v>
      </c>
      <c r="D9" s="1" t="s">
        <v>23</v>
      </c>
      <c r="E9" s="1" t="s">
        <v>7</v>
      </c>
      <c r="F9" s="1">
        <v>225</v>
      </c>
      <c r="G9" s="1" t="s">
        <v>3299</v>
      </c>
      <c r="H9" s="1" t="s">
        <v>210</v>
      </c>
      <c r="I9" s="16"/>
    </row>
    <row r="10" spans="3:9" x14ac:dyDescent="0.25">
      <c r="C10" s="14" t="s">
        <v>3269</v>
      </c>
      <c r="D10" s="1" t="s">
        <v>3300</v>
      </c>
      <c r="E10" s="1" t="s">
        <v>7</v>
      </c>
      <c r="F10" s="1">
        <v>197.2</v>
      </c>
      <c r="G10" s="1" t="s">
        <v>3301</v>
      </c>
      <c r="H10" s="1" t="s">
        <v>3306</v>
      </c>
      <c r="I10" s="16"/>
    </row>
    <row r="11" spans="3:9" x14ac:dyDescent="0.25">
      <c r="C11" s="14" t="s">
        <v>3269</v>
      </c>
      <c r="D11" s="1" t="s">
        <v>3300</v>
      </c>
      <c r="E11" s="1" t="s">
        <v>7</v>
      </c>
      <c r="F11" s="1">
        <v>500</v>
      </c>
      <c r="G11" s="1" t="s">
        <v>3302</v>
      </c>
      <c r="H11" s="1" t="s">
        <v>3306</v>
      </c>
      <c r="I11" s="16"/>
    </row>
    <row r="12" spans="3:9" x14ac:dyDescent="0.25">
      <c r="C12" s="14" t="s">
        <v>3269</v>
      </c>
      <c r="D12" s="1" t="s">
        <v>3303</v>
      </c>
      <c r="E12" s="1" t="s">
        <v>7</v>
      </c>
      <c r="F12" s="1">
        <v>15</v>
      </c>
      <c r="G12" s="1" t="s">
        <v>3304</v>
      </c>
      <c r="H12" s="1" t="s">
        <v>3305</v>
      </c>
      <c r="I12" s="16"/>
    </row>
    <row r="13" spans="3:9" x14ac:dyDescent="0.25">
      <c r="C13" s="14" t="s">
        <v>3269</v>
      </c>
      <c r="D13" s="1" t="s">
        <v>23</v>
      </c>
      <c r="E13" s="1" t="s">
        <v>7</v>
      </c>
      <c r="F13" s="1">
        <v>575</v>
      </c>
      <c r="G13" s="1" t="s">
        <v>3270</v>
      </c>
      <c r="H13" s="1" t="s">
        <v>2200</v>
      </c>
      <c r="I13" s="16"/>
    </row>
    <row r="14" spans="3:9" x14ac:dyDescent="0.25">
      <c r="C14" s="14" t="s">
        <v>3269</v>
      </c>
      <c r="D14" s="1" t="s">
        <v>3271</v>
      </c>
      <c r="E14" s="1" t="s">
        <v>7</v>
      </c>
      <c r="F14" s="1">
        <v>70</v>
      </c>
      <c r="G14" s="1" t="s">
        <v>3272</v>
      </c>
      <c r="H14" s="1" t="s">
        <v>1270</v>
      </c>
      <c r="I14" s="16"/>
    </row>
    <row r="15" spans="3:9" x14ac:dyDescent="0.25">
      <c r="C15" s="14" t="s">
        <v>3269</v>
      </c>
      <c r="D15" s="1" t="s">
        <v>23</v>
      </c>
      <c r="E15" s="1" t="s">
        <v>7</v>
      </c>
      <c r="F15" s="1">
        <v>20</v>
      </c>
      <c r="G15" s="1" t="s">
        <v>3273</v>
      </c>
      <c r="H15" s="1" t="s">
        <v>3294</v>
      </c>
      <c r="I15" s="16"/>
    </row>
    <row r="16" spans="3:9" x14ac:dyDescent="0.25">
      <c r="C16" s="14" t="s">
        <v>3269</v>
      </c>
      <c r="D16" s="1" t="s">
        <v>23</v>
      </c>
      <c r="E16" s="1" t="s">
        <v>7</v>
      </c>
      <c r="F16" s="1">
        <v>172.5</v>
      </c>
      <c r="G16" s="1" t="s">
        <v>3274</v>
      </c>
      <c r="H16" s="1" t="s">
        <v>660</v>
      </c>
      <c r="I16" s="16"/>
    </row>
    <row r="17" spans="3:9" x14ac:dyDescent="0.25">
      <c r="C17" s="14" t="s">
        <v>3269</v>
      </c>
      <c r="D17" s="1" t="s">
        <v>3275</v>
      </c>
      <c r="E17" s="1" t="s">
        <v>7</v>
      </c>
      <c r="F17" s="1">
        <v>5</v>
      </c>
      <c r="G17" s="1" t="s">
        <v>3276</v>
      </c>
      <c r="H17" s="1" t="s">
        <v>3292</v>
      </c>
      <c r="I17" s="16"/>
    </row>
    <row r="18" spans="3:9" x14ac:dyDescent="0.25">
      <c r="C18" s="14" t="s">
        <v>3269</v>
      </c>
      <c r="D18" s="1" t="s">
        <v>3277</v>
      </c>
      <c r="E18" s="1" t="s">
        <v>7</v>
      </c>
      <c r="F18" s="1">
        <v>239</v>
      </c>
      <c r="G18" s="1" t="s">
        <v>3278</v>
      </c>
      <c r="H18" s="1" t="s">
        <v>3291</v>
      </c>
      <c r="I18" s="16"/>
    </row>
    <row r="19" spans="3:9" x14ac:dyDescent="0.25">
      <c r="C19" s="14" t="s">
        <v>3269</v>
      </c>
      <c r="D19" s="1" t="s">
        <v>3277</v>
      </c>
      <c r="E19" s="1" t="s">
        <v>7</v>
      </c>
      <c r="F19" s="1">
        <v>500</v>
      </c>
      <c r="G19" s="1" t="s">
        <v>3279</v>
      </c>
      <c r="H19" s="1" t="s">
        <v>3291</v>
      </c>
      <c r="I19" s="16"/>
    </row>
    <row r="20" spans="3:9" x14ac:dyDescent="0.25">
      <c r="C20" s="14" t="s">
        <v>3269</v>
      </c>
      <c r="D20" s="1" t="s">
        <v>3277</v>
      </c>
      <c r="E20" s="1" t="s">
        <v>7</v>
      </c>
      <c r="F20" s="1">
        <v>500</v>
      </c>
      <c r="G20" s="1" t="s">
        <v>3280</v>
      </c>
      <c r="H20" s="1" t="s">
        <v>3291</v>
      </c>
      <c r="I20" s="16"/>
    </row>
    <row r="21" spans="3:9" x14ac:dyDescent="0.25">
      <c r="C21" s="14" t="s">
        <v>3269</v>
      </c>
      <c r="D21" s="1" t="s">
        <v>3281</v>
      </c>
      <c r="E21" s="1" t="s">
        <v>7</v>
      </c>
      <c r="F21" s="1">
        <v>7</v>
      </c>
      <c r="G21" s="1" t="s">
        <v>3282</v>
      </c>
      <c r="H21" s="1" t="s">
        <v>3293</v>
      </c>
      <c r="I21" s="16"/>
    </row>
    <row r="22" spans="3:9" x14ac:dyDescent="0.25">
      <c r="C22" s="29" t="s">
        <v>3269</v>
      </c>
      <c r="D22" s="28" t="s">
        <v>2625</v>
      </c>
      <c r="E22" s="28" t="s">
        <v>7</v>
      </c>
      <c r="F22" s="28">
        <v>-17</v>
      </c>
      <c r="G22" s="28" t="s">
        <v>3283</v>
      </c>
      <c r="H22" s="28" t="s">
        <v>3290</v>
      </c>
      <c r="I22" s="16"/>
    </row>
    <row r="23" spans="3:9" x14ac:dyDescent="0.25">
      <c r="C23" s="14" t="s">
        <v>3269</v>
      </c>
      <c r="D23" s="1" t="s">
        <v>2625</v>
      </c>
      <c r="E23" s="1" t="s">
        <v>7</v>
      </c>
      <c r="F23" s="1">
        <v>184.5</v>
      </c>
      <c r="G23" s="1" t="s">
        <v>3284</v>
      </c>
      <c r="H23" s="1" t="s">
        <v>52</v>
      </c>
      <c r="I23" s="16"/>
    </row>
    <row r="24" spans="3:9" x14ac:dyDescent="0.25">
      <c r="C24" s="29" t="s">
        <v>3269</v>
      </c>
      <c r="D24" s="28" t="s">
        <v>3252</v>
      </c>
      <c r="E24" s="28" t="s">
        <v>7</v>
      </c>
      <c r="F24" s="28">
        <v>-190</v>
      </c>
      <c r="G24" s="28" t="s">
        <v>3285</v>
      </c>
      <c r="H24" s="28" t="s">
        <v>3288</v>
      </c>
      <c r="I24" s="30" t="s">
        <v>3289</v>
      </c>
    </row>
    <row r="25" spans="3:9" x14ac:dyDescent="0.25">
      <c r="C25" s="29" t="s">
        <v>3269</v>
      </c>
      <c r="D25" s="28" t="s">
        <v>3252</v>
      </c>
      <c r="E25" s="28" t="s">
        <v>7</v>
      </c>
      <c r="F25" s="28">
        <v>-500</v>
      </c>
      <c r="G25" s="28" t="s">
        <v>3286</v>
      </c>
      <c r="H25" s="28" t="s">
        <v>3288</v>
      </c>
      <c r="I25" s="30" t="s">
        <v>3289</v>
      </c>
    </row>
    <row r="26" spans="3:9" ht="16.5" thickBot="1" x14ac:dyDescent="0.3">
      <c r="C26" s="137" t="s">
        <v>3269</v>
      </c>
      <c r="D26" s="138" t="s">
        <v>3252</v>
      </c>
      <c r="E26" s="138" t="s">
        <v>7</v>
      </c>
      <c r="F26" s="138">
        <v>-500</v>
      </c>
      <c r="G26" s="138" t="s">
        <v>3287</v>
      </c>
      <c r="H26" s="138" t="s">
        <v>3288</v>
      </c>
      <c r="I26" s="139" t="s">
        <v>3289</v>
      </c>
    </row>
  </sheetData>
  <pageMargins left="0.7" right="0.7" top="0.75" bottom="0.75" header="0.3" footer="0.3"/>
  <pageSetup paperSize="256" orientation="portrait" horizontalDpi="203" verticalDpi="203" r:id="rId1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0C5ABF-118E-4594-8942-E61EF9551C29}">
  <sheetPr codeName="Hoja66"/>
  <dimension ref="D4:I38"/>
  <sheetViews>
    <sheetView topLeftCell="A10" workbookViewId="0">
      <selection activeCell="G25" sqref="G25:G27"/>
    </sheetView>
  </sheetViews>
  <sheetFormatPr baseColWidth="10" defaultRowHeight="15.75" x14ac:dyDescent="0.25"/>
  <cols>
    <col min="4" max="4" width="10.375" style="3" bestFit="1" customWidth="1"/>
    <col min="5" max="5" width="22.5" style="3" bestFit="1" customWidth="1"/>
    <col min="6" max="6" width="7.5" style="3" bestFit="1" customWidth="1"/>
    <col min="7" max="7" width="15.75" style="3" customWidth="1"/>
    <col min="8" max="8" width="29.125" style="3" customWidth="1"/>
    <col min="9" max="9" width="25" style="3" customWidth="1"/>
  </cols>
  <sheetData>
    <row r="4" spans="4:9" x14ac:dyDescent="0.25">
      <c r="D4" s="1" t="s">
        <v>0</v>
      </c>
      <c r="E4" s="1" t="s">
        <v>1</v>
      </c>
      <c r="F4" s="1" t="s">
        <v>2</v>
      </c>
      <c r="G4" s="1" t="s">
        <v>3</v>
      </c>
      <c r="H4" s="1" t="s">
        <v>4</v>
      </c>
      <c r="I4" s="1"/>
    </row>
    <row r="5" spans="4:9" x14ac:dyDescent="0.25">
      <c r="D5" s="1"/>
      <c r="E5" s="1"/>
      <c r="F5" s="1"/>
      <c r="G5" s="1"/>
      <c r="H5" s="1"/>
      <c r="I5" s="1"/>
    </row>
    <row r="6" spans="4:9" x14ac:dyDescent="0.25">
      <c r="D6" s="1" t="s">
        <v>3310</v>
      </c>
      <c r="E6" s="1" t="s">
        <v>23</v>
      </c>
      <c r="F6" s="1" t="s">
        <v>7</v>
      </c>
      <c r="G6" s="1">
        <v>2115</v>
      </c>
      <c r="H6" s="1" t="s">
        <v>3350</v>
      </c>
      <c r="I6" s="1" t="s">
        <v>660</v>
      </c>
    </row>
    <row r="7" spans="4:9" x14ac:dyDescent="0.25">
      <c r="D7" s="1" t="s">
        <v>3310</v>
      </c>
      <c r="E7" s="1" t="s">
        <v>3005</v>
      </c>
      <c r="F7" s="1" t="s">
        <v>7</v>
      </c>
      <c r="G7" s="1">
        <v>332</v>
      </c>
      <c r="H7" s="1" t="s">
        <v>3351</v>
      </c>
      <c r="I7" s="1" t="s">
        <v>1227</v>
      </c>
    </row>
    <row r="8" spans="4:9" x14ac:dyDescent="0.25">
      <c r="D8" s="1" t="s">
        <v>3310</v>
      </c>
      <c r="E8" s="1" t="s">
        <v>3179</v>
      </c>
      <c r="F8" s="1" t="s">
        <v>7</v>
      </c>
      <c r="G8" s="1">
        <v>359.1</v>
      </c>
      <c r="H8" s="1" t="s">
        <v>3352</v>
      </c>
      <c r="I8" s="1" t="s">
        <v>68</v>
      </c>
    </row>
    <row r="9" spans="4:9" x14ac:dyDescent="0.25">
      <c r="D9" s="1" t="s">
        <v>3310</v>
      </c>
      <c r="E9" s="1" t="s">
        <v>3353</v>
      </c>
      <c r="F9" s="1" t="s">
        <v>7</v>
      </c>
      <c r="G9" s="1">
        <v>59</v>
      </c>
      <c r="H9" s="1" t="s">
        <v>3354</v>
      </c>
      <c r="I9" s="1" t="s">
        <v>3367</v>
      </c>
    </row>
    <row r="10" spans="4:9" x14ac:dyDescent="0.25">
      <c r="D10" s="1" t="s">
        <v>3310</v>
      </c>
      <c r="E10" s="1" t="s">
        <v>3355</v>
      </c>
      <c r="F10" s="1" t="s">
        <v>7</v>
      </c>
      <c r="G10" s="1">
        <v>272.5</v>
      </c>
      <c r="H10" s="1" t="s">
        <v>3356</v>
      </c>
      <c r="I10" s="1" t="s">
        <v>3366</v>
      </c>
    </row>
    <row r="11" spans="4:9" x14ac:dyDescent="0.25">
      <c r="D11" s="1" t="s">
        <v>3310</v>
      </c>
      <c r="E11" s="1" t="s">
        <v>23</v>
      </c>
      <c r="F11" s="1" t="s">
        <v>7</v>
      </c>
      <c r="G11" s="1">
        <v>178.5</v>
      </c>
      <c r="H11" s="1" t="s">
        <v>3357</v>
      </c>
      <c r="I11" s="1" t="s">
        <v>142</v>
      </c>
    </row>
    <row r="12" spans="4:9" x14ac:dyDescent="0.25">
      <c r="D12" s="1" t="s">
        <v>3310</v>
      </c>
      <c r="E12" s="1" t="s">
        <v>3358</v>
      </c>
      <c r="F12" s="1" t="s">
        <v>7</v>
      </c>
      <c r="G12" s="1">
        <v>200</v>
      </c>
      <c r="H12" s="1" t="s">
        <v>3359</v>
      </c>
      <c r="I12" s="1" t="s">
        <v>3368</v>
      </c>
    </row>
    <row r="13" spans="4:9" x14ac:dyDescent="0.25">
      <c r="D13" s="1" t="s">
        <v>3310</v>
      </c>
      <c r="E13" s="1" t="s">
        <v>3360</v>
      </c>
      <c r="F13" s="1" t="s">
        <v>7</v>
      </c>
      <c r="G13" s="1">
        <v>9</v>
      </c>
      <c r="H13" s="1" t="s">
        <v>3361</v>
      </c>
      <c r="I13" s="1" t="s">
        <v>3365</v>
      </c>
    </row>
    <row r="14" spans="4:9" x14ac:dyDescent="0.25">
      <c r="D14" s="1" t="s">
        <v>3310</v>
      </c>
      <c r="E14" s="1" t="s">
        <v>3362</v>
      </c>
      <c r="F14" s="1" t="s">
        <v>7</v>
      </c>
      <c r="G14" s="1">
        <v>20.5</v>
      </c>
      <c r="H14" s="1" t="s">
        <v>3363</v>
      </c>
      <c r="I14" s="1" t="s">
        <v>3364</v>
      </c>
    </row>
    <row r="15" spans="4:9" x14ac:dyDescent="0.25">
      <c r="D15" s="1" t="s">
        <v>3310</v>
      </c>
      <c r="E15" s="1" t="s">
        <v>3311</v>
      </c>
      <c r="F15" s="1" t="s">
        <v>7</v>
      </c>
      <c r="G15" s="1">
        <v>5</v>
      </c>
      <c r="H15" s="1" t="s">
        <v>3312</v>
      </c>
      <c r="I15" s="1" t="s">
        <v>3345</v>
      </c>
    </row>
    <row r="16" spans="4:9" x14ac:dyDescent="0.25">
      <c r="D16" s="1" t="s">
        <v>3310</v>
      </c>
      <c r="E16" s="1" t="s">
        <v>3313</v>
      </c>
      <c r="F16" s="1" t="s">
        <v>7</v>
      </c>
      <c r="G16" s="1">
        <v>300</v>
      </c>
      <c r="H16" s="1" t="s">
        <v>3314</v>
      </c>
      <c r="I16" s="1" t="s">
        <v>3346</v>
      </c>
    </row>
    <row r="17" spans="4:9" x14ac:dyDescent="0.25">
      <c r="D17" s="1" t="s">
        <v>3310</v>
      </c>
      <c r="E17" s="1" t="s">
        <v>3313</v>
      </c>
      <c r="F17" s="1" t="s">
        <v>7</v>
      </c>
      <c r="G17" s="1">
        <v>500</v>
      </c>
      <c r="H17" s="1" t="s">
        <v>3315</v>
      </c>
      <c r="I17" s="1" t="s">
        <v>3346</v>
      </c>
    </row>
    <row r="18" spans="4:9" x14ac:dyDescent="0.25">
      <c r="D18" s="1" t="s">
        <v>3310</v>
      </c>
      <c r="E18" s="1" t="s">
        <v>509</v>
      </c>
      <c r="F18" s="1" t="s">
        <v>7</v>
      </c>
      <c r="G18" s="1">
        <v>542</v>
      </c>
      <c r="H18" s="1" t="s">
        <v>3316</v>
      </c>
      <c r="I18" s="1" t="s">
        <v>3344</v>
      </c>
    </row>
    <row r="19" spans="4:9" x14ac:dyDescent="0.25">
      <c r="D19" s="36" t="s">
        <v>3310</v>
      </c>
      <c r="E19" s="36" t="s">
        <v>17</v>
      </c>
      <c r="F19" s="36" t="s">
        <v>7</v>
      </c>
      <c r="G19" s="36">
        <v>300</v>
      </c>
      <c r="H19" s="36" t="s">
        <v>3317</v>
      </c>
      <c r="I19" s="36"/>
    </row>
    <row r="20" spans="4:9" x14ac:dyDescent="0.25">
      <c r="D20" s="1" t="s">
        <v>3310</v>
      </c>
      <c r="E20" s="1" t="s">
        <v>3318</v>
      </c>
      <c r="F20" s="1" t="s">
        <v>7</v>
      </c>
      <c r="G20" s="1">
        <v>45</v>
      </c>
      <c r="H20" s="1" t="s">
        <v>3319</v>
      </c>
      <c r="I20" s="1" t="s">
        <v>3343</v>
      </c>
    </row>
    <row r="21" spans="4:9" x14ac:dyDescent="0.25">
      <c r="D21" s="1" t="s">
        <v>3310</v>
      </c>
      <c r="E21" s="1" t="s">
        <v>3028</v>
      </c>
      <c r="F21" s="1" t="s">
        <v>7</v>
      </c>
      <c r="G21" s="1">
        <v>10</v>
      </c>
      <c r="H21" s="1" t="s">
        <v>3320</v>
      </c>
      <c r="I21" s="1" t="s">
        <v>3348</v>
      </c>
    </row>
    <row r="22" spans="4:9" x14ac:dyDescent="0.25">
      <c r="D22" s="28" t="s">
        <v>3310</v>
      </c>
      <c r="E22" s="28" t="s">
        <v>2625</v>
      </c>
      <c r="F22" s="28" t="s">
        <v>7</v>
      </c>
      <c r="G22" s="28">
        <v>-13</v>
      </c>
      <c r="H22" s="28" t="s">
        <v>3321</v>
      </c>
      <c r="I22" s="28" t="s">
        <v>3342</v>
      </c>
    </row>
    <row r="23" spans="4:9" x14ac:dyDescent="0.25">
      <c r="D23" s="1" t="s">
        <v>3310</v>
      </c>
      <c r="E23" s="1" t="s">
        <v>3322</v>
      </c>
      <c r="F23" s="1" t="s">
        <v>7</v>
      </c>
      <c r="G23" s="1">
        <v>34</v>
      </c>
      <c r="H23" s="1" t="s">
        <v>3323</v>
      </c>
      <c r="I23" s="1" t="s">
        <v>3341</v>
      </c>
    </row>
    <row r="24" spans="4:9" x14ac:dyDescent="0.25">
      <c r="D24" s="28" t="s">
        <v>3310</v>
      </c>
      <c r="E24" s="28" t="s">
        <v>172</v>
      </c>
      <c r="F24" s="28" t="s">
        <v>7</v>
      </c>
      <c r="G24" s="28">
        <v>-36082</v>
      </c>
      <c r="H24" s="28" t="s">
        <v>3324</v>
      </c>
      <c r="I24" s="28" t="s">
        <v>3349</v>
      </c>
    </row>
    <row r="25" spans="4:9" x14ac:dyDescent="0.25">
      <c r="D25" s="36" t="s">
        <v>3310</v>
      </c>
      <c r="E25" s="36" t="s">
        <v>262</v>
      </c>
      <c r="F25" s="36" t="s">
        <v>7</v>
      </c>
      <c r="G25" s="36">
        <v>20</v>
      </c>
      <c r="H25" s="36" t="s">
        <v>3325</v>
      </c>
      <c r="I25" s="36" t="s">
        <v>832</v>
      </c>
    </row>
    <row r="26" spans="4:9" x14ac:dyDescent="0.25">
      <c r="D26" s="36" t="s">
        <v>3310</v>
      </c>
      <c r="E26" s="36" t="s">
        <v>262</v>
      </c>
      <c r="F26" s="36" t="s">
        <v>7</v>
      </c>
      <c r="G26" s="36">
        <v>500</v>
      </c>
      <c r="H26" s="36" t="s">
        <v>3326</v>
      </c>
      <c r="I26" s="36" t="s">
        <v>832</v>
      </c>
    </row>
    <row r="27" spans="4:9" x14ac:dyDescent="0.25">
      <c r="D27" s="36" t="s">
        <v>3310</v>
      </c>
      <c r="E27" s="36" t="s">
        <v>262</v>
      </c>
      <c r="F27" s="36" t="s">
        <v>7</v>
      </c>
      <c r="G27" s="36">
        <v>500</v>
      </c>
      <c r="H27" s="36" t="s">
        <v>3327</v>
      </c>
      <c r="I27" s="36" t="s">
        <v>832</v>
      </c>
    </row>
    <row r="28" spans="4:9" x14ac:dyDescent="0.25">
      <c r="D28" s="1" t="s">
        <v>3310</v>
      </c>
      <c r="E28" s="1" t="s">
        <v>23</v>
      </c>
      <c r="F28" s="1" t="s">
        <v>7</v>
      </c>
      <c r="G28" s="1">
        <v>1754.5</v>
      </c>
      <c r="H28" s="1" t="s">
        <v>3328</v>
      </c>
      <c r="I28" s="1" t="s">
        <v>1924</v>
      </c>
    </row>
    <row r="29" spans="4:9" x14ac:dyDescent="0.25">
      <c r="D29" s="1" t="s">
        <v>3310</v>
      </c>
      <c r="E29" s="1" t="s">
        <v>3271</v>
      </c>
      <c r="F29" s="1" t="s">
        <v>7</v>
      </c>
      <c r="G29" s="1">
        <v>125</v>
      </c>
      <c r="H29" s="1" t="s">
        <v>3329</v>
      </c>
      <c r="I29" s="1" t="s">
        <v>3347</v>
      </c>
    </row>
    <row r="30" spans="4:9" x14ac:dyDescent="0.25">
      <c r="D30" s="1" t="s">
        <v>3310</v>
      </c>
      <c r="E30" s="1" t="s">
        <v>3330</v>
      </c>
      <c r="F30" s="1" t="s">
        <v>7</v>
      </c>
      <c r="G30" s="1">
        <v>12</v>
      </c>
      <c r="H30" s="1" t="s">
        <v>3331</v>
      </c>
      <c r="I30" s="1" t="s">
        <v>3340</v>
      </c>
    </row>
    <row r="31" spans="4:9" x14ac:dyDescent="0.25">
      <c r="D31" s="1" t="s">
        <v>3310</v>
      </c>
      <c r="E31" s="1" t="s">
        <v>3332</v>
      </c>
      <c r="F31" s="1" t="s">
        <v>7</v>
      </c>
      <c r="G31" s="1">
        <v>5</v>
      </c>
      <c r="H31" s="1" t="s">
        <v>3333</v>
      </c>
      <c r="I31" s="1" t="s">
        <v>3339</v>
      </c>
    </row>
    <row r="32" spans="4:9" x14ac:dyDescent="0.25">
      <c r="D32" s="1" t="s">
        <v>3310</v>
      </c>
      <c r="E32" s="1" t="s">
        <v>3332</v>
      </c>
      <c r="F32" s="1" t="s">
        <v>7</v>
      </c>
      <c r="G32" s="1">
        <v>5</v>
      </c>
      <c r="H32" s="1" t="s">
        <v>3334</v>
      </c>
      <c r="I32" s="1" t="s">
        <v>3338</v>
      </c>
    </row>
    <row r="33" spans="4:9" x14ac:dyDescent="0.25">
      <c r="D33" s="43" t="s">
        <v>3310</v>
      </c>
      <c r="E33" s="43" t="s">
        <v>509</v>
      </c>
      <c r="F33" s="43" t="s">
        <v>7</v>
      </c>
      <c r="G33" s="43">
        <v>485</v>
      </c>
      <c r="H33" s="43" t="s">
        <v>3335</v>
      </c>
      <c r="I33" s="43" t="s">
        <v>1804</v>
      </c>
    </row>
    <row r="34" spans="4:9" x14ac:dyDescent="0.25">
      <c r="D34" s="1" t="s">
        <v>3310</v>
      </c>
      <c r="E34" s="1" t="s">
        <v>23</v>
      </c>
      <c r="F34" s="1" t="s">
        <v>7</v>
      </c>
      <c r="G34" s="1">
        <v>1380</v>
      </c>
      <c r="H34" s="1" t="s">
        <v>3336</v>
      </c>
      <c r="I34" s="1" t="s">
        <v>660</v>
      </c>
    </row>
    <row r="35" spans="4:9" x14ac:dyDescent="0.25">
      <c r="D35" s="1" t="s">
        <v>3310</v>
      </c>
      <c r="E35" s="1" t="s">
        <v>3337</v>
      </c>
      <c r="F35" s="1" t="s">
        <v>7</v>
      </c>
      <c r="G35" s="1">
        <v>500</v>
      </c>
      <c r="H35" s="1">
        <v>1137248</v>
      </c>
      <c r="I35" s="1" t="s">
        <v>3306</v>
      </c>
    </row>
    <row r="36" spans="4:9" x14ac:dyDescent="0.25">
      <c r="D36" s="1" t="s">
        <v>3310</v>
      </c>
      <c r="E36" s="1" t="s">
        <v>3337</v>
      </c>
      <c r="F36" s="1" t="s">
        <v>7</v>
      </c>
      <c r="G36" s="1">
        <v>164</v>
      </c>
      <c r="H36" s="1">
        <v>2213016</v>
      </c>
      <c r="I36" s="1" t="s">
        <v>3306</v>
      </c>
    </row>
    <row r="37" spans="4:9" x14ac:dyDescent="0.25">
      <c r="D37" s="1"/>
      <c r="E37" s="1"/>
      <c r="F37" s="1"/>
      <c r="G37" s="1"/>
      <c r="H37" s="1"/>
      <c r="I37" s="1"/>
    </row>
    <row r="38" spans="4:9" x14ac:dyDescent="0.25">
      <c r="D38" s="1" t="s">
        <v>3310</v>
      </c>
      <c r="E38" s="1" t="s">
        <v>78</v>
      </c>
      <c r="F38" s="1" t="s">
        <v>7</v>
      </c>
      <c r="G38" s="1">
        <v>6418.75</v>
      </c>
      <c r="H38" s="1" t="s">
        <v>3369</v>
      </c>
      <c r="I38" s="1" t="s">
        <v>1999</v>
      </c>
    </row>
  </sheetData>
  <pageMargins left="0.7" right="0.7" top="0.75" bottom="0.75" header="0.3" footer="0.3"/>
  <pageSetup paperSize="256" orientation="portrait" horizontalDpi="203" verticalDpi="203" r:id="rId1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2BAA59-70D6-477D-9C47-BCA157D96E82}">
  <sheetPr codeName="Hoja67"/>
  <dimension ref="D4:J37"/>
  <sheetViews>
    <sheetView topLeftCell="A7" workbookViewId="0">
      <selection activeCell="D32" sqref="D32:I32"/>
    </sheetView>
  </sheetViews>
  <sheetFormatPr baseColWidth="10" defaultRowHeight="15.75" x14ac:dyDescent="0.25"/>
  <cols>
    <col min="4" max="4" width="11" style="3"/>
    <col min="5" max="5" width="23.125" style="3" bestFit="1" customWidth="1"/>
    <col min="6" max="7" width="11" style="3"/>
    <col min="8" max="8" width="21.75" style="3" customWidth="1"/>
    <col min="9" max="9" width="40.375" style="3" bestFit="1" customWidth="1"/>
    <col min="10" max="10" width="11" style="3"/>
  </cols>
  <sheetData>
    <row r="4" spans="4:9" ht="16.5" thickBot="1" x14ac:dyDescent="0.3"/>
    <row r="5" spans="4:9" x14ac:dyDescent="0.25">
      <c r="D5" s="11" t="s">
        <v>0</v>
      </c>
      <c r="E5" s="12" t="s">
        <v>1</v>
      </c>
      <c r="F5" s="12" t="s">
        <v>2</v>
      </c>
      <c r="G5" s="12" t="s">
        <v>3</v>
      </c>
      <c r="H5" s="12" t="s">
        <v>4</v>
      </c>
      <c r="I5" s="13"/>
    </row>
    <row r="6" spans="4:9" x14ac:dyDescent="0.25">
      <c r="D6" s="14"/>
      <c r="E6" s="1"/>
      <c r="F6" s="1"/>
      <c r="G6" s="1"/>
      <c r="H6" s="1"/>
      <c r="I6" s="16"/>
    </row>
    <row r="7" spans="4:9" x14ac:dyDescent="0.25">
      <c r="D7" s="29" t="s">
        <v>3370</v>
      </c>
      <c r="E7" s="28" t="s">
        <v>472</v>
      </c>
      <c r="F7" s="28" t="s">
        <v>7</v>
      </c>
      <c r="G7" s="28">
        <v>-3554.56</v>
      </c>
      <c r="H7" s="28" t="s">
        <v>3405</v>
      </c>
      <c r="I7" s="30" t="s">
        <v>3426</v>
      </c>
    </row>
    <row r="8" spans="4:9" x14ac:dyDescent="0.25">
      <c r="D8" s="29" t="s">
        <v>3370</v>
      </c>
      <c r="E8" s="28" t="s">
        <v>472</v>
      </c>
      <c r="F8" s="28" t="s">
        <v>7</v>
      </c>
      <c r="G8" s="28">
        <v>-3540.6</v>
      </c>
      <c r="H8" s="28" t="s">
        <v>3406</v>
      </c>
      <c r="I8" s="30" t="s">
        <v>3425</v>
      </c>
    </row>
    <row r="9" spans="4:9" x14ac:dyDescent="0.25">
      <c r="D9" s="14" t="s">
        <v>3370</v>
      </c>
      <c r="E9" s="1" t="s">
        <v>3407</v>
      </c>
      <c r="F9" s="1" t="s">
        <v>7</v>
      </c>
      <c r="G9" s="1">
        <v>38</v>
      </c>
      <c r="H9" s="1" t="s">
        <v>3408</v>
      </c>
      <c r="I9" s="16" t="s">
        <v>1208</v>
      </c>
    </row>
    <row r="10" spans="4:9" x14ac:dyDescent="0.25">
      <c r="D10" s="14" t="s">
        <v>3370</v>
      </c>
      <c r="E10" s="1" t="s">
        <v>3179</v>
      </c>
      <c r="F10" s="1" t="s">
        <v>7</v>
      </c>
      <c r="G10" s="1">
        <v>55</v>
      </c>
      <c r="H10" s="1" t="s">
        <v>3409</v>
      </c>
      <c r="I10" s="16" t="s">
        <v>68</v>
      </c>
    </row>
    <row r="11" spans="4:9" x14ac:dyDescent="0.25">
      <c r="D11" s="14" t="s">
        <v>3370</v>
      </c>
      <c r="E11" s="1" t="s">
        <v>3410</v>
      </c>
      <c r="F11" s="1" t="s">
        <v>7</v>
      </c>
      <c r="G11" s="1">
        <v>18.8</v>
      </c>
      <c r="H11" s="1" t="s">
        <v>3411</v>
      </c>
      <c r="I11" s="16" t="s">
        <v>3422</v>
      </c>
    </row>
    <row r="12" spans="4:9" x14ac:dyDescent="0.25">
      <c r="D12" s="14" t="s">
        <v>3370</v>
      </c>
      <c r="E12" s="1" t="s">
        <v>23</v>
      </c>
      <c r="F12" s="1" t="s">
        <v>7</v>
      </c>
      <c r="G12" s="1">
        <v>1589.92</v>
      </c>
      <c r="H12" s="1" t="s">
        <v>3412</v>
      </c>
      <c r="I12" s="16" t="s">
        <v>3423</v>
      </c>
    </row>
    <row r="13" spans="4:9" x14ac:dyDescent="0.25">
      <c r="D13" s="14" t="s">
        <v>3370</v>
      </c>
      <c r="E13" s="1" t="s">
        <v>3410</v>
      </c>
      <c r="F13" s="1" t="s">
        <v>7</v>
      </c>
      <c r="G13" s="1">
        <v>12.5</v>
      </c>
      <c r="H13" s="1" t="s">
        <v>3413</v>
      </c>
      <c r="I13" s="16" t="s">
        <v>3421</v>
      </c>
    </row>
    <row r="14" spans="4:9" x14ac:dyDescent="0.25">
      <c r="D14" s="14" t="s">
        <v>3370</v>
      </c>
      <c r="E14" s="1" t="s">
        <v>1897</v>
      </c>
      <c r="F14" s="1" t="s">
        <v>7</v>
      </c>
      <c r="G14" s="1">
        <v>5</v>
      </c>
      <c r="H14" s="1" t="s">
        <v>3414</v>
      </c>
      <c r="I14" s="16" t="s">
        <v>3424</v>
      </c>
    </row>
    <row r="15" spans="4:9" x14ac:dyDescent="0.25">
      <c r="D15" s="14" t="s">
        <v>3370</v>
      </c>
      <c r="E15" s="1" t="s">
        <v>742</v>
      </c>
      <c r="F15" s="1" t="s">
        <v>7</v>
      </c>
      <c r="G15" s="1">
        <v>420</v>
      </c>
      <c r="H15" s="1" t="s">
        <v>3415</v>
      </c>
      <c r="I15" s="16" t="s">
        <v>1705</v>
      </c>
    </row>
    <row r="16" spans="4:9" x14ac:dyDescent="0.25">
      <c r="D16" s="14" t="s">
        <v>3370</v>
      </c>
      <c r="E16" s="1" t="s">
        <v>742</v>
      </c>
      <c r="F16" s="1" t="s">
        <v>7</v>
      </c>
      <c r="G16" s="1">
        <v>500</v>
      </c>
      <c r="H16" s="1" t="s">
        <v>3416</v>
      </c>
      <c r="I16" s="16" t="s">
        <v>1705</v>
      </c>
    </row>
    <row r="17" spans="4:9" x14ac:dyDescent="0.25">
      <c r="D17" s="29" t="s">
        <v>3370</v>
      </c>
      <c r="E17" s="28" t="s">
        <v>3417</v>
      </c>
      <c r="F17" s="28" t="s">
        <v>7</v>
      </c>
      <c r="G17" s="28">
        <v>-9</v>
      </c>
      <c r="H17" s="28" t="s">
        <v>3418</v>
      </c>
      <c r="I17" s="30" t="s">
        <v>3420</v>
      </c>
    </row>
    <row r="18" spans="4:9" x14ac:dyDescent="0.25">
      <c r="D18" s="14" t="s">
        <v>3370</v>
      </c>
      <c r="E18" s="1" t="s">
        <v>23</v>
      </c>
      <c r="F18" s="1" t="s">
        <v>7</v>
      </c>
      <c r="G18" s="1">
        <v>480</v>
      </c>
      <c r="H18" s="1" t="s">
        <v>3419</v>
      </c>
      <c r="I18" s="16" t="s">
        <v>590</v>
      </c>
    </row>
    <row r="19" spans="4:9" x14ac:dyDescent="0.25">
      <c r="D19" s="14" t="s">
        <v>3370</v>
      </c>
      <c r="E19" s="1" t="s">
        <v>3371</v>
      </c>
      <c r="F19" s="1" t="s">
        <v>7</v>
      </c>
      <c r="G19" s="1">
        <v>30</v>
      </c>
      <c r="H19" s="1" t="s">
        <v>3372</v>
      </c>
      <c r="I19" s="16" t="s">
        <v>3398</v>
      </c>
    </row>
    <row r="20" spans="4:9" x14ac:dyDescent="0.25">
      <c r="D20" s="14" t="s">
        <v>3370</v>
      </c>
      <c r="E20" s="1" t="s">
        <v>3373</v>
      </c>
      <c r="F20" s="1" t="s">
        <v>7</v>
      </c>
      <c r="G20" s="1">
        <v>310</v>
      </c>
      <c r="H20" s="1" t="s">
        <v>3374</v>
      </c>
      <c r="I20" s="16" t="s">
        <v>3397</v>
      </c>
    </row>
    <row r="21" spans="4:9" x14ac:dyDescent="0.25">
      <c r="D21" s="14" t="s">
        <v>3370</v>
      </c>
      <c r="E21" s="1" t="s">
        <v>3375</v>
      </c>
      <c r="F21" s="1" t="s">
        <v>7</v>
      </c>
      <c r="G21" s="1">
        <v>400</v>
      </c>
      <c r="H21" s="1" t="s">
        <v>3376</v>
      </c>
      <c r="I21" s="16" t="s">
        <v>3397</v>
      </c>
    </row>
    <row r="22" spans="4:9" x14ac:dyDescent="0.25">
      <c r="D22" s="14" t="s">
        <v>3370</v>
      </c>
      <c r="E22" s="1" t="s">
        <v>3377</v>
      </c>
      <c r="F22" s="1" t="s">
        <v>7</v>
      </c>
      <c r="G22" s="1">
        <v>140</v>
      </c>
      <c r="H22" s="1" t="s">
        <v>3378</v>
      </c>
      <c r="I22" s="16" t="s">
        <v>1584</v>
      </c>
    </row>
    <row r="23" spans="4:9" x14ac:dyDescent="0.25">
      <c r="D23" s="14" t="s">
        <v>3370</v>
      </c>
      <c r="E23" s="1" t="s">
        <v>3271</v>
      </c>
      <c r="F23" s="1" t="s">
        <v>7</v>
      </c>
      <c r="G23" s="1">
        <v>87.5</v>
      </c>
      <c r="H23" s="1" t="s">
        <v>3379</v>
      </c>
      <c r="I23" s="16" t="s">
        <v>1270</v>
      </c>
    </row>
    <row r="24" spans="4:9" x14ac:dyDescent="0.25">
      <c r="D24" s="29" t="s">
        <v>3370</v>
      </c>
      <c r="E24" s="28" t="s">
        <v>472</v>
      </c>
      <c r="F24" s="28" t="s">
        <v>7</v>
      </c>
      <c r="G24" s="28">
        <v>-4633</v>
      </c>
      <c r="H24" s="28" t="s">
        <v>3380</v>
      </c>
      <c r="I24" s="30" t="s">
        <v>3399</v>
      </c>
    </row>
    <row r="25" spans="4:9" x14ac:dyDescent="0.25">
      <c r="D25" s="14" t="s">
        <v>3370</v>
      </c>
      <c r="E25" s="1" t="s">
        <v>23</v>
      </c>
      <c r="F25" s="1" t="s">
        <v>7</v>
      </c>
      <c r="G25" s="1">
        <v>970</v>
      </c>
      <c r="H25" s="1" t="s">
        <v>3381</v>
      </c>
      <c r="I25" s="16" t="s">
        <v>738</v>
      </c>
    </row>
    <row r="26" spans="4:9" x14ac:dyDescent="0.25">
      <c r="D26" s="14" t="s">
        <v>3370</v>
      </c>
      <c r="E26" s="1" t="s">
        <v>3382</v>
      </c>
      <c r="F26" s="1" t="s">
        <v>7</v>
      </c>
      <c r="G26" s="1">
        <v>65.5</v>
      </c>
      <c r="H26" s="1" t="s">
        <v>3383</v>
      </c>
      <c r="I26" s="16" t="s">
        <v>3400</v>
      </c>
    </row>
    <row r="27" spans="4:9" x14ac:dyDescent="0.25">
      <c r="D27" s="14" t="s">
        <v>3370</v>
      </c>
      <c r="E27" s="1" t="s">
        <v>2625</v>
      </c>
      <c r="F27" s="1" t="s">
        <v>7</v>
      </c>
      <c r="G27" s="1">
        <v>82</v>
      </c>
      <c r="H27" s="1" t="s">
        <v>3384</v>
      </c>
      <c r="I27" s="16" t="s">
        <v>52</v>
      </c>
    </row>
    <row r="28" spans="4:9" x14ac:dyDescent="0.25">
      <c r="D28" s="14" t="s">
        <v>3370</v>
      </c>
      <c r="E28" s="1" t="s">
        <v>3271</v>
      </c>
      <c r="F28" s="1" t="s">
        <v>7</v>
      </c>
      <c r="G28" s="1">
        <v>120</v>
      </c>
      <c r="H28" s="1" t="s">
        <v>3385</v>
      </c>
      <c r="I28" s="16" t="s">
        <v>1270</v>
      </c>
    </row>
    <row r="29" spans="4:9" x14ac:dyDescent="0.25">
      <c r="D29" s="14" t="s">
        <v>3370</v>
      </c>
      <c r="E29" s="1" t="s">
        <v>3386</v>
      </c>
      <c r="F29" s="1" t="s">
        <v>7</v>
      </c>
      <c r="G29" s="1">
        <v>9</v>
      </c>
      <c r="H29" s="1" t="s">
        <v>3387</v>
      </c>
      <c r="I29" s="16" t="s">
        <v>3396</v>
      </c>
    </row>
    <row r="30" spans="4:9" x14ac:dyDescent="0.25">
      <c r="D30" s="14" t="s">
        <v>3370</v>
      </c>
      <c r="E30" s="1" t="s">
        <v>23</v>
      </c>
      <c r="F30" s="1" t="s">
        <v>7</v>
      </c>
      <c r="G30" s="1">
        <v>1748</v>
      </c>
      <c r="H30" s="1" t="s">
        <v>3388</v>
      </c>
      <c r="I30" s="16" t="s">
        <v>3404</v>
      </c>
    </row>
    <row r="31" spans="4:9" x14ac:dyDescent="0.25">
      <c r="D31" s="14" t="s">
        <v>3370</v>
      </c>
      <c r="E31" s="1" t="s">
        <v>1510</v>
      </c>
      <c r="F31" s="1" t="s">
        <v>7</v>
      </c>
      <c r="G31" s="1">
        <v>40</v>
      </c>
      <c r="H31" s="1" t="s">
        <v>3389</v>
      </c>
      <c r="I31" s="16" t="s">
        <v>3395</v>
      </c>
    </row>
    <row r="32" spans="4:9" x14ac:dyDescent="0.25">
      <c r="D32" s="29" t="s">
        <v>3370</v>
      </c>
      <c r="E32" s="28" t="s">
        <v>2678</v>
      </c>
      <c r="F32" s="28" t="s">
        <v>7</v>
      </c>
      <c r="G32" s="28">
        <v>-15</v>
      </c>
      <c r="H32" s="28" t="s">
        <v>3390</v>
      </c>
      <c r="I32" s="30" t="s">
        <v>2702</v>
      </c>
    </row>
    <row r="33" spans="4:9" x14ac:dyDescent="0.25">
      <c r="D33" s="14" t="s">
        <v>3370</v>
      </c>
      <c r="E33" s="1" t="s">
        <v>3353</v>
      </c>
      <c r="F33" s="1" t="s">
        <v>7</v>
      </c>
      <c r="G33" s="1">
        <v>23</v>
      </c>
      <c r="H33" s="1" t="s">
        <v>3391</v>
      </c>
      <c r="I33" s="16" t="s">
        <v>3401</v>
      </c>
    </row>
    <row r="34" spans="4:9" x14ac:dyDescent="0.25">
      <c r="D34" s="14" t="s">
        <v>3370</v>
      </c>
      <c r="E34" s="1" t="s">
        <v>3392</v>
      </c>
      <c r="F34" s="1" t="s">
        <v>7</v>
      </c>
      <c r="G34" s="1">
        <v>31.8</v>
      </c>
      <c r="H34" s="1" t="s">
        <v>3393</v>
      </c>
      <c r="I34" s="16" t="s">
        <v>3402</v>
      </c>
    </row>
    <row r="35" spans="4:9" x14ac:dyDescent="0.25">
      <c r="D35" s="14" t="s">
        <v>3370</v>
      </c>
      <c r="E35" s="1" t="s">
        <v>23</v>
      </c>
      <c r="F35" s="1" t="s">
        <v>7</v>
      </c>
      <c r="G35" s="1">
        <v>2762</v>
      </c>
      <c r="H35" s="1" t="s">
        <v>3394</v>
      </c>
      <c r="I35" s="16" t="s">
        <v>3403</v>
      </c>
    </row>
    <row r="36" spans="4:9" x14ac:dyDescent="0.25">
      <c r="D36" s="14"/>
      <c r="E36" s="1"/>
      <c r="F36" s="1"/>
      <c r="G36" s="1"/>
      <c r="H36" s="1"/>
      <c r="I36" s="16"/>
    </row>
    <row r="37" spans="4:9" ht="16.5" thickBot="1" x14ac:dyDescent="0.3">
      <c r="D37" s="25" t="s">
        <v>3370</v>
      </c>
      <c r="E37" s="18" t="s">
        <v>78</v>
      </c>
      <c r="F37" s="18" t="s">
        <v>7</v>
      </c>
      <c r="G37" s="18">
        <v>6526.1</v>
      </c>
      <c r="H37" s="18"/>
      <c r="I37" s="27" t="s">
        <v>1990</v>
      </c>
    </row>
  </sheetData>
  <pageMargins left="0.7" right="0.7" top="0.75" bottom="0.75" header="0.3" footer="0.3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BE5B4A-A3F0-4AC5-9A27-4FEEF02BBB52}">
  <sheetPr codeName="Hoja68"/>
  <dimension ref="D2:I42"/>
  <sheetViews>
    <sheetView topLeftCell="A9" workbookViewId="0">
      <selection activeCell="C2" sqref="C2:J43"/>
    </sheetView>
  </sheetViews>
  <sheetFormatPr baseColWidth="10" defaultRowHeight="15.75" x14ac:dyDescent="0.25"/>
  <cols>
    <col min="4" max="4" width="15.5" style="3" customWidth="1"/>
    <col min="5" max="5" width="22.25" style="3" bestFit="1" customWidth="1"/>
    <col min="6" max="7" width="11" style="3"/>
    <col min="8" max="8" width="21.125" style="3" customWidth="1"/>
    <col min="9" max="9" width="34.875" style="3" bestFit="1" customWidth="1"/>
  </cols>
  <sheetData>
    <row r="2" spans="4:9" ht="16.5" thickBot="1" x14ac:dyDescent="0.3"/>
    <row r="3" spans="4:9" x14ac:dyDescent="0.25">
      <c r="D3" s="21" t="s">
        <v>0</v>
      </c>
      <c r="E3" s="22" t="s">
        <v>1</v>
      </c>
      <c r="F3" s="22" t="s">
        <v>2</v>
      </c>
      <c r="G3" s="22" t="s">
        <v>3</v>
      </c>
      <c r="H3" s="22" t="s">
        <v>4</v>
      </c>
      <c r="I3" s="23"/>
    </row>
    <row r="4" spans="4:9" x14ac:dyDescent="0.25">
      <c r="D4" s="29" t="s">
        <v>3427</v>
      </c>
      <c r="E4" s="28" t="s">
        <v>3005</v>
      </c>
      <c r="F4" s="28" t="s">
        <v>7</v>
      </c>
      <c r="G4" s="28">
        <v>-39</v>
      </c>
      <c r="H4" s="28" t="s">
        <v>3451</v>
      </c>
      <c r="I4" s="30" t="s">
        <v>3487</v>
      </c>
    </row>
    <row r="5" spans="4:9" x14ac:dyDescent="0.25">
      <c r="D5" s="14" t="s">
        <v>3427</v>
      </c>
      <c r="E5" s="1" t="s">
        <v>3005</v>
      </c>
      <c r="F5" s="1" t="s">
        <v>7</v>
      </c>
      <c r="G5" s="1">
        <v>163</v>
      </c>
      <c r="H5" s="1" t="s">
        <v>3452</v>
      </c>
      <c r="I5" s="16" t="s">
        <v>1227</v>
      </c>
    </row>
    <row r="6" spans="4:9" x14ac:dyDescent="0.25">
      <c r="D6" s="14" t="s">
        <v>3427</v>
      </c>
      <c r="E6" s="1" t="s">
        <v>3179</v>
      </c>
      <c r="F6" s="1" t="s">
        <v>7</v>
      </c>
      <c r="G6" s="1">
        <v>52</v>
      </c>
      <c r="H6" s="1" t="s">
        <v>3453</v>
      </c>
      <c r="I6" s="16" t="s">
        <v>730</v>
      </c>
    </row>
    <row r="7" spans="4:9" x14ac:dyDescent="0.25">
      <c r="D7" s="14" t="s">
        <v>3427</v>
      </c>
      <c r="E7" s="1" t="s">
        <v>23</v>
      </c>
      <c r="F7" s="1" t="s">
        <v>7</v>
      </c>
      <c r="G7" s="1">
        <v>67.5</v>
      </c>
      <c r="H7" s="1" t="s">
        <v>3454</v>
      </c>
      <c r="I7" s="16" t="s">
        <v>3488</v>
      </c>
    </row>
    <row r="8" spans="4:9" x14ac:dyDescent="0.25">
      <c r="D8" s="14" t="s">
        <v>3427</v>
      </c>
      <c r="E8" s="1" t="s">
        <v>3455</v>
      </c>
      <c r="F8" s="1" t="s">
        <v>7</v>
      </c>
      <c r="G8" s="1">
        <v>50</v>
      </c>
      <c r="H8" s="1" t="s">
        <v>3456</v>
      </c>
      <c r="I8" s="16" t="s">
        <v>3481</v>
      </c>
    </row>
    <row r="9" spans="4:9" x14ac:dyDescent="0.25">
      <c r="D9" s="14" t="s">
        <v>3427</v>
      </c>
      <c r="E9" s="1" t="s">
        <v>3457</v>
      </c>
      <c r="F9" s="1" t="s">
        <v>7</v>
      </c>
      <c r="G9" s="1">
        <v>59.5</v>
      </c>
      <c r="H9" s="1" t="s">
        <v>3458</v>
      </c>
      <c r="I9" s="16" t="s">
        <v>3486</v>
      </c>
    </row>
    <row r="10" spans="4:9" x14ac:dyDescent="0.25">
      <c r="D10" s="14" t="s">
        <v>3427</v>
      </c>
      <c r="E10" s="1" t="s">
        <v>3459</v>
      </c>
      <c r="F10" s="1" t="s">
        <v>7</v>
      </c>
      <c r="G10" s="1">
        <v>34</v>
      </c>
      <c r="H10" s="1" t="s">
        <v>3460</v>
      </c>
      <c r="I10" s="16" t="s">
        <v>3485</v>
      </c>
    </row>
    <row r="11" spans="4:9" x14ac:dyDescent="0.25">
      <c r="D11" s="14" t="s">
        <v>3427</v>
      </c>
      <c r="E11" s="1" t="s">
        <v>3455</v>
      </c>
      <c r="F11" s="1" t="s">
        <v>7</v>
      </c>
      <c r="G11" s="1">
        <v>384</v>
      </c>
      <c r="H11" s="1" t="s">
        <v>3461</v>
      </c>
      <c r="I11" s="16" t="s">
        <v>3484</v>
      </c>
    </row>
    <row r="12" spans="4:9" x14ac:dyDescent="0.25">
      <c r="D12" s="14" t="s">
        <v>3427</v>
      </c>
      <c r="E12" s="1" t="s">
        <v>3462</v>
      </c>
      <c r="F12" s="1" t="s">
        <v>7</v>
      </c>
      <c r="G12" s="1">
        <v>25.5</v>
      </c>
      <c r="H12" s="1" t="s">
        <v>3463</v>
      </c>
      <c r="I12" s="16" t="s">
        <v>3483</v>
      </c>
    </row>
    <row r="13" spans="4:9" x14ac:dyDescent="0.25">
      <c r="D13" s="14" t="s">
        <v>3427</v>
      </c>
      <c r="E13" s="1" t="s">
        <v>2625</v>
      </c>
      <c r="F13" s="1" t="s">
        <v>7</v>
      </c>
      <c r="G13" s="1">
        <v>47.5</v>
      </c>
      <c r="H13" s="1" t="s">
        <v>3464</v>
      </c>
      <c r="I13" s="16" t="s">
        <v>52</v>
      </c>
    </row>
    <row r="14" spans="4:9" x14ac:dyDescent="0.25">
      <c r="D14" s="14" t="s">
        <v>3427</v>
      </c>
      <c r="E14" s="1" t="s">
        <v>3465</v>
      </c>
      <c r="F14" s="1" t="s">
        <v>7</v>
      </c>
      <c r="G14" s="1">
        <v>400</v>
      </c>
      <c r="H14" s="1" t="s">
        <v>3466</v>
      </c>
      <c r="I14" s="16" t="s">
        <v>3482</v>
      </c>
    </row>
    <row r="15" spans="4:9" x14ac:dyDescent="0.25">
      <c r="D15" s="14" t="s">
        <v>3427</v>
      </c>
      <c r="E15" s="1" t="s">
        <v>3455</v>
      </c>
      <c r="F15" s="1" t="s">
        <v>7</v>
      </c>
      <c r="G15" s="1">
        <v>70</v>
      </c>
      <c r="H15" s="1" t="s">
        <v>3467</v>
      </c>
      <c r="I15" s="16" t="s">
        <v>3481</v>
      </c>
    </row>
    <row r="16" spans="4:9" x14ac:dyDescent="0.25">
      <c r="D16" s="14" t="s">
        <v>3427</v>
      </c>
      <c r="E16" s="1" t="s">
        <v>3455</v>
      </c>
      <c r="F16" s="1" t="s">
        <v>7</v>
      </c>
      <c r="G16" s="1">
        <v>200</v>
      </c>
      <c r="H16" s="1" t="s">
        <v>3468</v>
      </c>
      <c r="I16" s="16" t="s">
        <v>3481</v>
      </c>
    </row>
    <row r="17" spans="4:9" x14ac:dyDescent="0.25">
      <c r="D17" s="14" t="s">
        <v>3427</v>
      </c>
      <c r="E17" s="1" t="s">
        <v>3455</v>
      </c>
      <c r="F17" s="1" t="s">
        <v>7</v>
      </c>
      <c r="G17" s="1">
        <v>400</v>
      </c>
      <c r="H17" s="1" t="s">
        <v>3469</v>
      </c>
      <c r="I17" s="16" t="s">
        <v>3481</v>
      </c>
    </row>
    <row r="18" spans="4:9" x14ac:dyDescent="0.25">
      <c r="D18" s="14" t="s">
        <v>3427</v>
      </c>
      <c r="E18" s="1" t="s">
        <v>3455</v>
      </c>
      <c r="F18" s="1" t="s">
        <v>7</v>
      </c>
      <c r="G18" s="1">
        <v>400</v>
      </c>
      <c r="H18" s="1" t="s">
        <v>3470</v>
      </c>
      <c r="I18" s="16" t="s">
        <v>3481</v>
      </c>
    </row>
    <row r="19" spans="4:9" x14ac:dyDescent="0.25">
      <c r="D19" s="14" t="s">
        <v>3427</v>
      </c>
      <c r="E19" s="1" t="s">
        <v>3455</v>
      </c>
      <c r="F19" s="1" t="s">
        <v>7</v>
      </c>
      <c r="G19" s="1">
        <v>400</v>
      </c>
      <c r="H19" s="1" t="s">
        <v>3471</v>
      </c>
      <c r="I19" s="16" t="s">
        <v>3481</v>
      </c>
    </row>
    <row r="20" spans="4:9" x14ac:dyDescent="0.25">
      <c r="D20" s="14" t="s">
        <v>3427</v>
      </c>
      <c r="E20" s="1" t="s">
        <v>3434</v>
      </c>
      <c r="F20" s="1" t="s">
        <v>7</v>
      </c>
      <c r="G20" s="1">
        <v>71.5</v>
      </c>
      <c r="H20" s="1" t="s">
        <v>3435</v>
      </c>
      <c r="I20" s="16" t="s">
        <v>3480</v>
      </c>
    </row>
    <row r="21" spans="4:9" x14ac:dyDescent="0.25">
      <c r="D21" s="14" t="s">
        <v>3427</v>
      </c>
      <c r="E21" s="1" t="s">
        <v>3436</v>
      </c>
      <c r="F21" s="1" t="s">
        <v>7</v>
      </c>
      <c r="G21" s="1">
        <v>91.5</v>
      </c>
      <c r="H21" s="1" t="s">
        <v>3437</v>
      </c>
      <c r="I21" s="16" t="s">
        <v>3478</v>
      </c>
    </row>
    <row r="22" spans="4:9" x14ac:dyDescent="0.25">
      <c r="D22" s="14" t="s">
        <v>3427</v>
      </c>
      <c r="E22" s="1" t="s">
        <v>3438</v>
      </c>
      <c r="F22" s="1" t="s">
        <v>7</v>
      </c>
      <c r="G22" s="1">
        <v>480</v>
      </c>
      <c r="H22" s="1" t="s">
        <v>3439</v>
      </c>
      <c r="I22" s="16" t="s">
        <v>3479</v>
      </c>
    </row>
    <row r="23" spans="4:9" x14ac:dyDescent="0.25">
      <c r="D23" s="14" t="s">
        <v>3427</v>
      </c>
      <c r="E23" s="1" t="s">
        <v>3438</v>
      </c>
      <c r="F23" s="1" t="s">
        <v>7</v>
      </c>
      <c r="G23" s="1">
        <v>500</v>
      </c>
      <c r="H23" s="1" t="s">
        <v>3440</v>
      </c>
      <c r="I23" s="16" t="s">
        <v>3479</v>
      </c>
    </row>
    <row r="24" spans="4:9" x14ac:dyDescent="0.25">
      <c r="D24" s="14" t="s">
        <v>3427</v>
      </c>
      <c r="E24" s="1" t="s">
        <v>3438</v>
      </c>
      <c r="F24" s="1" t="s">
        <v>7</v>
      </c>
      <c r="G24" s="1">
        <v>500</v>
      </c>
      <c r="H24" s="1" t="s">
        <v>3441</v>
      </c>
      <c r="I24" s="16" t="s">
        <v>3479</v>
      </c>
    </row>
    <row r="25" spans="4:9" x14ac:dyDescent="0.25">
      <c r="D25" s="14" t="s">
        <v>3427</v>
      </c>
      <c r="E25" s="1" t="s">
        <v>3438</v>
      </c>
      <c r="F25" s="1" t="s">
        <v>7</v>
      </c>
      <c r="G25" s="1">
        <v>500</v>
      </c>
      <c r="H25" s="1" t="s">
        <v>3442</v>
      </c>
      <c r="I25" s="16" t="s">
        <v>3479</v>
      </c>
    </row>
    <row r="26" spans="4:9" x14ac:dyDescent="0.25">
      <c r="D26" s="14" t="s">
        <v>3427</v>
      </c>
      <c r="E26" s="1" t="s">
        <v>262</v>
      </c>
      <c r="F26" s="1" t="s">
        <v>7</v>
      </c>
      <c r="G26" s="1">
        <v>20</v>
      </c>
      <c r="H26" s="1" t="s">
        <v>3443</v>
      </c>
      <c r="I26" s="16" t="s">
        <v>832</v>
      </c>
    </row>
    <row r="27" spans="4:9" x14ac:dyDescent="0.25">
      <c r="D27" s="14" t="s">
        <v>3427</v>
      </c>
      <c r="E27" s="1" t="s">
        <v>262</v>
      </c>
      <c r="F27" s="1" t="s">
        <v>7</v>
      </c>
      <c r="G27" s="1">
        <v>500</v>
      </c>
      <c r="H27" s="1" t="s">
        <v>3444</v>
      </c>
      <c r="I27" s="16" t="s">
        <v>832</v>
      </c>
    </row>
    <row r="28" spans="4:9" x14ac:dyDescent="0.25">
      <c r="D28" s="14" t="s">
        <v>3427</v>
      </c>
      <c r="E28" s="1" t="s">
        <v>262</v>
      </c>
      <c r="F28" s="1" t="s">
        <v>7</v>
      </c>
      <c r="G28" s="1">
        <v>500</v>
      </c>
      <c r="H28" s="1" t="s">
        <v>3445</v>
      </c>
      <c r="I28" s="16" t="s">
        <v>832</v>
      </c>
    </row>
    <row r="29" spans="4:9" x14ac:dyDescent="0.25">
      <c r="D29" s="14" t="s">
        <v>3427</v>
      </c>
      <c r="E29" s="1" t="s">
        <v>3446</v>
      </c>
      <c r="F29" s="1" t="s">
        <v>7</v>
      </c>
      <c r="G29" s="1">
        <v>5</v>
      </c>
      <c r="H29" s="1" t="s">
        <v>3447</v>
      </c>
      <c r="I29" s="16" t="s">
        <v>3472</v>
      </c>
    </row>
    <row r="30" spans="4:9" x14ac:dyDescent="0.25">
      <c r="D30" s="14" t="s">
        <v>3427</v>
      </c>
      <c r="E30" s="1" t="s">
        <v>3212</v>
      </c>
      <c r="F30" s="1" t="s">
        <v>7</v>
      </c>
      <c r="G30" s="1">
        <v>20</v>
      </c>
      <c r="H30" s="1" t="s">
        <v>3448</v>
      </c>
      <c r="I30" s="16" t="s">
        <v>3477</v>
      </c>
    </row>
    <row r="31" spans="4:9" x14ac:dyDescent="0.25">
      <c r="D31" s="14" t="s">
        <v>3427</v>
      </c>
      <c r="E31" s="1" t="s">
        <v>3449</v>
      </c>
      <c r="F31" s="1" t="s">
        <v>7</v>
      </c>
      <c r="G31" s="1">
        <v>4.5</v>
      </c>
      <c r="H31" s="1" t="s">
        <v>3450</v>
      </c>
      <c r="I31" s="16" t="s">
        <v>3476</v>
      </c>
    </row>
    <row r="32" spans="4:9" x14ac:dyDescent="0.25">
      <c r="D32" s="14" t="s">
        <v>3427</v>
      </c>
      <c r="E32" s="1" t="s">
        <v>3428</v>
      </c>
      <c r="F32" s="1" t="s">
        <v>7</v>
      </c>
      <c r="G32" s="1">
        <v>92.5</v>
      </c>
      <c r="H32" s="1" t="s">
        <v>3429</v>
      </c>
      <c r="I32" s="16" t="s">
        <v>542</v>
      </c>
    </row>
    <row r="33" spans="4:9" x14ac:dyDescent="0.25">
      <c r="D33" s="14" t="s">
        <v>3427</v>
      </c>
      <c r="E33" s="1" t="s">
        <v>3212</v>
      </c>
      <c r="F33" s="1" t="s">
        <v>7</v>
      </c>
      <c r="G33" s="1">
        <v>43</v>
      </c>
      <c r="H33" s="1" t="s">
        <v>3430</v>
      </c>
      <c r="I33" s="16" t="s">
        <v>3475</v>
      </c>
    </row>
    <row r="34" spans="4:9" x14ac:dyDescent="0.25">
      <c r="D34" s="29" t="s">
        <v>3431</v>
      </c>
      <c r="E34" s="28" t="s">
        <v>663</v>
      </c>
      <c r="F34" s="28" t="s">
        <v>7</v>
      </c>
      <c r="G34" s="28">
        <v>-0.9</v>
      </c>
      <c r="H34" s="28" t="s">
        <v>664</v>
      </c>
      <c r="I34" s="30" t="s">
        <v>2208</v>
      </c>
    </row>
    <row r="35" spans="4:9" x14ac:dyDescent="0.25">
      <c r="D35" s="14" t="s">
        <v>3431</v>
      </c>
      <c r="E35" s="1" t="s">
        <v>23</v>
      </c>
      <c r="F35" s="1" t="s">
        <v>7</v>
      </c>
      <c r="G35" s="1">
        <v>4429</v>
      </c>
      <c r="H35" s="1" t="s">
        <v>3432</v>
      </c>
      <c r="I35" s="16" t="s">
        <v>3472</v>
      </c>
    </row>
    <row r="36" spans="4:9" x14ac:dyDescent="0.25">
      <c r="D36" s="14" t="s">
        <v>3431</v>
      </c>
      <c r="E36" s="1" t="s">
        <v>3098</v>
      </c>
      <c r="F36" s="1" t="s">
        <v>7</v>
      </c>
      <c r="G36" s="1">
        <v>263.60000000000002</v>
      </c>
      <c r="H36" s="1" t="s">
        <v>3433</v>
      </c>
      <c r="I36" s="16" t="s">
        <v>1325</v>
      </c>
    </row>
    <row r="37" spans="4:9" x14ac:dyDescent="0.25">
      <c r="D37" s="14" t="s">
        <v>3431</v>
      </c>
      <c r="E37" s="1" t="s">
        <v>1841</v>
      </c>
      <c r="F37" s="1" t="s">
        <v>7</v>
      </c>
      <c r="G37" s="1">
        <v>76.8</v>
      </c>
      <c r="H37" s="1">
        <v>4478776</v>
      </c>
      <c r="I37" s="16" t="s">
        <v>3472</v>
      </c>
    </row>
    <row r="38" spans="4:9" x14ac:dyDescent="0.25">
      <c r="D38" s="14" t="s">
        <v>3431</v>
      </c>
      <c r="E38" s="1" t="s">
        <v>1841</v>
      </c>
      <c r="F38" s="1" t="s">
        <v>7</v>
      </c>
      <c r="G38" s="1">
        <v>14.5</v>
      </c>
      <c r="H38" s="1">
        <v>4016395</v>
      </c>
      <c r="I38" s="16" t="s">
        <v>3474</v>
      </c>
    </row>
    <row r="39" spans="4:9" x14ac:dyDescent="0.25">
      <c r="D39" s="14" t="s">
        <v>3431</v>
      </c>
      <c r="E39" s="1" t="s">
        <v>1841</v>
      </c>
      <c r="F39" s="1" t="s">
        <v>7</v>
      </c>
      <c r="G39" s="1">
        <v>3</v>
      </c>
      <c r="H39" s="1">
        <v>3161225</v>
      </c>
      <c r="I39" s="16" t="s">
        <v>3489</v>
      </c>
    </row>
    <row r="40" spans="4:9" x14ac:dyDescent="0.25">
      <c r="D40" s="14"/>
      <c r="E40" s="1"/>
      <c r="F40" s="1"/>
      <c r="G40" s="1"/>
      <c r="H40" s="1"/>
      <c r="I40" s="16"/>
    </row>
    <row r="41" spans="4:9" x14ac:dyDescent="0.25">
      <c r="D41" s="14"/>
      <c r="E41" s="1"/>
      <c r="F41" s="1"/>
      <c r="G41" s="1"/>
      <c r="H41" s="1"/>
      <c r="I41" s="16"/>
    </row>
    <row r="42" spans="4:9" ht="16.5" thickBot="1" x14ac:dyDescent="0.3">
      <c r="D42" s="25" t="s">
        <v>3431</v>
      </c>
      <c r="E42" s="18" t="s">
        <v>2972</v>
      </c>
      <c r="F42" s="18" t="s">
        <v>7</v>
      </c>
      <c r="G42" s="18">
        <v>2360</v>
      </c>
      <c r="H42" s="18"/>
      <c r="I42" s="27" t="s">
        <v>3473</v>
      </c>
    </row>
  </sheetData>
  <pageMargins left="0.7" right="0.7" top="0.75" bottom="0.75" header="0.3" footer="0.3"/>
  <pageSetup paperSize="256" orientation="portrait" horizontalDpi="203" verticalDpi="203" r:id="rId1"/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C4A384-20BD-4742-8D41-7F91335BE407}">
  <sheetPr codeName="Hoja69"/>
  <dimension ref="C2:J26"/>
  <sheetViews>
    <sheetView workbookViewId="0">
      <selection activeCell="J17" sqref="J17"/>
    </sheetView>
  </sheetViews>
  <sheetFormatPr baseColWidth="10" defaultRowHeight="15.75" x14ac:dyDescent="0.25"/>
  <cols>
    <col min="3" max="3" width="11" style="3"/>
    <col min="4" max="4" width="23.625" style="3" customWidth="1"/>
    <col min="5" max="6" width="11" style="3"/>
    <col min="7" max="7" width="24.375" style="3" customWidth="1"/>
    <col min="8" max="8" width="41.375" style="3" bestFit="1" customWidth="1"/>
  </cols>
  <sheetData>
    <row r="2" spans="3:10" ht="16.5" thickBot="1" x14ac:dyDescent="0.3"/>
    <row r="3" spans="3:10" x14ac:dyDescent="0.25">
      <c r="C3" s="11" t="s">
        <v>0</v>
      </c>
      <c r="D3" s="12" t="s">
        <v>1</v>
      </c>
      <c r="E3" s="12" t="s">
        <v>2</v>
      </c>
      <c r="F3" s="12" t="s">
        <v>3</v>
      </c>
      <c r="G3" s="12" t="s">
        <v>4</v>
      </c>
      <c r="H3" s="13"/>
    </row>
    <row r="4" spans="3:10" x14ac:dyDescent="0.25">
      <c r="C4" s="14"/>
      <c r="D4" s="1"/>
      <c r="E4" s="1"/>
      <c r="F4" s="1"/>
      <c r="G4" s="1"/>
      <c r="H4" s="16"/>
    </row>
    <row r="5" spans="3:10" x14ac:dyDescent="0.25">
      <c r="C5" s="29" t="s">
        <v>3490</v>
      </c>
      <c r="D5" s="28" t="s">
        <v>472</v>
      </c>
      <c r="E5" s="28" t="s">
        <v>7</v>
      </c>
      <c r="F5" s="28">
        <v>-6805.3</v>
      </c>
      <c r="G5" s="28" t="s">
        <v>3522</v>
      </c>
      <c r="H5" s="30" t="s">
        <v>3531</v>
      </c>
    </row>
    <row r="6" spans="3:10" x14ac:dyDescent="0.25">
      <c r="C6" s="14" t="s">
        <v>3490</v>
      </c>
      <c r="D6" s="1" t="s">
        <v>23</v>
      </c>
      <c r="E6" s="1" t="s">
        <v>7</v>
      </c>
      <c r="F6" s="1">
        <v>680</v>
      </c>
      <c r="G6" s="1" t="s">
        <v>3523</v>
      </c>
      <c r="H6" s="16" t="s">
        <v>589</v>
      </c>
    </row>
    <row r="7" spans="3:10" x14ac:dyDescent="0.25">
      <c r="C7" s="14" t="s">
        <v>3490</v>
      </c>
      <c r="D7" s="1" t="s">
        <v>3524</v>
      </c>
      <c r="E7" s="1" t="s">
        <v>7</v>
      </c>
      <c r="F7" s="1">
        <v>5</v>
      </c>
      <c r="G7" s="1" t="s">
        <v>3525</v>
      </c>
      <c r="H7" s="16" t="s">
        <v>3535</v>
      </c>
    </row>
    <row r="8" spans="3:10" x14ac:dyDescent="0.25">
      <c r="C8" s="14" t="s">
        <v>3490</v>
      </c>
      <c r="D8" s="1" t="s">
        <v>3524</v>
      </c>
      <c r="E8" s="1" t="s">
        <v>7</v>
      </c>
      <c r="F8" s="1">
        <v>5</v>
      </c>
      <c r="G8" s="1" t="s">
        <v>3526</v>
      </c>
      <c r="H8" s="16" t="s">
        <v>3534</v>
      </c>
    </row>
    <row r="9" spans="3:10" x14ac:dyDescent="0.25">
      <c r="C9" s="14" t="s">
        <v>3490</v>
      </c>
      <c r="D9" s="1" t="s">
        <v>3527</v>
      </c>
      <c r="E9" s="1" t="s">
        <v>7</v>
      </c>
      <c r="F9" s="1">
        <v>2</v>
      </c>
      <c r="G9" s="1" t="s">
        <v>3528</v>
      </c>
      <c r="H9" s="16" t="s">
        <v>3532</v>
      </c>
    </row>
    <row r="10" spans="3:10" x14ac:dyDescent="0.25">
      <c r="C10" s="14" t="s">
        <v>3490</v>
      </c>
      <c r="D10" s="1" t="s">
        <v>3527</v>
      </c>
      <c r="E10" s="1" t="s">
        <v>7</v>
      </c>
      <c r="F10" s="1">
        <v>8</v>
      </c>
      <c r="G10" s="1" t="s">
        <v>3529</v>
      </c>
      <c r="H10" s="16" t="s">
        <v>3533</v>
      </c>
    </row>
    <row r="11" spans="3:10" x14ac:dyDescent="0.25">
      <c r="C11" s="14" t="s">
        <v>3490</v>
      </c>
      <c r="D11" s="1" t="s">
        <v>192</v>
      </c>
      <c r="E11" s="1" t="s">
        <v>7</v>
      </c>
      <c r="F11" s="1">
        <v>2396</v>
      </c>
      <c r="G11" s="1" t="s">
        <v>3530</v>
      </c>
      <c r="H11" s="16" t="s">
        <v>2552</v>
      </c>
    </row>
    <row r="12" spans="3:10" x14ac:dyDescent="0.25">
      <c r="C12" s="14" t="s">
        <v>3490</v>
      </c>
      <c r="D12" s="1" t="s">
        <v>3491</v>
      </c>
      <c r="E12" s="1" t="s">
        <v>7</v>
      </c>
      <c r="F12" s="1">
        <v>60</v>
      </c>
      <c r="G12" s="1" t="s">
        <v>3492</v>
      </c>
      <c r="H12" s="16" t="s">
        <v>3520</v>
      </c>
    </row>
    <row r="13" spans="3:10" x14ac:dyDescent="0.25">
      <c r="C13" s="14" t="s">
        <v>3490</v>
      </c>
      <c r="D13" s="1" t="s">
        <v>3493</v>
      </c>
      <c r="E13" s="1" t="s">
        <v>7</v>
      </c>
      <c r="F13" s="1">
        <v>125</v>
      </c>
      <c r="G13" s="1" t="s">
        <v>3494</v>
      </c>
      <c r="H13" s="16" t="s">
        <v>3519</v>
      </c>
    </row>
    <row r="14" spans="3:10" x14ac:dyDescent="0.25">
      <c r="C14" s="14" t="s">
        <v>3490</v>
      </c>
      <c r="D14" s="1" t="s">
        <v>262</v>
      </c>
      <c r="E14" s="1" t="s">
        <v>7</v>
      </c>
      <c r="F14" s="1">
        <v>570</v>
      </c>
      <c r="G14" s="1" t="s">
        <v>3495</v>
      </c>
      <c r="H14" s="16" t="s">
        <v>832</v>
      </c>
    </row>
    <row r="15" spans="3:10" x14ac:dyDescent="0.25">
      <c r="C15" s="14" t="s">
        <v>3490</v>
      </c>
      <c r="D15" s="1" t="s">
        <v>262</v>
      </c>
      <c r="E15" s="1" t="s">
        <v>7</v>
      </c>
      <c r="F15" s="1">
        <v>570</v>
      </c>
      <c r="G15" s="1" t="s">
        <v>3496</v>
      </c>
      <c r="H15" s="16" t="s">
        <v>832</v>
      </c>
    </row>
    <row r="16" spans="3:10" x14ac:dyDescent="0.25">
      <c r="C16" s="14" t="s">
        <v>3490</v>
      </c>
      <c r="D16" s="1" t="s">
        <v>23</v>
      </c>
      <c r="E16" s="1" t="s">
        <v>7</v>
      </c>
      <c r="F16" s="1">
        <v>345</v>
      </c>
      <c r="G16" s="1" t="s">
        <v>3497</v>
      </c>
      <c r="H16" s="16" t="s">
        <v>660</v>
      </c>
      <c r="J16">
        <f>570+570</f>
        <v>1140</v>
      </c>
    </row>
    <row r="17" spans="3:8" x14ac:dyDescent="0.25">
      <c r="C17" s="14" t="s">
        <v>3490</v>
      </c>
      <c r="D17" s="1" t="s">
        <v>3498</v>
      </c>
      <c r="E17" s="1" t="s">
        <v>7</v>
      </c>
      <c r="F17" s="1">
        <v>4.5</v>
      </c>
      <c r="G17" s="1" t="s">
        <v>3499</v>
      </c>
      <c r="H17" s="16" t="s">
        <v>3517</v>
      </c>
    </row>
    <row r="18" spans="3:8" x14ac:dyDescent="0.25">
      <c r="C18" s="29" t="s">
        <v>3490</v>
      </c>
      <c r="D18" s="28" t="s">
        <v>172</v>
      </c>
      <c r="E18" s="28" t="s">
        <v>7</v>
      </c>
      <c r="F18" s="28">
        <v>-17000</v>
      </c>
      <c r="G18" s="28" t="s">
        <v>3500</v>
      </c>
      <c r="H18" s="30" t="s">
        <v>1207</v>
      </c>
    </row>
    <row r="19" spans="3:8" x14ac:dyDescent="0.25">
      <c r="C19" s="14" t="s">
        <v>3490</v>
      </c>
      <c r="D19" s="1" t="s">
        <v>23</v>
      </c>
      <c r="E19" s="1" t="s">
        <v>7</v>
      </c>
      <c r="F19" s="1">
        <v>3060</v>
      </c>
      <c r="G19" s="1" t="s">
        <v>3501</v>
      </c>
      <c r="H19" s="16" t="s">
        <v>3518</v>
      </c>
    </row>
    <row r="20" spans="3:8" x14ac:dyDescent="0.25">
      <c r="C20" s="14" t="s">
        <v>3490</v>
      </c>
      <c r="D20" s="1" t="s">
        <v>3502</v>
      </c>
      <c r="E20" s="1" t="s">
        <v>7</v>
      </c>
      <c r="F20" s="1">
        <v>158.5</v>
      </c>
      <c r="G20" s="1" t="s">
        <v>3503</v>
      </c>
      <c r="H20" s="16" t="s">
        <v>3516</v>
      </c>
    </row>
    <row r="21" spans="3:8" x14ac:dyDescent="0.25">
      <c r="C21" s="14" t="s">
        <v>3490</v>
      </c>
      <c r="D21" s="1" t="s">
        <v>3504</v>
      </c>
      <c r="E21" s="1" t="s">
        <v>7</v>
      </c>
      <c r="F21" s="1">
        <v>4.5</v>
      </c>
      <c r="G21" s="1" t="s">
        <v>3505</v>
      </c>
      <c r="H21" s="16" t="s">
        <v>3521</v>
      </c>
    </row>
    <row r="22" spans="3:8" x14ac:dyDescent="0.25">
      <c r="C22" s="14" t="s">
        <v>3490</v>
      </c>
      <c r="D22" s="1" t="s">
        <v>2625</v>
      </c>
      <c r="E22" s="1" t="s">
        <v>7</v>
      </c>
      <c r="F22" s="1">
        <v>164</v>
      </c>
      <c r="G22" s="1" t="s">
        <v>3506</v>
      </c>
      <c r="H22" s="16" t="s">
        <v>52</v>
      </c>
    </row>
    <row r="23" spans="3:8" x14ac:dyDescent="0.25">
      <c r="C23" s="14" t="s">
        <v>3490</v>
      </c>
      <c r="D23" s="1" t="s">
        <v>3507</v>
      </c>
      <c r="E23" s="1" t="s">
        <v>7</v>
      </c>
      <c r="F23" s="1">
        <v>63.6</v>
      </c>
      <c r="G23" s="1" t="s">
        <v>3508</v>
      </c>
      <c r="H23" s="16" t="s">
        <v>3515</v>
      </c>
    </row>
    <row r="24" spans="3:8" x14ac:dyDescent="0.25">
      <c r="C24" s="14" t="s">
        <v>3490</v>
      </c>
      <c r="D24" s="1" t="s">
        <v>3509</v>
      </c>
      <c r="E24" s="1" t="s">
        <v>7</v>
      </c>
      <c r="F24" s="1">
        <v>4</v>
      </c>
      <c r="G24" s="1" t="s">
        <v>3510</v>
      </c>
      <c r="H24" s="16" t="s">
        <v>3514</v>
      </c>
    </row>
    <row r="25" spans="3:8" x14ac:dyDescent="0.25">
      <c r="C25" s="14" t="s">
        <v>3490</v>
      </c>
      <c r="D25" s="1" t="s">
        <v>23</v>
      </c>
      <c r="E25" s="1" t="s">
        <v>7</v>
      </c>
      <c r="F25" s="1">
        <v>183.01</v>
      </c>
      <c r="G25" s="1" t="s">
        <v>3511</v>
      </c>
      <c r="H25" s="16" t="s">
        <v>660</v>
      </c>
    </row>
    <row r="26" spans="3:8" ht="16.5" thickBot="1" x14ac:dyDescent="0.3">
      <c r="C26" s="137" t="s">
        <v>3490</v>
      </c>
      <c r="D26" s="138" t="s">
        <v>1494</v>
      </c>
      <c r="E26" s="138" t="s">
        <v>7</v>
      </c>
      <c r="F26" s="138">
        <v>-69.900000000000006</v>
      </c>
      <c r="G26" s="138" t="s">
        <v>3512</v>
      </c>
      <c r="H26" s="139" t="s">
        <v>3513</v>
      </c>
    </row>
  </sheetData>
  <pageMargins left="0.7" right="0.7" top="0.75" bottom="0.75" header="0.3" footer="0.3"/>
  <pageSetup paperSize="256" orientation="portrait" horizontalDpi="203" verticalDpi="203" r:id="rId1"/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3DCB71-DA01-4781-8F7B-395571EE6717}">
  <sheetPr codeName="Hoja70"/>
  <dimension ref="C1:H24"/>
  <sheetViews>
    <sheetView workbookViewId="0">
      <selection activeCell="F25" sqref="F25"/>
    </sheetView>
  </sheetViews>
  <sheetFormatPr baseColWidth="10" defaultRowHeight="15.75" x14ac:dyDescent="0.25"/>
  <cols>
    <col min="3" max="3" width="11" style="3"/>
    <col min="4" max="4" width="21.625" style="3" customWidth="1"/>
    <col min="5" max="6" width="11" style="3"/>
    <col min="7" max="7" width="18.75" style="3" bestFit="1" customWidth="1"/>
    <col min="8" max="8" width="34.125" style="3" bestFit="1" customWidth="1"/>
  </cols>
  <sheetData>
    <row r="1" spans="3:8" ht="16.5" thickBot="1" x14ac:dyDescent="0.3"/>
    <row r="2" spans="3:8" x14ac:dyDescent="0.25">
      <c r="C2" s="11" t="s">
        <v>0</v>
      </c>
      <c r="D2" s="12" t="s">
        <v>1</v>
      </c>
      <c r="E2" s="12" t="s">
        <v>2</v>
      </c>
      <c r="F2" s="12" t="s">
        <v>3</v>
      </c>
      <c r="G2" s="12" t="s">
        <v>4</v>
      </c>
      <c r="H2" s="13"/>
    </row>
    <row r="3" spans="3:8" x14ac:dyDescent="0.25">
      <c r="C3" s="14"/>
      <c r="D3" s="1"/>
      <c r="E3" s="1"/>
      <c r="F3" s="1"/>
      <c r="G3" s="1"/>
      <c r="H3" s="16"/>
    </row>
    <row r="4" spans="3:8" x14ac:dyDescent="0.25">
      <c r="C4" s="14" t="s">
        <v>3536</v>
      </c>
      <c r="D4" s="1" t="s">
        <v>23</v>
      </c>
      <c r="E4" s="1" t="s">
        <v>7</v>
      </c>
      <c r="F4" s="1">
        <v>255.06</v>
      </c>
      <c r="G4" s="1" t="s">
        <v>3548</v>
      </c>
      <c r="H4" s="16" t="s">
        <v>3572</v>
      </c>
    </row>
    <row r="5" spans="3:8" x14ac:dyDescent="0.25">
      <c r="C5" s="14" t="s">
        <v>3536</v>
      </c>
      <c r="D5" s="1" t="s">
        <v>23</v>
      </c>
      <c r="E5" s="1" t="s">
        <v>7</v>
      </c>
      <c r="F5" s="1">
        <v>177</v>
      </c>
      <c r="G5" s="1" t="s">
        <v>3549</v>
      </c>
      <c r="H5" s="16" t="s">
        <v>142</v>
      </c>
    </row>
    <row r="6" spans="3:8" x14ac:dyDescent="0.25">
      <c r="C6" s="14" t="s">
        <v>3536</v>
      </c>
      <c r="D6" s="1" t="s">
        <v>3005</v>
      </c>
      <c r="E6" s="1" t="s">
        <v>7</v>
      </c>
      <c r="F6" s="1">
        <v>88</v>
      </c>
      <c r="G6" s="1" t="s">
        <v>3550</v>
      </c>
      <c r="H6" s="16" t="s">
        <v>386</v>
      </c>
    </row>
    <row r="7" spans="3:8" x14ac:dyDescent="0.25">
      <c r="C7" s="14" t="s">
        <v>3536</v>
      </c>
      <c r="D7" s="1" t="s">
        <v>23</v>
      </c>
      <c r="E7" s="1" t="s">
        <v>7</v>
      </c>
      <c r="F7" s="1">
        <v>48.5</v>
      </c>
      <c r="G7" s="1" t="s">
        <v>3551</v>
      </c>
      <c r="H7" s="16" t="s">
        <v>142</v>
      </c>
    </row>
    <row r="8" spans="3:8" x14ac:dyDescent="0.25">
      <c r="C8" s="14" t="s">
        <v>3536</v>
      </c>
      <c r="D8" s="1" t="s">
        <v>23</v>
      </c>
      <c r="E8" s="1" t="s">
        <v>7</v>
      </c>
      <c r="F8" s="1">
        <v>1705</v>
      </c>
      <c r="G8" s="1" t="s">
        <v>3552</v>
      </c>
      <c r="H8" s="16" t="s">
        <v>68</v>
      </c>
    </row>
    <row r="9" spans="3:8" x14ac:dyDescent="0.25">
      <c r="C9" s="14" t="s">
        <v>3536</v>
      </c>
      <c r="D9" s="1" t="s">
        <v>23</v>
      </c>
      <c r="E9" s="1" t="s">
        <v>7</v>
      </c>
      <c r="F9" s="1">
        <v>180</v>
      </c>
      <c r="G9" s="1" t="s">
        <v>3553</v>
      </c>
      <c r="H9" s="16" t="s">
        <v>660</v>
      </c>
    </row>
    <row r="10" spans="3:8" x14ac:dyDescent="0.25">
      <c r="C10" s="14" t="s">
        <v>3536</v>
      </c>
      <c r="D10" s="1" t="s">
        <v>23</v>
      </c>
      <c r="E10" s="1" t="s">
        <v>7</v>
      </c>
      <c r="F10" s="1">
        <v>192</v>
      </c>
      <c r="G10" s="1" t="s">
        <v>3554</v>
      </c>
      <c r="H10" s="16" t="s">
        <v>2581</v>
      </c>
    </row>
    <row r="11" spans="3:8" x14ac:dyDescent="0.25">
      <c r="C11" s="14" t="s">
        <v>3536</v>
      </c>
      <c r="D11" s="1" t="s">
        <v>3555</v>
      </c>
      <c r="E11" s="1" t="s">
        <v>7</v>
      </c>
      <c r="F11" s="1">
        <v>194</v>
      </c>
      <c r="G11" s="1" t="s">
        <v>3556</v>
      </c>
      <c r="H11" s="16" t="s">
        <v>3566</v>
      </c>
    </row>
    <row r="12" spans="3:8" x14ac:dyDescent="0.25">
      <c r="C12" s="14" t="s">
        <v>3536</v>
      </c>
      <c r="D12" s="1" t="s">
        <v>509</v>
      </c>
      <c r="E12" s="1" t="s">
        <v>7</v>
      </c>
      <c r="F12" s="1">
        <v>767.3</v>
      </c>
      <c r="G12" s="1" t="s">
        <v>3557</v>
      </c>
      <c r="H12" s="16" t="s">
        <v>3568</v>
      </c>
    </row>
    <row r="13" spans="3:8" x14ac:dyDescent="0.25">
      <c r="C13" s="14" t="s">
        <v>3536</v>
      </c>
      <c r="D13" s="1" t="s">
        <v>356</v>
      </c>
      <c r="E13" s="1" t="s">
        <v>7</v>
      </c>
      <c r="F13" s="1">
        <v>735</v>
      </c>
      <c r="G13" s="1" t="s">
        <v>3558</v>
      </c>
      <c r="H13" s="16" t="s">
        <v>3570</v>
      </c>
    </row>
    <row r="14" spans="3:8" x14ac:dyDescent="0.25">
      <c r="C14" s="14" t="s">
        <v>3536</v>
      </c>
      <c r="D14" s="1" t="s">
        <v>3559</v>
      </c>
      <c r="E14" s="1" t="s">
        <v>7</v>
      </c>
      <c r="F14" s="1">
        <v>31.5</v>
      </c>
      <c r="G14" s="1" t="s">
        <v>3560</v>
      </c>
      <c r="H14" s="16" t="s">
        <v>3565</v>
      </c>
    </row>
    <row r="15" spans="3:8" x14ac:dyDescent="0.25">
      <c r="C15" s="14" t="s">
        <v>3536</v>
      </c>
      <c r="D15" s="1" t="s">
        <v>23</v>
      </c>
      <c r="E15" s="1" t="s">
        <v>7</v>
      </c>
      <c r="F15" s="1">
        <v>5680</v>
      </c>
      <c r="G15" s="1" t="s">
        <v>3537</v>
      </c>
      <c r="H15" s="16" t="s">
        <v>3569</v>
      </c>
    </row>
    <row r="16" spans="3:8" x14ac:dyDescent="0.25">
      <c r="C16" s="14" t="s">
        <v>3536</v>
      </c>
      <c r="D16" s="1" t="s">
        <v>3538</v>
      </c>
      <c r="E16" s="1" t="s">
        <v>7</v>
      </c>
      <c r="F16" s="1">
        <v>10.5</v>
      </c>
      <c r="G16" s="1" t="s">
        <v>3539</v>
      </c>
      <c r="H16" s="16" t="s">
        <v>3567</v>
      </c>
    </row>
    <row r="17" spans="3:8" x14ac:dyDescent="0.25">
      <c r="C17" s="29" t="s">
        <v>3536</v>
      </c>
      <c r="D17" s="28" t="s">
        <v>2625</v>
      </c>
      <c r="E17" s="28" t="s">
        <v>7</v>
      </c>
      <c r="F17" s="28">
        <v>-315</v>
      </c>
      <c r="G17" s="28" t="s">
        <v>3540</v>
      </c>
      <c r="H17" s="30" t="s">
        <v>3564</v>
      </c>
    </row>
    <row r="18" spans="3:8" x14ac:dyDescent="0.25">
      <c r="C18" s="29" t="s">
        <v>3536</v>
      </c>
      <c r="D18" s="28" t="s">
        <v>2625</v>
      </c>
      <c r="E18" s="28" t="s">
        <v>7</v>
      </c>
      <c r="F18" s="28">
        <v>-100</v>
      </c>
      <c r="G18" s="28" t="s">
        <v>3541</v>
      </c>
      <c r="H18" s="30" t="s">
        <v>3563</v>
      </c>
    </row>
    <row r="19" spans="3:8" x14ac:dyDescent="0.25">
      <c r="C19" s="14" t="s">
        <v>3536</v>
      </c>
      <c r="D19" s="1" t="s">
        <v>3542</v>
      </c>
      <c r="E19" s="1" t="s">
        <v>7</v>
      </c>
      <c r="F19" s="1">
        <v>20</v>
      </c>
      <c r="G19" s="1" t="s">
        <v>3543</v>
      </c>
      <c r="H19" s="16" t="s">
        <v>3562</v>
      </c>
    </row>
    <row r="20" spans="3:8" x14ac:dyDescent="0.25">
      <c r="C20" s="14" t="s">
        <v>3536</v>
      </c>
      <c r="D20" s="1" t="s">
        <v>3502</v>
      </c>
      <c r="E20" s="1" t="s">
        <v>7</v>
      </c>
      <c r="F20" s="1">
        <v>103.5</v>
      </c>
      <c r="G20" s="1" t="s">
        <v>3544</v>
      </c>
      <c r="H20" s="16" t="s">
        <v>3561</v>
      </c>
    </row>
    <row r="21" spans="3:8" x14ac:dyDescent="0.25">
      <c r="C21" s="14" t="s">
        <v>3536</v>
      </c>
      <c r="D21" s="1" t="s">
        <v>3545</v>
      </c>
      <c r="E21" s="1" t="s">
        <v>7</v>
      </c>
      <c r="F21" s="1">
        <v>415</v>
      </c>
      <c r="G21" s="1" t="s">
        <v>3546</v>
      </c>
      <c r="H21" s="16" t="s">
        <v>2694</v>
      </c>
    </row>
    <row r="22" spans="3:8" ht="16.5" thickBot="1" x14ac:dyDescent="0.3">
      <c r="C22" s="25" t="s">
        <v>3536</v>
      </c>
      <c r="D22" s="18" t="s">
        <v>23</v>
      </c>
      <c r="E22" s="18" t="s">
        <v>7</v>
      </c>
      <c r="F22" s="18">
        <v>2685</v>
      </c>
      <c r="G22" s="18" t="s">
        <v>3547</v>
      </c>
      <c r="H22" s="27" t="s">
        <v>3571</v>
      </c>
    </row>
    <row r="24" spans="3:8" x14ac:dyDescent="0.25">
      <c r="C24" s="49">
        <v>46154</v>
      </c>
      <c r="D24" s="1" t="s">
        <v>78</v>
      </c>
      <c r="E24" s="1" t="s">
        <v>7</v>
      </c>
      <c r="F24" s="1">
        <v>118.4</v>
      </c>
      <c r="G24" s="1"/>
      <c r="H24" s="1" t="s">
        <v>3573</v>
      </c>
    </row>
  </sheetData>
  <pageMargins left="0.7" right="0.7" top="0.75" bottom="0.75" header="0.3" footer="0.3"/>
  <pageSetup paperSize="256" orientation="portrait" horizontalDpi="203" verticalDpi="203" r:id="rId1"/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BE3AF0-7C62-487F-9B10-E4207C7C75AB}">
  <sheetPr codeName="Hoja71"/>
  <dimension ref="D2:I29"/>
  <sheetViews>
    <sheetView workbookViewId="0">
      <selection activeCell="G18" sqref="G18"/>
    </sheetView>
  </sheetViews>
  <sheetFormatPr baseColWidth="10" defaultRowHeight="15.75" x14ac:dyDescent="0.25"/>
  <cols>
    <col min="4" max="4" width="11" style="3"/>
    <col min="5" max="5" width="24.375" style="3" customWidth="1"/>
    <col min="6" max="7" width="11" style="3"/>
    <col min="8" max="8" width="21.75" style="3" customWidth="1"/>
    <col min="9" max="9" width="30.75" style="3" bestFit="1" customWidth="1"/>
  </cols>
  <sheetData>
    <row r="2" spans="4:9" ht="16.5" thickBot="1" x14ac:dyDescent="0.3"/>
    <row r="3" spans="4:9" x14ac:dyDescent="0.25">
      <c r="D3" s="11" t="s">
        <v>0</v>
      </c>
      <c r="E3" s="12" t="s">
        <v>1</v>
      </c>
      <c r="F3" s="12" t="s">
        <v>2</v>
      </c>
      <c r="G3" s="12" t="s">
        <v>3</v>
      </c>
      <c r="H3" s="12" t="s">
        <v>4</v>
      </c>
      <c r="I3" s="13"/>
    </row>
    <row r="4" spans="4:9" x14ac:dyDescent="0.25">
      <c r="D4" s="14"/>
      <c r="E4" s="1"/>
      <c r="F4" s="1"/>
      <c r="G4" s="1"/>
      <c r="H4" s="1"/>
      <c r="I4" s="16"/>
    </row>
    <row r="5" spans="4:9" x14ac:dyDescent="0.25">
      <c r="D5" s="14" t="s">
        <v>3574</v>
      </c>
      <c r="E5" s="1" t="s">
        <v>519</v>
      </c>
      <c r="F5" s="1" t="s">
        <v>7</v>
      </c>
      <c r="G5" s="1">
        <v>360</v>
      </c>
      <c r="H5" s="1" t="s">
        <v>3589</v>
      </c>
      <c r="I5" s="16" t="s">
        <v>1388</v>
      </c>
    </row>
    <row r="6" spans="4:9" x14ac:dyDescent="0.25">
      <c r="D6" s="14" t="s">
        <v>3574</v>
      </c>
      <c r="E6" s="1" t="s">
        <v>6</v>
      </c>
      <c r="F6" s="1" t="s">
        <v>7</v>
      </c>
      <c r="G6" s="1">
        <v>200</v>
      </c>
      <c r="H6" s="1" t="s">
        <v>3590</v>
      </c>
      <c r="I6" s="16" t="s">
        <v>1388</v>
      </c>
    </row>
    <row r="7" spans="4:9" x14ac:dyDescent="0.25">
      <c r="D7" s="14" t="s">
        <v>3574</v>
      </c>
      <c r="E7" s="1" t="s">
        <v>3591</v>
      </c>
      <c r="F7" s="1" t="s">
        <v>7</v>
      </c>
      <c r="G7" s="1">
        <v>500</v>
      </c>
      <c r="H7" s="1" t="s">
        <v>3592</v>
      </c>
      <c r="I7" s="16" t="s">
        <v>1388</v>
      </c>
    </row>
    <row r="8" spans="4:9" x14ac:dyDescent="0.25">
      <c r="D8" s="14" t="s">
        <v>3574</v>
      </c>
      <c r="E8" s="1" t="s">
        <v>3591</v>
      </c>
      <c r="F8" s="1" t="s">
        <v>7</v>
      </c>
      <c r="G8" s="1">
        <v>500</v>
      </c>
      <c r="H8" s="1" t="s">
        <v>3593</v>
      </c>
      <c r="I8" s="16" t="s">
        <v>1388</v>
      </c>
    </row>
    <row r="9" spans="4:9" x14ac:dyDescent="0.25">
      <c r="D9" s="14" t="s">
        <v>3574</v>
      </c>
      <c r="E9" s="1" t="s">
        <v>3591</v>
      </c>
      <c r="F9" s="1" t="s">
        <v>7</v>
      </c>
      <c r="G9" s="1">
        <v>500</v>
      </c>
      <c r="H9" s="1" t="s">
        <v>3594</v>
      </c>
      <c r="I9" s="16" t="s">
        <v>1388</v>
      </c>
    </row>
    <row r="10" spans="4:9" x14ac:dyDescent="0.25">
      <c r="D10" s="14" t="s">
        <v>3574</v>
      </c>
      <c r="E10" s="1" t="s">
        <v>3005</v>
      </c>
      <c r="F10" s="1" t="s">
        <v>7</v>
      </c>
      <c r="G10" s="1">
        <v>164</v>
      </c>
      <c r="H10" s="1" t="s">
        <v>3595</v>
      </c>
      <c r="I10" s="16" t="s">
        <v>386</v>
      </c>
    </row>
    <row r="11" spans="4:9" x14ac:dyDescent="0.25">
      <c r="D11" s="14" t="s">
        <v>3574</v>
      </c>
      <c r="E11" s="1" t="s">
        <v>3254</v>
      </c>
      <c r="F11" s="1" t="s">
        <v>7</v>
      </c>
      <c r="G11" s="1">
        <v>403</v>
      </c>
      <c r="H11" s="1" t="s">
        <v>3596</v>
      </c>
      <c r="I11" s="16" t="s">
        <v>68</v>
      </c>
    </row>
    <row r="12" spans="4:9" x14ac:dyDescent="0.25">
      <c r="D12" s="29" t="s">
        <v>3574</v>
      </c>
      <c r="E12" s="28" t="s">
        <v>472</v>
      </c>
      <c r="F12" s="28" t="s">
        <v>7</v>
      </c>
      <c r="G12" s="28">
        <v>-2311.5500000000002</v>
      </c>
      <c r="H12" s="28" t="s">
        <v>3597</v>
      </c>
      <c r="I12" s="30" t="s">
        <v>3611</v>
      </c>
    </row>
    <row r="13" spans="4:9" x14ac:dyDescent="0.25">
      <c r="D13" s="14" t="s">
        <v>3574</v>
      </c>
      <c r="E13" s="1" t="s">
        <v>3598</v>
      </c>
      <c r="F13" s="1" t="s">
        <v>7</v>
      </c>
      <c r="G13" s="1">
        <v>364.5</v>
      </c>
      <c r="H13" s="1" t="s">
        <v>3599</v>
      </c>
      <c r="I13" s="16" t="s">
        <v>3612</v>
      </c>
    </row>
    <row r="14" spans="4:9" x14ac:dyDescent="0.25">
      <c r="D14" s="14" t="s">
        <v>3574</v>
      </c>
      <c r="E14" s="1" t="s">
        <v>23</v>
      </c>
      <c r="F14" s="1" t="s">
        <v>7</v>
      </c>
      <c r="G14" s="1">
        <v>529.5</v>
      </c>
      <c r="H14" s="1" t="s">
        <v>3600</v>
      </c>
      <c r="I14" s="16" t="s">
        <v>1226</v>
      </c>
    </row>
    <row r="15" spans="4:9" x14ac:dyDescent="0.25">
      <c r="D15" s="14" t="s">
        <v>3574</v>
      </c>
      <c r="E15" s="1" t="s">
        <v>3601</v>
      </c>
      <c r="F15" s="1" t="s">
        <v>7</v>
      </c>
      <c r="G15" s="1">
        <v>26</v>
      </c>
      <c r="H15" s="1" t="s">
        <v>3602</v>
      </c>
      <c r="I15" s="16" t="s">
        <v>3613</v>
      </c>
    </row>
    <row r="16" spans="4:9" x14ac:dyDescent="0.25">
      <c r="D16" s="14" t="s">
        <v>3574</v>
      </c>
      <c r="E16" s="1" t="s">
        <v>3559</v>
      </c>
      <c r="F16" s="1" t="s">
        <v>7</v>
      </c>
      <c r="G16" s="1">
        <v>9</v>
      </c>
      <c r="H16" s="1" t="s">
        <v>3603</v>
      </c>
      <c r="I16" s="16" t="s">
        <v>3614</v>
      </c>
    </row>
    <row r="17" spans="4:9" x14ac:dyDescent="0.25">
      <c r="D17" s="14" t="s">
        <v>3574</v>
      </c>
      <c r="E17" s="1" t="s">
        <v>23</v>
      </c>
      <c r="F17" s="1" t="s">
        <v>7</v>
      </c>
      <c r="G17" s="1">
        <v>67</v>
      </c>
      <c r="H17" s="1" t="s">
        <v>3604</v>
      </c>
      <c r="I17" s="16" t="s">
        <v>142</v>
      </c>
    </row>
    <row r="18" spans="4:9" x14ac:dyDescent="0.25">
      <c r="D18" s="140" t="s">
        <v>3574</v>
      </c>
      <c r="E18" s="141" t="s">
        <v>23</v>
      </c>
      <c r="F18" s="141" t="s">
        <v>7</v>
      </c>
      <c r="G18" s="141">
        <v>1470</v>
      </c>
      <c r="H18" s="141" t="s">
        <v>3575</v>
      </c>
      <c r="I18" s="142" t="s">
        <v>3479</v>
      </c>
    </row>
    <row r="19" spans="4:9" x14ac:dyDescent="0.25">
      <c r="D19" s="14" t="s">
        <v>3574</v>
      </c>
      <c r="E19" s="1" t="s">
        <v>3576</v>
      </c>
      <c r="F19" s="1" t="s">
        <v>7</v>
      </c>
      <c r="G19" s="1">
        <v>55</v>
      </c>
      <c r="H19" s="1" t="s">
        <v>3577</v>
      </c>
      <c r="I19" s="16" t="s">
        <v>3616</v>
      </c>
    </row>
    <row r="20" spans="4:9" x14ac:dyDescent="0.25">
      <c r="D20" s="14" t="s">
        <v>3574</v>
      </c>
      <c r="E20" s="1" t="s">
        <v>356</v>
      </c>
      <c r="F20" s="1" t="s">
        <v>7</v>
      </c>
      <c r="G20" s="1">
        <v>70</v>
      </c>
      <c r="H20" s="1" t="s">
        <v>3578</v>
      </c>
      <c r="I20" s="16" t="s">
        <v>3609</v>
      </c>
    </row>
    <row r="21" spans="4:9" x14ac:dyDescent="0.25">
      <c r="D21" s="14" t="s">
        <v>3574</v>
      </c>
      <c r="E21" s="1" t="s">
        <v>23</v>
      </c>
      <c r="F21" s="1" t="s">
        <v>7</v>
      </c>
      <c r="G21" s="1">
        <v>1746</v>
      </c>
      <c r="H21" s="1" t="s">
        <v>3579</v>
      </c>
      <c r="I21" s="16" t="s">
        <v>3610</v>
      </c>
    </row>
    <row r="22" spans="4:9" x14ac:dyDescent="0.25">
      <c r="D22" s="14" t="s">
        <v>3574</v>
      </c>
      <c r="E22" s="1" t="s">
        <v>3580</v>
      </c>
      <c r="F22" s="1" t="s">
        <v>7</v>
      </c>
      <c r="G22" s="1">
        <v>6.5</v>
      </c>
      <c r="H22" s="1" t="s">
        <v>3581</v>
      </c>
      <c r="I22" s="16" t="s">
        <v>3608</v>
      </c>
    </row>
    <row r="23" spans="4:9" x14ac:dyDescent="0.25">
      <c r="D23" s="14" t="s">
        <v>3574</v>
      </c>
      <c r="E23" s="1" t="s">
        <v>3582</v>
      </c>
      <c r="F23" s="1" t="s">
        <v>7</v>
      </c>
      <c r="G23" s="1">
        <v>29</v>
      </c>
      <c r="H23" s="1" t="s">
        <v>3583</v>
      </c>
      <c r="I23" s="16" t="s">
        <v>3615</v>
      </c>
    </row>
    <row r="24" spans="4:9" x14ac:dyDescent="0.25">
      <c r="D24" s="14" t="s">
        <v>3574</v>
      </c>
      <c r="E24" s="1" t="s">
        <v>3584</v>
      </c>
      <c r="F24" s="1" t="s">
        <v>7</v>
      </c>
      <c r="G24" s="1">
        <v>123</v>
      </c>
      <c r="H24" s="1" t="s">
        <v>3585</v>
      </c>
      <c r="I24" s="16" t="s">
        <v>3607</v>
      </c>
    </row>
    <row r="25" spans="4:9" x14ac:dyDescent="0.25">
      <c r="D25" s="14" t="s">
        <v>3574</v>
      </c>
      <c r="E25" s="1" t="s">
        <v>23</v>
      </c>
      <c r="F25" s="1" t="s">
        <v>7</v>
      </c>
      <c r="G25" s="1">
        <v>375</v>
      </c>
      <c r="H25" s="1" t="s">
        <v>3586</v>
      </c>
      <c r="I25" s="16" t="s">
        <v>3606</v>
      </c>
    </row>
    <row r="26" spans="4:9" x14ac:dyDescent="0.25">
      <c r="D26" s="14" t="s">
        <v>3574</v>
      </c>
      <c r="E26" s="1" t="s">
        <v>3507</v>
      </c>
      <c r="F26" s="1" t="s">
        <v>7</v>
      </c>
      <c r="G26" s="1">
        <v>31.5</v>
      </c>
      <c r="H26" s="1" t="s">
        <v>3587</v>
      </c>
      <c r="I26" s="16" t="s">
        <v>3605</v>
      </c>
    </row>
    <row r="27" spans="4:9" x14ac:dyDescent="0.25">
      <c r="D27" s="14" t="s">
        <v>3574</v>
      </c>
      <c r="E27" s="1" t="s">
        <v>23</v>
      </c>
      <c r="F27" s="1" t="s">
        <v>7</v>
      </c>
      <c r="G27" s="1">
        <v>1580</v>
      </c>
      <c r="H27" s="1" t="s">
        <v>3588</v>
      </c>
      <c r="I27" s="16" t="s">
        <v>1924</v>
      </c>
    </row>
    <row r="28" spans="4:9" x14ac:dyDescent="0.25">
      <c r="D28" s="14"/>
      <c r="E28" s="1"/>
      <c r="F28" s="1"/>
      <c r="G28" s="1"/>
      <c r="H28" s="1"/>
      <c r="I28" s="16"/>
    </row>
    <row r="29" spans="4:9" ht="16.5" thickBot="1" x14ac:dyDescent="0.3">
      <c r="D29" s="25" t="s">
        <v>3574</v>
      </c>
      <c r="E29" s="18" t="s">
        <v>78</v>
      </c>
      <c r="F29" s="18" t="s">
        <v>7</v>
      </c>
      <c r="G29" s="18">
        <v>2525</v>
      </c>
      <c r="H29" s="18"/>
      <c r="I29" s="27" t="s">
        <v>3473</v>
      </c>
    </row>
  </sheetData>
  <pageMargins left="0.7" right="0.7" top="0.75" bottom="0.75" header="0.3" footer="0.3"/>
  <pageSetup paperSize="256" orientation="portrait" horizontalDpi="203" verticalDpi="203" r:id="rId1"/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17C04E-605F-4A08-9312-2B5FC01C8E1A}">
  <sheetPr codeName="Hoja72"/>
  <dimension ref="D3:I43"/>
  <sheetViews>
    <sheetView workbookViewId="0">
      <selection activeCell="C2" sqref="C2:J45"/>
    </sheetView>
  </sheetViews>
  <sheetFormatPr baseColWidth="10" defaultRowHeight="15.75" x14ac:dyDescent="0.25"/>
  <cols>
    <col min="4" max="4" width="11" style="3"/>
    <col min="5" max="5" width="26.875" style="3" customWidth="1"/>
    <col min="6" max="7" width="11" style="3"/>
    <col min="8" max="8" width="23.125" style="3" customWidth="1"/>
    <col min="9" max="9" width="34.25" style="3" bestFit="1" customWidth="1"/>
  </cols>
  <sheetData>
    <row r="3" spans="4:9" x14ac:dyDescent="0.25">
      <c r="D3" s="1" t="s">
        <v>0</v>
      </c>
      <c r="E3" s="1" t="s">
        <v>1</v>
      </c>
      <c r="F3" s="1" t="s">
        <v>2</v>
      </c>
      <c r="G3" s="1" t="s">
        <v>3</v>
      </c>
      <c r="H3" s="1" t="s">
        <v>4</v>
      </c>
      <c r="I3" s="1"/>
    </row>
    <row r="4" spans="4:9" x14ac:dyDescent="0.25">
      <c r="D4" s="1"/>
      <c r="E4" s="1"/>
      <c r="F4" s="1"/>
      <c r="G4" s="1"/>
      <c r="H4" s="1"/>
      <c r="I4" s="1"/>
    </row>
    <row r="5" spans="4:9" x14ac:dyDescent="0.25">
      <c r="D5" s="1"/>
      <c r="E5" s="1"/>
      <c r="F5" s="1"/>
      <c r="G5" s="1"/>
      <c r="H5" s="1"/>
      <c r="I5" s="1"/>
    </row>
    <row r="6" spans="4:9" x14ac:dyDescent="0.25">
      <c r="D6" s="1" t="s">
        <v>3617</v>
      </c>
      <c r="E6" s="1" t="s">
        <v>669</v>
      </c>
      <c r="F6" s="1" t="s">
        <v>7</v>
      </c>
      <c r="G6" s="1">
        <v>2175.17</v>
      </c>
      <c r="H6" s="1" t="s">
        <v>3661</v>
      </c>
      <c r="I6" s="1" t="s">
        <v>3689</v>
      </c>
    </row>
    <row r="7" spans="4:9" x14ac:dyDescent="0.25">
      <c r="D7" s="1" t="s">
        <v>3617</v>
      </c>
      <c r="E7" s="1" t="s">
        <v>23</v>
      </c>
      <c r="F7" s="1" t="s">
        <v>7</v>
      </c>
      <c r="G7" s="1">
        <v>67.5</v>
      </c>
      <c r="H7" s="1" t="s">
        <v>3662</v>
      </c>
      <c r="I7" s="1" t="s">
        <v>590</v>
      </c>
    </row>
    <row r="8" spans="4:9" x14ac:dyDescent="0.25">
      <c r="D8" s="1" t="s">
        <v>3617</v>
      </c>
      <c r="E8" s="1" t="s">
        <v>3005</v>
      </c>
      <c r="F8" s="1" t="s">
        <v>7</v>
      </c>
      <c r="G8" s="1">
        <v>24</v>
      </c>
      <c r="H8" s="1" t="s">
        <v>3663</v>
      </c>
      <c r="I8" s="1" t="s">
        <v>386</v>
      </c>
    </row>
    <row r="9" spans="4:9" x14ac:dyDescent="0.25">
      <c r="D9" s="1" t="s">
        <v>3617</v>
      </c>
      <c r="E9" s="1" t="s">
        <v>3664</v>
      </c>
      <c r="F9" s="1" t="s">
        <v>7</v>
      </c>
      <c r="G9" s="1">
        <v>1.5</v>
      </c>
      <c r="H9" s="1" t="s">
        <v>3665</v>
      </c>
      <c r="I9" s="1" t="s">
        <v>3687</v>
      </c>
    </row>
    <row r="10" spans="4:9" x14ac:dyDescent="0.25">
      <c r="D10" s="1" t="s">
        <v>3617</v>
      </c>
      <c r="E10" s="1" t="s">
        <v>23</v>
      </c>
      <c r="F10" s="1" t="s">
        <v>7</v>
      </c>
      <c r="G10" s="1">
        <v>912.3</v>
      </c>
      <c r="H10" s="1" t="s">
        <v>3666</v>
      </c>
      <c r="I10" s="1" t="s">
        <v>3167</v>
      </c>
    </row>
    <row r="11" spans="4:9" x14ac:dyDescent="0.25">
      <c r="D11" s="1" t="s">
        <v>3617</v>
      </c>
      <c r="E11" s="1" t="s">
        <v>3667</v>
      </c>
      <c r="F11" s="1" t="s">
        <v>7</v>
      </c>
      <c r="G11" s="1">
        <v>22</v>
      </c>
      <c r="H11" s="1" t="s">
        <v>3668</v>
      </c>
      <c r="I11" s="1" t="s">
        <v>3686</v>
      </c>
    </row>
    <row r="12" spans="4:9" x14ac:dyDescent="0.25">
      <c r="D12" s="1" t="s">
        <v>3617</v>
      </c>
      <c r="E12" s="1" t="s">
        <v>3277</v>
      </c>
      <c r="F12" s="1" t="s">
        <v>7</v>
      </c>
      <c r="G12" s="1">
        <v>53</v>
      </c>
      <c r="H12" s="1" t="s">
        <v>3669</v>
      </c>
      <c r="I12" s="1" t="s">
        <v>3688</v>
      </c>
    </row>
    <row r="13" spans="4:9" x14ac:dyDescent="0.25">
      <c r="D13" s="1" t="s">
        <v>3617</v>
      </c>
      <c r="E13" s="1" t="s">
        <v>3555</v>
      </c>
      <c r="F13" s="1" t="s">
        <v>7</v>
      </c>
      <c r="G13" s="1">
        <v>147</v>
      </c>
      <c r="H13" s="1" t="s">
        <v>3670</v>
      </c>
      <c r="I13" s="1" t="s">
        <v>3566</v>
      </c>
    </row>
    <row r="14" spans="4:9" x14ac:dyDescent="0.25">
      <c r="D14" s="1" t="s">
        <v>3617</v>
      </c>
      <c r="E14" s="1" t="s">
        <v>3555</v>
      </c>
      <c r="F14" s="1" t="s">
        <v>7</v>
      </c>
      <c r="G14" s="1">
        <v>400</v>
      </c>
      <c r="H14" s="1" t="s">
        <v>3671</v>
      </c>
      <c r="I14" s="1" t="s">
        <v>3566</v>
      </c>
    </row>
    <row r="15" spans="4:9" x14ac:dyDescent="0.25">
      <c r="D15" s="1" t="s">
        <v>3617</v>
      </c>
      <c r="E15" s="1" t="s">
        <v>23</v>
      </c>
      <c r="F15" s="1" t="s">
        <v>7</v>
      </c>
      <c r="G15" s="1">
        <v>1908</v>
      </c>
      <c r="H15" s="1" t="s">
        <v>3672</v>
      </c>
      <c r="I15" s="1" t="s">
        <v>210</v>
      </c>
    </row>
    <row r="16" spans="4:9" x14ac:dyDescent="0.25">
      <c r="D16" s="1" t="s">
        <v>3617</v>
      </c>
      <c r="E16" s="1" t="s">
        <v>3673</v>
      </c>
      <c r="F16" s="1" t="s">
        <v>7</v>
      </c>
      <c r="G16" s="1">
        <v>65.5</v>
      </c>
      <c r="H16" s="1" t="s">
        <v>3674</v>
      </c>
      <c r="I16" s="1" t="s">
        <v>52</v>
      </c>
    </row>
    <row r="17" spans="4:9" x14ac:dyDescent="0.25">
      <c r="D17" s="1" t="s">
        <v>3617</v>
      </c>
      <c r="E17" s="1" t="s">
        <v>3675</v>
      </c>
      <c r="F17" s="1" t="s">
        <v>7</v>
      </c>
      <c r="G17" s="1">
        <v>6.5</v>
      </c>
      <c r="H17" s="1" t="s">
        <v>3676</v>
      </c>
      <c r="I17" s="1" t="s">
        <v>3690</v>
      </c>
    </row>
    <row r="18" spans="4:9" x14ac:dyDescent="0.25">
      <c r="D18" s="28" t="s">
        <v>3617</v>
      </c>
      <c r="E18" s="28" t="s">
        <v>3677</v>
      </c>
      <c r="F18" s="28" t="s">
        <v>7</v>
      </c>
      <c r="G18" s="28">
        <v>-50</v>
      </c>
      <c r="H18" s="28" t="s">
        <v>3678</v>
      </c>
      <c r="I18" s="28" t="s">
        <v>3685</v>
      </c>
    </row>
    <row r="19" spans="4:9" x14ac:dyDescent="0.25">
      <c r="D19" s="28" t="s">
        <v>3617</v>
      </c>
      <c r="E19" s="28" t="s">
        <v>3679</v>
      </c>
      <c r="F19" s="28" t="s">
        <v>7</v>
      </c>
      <c r="G19" s="28">
        <v>-50</v>
      </c>
      <c r="H19" s="28" t="s">
        <v>3680</v>
      </c>
      <c r="I19" s="28" t="s">
        <v>3684</v>
      </c>
    </row>
    <row r="20" spans="4:9" x14ac:dyDescent="0.25">
      <c r="D20" s="1" t="s">
        <v>3617</v>
      </c>
      <c r="E20" s="1" t="s">
        <v>3681</v>
      </c>
      <c r="F20" s="1" t="s">
        <v>7</v>
      </c>
      <c r="G20" s="1">
        <v>18.5</v>
      </c>
      <c r="H20" s="1" t="s">
        <v>3682</v>
      </c>
      <c r="I20" s="1" t="s">
        <v>3683</v>
      </c>
    </row>
    <row r="21" spans="4:9" x14ac:dyDescent="0.25">
      <c r="D21" s="1" t="s">
        <v>3617</v>
      </c>
      <c r="E21" s="1" t="s">
        <v>3318</v>
      </c>
      <c r="F21" s="1" t="s">
        <v>7</v>
      </c>
      <c r="G21" s="1">
        <v>83.6</v>
      </c>
      <c r="H21" s="1" t="s">
        <v>3618</v>
      </c>
      <c r="I21" s="1" t="s">
        <v>3658</v>
      </c>
    </row>
    <row r="22" spans="4:9" x14ac:dyDescent="0.25">
      <c r="D22" s="1" t="s">
        <v>3617</v>
      </c>
      <c r="E22" s="1" t="s">
        <v>3619</v>
      </c>
      <c r="F22" s="1" t="s">
        <v>7</v>
      </c>
      <c r="G22" s="1">
        <v>12</v>
      </c>
      <c r="H22" s="1" t="s">
        <v>3620</v>
      </c>
      <c r="I22" s="1" t="s">
        <v>660</v>
      </c>
    </row>
    <row r="23" spans="4:9" x14ac:dyDescent="0.25">
      <c r="D23" s="1" t="s">
        <v>3617</v>
      </c>
      <c r="E23" s="1" t="s">
        <v>3621</v>
      </c>
      <c r="F23" s="1" t="s">
        <v>7</v>
      </c>
      <c r="G23" s="1">
        <v>40</v>
      </c>
      <c r="H23" s="1" t="s">
        <v>3622</v>
      </c>
      <c r="I23" s="1" t="s">
        <v>3650</v>
      </c>
    </row>
    <row r="24" spans="4:9" x14ac:dyDescent="0.25">
      <c r="D24" s="1" t="s">
        <v>3617</v>
      </c>
      <c r="E24" s="1" t="s">
        <v>3623</v>
      </c>
      <c r="F24" s="1" t="s">
        <v>7</v>
      </c>
      <c r="G24" s="1">
        <v>42</v>
      </c>
      <c r="H24" s="1" t="s">
        <v>3624</v>
      </c>
      <c r="I24" s="1" t="s">
        <v>2284</v>
      </c>
    </row>
    <row r="25" spans="4:9" x14ac:dyDescent="0.25">
      <c r="D25" s="1" t="s">
        <v>3617</v>
      </c>
      <c r="E25" s="1" t="s">
        <v>509</v>
      </c>
      <c r="F25" s="1" t="s">
        <v>7</v>
      </c>
      <c r="G25" s="1">
        <v>6</v>
      </c>
      <c r="H25" s="1" t="s">
        <v>3625</v>
      </c>
      <c r="I25" s="1" t="s">
        <v>3651</v>
      </c>
    </row>
    <row r="26" spans="4:9" x14ac:dyDescent="0.25">
      <c r="D26" s="1" t="s">
        <v>3617</v>
      </c>
      <c r="E26" s="1" t="s">
        <v>3626</v>
      </c>
      <c r="F26" s="1" t="s">
        <v>7</v>
      </c>
      <c r="G26" s="1">
        <v>14.5</v>
      </c>
      <c r="H26" s="1" t="s">
        <v>3627</v>
      </c>
      <c r="I26" s="1" t="s">
        <v>3649</v>
      </c>
    </row>
    <row r="27" spans="4:9" x14ac:dyDescent="0.25">
      <c r="D27" s="28" t="s">
        <v>3617</v>
      </c>
      <c r="E27" s="28" t="s">
        <v>3628</v>
      </c>
      <c r="F27" s="28" t="s">
        <v>7</v>
      </c>
      <c r="G27" s="28">
        <v>-45</v>
      </c>
      <c r="H27" s="28" t="s">
        <v>3629</v>
      </c>
      <c r="I27" s="28" t="s">
        <v>3660</v>
      </c>
    </row>
    <row r="28" spans="4:9" x14ac:dyDescent="0.25">
      <c r="D28" s="1" t="s">
        <v>3617</v>
      </c>
      <c r="E28" s="1" t="s">
        <v>3277</v>
      </c>
      <c r="F28" s="1" t="s">
        <v>7</v>
      </c>
      <c r="G28" s="1">
        <v>230</v>
      </c>
      <c r="H28" s="1" t="s">
        <v>3630</v>
      </c>
      <c r="I28" s="1" t="s">
        <v>3657</v>
      </c>
    </row>
    <row r="29" spans="4:9" x14ac:dyDescent="0.25">
      <c r="D29" s="1" t="s">
        <v>3617</v>
      </c>
      <c r="E29" s="1" t="s">
        <v>3631</v>
      </c>
      <c r="F29" s="1" t="s">
        <v>7</v>
      </c>
      <c r="G29" s="1">
        <v>10</v>
      </c>
      <c r="H29" s="1" t="s">
        <v>3632</v>
      </c>
      <c r="I29" s="1" t="s">
        <v>3659</v>
      </c>
    </row>
    <row r="30" spans="4:9" x14ac:dyDescent="0.25">
      <c r="D30" s="1" t="s">
        <v>3617</v>
      </c>
      <c r="E30" s="1" t="s">
        <v>3631</v>
      </c>
      <c r="F30" s="1" t="s">
        <v>7</v>
      </c>
      <c r="G30" s="1">
        <v>18</v>
      </c>
      <c r="H30" s="1" t="s">
        <v>3633</v>
      </c>
      <c r="I30" s="1" t="s">
        <v>3656</v>
      </c>
    </row>
    <row r="31" spans="4:9" x14ac:dyDescent="0.25">
      <c r="D31" s="1" t="s">
        <v>3617</v>
      </c>
      <c r="E31" s="1" t="s">
        <v>3634</v>
      </c>
      <c r="F31" s="1" t="s">
        <v>7</v>
      </c>
      <c r="G31" s="1">
        <v>20</v>
      </c>
      <c r="H31" s="1" t="s">
        <v>3635</v>
      </c>
      <c r="I31" s="1" t="s">
        <v>3648</v>
      </c>
    </row>
    <row r="32" spans="4:9" x14ac:dyDescent="0.25">
      <c r="D32" s="1" t="s">
        <v>3617</v>
      </c>
      <c r="E32" s="1" t="s">
        <v>3636</v>
      </c>
      <c r="F32" s="1" t="s">
        <v>7</v>
      </c>
      <c r="G32" s="1">
        <v>6.5</v>
      </c>
      <c r="H32" s="1" t="s">
        <v>3637</v>
      </c>
      <c r="I32" s="1" t="s">
        <v>3655</v>
      </c>
    </row>
    <row r="33" spans="4:9" x14ac:dyDescent="0.25">
      <c r="D33" s="1" t="s">
        <v>3617</v>
      </c>
      <c r="E33" s="1" t="s">
        <v>2625</v>
      </c>
      <c r="F33" s="1" t="s">
        <v>7</v>
      </c>
      <c r="G33" s="1">
        <v>500</v>
      </c>
      <c r="H33" s="1" t="s">
        <v>3638</v>
      </c>
      <c r="I33" s="1" t="s">
        <v>52</v>
      </c>
    </row>
    <row r="34" spans="4:9" x14ac:dyDescent="0.25">
      <c r="D34" s="1" t="s">
        <v>3617</v>
      </c>
      <c r="E34" s="1" t="s">
        <v>2625</v>
      </c>
      <c r="F34" s="1" t="s">
        <v>7</v>
      </c>
      <c r="G34" s="1">
        <v>500</v>
      </c>
      <c r="H34" s="1" t="s">
        <v>3639</v>
      </c>
      <c r="I34" s="1" t="s">
        <v>52</v>
      </c>
    </row>
    <row r="35" spans="4:9" x14ac:dyDescent="0.25">
      <c r="D35" s="1" t="s">
        <v>3617</v>
      </c>
      <c r="E35" s="1" t="s">
        <v>2625</v>
      </c>
      <c r="F35" s="1" t="s">
        <v>7</v>
      </c>
      <c r="G35" s="1">
        <v>500</v>
      </c>
      <c r="H35" s="1" t="s">
        <v>3640</v>
      </c>
      <c r="I35" s="1" t="s">
        <v>52</v>
      </c>
    </row>
    <row r="36" spans="4:9" x14ac:dyDescent="0.25">
      <c r="D36" s="1" t="s">
        <v>3617</v>
      </c>
      <c r="E36" s="1" t="s">
        <v>2625</v>
      </c>
      <c r="F36" s="1" t="s">
        <v>7</v>
      </c>
      <c r="G36" s="1">
        <v>500</v>
      </c>
      <c r="H36" s="1" t="s">
        <v>3641</v>
      </c>
      <c r="I36" s="1" t="s">
        <v>52</v>
      </c>
    </row>
    <row r="37" spans="4:9" x14ac:dyDescent="0.25">
      <c r="D37" s="28" t="s">
        <v>3617</v>
      </c>
      <c r="E37" s="28" t="s">
        <v>172</v>
      </c>
      <c r="F37" s="28" t="s">
        <v>7</v>
      </c>
      <c r="G37" s="28">
        <v>-22000</v>
      </c>
      <c r="H37" s="28" t="s">
        <v>3642</v>
      </c>
      <c r="I37" s="28" t="s">
        <v>1207</v>
      </c>
    </row>
    <row r="38" spans="4:9" x14ac:dyDescent="0.25">
      <c r="D38" s="1" t="s">
        <v>3617</v>
      </c>
      <c r="E38" s="1" t="s">
        <v>3502</v>
      </c>
      <c r="F38" s="1" t="s">
        <v>7</v>
      </c>
      <c r="G38" s="1">
        <v>279.5</v>
      </c>
      <c r="H38" s="1" t="s">
        <v>3643</v>
      </c>
      <c r="I38" s="1" t="s">
        <v>3516</v>
      </c>
    </row>
    <row r="39" spans="4:9" x14ac:dyDescent="0.25">
      <c r="D39" s="1" t="s">
        <v>3617</v>
      </c>
      <c r="E39" s="1" t="s">
        <v>23</v>
      </c>
      <c r="F39" s="1" t="s">
        <v>7</v>
      </c>
      <c r="G39" s="1">
        <v>1322.5</v>
      </c>
      <c r="H39" s="1" t="s">
        <v>3644</v>
      </c>
      <c r="I39" s="1" t="s">
        <v>660</v>
      </c>
    </row>
    <row r="40" spans="4:9" x14ac:dyDescent="0.25">
      <c r="D40" s="1" t="s">
        <v>3617</v>
      </c>
      <c r="E40" s="1" t="s">
        <v>3645</v>
      </c>
      <c r="F40" s="1" t="s">
        <v>7</v>
      </c>
      <c r="G40" s="1">
        <v>4</v>
      </c>
      <c r="H40" s="1" t="s">
        <v>3646</v>
      </c>
      <c r="I40" s="1" t="s">
        <v>3647</v>
      </c>
    </row>
    <row r="41" spans="4:9" x14ac:dyDescent="0.25">
      <c r="D41" s="1" t="s">
        <v>3617</v>
      </c>
      <c r="E41" s="1" t="s">
        <v>1841</v>
      </c>
      <c r="F41" s="1" t="s">
        <v>7</v>
      </c>
      <c r="G41" s="1">
        <v>28</v>
      </c>
      <c r="H41" s="1">
        <v>694570</v>
      </c>
      <c r="I41" s="1" t="s">
        <v>3652</v>
      </c>
    </row>
    <row r="42" spans="4:9" x14ac:dyDescent="0.25">
      <c r="D42" s="1" t="s">
        <v>3617</v>
      </c>
      <c r="E42" s="1" t="s">
        <v>1841</v>
      </c>
      <c r="F42" s="1" t="s">
        <v>7</v>
      </c>
      <c r="G42" s="1">
        <v>14</v>
      </c>
      <c r="H42" s="1">
        <v>5804081</v>
      </c>
      <c r="I42" s="1" t="s">
        <v>3653</v>
      </c>
    </row>
    <row r="43" spans="4:9" x14ac:dyDescent="0.25">
      <c r="D43" s="1" t="s">
        <v>3617</v>
      </c>
      <c r="E43" s="1" t="s">
        <v>1841</v>
      </c>
      <c r="F43" s="1" t="s">
        <v>7</v>
      </c>
      <c r="G43" s="1">
        <v>54.3</v>
      </c>
      <c r="H43" s="1">
        <v>7221606</v>
      </c>
      <c r="I43" s="1" t="s">
        <v>3654</v>
      </c>
    </row>
  </sheetData>
  <pageMargins left="0.7" right="0.7" top="0.75" bottom="0.75" header="0.3" footer="0.3"/>
  <pageSetup paperSize="256" orientation="portrait" horizontalDpi="203" verticalDpi="203" r:id="rId1"/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D9DACC-6521-4D52-A004-6DD77BC52A24}">
  <sheetPr codeName="Hoja73"/>
  <dimension ref="C2:H27"/>
  <sheetViews>
    <sheetView workbookViewId="0">
      <selection activeCell="C1" sqref="C1:H1048576"/>
    </sheetView>
  </sheetViews>
  <sheetFormatPr baseColWidth="10" defaultRowHeight="15.75" x14ac:dyDescent="0.25"/>
  <cols>
    <col min="3" max="3" width="11" style="3"/>
    <col min="4" max="4" width="26.75" style="3" customWidth="1"/>
    <col min="5" max="6" width="11" style="3"/>
    <col min="7" max="7" width="21.875" style="3" customWidth="1"/>
    <col min="8" max="8" width="30.75" style="3" customWidth="1"/>
  </cols>
  <sheetData>
    <row r="2" spans="3:8" ht="16.5" thickBot="1" x14ac:dyDescent="0.3"/>
    <row r="3" spans="3:8" x14ac:dyDescent="0.25">
      <c r="C3" s="21" t="s">
        <v>0</v>
      </c>
      <c r="D3" s="22" t="s">
        <v>1</v>
      </c>
      <c r="E3" s="22" t="s">
        <v>2</v>
      </c>
      <c r="F3" s="22" t="s">
        <v>3</v>
      </c>
      <c r="G3" s="22" t="s">
        <v>4</v>
      </c>
      <c r="H3" s="23"/>
    </row>
    <row r="4" spans="3:8" x14ac:dyDescent="0.25">
      <c r="C4" s="14"/>
      <c r="D4" s="1"/>
      <c r="E4" s="1"/>
      <c r="F4" s="1"/>
      <c r="G4" s="1"/>
      <c r="H4" s="16"/>
    </row>
    <row r="5" spans="3:8" x14ac:dyDescent="0.25">
      <c r="C5" s="14" t="s">
        <v>3691</v>
      </c>
      <c r="D5" s="1" t="s">
        <v>23</v>
      </c>
      <c r="E5" s="1" t="s">
        <v>7</v>
      </c>
      <c r="F5" s="1">
        <v>1276</v>
      </c>
      <c r="G5" s="1" t="s">
        <v>3711</v>
      </c>
      <c r="H5" s="16" t="s">
        <v>68</v>
      </c>
    </row>
    <row r="6" spans="3:8" x14ac:dyDescent="0.25">
      <c r="C6" s="29" t="s">
        <v>3691</v>
      </c>
      <c r="D6" s="28" t="s">
        <v>2625</v>
      </c>
      <c r="E6" s="28" t="s">
        <v>7</v>
      </c>
      <c r="F6" s="28">
        <v>-81</v>
      </c>
      <c r="G6" s="28" t="s">
        <v>3712</v>
      </c>
      <c r="H6" s="30" t="s">
        <v>3724</v>
      </c>
    </row>
    <row r="7" spans="3:8" x14ac:dyDescent="0.25">
      <c r="C7" s="14" t="s">
        <v>3691</v>
      </c>
      <c r="D7" s="1" t="s">
        <v>23</v>
      </c>
      <c r="E7" s="1" t="s">
        <v>7</v>
      </c>
      <c r="F7" s="1">
        <v>252.6</v>
      </c>
      <c r="G7" s="1" t="s">
        <v>3713</v>
      </c>
      <c r="H7" s="16" t="s">
        <v>3727</v>
      </c>
    </row>
    <row r="8" spans="3:8" x14ac:dyDescent="0.25">
      <c r="C8" s="14" t="s">
        <v>3691</v>
      </c>
      <c r="D8" s="1" t="s">
        <v>1259</v>
      </c>
      <c r="E8" s="1" t="s">
        <v>7</v>
      </c>
      <c r="F8" s="1">
        <v>50</v>
      </c>
      <c r="G8" s="1" t="s">
        <v>3714</v>
      </c>
      <c r="H8" s="16" t="s">
        <v>689</v>
      </c>
    </row>
    <row r="9" spans="3:8" x14ac:dyDescent="0.25">
      <c r="C9" s="14" t="s">
        <v>3691</v>
      </c>
      <c r="D9" s="1" t="s">
        <v>3715</v>
      </c>
      <c r="E9" s="1" t="s">
        <v>7</v>
      </c>
      <c r="F9" s="1">
        <v>13</v>
      </c>
      <c r="G9" s="1" t="s">
        <v>3716</v>
      </c>
      <c r="H9" s="16" t="s">
        <v>3726</v>
      </c>
    </row>
    <row r="10" spans="3:8" x14ac:dyDescent="0.25">
      <c r="C10" s="14" t="s">
        <v>3691</v>
      </c>
      <c r="D10" s="1" t="s">
        <v>2625</v>
      </c>
      <c r="E10" s="1" t="s">
        <v>7</v>
      </c>
      <c r="F10" s="1">
        <v>123</v>
      </c>
      <c r="G10" s="1" t="s">
        <v>3717</v>
      </c>
      <c r="H10" s="16" t="s">
        <v>52</v>
      </c>
    </row>
    <row r="11" spans="3:8" x14ac:dyDescent="0.25">
      <c r="C11" s="14" t="s">
        <v>3691</v>
      </c>
      <c r="D11" s="1" t="s">
        <v>3675</v>
      </c>
      <c r="E11" s="1" t="s">
        <v>7</v>
      </c>
      <c r="F11" s="1">
        <v>4</v>
      </c>
      <c r="G11" s="1" t="s">
        <v>3718</v>
      </c>
      <c r="H11" s="16" t="s">
        <v>3723</v>
      </c>
    </row>
    <row r="12" spans="3:8" x14ac:dyDescent="0.25">
      <c r="C12" s="14" t="s">
        <v>3691</v>
      </c>
      <c r="D12" s="1" t="s">
        <v>23</v>
      </c>
      <c r="E12" s="1" t="s">
        <v>7</v>
      </c>
      <c r="F12" s="1">
        <v>1143.45</v>
      </c>
      <c r="G12" s="1" t="s">
        <v>3692</v>
      </c>
      <c r="H12" s="16" t="s">
        <v>3728</v>
      </c>
    </row>
    <row r="13" spans="3:8" x14ac:dyDescent="0.25">
      <c r="C13" s="14" t="s">
        <v>3691</v>
      </c>
      <c r="D13" s="1" t="s">
        <v>3693</v>
      </c>
      <c r="E13" s="1" t="s">
        <v>7</v>
      </c>
      <c r="F13" s="1">
        <v>10</v>
      </c>
      <c r="G13" s="1" t="s">
        <v>3694</v>
      </c>
      <c r="H13" s="16" t="s">
        <v>3722</v>
      </c>
    </row>
    <row r="14" spans="3:8" x14ac:dyDescent="0.25">
      <c r="C14" s="14" t="s">
        <v>3691</v>
      </c>
      <c r="D14" s="1" t="s">
        <v>3695</v>
      </c>
      <c r="E14" s="1" t="s">
        <v>7</v>
      </c>
      <c r="F14" s="1">
        <v>23204</v>
      </c>
      <c r="G14" s="1" t="s">
        <v>3696</v>
      </c>
      <c r="H14" s="16" t="s">
        <v>3729</v>
      </c>
    </row>
    <row r="15" spans="3:8" x14ac:dyDescent="0.25">
      <c r="C15" s="14" t="s">
        <v>3691</v>
      </c>
      <c r="D15" s="1" t="s">
        <v>3697</v>
      </c>
      <c r="E15" s="1" t="s">
        <v>7</v>
      </c>
      <c r="F15" s="1">
        <v>50</v>
      </c>
      <c r="G15" s="1" t="s">
        <v>3698</v>
      </c>
      <c r="H15" s="16" t="s">
        <v>3721</v>
      </c>
    </row>
    <row r="16" spans="3:8" x14ac:dyDescent="0.25">
      <c r="C16" s="14" t="s">
        <v>3691</v>
      </c>
      <c r="D16" s="1" t="s">
        <v>3697</v>
      </c>
      <c r="E16" s="1" t="s">
        <v>7</v>
      </c>
      <c r="F16" s="1">
        <v>218</v>
      </c>
      <c r="G16" s="1" t="s">
        <v>3699</v>
      </c>
      <c r="H16" s="16" t="s">
        <v>3721</v>
      </c>
    </row>
    <row r="17" spans="3:8" x14ac:dyDescent="0.25">
      <c r="C17" s="14" t="s">
        <v>3691</v>
      </c>
      <c r="D17" s="1" t="s">
        <v>3700</v>
      </c>
      <c r="E17" s="1" t="s">
        <v>7</v>
      </c>
      <c r="F17" s="1">
        <v>450</v>
      </c>
      <c r="G17" s="1" t="s">
        <v>3701</v>
      </c>
      <c r="H17" s="16" t="s">
        <v>3721</v>
      </c>
    </row>
    <row r="18" spans="3:8" x14ac:dyDescent="0.25">
      <c r="C18" s="14" t="s">
        <v>3691</v>
      </c>
      <c r="D18" s="1" t="s">
        <v>3700</v>
      </c>
      <c r="E18" s="1" t="s">
        <v>7</v>
      </c>
      <c r="F18" s="1">
        <v>500</v>
      </c>
      <c r="G18" s="1" t="s">
        <v>3702</v>
      </c>
      <c r="H18" s="16" t="s">
        <v>3721</v>
      </c>
    </row>
    <row r="19" spans="3:8" x14ac:dyDescent="0.25">
      <c r="C19" s="14" t="s">
        <v>3691</v>
      </c>
      <c r="D19" s="1" t="s">
        <v>23</v>
      </c>
      <c r="E19" s="1" t="s">
        <v>7</v>
      </c>
      <c r="F19" s="1">
        <v>1707.5</v>
      </c>
      <c r="G19" s="1" t="s">
        <v>3703</v>
      </c>
      <c r="H19" s="16" t="s">
        <v>2905</v>
      </c>
    </row>
    <row r="20" spans="3:8" x14ac:dyDescent="0.25">
      <c r="C20" s="14" t="s">
        <v>3691</v>
      </c>
      <c r="D20" s="1" t="s">
        <v>2625</v>
      </c>
      <c r="E20" s="1" t="s">
        <v>7</v>
      </c>
      <c r="F20" s="1">
        <v>51.5</v>
      </c>
      <c r="G20" s="1" t="s">
        <v>3704</v>
      </c>
      <c r="H20" s="16" t="s">
        <v>52</v>
      </c>
    </row>
    <row r="21" spans="3:8" x14ac:dyDescent="0.25">
      <c r="C21" s="14" t="s">
        <v>3691</v>
      </c>
      <c r="D21" s="1" t="s">
        <v>3098</v>
      </c>
      <c r="E21" s="1" t="s">
        <v>7</v>
      </c>
      <c r="F21" s="1">
        <v>50</v>
      </c>
      <c r="G21" s="1" t="s">
        <v>3705</v>
      </c>
      <c r="H21" s="16" t="s">
        <v>1325</v>
      </c>
    </row>
    <row r="22" spans="3:8" x14ac:dyDescent="0.25">
      <c r="C22" s="14" t="s">
        <v>3691</v>
      </c>
      <c r="D22" s="1" t="s">
        <v>3675</v>
      </c>
      <c r="E22" s="1" t="s">
        <v>7</v>
      </c>
      <c r="F22" s="1">
        <v>3.5</v>
      </c>
      <c r="G22" s="1" t="s">
        <v>3706</v>
      </c>
      <c r="H22" s="16" t="s">
        <v>3725</v>
      </c>
    </row>
    <row r="23" spans="3:8" x14ac:dyDescent="0.25">
      <c r="C23" s="14" t="s">
        <v>3691</v>
      </c>
      <c r="D23" s="1" t="s">
        <v>3707</v>
      </c>
      <c r="E23" s="1" t="s">
        <v>7</v>
      </c>
      <c r="F23" s="1">
        <v>10</v>
      </c>
      <c r="G23" s="1" t="s">
        <v>3708</v>
      </c>
      <c r="H23" s="16" t="s">
        <v>3720</v>
      </c>
    </row>
    <row r="24" spans="3:8" x14ac:dyDescent="0.25">
      <c r="C24" s="14" t="s">
        <v>3691</v>
      </c>
      <c r="D24" s="1" t="s">
        <v>23</v>
      </c>
      <c r="E24" s="1" t="s">
        <v>7</v>
      </c>
      <c r="F24" s="1">
        <v>1480</v>
      </c>
      <c r="G24" s="1" t="s">
        <v>3709</v>
      </c>
      <c r="H24" s="16" t="s">
        <v>3730</v>
      </c>
    </row>
    <row r="25" spans="3:8" ht="16.5" thickBot="1" x14ac:dyDescent="0.3">
      <c r="C25" s="25" t="s">
        <v>3691</v>
      </c>
      <c r="D25" s="18" t="s">
        <v>23</v>
      </c>
      <c r="E25" s="18" t="s">
        <v>7</v>
      </c>
      <c r="F25" s="18">
        <v>318</v>
      </c>
      <c r="G25" s="18" t="s">
        <v>3710</v>
      </c>
      <c r="H25" s="27" t="s">
        <v>3719</v>
      </c>
    </row>
    <row r="26" spans="3:8" x14ac:dyDescent="0.25">
      <c r="C26" s="3" t="s">
        <v>3691</v>
      </c>
      <c r="D26" s="3" t="s">
        <v>23</v>
      </c>
      <c r="E26" s="3" t="s">
        <v>7</v>
      </c>
      <c r="F26" s="3">
        <v>805</v>
      </c>
      <c r="G26" s="3" t="s">
        <v>3731</v>
      </c>
      <c r="H26" s="3" t="s">
        <v>1632</v>
      </c>
    </row>
    <row r="27" spans="3:8" x14ac:dyDescent="0.25">
      <c r="C27" s="3" t="s">
        <v>3691</v>
      </c>
      <c r="D27" s="3" t="s">
        <v>3732</v>
      </c>
      <c r="E27" s="3" t="s">
        <v>7</v>
      </c>
      <c r="F27" s="3">
        <v>240</v>
      </c>
      <c r="G27" s="3" t="s">
        <v>3733</v>
      </c>
    </row>
  </sheetData>
  <pageMargins left="0.7" right="0.7" top="0.75" bottom="0.75" header="0.3" footer="0.3"/>
  <pageSetup paperSize="256" orientation="portrait" horizontalDpi="203" verticalDpi="203" r:id="rId1"/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2BE09C-0D91-4A7C-A389-8128B55B985C}">
  <sheetPr codeName="Hoja74"/>
  <dimension ref="D2:J47"/>
  <sheetViews>
    <sheetView topLeftCell="A4" workbookViewId="0">
      <selection activeCell="I19" sqref="I19"/>
    </sheetView>
  </sheetViews>
  <sheetFormatPr baseColWidth="10" defaultRowHeight="15.75" x14ac:dyDescent="0.25"/>
  <cols>
    <col min="4" max="4" width="14.5" style="3" customWidth="1"/>
    <col min="5" max="5" width="30.75" style="3" customWidth="1"/>
    <col min="6" max="6" width="13.625" style="3" customWidth="1"/>
    <col min="7" max="7" width="11.75" style="3" customWidth="1"/>
    <col min="8" max="8" width="21.25" style="3" customWidth="1"/>
    <col min="9" max="9" width="31.625" style="3" bestFit="1" customWidth="1"/>
    <col min="10" max="10" width="11" style="3"/>
  </cols>
  <sheetData>
    <row r="2" spans="4:10" ht="16.5" thickBot="1" x14ac:dyDescent="0.3"/>
    <row r="3" spans="4:10" x14ac:dyDescent="0.25">
      <c r="D3" s="21" t="s">
        <v>0</v>
      </c>
      <c r="E3" s="22" t="s">
        <v>1</v>
      </c>
      <c r="F3" s="22" t="s">
        <v>2</v>
      </c>
      <c r="G3" s="22" t="s">
        <v>3</v>
      </c>
      <c r="H3" s="22" t="s">
        <v>4</v>
      </c>
      <c r="I3" s="13"/>
    </row>
    <row r="4" spans="4:10" x14ac:dyDescent="0.25">
      <c r="D4" s="108"/>
      <c r="E4" s="7"/>
      <c r="F4" s="7"/>
      <c r="G4" s="7"/>
      <c r="H4" s="7"/>
      <c r="I4" s="16"/>
    </row>
    <row r="5" spans="4:10" x14ac:dyDescent="0.25">
      <c r="D5" s="14" t="s">
        <v>3734</v>
      </c>
      <c r="E5" s="1" t="s">
        <v>23</v>
      </c>
      <c r="F5" s="1" t="s">
        <v>7</v>
      </c>
      <c r="G5" s="1">
        <v>3840</v>
      </c>
      <c r="H5" s="1" t="s">
        <v>3784</v>
      </c>
      <c r="I5" s="16" t="s">
        <v>210</v>
      </c>
    </row>
    <row r="6" spans="4:10" x14ac:dyDescent="0.25">
      <c r="D6" s="14" t="s">
        <v>3734</v>
      </c>
      <c r="E6" s="1" t="s">
        <v>3555</v>
      </c>
      <c r="F6" s="1" t="s">
        <v>7</v>
      </c>
      <c r="G6" s="1">
        <v>384</v>
      </c>
      <c r="H6" s="1" t="s">
        <v>3785</v>
      </c>
      <c r="I6" s="16" t="s">
        <v>3566</v>
      </c>
    </row>
    <row r="7" spans="4:10" x14ac:dyDescent="0.25">
      <c r="D7" s="14" t="s">
        <v>3734</v>
      </c>
      <c r="E7" s="1" t="s">
        <v>3555</v>
      </c>
      <c r="F7" s="1" t="s">
        <v>7</v>
      </c>
      <c r="G7" s="1">
        <v>400</v>
      </c>
      <c r="H7" s="1" t="s">
        <v>3786</v>
      </c>
      <c r="I7" s="16" t="s">
        <v>3566</v>
      </c>
    </row>
    <row r="8" spans="4:10" x14ac:dyDescent="0.25">
      <c r="D8" s="14" t="s">
        <v>3734</v>
      </c>
      <c r="E8" s="1" t="s">
        <v>23</v>
      </c>
      <c r="F8" s="1" t="s">
        <v>7</v>
      </c>
      <c r="G8" s="1">
        <v>63</v>
      </c>
      <c r="H8" s="1" t="s">
        <v>3787</v>
      </c>
      <c r="I8" s="16" t="s">
        <v>590</v>
      </c>
    </row>
    <row r="9" spans="4:10" x14ac:dyDescent="0.25">
      <c r="D9" s="14" t="s">
        <v>3734</v>
      </c>
      <c r="E9" s="1" t="s">
        <v>23</v>
      </c>
      <c r="F9" s="1" t="s">
        <v>7</v>
      </c>
      <c r="G9" s="1">
        <v>1000</v>
      </c>
      <c r="H9" s="1" t="s">
        <v>3788</v>
      </c>
      <c r="I9" s="16" t="s">
        <v>590</v>
      </c>
    </row>
    <row r="10" spans="4:10" x14ac:dyDescent="0.25">
      <c r="D10" s="61" t="s">
        <v>3734</v>
      </c>
      <c r="E10" s="60" t="s">
        <v>262</v>
      </c>
      <c r="F10" s="60" t="s">
        <v>7</v>
      </c>
      <c r="G10" s="60">
        <v>795</v>
      </c>
      <c r="H10" s="60" t="s">
        <v>3789</v>
      </c>
      <c r="I10" s="15" t="s">
        <v>832</v>
      </c>
      <c r="J10" s="143"/>
    </row>
    <row r="11" spans="4:10" x14ac:dyDescent="0.25">
      <c r="D11" s="14" t="s">
        <v>3734</v>
      </c>
      <c r="E11" s="1" t="s">
        <v>75</v>
      </c>
      <c r="F11" s="1" t="s">
        <v>7</v>
      </c>
      <c r="G11" s="1">
        <v>8</v>
      </c>
      <c r="H11" s="1" t="s">
        <v>3756</v>
      </c>
      <c r="I11" s="16" t="s">
        <v>3778</v>
      </c>
    </row>
    <row r="12" spans="4:10" x14ac:dyDescent="0.25">
      <c r="D12" s="14" t="s">
        <v>3734</v>
      </c>
      <c r="E12" s="1" t="s">
        <v>75</v>
      </c>
      <c r="F12" s="1" t="s">
        <v>7</v>
      </c>
      <c r="G12" s="1">
        <v>8</v>
      </c>
      <c r="H12" s="1" t="s">
        <v>3757</v>
      </c>
      <c r="I12" s="16" t="s">
        <v>3777</v>
      </c>
    </row>
    <row r="13" spans="4:10" x14ac:dyDescent="0.25">
      <c r="D13" s="14" t="s">
        <v>3734</v>
      </c>
      <c r="E13" s="1" t="s">
        <v>669</v>
      </c>
      <c r="F13" s="1" t="s">
        <v>7</v>
      </c>
      <c r="G13" s="1">
        <v>131.54</v>
      </c>
      <c r="H13" s="1" t="s">
        <v>3758</v>
      </c>
      <c r="I13" s="16" t="s">
        <v>3346</v>
      </c>
    </row>
    <row r="14" spans="4:10" x14ac:dyDescent="0.25">
      <c r="D14" s="14" t="s">
        <v>3734</v>
      </c>
      <c r="E14" s="1" t="s">
        <v>161</v>
      </c>
      <c r="F14" s="1" t="s">
        <v>7</v>
      </c>
      <c r="G14" s="1">
        <v>5</v>
      </c>
      <c r="H14" s="1" t="s">
        <v>3759</v>
      </c>
      <c r="I14" s="16" t="s">
        <v>3776</v>
      </c>
    </row>
    <row r="15" spans="4:10" x14ac:dyDescent="0.25">
      <c r="D15" s="29" t="s">
        <v>3734</v>
      </c>
      <c r="E15" s="28" t="s">
        <v>472</v>
      </c>
      <c r="F15" s="28" t="s">
        <v>7</v>
      </c>
      <c r="G15" s="28">
        <v>-35500</v>
      </c>
      <c r="H15" s="28" t="s">
        <v>3760</v>
      </c>
      <c r="I15" s="30" t="s">
        <v>3782</v>
      </c>
    </row>
    <row r="16" spans="4:10" x14ac:dyDescent="0.25">
      <c r="D16" s="14" t="s">
        <v>3734</v>
      </c>
      <c r="E16" s="1" t="s">
        <v>75</v>
      </c>
      <c r="F16" s="1" t="s">
        <v>7</v>
      </c>
      <c r="G16" s="1">
        <v>31.5</v>
      </c>
      <c r="H16" s="1" t="s">
        <v>3761</v>
      </c>
      <c r="I16" s="16" t="s">
        <v>3774</v>
      </c>
    </row>
    <row r="17" spans="4:10" x14ac:dyDescent="0.25">
      <c r="D17" s="14" t="s">
        <v>3734</v>
      </c>
      <c r="E17" s="1" t="s">
        <v>262</v>
      </c>
      <c r="F17" s="1" t="s">
        <v>7</v>
      </c>
      <c r="G17" s="1">
        <v>3</v>
      </c>
      <c r="H17" s="1" t="s">
        <v>3762</v>
      </c>
      <c r="I17" s="16" t="s">
        <v>3773</v>
      </c>
    </row>
    <row r="18" spans="4:10" x14ac:dyDescent="0.25">
      <c r="D18" s="14" t="s">
        <v>3734</v>
      </c>
      <c r="E18" s="1" t="s">
        <v>356</v>
      </c>
      <c r="F18" s="1" t="s">
        <v>7</v>
      </c>
      <c r="G18" s="1">
        <v>1869.6</v>
      </c>
      <c r="H18" s="1" t="s">
        <v>3739</v>
      </c>
      <c r="I18" s="16" t="s">
        <v>1586</v>
      </c>
    </row>
    <row r="19" spans="4:10" x14ac:dyDescent="0.25">
      <c r="D19" s="38" t="s">
        <v>3734</v>
      </c>
      <c r="E19" s="36" t="s">
        <v>23</v>
      </c>
      <c r="F19" s="36" t="s">
        <v>7</v>
      </c>
      <c r="G19" s="36">
        <v>159</v>
      </c>
      <c r="H19" s="36" t="s">
        <v>3740</v>
      </c>
      <c r="I19" s="20" t="s">
        <v>3045</v>
      </c>
      <c r="J19" s="143"/>
    </row>
    <row r="20" spans="4:10" x14ac:dyDescent="0.25">
      <c r="D20" s="14" t="s">
        <v>3734</v>
      </c>
      <c r="E20" s="1" t="s">
        <v>23</v>
      </c>
      <c r="F20" s="1" t="s">
        <v>7</v>
      </c>
      <c r="G20" s="1">
        <v>66</v>
      </c>
      <c r="H20" s="1" t="s">
        <v>3741</v>
      </c>
      <c r="I20" s="16" t="s">
        <v>3045</v>
      </c>
    </row>
    <row r="21" spans="4:10" x14ac:dyDescent="0.25">
      <c r="D21" s="14" t="s">
        <v>3734</v>
      </c>
      <c r="E21" s="1" t="s">
        <v>3742</v>
      </c>
      <c r="F21" s="1" t="s">
        <v>7</v>
      </c>
      <c r="G21" s="1">
        <v>23492</v>
      </c>
      <c r="H21" s="1" t="s">
        <v>3743</v>
      </c>
      <c r="I21" s="16" t="s">
        <v>3779</v>
      </c>
    </row>
    <row r="22" spans="4:10" x14ac:dyDescent="0.25">
      <c r="D22" s="14" t="s">
        <v>3734</v>
      </c>
      <c r="E22" s="1" t="s">
        <v>3744</v>
      </c>
      <c r="F22" s="1" t="s">
        <v>7</v>
      </c>
      <c r="G22" s="1">
        <v>30007.9</v>
      </c>
      <c r="H22" s="1" t="s">
        <v>3745</v>
      </c>
      <c r="I22" s="16" t="s">
        <v>3779</v>
      </c>
    </row>
    <row r="23" spans="4:10" x14ac:dyDescent="0.25">
      <c r="D23" s="14" t="s">
        <v>3734</v>
      </c>
      <c r="E23" s="1" t="s">
        <v>23</v>
      </c>
      <c r="F23" s="1" t="s">
        <v>7</v>
      </c>
      <c r="G23" s="1">
        <v>1457</v>
      </c>
      <c r="H23" s="1" t="s">
        <v>3746</v>
      </c>
      <c r="I23" s="16" t="s">
        <v>3780</v>
      </c>
    </row>
    <row r="24" spans="4:10" x14ac:dyDescent="0.25">
      <c r="D24" s="14" t="s">
        <v>3734</v>
      </c>
      <c r="E24" s="1" t="s">
        <v>519</v>
      </c>
      <c r="F24" s="1" t="s">
        <v>7</v>
      </c>
      <c r="G24" s="1">
        <v>500</v>
      </c>
      <c r="H24" s="1" t="s">
        <v>3747</v>
      </c>
      <c r="I24" s="16" t="s">
        <v>1388</v>
      </c>
    </row>
    <row r="25" spans="4:10" x14ac:dyDescent="0.25">
      <c r="D25" s="14" t="s">
        <v>3734</v>
      </c>
      <c r="E25" s="1" t="s">
        <v>519</v>
      </c>
      <c r="F25" s="1" t="s">
        <v>7</v>
      </c>
      <c r="G25" s="1">
        <v>500</v>
      </c>
      <c r="H25" s="1" t="s">
        <v>3748</v>
      </c>
      <c r="I25" s="16" t="s">
        <v>1388</v>
      </c>
    </row>
    <row r="26" spans="4:10" x14ac:dyDescent="0.25">
      <c r="D26" s="14" t="s">
        <v>3734</v>
      </c>
      <c r="E26" s="1" t="s">
        <v>519</v>
      </c>
      <c r="F26" s="1" t="s">
        <v>7</v>
      </c>
      <c r="G26" s="1">
        <v>500</v>
      </c>
      <c r="H26" s="1" t="s">
        <v>3749</v>
      </c>
      <c r="I26" s="16" t="s">
        <v>1388</v>
      </c>
    </row>
    <row r="27" spans="4:10" x14ac:dyDescent="0.25">
      <c r="D27" s="14" t="s">
        <v>3734</v>
      </c>
      <c r="E27" s="1" t="s">
        <v>519</v>
      </c>
      <c r="F27" s="1" t="s">
        <v>7</v>
      </c>
      <c r="G27" s="1">
        <v>500</v>
      </c>
      <c r="H27" s="1" t="s">
        <v>3750</v>
      </c>
      <c r="I27" s="16" t="s">
        <v>1388</v>
      </c>
    </row>
    <row r="28" spans="4:10" x14ac:dyDescent="0.25">
      <c r="D28" s="14" t="s">
        <v>3734</v>
      </c>
      <c r="E28" s="1" t="s">
        <v>161</v>
      </c>
      <c r="F28" s="1" t="s">
        <v>7</v>
      </c>
      <c r="G28" s="1">
        <v>132</v>
      </c>
      <c r="H28" s="1" t="s">
        <v>3751</v>
      </c>
      <c r="I28" s="16" t="s">
        <v>3781</v>
      </c>
    </row>
    <row r="29" spans="4:10" x14ac:dyDescent="0.25">
      <c r="D29" s="14" t="s">
        <v>3734</v>
      </c>
      <c r="E29" s="1" t="s">
        <v>240</v>
      </c>
      <c r="F29" s="1" t="s">
        <v>7</v>
      </c>
      <c r="G29" s="1">
        <v>387.8</v>
      </c>
      <c r="H29" s="1" t="s">
        <v>3752</v>
      </c>
      <c r="I29" s="16" t="s">
        <v>3771</v>
      </c>
    </row>
    <row r="30" spans="4:10" x14ac:dyDescent="0.25">
      <c r="D30" s="14" t="s">
        <v>3734</v>
      </c>
      <c r="E30" s="1" t="s">
        <v>299</v>
      </c>
      <c r="F30" s="1" t="s">
        <v>7</v>
      </c>
      <c r="G30" s="1">
        <v>20</v>
      </c>
      <c r="H30" s="1" t="s">
        <v>3753</v>
      </c>
      <c r="I30" s="16" t="s">
        <v>3783</v>
      </c>
    </row>
    <row r="31" spans="4:10" x14ac:dyDescent="0.25">
      <c r="D31" s="14" t="s">
        <v>3734</v>
      </c>
      <c r="E31" s="1" t="s">
        <v>655</v>
      </c>
      <c r="F31" s="1" t="s">
        <v>7</v>
      </c>
      <c r="G31" s="1">
        <v>125</v>
      </c>
      <c r="H31" s="1" t="s">
        <v>3754</v>
      </c>
      <c r="I31" s="16" t="s">
        <v>3770</v>
      </c>
    </row>
    <row r="32" spans="4:10" x14ac:dyDescent="0.25">
      <c r="D32" s="14" t="s">
        <v>3734</v>
      </c>
      <c r="E32" s="1" t="s">
        <v>655</v>
      </c>
      <c r="F32" s="1" t="s">
        <v>7</v>
      </c>
      <c r="G32" s="1">
        <v>118.5</v>
      </c>
      <c r="H32" s="1" t="s">
        <v>3755</v>
      </c>
      <c r="I32" s="16" t="s">
        <v>2694</v>
      </c>
    </row>
    <row r="33" spans="4:9" x14ac:dyDescent="0.25">
      <c r="D33" s="14" t="s">
        <v>3734</v>
      </c>
      <c r="E33" s="1" t="s">
        <v>72</v>
      </c>
      <c r="F33" s="1" t="s">
        <v>7</v>
      </c>
      <c r="G33" s="1">
        <v>26.5</v>
      </c>
      <c r="H33" s="1" t="s">
        <v>3735</v>
      </c>
      <c r="I33" s="16" t="s">
        <v>3775</v>
      </c>
    </row>
    <row r="34" spans="4:9" x14ac:dyDescent="0.25">
      <c r="D34" s="14"/>
      <c r="E34" s="1"/>
      <c r="F34" s="1"/>
      <c r="G34" s="1"/>
      <c r="H34" s="1"/>
      <c r="I34" s="16"/>
    </row>
    <row r="35" spans="4:9" x14ac:dyDescent="0.25">
      <c r="D35" s="14" t="s">
        <v>3734</v>
      </c>
      <c r="E35" s="1" t="s">
        <v>78</v>
      </c>
      <c r="F35" s="1" t="s">
        <v>7</v>
      </c>
      <c r="G35" s="1">
        <v>1096</v>
      </c>
      <c r="H35" s="1"/>
      <c r="I35" s="16" t="s">
        <v>3772</v>
      </c>
    </row>
    <row r="36" spans="4:9" x14ac:dyDescent="0.25">
      <c r="D36" s="14"/>
      <c r="E36" s="1"/>
      <c r="F36" s="1"/>
      <c r="G36" s="1"/>
      <c r="H36" s="1"/>
      <c r="I36" s="16"/>
    </row>
    <row r="37" spans="4:9" x14ac:dyDescent="0.25">
      <c r="D37" s="14"/>
      <c r="E37" s="1"/>
      <c r="F37" s="1"/>
      <c r="G37" s="1"/>
      <c r="H37" s="1"/>
      <c r="I37" s="16"/>
    </row>
    <row r="38" spans="4:9" x14ac:dyDescent="0.25">
      <c r="D38" s="29" t="s">
        <v>3736</v>
      </c>
      <c r="E38" s="28" t="s">
        <v>663</v>
      </c>
      <c r="F38" s="28" t="s">
        <v>7</v>
      </c>
      <c r="G38" s="28">
        <v>-1.35</v>
      </c>
      <c r="H38" s="28" t="s">
        <v>664</v>
      </c>
      <c r="I38" s="30" t="s">
        <v>2785</v>
      </c>
    </row>
    <row r="39" spans="4:9" x14ac:dyDescent="0.25">
      <c r="D39" s="14" t="s">
        <v>3736</v>
      </c>
      <c r="E39" s="1" t="s">
        <v>284</v>
      </c>
      <c r="F39" s="1" t="s">
        <v>7</v>
      </c>
      <c r="G39" s="1">
        <v>180</v>
      </c>
      <c r="H39" s="1" t="s">
        <v>3737</v>
      </c>
      <c r="I39" s="16" t="s">
        <v>2081</v>
      </c>
    </row>
    <row r="40" spans="4:9" x14ac:dyDescent="0.25">
      <c r="D40" s="14" t="s">
        <v>3736</v>
      </c>
      <c r="E40" s="1" t="s">
        <v>742</v>
      </c>
      <c r="F40" s="1" t="s">
        <v>7</v>
      </c>
      <c r="G40" s="1">
        <v>148</v>
      </c>
      <c r="H40" s="1" t="s">
        <v>3738</v>
      </c>
      <c r="I40" s="16" t="s">
        <v>1705</v>
      </c>
    </row>
    <row r="41" spans="4:9" x14ac:dyDescent="0.25">
      <c r="D41" s="14" t="s">
        <v>3736</v>
      </c>
      <c r="E41" s="1" t="s">
        <v>692</v>
      </c>
      <c r="F41" s="1" t="s">
        <v>7</v>
      </c>
      <c r="G41" s="1">
        <v>39</v>
      </c>
      <c r="H41" s="1">
        <v>3425761</v>
      </c>
      <c r="I41" s="16" t="s">
        <v>3763</v>
      </c>
    </row>
    <row r="42" spans="4:9" x14ac:dyDescent="0.25">
      <c r="D42" s="14" t="s">
        <v>3736</v>
      </c>
      <c r="E42" s="1" t="s">
        <v>692</v>
      </c>
      <c r="F42" s="1" t="s">
        <v>7</v>
      </c>
      <c r="G42" s="1">
        <v>37.5</v>
      </c>
      <c r="H42" s="1">
        <v>2312257</v>
      </c>
      <c r="I42" s="16" t="s">
        <v>3764</v>
      </c>
    </row>
    <row r="43" spans="4:9" x14ac:dyDescent="0.25">
      <c r="D43" s="14" t="s">
        <v>3736</v>
      </c>
      <c r="E43" s="1" t="s">
        <v>692</v>
      </c>
      <c r="F43" s="1" t="s">
        <v>7</v>
      </c>
      <c r="G43" s="1">
        <v>22.5</v>
      </c>
      <c r="H43" s="1">
        <v>3133965</v>
      </c>
      <c r="I43" s="16" t="s">
        <v>3765</v>
      </c>
    </row>
    <row r="44" spans="4:9" x14ac:dyDescent="0.25">
      <c r="D44" s="14" t="s">
        <v>3736</v>
      </c>
      <c r="E44" s="1" t="s">
        <v>692</v>
      </c>
      <c r="F44" s="1" t="s">
        <v>7</v>
      </c>
      <c r="G44" s="1">
        <v>50</v>
      </c>
      <c r="H44" s="1">
        <v>4030602</v>
      </c>
      <c r="I44" s="16" t="s">
        <v>3766</v>
      </c>
    </row>
    <row r="45" spans="4:9" x14ac:dyDescent="0.25">
      <c r="D45" s="14" t="s">
        <v>3736</v>
      </c>
      <c r="E45" s="1" t="s">
        <v>692</v>
      </c>
      <c r="F45" s="1" t="s">
        <v>7</v>
      </c>
      <c r="G45" s="1">
        <v>20</v>
      </c>
      <c r="H45" s="1">
        <v>250347</v>
      </c>
      <c r="I45" s="16" t="s">
        <v>3767</v>
      </c>
    </row>
    <row r="46" spans="4:9" x14ac:dyDescent="0.25">
      <c r="D46" s="14" t="s">
        <v>3736</v>
      </c>
      <c r="E46" s="1" t="s">
        <v>692</v>
      </c>
      <c r="F46" s="1" t="s">
        <v>7</v>
      </c>
      <c r="G46" s="1">
        <v>10</v>
      </c>
      <c r="H46" s="1">
        <v>42407</v>
      </c>
      <c r="I46" s="16" t="s">
        <v>3768</v>
      </c>
    </row>
    <row r="47" spans="4:9" ht="16.5" thickBot="1" x14ac:dyDescent="0.3">
      <c r="D47" s="25" t="s">
        <v>3736</v>
      </c>
      <c r="E47" s="18" t="s">
        <v>692</v>
      </c>
      <c r="F47" s="18" t="s">
        <v>7</v>
      </c>
      <c r="G47" s="18">
        <v>22</v>
      </c>
      <c r="H47" s="18">
        <v>2498587</v>
      </c>
      <c r="I47" s="27" t="s">
        <v>3769</v>
      </c>
    </row>
  </sheetData>
  <pageMargins left="0.7" right="0.7" top="0.75" bottom="0.75" header="0.3" footer="0.3"/>
  <pageSetup paperSize="256" orientation="portrait" horizontalDpi="203" verticalDpi="203" r:id="rId1"/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F2ABC1-0C32-4B74-B5DF-EE49CFA728B2}">
  <sheetPr codeName="Hoja75"/>
  <dimension ref="D2:J26"/>
  <sheetViews>
    <sheetView workbookViewId="0">
      <selection activeCell="C2" sqref="C2:K27"/>
    </sheetView>
  </sheetViews>
  <sheetFormatPr baseColWidth="10" defaultRowHeight="15.75" x14ac:dyDescent="0.25"/>
  <cols>
    <col min="4" max="4" width="11" style="3"/>
    <col min="5" max="5" width="29.75" style="3" customWidth="1"/>
    <col min="6" max="7" width="11" style="3"/>
    <col min="8" max="8" width="22.125" style="3" customWidth="1"/>
    <col min="9" max="9" width="28.875" style="3" customWidth="1"/>
    <col min="10" max="10" width="11" style="3"/>
  </cols>
  <sheetData>
    <row r="2" spans="4:10" ht="16.5" thickBot="1" x14ac:dyDescent="0.3"/>
    <row r="3" spans="4:10" x14ac:dyDescent="0.25">
      <c r="D3" s="11" t="s">
        <v>0</v>
      </c>
      <c r="E3" s="12" t="s">
        <v>1</v>
      </c>
      <c r="F3" s="12" t="s">
        <v>2</v>
      </c>
      <c r="G3" s="12" t="s">
        <v>3</v>
      </c>
      <c r="H3" s="12" t="s">
        <v>4</v>
      </c>
      <c r="I3" s="12"/>
      <c r="J3" s="13"/>
    </row>
    <row r="4" spans="4:10" x14ac:dyDescent="0.25">
      <c r="D4" s="14"/>
      <c r="E4" s="1"/>
      <c r="F4" s="1"/>
      <c r="G4" s="1"/>
      <c r="H4" s="1"/>
      <c r="I4" s="1"/>
      <c r="J4" s="16"/>
    </row>
    <row r="5" spans="4:10" x14ac:dyDescent="0.25">
      <c r="D5" s="14"/>
      <c r="E5" s="1"/>
      <c r="F5" s="1"/>
      <c r="G5" s="1"/>
      <c r="H5" s="1"/>
      <c r="I5" s="1"/>
      <c r="J5" s="16"/>
    </row>
    <row r="6" spans="4:10" x14ac:dyDescent="0.25">
      <c r="D6" s="14" t="s">
        <v>3790</v>
      </c>
      <c r="E6" s="1" t="s">
        <v>509</v>
      </c>
      <c r="F6" s="1" t="s">
        <v>7</v>
      </c>
      <c r="G6" s="1">
        <v>545</v>
      </c>
      <c r="H6" s="1" t="s">
        <v>3818</v>
      </c>
      <c r="I6" s="1" t="s">
        <v>68</v>
      </c>
      <c r="J6" s="16"/>
    </row>
    <row r="7" spans="4:10" x14ac:dyDescent="0.25">
      <c r="D7" s="14" t="s">
        <v>3790</v>
      </c>
      <c r="E7" s="1" t="s">
        <v>1556</v>
      </c>
      <c r="F7" s="1" t="s">
        <v>7</v>
      </c>
      <c r="G7" s="1">
        <v>175.5</v>
      </c>
      <c r="H7" s="1" t="s">
        <v>3819</v>
      </c>
      <c r="I7" s="1" t="s">
        <v>1586</v>
      </c>
      <c r="J7" s="16"/>
    </row>
    <row r="8" spans="4:10" x14ac:dyDescent="0.25">
      <c r="D8" s="14" t="s">
        <v>3790</v>
      </c>
      <c r="E8" s="1" t="s">
        <v>23</v>
      </c>
      <c r="F8" s="1" t="s">
        <v>7</v>
      </c>
      <c r="G8" s="1">
        <v>8</v>
      </c>
      <c r="H8" s="1" t="s">
        <v>3802</v>
      </c>
      <c r="I8" s="1" t="s">
        <v>1388</v>
      </c>
      <c r="J8" s="16"/>
    </row>
    <row r="9" spans="4:10" x14ac:dyDescent="0.25">
      <c r="D9" s="14" t="s">
        <v>3790</v>
      </c>
      <c r="E9" s="1" t="s">
        <v>23</v>
      </c>
      <c r="F9" s="1" t="s">
        <v>7</v>
      </c>
      <c r="G9" s="1">
        <v>5020</v>
      </c>
      <c r="H9" s="1" t="s">
        <v>3803</v>
      </c>
      <c r="I9" s="1" t="s">
        <v>1388</v>
      </c>
      <c r="J9" s="16"/>
    </row>
    <row r="10" spans="4:10" x14ac:dyDescent="0.25">
      <c r="D10" s="38" t="s">
        <v>3790</v>
      </c>
      <c r="E10" s="36" t="s">
        <v>262</v>
      </c>
      <c r="F10" s="36" t="s">
        <v>7</v>
      </c>
      <c r="G10" s="36">
        <v>224</v>
      </c>
      <c r="H10" s="36" t="s">
        <v>3804</v>
      </c>
      <c r="I10" s="36" t="s">
        <v>832</v>
      </c>
      <c r="J10" s="20"/>
    </row>
    <row r="11" spans="4:10" x14ac:dyDescent="0.25">
      <c r="D11" s="14" t="s">
        <v>3790</v>
      </c>
      <c r="E11" s="1" t="s">
        <v>3805</v>
      </c>
      <c r="F11" s="1" t="s">
        <v>7</v>
      </c>
      <c r="G11" s="1">
        <v>7</v>
      </c>
      <c r="H11" s="1" t="s">
        <v>3806</v>
      </c>
      <c r="I11" s="1" t="s">
        <v>3817</v>
      </c>
      <c r="J11" s="16"/>
    </row>
    <row r="12" spans="4:10" x14ac:dyDescent="0.25">
      <c r="D12" s="14" t="s">
        <v>3790</v>
      </c>
      <c r="E12" s="1" t="s">
        <v>521</v>
      </c>
      <c r="F12" s="1" t="s">
        <v>7</v>
      </c>
      <c r="G12" s="1">
        <v>10</v>
      </c>
      <c r="H12" s="1" t="s">
        <v>3807</v>
      </c>
      <c r="I12" s="1" t="s">
        <v>3816</v>
      </c>
      <c r="J12" s="16"/>
    </row>
    <row r="13" spans="4:10" x14ac:dyDescent="0.25">
      <c r="D13" s="14" t="s">
        <v>3790</v>
      </c>
      <c r="E13" s="1" t="s">
        <v>262</v>
      </c>
      <c r="F13" s="1" t="s">
        <v>7</v>
      </c>
      <c r="G13" s="1">
        <v>25</v>
      </c>
      <c r="H13" s="1" t="s">
        <v>3808</v>
      </c>
      <c r="I13" s="1" t="s">
        <v>3822</v>
      </c>
      <c r="J13" s="16"/>
    </row>
    <row r="14" spans="4:10" x14ac:dyDescent="0.25">
      <c r="D14" s="14" t="s">
        <v>3790</v>
      </c>
      <c r="E14" s="1" t="s">
        <v>299</v>
      </c>
      <c r="F14" s="1" t="s">
        <v>7</v>
      </c>
      <c r="G14" s="1">
        <v>20</v>
      </c>
      <c r="H14" s="1" t="s">
        <v>3809</v>
      </c>
      <c r="I14" s="1" t="s">
        <v>3821</v>
      </c>
      <c r="J14" s="16"/>
    </row>
    <row r="15" spans="4:10" x14ac:dyDescent="0.25">
      <c r="D15" s="14" t="s">
        <v>3790</v>
      </c>
      <c r="E15" s="1" t="s">
        <v>6</v>
      </c>
      <c r="F15" s="1" t="s">
        <v>7</v>
      </c>
      <c r="G15" s="1">
        <v>16.399999999999999</v>
      </c>
      <c r="H15" s="1" t="s">
        <v>3810</v>
      </c>
      <c r="I15" s="1" t="s">
        <v>52</v>
      </c>
      <c r="J15" s="16"/>
    </row>
    <row r="16" spans="4:10" x14ac:dyDescent="0.25">
      <c r="D16" s="14" t="s">
        <v>3790</v>
      </c>
      <c r="E16" s="1" t="s">
        <v>3555</v>
      </c>
      <c r="F16" s="1" t="s">
        <v>7</v>
      </c>
      <c r="G16" s="1">
        <v>194</v>
      </c>
      <c r="H16" s="1" t="s">
        <v>3811</v>
      </c>
      <c r="I16" s="1" t="s">
        <v>3566</v>
      </c>
      <c r="J16" s="16"/>
    </row>
    <row r="17" spans="4:10" x14ac:dyDescent="0.25">
      <c r="D17" s="14" t="s">
        <v>3790</v>
      </c>
      <c r="E17" s="1" t="s">
        <v>3791</v>
      </c>
      <c r="F17" s="1" t="s">
        <v>7</v>
      </c>
      <c r="G17" s="1">
        <v>3.5</v>
      </c>
      <c r="H17" s="1" t="s">
        <v>3792</v>
      </c>
      <c r="I17" s="1" t="s">
        <v>3815</v>
      </c>
      <c r="J17" s="16"/>
    </row>
    <row r="18" spans="4:10" x14ac:dyDescent="0.25">
      <c r="D18" s="14" t="s">
        <v>3790</v>
      </c>
      <c r="E18" s="1" t="s">
        <v>509</v>
      </c>
      <c r="F18" s="1" t="s">
        <v>7</v>
      </c>
      <c r="G18" s="1">
        <v>50</v>
      </c>
      <c r="H18" s="1" t="s">
        <v>3793</v>
      </c>
      <c r="I18" s="1" t="s">
        <v>660</v>
      </c>
      <c r="J18" s="16"/>
    </row>
    <row r="19" spans="4:10" x14ac:dyDescent="0.25">
      <c r="D19" s="29" t="s">
        <v>3790</v>
      </c>
      <c r="E19" s="28" t="s">
        <v>172</v>
      </c>
      <c r="F19" s="28" t="s">
        <v>7</v>
      </c>
      <c r="G19" s="28">
        <v>-33000</v>
      </c>
      <c r="H19" s="28" t="s">
        <v>3794</v>
      </c>
      <c r="I19" s="28" t="s">
        <v>1207</v>
      </c>
      <c r="J19" s="16"/>
    </row>
    <row r="20" spans="4:10" x14ac:dyDescent="0.25">
      <c r="D20" s="29" t="s">
        <v>3790</v>
      </c>
      <c r="E20" s="28" t="s">
        <v>172</v>
      </c>
      <c r="F20" s="28" t="s">
        <v>7</v>
      </c>
      <c r="G20" s="28">
        <v>-34000</v>
      </c>
      <c r="H20" s="28" t="s">
        <v>3795</v>
      </c>
      <c r="I20" s="28" t="s">
        <v>1207</v>
      </c>
      <c r="J20" s="16"/>
    </row>
    <row r="21" spans="4:10" x14ac:dyDescent="0.25">
      <c r="D21" s="14" t="s">
        <v>3790</v>
      </c>
      <c r="E21" s="1" t="s">
        <v>190</v>
      </c>
      <c r="F21" s="1" t="s">
        <v>7</v>
      </c>
      <c r="G21" s="1">
        <v>207</v>
      </c>
      <c r="H21" s="1" t="s">
        <v>3796</v>
      </c>
      <c r="I21" s="1" t="s">
        <v>3814</v>
      </c>
      <c r="J21" s="16"/>
    </row>
    <row r="22" spans="4:10" x14ac:dyDescent="0.25">
      <c r="D22" s="14" t="s">
        <v>3790</v>
      </c>
      <c r="E22" s="1" t="s">
        <v>356</v>
      </c>
      <c r="F22" s="1" t="s">
        <v>7</v>
      </c>
      <c r="G22" s="1">
        <v>137.5</v>
      </c>
      <c r="H22" s="1" t="s">
        <v>3797</v>
      </c>
      <c r="I22" s="1" t="s">
        <v>3609</v>
      </c>
      <c r="J22" s="16"/>
    </row>
    <row r="23" spans="4:10" x14ac:dyDescent="0.25">
      <c r="D23" s="29" t="s">
        <v>3790</v>
      </c>
      <c r="E23" s="28" t="s">
        <v>2887</v>
      </c>
      <c r="F23" s="28" t="s">
        <v>7</v>
      </c>
      <c r="G23" s="28">
        <v>-184</v>
      </c>
      <c r="H23" s="28" t="s">
        <v>3798</v>
      </c>
      <c r="I23" s="28" t="s">
        <v>3813</v>
      </c>
      <c r="J23" s="144">
        <v>46160</v>
      </c>
    </row>
    <row r="24" spans="4:10" x14ac:dyDescent="0.25">
      <c r="D24" s="29" t="s">
        <v>3790</v>
      </c>
      <c r="E24" s="28" t="s">
        <v>2887</v>
      </c>
      <c r="F24" s="28" t="s">
        <v>7</v>
      </c>
      <c r="G24" s="28">
        <v>-500</v>
      </c>
      <c r="H24" s="28" t="s">
        <v>3799</v>
      </c>
      <c r="I24" s="28" t="s">
        <v>3813</v>
      </c>
      <c r="J24" s="144">
        <v>46160</v>
      </c>
    </row>
    <row r="25" spans="4:10" x14ac:dyDescent="0.25">
      <c r="D25" s="14" t="s">
        <v>3790</v>
      </c>
      <c r="E25" s="1" t="s">
        <v>1259</v>
      </c>
      <c r="F25" s="1" t="s">
        <v>7</v>
      </c>
      <c r="G25" s="1">
        <v>3</v>
      </c>
      <c r="H25" s="1" t="s">
        <v>3800</v>
      </c>
      <c r="I25" s="1" t="s">
        <v>3812</v>
      </c>
      <c r="J25" s="16"/>
    </row>
    <row r="26" spans="4:10" ht="16.5" thickBot="1" x14ac:dyDescent="0.3">
      <c r="D26" s="25" t="s">
        <v>3790</v>
      </c>
      <c r="E26" s="18" t="s">
        <v>72</v>
      </c>
      <c r="F26" s="18" t="s">
        <v>7</v>
      </c>
      <c r="G26" s="18">
        <v>10</v>
      </c>
      <c r="H26" s="18" t="s">
        <v>3801</v>
      </c>
      <c r="I26" s="18" t="s">
        <v>3820</v>
      </c>
      <c r="J26" s="27"/>
    </row>
  </sheetData>
  <pageMargins left="0.7" right="0.7" top="0.75" bottom="0.75" header="0.3" footer="0.3"/>
  <pageSetup paperSize="256" orientation="portrait" horizontalDpi="203" verticalDpi="203" r:id="rId1"/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DD3F9E-9FDA-4C63-9B35-E25366C761EB}">
  <sheetPr codeName="Hoja76"/>
  <dimension ref="D3:I29"/>
  <sheetViews>
    <sheetView workbookViewId="0">
      <selection activeCell="H21" sqref="H21"/>
    </sheetView>
  </sheetViews>
  <sheetFormatPr baseColWidth="10" defaultRowHeight="15.75" x14ac:dyDescent="0.25"/>
  <cols>
    <col min="4" max="4" width="11" style="3"/>
    <col min="5" max="5" width="23.625" style="3" bestFit="1" customWidth="1"/>
    <col min="6" max="7" width="11" style="3"/>
    <col min="8" max="8" width="21.875" style="3" customWidth="1"/>
    <col min="9" max="9" width="29.125" style="3" customWidth="1"/>
  </cols>
  <sheetData>
    <row r="3" spans="4:9" ht="16.5" thickBot="1" x14ac:dyDescent="0.3"/>
    <row r="4" spans="4:9" x14ac:dyDescent="0.25">
      <c r="D4" s="11" t="s">
        <v>0</v>
      </c>
      <c r="E4" s="12" t="s">
        <v>1</v>
      </c>
      <c r="F4" s="12" t="s">
        <v>2</v>
      </c>
      <c r="G4" s="12" t="s">
        <v>3</v>
      </c>
      <c r="H4" s="12" t="s">
        <v>4</v>
      </c>
      <c r="I4" s="13"/>
    </row>
    <row r="5" spans="4:9" x14ac:dyDescent="0.25">
      <c r="D5" s="14"/>
      <c r="E5" s="1"/>
      <c r="F5" s="1"/>
      <c r="G5" s="1"/>
      <c r="H5" s="1"/>
      <c r="I5" s="16"/>
    </row>
    <row r="6" spans="4:9" x14ac:dyDescent="0.25">
      <c r="D6" s="14"/>
      <c r="E6" s="1"/>
      <c r="F6" s="1"/>
      <c r="G6" s="1"/>
      <c r="H6" s="1"/>
      <c r="I6" s="16"/>
    </row>
    <row r="7" spans="4:9" x14ac:dyDescent="0.25">
      <c r="D7" s="14" t="s">
        <v>3823</v>
      </c>
      <c r="E7" s="1" t="s">
        <v>1556</v>
      </c>
      <c r="F7" s="1" t="s">
        <v>7</v>
      </c>
      <c r="G7" s="1">
        <v>140</v>
      </c>
      <c r="H7" s="1" t="s">
        <v>3845</v>
      </c>
      <c r="I7" s="16" t="s">
        <v>3855</v>
      </c>
    </row>
    <row r="8" spans="4:9" x14ac:dyDescent="0.25">
      <c r="D8" s="14" t="s">
        <v>3823</v>
      </c>
      <c r="E8" s="1" t="s">
        <v>23</v>
      </c>
      <c r="F8" s="1" t="s">
        <v>7</v>
      </c>
      <c r="G8" s="1">
        <v>1735.5</v>
      </c>
      <c r="H8" s="1" t="s">
        <v>3846</v>
      </c>
      <c r="I8" s="16" t="s">
        <v>3518</v>
      </c>
    </row>
    <row r="9" spans="4:9" x14ac:dyDescent="0.25">
      <c r="D9" s="14" t="s">
        <v>3823</v>
      </c>
      <c r="E9" s="1" t="s">
        <v>373</v>
      </c>
      <c r="F9" s="1" t="s">
        <v>7</v>
      </c>
      <c r="G9" s="1">
        <v>27</v>
      </c>
      <c r="H9" s="1" t="s">
        <v>3847</v>
      </c>
      <c r="I9" s="16" t="s">
        <v>3841</v>
      </c>
    </row>
    <row r="10" spans="4:9" x14ac:dyDescent="0.25">
      <c r="D10" s="29" t="s">
        <v>3823</v>
      </c>
      <c r="E10" s="28" t="s">
        <v>3848</v>
      </c>
      <c r="F10" s="28" t="s">
        <v>7</v>
      </c>
      <c r="G10" s="28">
        <v>-3065.09</v>
      </c>
      <c r="H10" s="28" t="s">
        <v>3849</v>
      </c>
      <c r="I10" s="30" t="s">
        <v>3854</v>
      </c>
    </row>
    <row r="11" spans="4:9" x14ac:dyDescent="0.25">
      <c r="D11" s="29" t="s">
        <v>3823</v>
      </c>
      <c r="E11" s="28" t="s">
        <v>3848</v>
      </c>
      <c r="F11" s="28" t="s">
        <v>7</v>
      </c>
      <c r="G11" s="28">
        <v>-7520.57</v>
      </c>
      <c r="H11" s="28" t="s">
        <v>3850</v>
      </c>
      <c r="I11" s="30" t="s">
        <v>3854</v>
      </c>
    </row>
    <row r="12" spans="4:9" x14ac:dyDescent="0.25">
      <c r="D12" s="14" t="s">
        <v>3823</v>
      </c>
      <c r="E12" s="1" t="s">
        <v>75</v>
      </c>
      <c r="F12" s="1" t="s">
        <v>7</v>
      </c>
      <c r="G12" s="1">
        <v>5</v>
      </c>
      <c r="H12" s="1" t="s">
        <v>3851</v>
      </c>
      <c r="I12" s="16" t="s">
        <v>3856</v>
      </c>
    </row>
    <row r="13" spans="4:9" x14ac:dyDescent="0.25">
      <c r="D13" s="29" t="s">
        <v>3823</v>
      </c>
      <c r="E13" s="28" t="s">
        <v>3852</v>
      </c>
      <c r="F13" s="28" t="s">
        <v>7</v>
      </c>
      <c r="G13" s="28">
        <v>-3883.3</v>
      </c>
      <c r="H13" s="28" t="s">
        <v>3853</v>
      </c>
      <c r="I13" s="30" t="s">
        <v>3857</v>
      </c>
    </row>
    <row r="14" spans="4:9" x14ac:dyDescent="0.25">
      <c r="D14" s="14" t="s">
        <v>3823</v>
      </c>
      <c r="E14" s="1" t="s">
        <v>299</v>
      </c>
      <c r="F14" s="1" t="s">
        <v>7</v>
      </c>
      <c r="G14" s="1">
        <v>170</v>
      </c>
      <c r="H14" s="1" t="s">
        <v>3824</v>
      </c>
      <c r="I14" s="16" t="s">
        <v>3843</v>
      </c>
    </row>
    <row r="15" spans="4:9" x14ac:dyDescent="0.25">
      <c r="D15" s="14" t="s">
        <v>3823</v>
      </c>
      <c r="E15" s="1" t="s">
        <v>19</v>
      </c>
      <c r="F15" s="1" t="s">
        <v>7</v>
      </c>
      <c r="G15" s="1">
        <v>67</v>
      </c>
      <c r="H15" s="1" t="s">
        <v>3825</v>
      </c>
      <c r="I15" s="16" t="s">
        <v>3842</v>
      </c>
    </row>
    <row r="16" spans="4:9" x14ac:dyDescent="0.25">
      <c r="D16" s="14" t="s">
        <v>3823</v>
      </c>
      <c r="E16" s="1" t="s">
        <v>3826</v>
      </c>
      <c r="F16" s="1" t="s">
        <v>7</v>
      </c>
      <c r="G16" s="1">
        <v>5</v>
      </c>
      <c r="H16" s="1" t="s">
        <v>3827</v>
      </c>
      <c r="I16" s="16" t="s">
        <v>3844</v>
      </c>
    </row>
    <row r="17" spans="4:9" x14ac:dyDescent="0.25">
      <c r="D17" s="14" t="s">
        <v>3823</v>
      </c>
      <c r="E17" s="1" t="s">
        <v>6</v>
      </c>
      <c r="F17" s="1" t="s">
        <v>7</v>
      </c>
      <c r="G17" s="1">
        <v>27</v>
      </c>
      <c r="H17" s="1" t="s">
        <v>3828</v>
      </c>
      <c r="I17" s="16" t="s">
        <v>3841</v>
      </c>
    </row>
    <row r="18" spans="4:9" x14ac:dyDescent="0.25">
      <c r="D18" s="14" t="s">
        <v>3823</v>
      </c>
      <c r="E18" s="1" t="s">
        <v>23</v>
      </c>
      <c r="F18" s="1" t="s">
        <v>7</v>
      </c>
      <c r="G18" s="1">
        <v>1463.4</v>
      </c>
      <c r="H18" s="1" t="s">
        <v>3829</v>
      </c>
      <c r="I18" s="16" t="s">
        <v>2219</v>
      </c>
    </row>
    <row r="19" spans="4:9" x14ac:dyDescent="0.25">
      <c r="D19" s="14" t="s">
        <v>3823</v>
      </c>
      <c r="E19" s="1" t="s">
        <v>370</v>
      </c>
      <c r="F19" s="1" t="s">
        <v>7</v>
      </c>
      <c r="G19" s="1">
        <v>26</v>
      </c>
      <c r="H19" s="1" t="s">
        <v>3830</v>
      </c>
      <c r="I19" s="16" t="s">
        <v>3839</v>
      </c>
    </row>
    <row r="20" spans="4:9" x14ac:dyDescent="0.25">
      <c r="D20" s="14" t="s">
        <v>3823</v>
      </c>
      <c r="E20" s="1" t="s">
        <v>23</v>
      </c>
      <c r="F20" s="1" t="s">
        <v>7</v>
      </c>
      <c r="G20" s="1">
        <v>551.4</v>
      </c>
      <c r="H20" s="1" t="s">
        <v>3831</v>
      </c>
      <c r="I20" s="16" t="s">
        <v>3839</v>
      </c>
    </row>
    <row r="21" spans="4:9" x14ac:dyDescent="0.25">
      <c r="D21" s="14" t="s">
        <v>3823</v>
      </c>
      <c r="E21" s="1" t="s">
        <v>23</v>
      </c>
      <c r="F21" s="1" t="s">
        <v>7</v>
      </c>
      <c r="G21" s="1">
        <v>1980</v>
      </c>
      <c r="H21" s="1" t="s">
        <v>3832</v>
      </c>
      <c r="I21" s="16" t="s">
        <v>3837</v>
      </c>
    </row>
    <row r="22" spans="4:9" x14ac:dyDescent="0.25">
      <c r="D22" s="14" t="s">
        <v>3823</v>
      </c>
      <c r="E22" s="1" t="s">
        <v>6</v>
      </c>
      <c r="F22" s="1" t="s">
        <v>7</v>
      </c>
      <c r="G22" s="1">
        <v>16.399999999999999</v>
      </c>
      <c r="H22" s="1" t="s">
        <v>3833</v>
      </c>
      <c r="I22" s="16" t="s">
        <v>52</v>
      </c>
    </row>
    <row r="23" spans="4:9" x14ac:dyDescent="0.25">
      <c r="D23" s="14" t="s">
        <v>3823</v>
      </c>
      <c r="E23" s="1" t="s">
        <v>23</v>
      </c>
      <c r="F23" s="1" t="s">
        <v>7</v>
      </c>
      <c r="G23" s="1">
        <v>1590</v>
      </c>
      <c r="H23" s="1" t="s">
        <v>3834</v>
      </c>
      <c r="I23" s="16" t="s">
        <v>1632</v>
      </c>
    </row>
    <row r="24" spans="4:9" x14ac:dyDescent="0.25">
      <c r="D24" s="14" t="s">
        <v>3823</v>
      </c>
      <c r="E24" s="1" t="s">
        <v>23</v>
      </c>
      <c r="F24" s="1" t="s">
        <v>7</v>
      </c>
      <c r="G24" s="1">
        <v>2652</v>
      </c>
      <c r="H24" s="1" t="s">
        <v>3835</v>
      </c>
      <c r="I24" s="16" t="s">
        <v>1924</v>
      </c>
    </row>
    <row r="25" spans="4:9" x14ac:dyDescent="0.25">
      <c r="D25" s="42" t="s">
        <v>3823</v>
      </c>
      <c r="E25" s="43" t="s">
        <v>262</v>
      </c>
      <c r="F25" s="43" t="s">
        <v>7</v>
      </c>
      <c r="G25" s="43">
        <v>570</v>
      </c>
      <c r="H25" s="43" t="s">
        <v>3836</v>
      </c>
      <c r="I25" s="44" t="s">
        <v>832</v>
      </c>
    </row>
    <row r="26" spans="4:9" x14ac:dyDescent="0.25">
      <c r="D26" s="14" t="s">
        <v>3823</v>
      </c>
      <c r="E26" s="1" t="s">
        <v>1315</v>
      </c>
      <c r="F26" s="1" t="s">
        <v>7</v>
      </c>
      <c r="G26" s="1">
        <v>231.5</v>
      </c>
      <c r="H26" s="1"/>
      <c r="I26" s="16" t="s">
        <v>698</v>
      </c>
    </row>
    <row r="27" spans="4:9" x14ac:dyDescent="0.25">
      <c r="D27" s="14" t="s">
        <v>3823</v>
      </c>
      <c r="E27" s="1" t="s">
        <v>1315</v>
      </c>
      <c r="F27" s="1" t="s">
        <v>7</v>
      </c>
      <c r="G27" s="1">
        <v>467.3</v>
      </c>
      <c r="H27" s="1"/>
      <c r="I27" s="16" t="s">
        <v>3840</v>
      </c>
    </row>
    <row r="28" spans="4:9" x14ac:dyDescent="0.25">
      <c r="D28" s="14"/>
      <c r="E28" s="1"/>
      <c r="F28" s="1"/>
      <c r="G28" s="1"/>
      <c r="H28" s="1"/>
      <c r="I28" s="16"/>
    </row>
    <row r="29" spans="4:9" ht="16.5" thickBot="1" x14ac:dyDescent="0.3">
      <c r="D29" s="17">
        <v>46160</v>
      </c>
      <c r="E29" s="18" t="s">
        <v>78</v>
      </c>
      <c r="F29" s="18"/>
      <c r="G29" s="18">
        <v>1096</v>
      </c>
      <c r="H29" s="18"/>
      <c r="I29" s="27" t="s">
        <v>3838</v>
      </c>
    </row>
  </sheetData>
  <pageMargins left="0.7" right="0.7" top="0.75" bottom="0.75" header="0.3" footer="0.3"/>
  <pageSetup orientation="portrait" r:id="rId1"/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16641B-A5DA-44DA-BAA7-C807A55FC02E}">
  <sheetPr codeName="Hoja77"/>
  <dimension ref="C2:J35"/>
  <sheetViews>
    <sheetView topLeftCell="A10" workbookViewId="0">
      <selection activeCell="H36" sqref="H36"/>
    </sheetView>
  </sheetViews>
  <sheetFormatPr baseColWidth="10" defaultRowHeight="15.75" x14ac:dyDescent="0.25"/>
  <cols>
    <col min="3" max="3" width="14.75" style="3" customWidth="1"/>
    <col min="4" max="4" width="26" style="3" customWidth="1"/>
    <col min="5" max="6" width="11" style="3"/>
    <col min="7" max="7" width="21.125" style="3" customWidth="1"/>
    <col min="8" max="8" width="42.75" style="3" bestFit="1" customWidth="1"/>
    <col min="9" max="10" width="11" style="3"/>
  </cols>
  <sheetData>
    <row r="2" spans="3:8" ht="16.5" thickBot="1" x14ac:dyDescent="0.3"/>
    <row r="3" spans="3:8" x14ac:dyDescent="0.25">
      <c r="C3" s="11" t="s">
        <v>0</v>
      </c>
      <c r="D3" s="12" t="s">
        <v>1</v>
      </c>
      <c r="E3" s="12" t="s">
        <v>2</v>
      </c>
      <c r="F3" s="12" t="s">
        <v>3</v>
      </c>
      <c r="G3" s="12" t="s">
        <v>4</v>
      </c>
      <c r="H3" s="13"/>
    </row>
    <row r="4" spans="3:8" x14ac:dyDescent="0.25">
      <c r="C4" s="14"/>
      <c r="D4" s="1"/>
      <c r="E4" s="1"/>
      <c r="F4" s="1"/>
      <c r="G4" s="1"/>
      <c r="H4" s="16"/>
    </row>
    <row r="5" spans="3:8" x14ac:dyDescent="0.25">
      <c r="C5" s="29" t="s">
        <v>3858</v>
      </c>
      <c r="D5" s="28" t="s">
        <v>3252</v>
      </c>
      <c r="E5" s="28" t="s">
        <v>7</v>
      </c>
      <c r="F5" s="28">
        <v>-500</v>
      </c>
      <c r="G5" s="28" t="s">
        <v>3907</v>
      </c>
      <c r="H5" s="30" t="s">
        <v>3910</v>
      </c>
    </row>
    <row r="6" spans="3:8" x14ac:dyDescent="0.25">
      <c r="C6" s="29" t="s">
        <v>3858</v>
      </c>
      <c r="D6" s="28" t="s">
        <v>3252</v>
      </c>
      <c r="E6" s="28" t="s">
        <v>7</v>
      </c>
      <c r="F6" s="28">
        <v>-500</v>
      </c>
      <c r="G6" s="28" t="s">
        <v>3908</v>
      </c>
      <c r="H6" s="30" t="s">
        <v>3910</v>
      </c>
    </row>
    <row r="7" spans="3:8" x14ac:dyDescent="0.25">
      <c r="C7" s="29" t="s">
        <v>3858</v>
      </c>
      <c r="D7" s="28" t="s">
        <v>3252</v>
      </c>
      <c r="E7" s="28" t="s">
        <v>7</v>
      </c>
      <c r="F7" s="28">
        <v>-500</v>
      </c>
      <c r="G7" s="28" t="s">
        <v>3909</v>
      </c>
      <c r="H7" s="30" t="s">
        <v>3910</v>
      </c>
    </row>
    <row r="8" spans="3:8" x14ac:dyDescent="0.25">
      <c r="C8" s="14" t="s">
        <v>3858</v>
      </c>
      <c r="D8" s="1" t="s">
        <v>665</v>
      </c>
      <c r="E8" s="1" t="s">
        <v>7</v>
      </c>
      <c r="F8" s="1">
        <v>41</v>
      </c>
      <c r="G8" s="1" t="s">
        <v>3891</v>
      </c>
      <c r="H8" s="16" t="s">
        <v>386</v>
      </c>
    </row>
    <row r="9" spans="3:8" x14ac:dyDescent="0.25">
      <c r="C9" s="14" t="s">
        <v>3858</v>
      </c>
      <c r="D9" s="1" t="s">
        <v>240</v>
      </c>
      <c r="E9" s="1" t="s">
        <v>7</v>
      </c>
      <c r="F9" s="1">
        <v>168</v>
      </c>
      <c r="G9" s="1" t="s">
        <v>3892</v>
      </c>
      <c r="H9" s="16" t="s">
        <v>730</v>
      </c>
    </row>
    <row r="10" spans="3:8" x14ac:dyDescent="0.25">
      <c r="C10" s="14" t="s">
        <v>3858</v>
      </c>
      <c r="D10" s="1" t="s">
        <v>164</v>
      </c>
      <c r="E10" s="1" t="s">
        <v>7</v>
      </c>
      <c r="F10" s="1">
        <v>453</v>
      </c>
      <c r="G10" s="1" t="s">
        <v>3893</v>
      </c>
      <c r="H10" s="16" t="s">
        <v>3906</v>
      </c>
    </row>
    <row r="11" spans="3:8" x14ac:dyDescent="0.25">
      <c r="C11" s="14" t="s">
        <v>3858</v>
      </c>
      <c r="D11" s="1" t="s">
        <v>23</v>
      </c>
      <c r="E11" s="1" t="s">
        <v>7</v>
      </c>
      <c r="F11" s="1">
        <v>3800</v>
      </c>
      <c r="G11" s="1" t="s">
        <v>3894</v>
      </c>
      <c r="H11" s="16" t="s">
        <v>2905</v>
      </c>
    </row>
    <row r="12" spans="3:8" x14ac:dyDescent="0.25">
      <c r="C12" s="29" t="s">
        <v>3858</v>
      </c>
      <c r="D12" s="28" t="s">
        <v>3009</v>
      </c>
      <c r="E12" s="28" t="s">
        <v>7</v>
      </c>
      <c r="F12" s="28">
        <v>-97.72</v>
      </c>
      <c r="G12" s="28" t="s">
        <v>3895</v>
      </c>
      <c r="H12" s="30" t="s">
        <v>3905</v>
      </c>
    </row>
    <row r="13" spans="3:8" x14ac:dyDescent="0.25">
      <c r="C13" s="14" t="s">
        <v>3858</v>
      </c>
      <c r="D13" s="1" t="s">
        <v>299</v>
      </c>
      <c r="E13" s="1" t="s">
        <v>7</v>
      </c>
      <c r="F13" s="1">
        <v>3</v>
      </c>
      <c r="G13" s="1" t="s">
        <v>3896</v>
      </c>
      <c r="H13" s="16" t="s">
        <v>3904</v>
      </c>
    </row>
    <row r="14" spans="3:8" x14ac:dyDescent="0.25">
      <c r="C14" s="14" t="s">
        <v>3858</v>
      </c>
      <c r="D14" s="1" t="s">
        <v>23</v>
      </c>
      <c r="E14" s="1" t="s">
        <v>7</v>
      </c>
      <c r="F14" s="1">
        <v>482.5</v>
      </c>
      <c r="G14" s="1" t="s">
        <v>3897</v>
      </c>
      <c r="H14" s="16" t="s">
        <v>660</v>
      </c>
    </row>
    <row r="15" spans="3:8" x14ac:dyDescent="0.25">
      <c r="C15" s="14" t="s">
        <v>3858</v>
      </c>
      <c r="D15" s="1" t="s">
        <v>2401</v>
      </c>
      <c r="E15" s="1" t="s">
        <v>7</v>
      </c>
      <c r="F15" s="1">
        <v>15</v>
      </c>
      <c r="G15" s="1" t="s">
        <v>3898</v>
      </c>
      <c r="H15" s="16" t="s">
        <v>3902</v>
      </c>
    </row>
    <row r="16" spans="3:8" x14ac:dyDescent="0.25">
      <c r="C16" s="14" t="s">
        <v>3858</v>
      </c>
      <c r="D16" s="1" t="s">
        <v>23</v>
      </c>
      <c r="E16" s="1" t="s">
        <v>7</v>
      </c>
      <c r="F16" s="1">
        <v>290</v>
      </c>
      <c r="G16" s="1" t="s">
        <v>3899</v>
      </c>
      <c r="H16" s="16" t="s">
        <v>210</v>
      </c>
    </row>
    <row r="17" spans="3:8" x14ac:dyDescent="0.25">
      <c r="C17" s="14" t="s">
        <v>3858</v>
      </c>
      <c r="D17" s="1" t="s">
        <v>349</v>
      </c>
      <c r="E17" s="1" t="s">
        <v>7</v>
      </c>
      <c r="F17" s="1">
        <v>12</v>
      </c>
      <c r="G17" s="1" t="s">
        <v>3900</v>
      </c>
      <c r="H17" s="16" t="s">
        <v>3901</v>
      </c>
    </row>
    <row r="18" spans="3:8" x14ac:dyDescent="0.25">
      <c r="C18" s="14" t="s">
        <v>3858</v>
      </c>
      <c r="D18" s="1" t="s">
        <v>15</v>
      </c>
      <c r="E18" s="1" t="s">
        <v>7</v>
      </c>
      <c r="F18" s="1">
        <v>500</v>
      </c>
      <c r="G18" s="1" t="s">
        <v>3859</v>
      </c>
      <c r="H18" s="16" t="s">
        <v>3903</v>
      </c>
    </row>
    <row r="19" spans="3:8" x14ac:dyDescent="0.25">
      <c r="C19" s="14" t="s">
        <v>3858</v>
      </c>
      <c r="D19" s="1" t="s">
        <v>2258</v>
      </c>
      <c r="E19" s="1" t="s">
        <v>7</v>
      </c>
      <c r="F19" s="1">
        <v>26.5</v>
      </c>
      <c r="G19" s="1" t="s">
        <v>3860</v>
      </c>
      <c r="H19" s="16" t="s">
        <v>3886</v>
      </c>
    </row>
    <row r="20" spans="3:8" x14ac:dyDescent="0.25">
      <c r="C20" s="29" t="s">
        <v>3858</v>
      </c>
      <c r="D20" s="28" t="s">
        <v>472</v>
      </c>
      <c r="E20" s="28" t="s">
        <v>7</v>
      </c>
      <c r="F20" s="28">
        <v>-14170</v>
      </c>
      <c r="G20" s="28" t="s">
        <v>3861</v>
      </c>
      <c r="H20" s="30" t="s">
        <v>3890</v>
      </c>
    </row>
    <row r="21" spans="3:8" x14ac:dyDescent="0.25">
      <c r="C21" s="14" t="s">
        <v>3858</v>
      </c>
      <c r="D21" s="1" t="s">
        <v>509</v>
      </c>
      <c r="E21" s="1" t="s">
        <v>7</v>
      </c>
      <c r="F21" s="1">
        <v>1290</v>
      </c>
      <c r="G21" s="1" t="s">
        <v>3862</v>
      </c>
      <c r="H21" s="16" t="s">
        <v>3889</v>
      </c>
    </row>
    <row r="22" spans="3:8" x14ac:dyDescent="0.25">
      <c r="C22" s="14" t="s">
        <v>3858</v>
      </c>
      <c r="D22" s="1" t="s">
        <v>509</v>
      </c>
      <c r="E22" s="1" t="s">
        <v>7</v>
      </c>
      <c r="F22" s="1">
        <v>58</v>
      </c>
      <c r="G22" s="1" t="s">
        <v>3863</v>
      </c>
      <c r="H22" s="16" t="s">
        <v>660</v>
      </c>
    </row>
    <row r="23" spans="3:8" x14ac:dyDescent="0.25">
      <c r="C23" s="14" t="s">
        <v>3858</v>
      </c>
      <c r="D23" s="1" t="s">
        <v>262</v>
      </c>
      <c r="E23" s="1" t="s">
        <v>7</v>
      </c>
      <c r="F23" s="1">
        <v>29</v>
      </c>
      <c r="G23" s="1" t="s">
        <v>3864</v>
      </c>
      <c r="H23" s="16" t="s">
        <v>3885</v>
      </c>
    </row>
    <row r="24" spans="3:8" x14ac:dyDescent="0.25">
      <c r="C24" s="29" t="s">
        <v>3858</v>
      </c>
      <c r="D24" s="28" t="s">
        <v>2625</v>
      </c>
      <c r="E24" s="28" t="s">
        <v>7</v>
      </c>
      <c r="F24" s="28">
        <v>-225</v>
      </c>
      <c r="G24" s="28" t="s">
        <v>3865</v>
      </c>
      <c r="H24" s="30" t="s">
        <v>3887</v>
      </c>
    </row>
    <row r="25" spans="3:8" x14ac:dyDescent="0.25">
      <c r="C25" s="14" t="s">
        <v>3858</v>
      </c>
      <c r="D25" s="1" t="s">
        <v>3866</v>
      </c>
      <c r="E25" s="1" t="s">
        <v>7</v>
      </c>
      <c r="F25" s="1">
        <v>25</v>
      </c>
      <c r="G25" s="1" t="s">
        <v>3867</v>
      </c>
      <c r="H25" s="16" t="s">
        <v>3883</v>
      </c>
    </row>
    <row r="26" spans="3:8" x14ac:dyDescent="0.25">
      <c r="C26" s="29" t="s">
        <v>3858</v>
      </c>
      <c r="D26" s="28" t="s">
        <v>2625</v>
      </c>
      <c r="E26" s="28" t="s">
        <v>7</v>
      </c>
      <c r="F26" s="28">
        <v>-16</v>
      </c>
      <c r="G26" s="28" t="s">
        <v>3868</v>
      </c>
      <c r="H26" s="30" t="s">
        <v>3884</v>
      </c>
    </row>
    <row r="27" spans="3:8" x14ac:dyDescent="0.25">
      <c r="C27" s="14" t="s">
        <v>3858</v>
      </c>
      <c r="D27" s="1" t="s">
        <v>509</v>
      </c>
      <c r="E27" s="1" t="s">
        <v>7</v>
      </c>
      <c r="F27" s="1">
        <v>421</v>
      </c>
      <c r="G27" s="1" t="s">
        <v>3869</v>
      </c>
      <c r="H27" s="16" t="s">
        <v>2489</v>
      </c>
    </row>
    <row r="28" spans="3:8" x14ac:dyDescent="0.25">
      <c r="C28" s="14" t="s">
        <v>3858</v>
      </c>
      <c r="D28" s="1" t="s">
        <v>240</v>
      </c>
      <c r="E28" s="1" t="s">
        <v>7</v>
      </c>
      <c r="F28" s="1">
        <v>5.5</v>
      </c>
      <c r="G28" s="1" t="s">
        <v>3870</v>
      </c>
      <c r="H28" s="16" t="s">
        <v>3882</v>
      </c>
    </row>
    <row r="29" spans="3:8" x14ac:dyDescent="0.25">
      <c r="C29" s="14" t="s">
        <v>3858</v>
      </c>
      <c r="D29" s="1" t="s">
        <v>356</v>
      </c>
      <c r="E29" s="1" t="s">
        <v>7</v>
      </c>
      <c r="F29" s="1">
        <v>5</v>
      </c>
      <c r="G29" s="1" t="s">
        <v>3871</v>
      </c>
      <c r="H29" s="16" t="s">
        <v>3881</v>
      </c>
    </row>
    <row r="30" spans="3:8" x14ac:dyDescent="0.25">
      <c r="C30" s="14" t="s">
        <v>3858</v>
      </c>
      <c r="D30" s="1" t="s">
        <v>356</v>
      </c>
      <c r="E30" s="1" t="s">
        <v>7</v>
      </c>
      <c r="F30" s="1">
        <v>20</v>
      </c>
      <c r="G30" s="1" t="s">
        <v>3872</v>
      </c>
      <c r="H30" s="16" t="s">
        <v>3880</v>
      </c>
    </row>
    <row r="31" spans="3:8" x14ac:dyDescent="0.25">
      <c r="C31" s="14" t="s">
        <v>3858</v>
      </c>
      <c r="D31" s="1" t="s">
        <v>299</v>
      </c>
      <c r="E31" s="1" t="s">
        <v>7</v>
      </c>
      <c r="F31" s="1">
        <v>12</v>
      </c>
      <c r="G31" s="1" t="s">
        <v>3873</v>
      </c>
      <c r="H31" s="16" t="s">
        <v>536</v>
      </c>
    </row>
    <row r="32" spans="3:8" x14ac:dyDescent="0.25">
      <c r="C32" s="14" t="s">
        <v>3858</v>
      </c>
      <c r="D32" s="1" t="s">
        <v>23</v>
      </c>
      <c r="E32" s="1" t="s">
        <v>7</v>
      </c>
      <c r="F32" s="1">
        <v>1360</v>
      </c>
      <c r="G32" s="1" t="s">
        <v>3874</v>
      </c>
      <c r="H32" s="16" t="s">
        <v>738</v>
      </c>
    </row>
    <row r="33" spans="3:8" x14ac:dyDescent="0.25">
      <c r="C33" s="14" t="s">
        <v>3858</v>
      </c>
      <c r="D33" s="1" t="s">
        <v>126</v>
      </c>
      <c r="E33" s="1" t="s">
        <v>7</v>
      </c>
      <c r="F33" s="1">
        <v>24</v>
      </c>
      <c r="G33" s="1" t="s">
        <v>3875</v>
      </c>
      <c r="H33" s="16" t="s">
        <v>3879</v>
      </c>
    </row>
    <row r="34" spans="3:8" x14ac:dyDescent="0.25">
      <c r="C34" s="14" t="s">
        <v>3858</v>
      </c>
      <c r="D34" s="1" t="s">
        <v>3555</v>
      </c>
      <c r="E34" s="1" t="s">
        <v>7</v>
      </c>
      <c r="F34" s="1">
        <v>266.8</v>
      </c>
      <c r="G34" s="1" t="s">
        <v>3876</v>
      </c>
      <c r="H34" s="16" t="s">
        <v>3888</v>
      </c>
    </row>
    <row r="35" spans="3:8" ht="16.5" thickBot="1" x14ac:dyDescent="0.3">
      <c r="C35" s="25" t="s">
        <v>3858</v>
      </c>
      <c r="D35" s="18" t="s">
        <v>23</v>
      </c>
      <c r="E35" s="18" t="s">
        <v>7</v>
      </c>
      <c r="F35" s="18">
        <v>1454.6</v>
      </c>
      <c r="G35" s="18" t="s">
        <v>3877</v>
      </c>
      <c r="H35" s="27" t="s">
        <v>3878</v>
      </c>
    </row>
  </sheetData>
  <pageMargins left="0.7" right="0.7" top="0.75" bottom="0.75" header="0.3" footer="0.3"/>
  <pageSetup paperSize="256" orientation="portrait" horizontalDpi="203" verticalDpi="203" r:id="rId1"/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9D89FB-CA7F-4D24-A27A-B85C17F6B0BE}">
  <sheetPr codeName="Hoja78"/>
  <dimension ref="C3:I29"/>
  <sheetViews>
    <sheetView topLeftCell="A3" workbookViewId="0">
      <selection activeCell="F6" sqref="F6"/>
    </sheetView>
  </sheetViews>
  <sheetFormatPr baseColWidth="10" defaultRowHeight="15.75" x14ac:dyDescent="0.25"/>
  <cols>
    <col min="3" max="3" width="11" style="3"/>
    <col min="4" max="4" width="35.375" style="3" customWidth="1"/>
    <col min="5" max="6" width="11" style="3"/>
    <col min="7" max="7" width="18.75" style="3" bestFit="1" customWidth="1"/>
    <col min="8" max="8" width="31.625" style="3" bestFit="1" customWidth="1"/>
    <col min="9" max="9" width="12.875" bestFit="1" customWidth="1"/>
  </cols>
  <sheetData>
    <row r="3" spans="3:9" ht="16.5" thickBot="1" x14ac:dyDescent="0.3"/>
    <row r="4" spans="3:9" x14ac:dyDescent="0.25">
      <c r="C4" s="11" t="s">
        <v>0</v>
      </c>
      <c r="D4" s="12" t="s">
        <v>1</v>
      </c>
      <c r="E4" s="12" t="s">
        <v>2</v>
      </c>
      <c r="F4" s="12" t="s">
        <v>3</v>
      </c>
      <c r="G4" s="12" t="s">
        <v>4</v>
      </c>
      <c r="H4" s="12"/>
      <c r="I4" s="145"/>
    </row>
    <row r="5" spans="3:9" x14ac:dyDescent="0.25">
      <c r="C5" s="14"/>
      <c r="D5" s="1"/>
      <c r="E5" s="1"/>
      <c r="F5" s="1"/>
      <c r="G5" s="1"/>
      <c r="H5" s="1"/>
      <c r="I5" s="146"/>
    </row>
    <row r="6" spans="3:9" x14ac:dyDescent="0.25">
      <c r="C6" s="14" t="s">
        <v>3911</v>
      </c>
      <c r="D6" s="1" t="s">
        <v>23</v>
      </c>
      <c r="E6" s="1" t="s">
        <v>7</v>
      </c>
      <c r="F6" s="1">
        <v>861.2</v>
      </c>
      <c r="G6" s="1" t="s">
        <v>3931</v>
      </c>
      <c r="H6" s="1" t="s">
        <v>2552</v>
      </c>
      <c r="I6" s="146"/>
    </row>
    <row r="7" spans="3:9" x14ac:dyDescent="0.25">
      <c r="C7" s="14" t="s">
        <v>3911</v>
      </c>
      <c r="D7" s="1" t="s">
        <v>23</v>
      </c>
      <c r="E7" s="1" t="s">
        <v>7</v>
      </c>
      <c r="F7" s="1">
        <v>587</v>
      </c>
      <c r="G7" s="1" t="s">
        <v>3932</v>
      </c>
      <c r="H7" s="1" t="s">
        <v>68</v>
      </c>
      <c r="I7" s="146"/>
    </row>
    <row r="8" spans="3:9" x14ac:dyDescent="0.25">
      <c r="C8" s="14" t="s">
        <v>3911</v>
      </c>
      <c r="D8" s="1" t="s">
        <v>95</v>
      </c>
      <c r="E8" s="1" t="s">
        <v>7</v>
      </c>
      <c r="F8" s="1">
        <v>20</v>
      </c>
      <c r="G8" s="1" t="s">
        <v>3933</v>
      </c>
      <c r="H8" s="1" t="s">
        <v>3948</v>
      </c>
      <c r="I8" s="146"/>
    </row>
    <row r="9" spans="3:9" x14ac:dyDescent="0.25">
      <c r="C9" s="29" t="s">
        <v>3911</v>
      </c>
      <c r="D9" s="28" t="s">
        <v>2950</v>
      </c>
      <c r="E9" s="28" t="s">
        <v>7</v>
      </c>
      <c r="F9" s="28">
        <v>-260</v>
      </c>
      <c r="G9" s="28" t="s">
        <v>3934</v>
      </c>
      <c r="H9" s="28" t="s">
        <v>3945</v>
      </c>
      <c r="I9" s="30" t="s">
        <v>3946</v>
      </c>
    </row>
    <row r="10" spans="3:9" x14ac:dyDescent="0.25">
      <c r="C10" s="29" t="s">
        <v>3911</v>
      </c>
      <c r="D10" s="28" t="s">
        <v>2950</v>
      </c>
      <c r="E10" s="28" t="s">
        <v>7</v>
      </c>
      <c r="F10" s="28">
        <v>-500</v>
      </c>
      <c r="G10" s="28" t="s">
        <v>3935</v>
      </c>
      <c r="H10" s="28" t="s">
        <v>3945</v>
      </c>
      <c r="I10" s="30" t="s">
        <v>3946</v>
      </c>
    </row>
    <row r="11" spans="3:9" x14ac:dyDescent="0.25">
      <c r="C11" s="29" t="s">
        <v>3911</v>
      </c>
      <c r="D11" s="28" t="s">
        <v>472</v>
      </c>
      <c r="E11" s="28" t="s">
        <v>7</v>
      </c>
      <c r="F11" s="28">
        <v>-1000</v>
      </c>
      <c r="G11" s="28" t="s">
        <v>3936</v>
      </c>
      <c r="H11" s="28" t="s">
        <v>3947</v>
      </c>
      <c r="I11" s="146"/>
    </row>
    <row r="12" spans="3:9" x14ac:dyDescent="0.25">
      <c r="C12" s="14" t="s">
        <v>3911</v>
      </c>
      <c r="D12" s="1" t="s">
        <v>3555</v>
      </c>
      <c r="E12" s="1" t="s">
        <v>7</v>
      </c>
      <c r="F12" s="1">
        <v>180</v>
      </c>
      <c r="G12" s="1" t="s">
        <v>3926</v>
      </c>
      <c r="H12" s="1" t="s">
        <v>3566</v>
      </c>
      <c r="I12" s="146"/>
    </row>
    <row r="13" spans="3:9" x14ac:dyDescent="0.25">
      <c r="C13" s="14" t="s">
        <v>3911</v>
      </c>
      <c r="D13" s="1" t="s">
        <v>1556</v>
      </c>
      <c r="E13" s="1" t="s">
        <v>7</v>
      </c>
      <c r="F13" s="1">
        <v>170</v>
      </c>
      <c r="G13" s="1" t="s">
        <v>3927</v>
      </c>
      <c r="H13" s="1" t="s">
        <v>1586</v>
      </c>
      <c r="I13" s="146"/>
    </row>
    <row r="14" spans="3:9" x14ac:dyDescent="0.25">
      <c r="C14" s="14" t="s">
        <v>3911</v>
      </c>
      <c r="D14" s="1" t="s">
        <v>23</v>
      </c>
      <c r="E14" s="1" t="s">
        <v>7</v>
      </c>
      <c r="F14" s="1">
        <v>1178</v>
      </c>
      <c r="G14" s="1" t="s">
        <v>3928</v>
      </c>
      <c r="H14" s="1" t="s">
        <v>2291</v>
      </c>
      <c r="I14" s="146"/>
    </row>
    <row r="15" spans="3:9" x14ac:dyDescent="0.25">
      <c r="C15" s="14" t="s">
        <v>3911</v>
      </c>
      <c r="D15" s="1" t="s">
        <v>75</v>
      </c>
      <c r="E15" s="1" t="s">
        <v>7</v>
      </c>
      <c r="F15" s="1">
        <v>20</v>
      </c>
      <c r="G15" s="1" t="s">
        <v>3929</v>
      </c>
      <c r="H15" s="1" t="s">
        <v>3944</v>
      </c>
      <c r="I15" s="146"/>
    </row>
    <row r="16" spans="3:9" x14ac:dyDescent="0.25">
      <c r="C16" s="14" t="s">
        <v>3911</v>
      </c>
      <c r="D16" s="1" t="s">
        <v>797</v>
      </c>
      <c r="E16" s="1" t="s">
        <v>7</v>
      </c>
      <c r="F16" s="1">
        <v>139.5</v>
      </c>
      <c r="G16" s="1" t="s">
        <v>3930</v>
      </c>
      <c r="H16" s="1" t="s">
        <v>3949</v>
      </c>
      <c r="I16" s="146"/>
    </row>
    <row r="17" spans="3:9" x14ac:dyDescent="0.25">
      <c r="C17" s="14" t="s">
        <v>3911</v>
      </c>
      <c r="D17" s="1" t="s">
        <v>519</v>
      </c>
      <c r="E17" s="1" t="s">
        <v>7</v>
      </c>
      <c r="F17" s="1">
        <v>76</v>
      </c>
      <c r="G17" s="1" t="s">
        <v>3912</v>
      </c>
      <c r="H17" s="1" t="s">
        <v>3942</v>
      </c>
      <c r="I17" s="146"/>
    </row>
    <row r="18" spans="3:9" x14ac:dyDescent="0.25">
      <c r="C18" s="14" t="s">
        <v>3911</v>
      </c>
      <c r="D18" s="1" t="s">
        <v>3555</v>
      </c>
      <c r="E18" s="1" t="s">
        <v>7</v>
      </c>
      <c r="F18" s="1">
        <v>180</v>
      </c>
      <c r="G18" s="1" t="s">
        <v>3913</v>
      </c>
      <c r="H18" s="1" t="s">
        <v>3566</v>
      </c>
      <c r="I18" s="146"/>
    </row>
    <row r="19" spans="3:9" x14ac:dyDescent="0.25">
      <c r="C19" s="14" t="s">
        <v>3911</v>
      </c>
      <c r="D19" s="1" t="s">
        <v>295</v>
      </c>
      <c r="E19" s="1" t="s">
        <v>7</v>
      </c>
      <c r="F19" s="1">
        <v>20</v>
      </c>
      <c r="G19" s="1" t="s">
        <v>3914</v>
      </c>
      <c r="H19" s="1" t="s">
        <v>3948</v>
      </c>
      <c r="I19" s="146"/>
    </row>
    <row r="20" spans="3:9" x14ac:dyDescent="0.25">
      <c r="C20" s="14" t="s">
        <v>3911</v>
      </c>
      <c r="D20" s="1" t="s">
        <v>100</v>
      </c>
      <c r="E20" s="1" t="s">
        <v>7</v>
      </c>
      <c r="F20" s="1">
        <v>12.5</v>
      </c>
      <c r="G20" s="1" t="s">
        <v>3915</v>
      </c>
      <c r="H20" s="1" t="s">
        <v>3941</v>
      </c>
      <c r="I20" s="146"/>
    </row>
    <row r="21" spans="3:9" x14ac:dyDescent="0.25">
      <c r="C21" s="14" t="s">
        <v>3911</v>
      </c>
      <c r="D21" s="1" t="s">
        <v>2401</v>
      </c>
      <c r="E21" s="1" t="s">
        <v>7</v>
      </c>
      <c r="F21" s="1">
        <v>30</v>
      </c>
      <c r="G21" s="1" t="s">
        <v>3916</v>
      </c>
      <c r="H21" s="1" t="s">
        <v>3940</v>
      </c>
      <c r="I21" s="146"/>
    </row>
    <row r="22" spans="3:9" x14ac:dyDescent="0.25">
      <c r="C22" s="14" t="s">
        <v>3911</v>
      </c>
      <c r="D22" s="1" t="s">
        <v>23</v>
      </c>
      <c r="E22" s="1" t="s">
        <v>7</v>
      </c>
      <c r="F22" s="1">
        <v>2526</v>
      </c>
      <c r="G22" s="1" t="s">
        <v>3917</v>
      </c>
      <c r="H22" s="1" t="s">
        <v>3780</v>
      </c>
      <c r="I22" s="146"/>
    </row>
    <row r="23" spans="3:9" x14ac:dyDescent="0.25">
      <c r="C23" s="14" t="s">
        <v>3911</v>
      </c>
      <c r="D23" s="1" t="s">
        <v>27</v>
      </c>
      <c r="E23" s="1" t="s">
        <v>7</v>
      </c>
      <c r="F23" s="1">
        <v>100</v>
      </c>
      <c r="G23" s="1" t="s">
        <v>3918</v>
      </c>
      <c r="H23" s="1" t="s">
        <v>3943</v>
      </c>
      <c r="I23" s="146"/>
    </row>
    <row r="24" spans="3:9" x14ac:dyDescent="0.25">
      <c r="C24" s="14" t="s">
        <v>3911</v>
      </c>
      <c r="D24" s="1" t="s">
        <v>3919</v>
      </c>
      <c r="E24" s="1" t="s">
        <v>7</v>
      </c>
      <c r="F24" s="1">
        <v>100</v>
      </c>
      <c r="G24" s="1" t="s">
        <v>3920</v>
      </c>
      <c r="H24" s="1" t="s">
        <v>3943</v>
      </c>
      <c r="I24" s="146"/>
    </row>
    <row r="25" spans="3:9" x14ac:dyDescent="0.25">
      <c r="C25" s="14" t="s">
        <v>3911</v>
      </c>
      <c r="D25" s="1" t="s">
        <v>655</v>
      </c>
      <c r="E25" s="1" t="s">
        <v>7</v>
      </c>
      <c r="F25" s="1">
        <v>40</v>
      </c>
      <c r="G25" s="1" t="s">
        <v>3921</v>
      </c>
      <c r="H25" s="1" t="s">
        <v>3939</v>
      </c>
      <c r="I25" s="146"/>
    </row>
    <row r="26" spans="3:9" x14ac:dyDescent="0.25">
      <c r="C26" s="29" t="s">
        <v>3911</v>
      </c>
      <c r="D26" s="28" t="s">
        <v>2923</v>
      </c>
      <c r="E26" s="28" t="s">
        <v>7</v>
      </c>
      <c r="F26" s="28">
        <v>-90</v>
      </c>
      <c r="G26" s="28" t="s">
        <v>3922</v>
      </c>
      <c r="H26" s="28" t="s">
        <v>3938</v>
      </c>
      <c r="I26" s="146"/>
    </row>
    <row r="27" spans="3:9" x14ac:dyDescent="0.25">
      <c r="C27" s="14" t="s">
        <v>3911</v>
      </c>
      <c r="D27" s="1" t="s">
        <v>224</v>
      </c>
      <c r="E27" s="1" t="s">
        <v>7</v>
      </c>
      <c r="F27" s="1">
        <v>10</v>
      </c>
      <c r="G27" s="1" t="s">
        <v>3923</v>
      </c>
      <c r="H27" s="1" t="s">
        <v>3937</v>
      </c>
      <c r="I27" s="146"/>
    </row>
    <row r="28" spans="3:9" x14ac:dyDescent="0.25">
      <c r="C28" s="14" t="s">
        <v>3911</v>
      </c>
      <c r="D28" s="1" t="s">
        <v>23</v>
      </c>
      <c r="E28" s="1" t="s">
        <v>7</v>
      </c>
      <c r="F28" s="1">
        <v>1890</v>
      </c>
      <c r="G28" s="1" t="s">
        <v>3924</v>
      </c>
      <c r="H28" s="1" t="s">
        <v>660</v>
      </c>
      <c r="I28" s="146"/>
    </row>
    <row r="29" spans="3:9" ht="16.5" thickBot="1" x14ac:dyDescent="0.3">
      <c r="C29" s="25" t="s">
        <v>3911</v>
      </c>
      <c r="D29" s="18" t="s">
        <v>655</v>
      </c>
      <c r="E29" s="18" t="s">
        <v>7</v>
      </c>
      <c r="F29" s="18">
        <v>30</v>
      </c>
      <c r="G29" s="18" t="s">
        <v>3925</v>
      </c>
      <c r="H29" s="18" t="s">
        <v>2694</v>
      </c>
      <c r="I29" s="147"/>
    </row>
  </sheetData>
  <pageMargins left="0.7" right="0.7" top="0.75" bottom="0.75" header="0.3" footer="0.3"/>
  <pageSetup paperSize="256" orientation="portrait" horizontalDpi="203" verticalDpi="203" r:id="rId1"/>
</worksheet>
</file>

<file path=xl/worksheets/sheet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6E2702-6F69-4F11-A519-67093CE90410}">
  <sheetPr codeName="Hoja79"/>
  <dimension ref="D2:I22"/>
  <sheetViews>
    <sheetView workbookViewId="0">
      <selection activeCell="J19" sqref="J19"/>
    </sheetView>
  </sheetViews>
  <sheetFormatPr baseColWidth="10" defaultRowHeight="15.75" x14ac:dyDescent="0.25"/>
  <cols>
    <col min="4" max="4" width="11" style="3"/>
    <col min="5" max="5" width="18.125" style="3" bestFit="1" customWidth="1"/>
    <col min="6" max="7" width="11" style="3"/>
    <col min="8" max="8" width="18.75" style="3" bestFit="1" customWidth="1"/>
    <col min="9" max="9" width="29.125" style="3" bestFit="1" customWidth="1"/>
  </cols>
  <sheetData>
    <row r="2" spans="4:9" ht="16.5" thickBot="1" x14ac:dyDescent="0.3"/>
    <row r="3" spans="4:9" x14ac:dyDescent="0.25">
      <c r="D3" s="11" t="s">
        <v>0</v>
      </c>
      <c r="E3" s="12" t="s">
        <v>1</v>
      </c>
      <c r="F3" s="12" t="s">
        <v>2</v>
      </c>
      <c r="G3" s="12" t="s">
        <v>3</v>
      </c>
      <c r="H3" s="12" t="s">
        <v>4</v>
      </c>
      <c r="I3" s="13"/>
    </row>
    <row r="4" spans="4:9" x14ac:dyDescent="0.25">
      <c r="D4" s="14"/>
      <c r="E4" s="1"/>
      <c r="F4" s="1"/>
      <c r="G4" s="1"/>
      <c r="H4" s="1"/>
      <c r="I4" s="16"/>
    </row>
    <row r="5" spans="4:9" x14ac:dyDescent="0.25">
      <c r="D5" s="14" t="s">
        <v>3950</v>
      </c>
      <c r="E5" s="1" t="s">
        <v>23</v>
      </c>
      <c r="F5" s="1" t="s">
        <v>7</v>
      </c>
      <c r="G5" s="1">
        <v>319.55</v>
      </c>
      <c r="H5" s="1" t="s">
        <v>3977</v>
      </c>
      <c r="I5" s="16" t="s">
        <v>3981</v>
      </c>
    </row>
    <row r="6" spans="4:9" x14ac:dyDescent="0.25">
      <c r="D6" s="14" t="s">
        <v>3950</v>
      </c>
      <c r="E6" s="1" t="s">
        <v>269</v>
      </c>
      <c r="F6" s="1" t="s">
        <v>7</v>
      </c>
      <c r="G6" s="1">
        <v>18</v>
      </c>
      <c r="H6" s="1" t="s">
        <v>3978</v>
      </c>
      <c r="I6" s="16" t="s">
        <v>3982</v>
      </c>
    </row>
    <row r="7" spans="4:9" x14ac:dyDescent="0.25">
      <c r="D7" s="14" t="s">
        <v>3950</v>
      </c>
      <c r="E7" s="1" t="s">
        <v>23</v>
      </c>
      <c r="F7" s="1" t="s">
        <v>7</v>
      </c>
      <c r="G7" s="1">
        <v>1200</v>
      </c>
      <c r="H7" s="1" t="s">
        <v>3979</v>
      </c>
      <c r="I7" s="16" t="s">
        <v>3983</v>
      </c>
    </row>
    <row r="8" spans="4:9" x14ac:dyDescent="0.25">
      <c r="D8" s="14" t="s">
        <v>3950</v>
      </c>
      <c r="E8" s="1" t="s">
        <v>299</v>
      </c>
      <c r="F8" s="1" t="s">
        <v>7</v>
      </c>
      <c r="G8" s="1">
        <v>317</v>
      </c>
      <c r="H8" s="1" t="s">
        <v>3980</v>
      </c>
      <c r="I8" s="16" t="s">
        <v>3984</v>
      </c>
    </row>
    <row r="9" spans="4:9" x14ac:dyDescent="0.25">
      <c r="D9" s="14" t="s">
        <v>3950</v>
      </c>
      <c r="E9" s="1" t="s">
        <v>240</v>
      </c>
      <c r="F9" s="1" t="s">
        <v>7</v>
      </c>
      <c r="G9" s="1">
        <v>84</v>
      </c>
      <c r="H9" s="1" t="s">
        <v>3968</v>
      </c>
      <c r="I9" s="16" t="s">
        <v>68</v>
      </c>
    </row>
    <row r="10" spans="4:9" x14ac:dyDescent="0.25">
      <c r="D10" s="14" t="s">
        <v>3950</v>
      </c>
      <c r="E10" s="1" t="s">
        <v>240</v>
      </c>
      <c r="F10" s="1" t="s">
        <v>7</v>
      </c>
      <c r="G10" s="1">
        <v>242.5</v>
      </c>
      <c r="H10" s="1" t="s">
        <v>3969</v>
      </c>
      <c r="I10" s="16" t="s">
        <v>3975</v>
      </c>
    </row>
    <row r="11" spans="4:9" x14ac:dyDescent="0.25">
      <c r="D11" s="14" t="s">
        <v>3950</v>
      </c>
      <c r="E11" s="1" t="s">
        <v>3970</v>
      </c>
      <c r="F11" s="1" t="s">
        <v>7</v>
      </c>
      <c r="G11" s="1">
        <v>11.5</v>
      </c>
      <c r="H11" s="1" t="s">
        <v>3971</v>
      </c>
      <c r="I11" s="16" t="s">
        <v>3974</v>
      </c>
    </row>
    <row r="12" spans="4:9" x14ac:dyDescent="0.25">
      <c r="D12" s="14" t="s">
        <v>3950</v>
      </c>
      <c r="E12" s="1" t="s">
        <v>509</v>
      </c>
      <c r="F12" s="1" t="s">
        <v>7</v>
      </c>
      <c r="G12" s="1">
        <v>495</v>
      </c>
      <c r="H12" s="1" t="s">
        <v>3972</v>
      </c>
      <c r="I12" s="16" t="s">
        <v>3973</v>
      </c>
    </row>
    <row r="13" spans="4:9" x14ac:dyDescent="0.25">
      <c r="D13" s="33" t="s">
        <v>3950</v>
      </c>
      <c r="E13" s="4" t="s">
        <v>23</v>
      </c>
      <c r="F13" s="4" t="s">
        <v>7</v>
      </c>
      <c r="G13" s="4">
        <v>2000</v>
      </c>
      <c r="H13" s="4" t="s">
        <v>3951</v>
      </c>
      <c r="I13" s="34" t="s">
        <v>3167</v>
      </c>
    </row>
    <row r="14" spans="4:9" x14ac:dyDescent="0.25">
      <c r="D14" s="14" t="s">
        <v>3950</v>
      </c>
      <c r="E14" s="1" t="s">
        <v>3952</v>
      </c>
      <c r="F14" s="1" t="s">
        <v>7</v>
      </c>
      <c r="G14" s="1">
        <v>3318</v>
      </c>
      <c r="H14" s="1" t="s">
        <v>3953</v>
      </c>
      <c r="I14" s="16" t="s">
        <v>3976</v>
      </c>
    </row>
    <row r="15" spans="4:9" x14ac:dyDescent="0.25">
      <c r="D15" s="14" t="s">
        <v>3950</v>
      </c>
      <c r="E15" s="1" t="s">
        <v>240</v>
      </c>
      <c r="F15" s="1" t="s">
        <v>7</v>
      </c>
      <c r="G15" s="1">
        <v>167</v>
      </c>
      <c r="H15" s="1" t="s">
        <v>3954</v>
      </c>
      <c r="I15" s="16" t="s">
        <v>3966</v>
      </c>
    </row>
    <row r="16" spans="4:9" x14ac:dyDescent="0.25">
      <c r="D16" s="14" t="s">
        <v>3950</v>
      </c>
      <c r="E16" s="1" t="s">
        <v>240</v>
      </c>
      <c r="F16" s="1" t="s">
        <v>7</v>
      </c>
      <c r="G16" s="1">
        <v>500</v>
      </c>
      <c r="H16" s="1" t="s">
        <v>3955</v>
      </c>
      <c r="I16" s="16" t="s">
        <v>3966</v>
      </c>
    </row>
    <row r="17" spans="4:9" x14ac:dyDescent="0.25">
      <c r="D17" s="14" t="s">
        <v>3950</v>
      </c>
      <c r="E17" s="1" t="s">
        <v>240</v>
      </c>
      <c r="F17" s="1" t="s">
        <v>7</v>
      </c>
      <c r="G17" s="1">
        <v>500</v>
      </c>
      <c r="H17" s="1" t="s">
        <v>3956</v>
      </c>
      <c r="I17" s="16" t="s">
        <v>3966</v>
      </c>
    </row>
    <row r="18" spans="4:9" x14ac:dyDescent="0.25">
      <c r="D18" s="14" t="s">
        <v>3950</v>
      </c>
      <c r="E18" s="1" t="s">
        <v>95</v>
      </c>
      <c r="F18" s="1" t="s">
        <v>7</v>
      </c>
      <c r="G18" s="1">
        <v>15</v>
      </c>
      <c r="H18" s="1" t="s">
        <v>3957</v>
      </c>
      <c r="I18" s="16" t="s">
        <v>3967</v>
      </c>
    </row>
    <row r="19" spans="4:9" x14ac:dyDescent="0.25">
      <c r="D19" s="14" t="s">
        <v>3950</v>
      </c>
      <c r="E19" s="1" t="s">
        <v>349</v>
      </c>
      <c r="F19" s="1" t="s">
        <v>7</v>
      </c>
      <c r="G19" s="1">
        <v>137.5</v>
      </c>
      <c r="H19" s="1" t="s">
        <v>3958</v>
      </c>
      <c r="I19" s="16" t="s">
        <v>3965</v>
      </c>
    </row>
    <row r="20" spans="4:9" x14ac:dyDescent="0.25">
      <c r="D20" s="14" t="s">
        <v>3950</v>
      </c>
      <c r="E20" s="1" t="s">
        <v>2401</v>
      </c>
      <c r="F20" s="1" t="s">
        <v>7</v>
      </c>
      <c r="G20" s="1">
        <v>18</v>
      </c>
      <c r="H20" s="1" t="s">
        <v>3959</v>
      </c>
      <c r="I20" s="16" t="s">
        <v>3964</v>
      </c>
    </row>
    <row r="21" spans="4:9" x14ac:dyDescent="0.25">
      <c r="D21" s="14" t="s">
        <v>3950</v>
      </c>
      <c r="E21" s="1" t="s">
        <v>2401</v>
      </c>
      <c r="F21" s="1" t="s">
        <v>7</v>
      </c>
      <c r="G21" s="1">
        <v>92.5</v>
      </c>
      <c r="H21" s="1" t="s">
        <v>3960</v>
      </c>
      <c r="I21" s="16" t="s">
        <v>3963</v>
      </c>
    </row>
    <row r="22" spans="4:9" ht="16.5" thickBot="1" x14ac:dyDescent="0.3">
      <c r="D22" s="25" t="s">
        <v>3950</v>
      </c>
      <c r="E22" s="18" t="s">
        <v>205</v>
      </c>
      <c r="F22" s="18" t="s">
        <v>7</v>
      </c>
      <c r="G22" s="18">
        <v>33.5</v>
      </c>
      <c r="H22" s="18" t="s">
        <v>3961</v>
      </c>
      <c r="I22" s="27" t="s">
        <v>3962</v>
      </c>
    </row>
  </sheetData>
  <pageMargins left="0.7" right="0.7" top="0.75" bottom="0.75" header="0.3" footer="0.3"/>
</worksheet>
</file>

<file path=xl/worksheets/sheet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103022-A743-4734-8D0D-127B76B66794}">
  <sheetPr codeName="Hoja80"/>
  <dimension ref="D3:J40"/>
  <sheetViews>
    <sheetView topLeftCell="A10" workbookViewId="0">
      <selection activeCell="I33" sqref="I33"/>
    </sheetView>
  </sheetViews>
  <sheetFormatPr baseColWidth="10" defaultRowHeight="15.75" x14ac:dyDescent="0.25"/>
  <cols>
    <col min="4" max="4" width="11" style="3"/>
    <col min="5" max="5" width="25.625" style="3" customWidth="1"/>
    <col min="6" max="7" width="11" style="3"/>
    <col min="8" max="8" width="18.75" style="3" bestFit="1" customWidth="1"/>
    <col min="9" max="9" width="30.625" style="3" customWidth="1"/>
    <col min="10" max="10" width="11" style="3"/>
  </cols>
  <sheetData>
    <row r="3" spans="4:9" ht="16.5" thickBot="1" x14ac:dyDescent="0.3"/>
    <row r="4" spans="4:9" x14ac:dyDescent="0.25">
      <c r="D4" s="11" t="s">
        <v>0</v>
      </c>
      <c r="E4" s="12" t="s">
        <v>1</v>
      </c>
      <c r="F4" s="12" t="s">
        <v>2</v>
      </c>
      <c r="G4" s="12" t="s">
        <v>3</v>
      </c>
      <c r="H4" s="12" t="s">
        <v>4</v>
      </c>
      <c r="I4" s="13"/>
    </row>
    <row r="5" spans="4:9" x14ac:dyDescent="0.25">
      <c r="D5" s="14"/>
      <c r="E5" s="1"/>
      <c r="F5" s="1"/>
      <c r="G5" s="1"/>
      <c r="H5" s="1"/>
      <c r="I5" s="16"/>
    </row>
    <row r="6" spans="4:9" x14ac:dyDescent="0.25">
      <c r="D6" s="29" t="s">
        <v>3985</v>
      </c>
      <c r="E6" s="28" t="s">
        <v>472</v>
      </c>
      <c r="F6" s="28" t="s">
        <v>7</v>
      </c>
      <c r="G6" s="28">
        <v>-4144.5</v>
      </c>
      <c r="H6" s="28" t="s">
        <v>4042</v>
      </c>
      <c r="I6" s="30" t="s">
        <v>4048</v>
      </c>
    </row>
    <row r="7" spans="4:9" x14ac:dyDescent="0.25">
      <c r="D7" s="29" t="s">
        <v>3985</v>
      </c>
      <c r="E7" s="28" t="s">
        <v>472</v>
      </c>
      <c r="F7" s="28" t="s">
        <v>7</v>
      </c>
      <c r="G7" s="28">
        <v>-8000</v>
      </c>
      <c r="H7" s="28" t="s">
        <v>4043</v>
      </c>
      <c r="I7" s="30" t="s">
        <v>4047</v>
      </c>
    </row>
    <row r="8" spans="4:9" x14ac:dyDescent="0.25">
      <c r="D8" s="14" t="s">
        <v>3985</v>
      </c>
      <c r="E8" s="1" t="s">
        <v>23</v>
      </c>
      <c r="F8" s="1" t="s">
        <v>7</v>
      </c>
      <c r="G8" s="1">
        <v>4980</v>
      </c>
      <c r="H8" s="1" t="s">
        <v>4044</v>
      </c>
      <c r="I8" s="16" t="s">
        <v>68</v>
      </c>
    </row>
    <row r="9" spans="4:9" x14ac:dyDescent="0.25">
      <c r="D9" s="14" t="s">
        <v>3985</v>
      </c>
      <c r="E9" s="1" t="s">
        <v>23</v>
      </c>
      <c r="F9" s="1" t="s">
        <v>7</v>
      </c>
      <c r="G9" s="1">
        <v>8000</v>
      </c>
      <c r="H9" s="1" t="s">
        <v>4045</v>
      </c>
      <c r="I9" s="16" t="s">
        <v>4046</v>
      </c>
    </row>
    <row r="10" spans="4:9" x14ac:dyDescent="0.25">
      <c r="D10" s="29" t="s">
        <v>3985</v>
      </c>
      <c r="E10" s="28" t="s">
        <v>598</v>
      </c>
      <c r="F10" s="28" t="s">
        <v>7</v>
      </c>
      <c r="G10" s="28">
        <v>-10957</v>
      </c>
      <c r="H10" s="28" t="s">
        <v>4009</v>
      </c>
      <c r="I10" s="30" t="s">
        <v>600</v>
      </c>
    </row>
    <row r="11" spans="4:9" x14ac:dyDescent="0.25">
      <c r="D11" s="14" t="s">
        <v>3985</v>
      </c>
      <c r="E11" s="1" t="s">
        <v>23</v>
      </c>
      <c r="F11" s="1" t="s">
        <v>7</v>
      </c>
      <c r="G11" s="1">
        <v>10957</v>
      </c>
      <c r="H11" s="1" t="s">
        <v>4010</v>
      </c>
      <c r="I11" s="16" t="s">
        <v>4022</v>
      </c>
    </row>
    <row r="12" spans="4:9" x14ac:dyDescent="0.25">
      <c r="D12" s="14" t="s">
        <v>3985</v>
      </c>
      <c r="E12" s="1" t="s">
        <v>23</v>
      </c>
      <c r="F12" s="1" t="s">
        <v>7</v>
      </c>
      <c r="G12" s="1">
        <v>3706.5</v>
      </c>
      <c r="H12" s="1" t="s">
        <v>4011</v>
      </c>
      <c r="I12" s="16" t="s">
        <v>2552</v>
      </c>
    </row>
    <row r="13" spans="4:9" x14ac:dyDescent="0.25">
      <c r="D13" s="14" t="s">
        <v>3985</v>
      </c>
      <c r="E13" s="1" t="s">
        <v>23</v>
      </c>
      <c r="F13" s="1" t="s">
        <v>7</v>
      </c>
      <c r="G13" s="1">
        <v>690</v>
      </c>
      <c r="H13" s="1" t="s">
        <v>4012</v>
      </c>
      <c r="I13" s="16" t="s">
        <v>4035</v>
      </c>
    </row>
    <row r="14" spans="4:9" x14ac:dyDescent="0.25">
      <c r="D14" s="14" t="s">
        <v>3985</v>
      </c>
      <c r="E14" s="1" t="s">
        <v>4013</v>
      </c>
      <c r="F14" s="1" t="s">
        <v>7</v>
      </c>
      <c r="G14" s="1">
        <v>861</v>
      </c>
      <c r="H14" s="1" t="s">
        <v>4014</v>
      </c>
      <c r="I14" s="16" t="s">
        <v>4036</v>
      </c>
    </row>
    <row r="15" spans="4:9" x14ac:dyDescent="0.25">
      <c r="D15" s="14" t="s">
        <v>3985</v>
      </c>
      <c r="E15" s="1" t="s">
        <v>4015</v>
      </c>
      <c r="F15" s="1" t="s">
        <v>7</v>
      </c>
      <c r="G15" s="1">
        <v>500</v>
      </c>
      <c r="H15" s="1" t="s">
        <v>4016</v>
      </c>
      <c r="I15" s="16" t="s">
        <v>4037</v>
      </c>
    </row>
    <row r="16" spans="4:9" x14ac:dyDescent="0.25">
      <c r="D16" s="14" t="s">
        <v>3985</v>
      </c>
      <c r="E16" s="1" t="s">
        <v>2401</v>
      </c>
      <c r="F16" s="1" t="s">
        <v>7</v>
      </c>
      <c r="G16" s="1">
        <v>59.5</v>
      </c>
      <c r="H16" s="1" t="s">
        <v>4017</v>
      </c>
      <c r="I16" s="16" t="s">
        <v>4034</v>
      </c>
    </row>
    <row r="17" spans="4:9" x14ac:dyDescent="0.25">
      <c r="D17" s="14" t="s">
        <v>3985</v>
      </c>
      <c r="E17" s="1" t="s">
        <v>23</v>
      </c>
      <c r="F17" s="1" t="s">
        <v>7</v>
      </c>
      <c r="G17" s="1">
        <v>795.4</v>
      </c>
      <c r="H17" s="1" t="s">
        <v>4018</v>
      </c>
      <c r="I17" s="16" t="s">
        <v>4029</v>
      </c>
    </row>
    <row r="18" spans="4:9" x14ac:dyDescent="0.25">
      <c r="D18" s="14" t="s">
        <v>3985</v>
      </c>
      <c r="E18" s="1" t="s">
        <v>509</v>
      </c>
      <c r="F18" s="1" t="s">
        <v>7</v>
      </c>
      <c r="G18" s="1">
        <v>4</v>
      </c>
      <c r="H18" s="1" t="s">
        <v>4019</v>
      </c>
      <c r="I18" s="16" t="s">
        <v>4028</v>
      </c>
    </row>
    <row r="19" spans="4:9" x14ac:dyDescent="0.25">
      <c r="D19" s="14" t="s">
        <v>3985</v>
      </c>
      <c r="E19" s="1" t="s">
        <v>356</v>
      </c>
      <c r="F19" s="1" t="s">
        <v>7</v>
      </c>
      <c r="G19" s="1">
        <v>3000</v>
      </c>
      <c r="H19" s="1" t="s">
        <v>4020</v>
      </c>
      <c r="I19" s="16" t="s">
        <v>1388</v>
      </c>
    </row>
    <row r="20" spans="4:9" x14ac:dyDescent="0.25">
      <c r="D20" s="14" t="s">
        <v>3985</v>
      </c>
      <c r="E20" s="1" t="s">
        <v>356</v>
      </c>
      <c r="F20" s="1" t="s">
        <v>7</v>
      </c>
      <c r="G20" s="1">
        <v>8435</v>
      </c>
      <c r="H20" s="1" t="s">
        <v>4021</v>
      </c>
      <c r="I20" s="16" t="s">
        <v>4038</v>
      </c>
    </row>
    <row r="21" spans="4:9" x14ac:dyDescent="0.25">
      <c r="D21" s="14" t="s">
        <v>3985</v>
      </c>
      <c r="E21" s="1" t="s">
        <v>3555</v>
      </c>
      <c r="F21" s="1" t="s">
        <v>7</v>
      </c>
      <c r="G21" s="1">
        <v>126</v>
      </c>
      <c r="H21" s="1" t="s">
        <v>3998</v>
      </c>
      <c r="I21" s="16" t="s">
        <v>3566</v>
      </c>
    </row>
    <row r="22" spans="4:9" x14ac:dyDescent="0.25">
      <c r="D22" s="14" t="s">
        <v>3985</v>
      </c>
      <c r="E22" s="1" t="s">
        <v>669</v>
      </c>
      <c r="F22" s="1" t="s">
        <v>7</v>
      </c>
      <c r="G22" s="1">
        <v>44.32</v>
      </c>
      <c r="H22" s="1" t="s">
        <v>3999</v>
      </c>
      <c r="I22" s="16" t="s">
        <v>4039</v>
      </c>
    </row>
    <row r="23" spans="4:9" x14ac:dyDescent="0.25">
      <c r="D23" s="14" t="s">
        <v>3985</v>
      </c>
      <c r="E23" s="1" t="s">
        <v>669</v>
      </c>
      <c r="F23" s="1" t="s">
        <v>7</v>
      </c>
      <c r="G23" s="1">
        <v>328.18</v>
      </c>
      <c r="H23" s="1" t="s">
        <v>4000</v>
      </c>
      <c r="I23" s="16" t="s">
        <v>4041</v>
      </c>
    </row>
    <row r="24" spans="4:9" x14ac:dyDescent="0.25">
      <c r="D24" s="14" t="s">
        <v>3985</v>
      </c>
      <c r="E24" s="1" t="s">
        <v>373</v>
      </c>
      <c r="F24" s="1" t="s">
        <v>7</v>
      </c>
      <c r="G24" s="1">
        <v>8</v>
      </c>
      <c r="H24" s="1" t="s">
        <v>4001</v>
      </c>
      <c r="I24" s="16" t="s">
        <v>4033</v>
      </c>
    </row>
    <row r="25" spans="4:9" x14ac:dyDescent="0.25">
      <c r="D25" s="29" t="s">
        <v>3985</v>
      </c>
      <c r="E25" s="28" t="s">
        <v>2923</v>
      </c>
      <c r="F25" s="28" t="s">
        <v>7</v>
      </c>
      <c r="G25" s="28">
        <v>-213</v>
      </c>
      <c r="H25" s="28" t="s">
        <v>4002</v>
      </c>
      <c r="I25" s="30" t="s">
        <v>4027</v>
      </c>
    </row>
    <row r="26" spans="4:9" x14ac:dyDescent="0.25">
      <c r="D26" s="14" t="s">
        <v>3985</v>
      </c>
      <c r="E26" s="1" t="s">
        <v>164</v>
      </c>
      <c r="F26" s="1" t="s">
        <v>7</v>
      </c>
      <c r="G26" s="1">
        <v>16</v>
      </c>
      <c r="H26" s="1" t="s">
        <v>4003</v>
      </c>
      <c r="I26" s="16" t="s">
        <v>4026</v>
      </c>
    </row>
    <row r="27" spans="4:9" x14ac:dyDescent="0.25">
      <c r="D27" s="14" t="s">
        <v>3985</v>
      </c>
      <c r="E27" s="1" t="s">
        <v>269</v>
      </c>
      <c r="F27" s="1" t="s">
        <v>7</v>
      </c>
      <c r="G27" s="1">
        <v>4</v>
      </c>
      <c r="H27" s="1" t="s">
        <v>4004</v>
      </c>
      <c r="I27" s="16" t="s">
        <v>4032</v>
      </c>
    </row>
    <row r="28" spans="4:9" x14ac:dyDescent="0.25">
      <c r="D28" s="14" t="s">
        <v>3985</v>
      </c>
      <c r="E28" s="1" t="s">
        <v>269</v>
      </c>
      <c r="F28" s="1" t="s">
        <v>7</v>
      </c>
      <c r="G28" s="1">
        <v>2</v>
      </c>
      <c r="H28" s="1" t="s">
        <v>4005</v>
      </c>
      <c r="I28" s="16" t="s">
        <v>4032</v>
      </c>
    </row>
    <row r="29" spans="4:9" x14ac:dyDescent="0.25">
      <c r="D29" s="14" t="s">
        <v>3985</v>
      </c>
      <c r="E29" s="1" t="s">
        <v>509</v>
      </c>
      <c r="F29" s="1" t="s">
        <v>7</v>
      </c>
      <c r="G29" s="1">
        <v>10</v>
      </c>
      <c r="H29" s="1" t="s">
        <v>4006</v>
      </c>
      <c r="I29" s="16" t="s">
        <v>4030</v>
      </c>
    </row>
    <row r="30" spans="4:9" x14ac:dyDescent="0.25">
      <c r="D30" s="14" t="s">
        <v>3985</v>
      </c>
      <c r="E30" s="1" t="s">
        <v>23</v>
      </c>
      <c r="F30" s="1" t="s">
        <v>7</v>
      </c>
      <c r="G30" s="1">
        <v>809</v>
      </c>
      <c r="H30" s="1" t="s">
        <v>3986</v>
      </c>
      <c r="I30" s="16" t="s">
        <v>4031</v>
      </c>
    </row>
    <row r="31" spans="4:9" x14ac:dyDescent="0.25">
      <c r="D31" s="14" t="s">
        <v>3985</v>
      </c>
      <c r="E31" s="1" t="s">
        <v>183</v>
      </c>
      <c r="F31" s="1" t="s">
        <v>7</v>
      </c>
      <c r="G31" s="1">
        <v>24</v>
      </c>
      <c r="H31" s="1" t="s">
        <v>3987</v>
      </c>
      <c r="I31" s="16" t="s">
        <v>4040</v>
      </c>
    </row>
    <row r="32" spans="4:9" x14ac:dyDescent="0.25">
      <c r="D32" s="14" t="s">
        <v>3985</v>
      </c>
      <c r="E32" s="1" t="s">
        <v>3988</v>
      </c>
      <c r="F32" s="1" t="s">
        <v>7</v>
      </c>
      <c r="G32" s="1">
        <v>4</v>
      </c>
      <c r="H32" s="1" t="s">
        <v>3989</v>
      </c>
      <c r="I32" s="16" t="s">
        <v>4025</v>
      </c>
    </row>
    <row r="33" spans="4:9" x14ac:dyDescent="0.25">
      <c r="D33" s="29" t="s">
        <v>3985</v>
      </c>
      <c r="E33" s="28" t="s">
        <v>105</v>
      </c>
      <c r="F33" s="28" t="s">
        <v>7</v>
      </c>
      <c r="G33" s="28">
        <v>-14379.46</v>
      </c>
      <c r="H33" s="28" t="s">
        <v>3990</v>
      </c>
      <c r="I33" s="30" t="s">
        <v>4023</v>
      </c>
    </row>
    <row r="34" spans="4:9" x14ac:dyDescent="0.25">
      <c r="D34" s="14" t="s">
        <v>3985</v>
      </c>
      <c r="E34" s="1" t="s">
        <v>3991</v>
      </c>
      <c r="F34" s="1" t="s">
        <v>7</v>
      </c>
      <c r="G34" s="1">
        <v>26.5</v>
      </c>
      <c r="H34" s="1" t="s">
        <v>3992</v>
      </c>
      <c r="I34" s="16" t="s">
        <v>4024</v>
      </c>
    </row>
    <row r="35" spans="4:9" x14ac:dyDescent="0.25">
      <c r="D35" s="14" t="s">
        <v>3985</v>
      </c>
      <c r="E35" s="1" t="s">
        <v>299</v>
      </c>
      <c r="F35" s="1" t="s">
        <v>7</v>
      </c>
      <c r="G35" s="1">
        <v>55</v>
      </c>
      <c r="H35" s="1" t="s">
        <v>3993</v>
      </c>
      <c r="I35" s="16" t="s">
        <v>4008</v>
      </c>
    </row>
    <row r="36" spans="4:9" x14ac:dyDescent="0.25">
      <c r="D36" s="29" t="s">
        <v>3994</v>
      </c>
      <c r="E36" s="28" t="s">
        <v>663</v>
      </c>
      <c r="F36" s="28" t="s">
        <v>7</v>
      </c>
      <c r="G36" s="28">
        <v>-0.3</v>
      </c>
      <c r="H36" s="28" t="s">
        <v>664</v>
      </c>
      <c r="I36" s="30" t="s">
        <v>2208</v>
      </c>
    </row>
    <row r="37" spans="4:9" x14ac:dyDescent="0.25">
      <c r="D37" s="14" t="s">
        <v>3994</v>
      </c>
      <c r="E37" s="1" t="s">
        <v>23</v>
      </c>
      <c r="F37" s="1" t="s">
        <v>7</v>
      </c>
      <c r="G37" s="1">
        <v>313.8</v>
      </c>
      <c r="H37" s="1" t="s">
        <v>3995</v>
      </c>
      <c r="I37" s="16" t="s">
        <v>2136</v>
      </c>
    </row>
    <row r="38" spans="4:9" x14ac:dyDescent="0.25">
      <c r="D38" s="14" t="s">
        <v>3994</v>
      </c>
      <c r="E38" s="1" t="s">
        <v>1841</v>
      </c>
      <c r="F38" s="1" t="s">
        <v>7</v>
      </c>
      <c r="G38" s="1">
        <v>70</v>
      </c>
      <c r="H38" s="1">
        <v>3310018</v>
      </c>
      <c r="I38" s="16" t="s">
        <v>3996</v>
      </c>
    </row>
    <row r="39" spans="4:9" x14ac:dyDescent="0.25">
      <c r="D39" s="14" t="s">
        <v>3994</v>
      </c>
      <c r="E39" s="1" t="s">
        <v>1841</v>
      </c>
      <c r="F39" s="1" t="s">
        <v>7</v>
      </c>
      <c r="G39" s="1">
        <v>31.8</v>
      </c>
      <c r="H39" s="1">
        <v>3428658</v>
      </c>
      <c r="I39" s="16" t="s">
        <v>3997</v>
      </c>
    </row>
    <row r="40" spans="4:9" ht="16.5" thickBot="1" x14ac:dyDescent="0.3">
      <c r="D40" s="25" t="s">
        <v>3994</v>
      </c>
      <c r="E40" s="18" t="s">
        <v>1841</v>
      </c>
      <c r="F40" s="18" t="s">
        <v>7</v>
      </c>
      <c r="G40" s="18">
        <v>30</v>
      </c>
      <c r="H40" s="18">
        <v>1958425</v>
      </c>
      <c r="I40" s="27" t="s">
        <v>4007</v>
      </c>
    </row>
  </sheetData>
  <pageMargins left="0.7" right="0.7" top="0.75" bottom="0.75" header="0.3" footer="0.3"/>
  <pageSetup paperSize="256" orientation="portrait" horizontalDpi="203" verticalDpi="203" r:id="rId1"/>
</worksheet>
</file>

<file path=xl/worksheets/sheet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6F05E9-850B-4D2F-BA10-0DD4D1ADBB57}">
  <sheetPr codeName="Hoja81"/>
  <dimension ref="D2:J19"/>
  <sheetViews>
    <sheetView workbookViewId="0">
      <selection activeCell="N22" sqref="N22"/>
    </sheetView>
  </sheetViews>
  <sheetFormatPr baseColWidth="10" defaultRowHeight="15.75" x14ac:dyDescent="0.25"/>
  <cols>
    <col min="4" max="4" width="11" style="3"/>
    <col min="5" max="5" width="24.75" style="3" customWidth="1"/>
    <col min="6" max="8" width="11" style="3"/>
    <col min="9" max="9" width="35.125" style="3" customWidth="1"/>
    <col min="10" max="10" width="11" style="3"/>
  </cols>
  <sheetData>
    <row r="2" spans="4:9" ht="16.5" thickBot="1" x14ac:dyDescent="0.3"/>
    <row r="3" spans="4:9" x14ac:dyDescent="0.25">
      <c r="D3" s="11" t="s">
        <v>0</v>
      </c>
      <c r="E3" s="12" t="s">
        <v>1</v>
      </c>
      <c r="F3" s="12" t="s">
        <v>2</v>
      </c>
      <c r="G3" s="12" t="s">
        <v>3</v>
      </c>
      <c r="H3" s="12" t="s">
        <v>4</v>
      </c>
      <c r="I3" s="13"/>
    </row>
    <row r="4" spans="4:9" x14ac:dyDescent="0.25">
      <c r="D4" s="14"/>
      <c r="E4" s="1"/>
      <c r="F4" s="1"/>
      <c r="G4" s="1"/>
      <c r="H4" s="1"/>
      <c r="I4" s="16"/>
    </row>
    <row r="5" spans="4:9" x14ac:dyDescent="0.25">
      <c r="D5" s="14" t="s">
        <v>4049</v>
      </c>
      <c r="E5" s="1" t="s">
        <v>23</v>
      </c>
      <c r="F5" s="1" t="s">
        <v>7</v>
      </c>
      <c r="G5" s="1">
        <v>10.75</v>
      </c>
      <c r="H5" s="1" t="s">
        <v>4069</v>
      </c>
      <c r="I5" s="16" t="s">
        <v>1632</v>
      </c>
    </row>
    <row r="6" spans="4:9" x14ac:dyDescent="0.25">
      <c r="D6" s="14" t="s">
        <v>4049</v>
      </c>
      <c r="E6" s="1" t="s">
        <v>240</v>
      </c>
      <c r="F6" s="1" t="s">
        <v>7</v>
      </c>
      <c r="G6" s="1">
        <v>231</v>
      </c>
      <c r="H6" s="1" t="s">
        <v>4070</v>
      </c>
      <c r="I6" s="16" t="s">
        <v>68</v>
      </c>
    </row>
    <row r="7" spans="4:9" x14ac:dyDescent="0.25">
      <c r="D7" s="14" t="s">
        <v>4049</v>
      </c>
      <c r="E7" s="1" t="s">
        <v>356</v>
      </c>
      <c r="F7" s="1" t="s">
        <v>7</v>
      </c>
      <c r="G7" s="1">
        <v>1960</v>
      </c>
      <c r="H7" s="1" t="s">
        <v>4071</v>
      </c>
      <c r="I7" s="16" t="s">
        <v>1194</v>
      </c>
    </row>
    <row r="8" spans="4:9" x14ac:dyDescent="0.25">
      <c r="D8" s="14" t="s">
        <v>4049</v>
      </c>
      <c r="E8" s="1" t="s">
        <v>23</v>
      </c>
      <c r="F8" s="1" t="s">
        <v>7</v>
      </c>
      <c r="G8" s="1">
        <v>360</v>
      </c>
      <c r="H8" s="1" t="s">
        <v>4072</v>
      </c>
      <c r="I8" s="16" t="s">
        <v>2200</v>
      </c>
    </row>
    <row r="9" spans="4:9" x14ac:dyDescent="0.25">
      <c r="D9" s="14" t="s">
        <v>4049</v>
      </c>
      <c r="E9" s="1" t="s">
        <v>3555</v>
      </c>
      <c r="F9" s="1" t="s">
        <v>7</v>
      </c>
      <c r="G9" s="1">
        <v>35</v>
      </c>
      <c r="H9" s="1" t="s">
        <v>4050</v>
      </c>
      <c r="I9" s="16" t="s">
        <v>3566</v>
      </c>
    </row>
    <row r="10" spans="4:9" x14ac:dyDescent="0.25">
      <c r="D10" s="14" t="s">
        <v>4049</v>
      </c>
      <c r="E10" s="1" t="s">
        <v>979</v>
      </c>
      <c r="F10" s="1" t="s">
        <v>7</v>
      </c>
      <c r="G10" s="1">
        <v>10.7</v>
      </c>
      <c r="H10" s="1" t="s">
        <v>4051</v>
      </c>
      <c r="I10" s="16" t="s">
        <v>4062</v>
      </c>
    </row>
    <row r="11" spans="4:9" x14ac:dyDescent="0.25">
      <c r="D11" s="14" t="s">
        <v>4049</v>
      </c>
      <c r="E11" s="1" t="s">
        <v>6</v>
      </c>
      <c r="F11" s="1" t="s">
        <v>7</v>
      </c>
      <c r="G11" s="1">
        <v>45</v>
      </c>
      <c r="H11" s="1" t="s">
        <v>4052</v>
      </c>
      <c r="I11" s="16" t="s">
        <v>4067</v>
      </c>
    </row>
    <row r="12" spans="4:9" x14ac:dyDescent="0.25">
      <c r="D12" s="14" t="s">
        <v>4049</v>
      </c>
      <c r="E12" s="1" t="s">
        <v>2734</v>
      </c>
      <c r="F12" s="1" t="s">
        <v>7</v>
      </c>
      <c r="G12" s="1">
        <v>45</v>
      </c>
      <c r="H12" s="1" t="s">
        <v>4053</v>
      </c>
      <c r="I12" s="16" t="s">
        <v>4063</v>
      </c>
    </row>
    <row r="13" spans="4:9" x14ac:dyDescent="0.25">
      <c r="D13" s="14" t="s">
        <v>4049</v>
      </c>
      <c r="E13" s="1" t="s">
        <v>23</v>
      </c>
      <c r="F13" s="1" t="s">
        <v>7</v>
      </c>
      <c r="G13" s="1">
        <v>1753.3</v>
      </c>
      <c r="H13" s="1" t="s">
        <v>4054</v>
      </c>
      <c r="I13" s="16" t="s">
        <v>552</v>
      </c>
    </row>
    <row r="14" spans="4:9" x14ac:dyDescent="0.25">
      <c r="D14" s="14" t="s">
        <v>4049</v>
      </c>
      <c r="E14" s="1" t="s">
        <v>6</v>
      </c>
      <c r="F14" s="1" t="s">
        <v>7</v>
      </c>
      <c r="G14" s="1">
        <v>335</v>
      </c>
      <c r="H14" s="1" t="s">
        <v>4055</v>
      </c>
      <c r="I14" s="16" t="s">
        <v>52</v>
      </c>
    </row>
    <row r="15" spans="4:9" x14ac:dyDescent="0.25">
      <c r="D15" s="14" t="s">
        <v>4049</v>
      </c>
      <c r="E15" s="1" t="s">
        <v>356</v>
      </c>
      <c r="F15" s="1" t="s">
        <v>7</v>
      </c>
      <c r="G15" s="1">
        <v>1750</v>
      </c>
      <c r="H15" s="1" t="s">
        <v>4056</v>
      </c>
      <c r="I15" s="16" t="s">
        <v>1388</v>
      </c>
    </row>
    <row r="16" spans="4:9" x14ac:dyDescent="0.25">
      <c r="D16" s="14" t="s">
        <v>4049</v>
      </c>
      <c r="E16" s="1" t="s">
        <v>23</v>
      </c>
      <c r="F16" s="1" t="s">
        <v>7</v>
      </c>
      <c r="G16" s="1">
        <v>747.4</v>
      </c>
      <c r="H16" s="1" t="s">
        <v>4057</v>
      </c>
      <c r="I16" s="16" t="s">
        <v>4066</v>
      </c>
    </row>
    <row r="17" spans="4:9" x14ac:dyDescent="0.25">
      <c r="D17" s="14" t="s">
        <v>4049</v>
      </c>
      <c r="E17" s="1" t="s">
        <v>9</v>
      </c>
      <c r="F17" s="1" t="s">
        <v>7</v>
      </c>
      <c r="G17" s="1">
        <v>289</v>
      </c>
      <c r="H17" s="1" t="s">
        <v>4058</v>
      </c>
      <c r="I17" s="16" t="s">
        <v>4065</v>
      </c>
    </row>
    <row r="18" spans="4:9" x14ac:dyDescent="0.25">
      <c r="D18" s="14" t="s">
        <v>4049</v>
      </c>
      <c r="E18" s="1" t="s">
        <v>4059</v>
      </c>
      <c r="F18" s="1" t="s">
        <v>7</v>
      </c>
      <c r="G18" s="1">
        <v>276</v>
      </c>
      <c r="H18" s="1" t="s">
        <v>4060</v>
      </c>
      <c r="I18" s="16" t="s">
        <v>4068</v>
      </c>
    </row>
    <row r="19" spans="4:9" ht="16.5" thickBot="1" x14ac:dyDescent="0.3">
      <c r="D19" s="25" t="s">
        <v>4049</v>
      </c>
      <c r="E19" s="18" t="s">
        <v>1259</v>
      </c>
      <c r="F19" s="18" t="s">
        <v>7</v>
      </c>
      <c r="G19" s="18">
        <v>3</v>
      </c>
      <c r="H19" s="18" t="s">
        <v>4061</v>
      </c>
      <c r="I19" s="27" t="s">
        <v>4064</v>
      </c>
    </row>
  </sheetData>
  <pageMargins left="0.7" right="0.7" top="0.75" bottom="0.75" header="0.3" footer="0.3"/>
</worksheet>
</file>

<file path=xl/worksheets/sheet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27B10F-8503-4106-95B0-8428EADC778D}">
  <sheetPr codeName="Hoja82"/>
  <dimension ref="D3:K40"/>
  <sheetViews>
    <sheetView topLeftCell="A13" workbookViewId="0">
      <selection activeCell="D23" sqref="D23:I24"/>
    </sheetView>
  </sheetViews>
  <sheetFormatPr baseColWidth="10" defaultRowHeight="15.75" x14ac:dyDescent="0.25"/>
  <cols>
    <col min="4" max="4" width="11" style="3"/>
    <col min="5" max="5" width="24.125" style="3" customWidth="1"/>
    <col min="6" max="7" width="11" style="3"/>
    <col min="8" max="8" width="22" style="3" customWidth="1"/>
    <col min="9" max="9" width="27.5" style="3" customWidth="1"/>
    <col min="10" max="11" width="11" style="3"/>
  </cols>
  <sheetData>
    <row r="3" spans="4:9" ht="16.5" thickBot="1" x14ac:dyDescent="0.3"/>
    <row r="4" spans="4:9" x14ac:dyDescent="0.25">
      <c r="D4" s="11" t="s">
        <v>0</v>
      </c>
      <c r="E4" s="12" t="s">
        <v>1</v>
      </c>
      <c r="F4" s="12" t="s">
        <v>2</v>
      </c>
      <c r="G4" s="12" t="s">
        <v>3</v>
      </c>
      <c r="H4" s="12" t="s">
        <v>4</v>
      </c>
      <c r="I4" s="13"/>
    </row>
    <row r="5" spans="4:9" x14ac:dyDescent="0.25">
      <c r="D5" s="14"/>
      <c r="E5" s="1"/>
      <c r="F5" s="1"/>
      <c r="G5" s="1"/>
      <c r="H5" s="1"/>
      <c r="I5" s="16"/>
    </row>
    <row r="6" spans="4:9" x14ac:dyDescent="0.25">
      <c r="D6" s="29" t="s">
        <v>4073</v>
      </c>
      <c r="E6" s="28" t="s">
        <v>3848</v>
      </c>
      <c r="F6" s="28" t="s">
        <v>7</v>
      </c>
      <c r="G6" s="28">
        <v>-4442.1099999999997</v>
      </c>
      <c r="H6" s="28" t="s">
        <v>4133</v>
      </c>
      <c r="I6" s="30" t="s">
        <v>4135</v>
      </c>
    </row>
    <row r="7" spans="4:9" x14ac:dyDescent="0.25">
      <c r="D7" s="14" t="s">
        <v>4073</v>
      </c>
      <c r="E7" s="1" t="s">
        <v>665</v>
      </c>
      <c r="F7" s="1" t="s">
        <v>7</v>
      </c>
      <c r="G7" s="1">
        <v>20</v>
      </c>
      <c r="H7" s="1" t="s">
        <v>4134</v>
      </c>
      <c r="I7" s="16" t="s">
        <v>3308</v>
      </c>
    </row>
    <row r="8" spans="4:9" x14ac:dyDescent="0.25">
      <c r="D8" s="14" t="s">
        <v>4073</v>
      </c>
      <c r="E8" s="1" t="s">
        <v>13</v>
      </c>
      <c r="F8" s="1" t="s">
        <v>7</v>
      </c>
      <c r="G8" s="1">
        <v>131</v>
      </c>
      <c r="H8" s="1" t="s">
        <v>4110</v>
      </c>
      <c r="I8" s="16" t="s">
        <v>68</v>
      </c>
    </row>
    <row r="9" spans="4:9" x14ac:dyDescent="0.25">
      <c r="D9" s="14" t="s">
        <v>4073</v>
      </c>
      <c r="E9" s="1" t="s">
        <v>370</v>
      </c>
      <c r="F9" s="1" t="s">
        <v>7</v>
      </c>
      <c r="G9" s="1">
        <v>45</v>
      </c>
      <c r="H9" s="1" t="s">
        <v>4111</v>
      </c>
      <c r="I9" s="16" t="s">
        <v>4123</v>
      </c>
    </row>
    <row r="10" spans="4:9" x14ac:dyDescent="0.25">
      <c r="D10" s="14" t="s">
        <v>4073</v>
      </c>
      <c r="E10" s="1" t="s">
        <v>3555</v>
      </c>
      <c r="F10" s="1" t="s">
        <v>7</v>
      </c>
      <c r="G10" s="1">
        <v>353.5</v>
      </c>
      <c r="H10" s="1" t="s">
        <v>4112</v>
      </c>
      <c r="I10" s="16" t="s">
        <v>3566</v>
      </c>
    </row>
    <row r="11" spans="4:9" x14ac:dyDescent="0.25">
      <c r="D11" s="14" t="s">
        <v>4073</v>
      </c>
      <c r="E11" s="1" t="s">
        <v>19</v>
      </c>
      <c r="F11" s="1" t="s">
        <v>7</v>
      </c>
      <c r="G11" s="1">
        <v>63</v>
      </c>
      <c r="H11" s="1" t="s">
        <v>4113</v>
      </c>
      <c r="I11" s="16" t="s">
        <v>4124</v>
      </c>
    </row>
    <row r="12" spans="4:9" x14ac:dyDescent="0.25">
      <c r="D12" s="14" t="s">
        <v>4073</v>
      </c>
      <c r="E12" s="1" t="s">
        <v>39</v>
      </c>
      <c r="F12" s="1" t="s">
        <v>7</v>
      </c>
      <c r="G12" s="1">
        <v>17</v>
      </c>
      <c r="H12" s="1" t="s">
        <v>4114</v>
      </c>
      <c r="I12" s="16" t="s">
        <v>4125</v>
      </c>
    </row>
    <row r="13" spans="4:9" x14ac:dyDescent="0.25">
      <c r="D13" s="29" t="s">
        <v>4073</v>
      </c>
      <c r="E13" s="28" t="s">
        <v>4100</v>
      </c>
      <c r="F13" s="28" t="s">
        <v>7</v>
      </c>
      <c r="G13" s="28">
        <v>-19.8</v>
      </c>
      <c r="H13" s="28" t="s">
        <v>4101</v>
      </c>
      <c r="I13" s="30" t="s">
        <v>4126</v>
      </c>
    </row>
    <row r="14" spans="4:9" x14ac:dyDescent="0.25">
      <c r="D14" s="29" t="s">
        <v>4073</v>
      </c>
      <c r="E14" s="28" t="s">
        <v>4102</v>
      </c>
      <c r="F14" s="28" t="s">
        <v>7</v>
      </c>
      <c r="G14" s="28">
        <v>-147</v>
      </c>
      <c r="H14" s="28" t="s">
        <v>4103</v>
      </c>
      <c r="I14" s="30" t="s">
        <v>4126</v>
      </c>
    </row>
    <row r="15" spans="4:9" x14ac:dyDescent="0.25">
      <c r="D15" s="29" t="s">
        <v>4073</v>
      </c>
      <c r="E15" s="28" t="s">
        <v>4104</v>
      </c>
      <c r="F15" s="28" t="s">
        <v>7</v>
      </c>
      <c r="G15" s="28">
        <v>-26.8</v>
      </c>
      <c r="H15" s="28" t="s">
        <v>4105</v>
      </c>
      <c r="I15" s="30" t="s">
        <v>4126</v>
      </c>
    </row>
    <row r="16" spans="4:9" x14ac:dyDescent="0.25">
      <c r="D16" s="29" t="s">
        <v>4073</v>
      </c>
      <c r="E16" s="28" t="s">
        <v>4106</v>
      </c>
      <c r="F16" s="28" t="s">
        <v>7</v>
      </c>
      <c r="G16" s="28">
        <v>-262</v>
      </c>
      <c r="H16" s="28" t="s">
        <v>4107</v>
      </c>
      <c r="I16" s="30" t="s">
        <v>4126</v>
      </c>
    </row>
    <row r="17" spans="4:9" x14ac:dyDescent="0.25">
      <c r="D17" s="29" t="s">
        <v>4073</v>
      </c>
      <c r="E17" s="28" t="s">
        <v>4108</v>
      </c>
      <c r="F17" s="28" t="s">
        <v>7</v>
      </c>
      <c r="G17" s="28">
        <v>-23.2</v>
      </c>
      <c r="H17" s="28" t="s">
        <v>4109</v>
      </c>
      <c r="I17" s="30" t="s">
        <v>4126</v>
      </c>
    </row>
    <row r="18" spans="4:9" x14ac:dyDescent="0.25">
      <c r="D18" s="29" t="s">
        <v>4073</v>
      </c>
      <c r="E18" s="28" t="s">
        <v>4074</v>
      </c>
      <c r="F18" s="28" t="s">
        <v>7</v>
      </c>
      <c r="G18" s="28">
        <v>-2059</v>
      </c>
      <c r="H18" s="28" t="s">
        <v>4075</v>
      </c>
      <c r="I18" s="30" t="s">
        <v>4127</v>
      </c>
    </row>
    <row r="19" spans="4:9" x14ac:dyDescent="0.25">
      <c r="D19" s="29" t="s">
        <v>4073</v>
      </c>
      <c r="E19" s="28" t="s">
        <v>4076</v>
      </c>
      <c r="F19" s="28" t="s">
        <v>7</v>
      </c>
      <c r="G19" s="28">
        <v>-407</v>
      </c>
      <c r="H19" s="28" t="s">
        <v>4077</v>
      </c>
      <c r="I19" s="30" t="s">
        <v>4128</v>
      </c>
    </row>
    <row r="20" spans="4:9" x14ac:dyDescent="0.25">
      <c r="D20" s="14" t="s">
        <v>4073</v>
      </c>
      <c r="E20" s="1" t="s">
        <v>299</v>
      </c>
      <c r="F20" s="1" t="s">
        <v>7</v>
      </c>
      <c r="G20" s="1">
        <v>4</v>
      </c>
      <c r="H20" s="1" t="s">
        <v>4078</v>
      </c>
      <c r="I20" s="16" t="s">
        <v>413</v>
      </c>
    </row>
    <row r="21" spans="4:9" x14ac:dyDescent="0.25">
      <c r="D21" s="14" t="s">
        <v>4073</v>
      </c>
      <c r="E21" s="1" t="s">
        <v>4079</v>
      </c>
      <c r="F21" s="1" t="s">
        <v>7</v>
      </c>
      <c r="G21" s="1">
        <v>3</v>
      </c>
      <c r="H21" s="1" t="s">
        <v>4080</v>
      </c>
      <c r="I21" s="16" t="s">
        <v>4122</v>
      </c>
    </row>
    <row r="22" spans="4:9" x14ac:dyDescent="0.25">
      <c r="D22" s="14" t="s">
        <v>4073</v>
      </c>
      <c r="E22" s="1" t="s">
        <v>4081</v>
      </c>
      <c r="F22" s="1" t="s">
        <v>7</v>
      </c>
      <c r="G22" s="1">
        <v>13</v>
      </c>
      <c r="H22" s="1" t="s">
        <v>4082</v>
      </c>
      <c r="I22" s="16" t="s">
        <v>4121</v>
      </c>
    </row>
    <row r="23" spans="4:9" x14ac:dyDescent="0.25">
      <c r="D23" s="29" t="s">
        <v>4073</v>
      </c>
      <c r="E23" s="28" t="s">
        <v>4083</v>
      </c>
      <c r="F23" s="28" t="s">
        <v>7</v>
      </c>
      <c r="G23" s="28">
        <v>-1917</v>
      </c>
      <c r="H23" s="28" t="s">
        <v>4084</v>
      </c>
      <c r="I23" s="30" t="s">
        <v>4136</v>
      </c>
    </row>
    <row r="24" spans="4:9" x14ac:dyDescent="0.25">
      <c r="D24" s="29" t="s">
        <v>4073</v>
      </c>
      <c r="E24" s="28" t="s">
        <v>4085</v>
      </c>
      <c r="F24" s="28" t="s">
        <v>7</v>
      </c>
      <c r="G24" s="28">
        <v>-225</v>
      </c>
      <c r="H24" s="28" t="s">
        <v>4086</v>
      </c>
      <c r="I24" s="30" t="s">
        <v>4136</v>
      </c>
    </row>
    <row r="25" spans="4:9" x14ac:dyDescent="0.25">
      <c r="D25" s="14" t="s">
        <v>4073</v>
      </c>
      <c r="E25" s="1" t="s">
        <v>13</v>
      </c>
      <c r="F25" s="1" t="s">
        <v>7</v>
      </c>
      <c r="G25" s="1">
        <v>195</v>
      </c>
      <c r="H25" s="1" t="s">
        <v>4087</v>
      </c>
      <c r="I25" s="16" t="s">
        <v>4120</v>
      </c>
    </row>
    <row r="26" spans="4:9" x14ac:dyDescent="0.25">
      <c r="D26" s="14" t="s">
        <v>4073</v>
      </c>
      <c r="E26" s="1" t="s">
        <v>655</v>
      </c>
      <c r="F26" s="1" t="s">
        <v>7</v>
      </c>
      <c r="G26" s="1">
        <v>9.5</v>
      </c>
      <c r="H26" s="1" t="s">
        <v>4088</v>
      </c>
      <c r="I26" s="16" t="s">
        <v>4119</v>
      </c>
    </row>
    <row r="27" spans="4:9" x14ac:dyDescent="0.25">
      <c r="D27" s="14" t="s">
        <v>4073</v>
      </c>
      <c r="E27" s="1" t="s">
        <v>655</v>
      </c>
      <c r="F27" s="1" t="s">
        <v>7</v>
      </c>
      <c r="G27" s="1">
        <v>15</v>
      </c>
      <c r="H27" s="1" t="s">
        <v>4089</v>
      </c>
      <c r="I27" s="16" t="s">
        <v>4118</v>
      </c>
    </row>
    <row r="28" spans="4:9" x14ac:dyDescent="0.25">
      <c r="D28" s="14" t="s">
        <v>4073</v>
      </c>
      <c r="E28" s="1" t="s">
        <v>960</v>
      </c>
      <c r="F28" s="1" t="s">
        <v>7</v>
      </c>
      <c r="G28" s="1">
        <v>32</v>
      </c>
      <c r="H28" s="1" t="s">
        <v>4090</v>
      </c>
      <c r="I28" s="16" t="s">
        <v>4129</v>
      </c>
    </row>
    <row r="29" spans="4:9" x14ac:dyDescent="0.25">
      <c r="D29" s="14" t="s">
        <v>4073</v>
      </c>
      <c r="E29" s="1" t="s">
        <v>509</v>
      </c>
      <c r="F29" s="1" t="s">
        <v>7</v>
      </c>
      <c r="G29" s="1">
        <v>38</v>
      </c>
      <c r="H29" s="1" t="s">
        <v>4091</v>
      </c>
      <c r="I29" s="16" t="s">
        <v>4117</v>
      </c>
    </row>
    <row r="30" spans="4:9" x14ac:dyDescent="0.25">
      <c r="D30" s="14" t="s">
        <v>4073</v>
      </c>
      <c r="E30" s="1" t="s">
        <v>295</v>
      </c>
      <c r="F30" s="1" t="s">
        <v>7</v>
      </c>
      <c r="G30" s="1">
        <v>274.5</v>
      </c>
      <c r="H30" s="1" t="s">
        <v>4092</v>
      </c>
      <c r="I30" s="16" t="s">
        <v>4116</v>
      </c>
    </row>
    <row r="31" spans="4:9" x14ac:dyDescent="0.25">
      <c r="D31" s="14" t="s">
        <v>4073</v>
      </c>
      <c r="E31" s="1" t="s">
        <v>295</v>
      </c>
      <c r="F31" s="1" t="s">
        <v>7</v>
      </c>
      <c r="G31" s="1">
        <v>80</v>
      </c>
      <c r="H31" s="1" t="s">
        <v>4093</v>
      </c>
      <c r="I31" s="16" t="s">
        <v>4116</v>
      </c>
    </row>
    <row r="32" spans="4:9" x14ac:dyDescent="0.25">
      <c r="D32" s="14" t="s">
        <v>4073</v>
      </c>
      <c r="E32" s="1" t="s">
        <v>183</v>
      </c>
      <c r="F32" s="1" t="s">
        <v>7</v>
      </c>
      <c r="G32" s="1">
        <v>12</v>
      </c>
      <c r="H32" s="1" t="s">
        <v>4094</v>
      </c>
      <c r="I32" s="16" t="s">
        <v>660</v>
      </c>
    </row>
    <row r="33" spans="4:9" x14ac:dyDescent="0.25">
      <c r="D33" s="14" t="s">
        <v>4073</v>
      </c>
      <c r="E33" s="1" t="s">
        <v>122</v>
      </c>
      <c r="F33" s="1" t="s">
        <v>7</v>
      </c>
      <c r="G33" s="1">
        <v>14</v>
      </c>
      <c r="H33" s="1" t="s">
        <v>4095</v>
      </c>
      <c r="I33" s="16" t="s">
        <v>4130</v>
      </c>
    </row>
    <row r="34" spans="4:9" x14ac:dyDescent="0.25">
      <c r="D34" s="14" t="s">
        <v>4073</v>
      </c>
      <c r="E34" s="1" t="s">
        <v>3555</v>
      </c>
      <c r="F34" s="1" t="s">
        <v>7</v>
      </c>
      <c r="G34" s="1">
        <v>135</v>
      </c>
      <c r="H34" s="1" t="s">
        <v>4096</v>
      </c>
      <c r="I34" s="16" t="s">
        <v>3566</v>
      </c>
    </row>
    <row r="35" spans="4:9" x14ac:dyDescent="0.25">
      <c r="D35" s="14" t="s">
        <v>4073</v>
      </c>
      <c r="E35" s="1" t="s">
        <v>2734</v>
      </c>
      <c r="F35" s="1" t="s">
        <v>7</v>
      </c>
      <c r="G35" s="1">
        <v>197</v>
      </c>
      <c r="H35" s="1" t="s">
        <v>4097</v>
      </c>
      <c r="I35" s="16" t="s">
        <v>4115</v>
      </c>
    </row>
    <row r="36" spans="4:9" x14ac:dyDescent="0.25">
      <c r="D36" s="14" t="s">
        <v>4073</v>
      </c>
      <c r="E36" s="1" t="s">
        <v>164</v>
      </c>
      <c r="F36" s="1" t="s">
        <v>7</v>
      </c>
      <c r="G36" s="1">
        <v>9</v>
      </c>
      <c r="H36" s="1" t="s">
        <v>4098</v>
      </c>
      <c r="I36" s="16" t="s">
        <v>4131</v>
      </c>
    </row>
    <row r="37" spans="4:9" x14ac:dyDescent="0.25">
      <c r="D37" s="14" t="s">
        <v>4073</v>
      </c>
      <c r="E37" s="1" t="s">
        <v>164</v>
      </c>
      <c r="F37" s="1" t="s">
        <v>7</v>
      </c>
      <c r="G37" s="1">
        <v>11</v>
      </c>
      <c r="H37" s="1" t="s">
        <v>4099</v>
      </c>
      <c r="I37" s="16" t="s">
        <v>4132</v>
      </c>
    </row>
    <row r="38" spans="4:9" x14ac:dyDescent="0.25">
      <c r="D38" s="14" t="s">
        <v>4073</v>
      </c>
      <c r="E38" s="1" t="s">
        <v>509</v>
      </c>
      <c r="F38" s="1" t="s">
        <v>7</v>
      </c>
      <c r="G38" s="1">
        <v>287.5</v>
      </c>
      <c r="H38" s="1">
        <v>435051</v>
      </c>
      <c r="I38" s="16" t="s">
        <v>660</v>
      </c>
    </row>
    <row r="39" spans="4:9" x14ac:dyDescent="0.25">
      <c r="D39" s="14" t="s">
        <v>4073</v>
      </c>
      <c r="E39" s="1" t="s">
        <v>122</v>
      </c>
      <c r="F39" s="1" t="s">
        <v>7</v>
      </c>
      <c r="G39" s="1">
        <v>349.2</v>
      </c>
      <c r="H39" s="1"/>
      <c r="I39" s="16" t="s">
        <v>3965</v>
      </c>
    </row>
    <row r="40" spans="4:9" ht="16.5" thickBot="1" x14ac:dyDescent="0.3">
      <c r="D40" s="25" t="s">
        <v>4073</v>
      </c>
      <c r="E40" s="18" t="s">
        <v>122</v>
      </c>
      <c r="F40" s="18" t="s">
        <v>7</v>
      </c>
      <c r="G40" s="18">
        <v>33.5</v>
      </c>
      <c r="H40" s="18">
        <v>623944</v>
      </c>
      <c r="I40" s="27" t="s">
        <v>413</v>
      </c>
    </row>
  </sheetData>
  <pageMargins left="0.7" right="0.7" top="0.75" bottom="0.75" header="0.3" footer="0.3"/>
  <pageSetup paperSize="256" orientation="portrait" horizontalDpi="203" verticalDpi="203" r:id="rId1"/>
</worksheet>
</file>

<file path=xl/worksheets/sheet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6F7F82-EE8D-40D7-AED9-68C1A591381D}">
  <sheetPr codeName="Hoja83"/>
  <dimension ref="C3:I29"/>
  <sheetViews>
    <sheetView workbookViewId="0">
      <selection activeCell="B2" sqref="B2:I30"/>
    </sheetView>
  </sheetViews>
  <sheetFormatPr baseColWidth="10" defaultRowHeight="15.75" x14ac:dyDescent="0.25"/>
  <cols>
    <col min="2" max="2" width="11.75" customWidth="1"/>
    <col min="3" max="3" width="11" style="3"/>
    <col min="4" max="4" width="21" style="3" customWidth="1"/>
    <col min="5" max="6" width="11" style="3"/>
    <col min="7" max="7" width="22.375" style="3" customWidth="1"/>
    <col min="8" max="8" width="28.25" style="3" bestFit="1" customWidth="1"/>
    <col min="9" max="9" width="11" style="3"/>
  </cols>
  <sheetData>
    <row r="3" spans="3:8" x14ac:dyDescent="0.25">
      <c r="C3" s="7" t="s">
        <v>0</v>
      </c>
      <c r="D3" s="7" t="s">
        <v>1</v>
      </c>
      <c r="E3" s="7" t="s">
        <v>2</v>
      </c>
      <c r="F3" s="7" t="s">
        <v>3</v>
      </c>
      <c r="G3" s="7" t="s">
        <v>4</v>
      </c>
      <c r="H3" s="1"/>
    </row>
    <row r="4" spans="3:8" x14ac:dyDescent="0.25">
      <c r="C4" s="1"/>
      <c r="D4" s="1"/>
      <c r="E4" s="1"/>
      <c r="F4" s="1"/>
      <c r="G4" s="1"/>
      <c r="H4" s="1"/>
    </row>
    <row r="5" spans="3:8" x14ac:dyDescent="0.25">
      <c r="C5" s="1" t="s">
        <v>4137</v>
      </c>
      <c r="D5" s="1" t="s">
        <v>325</v>
      </c>
      <c r="E5" s="1" t="s">
        <v>7</v>
      </c>
      <c r="F5" s="1">
        <v>10</v>
      </c>
      <c r="G5" s="1" t="s">
        <v>4172</v>
      </c>
      <c r="H5" s="1" t="s">
        <v>4173</v>
      </c>
    </row>
    <row r="6" spans="3:8" x14ac:dyDescent="0.25">
      <c r="C6" s="1" t="s">
        <v>4137</v>
      </c>
      <c r="D6" s="1" t="s">
        <v>240</v>
      </c>
      <c r="E6" s="1" t="s">
        <v>7</v>
      </c>
      <c r="F6" s="1">
        <v>105</v>
      </c>
      <c r="G6" s="1" t="s">
        <v>4168</v>
      </c>
      <c r="H6" s="1" t="s">
        <v>68</v>
      </c>
    </row>
    <row r="7" spans="3:8" x14ac:dyDescent="0.25">
      <c r="C7" s="1" t="s">
        <v>4137</v>
      </c>
      <c r="D7" s="1" t="s">
        <v>190</v>
      </c>
      <c r="E7" s="1" t="s">
        <v>7</v>
      </c>
      <c r="F7" s="1">
        <v>120</v>
      </c>
      <c r="G7" s="1" t="s">
        <v>4169</v>
      </c>
      <c r="H7" s="1" t="s">
        <v>4171</v>
      </c>
    </row>
    <row r="8" spans="3:8" x14ac:dyDescent="0.25">
      <c r="C8" s="1" t="s">
        <v>4137</v>
      </c>
      <c r="D8" s="1" t="s">
        <v>23</v>
      </c>
      <c r="E8" s="1" t="s">
        <v>7</v>
      </c>
      <c r="F8" s="1">
        <v>3622</v>
      </c>
      <c r="G8" s="1" t="s">
        <v>4170</v>
      </c>
      <c r="H8" s="1" t="s">
        <v>68</v>
      </c>
    </row>
    <row r="9" spans="3:8" x14ac:dyDescent="0.25">
      <c r="C9" s="28" t="s">
        <v>4137</v>
      </c>
      <c r="D9" s="28" t="s">
        <v>2530</v>
      </c>
      <c r="E9" s="28" t="s">
        <v>7</v>
      </c>
      <c r="F9" s="28">
        <v>-3906.77</v>
      </c>
      <c r="G9" s="28" t="s">
        <v>4138</v>
      </c>
      <c r="H9" s="28" t="s">
        <v>4164</v>
      </c>
    </row>
    <row r="10" spans="3:8" x14ac:dyDescent="0.25">
      <c r="C10" s="1" t="s">
        <v>4137</v>
      </c>
      <c r="D10" s="1" t="s">
        <v>23</v>
      </c>
      <c r="E10" s="1" t="s">
        <v>7</v>
      </c>
      <c r="F10" s="1">
        <v>3200</v>
      </c>
      <c r="G10" s="1" t="s">
        <v>4139</v>
      </c>
      <c r="H10" s="1" t="s">
        <v>210</v>
      </c>
    </row>
    <row r="11" spans="3:8" x14ac:dyDescent="0.25">
      <c r="C11" s="1" t="s">
        <v>4137</v>
      </c>
      <c r="D11" s="1" t="s">
        <v>295</v>
      </c>
      <c r="E11" s="1" t="s">
        <v>7</v>
      </c>
      <c r="F11" s="1">
        <v>76</v>
      </c>
      <c r="G11" s="1" t="s">
        <v>4140</v>
      </c>
      <c r="H11" s="1" t="s">
        <v>4116</v>
      </c>
    </row>
    <row r="12" spans="3:8" x14ac:dyDescent="0.25">
      <c r="C12" s="1" t="s">
        <v>4137</v>
      </c>
      <c r="D12" s="1" t="s">
        <v>398</v>
      </c>
      <c r="E12" s="1" t="s">
        <v>7</v>
      </c>
      <c r="F12" s="1">
        <v>12</v>
      </c>
      <c r="G12" s="1" t="s">
        <v>4141</v>
      </c>
      <c r="H12" s="1" t="s">
        <v>4163</v>
      </c>
    </row>
    <row r="13" spans="3:8" x14ac:dyDescent="0.25">
      <c r="C13" s="1" t="s">
        <v>4137</v>
      </c>
      <c r="D13" s="1" t="s">
        <v>23</v>
      </c>
      <c r="E13" s="1" t="s">
        <v>7</v>
      </c>
      <c r="F13" s="1">
        <v>676.5</v>
      </c>
      <c r="G13" s="1" t="s">
        <v>4142</v>
      </c>
      <c r="H13" s="1" t="s">
        <v>590</v>
      </c>
    </row>
    <row r="14" spans="3:8" x14ac:dyDescent="0.25">
      <c r="C14" s="1" t="s">
        <v>4137</v>
      </c>
      <c r="D14" s="1" t="s">
        <v>23</v>
      </c>
      <c r="E14" s="1" t="s">
        <v>7</v>
      </c>
      <c r="F14" s="1">
        <v>220</v>
      </c>
      <c r="G14" s="1" t="s">
        <v>4143</v>
      </c>
      <c r="H14" s="1" t="s">
        <v>738</v>
      </c>
    </row>
    <row r="15" spans="3:8" x14ac:dyDescent="0.25">
      <c r="C15" s="1" t="s">
        <v>4137</v>
      </c>
      <c r="D15" s="1" t="s">
        <v>24</v>
      </c>
      <c r="E15" s="1" t="s">
        <v>7</v>
      </c>
      <c r="F15" s="1">
        <v>50</v>
      </c>
      <c r="G15" s="1" t="s">
        <v>4144</v>
      </c>
      <c r="H15" s="1" t="s">
        <v>52</v>
      </c>
    </row>
    <row r="16" spans="3:8" x14ac:dyDescent="0.25">
      <c r="C16" s="1" t="s">
        <v>4137</v>
      </c>
      <c r="D16" s="1" t="s">
        <v>6</v>
      </c>
      <c r="E16" s="1" t="s">
        <v>7</v>
      </c>
      <c r="F16" s="1">
        <v>58.5</v>
      </c>
      <c r="G16" s="1" t="s">
        <v>4145</v>
      </c>
      <c r="H16" s="1" t="s">
        <v>52</v>
      </c>
    </row>
    <row r="17" spans="3:8" x14ac:dyDescent="0.25">
      <c r="C17" s="1" t="s">
        <v>4137</v>
      </c>
      <c r="D17" s="1" t="s">
        <v>95</v>
      </c>
      <c r="E17" s="1" t="s">
        <v>7</v>
      </c>
      <c r="F17" s="1">
        <v>12</v>
      </c>
      <c r="G17" s="1" t="s">
        <v>4146</v>
      </c>
      <c r="H17" s="1" t="s">
        <v>4163</v>
      </c>
    </row>
    <row r="18" spans="3:8" x14ac:dyDescent="0.25">
      <c r="C18" s="1" t="s">
        <v>4137</v>
      </c>
      <c r="D18" s="1" t="s">
        <v>370</v>
      </c>
      <c r="E18" s="1" t="s">
        <v>7</v>
      </c>
      <c r="F18" s="1">
        <v>38</v>
      </c>
      <c r="G18" s="1" t="s">
        <v>4147</v>
      </c>
      <c r="H18" s="1" t="s">
        <v>4167</v>
      </c>
    </row>
    <row r="19" spans="3:8" x14ac:dyDescent="0.25">
      <c r="C19" s="1" t="s">
        <v>4137</v>
      </c>
      <c r="D19" s="1" t="s">
        <v>19</v>
      </c>
      <c r="E19" s="1" t="s">
        <v>7</v>
      </c>
      <c r="F19" s="1">
        <v>5</v>
      </c>
      <c r="G19" s="1" t="s">
        <v>4148</v>
      </c>
      <c r="H19" s="1" t="s">
        <v>4162</v>
      </c>
    </row>
    <row r="20" spans="3:8" x14ac:dyDescent="0.25">
      <c r="C20" s="1" t="s">
        <v>4137</v>
      </c>
      <c r="D20" s="1" t="s">
        <v>23</v>
      </c>
      <c r="E20" s="1" t="s">
        <v>7</v>
      </c>
      <c r="F20" s="1">
        <v>3825</v>
      </c>
      <c r="G20" s="1" t="s">
        <v>4149</v>
      </c>
      <c r="H20" s="1" t="s">
        <v>552</v>
      </c>
    </row>
    <row r="21" spans="3:8" x14ac:dyDescent="0.25">
      <c r="C21" s="1" t="s">
        <v>4137</v>
      </c>
      <c r="D21" s="1" t="s">
        <v>382</v>
      </c>
      <c r="E21" s="1" t="s">
        <v>7</v>
      </c>
      <c r="F21" s="1">
        <v>9</v>
      </c>
      <c r="G21" s="1" t="s">
        <v>4150</v>
      </c>
      <c r="H21" s="1" t="s">
        <v>4161</v>
      </c>
    </row>
    <row r="22" spans="3:8" x14ac:dyDescent="0.25">
      <c r="C22" s="1" t="s">
        <v>4137</v>
      </c>
      <c r="D22" s="1" t="s">
        <v>284</v>
      </c>
      <c r="E22" s="1" t="s">
        <v>7</v>
      </c>
      <c r="F22" s="1">
        <v>10</v>
      </c>
      <c r="G22" s="1" t="s">
        <v>4151</v>
      </c>
      <c r="H22" s="1" t="s">
        <v>4166</v>
      </c>
    </row>
    <row r="23" spans="3:8" x14ac:dyDescent="0.25">
      <c r="C23" s="1" t="s">
        <v>4137</v>
      </c>
      <c r="D23" s="1" t="s">
        <v>284</v>
      </c>
      <c r="E23" s="1" t="s">
        <v>7</v>
      </c>
      <c r="F23" s="1">
        <v>6.5</v>
      </c>
      <c r="G23" s="1" t="s">
        <v>4152</v>
      </c>
      <c r="H23" s="1" t="s">
        <v>4165</v>
      </c>
    </row>
    <row r="24" spans="3:8" x14ac:dyDescent="0.25">
      <c r="C24" s="28" t="s">
        <v>4137</v>
      </c>
      <c r="D24" s="28" t="s">
        <v>598</v>
      </c>
      <c r="E24" s="28" t="s">
        <v>7</v>
      </c>
      <c r="F24" s="28">
        <v>-14866.4</v>
      </c>
      <c r="G24" s="28" t="s">
        <v>4153</v>
      </c>
      <c r="H24" s="28" t="s">
        <v>4159</v>
      </c>
    </row>
    <row r="25" spans="3:8" x14ac:dyDescent="0.25">
      <c r="C25" s="1" t="s">
        <v>4137</v>
      </c>
      <c r="D25" s="1" t="s">
        <v>356</v>
      </c>
      <c r="E25" s="1" t="s">
        <v>7</v>
      </c>
      <c r="F25" s="1">
        <v>174</v>
      </c>
      <c r="G25" s="1" t="s">
        <v>4154</v>
      </c>
      <c r="H25" s="1" t="s">
        <v>3570</v>
      </c>
    </row>
    <row r="26" spans="3:8" x14ac:dyDescent="0.25">
      <c r="C26" s="28" t="s">
        <v>4137</v>
      </c>
      <c r="D26" s="28" t="s">
        <v>105</v>
      </c>
      <c r="E26" s="28" t="s">
        <v>7</v>
      </c>
      <c r="F26" s="28">
        <v>-4260.33</v>
      </c>
      <c r="G26" s="28" t="s">
        <v>4155</v>
      </c>
      <c r="H26" s="28" t="s">
        <v>4158</v>
      </c>
    </row>
    <row r="27" spans="3:8" x14ac:dyDescent="0.25">
      <c r="C27" s="28" t="s">
        <v>4137</v>
      </c>
      <c r="D27" s="28" t="s">
        <v>3143</v>
      </c>
      <c r="E27" s="28" t="s">
        <v>7</v>
      </c>
      <c r="F27" s="28">
        <v>-25</v>
      </c>
      <c r="G27" s="28" t="s">
        <v>4156</v>
      </c>
      <c r="H27" s="28" t="s">
        <v>4157</v>
      </c>
    </row>
    <row r="28" spans="3:8" x14ac:dyDescent="0.25">
      <c r="C28" s="1"/>
      <c r="D28" s="1"/>
      <c r="E28" s="1"/>
      <c r="F28" s="1"/>
      <c r="G28" s="1"/>
      <c r="H28" s="1"/>
    </row>
    <row r="29" spans="3:8" x14ac:dyDescent="0.25">
      <c r="C29" s="1" t="s">
        <v>4137</v>
      </c>
      <c r="D29" s="1" t="s">
        <v>1315</v>
      </c>
      <c r="E29" s="1" t="s">
        <v>7</v>
      </c>
      <c r="F29" s="1">
        <v>403.72</v>
      </c>
      <c r="G29" s="1" t="s">
        <v>1315</v>
      </c>
      <c r="H29" s="1" t="s">
        <v>4160</v>
      </c>
    </row>
  </sheetData>
  <pageMargins left="0.7" right="0.7" top="0.75" bottom="0.75" header="0.3" footer="0.3"/>
  <pageSetup paperSize="256" orientation="portrait" horizontalDpi="203" verticalDpi="203" r:id="rId1"/>
</worksheet>
</file>

<file path=xl/worksheets/sheet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FE9101-6FD3-44B4-B2DF-51CC216423EB}">
  <sheetPr codeName="Hoja84"/>
  <dimension ref="D3:K41"/>
  <sheetViews>
    <sheetView topLeftCell="A4" workbookViewId="0">
      <selection activeCell="I16" sqref="I16"/>
    </sheetView>
  </sheetViews>
  <sheetFormatPr baseColWidth="10" defaultRowHeight="15.75" x14ac:dyDescent="0.25"/>
  <cols>
    <col min="4" max="4" width="11" style="3"/>
    <col min="5" max="5" width="25.375" style="3" customWidth="1"/>
    <col min="6" max="7" width="11" style="3"/>
    <col min="8" max="8" width="19.75" style="3" customWidth="1"/>
    <col min="9" max="9" width="36" style="3" customWidth="1"/>
    <col min="10" max="10" width="11" style="3"/>
  </cols>
  <sheetData>
    <row r="3" spans="4:9" ht="16.5" thickBot="1" x14ac:dyDescent="0.3"/>
    <row r="4" spans="4:9" x14ac:dyDescent="0.25">
      <c r="D4" s="11" t="s">
        <v>0</v>
      </c>
      <c r="E4" s="12" t="s">
        <v>1</v>
      </c>
      <c r="F4" s="12" t="s">
        <v>2</v>
      </c>
      <c r="G4" s="12" t="s">
        <v>3</v>
      </c>
      <c r="H4" s="12" t="s">
        <v>4</v>
      </c>
      <c r="I4" s="13"/>
    </row>
    <row r="5" spans="4:9" x14ac:dyDescent="0.25">
      <c r="D5" s="14"/>
      <c r="E5" s="1"/>
      <c r="F5" s="1"/>
      <c r="G5" s="1"/>
      <c r="H5" s="1"/>
      <c r="I5" s="16"/>
    </row>
    <row r="6" spans="4:9" x14ac:dyDescent="0.25">
      <c r="D6" s="3" t="s">
        <v>4174</v>
      </c>
      <c r="E6" s="3" t="s">
        <v>23</v>
      </c>
      <c r="F6" s="3" t="s">
        <v>7</v>
      </c>
      <c r="G6" s="3">
        <v>1204</v>
      </c>
      <c r="H6" s="3" t="s">
        <v>4244</v>
      </c>
      <c r="I6" s="16" t="s">
        <v>590</v>
      </c>
    </row>
    <row r="7" spans="4:9" x14ac:dyDescent="0.25">
      <c r="D7" s="29" t="s">
        <v>4174</v>
      </c>
      <c r="E7" s="28" t="s">
        <v>472</v>
      </c>
      <c r="F7" s="28" t="s">
        <v>7</v>
      </c>
      <c r="G7" s="28">
        <v>-3089.2</v>
      </c>
      <c r="H7" s="28" t="s">
        <v>4226</v>
      </c>
      <c r="I7" s="30" t="s">
        <v>4229</v>
      </c>
    </row>
    <row r="8" spans="4:9" x14ac:dyDescent="0.25">
      <c r="D8" s="14" t="s">
        <v>4174</v>
      </c>
      <c r="E8" s="1" t="s">
        <v>472</v>
      </c>
      <c r="F8" s="1" t="s">
        <v>7</v>
      </c>
      <c r="G8" s="1">
        <v>4542.7</v>
      </c>
      <c r="H8" s="1" t="s">
        <v>4227</v>
      </c>
      <c r="I8" s="16" t="s">
        <v>575</v>
      </c>
    </row>
    <row r="9" spans="4:9" x14ac:dyDescent="0.25">
      <c r="D9" s="14" t="s">
        <v>4174</v>
      </c>
      <c r="E9" s="1" t="s">
        <v>23</v>
      </c>
      <c r="F9" s="1" t="s">
        <v>7</v>
      </c>
      <c r="G9" s="1">
        <v>1717.8</v>
      </c>
      <c r="H9" s="1" t="s">
        <v>4228</v>
      </c>
      <c r="I9" s="16" t="s">
        <v>3167</v>
      </c>
    </row>
    <row r="10" spans="4:9" x14ac:dyDescent="0.25">
      <c r="D10" s="14" t="s">
        <v>4174</v>
      </c>
      <c r="E10" s="1" t="s">
        <v>519</v>
      </c>
      <c r="F10" s="1" t="s">
        <v>7</v>
      </c>
      <c r="G10" s="1">
        <v>100</v>
      </c>
      <c r="H10" s="1" t="s">
        <v>4223</v>
      </c>
      <c r="I10" s="16" t="s">
        <v>4230</v>
      </c>
    </row>
    <row r="11" spans="4:9" x14ac:dyDescent="0.25">
      <c r="D11" s="33" t="s">
        <v>4174</v>
      </c>
      <c r="E11" s="4" t="s">
        <v>240</v>
      </c>
      <c r="F11" s="4" t="s">
        <v>7</v>
      </c>
      <c r="G11" s="4">
        <v>203</v>
      </c>
      <c r="H11" s="4" t="s">
        <v>4224</v>
      </c>
      <c r="I11" s="34"/>
    </row>
    <row r="12" spans="4:9" x14ac:dyDescent="0.25">
      <c r="D12" s="14" t="s">
        <v>4174</v>
      </c>
      <c r="E12" s="1" t="s">
        <v>23</v>
      </c>
      <c r="F12" s="1" t="s">
        <v>7</v>
      </c>
      <c r="G12" s="1">
        <v>4000</v>
      </c>
      <c r="H12" s="1" t="s">
        <v>4225</v>
      </c>
      <c r="I12" s="16" t="s">
        <v>1388</v>
      </c>
    </row>
    <row r="13" spans="4:9" x14ac:dyDescent="0.25">
      <c r="D13" s="14" t="s">
        <v>4174</v>
      </c>
      <c r="E13" s="1" t="s">
        <v>23</v>
      </c>
      <c r="F13" s="1" t="s">
        <v>7</v>
      </c>
      <c r="G13" s="1">
        <v>217.5</v>
      </c>
      <c r="H13" s="1" t="s">
        <v>4188</v>
      </c>
      <c r="I13" s="16" t="s">
        <v>2552</v>
      </c>
    </row>
    <row r="14" spans="4:9" x14ac:dyDescent="0.25">
      <c r="D14" s="14" t="s">
        <v>4174</v>
      </c>
      <c r="E14" s="1" t="s">
        <v>23</v>
      </c>
      <c r="F14" s="1" t="s">
        <v>7</v>
      </c>
      <c r="G14" s="1">
        <v>105</v>
      </c>
      <c r="H14" s="1" t="s">
        <v>4189</v>
      </c>
      <c r="I14" s="16" t="s">
        <v>4215</v>
      </c>
    </row>
    <row r="15" spans="4:9" x14ac:dyDescent="0.25">
      <c r="D15" s="14" t="s">
        <v>4174</v>
      </c>
      <c r="E15" s="1" t="s">
        <v>665</v>
      </c>
      <c r="F15" s="1" t="s">
        <v>7</v>
      </c>
      <c r="G15" s="1">
        <v>20</v>
      </c>
      <c r="H15" s="1" t="s">
        <v>4190</v>
      </c>
      <c r="I15" s="16" t="s">
        <v>386</v>
      </c>
    </row>
    <row r="16" spans="4:9" x14ac:dyDescent="0.25">
      <c r="D16" s="14" t="s">
        <v>4174</v>
      </c>
      <c r="E16" s="1" t="s">
        <v>23</v>
      </c>
      <c r="F16" s="1" t="s">
        <v>7</v>
      </c>
      <c r="G16" s="1">
        <v>300</v>
      </c>
      <c r="H16" s="1" t="s">
        <v>4191</v>
      </c>
      <c r="I16" s="16" t="s">
        <v>210</v>
      </c>
    </row>
    <row r="17" spans="4:11" x14ac:dyDescent="0.25">
      <c r="D17" s="42" t="s">
        <v>4174</v>
      </c>
      <c r="E17" s="43" t="s">
        <v>4192</v>
      </c>
      <c r="F17" s="43" t="s">
        <v>7</v>
      </c>
      <c r="G17" s="43">
        <v>1917</v>
      </c>
      <c r="H17" s="43" t="s">
        <v>4193</v>
      </c>
      <c r="I17" s="44" t="s">
        <v>4216</v>
      </c>
    </row>
    <row r="18" spans="4:11" x14ac:dyDescent="0.25">
      <c r="D18" s="14" t="s">
        <v>4174</v>
      </c>
      <c r="E18" s="1" t="s">
        <v>9</v>
      </c>
      <c r="F18" s="1" t="s">
        <v>7</v>
      </c>
      <c r="G18" s="1">
        <v>18</v>
      </c>
      <c r="H18" s="1" t="s">
        <v>4194</v>
      </c>
      <c r="I18" s="16" t="s">
        <v>4214</v>
      </c>
    </row>
    <row r="19" spans="4:11" x14ac:dyDescent="0.25">
      <c r="D19" s="42" t="s">
        <v>4174</v>
      </c>
      <c r="E19" s="43" t="s">
        <v>4195</v>
      </c>
      <c r="F19" s="43" t="s">
        <v>7</v>
      </c>
      <c r="G19" s="43">
        <v>225</v>
      </c>
      <c r="H19" s="43" t="s">
        <v>4196</v>
      </c>
      <c r="I19" s="44" t="s">
        <v>4216</v>
      </c>
    </row>
    <row r="20" spans="4:11" x14ac:dyDescent="0.25">
      <c r="D20" s="14" t="s">
        <v>4174</v>
      </c>
      <c r="E20" s="1" t="s">
        <v>509</v>
      </c>
      <c r="F20" s="1" t="s">
        <v>7</v>
      </c>
      <c r="G20" s="1">
        <v>800</v>
      </c>
      <c r="H20" s="1" t="s">
        <v>4197</v>
      </c>
      <c r="I20" s="16" t="s">
        <v>1080</v>
      </c>
    </row>
    <row r="21" spans="4:11" x14ac:dyDescent="0.25">
      <c r="D21" s="14" t="s">
        <v>4174</v>
      </c>
      <c r="E21" s="1" t="s">
        <v>100</v>
      </c>
      <c r="F21" s="1" t="s">
        <v>7</v>
      </c>
      <c r="G21" s="1">
        <v>8</v>
      </c>
      <c r="H21" s="1" t="s">
        <v>4198</v>
      </c>
      <c r="I21" s="16" t="s">
        <v>4209</v>
      </c>
      <c r="K21">
        <f>+G17+G19</f>
        <v>2142</v>
      </c>
    </row>
    <row r="22" spans="4:11" x14ac:dyDescent="0.25">
      <c r="D22" s="14" t="s">
        <v>4174</v>
      </c>
      <c r="E22" s="1" t="s">
        <v>519</v>
      </c>
      <c r="F22" s="1" t="s">
        <v>7</v>
      </c>
      <c r="G22" s="1">
        <v>96</v>
      </c>
      <c r="H22" s="1" t="s">
        <v>4199</v>
      </c>
      <c r="I22" s="16" t="s">
        <v>4222</v>
      </c>
    </row>
    <row r="23" spans="4:11" x14ac:dyDescent="0.25">
      <c r="D23" s="14" t="s">
        <v>4174</v>
      </c>
      <c r="E23" s="1" t="s">
        <v>797</v>
      </c>
      <c r="F23" s="1" t="s">
        <v>7</v>
      </c>
      <c r="G23" s="1">
        <v>11</v>
      </c>
      <c r="H23" s="1" t="s">
        <v>4200</v>
      </c>
      <c r="I23" s="16" t="s">
        <v>4212</v>
      </c>
    </row>
    <row r="24" spans="4:11" x14ac:dyDescent="0.25">
      <c r="D24" s="14" t="s">
        <v>4174</v>
      </c>
      <c r="E24" s="1" t="s">
        <v>2456</v>
      </c>
      <c r="F24" s="1" t="s">
        <v>7</v>
      </c>
      <c r="G24" s="1">
        <v>43</v>
      </c>
      <c r="H24" s="1" t="s">
        <v>4201</v>
      </c>
      <c r="I24" s="16" t="s">
        <v>4210</v>
      </c>
    </row>
    <row r="25" spans="4:11" x14ac:dyDescent="0.25">
      <c r="D25" s="14" t="s">
        <v>4174</v>
      </c>
      <c r="E25" s="1" t="s">
        <v>382</v>
      </c>
      <c r="F25" s="1" t="s">
        <v>7</v>
      </c>
      <c r="G25" s="1">
        <v>8</v>
      </c>
      <c r="H25" s="1" t="s">
        <v>4202</v>
      </c>
      <c r="I25" s="16" t="s">
        <v>4213</v>
      </c>
    </row>
    <row r="26" spans="4:11" x14ac:dyDescent="0.25">
      <c r="D26" s="14" t="s">
        <v>4174</v>
      </c>
      <c r="E26" s="1" t="s">
        <v>39</v>
      </c>
      <c r="F26" s="1" t="s">
        <v>7</v>
      </c>
      <c r="G26" s="1">
        <v>240</v>
      </c>
      <c r="H26" s="1" t="s">
        <v>4175</v>
      </c>
      <c r="I26" s="16" t="s">
        <v>4208</v>
      </c>
    </row>
    <row r="27" spans="4:11" x14ac:dyDescent="0.25">
      <c r="D27" s="14" t="s">
        <v>4174</v>
      </c>
      <c r="E27" s="1" t="s">
        <v>23</v>
      </c>
      <c r="F27" s="1" t="s">
        <v>7</v>
      </c>
      <c r="G27" s="1">
        <v>2683</v>
      </c>
      <c r="H27" s="1" t="s">
        <v>4176</v>
      </c>
      <c r="I27" s="16" t="s">
        <v>1270</v>
      </c>
    </row>
    <row r="28" spans="4:11" x14ac:dyDescent="0.25">
      <c r="D28" s="14" t="s">
        <v>4174</v>
      </c>
      <c r="E28" s="1" t="s">
        <v>356</v>
      </c>
      <c r="F28" s="1" t="s">
        <v>7</v>
      </c>
      <c r="G28" s="1">
        <v>595</v>
      </c>
      <c r="H28" s="1" t="s">
        <v>4177</v>
      </c>
      <c r="I28" s="16" t="s">
        <v>4221</v>
      </c>
    </row>
    <row r="29" spans="4:11" x14ac:dyDescent="0.25">
      <c r="D29" s="14" t="s">
        <v>4174</v>
      </c>
      <c r="E29" s="1" t="s">
        <v>100</v>
      </c>
      <c r="F29" s="1" t="s">
        <v>7</v>
      </c>
      <c r="G29" s="1">
        <v>12</v>
      </c>
      <c r="H29" s="1" t="s">
        <v>4178</v>
      </c>
      <c r="I29" s="16" t="s">
        <v>4220</v>
      </c>
    </row>
    <row r="30" spans="4:11" x14ac:dyDescent="0.25">
      <c r="D30" s="14" t="s">
        <v>4174</v>
      </c>
      <c r="E30" s="1" t="s">
        <v>23</v>
      </c>
      <c r="F30" s="1" t="s">
        <v>7</v>
      </c>
      <c r="G30" s="1">
        <v>1352.5</v>
      </c>
      <c r="H30" s="1" t="s">
        <v>4179</v>
      </c>
      <c r="I30" s="16" t="s">
        <v>915</v>
      </c>
    </row>
    <row r="31" spans="4:11" x14ac:dyDescent="0.25">
      <c r="D31" s="14" t="s">
        <v>4174</v>
      </c>
      <c r="E31" s="1" t="s">
        <v>23</v>
      </c>
      <c r="F31" s="1" t="s">
        <v>7</v>
      </c>
      <c r="G31" s="1">
        <v>915</v>
      </c>
      <c r="H31" s="1" t="s">
        <v>4180</v>
      </c>
      <c r="I31" s="16" t="s">
        <v>4219</v>
      </c>
    </row>
    <row r="32" spans="4:11" x14ac:dyDescent="0.25">
      <c r="D32" s="14" t="s">
        <v>4174</v>
      </c>
      <c r="E32" s="1" t="s">
        <v>349</v>
      </c>
      <c r="F32" s="1" t="s">
        <v>7</v>
      </c>
      <c r="G32" s="1">
        <v>62</v>
      </c>
      <c r="H32" s="1" t="s">
        <v>4181</v>
      </c>
      <c r="I32" s="16" t="s">
        <v>4207</v>
      </c>
    </row>
    <row r="33" spans="4:9" x14ac:dyDescent="0.25">
      <c r="D33" s="14" t="s">
        <v>4174</v>
      </c>
      <c r="E33" s="1" t="s">
        <v>9</v>
      </c>
      <c r="F33" s="1" t="s">
        <v>7</v>
      </c>
      <c r="G33" s="1">
        <v>56</v>
      </c>
      <c r="H33" s="1" t="s">
        <v>4182</v>
      </c>
      <c r="I33" s="16" t="s">
        <v>4218</v>
      </c>
    </row>
    <row r="34" spans="4:9" x14ac:dyDescent="0.25">
      <c r="D34" s="14" t="s">
        <v>4174</v>
      </c>
      <c r="E34" s="1" t="s">
        <v>240</v>
      </c>
      <c r="F34" s="1" t="s">
        <v>7</v>
      </c>
      <c r="G34" s="1">
        <v>8.5</v>
      </c>
      <c r="H34" s="1" t="s">
        <v>4183</v>
      </c>
      <c r="I34" s="16" t="s">
        <v>4206</v>
      </c>
    </row>
    <row r="35" spans="4:9" x14ac:dyDescent="0.25">
      <c r="D35" s="14" t="s">
        <v>4174</v>
      </c>
      <c r="E35" s="1" t="s">
        <v>960</v>
      </c>
      <c r="F35" s="1" t="s">
        <v>7</v>
      </c>
      <c r="G35" s="1">
        <v>9</v>
      </c>
      <c r="H35" s="1" t="s">
        <v>4184</v>
      </c>
      <c r="I35" s="16" t="s">
        <v>4205</v>
      </c>
    </row>
    <row r="36" spans="4:9" x14ac:dyDescent="0.25">
      <c r="D36" s="14" t="s">
        <v>4174</v>
      </c>
      <c r="E36" s="1" t="s">
        <v>299</v>
      </c>
      <c r="F36" s="1" t="s">
        <v>7</v>
      </c>
      <c r="G36" s="1">
        <v>19.5</v>
      </c>
      <c r="H36" s="1" t="s">
        <v>4185</v>
      </c>
      <c r="I36" s="16" t="s">
        <v>4204</v>
      </c>
    </row>
    <row r="37" spans="4:9" x14ac:dyDescent="0.25">
      <c r="D37" s="14" t="s">
        <v>4174</v>
      </c>
      <c r="E37" s="1" t="s">
        <v>295</v>
      </c>
      <c r="F37" s="1" t="s">
        <v>7</v>
      </c>
      <c r="G37" s="1">
        <v>35</v>
      </c>
      <c r="H37" s="1" t="s">
        <v>4186</v>
      </c>
      <c r="I37" s="16" t="s">
        <v>4203</v>
      </c>
    </row>
    <row r="38" spans="4:9" x14ac:dyDescent="0.25">
      <c r="D38" s="14" t="s">
        <v>4174</v>
      </c>
      <c r="E38" s="1" t="s">
        <v>23</v>
      </c>
      <c r="F38" s="1" t="s">
        <v>7</v>
      </c>
      <c r="G38" s="1">
        <v>410</v>
      </c>
      <c r="H38" s="1" t="s">
        <v>4187</v>
      </c>
      <c r="I38" s="16" t="s">
        <v>4217</v>
      </c>
    </row>
    <row r="39" spans="4:9" x14ac:dyDescent="0.25">
      <c r="D39" s="14"/>
      <c r="E39" s="1"/>
      <c r="F39" s="1"/>
      <c r="G39" s="1"/>
      <c r="H39" s="1"/>
      <c r="I39" s="16"/>
    </row>
    <row r="40" spans="4:9" x14ac:dyDescent="0.25">
      <c r="D40" s="14" t="s">
        <v>4174</v>
      </c>
      <c r="E40" s="1" t="s">
        <v>78</v>
      </c>
      <c r="F40" s="1" t="s">
        <v>7</v>
      </c>
      <c r="G40" s="1">
        <v>702</v>
      </c>
      <c r="H40" s="1"/>
      <c r="I40" s="16" t="s">
        <v>3473</v>
      </c>
    </row>
    <row r="41" spans="4:9" ht="16.5" thickBot="1" x14ac:dyDescent="0.3">
      <c r="D41" s="25" t="s">
        <v>4174</v>
      </c>
      <c r="E41" s="18" t="s">
        <v>78</v>
      </c>
      <c r="F41" s="18" t="s">
        <v>7</v>
      </c>
      <c r="G41" s="18">
        <v>103.5</v>
      </c>
      <c r="H41" s="18"/>
      <c r="I41" s="27" t="s">
        <v>4211</v>
      </c>
    </row>
  </sheetData>
  <pageMargins left="0.7" right="0.7" top="0.75" bottom="0.75" header="0.3" footer="0.3"/>
  <pageSetup paperSize="256" orientation="portrait" horizontalDpi="203" verticalDpi="203" r:id="rId1"/>
</worksheet>
</file>

<file path=xl/worksheets/sheet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B4A2E9-3184-4DE9-BF3F-F1F0C3E529AB}">
  <sheetPr codeName="Hoja85"/>
  <dimension ref="D2:K41"/>
  <sheetViews>
    <sheetView topLeftCell="A7" workbookViewId="0">
      <selection activeCell="J18" sqref="J18"/>
    </sheetView>
  </sheetViews>
  <sheetFormatPr baseColWidth="10" defaultRowHeight="15.75" x14ac:dyDescent="0.25"/>
  <cols>
    <col min="4" max="4" width="11" style="3"/>
    <col min="5" max="5" width="26" style="3" customWidth="1"/>
    <col min="6" max="7" width="11" style="3"/>
    <col min="8" max="8" width="21" style="3" customWidth="1"/>
    <col min="9" max="9" width="34.5" style="3" bestFit="1" customWidth="1"/>
    <col min="10" max="11" width="11" style="3"/>
  </cols>
  <sheetData>
    <row r="2" spans="4:9" ht="16.5" thickBot="1" x14ac:dyDescent="0.3"/>
    <row r="3" spans="4:9" x14ac:dyDescent="0.25">
      <c r="D3" s="11" t="s">
        <v>0</v>
      </c>
      <c r="E3" s="12" t="s">
        <v>1</v>
      </c>
      <c r="F3" s="12" t="s">
        <v>2</v>
      </c>
      <c r="G3" s="12" t="s">
        <v>3</v>
      </c>
      <c r="H3" s="12" t="s">
        <v>4</v>
      </c>
      <c r="I3" s="13"/>
    </row>
    <row r="4" spans="4:9" x14ac:dyDescent="0.25">
      <c r="D4" s="14"/>
      <c r="E4" s="1"/>
      <c r="F4" s="1"/>
      <c r="G4" s="1"/>
      <c r="H4" s="1"/>
      <c r="I4" s="16"/>
    </row>
    <row r="5" spans="4:9" x14ac:dyDescent="0.25">
      <c r="D5" s="29" t="s">
        <v>4231</v>
      </c>
      <c r="E5" s="28" t="s">
        <v>472</v>
      </c>
      <c r="F5" s="28" t="s">
        <v>7</v>
      </c>
      <c r="G5" s="28">
        <v>-30000</v>
      </c>
      <c r="H5" s="28" t="s">
        <v>4285</v>
      </c>
      <c r="I5" s="30" t="s">
        <v>4295</v>
      </c>
    </row>
    <row r="6" spans="4:9" x14ac:dyDescent="0.25">
      <c r="D6" s="14" t="s">
        <v>4231</v>
      </c>
      <c r="E6" s="1" t="s">
        <v>4286</v>
      </c>
      <c r="F6" s="1" t="s">
        <v>7</v>
      </c>
      <c r="G6" s="1">
        <v>4.5</v>
      </c>
      <c r="H6" s="1" t="s">
        <v>4287</v>
      </c>
      <c r="I6" s="16" t="s">
        <v>4294</v>
      </c>
    </row>
    <row r="7" spans="4:9" x14ac:dyDescent="0.25">
      <c r="D7" s="29" t="s">
        <v>4231</v>
      </c>
      <c r="E7" s="28" t="s">
        <v>472</v>
      </c>
      <c r="F7" s="28" t="s">
        <v>7</v>
      </c>
      <c r="G7" s="28">
        <v>-615.1</v>
      </c>
      <c r="H7" s="28" t="s">
        <v>4288</v>
      </c>
      <c r="I7" s="30" t="s">
        <v>4293</v>
      </c>
    </row>
    <row r="8" spans="4:9" x14ac:dyDescent="0.25">
      <c r="D8" s="14" t="s">
        <v>4231</v>
      </c>
      <c r="E8" s="1" t="s">
        <v>23</v>
      </c>
      <c r="F8" s="1" t="s">
        <v>7</v>
      </c>
      <c r="G8" s="1">
        <v>90</v>
      </c>
      <c r="H8" s="1" t="s">
        <v>4289</v>
      </c>
      <c r="I8" s="16" t="s">
        <v>4291</v>
      </c>
    </row>
    <row r="9" spans="4:9" x14ac:dyDescent="0.25">
      <c r="D9" s="14" t="s">
        <v>4231</v>
      </c>
      <c r="E9" s="1" t="s">
        <v>39</v>
      </c>
      <c r="F9" s="1" t="s">
        <v>7</v>
      </c>
      <c r="G9" s="1">
        <v>160</v>
      </c>
      <c r="H9" s="1" t="s">
        <v>4290</v>
      </c>
      <c r="I9" s="16" t="s">
        <v>4292</v>
      </c>
    </row>
    <row r="10" spans="4:9" x14ac:dyDescent="0.25">
      <c r="D10" s="14" t="s">
        <v>4231</v>
      </c>
      <c r="E10" s="1" t="s">
        <v>23</v>
      </c>
      <c r="F10" s="1" t="s">
        <v>7</v>
      </c>
      <c r="G10" s="1">
        <v>408</v>
      </c>
      <c r="H10" s="1" t="s">
        <v>4245</v>
      </c>
      <c r="I10" s="16" t="s">
        <v>590</v>
      </c>
    </row>
    <row r="11" spans="4:9" x14ac:dyDescent="0.25">
      <c r="D11" s="14" t="s">
        <v>4231</v>
      </c>
      <c r="E11" s="1" t="s">
        <v>521</v>
      </c>
      <c r="F11" s="1" t="s">
        <v>7</v>
      </c>
      <c r="G11" s="1">
        <v>15</v>
      </c>
      <c r="H11" s="1" t="s">
        <v>4246</v>
      </c>
      <c r="I11" s="16" t="s">
        <v>4273</v>
      </c>
    </row>
    <row r="12" spans="4:9" x14ac:dyDescent="0.25">
      <c r="D12" s="14" t="s">
        <v>4231</v>
      </c>
      <c r="E12" s="1" t="s">
        <v>356</v>
      </c>
      <c r="F12" s="1" t="s">
        <v>7</v>
      </c>
      <c r="G12" s="1">
        <v>56</v>
      </c>
      <c r="H12" s="1" t="s">
        <v>4247</v>
      </c>
      <c r="I12" s="16" t="s">
        <v>4283</v>
      </c>
    </row>
    <row r="13" spans="4:9" x14ac:dyDescent="0.25">
      <c r="D13" s="14" t="s">
        <v>4231</v>
      </c>
      <c r="E13" s="1" t="s">
        <v>665</v>
      </c>
      <c r="F13" s="1" t="s">
        <v>7</v>
      </c>
      <c r="G13" s="1">
        <v>16</v>
      </c>
      <c r="H13" s="1" t="s">
        <v>4248</v>
      </c>
      <c r="I13" s="16" t="s">
        <v>386</v>
      </c>
    </row>
    <row r="14" spans="4:9" x14ac:dyDescent="0.25">
      <c r="D14" s="14" t="s">
        <v>4231</v>
      </c>
      <c r="E14" s="1" t="s">
        <v>325</v>
      </c>
      <c r="F14" s="1" t="s">
        <v>7</v>
      </c>
      <c r="G14" s="1">
        <v>30</v>
      </c>
      <c r="H14" s="1" t="s">
        <v>4249</v>
      </c>
      <c r="I14" s="16" t="s">
        <v>4282</v>
      </c>
    </row>
    <row r="15" spans="4:9" x14ac:dyDescent="0.25">
      <c r="D15" s="14" t="s">
        <v>4231</v>
      </c>
      <c r="E15" s="1" t="s">
        <v>23</v>
      </c>
      <c r="F15" s="1" t="s">
        <v>7</v>
      </c>
      <c r="G15" s="1">
        <v>734</v>
      </c>
      <c r="H15" s="1" t="s">
        <v>4250</v>
      </c>
      <c r="I15" s="16" t="s">
        <v>68</v>
      </c>
    </row>
    <row r="16" spans="4:9" x14ac:dyDescent="0.25">
      <c r="D16" s="14" t="s">
        <v>4231</v>
      </c>
      <c r="E16" s="1" t="s">
        <v>23</v>
      </c>
      <c r="F16" s="1" t="s">
        <v>7</v>
      </c>
      <c r="G16" s="1">
        <v>705</v>
      </c>
      <c r="H16" s="1" t="s">
        <v>4251</v>
      </c>
      <c r="I16" s="16" t="s">
        <v>210</v>
      </c>
    </row>
    <row r="17" spans="4:9" x14ac:dyDescent="0.25">
      <c r="D17" s="14" t="s">
        <v>4231</v>
      </c>
      <c r="E17" s="1" t="s">
        <v>224</v>
      </c>
      <c r="F17" s="1" t="s">
        <v>7</v>
      </c>
      <c r="G17" s="1">
        <v>382.5</v>
      </c>
      <c r="H17" s="1" t="s">
        <v>4252</v>
      </c>
      <c r="I17" s="16" t="s">
        <v>4270</v>
      </c>
    </row>
    <row r="18" spans="4:9" x14ac:dyDescent="0.25">
      <c r="D18" s="14" t="s">
        <v>4231</v>
      </c>
      <c r="E18" s="1" t="s">
        <v>224</v>
      </c>
      <c r="F18" s="1" t="s">
        <v>7</v>
      </c>
      <c r="G18" s="1">
        <v>500</v>
      </c>
      <c r="H18" s="1" t="s">
        <v>4253</v>
      </c>
      <c r="I18" s="16" t="s">
        <v>4270</v>
      </c>
    </row>
    <row r="19" spans="4:9" x14ac:dyDescent="0.25">
      <c r="D19" s="14" t="s">
        <v>4231</v>
      </c>
      <c r="E19" s="1" t="s">
        <v>382</v>
      </c>
      <c r="F19" s="1" t="s">
        <v>7</v>
      </c>
      <c r="G19" s="1">
        <v>41</v>
      </c>
      <c r="H19" s="1" t="s">
        <v>4254</v>
      </c>
      <c r="I19" s="16" t="s">
        <v>4281</v>
      </c>
    </row>
    <row r="20" spans="4:9" x14ac:dyDescent="0.25">
      <c r="D20" s="14" t="s">
        <v>4231</v>
      </c>
      <c r="E20" s="1" t="s">
        <v>23</v>
      </c>
      <c r="F20" s="1" t="s">
        <v>7</v>
      </c>
      <c r="G20" s="1">
        <v>1300</v>
      </c>
      <c r="H20" s="1" t="s">
        <v>4255</v>
      </c>
      <c r="I20" s="16" t="s">
        <v>4271</v>
      </c>
    </row>
    <row r="21" spans="4:9" x14ac:dyDescent="0.25">
      <c r="D21" s="14" t="s">
        <v>4231</v>
      </c>
      <c r="E21" s="1" t="s">
        <v>2780</v>
      </c>
      <c r="F21" s="1" t="s">
        <v>7</v>
      </c>
      <c r="G21" s="1">
        <v>500</v>
      </c>
      <c r="H21" s="1" t="s">
        <v>4256</v>
      </c>
      <c r="I21" s="16" t="s">
        <v>4272</v>
      </c>
    </row>
    <row r="22" spans="4:9" x14ac:dyDescent="0.25">
      <c r="D22" s="14" t="s">
        <v>4231</v>
      </c>
      <c r="E22" s="1" t="s">
        <v>23</v>
      </c>
      <c r="F22" s="1" t="s">
        <v>7</v>
      </c>
      <c r="G22" s="1">
        <v>513.5</v>
      </c>
      <c r="H22" s="1" t="s">
        <v>4257</v>
      </c>
      <c r="I22" s="16" t="s">
        <v>738</v>
      </c>
    </row>
    <row r="23" spans="4:9" x14ac:dyDescent="0.25">
      <c r="D23" s="14" t="s">
        <v>4231</v>
      </c>
      <c r="E23" s="1" t="s">
        <v>23</v>
      </c>
      <c r="F23" s="1" t="s">
        <v>7</v>
      </c>
      <c r="G23" s="1">
        <v>6027</v>
      </c>
      <c r="H23" s="1" t="s">
        <v>4258</v>
      </c>
      <c r="I23" s="16" t="s">
        <v>4279</v>
      </c>
    </row>
    <row r="24" spans="4:9" x14ac:dyDescent="0.25">
      <c r="D24" s="14" t="s">
        <v>4231</v>
      </c>
      <c r="E24" s="1" t="s">
        <v>655</v>
      </c>
      <c r="F24" s="1" t="s">
        <v>7</v>
      </c>
      <c r="G24" s="1">
        <v>5</v>
      </c>
      <c r="H24" s="1" t="s">
        <v>4259</v>
      </c>
      <c r="I24" s="16" t="s">
        <v>4284</v>
      </c>
    </row>
    <row r="25" spans="4:9" x14ac:dyDescent="0.25">
      <c r="D25" s="14" t="s">
        <v>4231</v>
      </c>
      <c r="E25" s="1" t="s">
        <v>655</v>
      </c>
      <c r="F25" s="1" t="s">
        <v>7</v>
      </c>
      <c r="G25" s="1">
        <v>47</v>
      </c>
      <c r="H25" s="1" t="s">
        <v>4260</v>
      </c>
      <c r="I25" s="16" t="s">
        <v>4280</v>
      </c>
    </row>
    <row r="26" spans="4:9" x14ac:dyDescent="0.25">
      <c r="D26" s="33" t="s">
        <v>4231</v>
      </c>
      <c r="E26" s="4" t="s">
        <v>23</v>
      </c>
      <c r="F26" s="4" t="s">
        <v>7</v>
      </c>
      <c r="G26" s="4">
        <v>315.56</v>
      </c>
      <c r="H26" s="4" t="s">
        <v>4261</v>
      </c>
      <c r="I26" s="34" t="s">
        <v>4274</v>
      </c>
    </row>
    <row r="27" spans="4:9" x14ac:dyDescent="0.25">
      <c r="D27" s="14" t="s">
        <v>4231</v>
      </c>
      <c r="E27" s="1" t="s">
        <v>3555</v>
      </c>
      <c r="F27" s="1" t="s">
        <v>7</v>
      </c>
      <c r="G27" s="1">
        <v>182.2</v>
      </c>
      <c r="H27" s="1" t="s">
        <v>4262</v>
      </c>
      <c r="I27" s="16" t="s">
        <v>3566</v>
      </c>
    </row>
    <row r="28" spans="4:9" x14ac:dyDescent="0.25">
      <c r="D28" s="14" t="s">
        <v>4231</v>
      </c>
      <c r="E28" s="1" t="s">
        <v>23</v>
      </c>
      <c r="F28" s="1" t="s">
        <v>7</v>
      </c>
      <c r="G28" s="1">
        <v>875</v>
      </c>
      <c r="H28" s="1" t="s">
        <v>4263</v>
      </c>
      <c r="I28" s="16" t="s">
        <v>660</v>
      </c>
    </row>
    <row r="29" spans="4:9" x14ac:dyDescent="0.25">
      <c r="D29" s="14" t="s">
        <v>4231</v>
      </c>
      <c r="E29" s="1" t="s">
        <v>325</v>
      </c>
      <c r="F29" s="1" t="s">
        <v>7</v>
      </c>
      <c r="G29" s="1">
        <v>21</v>
      </c>
      <c r="H29" s="1" t="s">
        <v>4264</v>
      </c>
      <c r="I29" s="16" t="s">
        <v>4269</v>
      </c>
    </row>
    <row r="30" spans="4:9" x14ac:dyDescent="0.25">
      <c r="D30" s="14" t="s">
        <v>4231</v>
      </c>
      <c r="E30" s="1" t="s">
        <v>797</v>
      </c>
      <c r="F30" s="1" t="s">
        <v>7</v>
      </c>
      <c r="G30" s="1">
        <v>131.9</v>
      </c>
      <c r="H30" s="1">
        <v>2029666</v>
      </c>
      <c r="I30" s="16" t="s">
        <v>4268</v>
      </c>
    </row>
    <row r="31" spans="4:9" x14ac:dyDescent="0.25">
      <c r="D31" s="29" t="s">
        <v>4231</v>
      </c>
      <c r="E31" s="28" t="s">
        <v>598</v>
      </c>
      <c r="F31" s="28" t="s">
        <v>7</v>
      </c>
      <c r="G31" s="28">
        <v>-15581.52</v>
      </c>
      <c r="H31" s="28" t="s">
        <v>4232</v>
      </c>
      <c r="I31" s="30" t="s">
        <v>4278</v>
      </c>
    </row>
    <row r="32" spans="4:9" x14ac:dyDescent="0.25">
      <c r="D32" s="29" t="s">
        <v>4231</v>
      </c>
      <c r="E32" s="28" t="s">
        <v>598</v>
      </c>
      <c r="F32" s="28" t="s">
        <v>7</v>
      </c>
      <c r="G32" s="28">
        <v>-3861.21</v>
      </c>
      <c r="H32" s="28" t="s">
        <v>4233</v>
      </c>
      <c r="I32" s="30" t="s">
        <v>4277</v>
      </c>
    </row>
    <row r="33" spans="4:9" x14ac:dyDescent="0.25">
      <c r="D33" s="14" t="s">
        <v>4231</v>
      </c>
      <c r="E33" s="1" t="s">
        <v>39</v>
      </c>
      <c r="F33" s="1" t="s">
        <v>7</v>
      </c>
      <c r="G33" s="1">
        <v>21</v>
      </c>
      <c r="H33" s="1" t="s">
        <v>4234</v>
      </c>
      <c r="I33" s="16" t="s">
        <v>4267</v>
      </c>
    </row>
    <row r="34" spans="4:9" x14ac:dyDescent="0.25">
      <c r="D34" s="14" t="s">
        <v>4231</v>
      </c>
      <c r="E34" s="1" t="s">
        <v>39</v>
      </c>
      <c r="F34" s="1" t="s">
        <v>7</v>
      </c>
      <c r="G34" s="1">
        <v>160</v>
      </c>
      <c r="H34" s="1" t="s">
        <v>4235</v>
      </c>
      <c r="I34" s="16" t="s">
        <v>1270</v>
      </c>
    </row>
    <row r="35" spans="4:9" x14ac:dyDescent="0.25">
      <c r="D35" s="14" t="s">
        <v>4231</v>
      </c>
      <c r="E35" s="1" t="s">
        <v>23</v>
      </c>
      <c r="F35" s="1" t="s">
        <v>7</v>
      </c>
      <c r="G35" s="1">
        <v>2000</v>
      </c>
      <c r="H35" s="1" t="s">
        <v>4236</v>
      </c>
      <c r="I35" s="16" t="s">
        <v>1270</v>
      </c>
    </row>
    <row r="36" spans="4:9" x14ac:dyDescent="0.25">
      <c r="D36" s="14" t="s">
        <v>4231</v>
      </c>
      <c r="E36" s="1" t="s">
        <v>797</v>
      </c>
      <c r="F36" s="1" t="s">
        <v>7</v>
      </c>
      <c r="G36" s="1">
        <v>9</v>
      </c>
      <c r="H36" s="1" t="s">
        <v>4237</v>
      </c>
      <c r="I36" s="16" t="s">
        <v>3041</v>
      </c>
    </row>
    <row r="37" spans="4:9" x14ac:dyDescent="0.25">
      <c r="D37" s="14" t="s">
        <v>4231</v>
      </c>
      <c r="E37" s="1" t="s">
        <v>295</v>
      </c>
      <c r="F37" s="1" t="s">
        <v>7</v>
      </c>
      <c r="G37" s="1">
        <v>195</v>
      </c>
      <c r="H37" s="1" t="s">
        <v>4238</v>
      </c>
      <c r="I37" s="16" t="s">
        <v>4266</v>
      </c>
    </row>
    <row r="38" spans="4:9" x14ac:dyDescent="0.25">
      <c r="D38" s="14" t="s">
        <v>4231</v>
      </c>
      <c r="E38" s="1" t="s">
        <v>4239</v>
      </c>
      <c r="F38" s="1" t="s">
        <v>7</v>
      </c>
      <c r="G38" s="1">
        <v>8</v>
      </c>
      <c r="H38" s="1" t="s">
        <v>4240</v>
      </c>
      <c r="I38" s="16" t="s">
        <v>4265</v>
      </c>
    </row>
    <row r="39" spans="4:9" x14ac:dyDescent="0.25">
      <c r="D39" s="14" t="s">
        <v>4231</v>
      </c>
      <c r="E39" s="1" t="s">
        <v>23</v>
      </c>
      <c r="F39" s="1" t="s">
        <v>7</v>
      </c>
      <c r="G39" s="1">
        <v>1898.4</v>
      </c>
      <c r="H39" s="1" t="s">
        <v>4241</v>
      </c>
      <c r="I39" s="16" t="s">
        <v>660</v>
      </c>
    </row>
    <row r="40" spans="4:9" x14ac:dyDescent="0.25">
      <c r="D40" s="14" t="s">
        <v>4231</v>
      </c>
      <c r="E40" s="1" t="s">
        <v>164</v>
      </c>
      <c r="F40" s="1" t="s">
        <v>7</v>
      </c>
      <c r="G40" s="1">
        <v>4</v>
      </c>
      <c r="H40" s="1" t="s">
        <v>4242</v>
      </c>
      <c r="I40" s="16" t="s">
        <v>4276</v>
      </c>
    </row>
    <row r="41" spans="4:9" ht="16.5" thickBot="1" x14ac:dyDescent="0.3">
      <c r="D41" s="25" t="s">
        <v>4231</v>
      </c>
      <c r="E41" s="18" t="s">
        <v>164</v>
      </c>
      <c r="F41" s="18" t="s">
        <v>7</v>
      </c>
      <c r="G41" s="18">
        <v>4.5</v>
      </c>
      <c r="H41" s="18" t="s">
        <v>4243</v>
      </c>
      <c r="I41" s="27" t="s">
        <v>4275</v>
      </c>
    </row>
  </sheetData>
  <pageMargins left="0.7" right="0.7" top="0.75" bottom="0.75" header="0.3" footer="0.3"/>
  <pageSetup paperSize="256" orientation="portrait" horizontalDpi="203" verticalDpi="203" r:id="rId1"/>
</worksheet>
</file>

<file path=xl/worksheets/sheet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271679-14B3-439A-804E-608D2A590F9D}">
  <sheetPr codeName="Hoja86"/>
  <dimension ref="C2:I47"/>
  <sheetViews>
    <sheetView topLeftCell="A11" workbookViewId="0">
      <selection activeCell="C21" sqref="C21:H21"/>
    </sheetView>
  </sheetViews>
  <sheetFormatPr baseColWidth="10" defaultRowHeight="15.75" x14ac:dyDescent="0.25"/>
  <cols>
    <col min="3" max="3" width="11" style="3"/>
    <col min="4" max="4" width="22.625" style="3" bestFit="1" customWidth="1"/>
    <col min="5" max="6" width="11" style="3"/>
    <col min="7" max="7" width="18.75" style="3" bestFit="1" customWidth="1"/>
    <col min="8" max="8" width="42.625" style="3" customWidth="1"/>
    <col min="9" max="9" width="12.375" style="3" bestFit="1" customWidth="1"/>
  </cols>
  <sheetData>
    <row r="2" spans="3:8" ht="16.5" thickBot="1" x14ac:dyDescent="0.3"/>
    <row r="3" spans="3:8" x14ac:dyDescent="0.25">
      <c r="C3" s="11" t="s">
        <v>0</v>
      </c>
      <c r="D3" s="12" t="s">
        <v>1</v>
      </c>
      <c r="E3" s="12" t="s">
        <v>2</v>
      </c>
      <c r="F3" s="12" t="s">
        <v>3</v>
      </c>
      <c r="G3" s="12" t="s">
        <v>4</v>
      </c>
      <c r="H3" s="13"/>
    </row>
    <row r="4" spans="3:8" x14ac:dyDescent="0.25">
      <c r="C4" s="148"/>
      <c r="D4" s="149"/>
      <c r="E4" s="149"/>
      <c r="F4" s="149"/>
      <c r="G4" s="149"/>
      <c r="H4" s="150"/>
    </row>
    <row r="5" spans="3:8" x14ac:dyDescent="0.25">
      <c r="C5" s="31" t="s">
        <v>4296</v>
      </c>
      <c r="D5" s="31" t="s">
        <v>472</v>
      </c>
      <c r="E5" s="31" t="s">
        <v>7</v>
      </c>
      <c r="F5" s="31">
        <v>-3000</v>
      </c>
      <c r="G5" s="31" t="s">
        <v>4355</v>
      </c>
      <c r="H5" s="151" t="s">
        <v>4229</v>
      </c>
    </row>
    <row r="6" spans="3:8" x14ac:dyDescent="0.25">
      <c r="C6" s="14" t="s">
        <v>4296</v>
      </c>
      <c r="D6" s="1" t="s">
        <v>4352</v>
      </c>
      <c r="E6" s="1" t="s">
        <v>7</v>
      </c>
      <c r="F6" s="1">
        <v>500</v>
      </c>
      <c r="G6" s="1" t="s">
        <v>4353</v>
      </c>
      <c r="H6" s="16" t="s">
        <v>1388</v>
      </c>
    </row>
    <row r="7" spans="3:8" x14ac:dyDescent="0.25">
      <c r="C7" s="14" t="s">
        <v>4296</v>
      </c>
      <c r="D7" s="1" t="s">
        <v>4352</v>
      </c>
      <c r="E7" s="1" t="s">
        <v>7</v>
      </c>
      <c r="F7" s="1">
        <v>500</v>
      </c>
      <c r="G7" s="1" t="s">
        <v>4354</v>
      </c>
      <c r="H7" s="16" t="s">
        <v>1388</v>
      </c>
    </row>
    <row r="8" spans="3:8" x14ac:dyDescent="0.25">
      <c r="C8" s="14" t="s">
        <v>4296</v>
      </c>
      <c r="D8" s="1" t="s">
        <v>240</v>
      </c>
      <c r="E8" s="1" t="s">
        <v>7</v>
      </c>
      <c r="F8" s="1">
        <v>147</v>
      </c>
      <c r="G8" s="1" t="s">
        <v>4346</v>
      </c>
      <c r="H8" s="16" t="s">
        <v>68</v>
      </c>
    </row>
    <row r="9" spans="3:8" x14ac:dyDescent="0.25">
      <c r="C9" s="14" t="s">
        <v>4296</v>
      </c>
      <c r="D9" s="1" t="s">
        <v>3005</v>
      </c>
      <c r="E9" s="1" t="s">
        <v>7</v>
      </c>
      <c r="F9" s="1">
        <v>40</v>
      </c>
      <c r="G9" s="1" t="s">
        <v>4347</v>
      </c>
      <c r="H9" s="16" t="s">
        <v>386</v>
      </c>
    </row>
    <row r="10" spans="3:8" x14ac:dyDescent="0.25">
      <c r="C10" s="14" t="s">
        <v>4296</v>
      </c>
      <c r="D10" s="1" t="s">
        <v>23</v>
      </c>
      <c r="E10" s="1" t="s">
        <v>7</v>
      </c>
      <c r="F10" s="1">
        <v>355</v>
      </c>
      <c r="G10" s="1" t="s">
        <v>4348</v>
      </c>
      <c r="H10" s="16" t="s">
        <v>590</v>
      </c>
    </row>
    <row r="11" spans="3:8" x14ac:dyDescent="0.25">
      <c r="C11" s="14" t="s">
        <v>4296</v>
      </c>
      <c r="D11" s="1" t="s">
        <v>3673</v>
      </c>
      <c r="E11" s="1" t="s">
        <v>7</v>
      </c>
      <c r="F11" s="1">
        <v>300</v>
      </c>
      <c r="G11" s="1" t="s">
        <v>4349</v>
      </c>
      <c r="H11" s="16" t="s">
        <v>52</v>
      </c>
    </row>
    <row r="12" spans="3:8" x14ac:dyDescent="0.25">
      <c r="C12" s="14" t="s">
        <v>4296</v>
      </c>
      <c r="D12" s="1" t="s">
        <v>3373</v>
      </c>
      <c r="E12" s="1" t="s">
        <v>7</v>
      </c>
      <c r="F12" s="1">
        <v>305</v>
      </c>
      <c r="G12" s="1" t="s">
        <v>4350</v>
      </c>
      <c r="H12" s="16" t="s">
        <v>1335</v>
      </c>
    </row>
    <row r="13" spans="3:8" x14ac:dyDescent="0.25">
      <c r="C13" s="14" t="s">
        <v>4296</v>
      </c>
      <c r="D13" s="1" t="s">
        <v>3373</v>
      </c>
      <c r="E13" s="1" t="s">
        <v>7</v>
      </c>
      <c r="F13" s="1">
        <v>500</v>
      </c>
      <c r="G13" s="1" t="s">
        <v>4351</v>
      </c>
      <c r="H13" s="16" t="s">
        <v>1335</v>
      </c>
    </row>
    <row r="14" spans="3:8" x14ac:dyDescent="0.25">
      <c r="C14" s="14" t="s">
        <v>4296</v>
      </c>
      <c r="D14" s="1" t="s">
        <v>3465</v>
      </c>
      <c r="E14" s="1" t="s">
        <v>7</v>
      </c>
      <c r="F14" s="1">
        <v>11</v>
      </c>
      <c r="G14" s="1" t="s">
        <v>4297</v>
      </c>
      <c r="H14" s="16" t="s">
        <v>4345</v>
      </c>
    </row>
    <row r="15" spans="3:8" x14ac:dyDescent="0.25">
      <c r="C15" s="29" t="s">
        <v>4296</v>
      </c>
      <c r="D15" s="28" t="s">
        <v>472</v>
      </c>
      <c r="E15" s="28" t="s">
        <v>7</v>
      </c>
      <c r="F15" s="28">
        <v>-1264</v>
      </c>
      <c r="G15" s="28" t="s">
        <v>4298</v>
      </c>
      <c r="H15" s="30" t="s">
        <v>4343</v>
      </c>
    </row>
    <row r="16" spans="3:8" x14ac:dyDescent="0.25">
      <c r="C16" s="14" t="s">
        <v>4296</v>
      </c>
      <c r="D16" s="1" t="s">
        <v>4299</v>
      </c>
      <c r="E16" s="1" t="s">
        <v>7</v>
      </c>
      <c r="F16" s="1">
        <v>38</v>
      </c>
      <c r="G16" s="1" t="s">
        <v>4300</v>
      </c>
      <c r="H16" s="16" t="s">
        <v>4342</v>
      </c>
    </row>
    <row r="17" spans="3:8" x14ac:dyDescent="0.25">
      <c r="C17" s="14" t="s">
        <v>4296</v>
      </c>
      <c r="D17" s="1" t="s">
        <v>295</v>
      </c>
      <c r="E17" s="1" t="s">
        <v>7</v>
      </c>
      <c r="F17" s="1">
        <v>39.5</v>
      </c>
      <c r="G17" s="1" t="s">
        <v>4301</v>
      </c>
      <c r="H17" s="16" t="s">
        <v>4341</v>
      </c>
    </row>
    <row r="18" spans="3:8" x14ac:dyDescent="0.25">
      <c r="C18" s="14" t="s">
        <v>4296</v>
      </c>
      <c r="D18" s="1" t="s">
        <v>23</v>
      </c>
      <c r="E18" s="1" t="s">
        <v>7</v>
      </c>
      <c r="F18" s="1">
        <v>115</v>
      </c>
      <c r="G18" s="1" t="s">
        <v>4302</v>
      </c>
      <c r="H18" s="16" t="s">
        <v>4340</v>
      </c>
    </row>
    <row r="19" spans="3:8" x14ac:dyDescent="0.25">
      <c r="C19" s="29" t="s">
        <v>4296</v>
      </c>
      <c r="D19" s="28" t="s">
        <v>4303</v>
      </c>
      <c r="E19" s="28" t="s">
        <v>7</v>
      </c>
      <c r="F19" s="28">
        <v>-310</v>
      </c>
      <c r="G19" s="28" t="s">
        <v>4304</v>
      </c>
      <c r="H19" s="30" t="s">
        <v>4344</v>
      </c>
    </row>
    <row r="20" spans="3:8" x14ac:dyDescent="0.25">
      <c r="C20" s="29" t="s">
        <v>4296</v>
      </c>
      <c r="D20" s="28" t="s">
        <v>4303</v>
      </c>
      <c r="E20" s="28" t="s">
        <v>7</v>
      </c>
      <c r="F20" s="28">
        <v>-500</v>
      </c>
      <c r="G20" s="28" t="s">
        <v>4305</v>
      </c>
      <c r="H20" s="30" t="s">
        <v>4344</v>
      </c>
    </row>
    <row r="21" spans="3:8" x14ac:dyDescent="0.25">
      <c r="C21" s="33" t="s">
        <v>4296</v>
      </c>
      <c r="D21" s="4" t="s">
        <v>23</v>
      </c>
      <c r="E21" s="4" t="s">
        <v>7</v>
      </c>
      <c r="F21" s="4">
        <v>700</v>
      </c>
      <c r="G21" s="4" t="s">
        <v>4306</v>
      </c>
      <c r="H21" s="34"/>
    </row>
    <row r="22" spans="3:8" x14ac:dyDescent="0.25">
      <c r="C22" s="14" t="s">
        <v>4296</v>
      </c>
      <c r="D22" s="1" t="s">
        <v>4307</v>
      </c>
      <c r="E22" s="1" t="s">
        <v>7</v>
      </c>
      <c r="F22" s="1">
        <v>1</v>
      </c>
      <c r="G22" s="1" t="s">
        <v>4308</v>
      </c>
      <c r="H22" s="16" t="s">
        <v>4339</v>
      </c>
    </row>
    <row r="23" spans="3:8" x14ac:dyDescent="0.25">
      <c r="C23" s="14"/>
      <c r="D23" s="1"/>
      <c r="E23" s="1"/>
      <c r="F23" s="1"/>
      <c r="G23" s="1"/>
      <c r="H23" s="16"/>
    </row>
    <row r="24" spans="3:8" x14ac:dyDescent="0.25">
      <c r="C24" s="14" t="s">
        <v>4309</v>
      </c>
      <c r="D24" s="1" t="s">
        <v>655</v>
      </c>
      <c r="E24" s="1" t="s">
        <v>7</v>
      </c>
      <c r="F24" s="1">
        <v>12</v>
      </c>
      <c r="G24" s="1" t="s">
        <v>4310</v>
      </c>
      <c r="H24" s="16" t="s">
        <v>4337</v>
      </c>
    </row>
    <row r="25" spans="3:8" x14ac:dyDescent="0.25">
      <c r="C25" s="14" t="s">
        <v>4309</v>
      </c>
      <c r="D25" s="1" t="s">
        <v>692</v>
      </c>
      <c r="E25" s="1" t="s">
        <v>7</v>
      </c>
      <c r="F25" s="1">
        <v>100</v>
      </c>
      <c r="G25" s="1">
        <v>6200890</v>
      </c>
      <c r="H25" s="16" t="s">
        <v>4338</v>
      </c>
    </row>
    <row r="26" spans="3:8" x14ac:dyDescent="0.25">
      <c r="C26" s="14" t="s">
        <v>4309</v>
      </c>
      <c r="D26" s="1" t="s">
        <v>692</v>
      </c>
      <c r="E26" s="1" t="s">
        <v>7</v>
      </c>
      <c r="F26" s="1">
        <v>26</v>
      </c>
      <c r="G26" s="1">
        <v>1377233</v>
      </c>
      <c r="H26" s="16" t="s">
        <v>4336</v>
      </c>
    </row>
    <row r="27" spans="3:8" x14ac:dyDescent="0.25">
      <c r="C27" s="14" t="s">
        <v>4309</v>
      </c>
      <c r="D27" s="1" t="s">
        <v>692</v>
      </c>
      <c r="E27" s="1" t="s">
        <v>7</v>
      </c>
      <c r="F27" s="1">
        <v>28</v>
      </c>
      <c r="G27" s="1">
        <v>2529365</v>
      </c>
      <c r="H27" s="16" t="s">
        <v>4335</v>
      </c>
    </row>
    <row r="28" spans="3:8" x14ac:dyDescent="0.25">
      <c r="C28" s="14" t="s">
        <v>4309</v>
      </c>
      <c r="D28" s="1" t="s">
        <v>692</v>
      </c>
      <c r="E28" s="1" t="s">
        <v>7</v>
      </c>
      <c r="F28" s="1">
        <v>5</v>
      </c>
      <c r="G28" s="1">
        <v>2940764</v>
      </c>
      <c r="H28" s="16" t="s">
        <v>4334</v>
      </c>
    </row>
    <row r="29" spans="3:8" x14ac:dyDescent="0.25">
      <c r="C29" s="14" t="s">
        <v>4309</v>
      </c>
      <c r="D29" s="1" t="s">
        <v>692</v>
      </c>
      <c r="E29" s="1" t="s">
        <v>7</v>
      </c>
      <c r="F29" s="1">
        <v>4</v>
      </c>
      <c r="G29" s="1">
        <v>5117673</v>
      </c>
      <c r="H29" s="16" t="s">
        <v>4333</v>
      </c>
    </row>
    <row r="30" spans="3:8" x14ac:dyDescent="0.25">
      <c r="C30" s="14" t="s">
        <v>4309</v>
      </c>
      <c r="D30" s="1" t="s">
        <v>692</v>
      </c>
      <c r="E30" s="1" t="s">
        <v>7</v>
      </c>
      <c r="F30" s="1">
        <v>47.5</v>
      </c>
      <c r="G30" s="1">
        <v>2239439</v>
      </c>
      <c r="H30" s="16" t="s">
        <v>4332</v>
      </c>
    </row>
    <row r="31" spans="3:8" x14ac:dyDescent="0.25">
      <c r="C31" s="14" t="s">
        <v>4309</v>
      </c>
      <c r="D31" s="1" t="s">
        <v>692</v>
      </c>
      <c r="E31" s="1" t="s">
        <v>7</v>
      </c>
      <c r="F31" s="1">
        <v>11.5</v>
      </c>
      <c r="G31" s="1">
        <v>2435992</v>
      </c>
      <c r="H31" s="16" t="s">
        <v>4331</v>
      </c>
    </row>
    <row r="32" spans="3:8" x14ac:dyDescent="0.25">
      <c r="C32" s="14" t="s">
        <v>4309</v>
      </c>
      <c r="D32" s="1" t="s">
        <v>692</v>
      </c>
      <c r="E32" s="1" t="s">
        <v>7</v>
      </c>
      <c r="F32" s="1">
        <v>70</v>
      </c>
      <c r="G32" s="1">
        <v>3554637</v>
      </c>
      <c r="H32" s="16" t="s">
        <v>4330</v>
      </c>
    </row>
    <row r="33" spans="3:9" x14ac:dyDescent="0.25">
      <c r="C33" s="14" t="s">
        <v>4309</v>
      </c>
      <c r="D33" s="1" t="s">
        <v>692</v>
      </c>
      <c r="E33" s="1" t="s">
        <v>7</v>
      </c>
      <c r="F33" s="1">
        <v>12</v>
      </c>
      <c r="G33" s="1"/>
      <c r="H33" s="16" t="s">
        <v>4329</v>
      </c>
    </row>
    <row r="34" spans="3:9" x14ac:dyDescent="0.25">
      <c r="C34" s="14" t="s">
        <v>4309</v>
      </c>
      <c r="D34" s="1" t="s">
        <v>692</v>
      </c>
      <c r="E34" s="1" t="s">
        <v>7</v>
      </c>
      <c r="F34" s="1">
        <v>10</v>
      </c>
      <c r="G34" s="1">
        <v>3253499</v>
      </c>
      <c r="H34" s="16" t="s">
        <v>4327</v>
      </c>
      <c r="I34" s="3" t="s">
        <v>4328</v>
      </c>
    </row>
    <row r="35" spans="3:9" x14ac:dyDescent="0.25">
      <c r="C35" s="14" t="s">
        <v>4309</v>
      </c>
      <c r="D35" s="1" t="s">
        <v>692</v>
      </c>
      <c r="E35" s="1" t="s">
        <v>7</v>
      </c>
      <c r="F35" s="1">
        <v>2</v>
      </c>
      <c r="G35" s="1">
        <v>1061891</v>
      </c>
      <c r="H35" s="16" t="s">
        <v>4326</v>
      </c>
    </row>
    <row r="36" spans="3:9" x14ac:dyDescent="0.25">
      <c r="C36" s="14" t="s">
        <v>4309</v>
      </c>
      <c r="D36" s="1" t="s">
        <v>692</v>
      </c>
      <c r="E36" s="1" t="s">
        <v>7</v>
      </c>
      <c r="F36" s="1">
        <v>22</v>
      </c>
      <c r="G36" s="1">
        <v>2066418</v>
      </c>
      <c r="H36" s="16" t="s">
        <v>4325</v>
      </c>
    </row>
    <row r="37" spans="3:9" x14ac:dyDescent="0.25">
      <c r="C37" s="14" t="s">
        <v>4309</v>
      </c>
      <c r="D37" s="1" t="s">
        <v>692</v>
      </c>
      <c r="E37" s="1" t="s">
        <v>7</v>
      </c>
      <c r="F37" s="1">
        <v>2.5</v>
      </c>
      <c r="G37" s="1">
        <v>2063122</v>
      </c>
      <c r="H37" s="16" t="s">
        <v>4324</v>
      </c>
    </row>
    <row r="38" spans="3:9" x14ac:dyDescent="0.25">
      <c r="C38" s="14" t="s">
        <v>4309</v>
      </c>
      <c r="D38" s="1" t="s">
        <v>692</v>
      </c>
      <c r="E38" s="1" t="s">
        <v>7</v>
      </c>
      <c r="F38" s="1">
        <v>2</v>
      </c>
      <c r="G38" s="1">
        <v>2056592</v>
      </c>
      <c r="H38" s="16" t="s">
        <v>4323</v>
      </c>
    </row>
    <row r="39" spans="3:9" x14ac:dyDescent="0.25">
      <c r="C39" s="14" t="s">
        <v>4309</v>
      </c>
      <c r="D39" s="1" t="s">
        <v>692</v>
      </c>
      <c r="E39" s="1" t="s">
        <v>7</v>
      </c>
      <c r="F39" s="1">
        <v>9</v>
      </c>
      <c r="G39" s="1">
        <v>1047498</v>
      </c>
      <c r="H39" s="16" t="s">
        <v>4322</v>
      </c>
    </row>
    <row r="40" spans="3:9" x14ac:dyDescent="0.25">
      <c r="C40" s="14" t="s">
        <v>4309</v>
      </c>
      <c r="D40" s="1" t="s">
        <v>692</v>
      </c>
      <c r="E40" s="1" t="s">
        <v>7</v>
      </c>
      <c r="F40" s="1">
        <v>6</v>
      </c>
      <c r="G40" s="1">
        <v>1120364</v>
      </c>
      <c r="H40" s="16" t="s">
        <v>4321</v>
      </c>
    </row>
    <row r="41" spans="3:9" x14ac:dyDescent="0.25">
      <c r="C41" s="14" t="s">
        <v>4309</v>
      </c>
      <c r="D41" s="1" t="s">
        <v>692</v>
      </c>
      <c r="E41" s="1" t="s">
        <v>7</v>
      </c>
      <c r="F41" s="1">
        <v>115</v>
      </c>
      <c r="G41" s="1">
        <v>2038391</v>
      </c>
      <c r="H41" s="16" t="s">
        <v>4320</v>
      </c>
    </row>
    <row r="42" spans="3:9" x14ac:dyDescent="0.25">
      <c r="C42" s="14" t="s">
        <v>4309</v>
      </c>
      <c r="D42" s="1" t="s">
        <v>692</v>
      </c>
      <c r="E42" s="1" t="s">
        <v>7</v>
      </c>
      <c r="F42" s="1">
        <v>5</v>
      </c>
      <c r="G42" s="1" t="s">
        <v>4318</v>
      </c>
      <c r="H42" s="16" t="s">
        <v>4319</v>
      </c>
    </row>
    <row r="43" spans="3:9" x14ac:dyDescent="0.25">
      <c r="C43" s="14" t="s">
        <v>4309</v>
      </c>
      <c r="D43" s="1" t="s">
        <v>692</v>
      </c>
      <c r="E43" s="1" t="s">
        <v>7</v>
      </c>
      <c r="F43" s="1">
        <v>100</v>
      </c>
      <c r="G43" s="1">
        <v>1812492</v>
      </c>
      <c r="H43" s="16" t="s">
        <v>4317</v>
      </c>
    </row>
    <row r="44" spans="3:9" x14ac:dyDescent="0.25">
      <c r="C44" s="14" t="s">
        <v>4309</v>
      </c>
      <c r="D44" s="1" t="s">
        <v>692</v>
      </c>
      <c r="E44" s="1" t="s">
        <v>7</v>
      </c>
      <c r="F44" s="1">
        <v>67</v>
      </c>
      <c r="G44" s="1">
        <v>2412393</v>
      </c>
      <c r="H44" s="16" t="s">
        <v>4316</v>
      </c>
    </row>
    <row r="45" spans="3:9" x14ac:dyDescent="0.25">
      <c r="C45" s="29" t="s">
        <v>4309</v>
      </c>
      <c r="D45" s="28" t="s">
        <v>663</v>
      </c>
      <c r="E45" s="28" t="s">
        <v>7</v>
      </c>
      <c r="F45" s="28">
        <v>-2.9</v>
      </c>
      <c r="G45" s="28" t="s">
        <v>664</v>
      </c>
      <c r="H45" s="30" t="s">
        <v>2208</v>
      </c>
    </row>
    <row r="46" spans="3:9" x14ac:dyDescent="0.25">
      <c r="C46" s="29" t="s">
        <v>4231</v>
      </c>
      <c r="D46" s="28" t="s">
        <v>4311</v>
      </c>
      <c r="E46" s="28" t="s">
        <v>7</v>
      </c>
      <c r="F46" s="28">
        <v>-35</v>
      </c>
      <c r="G46" s="28" t="s">
        <v>664</v>
      </c>
      <c r="H46" s="30" t="s">
        <v>4314</v>
      </c>
    </row>
    <row r="47" spans="3:9" ht="16.5" thickBot="1" x14ac:dyDescent="0.3">
      <c r="C47" s="137" t="s">
        <v>4231</v>
      </c>
      <c r="D47" s="138" t="s">
        <v>4312</v>
      </c>
      <c r="E47" s="138" t="s">
        <v>7</v>
      </c>
      <c r="F47" s="138">
        <v>-5.5</v>
      </c>
      <c r="G47" s="138" t="s">
        <v>4313</v>
      </c>
      <c r="H47" s="139" t="s">
        <v>4315</v>
      </c>
    </row>
  </sheetData>
  <pageMargins left="0.7" right="0.7" top="0.75" bottom="0.75" header="0.3" footer="0.3"/>
  <pageSetup paperSize="256" orientation="portrait" horizontalDpi="203" verticalDpi="203" r:id="rId1"/>
</worksheet>
</file>

<file path=xl/worksheets/sheet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5595A9-FACC-4D18-8253-77E0C2F26272}">
  <sheetPr codeName="Hoja87"/>
  <dimension ref="C2:J22"/>
  <sheetViews>
    <sheetView workbookViewId="0">
      <selection activeCell="B2" sqref="B2:I24"/>
    </sheetView>
  </sheetViews>
  <sheetFormatPr baseColWidth="10" defaultRowHeight="15.75" x14ac:dyDescent="0.25"/>
  <cols>
    <col min="3" max="3" width="11" style="3"/>
    <col min="4" max="4" width="21.375" style="3" bestFit="1" customWidth="1"/>
    <col min="5" max="6" width="11" style="3"/>
    <col min="7" max="7" width="18.75" style="3" bestFit="1" customWidth="1"/>
    <col min="8" max="8" width="38.5" style="3" bestFit="1" customWidth="1"/>
    <col min="9" max="10" width="11" style="3"/>
  </cols>
  <sheetData>
    <row r="2" spans="3:9" ht="16.5" thickBot="1" x14ac:dyDescent="0.3"/>
    <row r="3" spans="3:9" x14ac:dyDescent="0.25">
      <c r="C3" s="11" t="s">
        <v>0</v>
      </c>
      <c r="D3" s="12" t="s">
        <v>1</v>
      </c>
      <c r="E3" s="12" t="s">
        <v>2</v>
      </c>
      <c r="F3" s="12" t="s">
        <v>3</v>
      </c>
      <c r="G3" s="12" t="s">
        <v>4</v>
      </c>
      <c r="H3" s="13"/>
    </row>
    <row r="4" spans="3:9" x14ac:dyDescent="0.25">
      <c r="C4" s="14"/>
      <c r="D4" s="1"/>
      <c r="E4" s="1"/>
      <c r="F4" s="1"/>
      <c r="G4" s="1"/>
      <c r="H4" s="16"/>
    </row>
    <row r="5" spans="3:9" x14ac:dyDescent="0.25">
      <c r="C5" s="29" t="s">
        <v>4356</v>
      </c>
      <c r="D5" s="28" t="s">
        <v>472</v>
      </c>
      <c r="E5" s="28" t="s">
        <v>7</v>
      </c>
      <c r="F5" s="28">
        <v>-2000</v>
      </c>
      <c r="G5" s="28" t="s">
        <v>4374</v>
      </c>
      <c r="H5" s="30" t="s">
        <v>4384</v>
      </c>
      <c r="I5" s="3" t="s">
        <v>4385</v>
      </c>
    </row>
    <row r="6" spans="3:9" x14ac:dyDescent="0.25">
      <c r="C6" s="29" t="s">
        <v>4356</v>
      </c>
      <c r="D6" s="28" t="s">
        <v>472</v>
      </c>
      <c r="E6" s="28" t="s">
        <v>7</v>
      </c>
      <c r="F6" s="28">
        <v>-11000</v>
      </c>
      <c r="G6" s="28" t="s">
        <v>4375</v>
      </c>
      <c r="H6" s="30" t="s">
        <v>4383</v>
      </c>
    </row>
    <row r="7" spans="3:9" x14ac:dyDescent="0.25">
      <c r="C7" s="14" t="s">
        <v>4356</v>
      </c>
      <c r="D7" s="1" t="s">
        <v>4376</v>
      </c>
      <c r="E7" s="1" t="s">
        <v>7</v>
      </c>
      <c r="F7" s="1">
        <v>445.4</v>
      </c>
      <c r="G7" s="1" t="s">
        <v>4377</v>
      </c>
      <c r="H7" s="16" t="s">
        <v>4291</v>
      </c>
    </row>
    <row r="8" spans="3:9" x14ac:dyDescent="0.25">
      <c r="C8" s="14" t="s">
        <v>4356</v>
      </c>
      <c r="D8" s="1" t="s">
        <v>4376</v>
      </c>
      <c r="E8" s="1" t="s">
        <v>7</v>
      </c>
      <c r="F8" s="1">
        <v>500</v>
      </c>
      <c r="G8" s="1" t="s">
        <v>4378</v>
      </c>
      <c r="H8" s="16" t="s">
        <v>4291</v>
      </c>
    </row>
    <row r="9" spans="3:9" x14ac:dyDescent="0.25">
      <c r="C9" s="14" t="s">
        <v>4356</v>
      </c>
      <c r="D9" s="1" t="s">
        <v>4376</v>
      </c>
      <c r="E9" s="1" t="s">
        <v>7</v>
      </c>
      <c r="F9" s="1">
        <v>500</v>
      </c>
      <c r="G9" s="1" t="s">
        <v>4379</v>
      </c>
      <c r="H9" s="16" t="s">
        <v>4291</v>
      </c>
    </row>
    <row r="10" spans="3:9" x14ac:dyDescent="0.25">
      <c r="C10" s="14" t="s">
        <v>4356</v>
      </c>
      <c r="D10" s="1" t="s">
        <v>23</v>
      </c>
      <c r="E10" s="1" t="s">
        <v>7</v>
      </c>
      <c r="F10" s="1">
        <v>2000</v>
      </c>
      <c r="G10" s="1" t="s">
        <v>4380</v>
      </c>
      <c r="H10" s="16" t="s">
        <v>4386</v>
      </c>
    </row>
    <row r="11" spans="3:9" x14ac:dyDescent="0.25">
      <c r="C11" s="14" t="s">
        <v>4356</v>
      </c>
      <c r="D11" s="1" t="s">
        <v>3005</v>
      </c>
      <c r="E11" s="1" t="s">
        <v>7</v>
      </c>
      <c r="F11" s="1">
        <v>37</v>
      </c>
      <c r="G11" s="1" t="s">
        <v>4381</v>
      </c>
      <c r="H11" s="16" t="s">
        <v>386</v>
      </c>
    </row>
    <row r="12" spans="3:9" x14ac:dyDescent="0.25">
      <c r="C12" s="14" t="s">
        <v>4356</v>
      </c>
      <c r="D12" s="1" t="s">
        <v>3524</v>
      </c>
      <c r="E12" s="1" t="s">
        <v>7</v>
      </c>
      <c r="F12" s="1">
        <v>20</v>
      </c>
      <c r="G12" s="1" t="s">
        <v>4382</v>
      </c>
      <c r="H12" s="16" t="s">
        <v>4387</v>
      </c>
    </row>
    <row r="13" spans="3:9" x14ac:dyDescent="0.25">
      <c r="C13" s="14" t="s">
        <v>4356</v>
      </c>
      <c r="D13" s="1" t="s">
        <v>4357</v>
      </c>
      <c r="E13" s="1" t="s">
        <v>7</v>
      </c>
      <c r="F13" s="1">
        <v>600</v>
      </c>
      <c r="G13" s="1" t="s">
        <v>4358</v>
      </c>
      <c r="H13" s="16" t="s">
        <v>4372</v>
      </c>
    </row>
    <row r="14" spans="3:9" x14ac:dyDescent="0.25">
      <c r="C14" s="14" t="s">
        <v>4356</v>
      </c>
      <c r="D14" s="1" t="s">
        <v>4357</v>
      </c>
      <c r="E14" s="1" t="s">
        <v>7</v>
      </c>
      <c r="F14" s="1">
        <v>1000</v>
      </c>
      <c r="G14" s="1" t="s">
        <v>4359</v>
      </c>
      <c r="H14" s="16" t="s">
        <v>4372</v>
      </c>
    </row>
    <row r="15" spans="3:9" x14ac:dyDescent="0.25">
      <c r="C15" s="14" t="s">
        <v>4356</v>
      </c>
      <c r="D15" s="1" t="s">
        <v>4357</v>
      </c>
      <c r="E15" s="1" t="s">
        <v>7</v>
      </c>
      <c r="F15" s="1">
        <v>600</v>
      </c>
      <c r="G15" s="1" t="s">
        <v>4360</v>
      </c>
      <c r="H15" s="16" t="s">
        <v>4372</v>
      </c>
    </row>
    <row r="16" spans="3:9" x14ac:dyDescent="0.25">
      <c r="C16" s="14" t="s">
        <v>4356</v>
      </c>
      <c r="D16" s="1" t="s">
        <v>23</v>
      </c>
      <c r="E16" s="1" t="s">
        <v>7</v>
      </c>
      <c r="F16" s="1">
        <v>6523</v>
      </c>
      <c r="G16" s="1" t="s">
        <v>4361</v>
      </c>
      <c r="H16" s="16" t="s">
        <v>4373</v>
      </c>
    </row>
    <row r="17" spans="3:8" x14ac:dyDescent="0.25">
      <c r="C17" s="14" t="s">
        <v>4356</v>
      </c>
      <c r="D17" s="1" t="s">
        <v>23</v>
      </c>
      <c r="E17" s="1" t="s">
        <v>7</v>
      </c>
      <c r="F17" s="1">
        <v>3120</v>
      </c>
      <c r="G17" s="1" t="s">
        <v>4362</v>
      </c>
      <c r="H17" s="16" t="s">
        <v>552</v>
      </c>
    </row>
    <row r="18" spans="3:8" x14ac:dyDescent="0.25">
      <c r="C18" s="14" t="s">
        <v>4356</v>
      </c>
      <c r="D18" s="1" t="s">
        <v>23</v>
      </c>
      <c r="E18" s="1" t="s">
        <v>7</v>
      </c>
      <c r="F18" s="1">
        <v>330</v>
      </c>
      <c r="G18" s="1" t="s">
        <v>4363</v>
      </c>
      <c r="H18" s="16" t="s">
        <v>972</v>
      </c>
    </row>
    <row r="19" spans="3:8" x14ac:dyDescent="0.25">
      <c r="C19" s="14" t="s">
        <v>4356</v>
      </c>
      <c r="D19" s="1" t="s">
        <v>3542</v>
      </c>
      <c r="E19" s="1" t="s">
        <v>7</v>
      </c>
      <c r="F19" s="1">
        <v>9</v>
      </c>
      <c r="G19" s="1" t="s">
        <v>4364</v>
      </c>
      <c r="H19" s="16" t="s">
        <v>4370</v>
      </c>
    </row>
    <row r="20" spans="3:8" x14ac:dyDescent="0.25">
      <c r="C20" s="14" t="s">
        <v>4356</v>
      </c>
      <c r="D20" s="1" t="s">
        <v>356</v>
      </c>
      <c r="E20" s="1" t="s">
        <v>7</v>
      </c>
      <c r="F20" s="1">
        <v>2735.9</v>
      </c>
      <c r="G20" s="1" t="s">
        <v>4365</v>
      </c>
      <c r="H20" s="16" t="s">
        <v>2865</v>
      </c>
    </row>
    <row r="21" spans="3:8" x14ac:dyDescent="0.25">
      <c r="C21" s="14" t="s">
        <v>4356</v>
      </c>
      <c r="D21" s="1" t="s">
        <v>356</v>
      </c>
      <c r="E21" s="1" t="s">
        <v>7</v>
      </c>
      <c r="F21" s="1">
        <v>290</v>
      </c>
      <c r="G21" s="1" t="s">
        <v>4366</v>
      </c>
      <c r="H21" s="16" t="s">
        <v>4371</v>
      </c>
    </row>
    <row r="22" spans="3:8" ht="16.5" thickBot="1" x14ac:dyDescent="0.3">
      <c r="C22" s="25" t="s">
        <v>4356</v>
      </c>
      <c r="D22" s="18" t="s">
        <v>4367</v>
      </c>
      <c r="E22" s="18" t="s">
        <v>7</v>
      </c>
      <c r="F22" s="18">
        <v>4</v>
      </c>
      <c r="G22" s="18" t="s">
        <v>4368</v>
      </c>
      <c r="H22" s="27" t="s">
        <v>4369</v>
      </c>
    </row>
  </sheetData>
  <pageMargins left="0.7" right="0.7" top="0.75" bottom="0.75" header="0.3" footer="0.3"/>
  <pageSetup paperSize="256" orientation="portrait" horizontalDpi="203" verticalDpi="203" r:id="rId1"/>
</worksheet>
</file>

<file path=xl/worksheets/sheet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C9F642-64AF-40A3-88E9-D30121DEF907}">
  <sheetPr codeName="Hoja88"/>
  <dimension ref="D2:I18"/>
  <sheetViews>
    <sheetView workbookViewId="0">
      <selection activeCell="I14" sqref="I14"/>
    </sheetView>
  </sheetViews>
  <sheetFormatPr baseColWidth="10" defaultRowHeight="15.75" x14ac:dyDescent="0.25"/>
  <cols>
    <col min="4" max="4" width="11" style="3"/>
    <col min="5" max="5" width="23.25" style="3" customWidth="1"/>
    <col min="6" max="7" width="11" style="3"/>
    <col min="8" max="8" width="20.125" style="3" customWidth="1"/>
    <col min="9" max="9" width="28.75" style="3" bestFit="1" customWidth="1"/>
  </cols>
  <sheetData>
    <row r="2" spans="4:9" ht="16.5" thickBot="1" x14ac:dyDescent="0.3"/>
    <row r="3" spans="4:9" x14ac:dyDescent="0.25">
      <c r="D3" s="11" t="s">
        <v>0</v>
      </c>
      <c r="E3" s="12" t="s">
        <v>1</v>
      </c>
      <c r="F3" s="12" t="s">
        <v>2</v>
      </c>
      <c r="G3" s="12" t="s">
        <v>3</v>
      </c>
      <c r="H3" s="12" t="s">
        <v>4</v>
      </c>
      <c r="I3" s="13"/>
    </row>
    <row r="4" spans="4:9" x14ac:dyDescent="0.25">
      <c r="D4" s="29" t="s">
        <v>4388</v>
      </c>
      <c r="E4" s="28" t="s">
        <v>472</v>
      </c>
      <c r="F4" s="28" t="s">
        <v>7</v>
      </c>
      <c r="G4" s="28">
        <v>-7000</v>
      </c>
      <c r="H4" s="28" t="s">
        <v>4417</v>
      </c>
      <c r="I4" s="30" t="s">
        <v>4383</v>
      </c>
    </row>
    <row r="5" spans="4:9" x14ac:dyDescent="0.25">
      <c r="D5" s="14" t="s">
        <v>4388</v>
      </c>
      <c r="E5" s="1" t="s">
        <v>356</v>
      </c>
      <c r="F5" s="1" t="s">
        <v>7</v>
      </c>
      <c r="G5" s="1">
        <v>15</v>
      </c>
      <c r="H5" s="1" t="s">
        <v>4415</v>
      </c>
      <c r="I5" s="16" t="s">
        <v>4416</v>
      </c>
    </row>
    <row r="6" spans="4:9" x14ac:dyDescent="0.25">
      <c r="D6" s="14" t="s">
        <v>4388</v>
      </c>
      <c r="E6" s="1" t="s">
        <v>2625</v>
      </c>
      <c r="F6" s="1" t="s">
        <v>7</v>
      </c>
      <c r="G6" s="1">
        <v>51</v>
      </c>
      <c r="H6" s="1" t="s">
        <v>4405</v>
      </c>
      <c r="I6" s="16" t="s">
        <v>52</v>
      </c>
    </row>
    <row r="7" spans="4:9" x14ac:dyDescent="0.25">
      <c r="D7" s="14" t="s">
        <v>4388</v>
      </c>
      <c r="E7" s="1" t="s">
        <v>4389</v>
      </c>
      <c r="F7" s="1" t="s">
        <v>7</v>
      </c>
      <c r="G7" s="1">
        <v>111</v>
      </c>
      <c r="H7" s="1" t="s">
        <v>4390</v>
      </c>
      <c r="I7" s="16" t="s">
        <v>347</v>
      </c>
    </row>
    <row r="8" spans="4:9" x14ac:dyDescent="0.25">
      <c r="D8" s="14" t="s">
        <v>4388</v>
      </c>
      <c r="E8" s="1" t="s">
        <v>3126</v>
      </c>
      <c r="F8" s="1" t="s">
        <v>7</v>
      </c>
      <c r="G8" s="1">
        <v>20.5</v>
      </c>
      <c r="H8" s="1" t="s">
        <v>4391</v>
      </c>
      <c r="I8" s="16" t="s">
        <v>4414</v>
      </c>
    </row>
    <row r="9" spans="4:9" x14ac:dyDescent="0.25">
      <c r="D9" s="14" t="s">
        <v>4388</v>
      </c>
      <c r="E9" s="1" t="s">
        <v>4392</v>
      </c>
      <c r="F9" s="1" t="s">
        <v>7</v>
      </c>
      <c r="G9" s="1">
        <v>4</v>
      </c>
      <c r="H9" s="1" t="s">
        <v>4393</v>
      </c>
      <c r="I9" s="16" t="s">
        <v>4413</v>
      </c>
    </row>
    <row r="10" spans="4:9" x14ac:dyDescent="0.25">
      <c r="D10" s="14" t="s">
        <v>4388</v>
      </c>
      <c r="E10" s="1" t="s">
        <v>23</v>
      </c>
      <c r="F10" s="1" t="s">
        <v>7</v>
      </c>
      <c r="G10" s="1">
        <v>3305.6</v>
      </c>
      <c r="H10" s="1" t="s">
        <v>4394</v>
      </c>
      <c r="I10" s="16" t="s">
        <v>1270</v>
      </c>
    </row>
    <row r="11" spans="4:9" x14ac:dyDescent="0.25">
      <c r="D11" s="14" t="s">
        <v>4388</v>
      </c>
      <c r="E11" s="1" t="s">
        <v>23</v>
      </c>
      <c r="F11" s="1" t="s">
        <v>7</v>
      </c>
      <c r="G11" s="1">
        <v>96</v>
      </c>
      <c r="H11" s="1" t="s">
        <v>4395</v>
      </c>
      <c r="I11" s="16" t="s">
        <v>4412</v>
      </c>
    </row>
    <row r="12" spans="4:9" x14ac:dyDescent="0.25">
      <c r="D12" s="14" t="s">
        <v>4388</v>
      </c>
      <c r="E12" s="1" t="s">
        <v>3619</v>
      </c>
      <c r="F12" s="1" t="s">
        <v>7</v>
      </c>
      <c r="G12" s="1">
        <v>52</v>
      </c>
      <c r="H12" s="1" t="s">
        <v>4396</v>
      </c>
      <c r="I12" s="16" t="s">
        <v>2209</v>
      </c>
    </row>
    <row r="13" spans="4:9" x14ac:dyDescent="0.25">
      <c r="D13" s="14" t="s">
        <v>4388</v>
      </c>
      <c r="E13" s="1" t="s">
        <v>4397</v>
      </c>
      <c r="F13" s="1" t="s">
        <v>7</v>
      </c>
      <c r="G13" s="1">
        <v>2</v>
      </c>
      <c r="H13" s="1" t="s">
        <v>4398</v>
      </c>
      <c r="I13" s="16" t="s">
        <v>4411</v>
      </c>
    </row>
    <row r="14" spans="4:9" x14ac:dyDescent="0.25">
      <c r="D14" s="14" t="s">
        <v>4388</v>
      </c>
      <c r="E14" s="1" t="s">
        <v>4399</v>
      </c>
      <c r="F14" s="1" t="s">
        <v>7</v>
      </c>
      <c r="G14" s="1">
        <v>10</v>
      </c>
      <c r="H14" s="1" t="s">
        <v>4400</v>
      </c>
      <c r="I14" s="16" t="s">
        <v>4410</v>
      </c>
    </row>
    <row r="15" spans="4:9" x14ac:dyDescent="0.25">
      <c r="D15" s="14" t="s">
        <v>4388</v>
      </c>
      <c r="E15" s="1" t="s">
        <v>4299</v>
      </c>
      <c r="F15" s="1" t="s">
        <v>7</v>
      </c>
      <c r="G15" s="1">
        <v>9</v>
      </c>
      <c r="H15" s="1" t="s">
        <v>4401</v>
      </c>
      <c r="I15" s="16" t="s">
        <v>4409</v>
      </c>
    </row>
    <row r="16" spans="4:9" x14ac:dyDescent="0.25">
      <c r="D16" s="29" t="s">
        <v>4388</v>
      </c>
      <c r="E16" s="28" t="s">
        <v>1492</v>
      </c>
      <c r="F16" s="28" t="s">
        <v>7</v>
      </c>
      <c r="G16" s="28">
        <v>-84</v>
      </c>
      <c r="H16" s="28" t="s">
        <v>4402</v>
      </c>
      <c r="I16" s="30" t="s">
        <v>4408</v>
      </c>
    </row>
    <row r="17" spans="4:9" x14ac:dyDescent="0.25">
      <c r="D17" s="29" t="s">
        <v>4388</v>
      </c>
      <c r="E17" s="28" t="s">
        <v>2056</v>
      </c>
      <c r="F17" s="28" t="s">
        <v>7</v>
      </c>
      <c r="G17" s="28">
        <v>-61.73</v>
      </c>
      <c r="H17" s="28" t="s">
        <v>4403</v>
      </c>
      <c r="I17" s="30" t="s">
        <v>4407</v>
      </c>
    </row>
    <row r="18" spans="4:9" ht="16.5" thickBot="1" x14ac:dyDescent="0.3">
      <c r="D18" s="137" t="s">
        <v>4388</v>
      </c>
      <c r="E18" s="138" t="s">
        <v>1494</v>
      </c>
      <c r="F18" s="138" t="s">
        <v>7</v>
      </c>
      <c r="G18" s="138">
        <v>-94.48</v>
      </c>
      <c r="H18" s="138" t="s">
        <v>4404</v>
      </c>
      <c r="I18" s="139" t="s">
        <v>4406</v>
      </c>
    </row>
  </sheetData>
  <pageMargins left="0.7" right="0.7" top="0.75" bottom="0.75" header="0.3" footer="0.3"/>
  <pageSetup paperSize="256" orientation="portrait" horizontalDpi="203" verticalDpi="203" r:id="rId1"/>
</worksheet>
</file>

<file path=xl/worksheets/sheet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771996-D2D5-490F-B55A-61D338FE0F01}">
  <sheetPr codeName="Hoja89"/>
  <dimension ref="D2:J28"/>
  <sheetViews>
    <sheetView workbookViewId="0">
      <selection activeCell="G17" sqref="G17"/>
    </sheetView>
  </sheetViews>
  <sheetFormatPr baseColWidth="10" defaultRowHeight="15.75" x14ac:dyDescent="0.25"/>
  <cols>
    <col min="4" max="4" width="11" style="3"/>
    <col min="5" max="5" width="30.375" style="3" customWidth="1"/>
    <col min="6" max="7" width="11" style="3"/>
    <col min="8" max="8" width="18.75" style="3" bestFit="1" customWidth="1"/>
    <col min="9" max="9" width="39.5" style="3" bestFit="1" customWidth="1"/>
    <col min="10" max="10" width="11" style="3"/>
  </cols>
  <sheetData>
    <row r="2" spans="4:9" ht="16.5" thickBot="1" x14ac:dyDescent="0.3"/>
    <row r="3" spans="4:9" x14ac:dyDescent="0.25">
      <c r="D3" s="11" t="s">
        <v>0</v>
      </c>
      <c r="E3" s="12" t="s">
        <v>1</v>
      </c>
      <c r="F3" s="12" t="s">
        <v>2</v>
      </c>
      <c r="G3" s="12" t="s">
        <v>3</v>
      </c>
      <c r="H3" s="12" t="s">
        <v>4</v>
      </c>
      <c r="I3" s="13"/>
    </row>
    <row r="4" spans="4:9" x14ac:dyDescent="0.25">
      <c r="D4" s="148"/>
      <c r="E4" s="149"/>
      <c r="F4" s="149"/>
      <c r="G4" s="149"/>
      <c r="H4" s="149"/>
      <c r="I4" s="150"/>
    </row>
    <row r="5" spans="4:9" x14ac:dyDescent="0.25">
      <c r="D5" s="29" t="s">
        <v>4418</v>
      </c>
      <c r="E5" s="28" t="s">
        <v>472</v>
      </c>
      <c r="F5" s="28" t="s">
        <v>7</v>
      </c>
      <c r="G5" s="28">
        <v>-7444.8</v>
      </c>
      <c r="H5" s="28" t="s">
        <v>4444</v>
      </c>
      <c r="I5" s="30" t="s">
        <v>4452</v>
      </c>
    </row>
    <row r="6" spans="4:9" x14ac:dyDescent="0.25">
      <c r="D6" s="29" t="s">
        <v>4418</v>
      </c>
      <c r="E6" s="28" t="s">
        <v>472</v>
      </c>
      <c r="F6" s="28" t="s">
        <v>7</v>
      </c>
      <c r="G6" s="28">
        <v>-3224</v>
      </c>
      <c r="H6" s="28" t="s">
        <v>4445</v>
      </c>
      <c r="I6" s="30" t="s">
        <v>4451</v>
      </c>
    </row>
    <row r="7" spans="4:9" x14ac:dyDescent="0.25">
      <c r="D7" s="14" t="s">
        <v>4418</v>
      </c>
      <c r="E7" s="1" t="s">
        <v>23</v>
      </c>
      <c r="F7" s="1" t="s">
        <v>7</v>
      </c>
      <c r="G7" s="1">
        <v>2000</v>
      </c>
      <c r="H7" s="1" t="s">
        <v>4446</v>
      </c>
      <c r="I7" s="16" t="s">
        <v>4453</v>
      </c>
    </row>
    <row r="8" spans="4:9" x14ac:dyDescent="0.25">
      <c r="D8" s="14" t="s">
        <v>4418</v>
      </c>
      <c r="E8" s="1" t="s">
        <v>23</v>
      </c>
      <c r="F8" s="1" t="s">
        <v>7</v>
      </c>
      <c r="G8" s="1">
        <v>3200</v>
      </c>
      <c r="H8" s="1" t="s">
        <v>4447</v>
      </c>
      <c r="I8" s="16" t="s">
        <v>4454</v>
      </c>
    </row>
    <row r="9" spans="4:9" x14ac:dyDescent="0.25">
      <c r="D9" s="14" t="s">
        <v>4418</v>
      </c>
      <c r="E9" s="1" t="s">
        <v>4448</v>
      </c>
      <c r="F9" s="1" t="s">
        <v>7</v>
      </c>
      <c r="G9" s="1">
        <v>210</v>
      </c>
      <c r="H9" s="1" t="s">
        <v>4449</v>
      </c>
      <c r="I9" s="16" t="s">
        <v>4455</v>
      </c>
    </row>
    <row r="10" spans="4:9" x14ac:dyDescent="0.25">
      <c r="D10" s="14" t="s">
        <v>4418</v>
      </c>
      <c r="E10" s="1" t="s">
        <v>4448</v>
      </c>
      <c r="F10" s="1" t="s">
        <v>7</v>
      </c>
      <c r="G10" s="1">
        <v>18</v>
      </c>
      <c r="H10" s="1" t="s">
        <v>4450</v>
      </c>
      <c r="I10" s="16" t="s">
        <v>4455</v>
      </c>
    </row>
    <row r="11" spans="4:9" x14ac:dyDescent="0.25">
      <c r="D11" s="14" t="s">
        <v>4418</v>
      </c>
      <c r="E11" s="1" t="s">
        <v>23</v>
      </c>
      <c r="F11" s="1" t="s">
        <v>7</v>
      </c>
      <c r="G11" s="1">
        <v>1567</v>
      </c>
      <c r="H11" s="1" t="s">
        <v>4419</v>
      </c>
      <c r="I11" s="16" t="s">
        <v>738</v>
      </c>
    </row>
    <row r="12" spans="4:9" x14ac:dyDescent="0.25">
      <c r="D12" s="14" t="s">
        <v>4418</v>
      </c>
      <c r="E12" s="1" t="s">
        <v>4420</v>
      </c>
      <c r="F12" s="1" t="s">
        <v>7</v>
      </c>
      <c r="G12" s="1">
        <v>200</v>
      </c>
      <c r="H12" s="1" t="s">
        <v>4421</v>
      </c>
      <c r="I12" s="16" t="s">
        <v>1270</v>
      </c>
    </row>
    <row r="13" spans="4:9" x14ac:dyDescent="0.25">
      <c r="D13" s="14" t="s">
        <v>4418</v>
      </c>
      <c r="E13" s="1" t="s">
        <v>23</v>
      </c>
      <c r="F13" s="1" t="s">
        <v>7</v>
      </c>
      <c r="G13" s="1">
        <v>1465</v>
      </c>
      <c r="H13" s="1" t="s">
        <v>4422</v>
      </c>
      <c r="I13" s="16" t="s">
        <v>1270</v>
      </c>
    </row>
    <row r="14" spans="4:9" x14ac:dyDescent="0.25">
      <c r="D14" s="14" t="s">
        <v>4418</v>
      </c>
      <c r="E14" s="1" t="s">
        <v>4420</v>
      </c>
      <c r="F14" s="1" t="s">
        <v>7</v>
      </c>
      <c r="G14" s="1">
        <v>500</v>
      </c>
      <c r="H14" s="1" t="s">
        <v>4423</v>
      </c>
      <c r="I14" s="16" t="s">
        <v>1270</v>
      </c>
    </row>
    <row r="15" spans="4:9" x14ac:dyDescent="0.25">
      <c r="D15" s="14" t="s">
        <v>4418</v>
      </c>
      <c r="E15" s="1" t="s">
        <v>4420</v>
      </c>
      <c r="F15" s="1" t="s">
        <v>7</v>
      </c>
      <c r="G15" s="1">
        <v>500</v>
      </c>
      <c r="H15" s="1" t="s">
        <v>4424</v>
      </c>
      <c r="I15" s="16" t="s">
        <v>1270</v>
      </c>
    </row>
    <row r="16" spans="4:9" x14ac:dyDescent="0.25">
      <c r="D16" s="14" t="s">
        <v>4418</v>
      </c>
      <c r="E16" s="1" t="s">
        <v>23</v>
      </c>
      <c r="F16" s="1" t="s">
        <v>7</v>
      </c>
      <c r="G16" s="1">
        <v>317</v>
      </c>
      <c r="H16" s="1" t="s">
        <v>4425</v>
      </c>
      <c r="I16" s="16" t="s">
        <v>660</v>
      </c>
    </row>
    <row r="17" spans="4:9" x14ac:dyDescent="0.25">
      <c r="D17" s="14" t="s">
        <v>4418</v>
      </c>
      <c r="E17" s="1" t="s">
        <v>3126</v>
      </c>
      <c r="F17" s="1" t="s">
        <v>7</v>
      </c>
      <c r="G17" s="1">
        <v>34.5</v>
      </c>
      <c r="H17" s="1" t="s">
        <v>4426</v>
      </c>
      <c r="I17" s="16" t="s">
        <v>4441</v>
      </c>
    </row>
    <row r="18" spans="4:9" x14ac:dyDescent="0.25">
      <c r="D18" s="14" t="s">
        <v>4418</v>
      </c>
      <c r="E18" s="1" t="s">
        <v>192</v>
      </c>
      <c r="F18" s="1" t="s">
        <v>7</v>
      </c>
      <c r="G18" s="1">
        <v>3131.5</v>
      </c>
      <c r="H18" s="1" t="s">
        <v>4427</v>
      </c>
      <c r="I18" s="16" t="s">
        <v>4443</v>
      </c>
    </row>
    <row r="19" spans="4:9" x14ac:dyDescent="0.25">
      <c r="D19" s="14" t="s">
        <v>4418</v>
      </c>
      <c r="E19" s="1" t="s">
        <v>23</v>
      </c>
      <c r="F19" s="1" t="s">
        <v>7</v>
      </c>
      <c r="G19" s="1">
        <v>305.8</v>
      </c>
      <c r="H19" s="1" t="s">
        <v>4428</v>
      </c>
      <c r="I19" s="16" t="s">
        <v>142</v>
      </c>
    </row>
    <row r="20" spans="4:9" x14ac:dyDescent="0.25">
      <c r="D20" s="14" t="s">
        <v>4418</v>
      </c>
      <c r="E20" s="1" t="s">
        <v>4429</v>
      </c>
      <c r="F20" s="1" t="s">
        <v>7</v>
      </c>
      <c r="G20" s="1">
        <v>23</v>
      </c>
      <c r="H20" s="1" t="s">
        <v>4430</v>
      </c>
      <c r="I20" s="16" t="s">
        <v>4440</v>
      </c>
    </row>
    <row r="21" spans="4:9" x14ac:dyDescent="0.25">
      <c r="D21" s="14" t="s">
        <v>4418</v>
      </c>
      <c r="E21" s="1" t="s">
        <v>2625</v>
      </c>
      <c r="F21" s="1" t="s">
        <v>7</v>
      </c>
      <c r="G21" s="1">
        <v>36</v>
      </c>
      <c r="H21" s="1" t="s">
        <v>4431</v>
      </c>
      <c r="I21" s="16" t="s">
        <v>52</v>
      </c>
    </row>
    <row r="22" spans="4:9" x14ac:dyDescent="0.25">
      <c r="D22" s="14" t="s">
        <v>4418</v>
      </c>
      <c r="E22" s="1" t="s">
        <v>797</v>
      </c>
      <c r="F22" s="1" t="s">
        <v>7</v>
      </c>
      <c r="G22" s="1">
        <v>177</v>
      </c>
      <c r="H22" s="1" t="s">
        <v>4432</v>
      </c>
      <c r="I22" s="16" t="s">
        <v>63</v>
      </c>
    </row>
    <row r="23" spans="4:9" x14ac:dyDescent="0.25">
      <c r="D23" s="14" t="s">
        <v>4418</v>
      </c>
      <c r="E23" s="1" t="s">
        <v>23</v>
      </c>
      <c r="F23" s="1" t="s">
        <v>7</v>
      </c>
      <c r="G23" s="1">
        <v>2278.4</v>
      </c>
      <c r="H23" s="1" t="s">
        <v>4433</v>
      </c>
      <c r="I23" s="16" t="s">
        <v>4442</v>
      </c>
    </row>
    <row r="24" spans="4:9" x14ac:dyDescent="0.25">
      <c r="D24" s="14" t="s">
        <v>4418</v>
      </c>
      <c r="E24" s="1" t="s">
        <v>2625</v>
      </c>
      <c r="F24" s="1" t="s">
        <v>7</v>
      </c>
      <c r="G24" s="1">
        <v>462</v>
      </c>
      <c r="H24" s="1" t="s">
        <v>4434</v>
      </c>
      <c r="I24" s="16" t="s">
        <v>52</v>
      </c>
    </row>
    <row r="25" spans="4:9" x14ac:dyDescent="0.25">
      <c r="D25" s="14" t="s">
        <v>4418</v>
      </c>
      <c r="E25" s="1" t="s">
        <v>4435</v>
      </c>
      <c r="F25" s="1" t="s">
        <v>7</v>
      </c>
      <c r="G25" s="1">
        <v>13</v>
      </c>
      <c r="H25" s="1" t="s">
        <v>4436</v>
      </c>
      <c r="I25" s="16" t="s">
        <v>4439</v>
      </c>
    </row>
    <row r="26" spans="4:9" ht="16.5" thickBot="1" x14ac:dyDescent="0.3">
      <c r="D26" s="25" t="s">
        <v>4418</v>
      </c>
      <c r="E26" s="18" t="s">
        <v>4435</v>
      </c>
      <c r="F26" s="18" t="s">
        <v>7</v>
      </c>
      <c r="G26" s="18">
        <v>18</v>
      </c>
      <c r="H26" s="18" t="s">
        <v>4437</v>
      </c>
      <c r="I26" s="27" t="s">
        <v>4438</v>
      </c>
    </row>
    <row r="28" spans="4:9" x14ac:dyDescent="0.25">
      <c r="D28" s="1" t="s">
        <v>4418</v>
      </c>
      <c r="E28" s="1" t="s">
        <v>4487</v>
      </c>
      <c r="F28" s="1" t="s">
        <v>7</v>
      </c>
      <c r="G28" s="1">
        <v>360</v>
      </c>
      <c r="H28" s="1">
        <v>5818471</v>
      </c>
      <c r="I28" s="1" t="s">
        <v>3167</v>
      </c>
    </row>
  </sheetData>
  <pageMargins left="0.7" right="0.7" top="0.75" bottom="0.75" header="0.3" footer="0.3"/>
  <pageSetup paperSize="256" orientation="portrait" horizontalDpi="203" verticalDpi="203" r:id="rId1"/>
</worksheet>
</file>

<file path=xl/worksheets/sheet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02B6E6-35DC-4E96-A3B9-ED5B43BEE610}">
  <sheetPr codeName="Hoja90"/>
  <dimension ref="E3:J25"/>
  <sheetViews>
    <sheetView workbookViewId="0">
      <selection activeCell="D2" sqref="D2:K26"/>
    </sheetView>
  </sheetViews>
  <sheetFormatPr baseColWidth="10" defaultRowHeight="15.75" x14ac:dyDescent="0.25"/>
  <cols>
    <col min="5" max="5" width="11" style="3"/>
    <col min="6" max="6" width="25.5" style="3" customWidth="1"/>
    <col min="7" max="8" width="11" style="3"/>
    <col min="9" max="9" width="21.75" style="3" customWidth="1"/>
    <col min="10" max="10" width="45.875" style="3" bestFit="1" customWidth="1"/>
  </cols>
  <sheetData>
    <row r="3" spans="5:10" x14ac:dyDescent="0.25">
      <c r="E3" s="1" t="s">
        <v>0</v>
      </c>
      <c r="F3" s="1" t="s">
        <v>1</v>
      </c>
      <c r="G3" s="1" t="s">
        <v>2</v>
      </c>
      <c r="H3" s="1" t="s">
        <v>3</v>
      </c>
      <c r="I3" s="1" t="s">
        <v>4</v>
      </c>
      <c r="J3" s="1"/>
    </row>
    <row r="4" spans="5:10" x14ac:dyDescent="0.25">
      <c r="E4" s="1"/>
      <c r="F4" s="1"/>
      <c r="G4" s="1"/>
      <c r="H4" s="1"/>
      <c r="I4" s="1"/>
      <c r="J4" s="1"/>
    </row>
    <row r="5" spans="5:10" x14ac:dyDescent="0.25">
      <c r="E5" s="28" t="s">
        <v>4456</v>
      </c>
      <c r="F5" s="28" t="s">
        <v>598</v>
      </c>
      <c r="G5" s="28" t="s">
        <v>7</v>
      </c>
      <c r="H5" s="28">
        <v>-7724.68</v>
      </c>
      <c r="I5" s="28" t="s">
        <v>4460</v>
      </c>
      <c r="J5" s="28" t="s">
        <v>4491</v>
      </c>
    </row>
    <row r="6" spans="5:10" x14ac:dyDescent="0.25">
      <c r="E6" s="1" t="s">
        <v>4456</v>
      </c>
      <c r="F6" s="1" t="s">
        <v>2887</v>
      </c>
      <c r="G6" s="1" t="s">
        <v>7</v>
      </c>
      <c r="H6" s="1">
        <v>100</v>
      </c>
      <c r="I6" s="1" t="s">
        <v>4461</v>
      </c>
      <c r="J6" s="1" t="s">
        <v>3267</v>
      </c>
    </row>
    <row r="7" spans="5:10" x14ac:dyDescent="0.25">
      <c r="E7" s="1" t="s">
        <v>4456</v>
      </c>
      <c r="F7" s="1" t="s">
        <v>4462</v>
      </c>
      <c r="G7" s="1" t="s">
        <v>7</v>
      </c>
      <c r="H7" s="1">
        <v>240</v>
      </c>
      <c r="I7" s="1" t="s">
        <v>4463</v>
      </c>
      <c r="J7" s="1" t="s">
        <v>4493</v>
      </c>
    </row>
    <row r="8" spans="5:10" x14ac:dyDescent="0.25">
      <c r="E8" s="1" t="s">
        <v>4456</v>
      </c>
      <c r="F8" s="1" t="s">
        <v>4462</v>
      </c>
      <c r="G8" s="1" t="s">
        <v>7</v>
      </c>
      <c r="H8" s="1">
        <v>500</v>
      </c>
      <c r="I8" s="1" t="s">
        <v>4464</v>
      </c>
      <c r="J8" s="1" t="s">
        <v>4493</v>
      </c>
    </row>
    <row r="9" spans="5:10" x14ac:dyDescent="0.25">
      <c r="E9" s="1" t="s">
        <v>4456</v>
      </c>
      <c r="F9" s="1" t="s">
        <v>2625</v>
      </c>
      <c r="G9" s="1" t="s">
        <v>7</v>
      </c>
      <c r="H9" s="1">
        <v>430.5</v>
      </c>
      <c r="I9" s="1" t="s">
        <v>4465</v>
      </c>
      <c r="J9" s="1" t="s">
        <v>52</v>
      </c>
    </row>
    <row r="10" spans="5:10" x14ac:dyDescent="0.25">
      <c r="E10" s="1" t="s">
        <v>4456</v>
      </c>
      <c r="F10" s="1" t="s">
        <v>23</v>
      </c>
      <c r="G10" s="1" t="s">
        <v>7</v>
      </c>
      <c r="H10" s="1">
        <v>1755</v>
      </c>
      <c r="I10" s="1" t="s">
        <v>4466</v>
      </c>
      <c r="J10" s="1" t="s">
        <v>4480</v>
      </c>
    </row>
    <row r="11" spans="5:10" x14ac:dyDescent="0.25">
      <c r="E11" s="1" t="s">
        <v>4456</v>
      </c>
      <c r="F11" s="1" t="s">
        <v>4448</v>
      </c>
      <c r="G11" s="1" t="s">
        <v>7</v>
      </c>
      <c r="H11" s="1">
        <v>217</v>
      </c>
      <c r="I11" s="1" t="s">
        <v>4467</v>
      </c>
      <c r="J11" s="1" t="s">
        <v>2581</v>
      </c>
    </row>
    <row r="12" spans="5:10" x14ac:dyDescent="0.25">
      <c r="E12" s="28" t="s">
        <v>4456</v>
      </c>
      <c r="F12" s="28" t="s">
        <v>3005</v>
      </c>
      <c r="G12" s="28" t="s">
        <v>7</v>
      </c>
      <c r="H12" s="28">
        <v>-15</v>
      </c>
      <c r="I12" s="28" t="s">
        <v>4468</v>
      </c>
      <c r="J12" s="28" t="s">
        <v>4482</v>
      </c>
    </row>
    <row r="13" spans="5:10" x14ac:dyDescent="0.25">
      <c r="E13" s="28" t="s">
        <v>4456</v>
      </c>
      <c r="F13" s="28" t="s">
        <v>2625</v>
      </c>
      <c r="G13" s="28" t="s">
        <v>7</v>
      </c>
      <c r="H13" s="28">
        <v>-332</v>
      </c>
      <c r="I13" s="28" t="s">
        <v>4469</v>
      </c>
      <c r="J13" s="28" t="s">
        <v>4483</v>
      </c>
    </row>
    <row r="14" spans="5:10" x14ac:dyDescent="0.25">
      <c r="E14" s="28" t="s">
        <v>4456</v>
      </c>
      <c r="F14" s="28" t="s">
        <v>2625</v>
      </c>
      <c r="G14" s="28" t="s">
        <v>7</v>
      </c>
      <c r="H14" s="28">
        <v>-500</v>
      </c>
      <c r="I14" s="28" t="s">
        <v>4470</v>
      </c>
      <c r="J14" s="28" t="s">
        <v>4483</v>
      </c>
    </row>
    <row r="15" spans="5:10" x14ac:dyDescent="0.25">
      <c r="E15" s="1" t="s">
        <v>4456</v>
      </c>
      <c r="F15" s="1" t="s">
        <v>4435</v>
      </c>
      <c r="G15" s="1" t="s">
        <v>7</v>
      </c>
      <c r="H15" s="1">
        <v>5</v>
      </c>
      <c r="I15" s="1" t="s">
        <v>4471</v>
      </c>
      <c r="J15" s="1" t="s">
        <v>4490</v>
      </c>
    </row>
    <row r="16" spans="5:10" x14ac:dyDescent="0.25">
      <c r="E16" s="1" t="s">
        <v>4456</v>
      </c>
      <c r="F16" s="1" t="s">
        <v>4472</v>
      </c>
      <c r="G16" s="1" t="s">
        <v>7</v>
      </c>
      <c r="H16" s="1">
        <v>78</v>
      </c>
      <c r="I16" s="1" t="s">
        <v>4473</v>
      </c>
      <c r="J16" s="1" t="s">
        <v>4489</v>
      </c>
    </row>
    <row r="17" spans="5:10" x14ac:dyDescent="0.25">
      <c r="E17" s="1" t="s">
        <v>4456</v>
      </c>
      <c r="F17" s="1" t="s">
        <v>4448</v>
      </c>
      <c r="G17" s="1" t="s">
        <v>7</v>
      </c>
      <c r="H17" s="1">
        <v>18</v>
      </c>
      <c r="I17" s="1" t="s">
        <v>4474</v>
      </c>
      <c r="J17" s="1" t="s">
        <v>4492</v>
      </c>
    </row>
    <row r="18" spans="5:10" x14ac:dyDescent="0.25">
      <c r="E18" s="1" t="s">
        <v>4456</v>
      </c>
      <c r="F18" s="1" t="s">
        <v>3126</v>
      </c>
      <c r="G18" s="1" t="s">
        <v>7</v>
      </c>
      <c r="H18" s="1">
        <v>17</v>
      </c>
      <c r="I18" s="1" t="s">
        <v>4475</v>
      </c>
      <c r="J18" s="1" t="s">
        <v>4488</v>
      </c>
    </row>
    <row r="19" spans="5:10" x14ac:dyDescent="0.25">
      <c r="E19" s="1" t="s">
        <v>4456</v>
      </c>
      <c r="F19" s="1" t="s">
        <v>23</v>
      </c>
      <c r="G19" s="1" t="s">
        <v>7</v>
      </c>
      <c r="H19" s="1">
        <v>10000</v>
      </c>
      <c r="I19" s="1" t="s">
        <v>4476</v>
      </c>
      <c r="J19" s="1" t="s">
        <v>1924</v>
      </c>
    </row>
    <row r="20" spans="5:10" x14ac:dyDescent="0.25">
      <c r="E20" s="1" t="s">
        <v>4456</v>
      </c>
      <c r="F20" s="1" t="s">
        <v>23</v>
      </c>
      <c r="G20" s="1" t="s">
        <v>7</v>
      </c>
      <c r="H20" s="1">
        <v>6252</v>
      </c>
      <c r="I20" s="1" t="s">
        <v>4477</v>
      </c>
      <c r="J20" s="1" t="s">
        <v>738</v>
      </c>
    </row>
    <row r="21" spans="5:10" x14ac:dyDescent="0.25">
      <c r="E21" s="1" t="s">
        <v>4456</v>
      </c>
      <c r="F21" s="1" t="s">
        <v>2887</v>
      </c>
      <c r="G21" s="1" t="s">
        <v>7</v>
      </c>
      <c r="H21" s="1">
        <v>12</v>
      </c>
      <c r="I21" s="1" t="s">
        <v>4478</v>
      </c>
      <c r="J21" s="1" t="s">
        <v>4486</v>
      </c>
    </row>
    <row r="22" spans="5:10" x14ac:dyDescent="0.25">
      <c r="E22" s="1" t="s">
        <v>4456</v>
      </c>
      <c r="F22" s="1" t="s">
        <v>2887</v>
      </c>
      <c r="G22" s="1" t="s">
        <v>7</v>
      </c>
      <c r="H22" s="1">
        <v>35</v>
      </c>
      <c r="I22" s="1" t="s">
        <v>4479</v>
      </c>
      <c r="J22" s="1" t="s">
        <v>4485</v>
      </c>
    </row>
    <row r="23" spans="5:10" x14ac:dyDescent="0.25">
      <c r="E23" s="1" t="s">
        <v>4456</v>
      </c>
      <c r="F23" s="1" t="s">
        <v>122</v>
      </c>
      <c r="G23" s="1" t="s">
        <v>7</v>
      </c>
      <c r="H23" s="1">
        <v>45</v>
      </c>
      <c r="I23" s="1" t="s">
        <v>4457</v>
      </c>
      <c r="J23" s="1" t="s">
        <v>4484</v>
      </c>
    </row>
    <row r="24" spans="5:10" x14ac:dyDescent="0.25">
      <c r="E24" s="28" t="s">
        <v>4456</v>
      </c>
      <c r="F24" s="28" t="s">
        <v>2625</v>
      </c>
      <c r="G24" s="28" t="s">
        <v>7</v>
      </c>
      <c r="H24" s="28">
        <v>-29</v>
      </c>
      <c r="I24" s="28" t="s">
        <v>4458</v>
      </c>
      <c r="J24" s="28" t="s">
        <v>4481</v>
      </c>
    </row>
    <row r="25" spans="5:10" x14ac:dyDescent="0.25">
      <c r="E25" s="1" t="s">
        <v>4456</v>
      </c>
      <c r="F25" s="1" t="s">
        <v>23</v>
      </c>
      <c r="G25" s="1" t="s">
        <v>7</v>
      </c>
      <c r="H25" s="1">
        <v>1000</v>
      </c>
      <c r="I25" s="1" t="s">
        <v>4459</v>
      </c>
      <c r="J25" s="1" t="s">
        <v>4480</v>
      </c>
    </row>
  </sheetData>
  <pageMargins left="0.7" right="0.7" top="0.75" bottom="0.75" header="0.3" footer="0.3"/>
  <pageSetup paperSize="256" orientation="portrait" horizontalDpi="203" verticalDpi="203" r:id="rId1"/>
</worksheet>
</file>

<file path=xl/worksheets/sheet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BF52E3-F499-4776-8869-64A2E120417D}">
  <sheetPr codeName="Hoja91"/>
  <dimension ref="C3:I38"/>
  <sheetViews>
    <sheetView workbookViewId="0">
      <selection activeCell="C2" sqref="C2:J39"/>
    </sheetView>
  </sheetViews>
  <sheetFormatPr baseColWidth="10" defaultRowHeight="15.75" x14ac:dyDescent="0.25"/>
  <cols>
    <col min="3" max="3" width="11" style="3"/>
    <col min="4" max="4" width="15.625" style="3" customWidth="1"/>
    <col min="5" max="5" width="24.375" style="3" customWidth="1"/>
    <col min="6" max="7" width="11" style="3"/>
    <col min="8" max="8" width="18.75" style="3" bestFit="1" customWidth="1"/>
    <col min="9" max="9" width="37.75" style="3" customWidth="1"/>
  </cols>
  <sheetData>
    <row r="3" spans="4:9" x14ac:dyDescent="0.25">
      <c r="D3" s="1" t="s">
        <v>0</v>
      </c>
      <c r="E3" s="1" t="s">
        <v>1</v>
      </c>
      <c r="F3" s="1" t="s">
        <v>2</v>
      </c>
      <c r="G3" s="1" t="s">
        <v>3</v>
      </c>
      <c r="H3" s="1" t="s">
        <v>4</v>
      </c>
      <c r="I3" s="1"/>
    </row>
    <row r="4" spans="4:9" x14ac:dyDescent="0.25">
      <c r="D4" s="1"/>
      <c r="E4" s="1"/>
      <c r="F4" s="1"/>
      <c r="G4" s="1"/>
      <c r="H4" s="1"/>
      <c r="I4" s="1"/>
    </row>
    <row r="5" spans="4:9" x14ac:dyDescent="0.25">
      <c r="D5" s="28" t="s">
        <v>4494</v>
      </c>
      <c r="E5" s="28" t="s">
        <v>3252</v>
      </c>
      <c r="F5" s="28" t="s">
        <v>7</v>
      </c>
      <c r="G5" s="28">
        <v>-240</v>
      </c>
      <c r="H5" s="28" t="s">
        <v>4547</v>
      </c>
      <c r="I5" s="28" t="s">
        <v>4556</v>
      </c>
    </row>
    <row r="6" spans="4:9" x14ac:dyDescent="0.25">
      <c r="D6" s="28" t="s">
        <v>4494</v>
      </c>
      <c r="E6" s="28" t="s">
        <v>3252</v>
      </c>
      <c r="F6" s="28" t="s">
        <v>7</v>
      </c>
      <c r="G6" s="28">
        <v>-500</v>
      </c>
      <c r="H6" s="28" t="s">
        <v>4548</v>
      </c>
      <c r="I6" s="28" t="s">
        <v>4556</v>
      </c>
    </row>
    <row r="7" spans="4:9" x14ac:dyDescent="0.25">
      <c r="D7" s="28" t="s">
        <v>4494</v>
      </c>
      <c r="E7" s="28" t="s">
        <v>3252</v>
      </c>
      <c r="F7" s="28" t="s">
        <v>7</v>
      </c>
      <c r="G7" s="28">
        <v>-500</v>
      </c>
      <c r="H7" s="28" t="s">
        <v>4549</v>
      </c>
      <c r="I7" s="28" t="s">
        <v>4556</v>
      </c>
    </row>
    <row r="8" spans="4:9" x14ac:dyDescent="0.25">
      <c r="D8" s="1" t="s">
        <v>4494</v>
      </c>
      <c r="E8" s="1" t="s">
        <v>4550</v>
      </c>
      <c r="F8" s="1" t="s">
        <v>7</v>
      </c>
      <c r="G8" s="1">
        <v>156.6</v>
      </c>
      <c r="H8" s="1" t="s">
        <v>4551</v>
      </c>
      <c r="I8" s="1" t="s">
        <v>4555</v>
      </c>
    </row>
    <row r="9" spans="4:9" x14ac:dyDescent="0.25">
      <c r="D9" s="1" t="s">
        <v>4494</v>
      </c>
      <c r="E9" s="1" t="s">
        <v>4552</v>
      </c>
      <c r="F9" s="1" t="s">
        <v>7</v>
      </c>
      <c r="G9" s="1">
        <v>160</v>
      </c>
      <c r="H9" s="1" t="s">
        <v>4553</v>
      </c>
      <c r="I9" s="1" t="s">
        <v>4554</v>
      </c>
    </row>
    <row r="10" spans="4:9" x14ac:dyDescent="0.25">
      <c r="D10" s="28" t="s">
        <v>4494</v>
      </c>
      <c r="E10" s="28" t="s">
        <v>472</v>
      </c>
      <c r="F10" s="28" t="s">
        <v>7</v>
      </c>
      <c r="G10" s="28">
        <v>-12800</v>
      </c>
      <c r="H10" s="28" t="s">
        <v>4542</v>
      </c>
      <c r="I10" s="28" t="s">
        <v>4383</v>
      </c>
    </row>
    <row r="11" spans="4:9" x14ac:dyDescent="0.25">
      <c r="D11" s="1" t="s">
        <v>4494</v>
      </c>
      <c r="E11" s="1" t="s">
        <v>122</v>
      </c>
      <c r="F11" s="1" t="s">
        <v>7</v>
      </c>
      <c r="G11" s="1">
        <v>60</v>
      </c>
      <c r="H11" s="1" t="s">
        <v>4543</v>
      </c>
      <c r="I11" s="1" t="s">
        <v>4541</v>
      </c>
    </row>
    <row r="12" spans="4:9" x14ac:dyDescent="0.25">
      <c r="D12" s="1" t="s">
        <v>4494</v>
      </c>
      <c r="E12" s="1" t="s">
        <v>4544</v>
      </c>
      <c r="F12" s="1" t="s">
        <v>7</v>
      </c>
      <c r="G12" s="1">
        <v>61</v>
      </c>
      <c r="H12" s="1" t="s">
        <v>4545</v>
      </c>
      <c r="I12" s="1" t="s">
        <v>4546</v>
      </c>
    </row>
    <row r="13" spans="4:9" x14ac:dyDescent="0.25">
      <c r="D13" s="1" t="s">
        <v>4494</v>
      </c>
      <c r="E13" s="1" t="s">
        <v>4524</v>
      </c>
      <c r="F13" s="1" t="s">
        <v>7</v>
      </c>
      <c r="G13" s="1">
        <v>6.5</v>
      </c>
      <c r="H13" s="1" t="s">
        <v>4525</v>
      </c>
      <c r="I13" s="1" t="s">
        <v>4531</v>
      </c>
    </row>
    <row r="14" spans="4:9" x14ac:dyDescent="0.25">
      <c r="D14" s="1" t="s">
        <v>4494</v>
      </c>
      <c r="E14" s="1" t="s">
        <v>122</v>
      </c>
      <c r="F14" s="1" t="s">
        <v>7</v>
      </c>
      <c r="G14" s="1">
        <v>70</v>
      </c>
      <c r="H14" s="1" t="s">
        <v>4526</v>
      </c>
      <c r="I14" s="1" t="s">
        <v>4541</v>
      </c>
    </row>
    <row r="15" spans="4:9" x14ac:dyDescent="0.25">
      <c r="D15" s="1" t="s">
        <v>4494</v>
      </c>
      <c r="E15" s="1" t="s">
        <v>4527</v>
      </c>
      <c r="F15" s="1" t="s">
        <v>7</v>
      </c>
      <c r="G15" s="1">
        <v>18</v>
      </c>
      <c r="H15" s="1" t="s">
        <v>4528</v>
      </c>
      <c r="I15" s="1" t="s">
        <v>4532</v>
      </c>
    </row>
    <row r="16" spans="4:9" x14ac:dyDescent="0.25">
      <c r="D16" s="1" t="s">
        <v>4494</v>
      </c>
      <c r="E16" s="1" t="s">
        <v>2887</v>
      </c>
      <c r="F16" s="1" t="s">
        <v>7</v>
      </c>
      <c r="G16" s="1">
        <v>25</v>
      </c>
      <c r="H16" s="1" t="s">
        <v>4529</v>
      </c>
      <c r="I16" s="1" t="s">
        <v>4530</v>
      </c>
    </row>
    <row r="17" spans="4:9" x14ac:dyDescent="0.25">
      <c r="D17" s="1" t="s">
        <v>4494</v>
      </c>
      <c r="E17" s="1" t="s">
        <v>122</v>
      </c>
      <c r="F17" s="1" t="s">
        <v>7</v>
      </c>
      <c r="G17" s="1">
        <v>38</v>
      </c>
      <c r="H17" s="1" t="s">
        <v>4503</v>
      </c>
      <c r="I17" s="1" t="s">
        <v>4541</v>
      </c>
    </row>
    <row r="18" spans="4:9" x14ac:dyDescent="0.25">
      <c r="D18" s="1" t="s">
        <v>4494</v>
      </c>
      <c r="E18" s="1" t="s">
        <v>4504</v>
      </c>
      <c r="F18" s="1" t="s">
        <v>7</v>
      </c>
      <c r="G18" s="1">
        <v>5</v>
      </c>
      <c r="H18" s="1" t="s">
        <v>4505</v>
      </c>
      <c r="I18" s="1" t="s">
        <v>2803</v>
      </c>
    </row>
    <row r="19" spans="4:9" x14ac:dyDescent="0.25">
      <c r="D19" s="1" t="s">
        <v>4494</v>
      </c>
      <c r="E19" s="1" t="s">
        <v>122</v>
      </c>
      <c r="F19" s="1" t="s">
        <v>7</v>
      </c>
      <c r="G19" s="1">
        <v>300</v>
      </c>
      <c r="H19" s="1" t="s">
        <v>4506</v>
      </c>
      <c r="I19" s="1" t="s">
        <v>4167</v>
      </c>
    </row>
    <row r="20" spans="4:9" x14ac:dyDescent="0.25">
      <c r="D20" s="1" t="s">
        <v>4494</v>
      </c>
      <c r="E20" s="1" t="s">
        <v>4507</v>
      </c>
      <c r="F20" s="1" t="s">
        <v>7</v>
      </c>
      <c r="G20" s="1">
        <v>342.6</v>
      </c>
      <c r="H20" s="1" t="s">
        <v>4508</v>
      </c>
      <c r="I20" s="1" t="s">
        <v>4533</v>
      </c>
    </row>
    <row r="21" spans="4:9" x14ac:dyDescent="0.25">
      <c r="D21" s="1" t="s">
        <v>4494</v>
      </c>
      <c r="E21" s="1" t="s">
        <v>3318</v>
      </c>
      <c r="F21" s="1" t="s">
        <v>7</v>
      </c>
      <c r="G21" s="1">
        <v>6</v>
      </c>
      <c r="H21" s="1" t="s">
        <v>4509</v>
      </c>
      <c r="I21" s="1" t="s">
        <v>4534</v>
      </c>
    </row>
    <row r="22" spans="4:9" x14ac:dyDescent="0.25">
      <c r="D22" s="1" t="s">
        <v>4494</v>
      </c>
      <c r="E22" s="1" t="s">
        <v>23</v>
      </c>
      <c r="F22" s="1" t="s">
        <v>7</v>
      </c>
      <c r="G22" s="1">
        <v>350</v>
      </c>
      <c r="H22" s="1" t="s">
        <v>4510</v>
      </c>
      <c r="I22" s="1" t="s">
        <v>660</v>
      </c>
    </row>
    <row r="23" spans="4:9" x14ac:dyDescent="0.25">
      <c r="D23" s="1" t="s">
        <v>4494</v>
      </c>
      <c r="E23" s="1" t="s">
        <v>2887</v>
      </c>
      <c r="F23" s="1" t="s">
        <v>7</v>
      </c>
      <c r="G23" s="1">
        <v>35</v>
      </c>
      <c r="H23" s="1" t="s">
        <v>4511</v>
      </c>
      <c r="I23" s="1" t="s">
        <v>4535</v>
      </c>
    </row>
    <row r="24" spans="4:9" x14ac:dyDescent="0.25">
      <c r="D24" s="1" t="s">
        <v>4494</v>
      </c>
      <c r="E24" s="1" t="s">
        <v>4512</v>
      </c>
      <c r="F24" s="1" t="s">
        <v>7</v>
      </c>
      <c r="G24" s="1">
        <v>5</v>
      </c>
      <c r="H24" s="1" t="s">
        <v>4513</v>
      </c>
      <c r="I24" s="1" t="s">
        <v>4536</v>
      </c>
    </row>
    <row r="25" spans="4:9" x14ac:dyDescent="0.25">
      <c r="D25" s="1" t="s">
        <v>4494</v>
      </c>
      <c r="E25" s="1" t="s">
        <v>4514</v>
      </c>
      <c r="F25" s="1" t="s">
        <v>7</v>
      </c>
      <c r="G25" s="1">
        <v>21</v>
      </c>
      <c r="H25" s="1" t="s">
        <v>4515</v>
      </c>
      <c r="I25" s="1" t="s">
        <v>4540</v>
      </c>
    </row>
    <row r="26" spans="4:9" x14ac:dyDescent="0.25">
      <c r="D26" s="1" t="s">
        <v>4494</v>
      </c>
      <c r="E26" s="1" t="s">
        <v>2887</v>
      </c>
      <c r="F26" s="1" t="s">
        <v>7</v>
      </c>
      <c r="G26" s="1">
        <v>171.5</v>
      </c>
      <c r="H26" s="1" t="s">
        <v>4516</v>
      </c>
      <c r="I26" s="1" t="s">
        <v>4537</v>
      </c>
    </row>
    <row r="27" spans="4:9" x14ac:dyDescent="0.25">
      <c r="D27" s="1" t="s">
        <v>4494</v>
      </c>
      <c r="E27" s="1" t="s">
        <v>3318</v>
      </c>
      <c r="F27" s="1" t="s">
        <v>7</v>
      </c>
      <c r="G27" s="1">
        <v>98.5</v>
      </c>
      <c r="H27" s="1" t="s">
        <v>4517</v>
      </c>
      <c r="I27" s="1" t="s">
        <v>4523</v>
      </c>
    </row>
    <row r="28" spans="4:9" x14ac:dyDescent="0.25">
      <c r="D28" s="1" t="s">
        <v>4494</v>
      </c>
      <c r="E28" s="1" t="s">
        <v>4518</v>
      </c>
      <c r="F28" s="1" t="s">
        <v>7</v>
      </c>
      <c r="G28" s="1">
        <v>6</v>
      </c>
      <c r="H28" s="1" t="s">
        <v>4519</v>
      </c>
      <c r="I28" s="1" t="s">
        <v>4538</v>
      </c>
    </row>
    <row r="29" spans="4:9" x14ac:dyDescent="0.25">
      <c r="D29" s="1" t="s">
        <v>4494</v>
      </c>
      <c r="E29" s="1" t="s">
        <v>349</v>
      </c>
      <c r="F29" s="1" t="s">
        <v>7</v>
      </c>
      <c r="G29" s="1">
        <v>48</v>
      </c>
      <c r="H29" s="1" t="s">
        <v>4520</v>
      </c>
      <c r="I29" s="1" t="s">
        <v>3965</v>
      </c>
    </row>
    <row r="30" spans="4:9" x14ac:dyDescent="0.25">
      <c r="D30" s="1" t="s">
        <v>4494</v>
      </c>
      <c r="E30" s="1" t="s">
        <v>349</v>
      </c>
      <c r="F30" s="1" t="s">
        <v>7</v>
      </c>
      <c r="G30" s="1">
        <v>500</v>
      </c>
      <c r="H30" s="1" t="s">
        <v>4521</v>
      </c>
      <c r="I30" s="1" t="s">
        <v>3965</v>
      </c>
    </row>
    <row r="31" spans="4:9" x14ac:dyDescent="0.25">
      <c r="D31" s="1" t="s">
        <v>4494</v>
      </c>
      <c r="E31" s="1" t="s">
        <v>4448</v>
      </c>
      <c r="F31" s="1" t="s">
        <v>7</v>
      </c>
      <c r="G31" s="1">
        <v>18</v>
      </c>
      <c r="H31" s="1" t="s">
        <v>4522</v>
      </c>
      <c r="I31" s="1" t="s">
        <v>2581</v>
      </c>
    </row>
    <row r="32" spans="4:9" x14ac:dyDescent="0.25">
      <c r="D32" s="1" t="s">
        <v>4494</v>
      </c>
      <c r="E32" s="1" t="s">
        <v>349</v>
      </c>
      <c r="F32" s="1" t="s">
        <v>7</v>
      </c>
      <c r="G32" s="1">
        <v>500</v>
      </c>
      <c r="H32" s="1" t="s">
        <v>4495</v>
      </c>
      <c r="I32" s="1" t="s">
        <v>3965</v>
      </c>
    </row>
    <row r="33" spans="4:9" x14ac:dyDescent="0.25">
      <c r="D33" s="1" t="s">
        <v>4494</v>
      </c>
      <c r="E33" s="1" t="s">
        <v>349</v>
      </c>
      <c r="F33" s="1" t="s">
        <v>7</v>
      </c>
      <c r="G33" s="1">
        <v>500</v>
      </c>
      <c r="H33" s="1" t="s">
        <v>4496</v>
      </c>
      <c r="I33" s="1" t="s">
        <v>3965</v>
      </c>
    </row>
    <row r="34" spans="4:9" x14ac:dyDescent="0.25">
      <c r="D34" s="1" t="s">
        <v>4494</v>
      </c>
      <c r="E34" s="1" t="s">
        <v>2625</v>
      </c>
      <c r="F34" s="1" t="s">
        <v>7</v>
      </c>
      <c r="G34" s="1">
        <v>489</v>
      </c>
      <c r="H34" s="1" t="s">
        <v>4497</v>
      </c>
      <c r="I34" s="1" t="s">
        <v>52</v>
      </c>
    </row>
    <row r="35" spans="4:9" x14ac:dyDescent="0.25">
      <c r="D35" s="1" t="s">
        <v>4494</v>
      </c>
      <c r="E35" s="1" t="s">
        <v>2625</v>
      </c>
      <c r="F35" s="1" t="s">
        <v>7</v>
      </c>
      <c r="G35" s="1">
        <v>500</v>
      </c>
      <c r="H35" s="1" t="s">
        <v>4498</v>
      </c>
      <c r="I35" s="1" t="s">
        <v>52</v>
      </c>
    </row>
    <row r="36" spans="4:9" x14ac:dyDescent="0.25">
      <c r="D36" s="1" t="s">
        <v>4494</v>
      </c>
      <c r="E36" s="1" t="s">
        <v>2625</v>
      </c>
      <c r="F36" s="1" t="s">
        <v>7</v>
      </c>
      <c r="G36" s="1">
        <v>500</v>
      </c>
      <c r="H36" s="1" t="s">
        <v>4499</v>
      </c>
      <c r="I36" s="1" t="s">
        <v>52</v>
      </c>
    </row>
    <row r="37" spans="4:9" x14ac:dyDescent="0.25">
      <c r="D37" s="1" t="s">
        <v>4494</v>
      </c>
      <c r="E37" s="1" t="s">
        <v>4500</v>
      </c>
      <c r="F37" s="1" t="s">
        <v>7</v>
      </c>
      <c r="G37" s="1">
        <v>7</v>
      </c>
      <c r="H37" s="1" t="s">
        <v>4501</v>
      </c>
      <c r="I37" s="1" t="s">
        <v>4539</v>
      </c>
    </row>
    <row r="38" spans="4:9" x14ac:dyDescent="0.25">
      <c r="D38" s="1" t="s">
        <v>4494</v>
      </c>
      <c r="E38" s="1" t="s">
        <v>2625</v>
      </c>
      <c r="F38" s="1" t="s">
        <v>7</v>
      </c>
      <c r="G38" s="1">
        <v>500</v>
      </c>
      <c r="H38" s="1" t="s">
        <v>4502</v>
      </c>
      <c r="I38" s="1" t="s">
        <v>52</v>
      </c>
    </row>
  </sheetData>
  <pageMargins left="0.7" right="0.7" top="0.75" bottom="0.75" header="0.3" footer="0.3"/>
  <pageSetup paperSize="256" orientation="portrait" horizontalDpi="203" verticalDpi="203" r:id="rId1"/>
</worksheet>
</file>

<file path=xl/worksheets/sheet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0099A4-03E5-4D68-88E6-ED1247ACDC84}">
  <sheetPr codeName="Hoja92"/>
  <dimension ref="C2:J42"/>
  <sheetViews>
    <sheetView topLeftCell="A7" workbookViewId="0">
      <selection activeCell="C2" sqref="C2:J44"/>
    </sheetView>
  </sheetViews>
  <sheetFormatPr baseColWidth="10" defaultRowHeight="15.75" x14ac:dyDescent="0.25"/>
  <cols>
    <col min="3" max="4" width="11" style="3"/>
    <col min="5" max="5" width="22.625" style="3" bestFit="1" customWidth="1"/>
    <col min="6" max="7" width="11" style="3"/>
    <col min="8" max="8" width="18.75" style="3" bestFit="1" customWidth="1"/>
    <col min="9" max="9" width="39.5" style="3" bestFit="1" customWidth="1"/>
    <col min="10" max="10" width="11" style="3"/>
  </cols>
  <sheetData>
    <row r="2" spans="4:9" ht="16.5" thickBot="1" x14ac:dyDescent="0.3"/>
    <row r="3" spans="4:9" x14ac:dyDescent="0.25">
      <c r="D3" s="11" t="s">
        <v>0</v>
      </c>
      <c r="E3" s="12" t="s">
        <v>1</v>
      </c>
      <c r="F3" s="12" t="s">
        <v>2</v>
      </c>
      <c r="G3" s="12" t="s">
        <v>3</v>
      </c>
      <c r="H3" s="12" t="s">
        <v>4</v>
      </c>
      <c r="I3" s="13"/>
    </row>
    <row r="4" spans="4:9" x14ac:dyDescent="0.25">
      <c r="D4" s="14"/>
      <c r="E4" s="1"/>
      <c r="F4" s="1"/>
      <c r="G4" s="1"/>
      <c r="H4" s="1"/>
      <c r="I4" s="16"/>
    </row>
    <row r="5" spans="4:9" x14ac:dyDescent="0.25">
      <c r="D5" s="14" t="s">
        <v>4557</v>
      </c>
      <c r="E5" s="1" t="s">
        <v>3005</v>
      </c>
      <c r="F5" s="1" t="s">
        <v>7</v>
      </c>
      <c r="G5" s="1">
        <v>25</v>
      </c>
      <c r="H5" s="1" t="s">
        <v>4613</v>
      </c>
      <c r="I5" s="16" t="s">
        <v>4614</v>
      </c>
    </row>
    <row r="6" spans="4:9" x14ac:dyDescent="0.25">
      <c r="D6" s="14" t="s">
        <v>4557</v>
      </c>
      <c r="E6" s="1" t="s">
        <v>23</v>
      </c>
      <c r="F6" s="1" t="s">
        <v>7</v>
      </c>
      <c r="G6" s="1">
        <v>3620.5</v>
      </c>
      <c r="H6" s="1" t="s">
        <v>4602</v>
      </c>
      <c r="I6" s="16" t="s">
        <v>832</v>
      </c>
    </row>
    <row r="7" spans="4:9" x14ac:dyDescent="0.25">
      <c r="D7" s="29" t="s">
        <v>4557</v>
      </c>
      <c r="E7" s="28" t="s">
        <v>472</v>
      </c>
      <c r="F7" s="28" t="s">
        <v>7</v>
      </c>
      <c r="G7" s="28">
        <v>-30849.279999999999</v>
      </c>
      <c r="H7" s="28" t="s">
        <v>4603</v>
      </c>
      <c r="I7" s="30" t="s">
        <v>4611</v>
      </c>
    </row>
    <row r="8" spans="4:9" x14ac:dyDescent="0.25">
      <c r="D8" s="14" t="s">
        <v>4557</v>
      </c>
      <c r="E8" s="1" t="s">
        <v>472</v>
      </c>
      <c r="F8" s="1" t="s">
        <v>7</v>
      </c>
      <c r="G8" s="1">
        <v>150</v>
      </c>
      <c r="H8" s="1" t="s">
        <v>4604</v>
      </c>
      <c r="I8" s="16" t="s">
        <v>4612</v>
      </c>
    </row>
    <row r="9" spans="4:9" x14ac:dyDescent="0.25">
      <c r="D9" s="14" t="s">
        <v>4557</v>
      </c>
      <c r="E9" s="1" t="s">
        <v>4605</v>
      </c>
      <c r="F9" s="1" t="s">
        <v>7</v>
      </c>
      <c r="G9" s="1">
        <v>180</v>
      </c>
      <c r="H9" s="1" t="s">
        <v>4606</v>
      </c>
      <c r="I9" s="16" t="s">
        <v>4610</v>
      </c>
    </row>
    <row r="10" spans="4:9" x14ac:dyDescent="0.25">
      <c r="D10" s="14" t="s">
        <v>4557</v>
      </c>
      <c r="E10" s="1" t="s">
        <v>23</v>
      </c>
      <c r="F10" s="1" t="s">
        <v>7</v>
      </c>
      <c r="G10" s="1">
        <v>186</v>
      </c>
      <c r="H10" s="1" t="s">
        <v>4607</v>
      </c>
      <c r="I10" s="16" t="s">
        <v>590</v>
      </c>
    </row>
    <row r="11" spans="4:9" x14ac:dyDescent="0.25">
      <c r="D11" s="14" t="s">
        <v>4557</v>
      </c>
      <c r="E11" s="1" t="s">
        <v>23</v>
      </c>
      <c r="F11" s="1" t="s">
        <v>7</v>
      </c>
      <c r="G11" s="1">
        <v>398.5</v>
      </c>
      <c r="H11" s="1" t="s">
        <v>4608</v>
      </c>
      <c r="I11" s="16" t="s">
        <v>4609</v>
      </c>
    </row>
    <row r="12" spans="4:9" x14ac:dyDescent="0.25">
      <c r="D12" s="14" t="s">
        <v>4557</v>
      </c>
      <c r="E12" s="1" t="s">
        <v>4589</v>
      </c>
      <c r="F12" s="1" t="s">
        <v>7</v>
      </c>
      <c r="G12" s="1">
        <v>198</v>
      </c>
      <c r="H12" s="1" t="s">
        <v>4590</v>
      </c>
      <c r="I12" s="16" t="s">
        <v>4167</v>
      </c>
    </row>
    <row r="13" spans="4:9" x14ac:dyDescent="0.25">
      <c r="D13" s="14" t="s">
        <v>4557</v>
      </c>
      <c r="E13" s="1" t="s">
        <v>220</v>
      </c>
      <c r="F13" s="1" t="s">
        <v>7</v>
      </c>
      <c r="G13" s="1">
        <v>19</v>
      </c>
      <c r="H13" s="1" t="s">
        <v>4591</v>
      </c>
      <c r="I13" s="16" t="s">
        <v>4600</v>
      </c>
    </row>
    <row r="14" spans="4:9" x14ac:dyDescent="0.25">
      <c r="D14" s="14" t="s">
        <v>4557</v>
      </c>
      <c r="E14" s="1" t="s">
        <v>4592</v>
      </c>
      <c r="F14" s="1" t="s">
        <v>7</v>
      </c>
      <c r="G14" s="1">
        <v>376.2</v>
      </c>
      <c r="H14" s="1" t="s">
        <v>4593</v>
      </c>
      <c r="I14" s="16" t="s">
        <v>4601</v>
      </c>
    </row>
    <row r="15" spans="4:9" x14ac:dyDescent="0.25">
      <c r="D15" s="14" t="s">
        <v>4557</v>
      </c>
      <c r="E15" s="1" t="s">
        <v>4594</v>
      </c>
      <c r="F15" s="1" t="s">
        <v>7</v>
      </c>
      <c r="G15" s="1">
        <v>1760.5</v>
      </c>
      <c r="H15" s="1" t="s">
        <v>4595</v>
      </c>
      <c r="I15" s="16" t="s">
        <v>4581</v>
      </c>
    </row>
    <row r="16" spans="4:9" x14ac:dyDescent="0.25">
      <c r="D16" s="14" t="s">
        <v>4557</v>
      </c>
      <c r="E16" s="1" t="s">
        <v>4561</v>
      </c>
      <c r="F16" s="1" t="s">
        <v>7</v>
      </c>
      <c r="G16" s="1">
        <v>5</v>
      </c>
      <c r="H16" s="1" t="s">
        <v>4596</v>
      </c>
      <c r="I16" s="16" t="s">
        <v>4599</v>
      </c>
    </row>
    <row r="17" spans="4:9" x14ac:dyDescent="0.25">
      <c r="D17" s="14" t="s">
        <v>4557</v>
      </c>
      <c r="E17" s="1" t="s">
        <v>23</v>
      </c>
      <c r="F17" s="1" t="s">
        <v>7</v>
      </c>
      <c r="G17" s="1">
        <v>25</v>
      </c>
      <c r="H17" s="1" t="s">
        <v>4597</v>
      </c>
      <c r="I17" s="16" t="s">
        <v>2209</v>
      </c>
    </row>
    <row r="18" spans="4:9" x14ac:dyDescent="0.25">
      <c r="D18" s="14" t="s">
        <v>4557</v>
      </c>
      <c r="E18" s="1" t="s">
        <v>23</v>
      </c>
      <c r="F18" s="1" t="s">
        <v>7</v>
      </c>
      <c r="G18" s="1">
        <v>1740</v>
      </c>
      <c r="H18" s="1" t="s">
        <v>4598</v>
      </c>
      <c r="I18" s="16" t="s">
        <v>2209</v>
      </c>
    </row>
    <row r="19" spans="4:9" x14ac:dyDescent="0.25">
      <c r="D19" s="14" t="s">
        <v>4557</v>
      </c>
      <c r="E19" s="1" t="s">
        <v>4558</v>
      </c>
      <c r="F19" s="1" t="s">
        <v>7</v>
      </c>
      <c r="G19" s="1">
        <v>254</v>
      </c>
      <c r="H19" s="1" t="s">
        <v>4559</v>
      </c>
      <c r="I19" s="16" t="s">
        <v>4580</v>
      </c>
    </row>
    <row r="20" spans="4:9" x14ac:dyDescent="0.25">
      <c r="D20" s="14" t="s">
        <v>4557</v>
      </c>
      <c r="E20" s="1" t="s">
        <v>23</v>
      </c>
      <c r="F20" s="1" t="s">
        <v>7</v>
      </c>
      <c r="G20" s="1">
        <v>5087</v>
      </c>
      <c r="H20" s="1" t="s">
        <v>4560</v>
      </c>
      <c r="I20" s="16" t="s">
        <v>1270</v>
      </c>
    </row>
    <row r="21" spans="4:9" x14ac:dyDescent="0.25">
      <c r="D21" s="14" t="s">
        <v>4557</v>
      </c>
      <c r="E21" s="1" t="s">
        <v>4561</v>
      </c>
      <c r="F21" s="1" t="s">
        <v>7</v>
      </c>
      <c r="G21" s="1">
        <v>1</v>
      </c>
      <c r="H21" s="1" t="s">
        <v>4562</v>
      </c>
      <c r="I21" s="16" t="s">
        <v>4579</v>
      </c>
    </row>
    <row r="22" spans="4:9" x14ac:dyDescent="0.25">
      <c r="D22" s="14" t="s">
        <v>4557</v>
      </c>
      <c r="E22" s="1" t="s">
        <v>192</v>
      </c>
      <c r="F22" s="1" t="s">
        <v>7</v>
      </c>
      <c r="G22" s="1">
        <v>2800</v>
      </c>
      <c r="H22" s="1" t="s">
        <v>4563</v>
      </c>
      <c r="I22" s="16" t="s">
        <v>4580</v>
      </c>
    </row>
    <row r="23" spans="4:9" x14ac:dyDescent="0.25">
      <c r="D23" s="14" t="s">
        <v>4557</v>
      </c>
      <c r="E23" s="1" t="s">
        <v>122</v>
      </c>
      <c r="F23" s="1" t="s">
        <v>7</v>
      </c>
      <c r="G23" s="1">
        <v>38</v>
      </c>
      <c r="H23" s="1" t="s">
        <v>4564</v>
      </c>
      <c r="I23" s="16" t="s">
        <v>4167</v>
      </c>
    </row>
    <row r="24" spans="4:9" x14ac:dyDescent="0.25">
      <c r="D24" s="14" t="s">
        <v>4557</v>
      </c>
      <c r="E24" s="1" t="s">
        <v>3098</v>
      </c>
      <c r="F24" s="1" t="s">
        <v>7</v>
      </c>
      <c r="G24" s="1">
        <v>11</v>
      </c>
      <c r="H24" s="1" t="s">
        <v>4565</v>
      </c>
      <c r="I24" s="16" t="s">
        <v>1325</v>
      </c>
    </row>
    <row r="25" spans="4:9" x14ac:dyDescent="0.25">
      <c r="D25" s="14" t="s">
        <v>4557</v>
      </c>
      <c r="E25" s="1" t="s">
        <v>3545</v>
      </c>
      <c r="F25" s="1" t="s">
        <v>7</v>
      </c>
      <c r="G25" s="1">
        <v>10</v>
      </c>
      <c r="H25" s="1" t="s">
        <v>4566</v>
      </c>
      <c r="I25" s="16" t="s">
        <v>4578</v>
      </c>
    </row>
    <row r="26" spans="4:9" x14ac:dyDescent="0.25">
      <c r="D26" s="14" t="s">
        <v>4557</v>
      </c>
      <c r="E26" s="1" t="s">
        <v>3673</v>
      </c>
      <c r="F26" s="1" t="s">
        <v>7</v>
      </c>
      <c r="G26" s="1">
        <v>500</v>
      </c>
      <c r="H26" s="1" t="s">
        <v>4567</v>
      </c>
      <c r="I26" s="16" t="s">
        <v>52</v>
      </c>
    </row>
    <row r="27" spans="4:9" x14ac:dyDescent="0.25">
      <c r="D27" s="14" t="s">
        <v>4557</v>
      </c>
      <c r="E27" s="1" t="s">
        <v>3673</v>
      </c>
      <c r="F27" s="1" t="s">
        <v>7</v>
      </c>
      <c r="G27" s="1">
        <v>500</v>
      </c>
      <c r="H27" s="1" t="s">
        <v>4568</v>
      </c>
      <c r="I27" s="16" t="s">
        <v>52</v>
      </c>
    </row>
    <row r="28" spans="4:9" x14ac:dyDescent="0.25">
      <c r="D28" s="14" t="s">
        <v>4557</v>
      </c>
      <c r="E28" s="1" t="s">
        <v>2625</v>
      </c>
      <c r="F28" s="1" t="s">
        <v>7</v>
      </c>
      <c r="G28" s="1">
        <v>197.5</v>
      </c>
      <c r="H28" s="1" t="s">
        <v>4569</v>
      </c>
      <c r="I28" s="16" t="s">
        <v>52</v>
      </c>
    </row>
    <row r="29" spans="4:9" x14ac:dyDescent="0.25">
      <c r="D29" s="14" t="s">
        <v>4557</v>
      </c>
      <c r="E29" s="1" t="s">
        <v>2625</v>
      </c>
      <c r="F29" s="1" t="s">
        <v>7</v>
      </c>
      <c r="G29" s="1">
        <v>500</v>
      </c>
      <c r="H29" s="1" t="s">
        <v>4570</v>
      </c>
      <c r="I29" s="16" t="s">
        <v>52</v>
      </c>
    </row>
    <row r="30" spans="4:9" x14ac:dyDescent="0.25">
      <c r="D30" s="14" t="s">
        <v>4557</v>
      </c>
      <c r="E30" s="1" t="s">
        <v>2625</v>
      </c>
      <c r="F30" s="1" t="s">
        <v>7</v>
      </c>
      <c r="G30" s="1">
        <v>500</v>
      </c>
      <c r="H30" s="1" t="s">
        <v>4571</v>
      </c>
      <c r="I30" s="16" t="s">
        <v>52</v>
      </c>
    </row>
    <row r="31" spans="4:9" x14ac:dyDescent="0.25">
      <c r="D31" s="14" t="s">
        <v>4557</v>
      </c>
      <c r="E31" s="1" t="s">
        <v>23</v>
      </c>
      <c r="F31" s="1" t="s">
        <v>7</v>
      </c>
      <c r="G31" s="1">
        <v>2000</v>
      </c>
      <c r="H31" s="1" t="s">
        <v>4572</v>
      </c>
      <c r="I31" s="16" t="s">
        <v>4581</v>
      </c>
    </row>
    <row r="32" spans="4:9" x14ac:dyDescent="0.25">
      <c r="D32" s="14" t="s">
        <v>4557</v>
      </c>
      <c r="E32" s="1" t="s">
        <v>4573</v>
      </c>
      <c r="F32" s="1" t="s">
        <v>7</v>
      </c>
      <c r="G32" s="1">
        <v>2</v>
      </c>
      <c r="H32" s="1" t="s">
        <v>4574</v>
      </c>
      <c r="I32" s="16" t="s">
        <v>4577</v>
      </c>
    </row>
    <row r="33" spans="4:9" x14ac:dyDescent="0.25">
      <c r="D33" s="14" t="s">
        <v>4557</v>
      </c>
      <c r="E33" s="1" t="s">
        <v>23</v>
      </c>
      <c r="F33" s="1" t="s">
        <v>7</v>
      </c>
      <c r="G33" s="1">
        <v>178.23</v>
      </c>
      <c r="H33" s="1" t="s">
        <v>4575</v>
      </c>
      <c r="I33" s="16" t="s">
        <v>4576</v>
      </c>
    </row>
    <row r="34" spans="4:9" x14ac:dyDescent="0.25">
      <c r="D34" s="14"/>
      <c r="E34" s="1"/>
      <c r="F34" s="1"/>
      <c r="G34" s="1"/>
      <c r="H34" s="1"/>
      <c r="I34" s="16"/>
    </row>
    <row r="35" spans="4:9" x14ac:dyDescent="0.25">
      <c r="D35" s="14"/>
      <c r="E35" s="1"/>
      <c r="F35" s="1"/>
      <c r="G35" s="1"/>
      <c r="H35" s="1"/>
      <c r="I35" s="16"/>
    </row>
    <row r="36" spans="4:9" x14ac:dyDescent="0.25">
      <c r="D36" s="14"/>
      <c r="E36" s="244">
        <v>46180</v>
      </c>
      <c r="F36" s="245"/>
      <c r="G36" s="245"/>
      <c r="H36" s="246"/>
      <c r="I36" s="16"/>
    </row>
    <row r="37" spans="4:9" x14ac:dyDescent="0.25">
      <c r="D37" s="74">
        <v>46180</v>
      </c>
      <c r="E37" s="1" t="s">
        <v>122</v>
      </c>
      <c r="F37" s="1" t="s">
        <v>7</v>
      </c>
      <c r="G37" s="1">
        <v>84</v>
      </c>
      <c r="H37" s="1">
        <v>7315166</v>
      </c>
      <c r="I37" s="16" t="s">
        <v>4582</v>
      </c>
    </row>
    <row r="38" spans="4:9" x14ac:dyDescent="0.25">
      <c r="D38" s="74">
        <v>46180</v>
      </c>
      <c r="E38" s="1" t="s">
        <v>122</v>
      </c>
      <c r="F38" s="1" t="s">
        <v>7</v>
      </c>
      <c r="G38" s="1">
        <v>23</v>
      </c>
      <c r="H38" s="1" t="s">
        <v>4583</v>
      </c>
      <c r="I38" s="16" t="s">
        <v>4584</v>
      </c>
    </row>
    <row r="39" spans="4:9" x14ac:dyDescent="0.25">
      <c r="D39" s="74">
        <v>46180</v>
      </c>
      <c r="E39" s="1" t="s">
        <v>122</v>
      </c>
      <c r="F39" s="1" t="s">
        <v>7</v>
      </c>
      <c r="G39" s="1">
        <v>29</v>
      </c>
      <c r="H39" s="1"/>
      <c r="I39" s="16" t="s">
        <v>4585</v>
      </c>
    </row>
    <row r="40" spans="4:9" x14ac:dyDescent="0.25">
      <c r="D40" s="74">
        <v>46180</v>
      </c>
      <c r="E40" s="1" t="s">
        <v>122</v>
      </c>
      <c r="F40" s="1" t="s">
        <v>7</v>
      </c>
      <c r="G40" s="1">
        <v>23</v>
      </c>
      <c r="H40" s="1">
        <v>10231712</v>
      </c>
      <c r="I40" s="16" t="s">
        <v>4586</v>
      </c>
    </row>
    <row r="41" spans="4:9" x14ac:dyDescent="0.25">
      <c r="D41" s="74">
        <v>46180</v>
      </c>
      <c r="E41" s="1" t="s">
        <v>122</v>
      </c>
      <c r="F41" s="1" t="s">
        <v>7</v>
      </c>
      <c r="G41" s="1">
        <v>354</v>
      </c>
      <c r="H41" s="1"/>
      <c r="I41" s="16" t="s">
        <v>4587</v>
      </c>
    </row>
    <row r="42" spans="4:9" ht="16.5" thickBot="1" x14ac:dyDescent="0.3">
      <c r="D42" s="73">
        <v>46180</v>
      </c>
      <c r="E42" s="18" t="s">
        <v>122</v>
      </c>
      <c r="F42" s="18" t="s">
        <v>7</v>
      </c>
      <c r="G42" s="18">
        <v>5.58</v>
      </c>
      <c r="H42" s="18">
        <v>12706936</v>
      </c>
      <c r="I42" s="27" t="s">
        <v>4588</v>
      </c>
    </row>
  </sheetData>
  <mergeCells count="1">
    <mergeCell ref="E36:H36"/>
  </mergeCells>
  <pageMargins left="0.7" right="0.7" top="0.75" bottom="0.75" header="0.3" footer="0.3"/>
  <pageSetup paperSize="256" orientation="portrait" horizontalDpi="203" verticalDpi="203" r:id="rId1"/>
</worksheet>
</file>

<file path=xl/worksheets/sheet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2CC169-D859-430C-810E-838B687F7FC1}">
  <sheetPr codeName="Hoja93"/>
  <dimension ref="D2:L23"/>
  <sheetViews>
    <sheetView workbookViewId="0">
      <selection activeCell="H19" sqref="H19"/>
    </sheetView>
  </sheetViews>
  <sheetFormatPr baseColWidth="10" defaultRowHeight="15.75" x14ac:dyDescent="0.25"/>
  <cols>
    <col min="4" max="4" width="11" style="3"/>
    <col min="5" max="5" width="23.25" style="3" bestFit="1" customWidth="1"/>
    <col min="6" max="7" width="11" style="3"/>
    <col min="8" max="8" width="22.375" style="3" customWidth="1"/>
    <col min="9" max="9" width="44.5" style="3" bestFit="1" customWidth="1"/>
    <col min="10" max="11" width="11" style="3"/>
  </cols>
  <sheetData>
    <row r="2" spans="4:9" ht="16.5" thickBot="1" x14ac:dyDescent="0.3"/>
    <row r="3" spans="4:9" x14ac:dyDescent="0.25">
      <c r="D3" s="21" t="s">
        <v>0</v>
      </c>
      <c r="E3" s="22" t="s">
        <v>1</v>
      </c>
      <c r="F3" s="22" t="s">
        <v>2</v>
      </c>
      <c r="G3" s="22" t="s">
        <v>3</v>
      </c>
      <c r="H3" s="22" t="s">
        <v>4</v>
      </c>
      <c r="I3" s="13"/>
    </row>
    <row r="4" spans="4:9" x14ac:dyDescent="0.25">
      <c r="D4" s="14"/>
      <c r="E4" s="1"/>
      <c r="F4" s="1"/>
      <c r="G4" s="1"/>
      <c r="H4" s="1"/>
      <c r="I4" s="16"/>
    </row>
    <row r="5" spans="4:9" x14ac:dyDescent="0.25">
      <c r="D5" s="14"/>
      <c r="E5" s="1"/>
      <c r="F5" s="1"/>
      <c r="G5" s="1"/>
      <c r="H5" s="1"/>
      <c r="I5" s="16"/>
    </row>
    <row r="6" spans="4:9" x14ac:dyDescent="0.25">
      <c r="D6" s="29" t="s">
        <v>4615</v>
      </c>
      <c r="E6" s="28" t="s">
        <v>472</v>
      </c>
      <c r="F6" s="28" t="s">
        <v>7</v>
      </c>
      <c r="G6" s="28">
        <v>-7800</v>
      </c>
      <c r="H6" s="28" t="s">
        <v>4629</v>
      </c>
      <c r="I6" s="30" t="s">
        <v>4637</v>
      </c>
    </row>
    <row r="7" spans="4:9" x14ac:dyDescent="0.25">
      <c r="D7" s="14" t="s">
        <v>4615</v>
      </c>
      <c r="E7" s="1" t="s">
        <v>23</v>
      </c>
      <c r="F7" s="1" t="s">
        <v>7</v>
      </c>
      <c r="G7" s="1">
        <v>1535</v>
      </c>
      <c r="H7" s="1" t="s">
        <v>4630</v>
      </c>
      <c r="I7" s="16" t="s">
        <v>68</v>
      </c>
    </row>
    <row r="8" spans="4:9" x14ac:dyDescent="0.25">
      <c r="D8" s="14" t="s">
        <v>4615</v>
      </c>
      <c r="E8" s="1" t="s">
        <v>23</v>
      </c>
      <c r="F8" s="1" t="s">
        <v>7</v>
      </c>
      <c r="G8" s="1">
        <v>25</v>
      </c>
      <c r="H8" s="1" t="s">
        <v>4631</v>
      </c>
      <c r="I8" s="16" t="s">
        <v>1768</v>
      </c>
    </row>
    <row r="9" spans="4:9" x14ac:dyDescent="0.25">
      <c r="D9" s="14" t="s">
        <v>4615</v>
      </c>
      <c r="E9" s="1" t="s">
        <v>4632</v>
      </c>
      <c r="F9" s="1" t="s">
        <v>7</v>
      </c>
      <c r="G9" s="1">
        <v>50</v>
      </c>
      <c r="H9" s="1" t="s">
        <v>4633</v>
      </c>
      <c r="I9" s="16" t="s">
        <v>4640</v>
      </c>
    </row>
    <row r="10" spans="4:9" x14ac:dyDescent="0.25">
      <c r="D10" s="14" t="s">
        <v>4615</v>
      </c>
      <c r="E10" s="1" t="s">
        <v>262</v>
      </c>
      <c r="F10" s="1" t="s">
        <v>7</v>
      </c>
      <c r="G10" s="1">
        <v>380</v>
      </c>
      <c r="H10" s="1" t="s">
        <v>4634</v>
      </c>
      <c r="I10" s="16" t="s">
        <v>4641</v>
      </c>
    </row>
    <row r="11" spans="4:9" x14ac:dyDescent="0.25">
      <c r="D11" s="14" t="s">
        <v>4615</v>
      </c>
      <c r="E11" s="1" t="s">
        <v>4635</v>
      </c>
      <c r="F11" s="1" t="s">
        <v>7</v>
      </c>
      <c r="G11" s="1">
        <v>390.4</v>
      </c>
      <c r="H11" s="1" t="s">
        <v>4636</v>
      </c>
      <c r="I11" s="16" t="s">
        <v>4642</v>
      </c>
    </row>
    <row r="12" spans="4:9" x14ac:dyDescent="0.25">
      <c r="D12" s="14" t="s">
        <v>4615</v>
      </c>
      <c r="E12" s="1" t="s">
        <v>2625</v>
      </c>
      <c r="F12" s="1" t="s">
        <v>7</v>
      </c>
      <c r="G12" s="1">
        <v>208</v>
      </c>
      <c r="H12" s="1" t="s">
        <v>4616</v>
      </c>
      <c r="I12" s="16" t="s">
        <v>52</v>
      </c>
    </row>
    <row r="13" spans="4:9" x14ac:dyDescent="0.25">
      <c r="D13" s="14" t="s">
        <v>4615</v>
      </c>
      <c r="E13" s="1" t="s">
        <v>23</v>
      </c>
      <c r="F13" s="1" t="s">
        <v>7</v>
      </c>
      <c r="G13" s="1">
        <v>1348.8</v>
      </c>
      <c r="H13" s="1" t="s">
        <v>4617</v>
      </c>
      <c r="I13" s="16" t="s">
        <v>4643</v>
      </c>
    </row>
    <row r="14" spans="4:9" x14ac:dyDescent="0.25">
      <c r="D14" s="14" t="s">
        <v>4615</v>
      </c>
      <c r="E14" s="1" t="s">
        <v>23</v>
      </c>
      <c r="F14" s="1" t="s">
        <v>7</v>
      </c>
      <c r="G14" s="1">
        <v>50</v>
      </c>
      <c r="H14" s="1" t="s">
        <v>4618</v>
      </c>
      <c r="I14" s="16" t="s">
        <v>4644</v>
      </c>
    </row>
    <row r="15" spans="4:9" x14ac:dyDescent="0.25">
      <c r="D15" s="14" t="s">
        <v>4615</v>
      </c>
      <c r="E15" s="1" t="s">
        <v>3100</v>
      </c>
      <c r="F15" s="1" t="s">
        <v>7</v>
      </c>
      <c r="G15" s="1">
        <v>125</v>
      </c>
      <c r="H15" s="1" t="s">
        <v>4619</v>
      </c>
      <c r="I15" s="16" t="s">
        <v>4645</v>
      </c>
    </row>
    <row r="16" spans="4:9" x14ac:dyDescent="0.25">
      <c r="D16" s="14" t="s">
        <v>4615</v>
      </c>
      <c r="E16" s="1" t="s">
        <v>4620</v>
      </c>
      <c r="F16" s="1" t="s">
        <v>7</v>
      </c>
      <c r="G16" s="1">
        <v>30</v>
      </c>
      <c r="H16" s="1" t="s">
        <v>4621</v>
      </c>
      <c r="I16" s="16" t="s">
        <v>4371</v>
      </c>
    </row>
    <row r="17" spans="4:12" x14ac:dyDescent="0.25">
      <c r="D17" s="14" t="s">
        <v>4615</v>
      </c>
      <c r="E17" s="1" t="s">
        <v>4622</v>
      </c>
      <c r="F17" s="1" t="s">
        <v>7</v>
      </c>
      <c r="G17" s="1">
        <v>16</v>
      </c>
      <c r="H17" s="1" t="s">
        <v>4623</v>
      </c>
      <c r="I17" s="16" t="s">
        <v>63</v>
      </c>
    </row>
    <row r="18" spans="4:12" x14ac:dyDescent="0.25">
      <c r="D18" s="14" t="s">
        <v>4615</v>
      </c>
      <c r="E18" s="1" t="s">
        <v>4448</v>
      </c>
      <c r="F18" s="1" t="s">
        <v>7</v>
      </c>
      <c r="G18" s="1">
        <v>230.5</v>
      </c>
      <c r="H18" s="1" t="s">
        <v>4624</v>
      </c>
      <c r="I18" s="16" t="s">
        <v>3041</v>
      </c>
    </row>
    <row r="19" spans="4:12" x14ac:dyDescent="0.25">
      <c r="D19" s="14" t="s">
        <v>4615</v>
      </c>
      <c r="E19" s="1" t="s">
        <v>4625</v>
      </c>
      <c r="F19" s="1" t="s">
        <v>7</v>
      </c>
      <c r="G19" s="1">
        <v>6</v>
      </c>
      <c r="H19" s="1" t="s">
        <v>4626</v>
      </c>
      <c r="I19" s="16" t="s">
        <v>4638</v>
      </c>
    </row>
    <row r="20" spans="4:12" ht="16.5" thickBot="1" x14ac:dyDescent="0.3">
      <c r="D20" s="25" t="s">
        <v>4615</v>
      </c>
      <c r="E20" s="18" t="s">
        <v>4627</v>
      </c>
      <c r="F20" s="18" t="s">
        <v>7</v>
      </c>
      <c r="G20" s="18">
        <v>10</v>
      </c>
      <c r="H20" s="18" t="s">
        <v>4628</v>
      </c>
      <c r="I20" s="27" t="s">
        <v>4639</v>
      </c>
    </row>
    <row r="22" spans="4:12" x14ac:dyDescent="0.25">
      <c r="D22" s="1" t="s">
        <v>4615</v>
      </c>
      <c r="E22" s="1" t="s">
        <v>78</v>
      </c>
      <c r="F22" s="1" t="s">
        <v>7</v>
      </c>
      <c r="G22" s="1">
        <v>350</v>
      </c>
      <c r="H22" s="1"/>
      <c r="I22" s="1" t="s">
        <v>4641</v>
      </c>
    </row>
    <row r="23" spans="4:12" x14ac:dyDescent="0.25">
      <c r="L23">
        <f>55*5</f>
        <v>275</v>
      </c>
    </row>
  </sheetData>
  <pageMargins left="0.7" right="0.7" top="0.75" bottom="0.75" header="0.3" footer="0.3"/>
  <pageSetup paperSize="256" orientation="portrait" horizontalDpi="203" verticalDpi="203" r:id="rId1"/>
</worksheet>
</file>

<file path=xl/worksheets/sheet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1A5D0C-669F-4593-AC2A-7F8CA57329B5}">
  <sheetPr codeName="Hoja94"/>
  <dimension ref="D2:J39"/>
  <sheetViews>
    <sheetView topLeftCell="A4" workbookViewId="0">
      <selection activeCell="G8" sqref="G8"/>
    </sheetView>
  </sheetViews>
  <sheetFormatPr baseColWidth="10" defaultRowHeight="15.75" x14ac:dyDescent="0.25"/>
  <cols>
    <col min="4" max="4" width="11" style="3"/>
    <col min="5" max="5" width="18.125" style="3" bestFit="1" customWidth="1"/>
    <col min="6" max="7" width="11" style="3"/>
    <col min="8" max="8" width="18.75" style="3" bestFit="1" customWidth="1"/>
    <col min="9" max="9" width="30.25" style="3" customWidth="1"/>
    <col min="10" max="10" width="11" style="3"/>
  </cols>
  <sheetData>
    <row r="2" spans="4:9" ht="16.5" thickBot="1" x14ac:dyDescent="0.3"/>
    <row r="3" spans="4:9" x14ac:dyDescent="0.25">
      <c r="D3" s="11" t="s">
        <v>0</v>
      </c>
      <c r="E3" s="12" t="s">
        <v>1</v>
      </c>
      <c r="F3" s="12" t="s">
        <v>2</v>
      </c>
      <c r="G3" s="12" t="s">
        <v>3</v>
      </c>
      <c r="H3" s="12" t="s">
        <v>4</v>
      </c>
      <c r="I3" s="13"/>
    </row>
    <row r="4" spans="4:9" x14ac:dyDescent="0.25">
      <c r="D4" s="14"/>
      <c r="E4" s="1"/>
      <c r="F4" s="1"/>
      <c r="G4" s="1"/>
      <c r="H4" s="1"/>
      <c r="I4" s="16"/>
    </row>
    <row r="5" spans="4:9" x14ac:dyDescent="0.25">
      <c r="D5" s="14"/>
      <c r="E5" s="1"/>
      <c r="F5" s="1"/>
      <c r="G5" s="1"/>
      <c r="H5" s="1"/>
      <c r="I5" s="16"/>
    </row>
    <row r="6" spans="4:9" x14ac:dyDescent="0.25">
      <c r="D6" s="14" t="s">
        <v>4646</v>
      </c>
      <c r="E6" s="1" t="s">
        <v>4620</v>
      </c>
      <c r="F6" s="1" t="s">
        <v>7</v>
      </c>
      <c r="G6" s="1">
        <v>166</v>
      </c>
      <c r="H6" s="1" t="s">
        <v>4711</v>
      </c>
      <c r="I6" s="16" t="s">
        <v>4371</v>
      </c>
    </row>
    <row r="7" spans="4:9" x14ac:dyDescent="0.25">
      <c r="D7" s="29" t="s">
        <v>4646</v>
      </c>
      <c r="E7" s="28" t="s">
        <v>2625</v>
      </c>
      <c r="F7" s="28" t="s">
        <v>7</v>
      </c>
      <c r="G7" s="28">
        <v>-420</v>
      </c>
      <c r="H7" s="28" t="s">
        <v>4674</v>
      </c>
      <c r="I7" s="30" t="s">
        <v>4707</v>
      </c>
    </row>
    <row r="8" spans="4:9" x14ac:dyDescent="0.25">
      <c r="D8" s="29" t="s">
        <v>4646</v>
      </c>
      <c r="E8" s="28" t="s">
        <v>2625</v>
      </c>
      <c r="F8" s="28" t="s">
        <v>7</v>
      </c>
      <c r="G8" s="28">
        <v>-280</v>
      </c>
      <c r="H8" s="28" t="s">
        <v>4675</v>
      </c>
      <c r="I8" s="30" t="s">
        <v>4706</v>
      </c>
    </row>
    <row r="9" spans="4:9" x14ac:dyDescent="0.25">
      <c r="D9" s="14" t="s">
        <v>4646</v>
      </c>
      <c r="E9" s="1" t="s">
        <v>23</v>
      </c>
      <c r="F9" s="1" t="s">
        <v>7</v>
      </c>
      <c r="G9" s="1">
        <v>475</v>
      </c>
      <c r="H9" s="1" t="s">
        <v>4676</v>
      </c>
      <c r="I9" s="16" t="s">
        <v>2239</v>
      </c>
    </row>
    <row r="10" spans="4:9" x14ac:dyDescent="0.25">
      <c r="D10" s="14" t="s">
        <v>4646</v>
      </c>
      <c r="E10" s="1" t="s">
        <v>4635</v>
      </c>
      <c r="F10" s="1" t="s">
        <v>7</v>
      </c>
      <c r="G10" s="1">
        <v>9</v>
      </c>
      <c r="H10" s="1" t="s">
        <v>4677</v>
      </c>
      <c r="I10" s="16" t="s">
        <v>4705</v>
      </c>
    </row>
    <row r="11" spans="4:9" x14ac:dyDescent="0.25">
      <c r="D11" s="14" t="s">
        <v>4646</v>
      </c>
      <c r="E11" s="1" t="s">
        <v>262</v>
      </c>
      <c r="F11" s="1" t="s">
        <v>7</v>
      </c>
      <c r="G11" s="1">
        <v>4054.8</v>
      </c>
      <c r="H11" s="1" t="s">
        <v>4678</v>
      </c>
      <c r="I11" s="16" t="s">
        <v>871</v>
      </c>
    </row>
    <row r="12" spans="4:9" x14ac:dyDescent="0.25">
      <c r="D12" s="29" t="s">
        <v>4646</v>
      </c>
      <c r="E12" s="28" t="s">
        <v>472</v>
      </c>
      <c r="F12" s="28" t="s">
        <v>7</v>
      </c>
      <c r="G12" s="28">
        <v>-4023</v>
      </c>
      <c r="H12" s="28" t="s">
        <v>4679</v>
      </c>
      <c r="I12" s="30" t="s">
        <v>4710</v>
      </c>
    </row>
    <row r="13" spans="4:9" x14ac:dyDescent="0.25">
      <c r="D13" s="14" t="s">
        <v>4646</v>
      </c>
      <c r="E13" s="1" t="s">
        <v>4680</v>
      </c>
      <c r="F13" s="1" t="s">
        <v>7</v>
      </c>
      <c r="G13" s="1">
        <v>5</v>
      </c>
      <c r="H13" s="1" t="s">
        <v>4681</v>
      </c>
      <c r="I13" s="16" t="s">
        <v>4704</v>
      </c>
    </row>
    <row r="14" spans="4:9" x14ac:dyDescent="0.25">
      <c r="D14" s="14" t="s">
        <v>4646</v>
      </c>
      <c r="E14" s="1" t="s">
        <v>3634</v>
      </c>
      <c r="F14" s="1" t="s">
        <v>7</v>
      </c>
      <c r="G14" s="1">
        <v>35</v>
      </c>
      <c r="H14" s="1" t="s">
        <v>4682</v>
      </c>
      <c r="I14" s="16" t="s">
        <v>4703</v>
      </c>
    </row>
    <row r="15" spans="4:9" x14ac:dyDescent="0.25">
      <c r="D15" s="29" t="s">
        <v>4646</v>
      </c>
      <c r="E15" s="28" t="s">
        <v>4683</v>
      </c>
      <c r="F15" s="28" t="s">
        <v>7</v>
      </c>
      <c r="G15" s="28">
        <v>-180</v>
      </c>
      <c r="H15" s="28" t="s">
        <v>4684</v>
      </c>
      <c r="I15" s="30" t="s">
        <v>4702</v>
      </c>
    </row>
    <row r="16" spans="4:9" x14ac:dyDescent="0.25">
      <c r="D16" s="14" t="s">
        <v>4646</v>
      </c>
      <c r="E16" s="1" t="s">
        <v>23</v>
      </c>
      <c r="F16" s="1" t="s">
        <v>7</v>
      </c>
      <c r="G16" s="1">
        <v>3060</v>
      </c>
      <c r="H16" s="1" t="s">
        <v>4685</v>
      </c>
      <c r="I16" s="16" t="s">
        <v>1270</v>
      </c>
    </row>
    <row r="17" spans="4:9" x14ac:dyDescent="0.25">
      <c r="D17" s="14" t="s">
        <v>4646</v>
      </c>
      <c r="E17" s="1" t="s">
        <v>4680</v>
      </c>
      <c r="F17" s="1" t="s">
        <v>7</v>
      </c>
      <c r="G17" s="1">
        <v>5</v>
      </c>
      <c r="H17" s="1" t="s">
        <v>4686</v>
      </c>
      <c r="I17" s="16" t="s">
        <v>4701</v>
      </c>
    </row>
    <row r="18" spans="4:9" x14ac:dyDescent="0.25">
      <c r="D18" s="29" t="s">
        <v>4646</v>
      </c>
      <c r="E18" s="28" t="s">
        <v>4687</v>
      </c>
      <c r="F18" s="28" t="s">
        <v>7</v>
      </c>
      <c r="G18" s="28">
        <v>-13421.03</v>
      </c>
      <c r="H18" s="28" t="s">
        <v>4688</v>
      </c>
      <c r="I18" s="30" t="s">
        <v>4708</v>
      </c>
    </row>
    <row r="19" spans="4:9" x14ac:dyDescent="0.25">
      <c r="D19" s="14" t="s">
        <v>4646</v>
      </c>
      <c r="E19" s="1" t="s">
        <v>23</v>
      </c>
      <c r="F19" s="1" t="s">
        <v>7</v>
      </c>
      <c r="G19" s="1">
        <v>3070</v>
      </c>
      <c r="H19" s="1" t="s">
        <v>4689</v>
      </c>
      <c r="I19" s="16" t="s">
        <v>68</v>
      </c>
    </row>
    <row r="20" spans="4:9" x14ac:dyDescent="0.25">
      <c r="D20" s="153" t="s">
        <v>4646</v>
      </c>
      <c r="E20" s="152" t="s">
        <v>472</v>
      </c>
      <c r="F20" s="152" t="s">
        <v>7</v>
      </c>
      <c r="G20" s="152">
        <v>13421.03</v>
      </c>
      <c r="H20" s="152" t="s">
        <v>4690</v>
      </c>
      <c r="I20" s="154" t="s">
        <v>4709</v>
      </c>
    </row>
    <row r="21" spans="4:9" x14ac:dyDescent="0.25">
      <c r="D21" s="14" t="s">
        <v>4646</v>
      </c>
      <c r="E21" s="1" t="s">
        <v>4691</v>
      </c>
      <c r="F21" s="1" t="s">
        <v>7</v>
      </c>
      <c r="G21" s="1">
        <v>12.5</v>
      </c>
      <c r="H21" s="1" t="s">
        <v>4692</v>
      </c>
      <c r="I21" s="16" t="s">
        <v>4700</v>
      </c>
    </row>
    <row r="22" spans="4:9" x14ac:dyDescent="0.25">
      <c r="D22" s="14" t="s">
        <v>4646</v>
      </c>
      <c r="E22" s="1" t="s">
        <v>3707</v>
      </c>
      <c r="F22" s="1" t="s">
        <v>7</v>
      </c>
      <c r="G22" s="1">
        <v>22</v>
      </c>
      <c r="H22" s="1" t="s">
        <v>4693</v>
      </c>
      <c r="I22" s="16" t="s">
        <v>4698</v>
      </c>
    </row>
    <row r="23" spans="4:9" x14ac:dyDescent="0.25">
      <c r="D23" s="14" t="s">
        <v>4646</v>
      </c>
      <c r="E23" s="1" t="s">
        <v>4680</v>
      </c>
      <c r="F23" s="1" t="s">
        <v>7</v>
      </c>
      <c r="G23" s="1">
        <v>19</v>
      </c>
      <c r="H23" s="1" t="s">
        <v>4694</v>
      </c>
      <c r="I23" s="16" t="s">
        <v>4699</v>
      </c>
    </row>
    <row r="24" spans="4:9" x14ac:dyDescent="0.25">
      <c r="D24" s="14" t="s">
        <v>4646</v>
      </c>
      <c r="E24" s="1" t="s">
        <v>4695</v>
      </c>
      <c r="F24" s="1" t="s">
        <v>7</v>
      </c>
      <c r="G24" s="1">
        <v>27</v>
      </c>
      <c r="H24" s="1" t="s">
        <v>4696</v>
      </c>
      <c r="I24" s="16" t="s">
        <v>4697</v>
      </c>
    </row>
    <row r="25" spans="4:9" x14ac:dyDescent="0.25">
      <c r="D25" s="14" t="s">
        <v>4646</v>
      </c>
      <c r="E25" s="1" t="s">
        <v>23</v>
      </c>
      <c r="F25" s="1" t="s">
        <v>7</v>
      </c>
      <c r="G25" s="1">
        <v>65</v>
      </c>
      <c r="H25" s="1" t="s">
        <v>4647</v>
      </c>
      <c r="I25" s="16" t="s">
        <v>2239</v>
      </c>
    </row>
    <row r="26" spans="4:9" x14ac:dyDescent="0.25">
      <c r="D26" s="29" t="s">
        <v>4646</v>
      </c>
      <c r="E26" s="28" t="s">
        <v>2625</v>
      </c>
      <c r="F26" s="28" t="s">
        <v>7</v>
      </c>
      <c r="G26" s="28">
        <v>-102</v>
      </c>
      <c r="H26" s="28" t="s">
        <v>4648</v>
      </c>
      <c r="I26" s="30" t="s">
        <v>4670</v>
      </c>
    </row>
    <row r="27" spans="4:9" x14ac:dyDescent="0.25">
      <c r="D27" s="14" t="s">
        <v>4646</v>
      </c>
      <c r="E27" s="1" t="s">
        <v>4635</v>
      </c>
      <c r="F27" s="1" t="s">
        <v>7</v>
      </c>
      <c r="G27" s="1">
        <v>146.4</v>
      </c>
      <c r="H27" s="1" t="s">
        <v>4649</v>
      </c>
      <c r="I27" s="16" t="s">
        <v>4669</v>
      </c>
    </row>
    <row r="28" spans="4:9" x14ac:dyDescent="0.25">
      <c r="D28" s="14" t="s">
        <v>4646</v>
      </c>
      <c r="E28" s="1" t="s">
        <v>4552</v>
      </c>
      <c r="F28" s="1" t="s">
        <v>7</v>
      </c>
      <c r="G28" s="1">
        <v>180</v>
      </c>
      <c r="H28" s="1" t="s">
        <v>4650</v>
      </c>
      <c r="I28" s="16" t="s">
        <v>4673</v>
      </c>
    </row>
    <row r="29" spans="4:9" x14ac:dyDescent="0.25">
      <c r="D29" s="14" t="s">
        <v>4646</v>
      </c>
      <c r="E29" s="1" t="s">
        <v>4651</v>
      </c>
      <c r="F29" s="1" t="s">
        <v>7</v>
      </c>
      <c r="G29" s="1">
        <v>128</v>
      </c>
      <c r="H29" s="1" t="s">
        <v>4652</v>
      </c>
      <c r="I29" s="16" t="s">
        <v>4672</v>
      </c>
    </row>
    <row r="30" spans="4:9" x14ac:dyDescent="0.25">
      <c r="D30" s="14" t="s">
        <v>4646</v>
      </c>
      <c r="E30" s="1" t="s">
        <v>4651</v>
      </c>
      <c r="F30" s="1" t="s">
        <v>7</v>
      </c>
      <c r="G30" s="1">
        <v>400</v>
      </c>
      <c r="H30" s="1" t="s">
        <v>4653</v>
      </c>
      <c r="I30" s="16" t="s">
        <v>4672</v>
      </c>
    </row>
    <row r="31" spans="4:9" x14ac:dyDescent="0.25">
      <c r="D31" s="14" t="s">
        <v>4646</v>
      </c>
      <c r="E31" s="1" t="s">
        <v>4654</v>
      </c>
      <c r="F31" s="1" t="s">
        <v>7</v>
      </c>
      <c r="G31" s="1">
        <v>40</v>
      </c>
      <c r="H31" s="1" t="s">
        <v>4655</v>
      </c>
      <c r="I31" s="16" t="s">
        <v>4668</v>
      </c>
    </row>
    <row r="32" spans="4:9" x14ac:dyDescent="0.25">
      <c r="D32" s="14" t="s">
        <v>4646</v>
      </c>
      <c r="E32" s="1" t="s">
        <v>23</v>
      </c>
      <c r="F32" s="1" t="s">
        <v>7</v>
      </c>
      <c r="G32" s="43">
        <v>556.20000000000005</v>
      </c>
      <c r="H32" s="1" t="s">
        <v>4656</v>
      </c>
      <c r="I32" s="16" t="s">
        <v>552</v>
      </c>
    </row>
    <row r="33" spans="4:9" x14ac:dyDescent="0.25">
      <c r="D33" s="14" t="s">
        <v>4646</v>
      </c>
      <c r="E33" s="1" t="s">
        <v>75</v>
      </c>
      <c r="F33" s="1" t="s">
        <v>7</v>
      </c>
      <c r="G33" s="1">
        <v>7</v>
      </c>
      <c r="H33" s="1" t="s">
        <v>4657</v>
      </c>
      <c r="I33" s="16" t="s">
        <v>4671</v>
      </c>
    </row>
    <row r="34" spans="4:9" x14ac:dyDescent="0.25">
      <c r="D34" s="29" t="s">
        <v>4646</v>
      </c>
      <c r="E34" s="28" t="s">
        <v>2625</v>
      </c>
      <c r="F34" s="28" t="s">
        <v>7</v>
      </c>
      <c r="G34" s="28">
        <v>-175</v>
      </c>
      <c r="H34" s="28" t="s">
        <v>4658</v>
      </c>
      <c r="I34" s="30" t="s">
        <v>4665</v>
      </c>
    </row>
    <row r="35" spans="4:9" x14ac:dyDescent="0.25">
      <c r="D35" s="14" t="s">
        <v>4646</v>
      </c>
      <c r="E35" s="1" t="s">
        <v>4659</v>
      </c>
      <c r="F35" s="1" t="s">
        <v>7</v>
      </c>
      <c r="G35" s="43">
        <v>50</v>
      </c>
      <c r="H35" s="1" t="s">
        <v>4660</v>
      </c>
      <c r="I35" s="16" t="s">
        <v>4667</v>
      </c>
    </row>
    <row r="36" spans="4:9" x14ac:dyDescent="0.25">
      <c r="D36" s="14" t="s">
        <v>4646</v>
      </c>
      <c r="E36" s="1" t="s">
        <v>75</v>
      </c>
      <c r="F36" s="1" t="s">
        <v>7</v>
      </c>
      <c r="G36" s="1">
        <v>14</v>
      </c>
      <c r="H36" s="1" t="s">
        <v>4661</v>
      </c>
      <c r="I36" s="16" t="s">
        <v>4671</v>
      </c>
    </row>
    <row r="37" spans="4:9" x14ac:dyDescent="0.25">
      <c r="D37" s="14" t="s">
        <v>4646</v>
      </c>
      <c r="E37" s="1" t="s">
        <v>4662</v>
      </c>
      <c r="F37" s="1" t="s">
        <v>7</v>
      </c>
      <c r="G37" s="1">
        <v>5.5</v>
      </c>
      <c r="H37" s="1" t="s">
        <v>4663</v>
      </c>
      <c r="I37" s="16" t="s">
        <v>4664</v>
      </c>
    </row>
    <row r="38" spans="4:9" x14ac:dyDescent="0.25">
      <c r="D38" s="14"/>
      <c r="E38" s="1"/>
      <c r="F38" s="1"/>
      <c r="G38" s="1"/>
      <c r="H38" s="1"/>
      <c r="I38" s="16"/>
    </row>
    <row r="39" spans="4:9" ht="16.5" thickBot="1" x14ac:dyDescent="0.3">
      <c r="D39" s="25" t="s">
        <v>4646</v>
      </c>
      <c r="E39" s="18" t="s">
        <v>4666</v>
      </c>
      <c r="F39" s="18" t="s">
        <v>7</v>
      </c>
      <c r="G39" s="155">
        <v>670</v>
      </c>
      <c r="H39" s="18"/>
      <c r="I39" s="27" t="s">
        <v>583</v>
      </c>
    </row>
  </sheetData>
  <pageMargins left="0.7" right="0.7" top="0.75" bottom="0.75" header="0.3" footer="0.3"/>
  <pageSetup paperSize="256" orientation="portrait" horizontalDpi="203" verticalDpi="203" r:id="rId1"/>
</worksheet>
</file>

<file path=xl/worksheets/sheet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2B54FB-6F26-401B-B2CE-892764E1430A}">
  <sheetPr codeName="Hoja95"/>
  <dimension ref="D3:J35"/>
  <sheetViews>
    <sheetView workbookViewId="0">
      <selection activeCell="G7" sqref="G7"/>
    </sheetView>
  </sheetViews>
  <sheetFormatPr baseColWidth="10" defaultRowHeight="15.75" x14ac:dyDescent="0.25"/>
  <cols>
    <col min="4" max="4" width="11" style="3"/>
    <col min="5" max="5" width="23.625" style="3" customWidth="1"/>
    <col min="6" max="7" width="11" style="3"/>
    <col min="8" max="8" width="18.75" style="3" bestFit="1" customWidth="1"/>
    <col min="9" max="9" width="31.875" style="3" customWidth="1"/>
    <col min="10" max="10" width="11" style="3"/>
  </cols>
  <sheetData>
    <row r="3" spans="4:9" ht="16.5" thickBot="1" x14ac:dyDescent="0.3"/>
    <row r="4" spans="4:9" x14ac:dyDescent="0.25">
      <c r="D4" s="11" t="s">
        <v>0</v>
      </c>
      <c r="E4" s="12" t="s">
        <v>1</v>
      </c>
      <c r="F4" s="12" t="s">
        <v>2</v>
      </c>
      <c r="G4" s="12" t="s">
        <v>3</v>
      </c>
      <c r="H4" s="12" t="s">
        <v>4</v>
      </c>
      <c r="I4" s="13"/>
    </row>
    <row r="5" spans="4:9" x14ac:dyDescent="0.25">
      <c r="D5" s="14"/>
      <c r="E5" s="1"/>
      <c r="F5" s="1"/>
      <c r="G5" s="1"/>
      <c r="H5" s="1"/>
      <c r="I5" s="16"/>
    </row>
    <row r="6" spans="4:9" x14ac:dyDescent="0.25">
      <c r="D6" s="14"/>
      <c r="E6" s="1"/>
      <c r="F6" s="1"/>
      <c r="G6" s="1"/>
      <c r="H6" s="1"/>
      <c r="I6" s="16"/>
    </row>
    <row r="7" spans="4:9" x14ac:dyDescent="0.25">
      <c r="D7" s="14" t="s">
        <v>4712</v>
      </c>
      <c r="E7" s="1" t="s">
        <v>3005</v>
      </c>
      <c r="F7" s="1" t="s">
        <v>7</v>
      </c>
      <c r="G7" s="1">
        <v>27.5</v>
      </c>
      <c r="H7" s="1" t="s">
        <v>4763</v>
      </c>
      <c r="I7" s="16" t="s">
        <v>4765</v>
      </c>
    </row>
    <row r="8" spans="4:9" x14ac:dyDescent="0.25">
      <c r="D8" s="29" t="s">
        <v>4712</v>
      </c>
      <c r="E8" s="28" t="s">
        <v>663</v>
      </c>
      <c r="F8" s="28" t="s">
        <v>7</v>
      </c>
      <c r="G8" s="28">
        <v>-1.7</v>
      </c>
      <c r="H8" s="28" t="s">
        <v>664</v>
      </c>
      <c r="I8" s="30" t="s">
        <v>2208</v>
      </c>
    </row>
    <row r="9" spans="4:9" x14ac:dyDescent="0.25">
      <c r="D9" s="29" t="s">
        <v>4712</v>
      </c>
      <c r="E9" s="28" t="s">
        <v>472</v>
      </c>
      <c r="F9" s="28" t="s">
        <v>7</v>
      </c>
      <c r="G9" s="28">
        <v>-25520</v>
      </c>
      <c r="H9" s="28" t="s">
        <v>4758</v>
      </c>
      <c r="I9" s="30" t="s">
        <v>4766</v>
      </c>
    </row>
    <row r="10" spans="4:9" x14ac:dyDescent="0.25">
      <c r="D10" s="14" t="s">
        <v>4712</v>
      </c>
      <c r="E10" s="1" t="s">
        <v>3664</v>
      </c>
      <c r="F10" s="1" t="s">
        <v>7</v>
      </c>
      <c r="G10" s="1">
        <v>73</v>
      </c>
      <c r="H10" s="1" t="s">
        <v>4759</v>
      </c>
      <c r="I10" s="16" t="s">
        <v>1634</v>
      </c>
    </row>
    <row r="11" spans="4:9" x14ac:dyDescent="0.25">
      <c r="D11" s="29" t="s">
        <v>4712</v>
      </c>
      <c r="E11" s="28" t="s">
        <v>4760</v>
      </c>
      <c r="F11" s="28" t="s">
        <v>7</v>
      </c>
      <c r="G11" s="28">
        <v>-80</v>
      </c>
      <c r="H11" s="28" t="s">
        <v>4761</v>
      </c>
      <c r="I11" s="30" t="s">
        <v>4764</v>
      </c>
    </row>
    <row r="12" spans="4:9" x14ac:dyDescent="0.25">
      <c r="D12" s="14" t="s">
        <v>4712</v>
      </c>
      <c r="E12" s="1" t="s">
        <v>23</v>
      </c>
      <c r="F12" s="1" t="s">
        <v>7</v>
      </c>
      <c r="G12" s="1">
        <v>50</v>
      </c>
      <c r="H12" s="1" t="s">
        <v>4762</v>
      </c>
      <c r="I12" s="16" t="s">
        <v>660</v>
      </c>
    </row>
    <row r="13" spans="4:9" x14ac:dyDescent="0.25">
      <c r="D13" s="14" t="s">
        <v>4712</v>
      </c>
      <c r="E13" s="1" t="s">
        <v>523</v>
      </c>
      <c r="F13" s="1" t="s">
        <v>7</v>
      </c>
      <c r="G13" s="1">
        <v>207</v>
      </c>
      <c r="H13" s="1" t="s">
        <v>4728</v>
      </c>
      <c r="I13" s="16" t="s">
        <v>583</v>
      </c>
    </row>
    <row r="14" spans="4:9" x14ac:dyDescent="0.25">
      <c r="D14" s="29" t="s">
        <v>4712</v>
      </c>
      <c r="E14" s="28" t="s">
        <v>4729</v>
      </c>
      <c r="F14" s="28" t="s">
        <v>7</v>
      </c>
      <c r="G14" s="28">
        <v>-420</v>
      </c>
      <c r="H14" s="28" t="s">
        <v>4730</v>
      </c>
      <c r="I14" s="30" t="s">
        <v>4755</v>
      </c>
    </row>
    <row r="15" spans="4:9" x14ac:dyDescent="0.25">
      <c r="D15" s="29" t="s">
        <v>4712</v>
      </c>
      <c r="E15" s="28" t="s">
        <v>4729</v>
      </c>
      <c r="F15" s="28" t="s">
        <v>7</v>
      </c>
      <c r="G15" s="28">
        <v>-500</v>
      </c>
      <c r="H15" s="28" t="s">
        <v>4731</v>
      </c>
      <c r="I15" s="30" t="s">
        <v>4755</v>
      </c>
    </row>
    <row r="16" spans="4:9" x14ac:dyDescent="0.25">
      <c r="D16" s="14" t="s">
        <v>4712</v>
      </c>
      <c r="E16" s="1" t="s">
        <v>23</v>
      </c>
      <c r="F16" s="1" t="s">
        <v>7</v>
      </c>
      <c r="G16" s="1">
        <v>3070</v>
      </c>
      <c r="H16" s="1" t="s">
        <v>4732</v>
      </c>
      <c r="I16" s="16" t="s">
        <v>4754</v>
      </c>
    </row>
    <row r="17" spans="4:9" x14ac:dyDescent="0.25">
      <c r="D17" s="14" t="s">
        <v>4712</v>
      </c>
      <c r="E17" s="1" t="s">
        <v>4733</v>
      </c>
      <c r="F17" s="1" t="s">
        <v>7</v>
      </c>
      <c r="G17" s="1">
        <v>14</v>
      </c>
      <c r="H17" s="1" t="s">
        <v>4734</v>
      </c>
      <c r="I17" s="16" t="s">
        <v>4753</v>
      </c>
    </row>
    <row r="18" spans="4:9" x14ac:dyDescent="0.25">
      <c r="D18" s="14" t="s">
        <v>4712</v>
      </c>
      <c r="E18" s="1" t="s">
        <v>4504</v>
      </c>
      <c r="F18" s="1" t="s">
        <v>7</v>
      </c>
      <c r="G18" s="1">
        <v>10</v>
      </c>
      <c r="H18" s="1" t="s">
        <v>4735</v>
      </c>
      <c r="I18" s="16" t="s">
        <v>4756</v>
      </c>
    </row>
    <row r="19" spans="4:9" x14ac:dyDescent="0.25">
      <c r="D19" s="29" t="s">
        <v>4712</v>
      </c>
      <c r="E19" s="28" t="s">
        <v>4736</v>
      </c>
      <c r="F19" s="28" t="s">
        <v>7</v>
      </c>
      <c r="G19" s="28">
        <v>-130</v>
      </c>
      <c r="H19" s="28" t="s">
        <v>4737</v>
      </c>
      <c r="I19" s="30" t="s">
        <v>4752</v>
      </c>
    </row>
    <row r="20" spans="4:9" x14ac:dyDescent="0.25">
      <c r="D20" s="14" t="s">
        <v>4712</v>
      </c>
      <c r="E20" s="1" t="s">
        <v>4738</v>
      </c>
      <c r="F20" s="1" t="s">
        <v>7</v>
      </c>
      <c r="G20" s="1">
        <v>500</v>
      </c>
      <c r="H20" s="1" t="s">
        <v>4739</v>
      </c>
      <c r="I20" s="16" t="s">
        <v>4751</v>
      </c>
    </row>
    <row r="21" spans="4:9" x14ac:dyDescent="0.25">
      <c r="D21" s="14" t="s">
        <v>4712</v>
      </c>
      <c r="E21" s="1" t="s">
        <v>4740</v>
      </c>
      <c r="F21" s="1" t="s">
        <v>7</v>
      </c>
      <c r="G21" s="1">
        <v>32</v>
      </c>
      <c r="H21" s="1" t="s">
        <v>4741</v>
      </c>
      <c r="I21" s="16" t="s">
        <v>4750</v>
      </c>
    </row>
    <row r="22" spans="4:9" x14ac:dyDescent="0.25">
      <c r="D22" s="29" t="s">
        <v>4712</v>
      </c>
      <c r="E22" s="28" t="s">
        <v>2625</v>
      </c>
      <c r="F22" s="28" t="s">
        <v>7</v>
      </c>
      <c r="G22" s="28">
        <v>-70</v>
      </c>
      <c r="H22" s="28" t="s">
        <v>4742</v>
      </c>
      <c r="I22" s="30" t="s">
        <v>4749</v>
      </c>
    </row>
    <row r="23" spans="4:9" x14ac:dyDescent="0.25">
      <c r="D23" s="29" t="s">
        <v>4712</v>
      </c>
      <c r="E23" s="28" t="s">
        <v>472</v>
      </c>
      <c r="F23" s="28" t="s">
        <v>7</v>
      </c>
      <c r="G23" s="28">
        <v>-5000</v>
      </c>
      <c r="H23" s="28" t="s">
        <v>4713</v>
      </c>
      <c r="I23" s="30" t="s">
        <v>4748</v>
      </c>
    </row>
    <row r="24" spans="4:9" x14ac:dyDescent="0.25">
      <c r="D24" s="14" t="s">
        <v>4712</v>
      </c>
      <c r="E24" s="1" t="s">
        <v>3300</v>
      </c>
      <c r="F24" s="1" t="s">
        <v>7</v>
      </c>
      <c r="G24" s="1">
        <v>168</v>
      </c>
      <c r="H24" s="1" t="s">
        <v>4714</v>
      </c>
      <c r="I24" s="16" t="s">
        <v>3306</v>
      </c>
    </row>
    <row r="25" spans="4:9" x14ac:dyDescent="0.25">
      <c r="D25" s="14" t="s">
        <v>4712</v>
      </c>
      <c r="E25" s="1" t="s">
        <v>3300</v>
      </c>
      <c r="F25" s="1" t="s">
        <v>7</v>
      </c>
      <c r="G25" s="1">
        <v>500</v>
      </c>
      <c r="H25" s="1" t="s">
        <v>4715</v>
      </c>
      <c r="I25" s="16" t="s">
        <v>3306</v>
      </c>
    </row>
    <row r="26" spans="4:9" x14ac:dyDescent="0.25">
      <c r="D26" s="14" t="s">
        <v>4712</v>
      </c>
      <c r="E26" s="1" t="s">
        <v>4716</v>
      </c>
      <c r="F26" s="1" t="s">
        <v>7</v>
      </c>
      <c r="G26" s="1">
        <v>4</v>
      </c>
      <c r="H26" s="1" t="s">
        <v>4717</v>
      </c>
      <c r="I26" s="16" t="s">
        <v>4747</v>
      </c>
    </row>
    <row r="27" spans="4:9" x14ac:dyDescent="0.25">
      <c r="D27" s="14" t="s">
        <v>4712</v>
      </c>
      <c r="E27" s="1" t="s">
        <v>4718</v>
      </c>
      <c r="F27" s="1" t="s">
        <v>7</v>
      </c>
      <c r="G27" s="1">
        <v>8</v>
      </c>
      <c r="H27" s="1" t="s">
        <v>4719</v>
      </c>
      <c r="I27" s="16" t="s">
        <v>4746</v>
      </c>
    </row>
    <row r="28" spans="4:9" x14ac:dyDescent="0.25">
      <c r="D28" s="14" t="s">
        <v>4712</v>
      </c>
      <c r="E28" s="1" t="s">
        <v>4720</v>
      </c>
      <c r="F28" s="1" t="s">
        <v>7</v>
      </c>
      <c r="G28" s="1">
        <v>106</v>
      </c>
      <c r="H28" s="1" t="s">
        <v>4721</v>
      </c>
      <c r="I28" s="16" t="s">
        <v>4745</v>
      </c>
    </row>
    <row r="29" spans="4:9" x14ac:dyDescent="0.25">
      <c r="D29" s="14" t="s">
        <v>4712</v>
      </c>
      <c r="E29" s="1" t="s">
        <v>4722</v>
      </c>
      <c r="F29" s="1" t="s">
        <v>7</v>
      </c>
      <c r="G29" s="1">
        <v>25.5</v>
      </c>
      <c r="H29" s="1" t="s">
        <v>4723</v>
      </c>
      <c r="I29" s="16" t="s">
        <v>4744</v>
      </c>
    </row>
    <row r="30" spans="4:9" x14ac:dyDescent="0.25">
      <c r="D30" s="14" t="s">
        <v>4712</v>
      </c>
      <c r="E30" s="1" t="s">
        <v>23</v>
      </c>
      <c r="F30" s="1" t="s">
        <v>7</v>
      </c>
      <c r="G30" s="1">
        <v>873.5</v>
      </c>
      <c r="H30" s="1" t="s">
        <v>4724</v>
      </c>
      <c r="I30" s="16" t="s">
        <v>4757</v>
      </c>
    </row>
    <row r="31" spans="4:9" x14ac:dyDescent="0.25">
      <c r="D31" s="14" t="s">
        <v>4712</v>
      </c>
      <c r="E31" s="1" t="s">
        <v>4725</v>
      </c>
      <c r="F31" s="1" t="s">
        <v>7</v>
      </c>
      <c r="G31" s="1">
        <v>277.5</v>
      </c>
      <c r="H31" s="1" t="s">
        <v>4726</v>
      </c>
      <c r="I31" s="16" t="s">
        <v>4743</v>
      </c>
    </row>
    <row r="32" spans="4:9" x14ac:dyDescent="0.25">
      <c r="D32" s="14" t="s">
        <v>4712</v>
      </c>
      <c r="E32" s="1" t="s">
        <v>4448</v>
      </c>
      <c r="F32" s="1" t="s">
        <v>7</v>
      </c>
      <c r="G32" s="1">
        <v>212.5</v>
      </c>
      <c r="H32" s="1" t="s">
        <v>4727</v>
      </c>
      <c r="I32" s="16" t="s">
        <v>3041</v>
      </c>
    </row>
    <row r="33" spans="4:9" x14ac:dyDescent="0.25">
      <c r="D33" s="14"/>
      <c r="E33" s="1"/>
      <c r="F33" s="1"/>
      <c r="G33" s="1"/>
      <c r="H33" s="1"/>
      <c r="I33" s="16"/>
    </row>
    <row r="34" spans="4:9" x14ac:dyDescent="0.25">
      <c r="D34" s="14"/>
      <c r="E34" s="1"/>
      <c r="F34" s="1"/>
      <c r="G34" s="1"/>
      <c r="H34" s="1"/>
      <c r="I34" s="16"/>
    </row>
    <row r="35" spans="4:9" ht="16.5" thickBot="1" x14ac:dyDescent="0.3">
      <c r="D35" s="25" t="s">
        <v>4712</v>
      </c>
      <c r="E35" s="18" t="s">
        <v>78</v>
      </c>
      <c r="F35" s="18" t="s">
        <v>7</v>
      </c>
      <c r="G35" s="18">
        <v>1404</v>
      </c>
      <c r="H35" s="18"/>
      <c r="I35" s="27" t="s">
        <v>583</v>
      </c>
    </row>
  </sheetData>
  <pageMargins left="0.7" right="0.7" top="0.75" bottom="0.75" header="0.3" footer="0.3"/>
  <pageSetup paperSize="256" orientation="portrait" horizontalDpi="203" verticalDpi="203" r:id="rId1"/>
</worksheet>
</file>

<file path=xl/worksheets/sheet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57C4C3-FA74-426F-9A26-6911AF723C3C}">
  <sheetPr codeName="Hoja96"/>
  <dimension ref="C2:I45"/>
  <sheetViews>
    <sheetView topLeftCell="A16" workbookViewId="0">
      <selection activeCell="B2" sqref="B2:I46"/>
    </sheetView>
  </sheetViews>
  <sheetFormatPr baseColWidth="10" defaultRowHeight="15.75" x14ac:dyDescent="0.25"/>
  <cols>
    <col min="3" max="3" width="11" style="3"/>
    <col min="4" max="4" width="21.75" style="3" bestFit="1" customWidth="1"/>
    <col min="5" max="6" width="11" style="3"/>
    <col min="7" max="7" width="18.75" style="3" bestFit="1" customWidth="1"/>
    <col min="8" max="8" width="37.25" style="3" customWidth="1"/>
    <col min="9" max="9" width="11" style="3"/>
  </cols>
  <sheetData>
    <row r="2" spans="3:8" ht="16.5" thickBot="1" x14ac:dyDescent="0.3"/>
    <row r="3" spans="3:8" x14ac:dyDescent="0.25">
      <c r="C3" s="11" t="s">
        <v>0</v>
      </c>
      <c r="D3" s="12" t="s">
        <v>1</v>
      </c>
      <c r="E3" s="12" t="s">
        <v>2</v>
      </c>
      <c r="F3" s="12" t="s">
        <v>3</v>
      </c>
      <c r="G3" s="12" t="s">
        <v>4</v>
      </c>
      <c r="H3" s="13"/>
    </row>
    <row r="4" spans="3:8" x14ac:dyDescent="0.25">
      <c r="C4" s="148"/>
      <c r="D4" s="149"/>
      <c r="E4" s="149"/>
      <c r="F4" s="149"/>
      <c r="G4" s="149"/>
      <c r="H4" s="150"/>
    </row>
    <row r="5" spans="3:8" x14ac:dyDescent="0.25">
      <c r="C5" s="14" t="s">
        <v>4767</v>
      </c>
      <c r="D5" s="1" t="s">
        <v>4837</v>
      </c>
      <c r="E5" s="1" t="s">
        <v>7</v>
      </c>
      <c r="F5" s="1">
        <v>86</v>
      </c>
      <c r="G5" s="1">
        <v>77352</v>
      </c>
      <c r="H5" s="16" t="s">
        <v>1768</v>
      </c>
    </row>
    <row r="6" spans="3:8" x14ac:dyDescent="0.25">
      <c r="C6" s="29" t="s">
        <v>4767</v>
      </c>
      <c r="D6" s="28" t="s">
        <v>4818</v>
      </c>
      <c r="E6" s="28" t="s">
        <v>7</v>
      </c>
      <c r="F6" s="28">
        <v>-100</v>
      </c>
      <c r="G6" s="28" t="s">
        <v>4819</v>
      </c>
      <c r="H6" s="30" t="s">
        <v>4836</v>
      </c>
    </row>
    <row r="7" spans="3:8" x14ac:dyDescent="0.25">
      <c r="C7" s="14" t="s">
        <v>4767</v>
      </c>
      <c r="D7" s="1" t="s">
        <v>3254</v>
      </c>
      <c r="E7" s="1" t="s">
        <v>7</v>
      </c>
      <c r="F7" s="1">
        <v>39</v>
      </c>
      <c r="G7" s="1" t="s">
        <v>4820</v>
      </c>
      <c r="H7" s="16" t="s">
        <v>68</v>
      </c>
    </row>
    <row r="8" spans="3:8" x14ac:dyDescent="0.25">
      <c r="C8" s="14" t="s">
        <v>4767</v>
      </c>
      <c r="D8" s="1" t="s">
        <v>4821</v>
      </c>
      <c r="E8" s="1" t="s">
        <v>7</v>
      </c>
      <c r="F8" s="1">
        <v>12</v>
      </c>
      <c r="G8" s="1" t="s">
        <v>4822</v>
      </c>
      <c r="H8" s="16" t="s">
        <v>4835</v>
      </c>
    </row>
    <row r="9" spans="3:8" x14ac:dyDescent="0.25">
      <c r="C9" s="29" t="s">
        <v>4767</v>
      </c>
      <c r="D9" s="28" t="s">
        <v>4823</v>
      </c>
      <c r="E9" s="28" t="s">
        <v>7</v>
      </c>
      <c r="F9" s="28">
        <v>-55</v>
      </c>
      <c r="G9" s="28" t="s">
        <v>4824</v>
      </c>
      <c r="H9" s="30" t="s">
        <v>4834</v>
      </c>
    </row>
    <row r="10" spans="3:8" x14ac:dyDescent="0.25">
      <c r="C10" s="29" t="s">
        <v>4767</v>
      </c>
      <c r="D10" s="28" t="s">
        <v>4825</v>
      </c>
      <c r="E10" s="28" t="s">
        <v>7</v>
      </c>
      <c r="F10" s="28">
        <v>-100</v>
      </c>
      <c r="G10" s="28" t="s">
        <v>4826</v>
      </c>
      <c r="H10" s="30" t="s">
        <v>4833</v>
      </c>
    </row>
    <row r="11" spans="3:8" x14ac:dyDescent="0.25">
      <c r="C11" s="14" t="s">
        <v>4767</v>
      </c>
      <c r="D11" s="1" t="s">
        <v>519</v>
      </c>
      <c r="E11" s="1" t="s">
        <v>7</v>
      </c>
      <c r="F11" s="1">
        <v>410</v>
      </c>
      <c r="G11" s="1" t="s">
        <v>4827</v>
      </c>
      <c r="H11" s="16" t="s">
        <v>1388</v>
      </c>
    </row>
    <row r="12" spans="3:8" x14ac:dyDescent="0.25">
      <c r="C12" s="14" t="s">
        <v>4767</v>
      </c>
      <c r="D12" s="1" t="s">
        <v>519</v>
      </c>
      <c r="E12" s="1" t="s">
        <v>7</v>
      </c>
      <c r="F12" s="1">
        <v>500</v>
      </c>
      <c r="G12" s="1" t="s">
        <v>4828</v>
      </c>
      <c r="H12" s="16" t="s">
        <v>1388</v>
      </c>
    </row>
    <row r="13" spans="3:8" x14ac:dyDescent="0.25">
      <c r="C13" s="14" t="s">
        <v>4767</v>
      </c>
      <c r="D13" s="1" t="s">
        <v>122</v>
      </c>
      <c r="E13" s="1" t="s">
        <v>7</v>
      </c>
      <c r="F13" s="1">
        <v>561</v>
      </c>
      <c r="G13" s="1" t="s">
        <v>4829</v>
      </c>
      <c r="H13" s="16" t="s">
        <v>4831</v>
      </c>
    </row>
    <row r="14" spans="3:8" x14ac:dyDescent="0.25">
      <c r="C14" s="14" t="s">
        <v>4767</v>
      </c>
      <c r="D14" s="1" t="s">
        <v>472</v>
      </c>
      <c r="E14" s="1" t="s">
        <v>7</v>
      </c>
      <c r="F14" s="1">
        <v>802.5</v>
      </c>
      <c r="G14" s="1" t="s">
        <v>4830</v>
      </c>
      <c r="H14" s="16" t="s">
        <v>4832</v>
      </c>
    </row>
    <row r="15" spans="3:8" x14ac:dyDescent="0.25">
      <c r="C15" s="14" t="s">
        <v>4767</v>
      </c>
      <c r="D15" s="1" t="s">
        <v>23</v>
      </c>
      <c r="E15" s="1" t="s">
        <v>7</v>
      </c>
      <c r="F15" s="1">
        <v>202.5</v>
      </c>
      <c r="G15" s="1" t="s">
        <v>4786</v>
      </c>
      <c r="H15" s="16" t="s">
        <v>4609</v>
      </c>
    </row>
    <row r="16" spans="3:8" x14ac:dyDescent="0.25">
      <c r="C16" s="14" t="s">
        <v>4767</v>
      </c>
      <c r="D16" s="1" t="s">
        <v>3005</v>
      </c>
      <c r="E16" s="1" t="s">
        <v>7</v>
      </c>
      <c r="F16" s="1">
        <v>32</v>
      </c>
      <c r="G16" s="1" t="s">
        <v>4787</v>
      </c>
      <c r="H16" s="16" t="s">
        <v>386</v>
      </c>
    </row>
    <row r="17" spans="3:8" x14ac:dyDescent="0.25">
      <c r="C17" s="14" t="s">
        <v>4767</v>
      </c>
      <c r="D17" s="1" t="s">
        <v>4788</v>
      </c>
      <c r="E17" s="1" t="s">
        <v>7</v>
      </c>
      <c r="F17" s="1">
        <v>75</v>
      </c>
      <c r="G17" s="1" t="s">
        <v>4789</v>
      </c>
      <c r="H17" s="16" t="s">
        <v>4814</v>
      </c>
    </row>
    <row r="18" spans="3:8" x14ac:dyDescent="0.25">
      <c r="C18" s="14" t="s">
        <v>4767</v>
      </c>
      <c r="D18" s="1" t="s">
        <v>4790</v>
      </c>
      <c r="E18" s="1" t="s">
        <v>7</v>
      </c>
      <c r="F18" s="1">
        <v>5</v>
      </c>
      <c r="G18" s="1" t="s">
        <v>4791</v>
      </c>
      <c r="H18" s="16" t="s">
        <v>4813</v>
      </c>
    </row>
    <row r="19" spans="3:8" x14ac:dyDescent="0.25">
      <c r="C19" s="14" t="s">
        <v>4767</v>
      </c>
      <c r="D19" s="1" t="s">
        <v>4792</v>
      </c>
      <c r="E19" s="1" t="s">
        <v>7</v>
      </c>
      <c r="F19" s="1">
        <v>6</v>
      </c>
      <c r="G19" s="1" t="s">
        <v>4793</v>
      </c>
      <c r="H19" s="16" t="s">
        <v>4812</v>
      </c>
    </row>
    <row r="20" spans="3:8" x14ac:dyDescent="0.25">
      <c r="C20" s="14" t="s">
        <v>4767</v>
      </c>
      <c r="D20" s="1" t="s">
        <v>4794</v>
      </c>
      <c r="E20" s="1" t="s">
        <v>7</v>
      </c>
      <c r="F20" s="1">
        <v>70</v>
      </c>
      <c r="G20" s="1" t="s">
        <v>4795</v>
      </c>
      <c r="H20" s="16" t="s">
        <v>1682</v>
      </c>
    </row>
    <row r="21" spans="3:8" x14ac:dyDescent="0.25">
      <c r="C21" s="14" t="s">
        <v>4767</v>
      </c>
      <c r="D21" s="1" t="s">
        <v>4796</v>
      </c>
      <c r="E21" s="1" t="s">
        <v>7</v>
      </c>
      <c r="F21" s="1">
        <v>480</v>
      </c>
      <c r="G21" s="1" t="s">
        <v>4797</v>
      </c>
      <c r="H21" s="16" t="s">
        <v>4816</v>
      </c>
    </row>
    <row r="22" spans="3:8" x14ac:dyDescent="0.25">
      <c r="C22" s="14" t="s">
        <v>4767</v>
      </c>
      <c r="D22" s="1" t="s">
        <v>4798</v>
      </c>
      <c r="E22" s="1" t="s">
        <v>7</v>
      </c>
      <c r="F22" s="1">
        <v>6</v>
      </c>
      <c r="G22" s="1" t="s">
        <v>4799</v>
      </c>
      <c r="H22" s="16" t="s">
        <v>4815</v>
      </c>
    </row>
    <row r="23" spans="3:8" x14ac:dyDescent="0.25">
      <c r="C23" s="14" t="s">
        <v>4767</v>
      </c>
      <c r="D23" s="1" t="s">
        <v>742</v>
      </c>
      <c r="E23" s="1" t="s">
        <v>7</v>
      </c>
      <c r="F23" s="1">
        <v>385</v>
      </c>
      <c r="G23" s="1" t="s">
        <v>4800</v>
      </c>
      <c r="H23" s="16" t="s">
        <v>1705</v>
      </c>
    </row>
    <row r="24" spans="3:8" x14ac:dyDescent="0.25">
      <c r="C24" s="14" t="s">
        <v>4767</v>
      </c>
      <c r="D24" s="1" t="s">
        <v>742</v>
      </c>
      <c r="E24" s="1" t="s">
        <v>7</v>
      </c>
      <c r="F24" s="1">
        <v>500</v>
      </c>
      <c r="G24" s="1" t="s">
        <v>4801</v>
      </c>
      <c r="H24" s="16" t="s">
        <v>1705</v>
      </c>
    </row>
    <row r="25" spans="3:8" x14ac:dyDescent="0.25">
      <c r="C25" s="29" t="s">
        <v>4767</v>
      </c>
      <c r="D25" s="28" t="s">
        <v>4760</v>
      </c>
      <c r="E25" s="28" t="s">
        <v>7</v>
      </c>
      <c r="F25" s="28">
        <v>-35</v>
      </c>
      <c r="G25" s="28" t="s">
        <v>4806</v>
      </c>
      <c r="H25" s="30" t="s">
        <v>4811</v>
      </c>
    </row>
    <row r="26" spans="3:8" x14ac:dyDescent="0.25">
      <c r="C26" s="14" t="s">
        <v>4767</v>
      </c>
      <c r="D26" s="1" t="s">
        <v>23</v>
      </c>
      <c r="E26" s="1" t="s">
        <v>7</v>
      </c>
      <c r="F26" s="1">
        <v>235</v>
      </c>
      <c r="G26" s="1" t="s">
        <v>4807</v>
      </c>
      <c r="H26" s="16" t="s">
        <v>3606</v>
      </c>
    </row>
    <row r="27" spans="3:8" x14ac:dyDescent="0.25">
      <c r="C27" s="29" t="s">
        <v>4767</v>
      </c>
      <c r="D27" s="28" t="s">
        <v>4808</v>
      </c>
      <c r="E27" s="28" t="s">
        <v>7</v>
      </c>
      <c r="F27" s="28">
        <v>-80</v>
      </c>
      <c r="G27" s="28" t="s">
        <v>4809</v>
      </c>
      <c r="H27" s="30" t="s">
        <v>4810</v>
      </c>
    </row>
    <row r="28" spans="3:8" x14ac:dyDescent="0.25">
      <c r="C28" s="29" t="s">
        <v>4767</v>
      </c>
      <c r="D28" s="28" t="s">
        <v>4768</v>
      </c>
      <c r="E28" s="28" t="s">
        <v>7</v>
      </c>
      <c r="F28" s="28">
        <v>-35</v>
      </c>
      <c r="G28" s="28" t="s">
        <v>4769</v>
      </c>
      <c r="H28" s="30" t="s">
        <v>4805</v>
      </c>
    </row>
    <row r="29" spans="3:8" x14ac:dyDescent="0.25">
      <c r="C29" s="29" t="s">
        <v>4767</v>
      </c>
      <c r="D29" s="28" t="s">
        <v>4768</v>
      </c>
      <c r="E29" s="28" t="s">
        <v>7</v>
      </c>
      <c r="F29" s="28">
        <v>-500</v>
      </c>
      <c r="G29" s="28" t="s">
        <v>4770</v>
      </c>
      <c r="H29" s="30" t="s">
        <v>4805</v>
      </c>
    </row>
    <row r="30" spans="3:8" x14ac:dyDescent="0.25">
      <c r="C30" s="29" t="s">
        <v>4767</v>
      </c>
      <c r="D30" s="28" t="s">
        <v>4768</v>
      </c>
      <c r="E30" s="28" t="s">
        <v>7</v>
      </c>
      <c r="F30" s="28">
        <v>-500</v>
      </c>
      <c r="G30" s="28" t="s">
        <v>4771</v>
      </c>
      <c r="H30" s="30" t="s">
        <v>4805</v>
      </c>
    </row>
    <row r="31" spans="3:8" x14ac:dyDescent="0.25">
      <c r="C31" s="14" t="s">
        <v>4767</v>
      </c>
      <c r="D31" s="1" t="s">
        <v>4772</v>
      </c>
      <c r="E31" s="1" t="s">
        <v>7</v>
      </c>
      <c r="F31" s="1">
        <v>10</v>
      </c>
      <c r="G31" s="1" t="s">
        <v>4773</v>
      </c>
      <c r="H31" s="16" t="s">
        <v>4804</v>
      </c>
    </row>
    <row r="32" spans="3:8" x14ac:dyDescent="0.25">
      <c r="C32" s="14" t="s">
        <v>4767</v>
      </c>
      <c r="D32" s="1" t="s">
        <v>4774</v>
      </c>
      <c r="E32" s="1" t="s">
        <v>7</v>
      </c>
      <c r="F32" s="1">
        <v>50</v>
      </c>
      <c r="G32" s="1" t="s">
        <v>4775</v>
      </c>
      <c r="H32" s="16" t="s">
        <v>3570</v>
      </c>
    </row>
    <row r="33" spans="3:8" x14ac:dyDescent="0.25">
      <c r="C33" s="14" t="s">
        <v>4767</v>
      </c>
      <c r="D33" s="1" t="s">
        <v>3619</v>
      </c>
      <c r="E33" s="1" t="s">
        <v>7</v>
      </c>
      <c r="F33" s="1">
        <v>15</v>
      </c>
      <c r="G33" s="1" t="s">
        <v>4776</v>
      </c>
      <c r="H33" s="16" t="s">
        <v>660</v>
      </c>
    </row>
    <row r="34" spans="3:8" x14ac:dyDescent="0.25">
      <c r="C34" s="14" t="s">
        <v>4767</v>
      </c>
      <c r="D34" s="1" t="s">
        <v>3373</v>
      </c>
      <c r="E34" s="1" t="s">
        <v>7</v>
      </c>
      <c r="F34" s="1">
        <v>200</v>
      </c>
      <c r="G34" s="1" t="s">
        <v>4777</v>
      </c>
      <c r="H34" s="16" t="s">
        <v>4272</v>
      </c>
    </row>
    <row r="35" spans="3:8" x14ac:dyDescent="0.25">
      <c r="C35" s="14" t="s">
        <v>4767</v>
      </c>
      <c r="D35" s="1" t="s">
        <v>3373</v>
      </c>
      <c r="E35" s="1" t="s">
        <v>7</v>
      </c>
      <c r="F35" s="1">
        <v>500</v>
      </c>
      <c r="G35" s="1" t="s">
        <v>4778</v>
      </c>
      <c r="H35" s="16" t="s">
        <v>4272</v>
      </c>
    </row>
    <row r="36" spans="3:8" x14ac:dyDescent="0.25">
      <c r="C36" s="14" t="s">
        <v>4767</v>
      </c>
      <c r="D36" s="1" t="s">
        <v>3271</v>
      </c>
      <c r="E36" s="1" t="s">
        <v>7</v>
      </c>
      <c r="F36" s="1">
        <v>495</v>
      </c>
      <c r="G36" s="1" t="s">
        <v>4779</v>
      </c>
      <c r="H36" s="16" t="s">
        <v>4803</v>
      </c>
    </row>
    <row r="37" spans="3:8" x14ac:dyDescent="0.25">
      <c r="C37" s="14" t="s">
        <v>4767</v>
      </c>
      <c r="D37" s="1" t="s">
        <v>4518</v>
      </c>
      <c r="E37" s="1" t="s">
        <v>7</v>
      </c>
      <c r="F37" s="1">
        <v>11</v>
      </c>
      <c r="G37" s="1" t="s">
        <v>4780</v>
      </c>
      <c r="H37" s="16" t="s">
        <v>4802</v>
      </c>
    </row>
    <row r="38" spans="3:8" x14ac:dyDescent="0.25">
      <c r="C38" s="14" t="s">
        <v>4767</v>
      </c>
      <c r="D38" s="1" t="s">
        <v>4448</v>
      </c>
      <c r="E38" s="1" t="s">
        <v>7</v>
      </c>
      <c r="F38" s="1">
        <v>273</v>
      </c>
      <c r="G38" s="1" t="s">
        <v>4781</v>
      </c>
      <c r="H38" s="16" t="s">
        <v>3041</v>
      </c>
    </row>
    <row r="39" spans="3:8" x14ac:dyDescent="0.25">
      <c r="C39" s="14" t="s">
        <v>4767</v>
      </c>
      <c r="D39" s="1" t="s">
        <v>4725</v>
      </c>
      <c r="E39" s="1" t="s">
        <v>7</v>
      </c>
      <c r="F39" s="1">
        <v>192</v>
      </c>
      <c r="G39" s="1" t="s">
        <v>4782</v>
      </c>
      <c r="H39" s="16" t="s">
        <v>4743</v>
      </c>
    </row>
    <row r="40" spans="3:8" x14ac:dyDescent="0.25">
      <c r="C40" s="29" t="s">
        <v>4767</v>
      </c>
      <c r="D40" s="28" t="s">
        <v>69</v>
      </c>
      <c r="E40" s="28" t="s">
        <v>7</v>
      </c>
      <c r="F40" s="28">
        <v>-80</v>
      </c>
      <c r="G40" s="28" t="s">
        <v>4783</v>
      </c>
      <c r="H40" s="30" t="s">
        <v>4817</v>
      </c>
    </row>
    <row r="41" spans="3:8" x14ac:dyDescent="0.25">
      <c r="C41" s="14" t="s">
        <v>4767</v>
      </c>
      <c r="D41" s="1" t="s">
        <v>4784</v>
      </c>
      <c r="E41" s="1" t="s">
        <v>7</v>
      </c>
      <c r="F41" s="1">
        <v>17</v>
      </c>
      <c r="G41" s="1" t="s">
        <v>4785</v>
      </c>
      <c r="H41" s="16" t="s">
        <v>1535</v>
      </c>
    </row>
    <row r="42" spans="3:8" x14ac:dyDescent="0.25">
      <c r="C42" s="14"/>
      <c r="D42" s="1"/>
      <c r="E42" s="1"/>
      <c r="F42" s="1"/>
      <c r="G42" s="1"/>
      <c r="H42" s="16"/>
    </row>
    <row r="43" spans="3:8" x14ac:dyDescent="0.25">
      <c r="C43" s="14" t="s">
        <v>4767</v>
      </c>
      <c r="D43" s="1" t="s">
        <v>78</v>
      </c>
      <c r="E43" s="1" t="s">
        <v>7</v>
      </c>
      <c r="F43" s="1">
        <v>670</v>
      </c>
      <c r="G43" s="1"/>
      <c r="H43" s="16" t="s">
        <v>583</v>
      </c>
    </row>
    <row r="44" spans="3:8" x14ac:dyDescent="0.25">
      <c r="C44" s="14" t="s">
        <v>4767</v>
      </c>
      <c r="D44" s="1" t="s">
        <v>78</v>
      </c>
      <c r="E44" s="1" t="s">
        <v>7</v>
      </c>
      <c r="F44" s="1">
        <v>104.5</v>
      </c>
      <c r="G44" s="1"/>
      <c r="H44" s="16" t="s">
        <v>583</v>
      </c>
    </row>
    <row r="45" spans="3:8" ht="16.5" thickBot="1" x14ac:dyDescent="0.3">
      <c r="C45" s="25" t="s">
        <v>4767</v>
      </c>
      <c r="D45" s="18" t="s">
        <v>78</v>
      </c>
      <c r="E45" s="18" t="s">
        <v>7</v>
      </c>
      <c r="F45" s="18">
        <v>2200</v>
      </c>
      <c r="G45" s="18"/>
      <c r="H45" s="27" t="s">
        <v>871</v>
      </c>
    </row>
  </sheetData>
  <pageMargins left="0.7" right="0.7" top="0.75" bottom="0.75" header="0.3" footer="0.3"/>
  <pageSetup paperSize="256" orientation="portrait" horizontalDpi="203" verticalDpi="203" r:id="rId1"/>
</worksheet>
</file>

<file path=xl/worksheets/sheet9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3F74A6-A8E6-498D-9D66-E06498076769}">
  <sheetPr codeName="Hoja97"/>
  <dimension ref="C3:I47"/>
  <sheetViews>
    <sheetView topLeftCell="A13" workbookViewId="0">
      <selection activeCell="F6" sqref="F6:F7"/>
    </sheetView>
  </sheetViews>
  <sheetFormatPr baseColWidth="10" defaultRowHeight="15.75" x14ac:dyDescent="0.25"/>
  <cols>
    <col min="3" max="3" width="11" style="3"/>
    <col min="4" max="4" width="27" style="3" customWidth="1"/>
    <col min="5" max="6" width="11" style="3"/>
    <col min="7" max="7" width="18.75" style="3" bestFit="1" customWidth="1"/>
    <col min="8" max="8" width="34.375" style="3" bestFit="1" customWidth="1"/>
    <col min="9" max="9" width="12.125" bestFit="1" customWidth="1"/>
  </cols>
  <sheetData>
    <row r="3" spans="3:9" x14ac:dyDescent="0.25">
      <c r="C3" s="1" t="s">
        <v>0</v>
      </c>
      <c r="D3" s="1" t="s">
        <v>1</v>
      </c>
      <c r="E3" s="1" t="s">
        <v>2</v>
      </c>
      <c r="F3" s="1" t="s">
        <v>3</v>
      </c>
      <c r="G3" s="1" t="s">
        <v>4</v>
      </c>
      <c r="H3" s="1"/>
      <c r="I3" s="111"/>
    </row>
    <row r="4" spans="3:9" x14ac:dyDescent="0.25">
      <c r="C4" s="1"/>
      <c r="D4" s="1"/>
      <c r="E4" s="1"/>
      <c r="F4" s="1"/>
      <c r="G4" s="1"/>
      <c r="H4" s="1"/>
      <c r="I4" s="111"/>
    </row>
    <row r="5" spans="3:9" x14ac:dyDescent="0.25">
      <c r="C5" s="28" t="s">
        <v>4838</v>
      </c>
      <c r="D5" s="28" t="s">
        <v>472</v>
      </c>
      <c r="E5" s="28" t="s">
        <v>7</v>
      </c>
      <c r="F5" s="28">
        <v>-160.91999999999999</v>
      </c>
      <c r="G5" s="28" t="s">
        <v>4891</v>
      </c>
      <c r="H5" s="28" t="s">
        <v>4892</v>
      </c>
      <c r="I5" s="114"/>
    </row>
    <row r="6" spans="3:9" x14ac:dyDescent="0.25">
      <c r="C6" s="28" t="s">
        <v>4838</v>
      </c>
      <c r="D6" s="28" t="s">
        <v>4879</v>
      </c>
      <c r="E6" s="28" t="s">
        <v>7</v>
      </c>
      <c r="F6" s="28">
        <v>-400</v>
      </c>
      <c r="G6" s="28" t="s">
        <v>4880</v>
      </c>
      <c r="H6" s="28" t="s">
        <v>4889</v>
      </c>
      <c r="I6" s="28" t="s">
        <v>4890</v>
      </c>
    </row>
    <row r="7" spans="3:9" x14ac:dyDescent="0.25">
      <c r="C7" s="28" t="s">
        <v>4838</v>
      </c>
      <c r="D7" s="28" t="s">
        <v>4879</v>
      </c>
      <c r="E7" s="28" t="s">
        <v>7</v>
      </c>
      <c r="F7" s="28">
        <v>-500</v>
      </c>
      <c r="G7" s="28" t="s">
        <v>4881</v>
      </c>
      <c r="H7" s="28" t="s">
        <v>4889</v>
      </c>
      <c r="I7" s="28" t="s">
        <v>4890</v>
      </c>
    </row>
    <row r="8" spans="3:9" x14ac:dyDescent="0.25">
      <c r="C8" s="1" t="s">
        <v>4838</v>
      </c>
      <c r="D8" s="1" t="s">
        <v>240</v>
      </c>
      <c r="E8" s="1" t="s">
        <v>7</v>
      </c>
      <c r="F8" s="1">
        <v>42</v>
      </c>
      <c r="G8" s="1" t="s">
        <v>4882</v>
      </c>
      <c r="H8" s="1" t="s">
        <v>68</v>
      </c>
      <c r="I8" s="111"/>
    </row>
    <row r="9" spans="3:9" x14ac:dyDescent="0.25">
      <c r="C9" s="1" t="s">
        <v>4838</v>
      </c>
      <c r="D9" s="1" t="s">
        <v>23</v>
      </c>
      <c r="E9" s="1" t="s">
        <v>7</v>
      </c>
      <c r="F9" s="1">
        <v>1026</v>
      </c>
      <c r="G9" s="1" t="s">
        <v>4883</v>
      </c>
      <c r="H9" s="1" t="s">
        <v>68</v>
      </c>
      <c r="I9" s="111"/>
    </row>
    <row r="10" spans="3:9" x14ac:dyDescent="0.25">
      <c r="C10" s="1" t="s">
        <v>4838</v>
      </c>
      <c r="D10" s="1" t="s">
        <v>23</v>
      </c>
      <c r="E10" s="1" t="s">
        <v>7</v>
      </c>
      <c r="F10" s="1">
        <v>211.4</v>
      </c>
      <c r="G10" s="1" t="s">
        <v>4884</v>
      </c>
      <c r="H10" s="1" t="s">
        <v>4274</v>
      </c>
      <c r="I10" s="111"/>
    </row>
    <row r="11" spans="3:9" x14ac:dyDescent="0.25">
      <c r="C11" s="1" t="s">
        <v>4838</v>
      </c>
      <c r="D11" s="1" t="s">
        <v>23</v>
      </c>
      <c r="E11" s="1" t="s">
        <v>7</v>
      </c>
      <c r="F11" s="1">
        <v>125</v>
      </c>
      <c r="G11" s="1" t="s">
        <v>4885</v>
      </c>
      <c r="H11" s="1" t="s">
        <v>660</v>
      </c>
      <c r="I11" s="111"/>
    </row>
    <row r="12" spans="3:9" x14ac:dyDescent="0.25">
      <c r="C12" s="1" t="s">
        <v>4838</v>
      </c>
      <c r="D12" s="1" t="s">
        <v>72</v>
      </c>
      <c r="E12" s="1" t="s">
        <v>7</v>
      </c>
      <c r="F12" s="1">
        <v>58</v>
      </c>
      <c r="G12" s="1" t="s">
        <v>4886</v>
      </c>
      <c r="H12" s="1" t="s">
        <v>4888</v>
      </c>
      <c r="I12" s="111"/>
    </row>
    <row r="13" spans="3:9" x14ac:dyDescent="0.25">
      <c r="C13" s="1" t="s">
        <v>4838</v>
      </c>
      <c r="D13" s="1" t="s">
        <v>523</v>
      </c>
      <c r="E13" s="1" t="s">
        <v>7</v>
      </c>
      <c r="F13" s="1">
        <v>181.5</v>
      </c>
      <c r="G13" s="1" t="s">
        <v>4887</v>
      </c>
      <c r="H13" s="1" t="s">
        <v>583</v>
      </c>
      <c r="I13" s="111"/>
    </row>
    <row r="14" spans="3:9" x14ac:dyDescent="0.25">
      <c r="C14" s="1" t="s">
        <v>4838</v>
      </c>
      <c r="D14" s="1" t="s">
        <v>4854</v>
      </c>
      <c r="E14" s="1" t="s">
        <v>7</v>
      </c>
      <c r="F14" s="1">
        <v>6.5</v>
      </c>
      <c r="G14" s="1" t="s">
        <v>4855</v>
      </c>
      <c r="H14" s="1" t="s">
        <v>4875</v>
      </c>
      <c r="I14" s="111"/>
    </row>
    <row r="15" spans="3:9" x14ac:dyDescent="0.25">
      <c r="C15" s="1" t="s">
        <v>4838</v>
      </c>
      <c r="D15" s="1" t="s">
        <v>373</v>
      </c>
      <c r="E15" s="1" t="s">
        <v>7</v>
      </c>
      <c r="F15" s="1">
        <v>31.5</v>
      </c>
      <c r="G15" s="1" t="s">
        <v>4856</v>
      </c>
      <c r="H15" s="1" t="s">
        <v>4874</v>
      </c>
      <c r="I15" s="111"/>
    </row>
    <row r="16" spans="3:9" x14ac:dyDescent="0.25">
      <c r="C16" s="1" t="s">
        <v>4838</v>
      </c>
      <c r="D16" s="1" t="s">
        <v>192</v>
      </c>
      <c r="E16" s="1" t="s">
        <v>7</v>
      </c>
      <c r="F16" s="1">
        <v>1448</v>
      </c>
      <c r="G16" s="1" t="s">
        <v>4857</v>
      </c>
      <c r="H16" s="1" t="s">
        <v>4876</v>
      </c>
      <c r="I16" s="111"/>
    </row>
    <row r="17" spans="3:9" x14ac:dyDescent="0.25">
      <c r="C17" s="1" t="s">
        <v>4838</v>
      </c>
      <c r="D17" s="1" t="s">
        <v>4858</v>
      </c>
      <c r="E17" s="1" t="s">
        <v>7</v>
      </c>
      <c r="F17" s="1">
        <v>24</v>
      </c>
      <c r="G17" s="1" t="s">
        <v>4859</v>
      </c>
      <c r="H17" s="1" t="s">
        <v>4873</v>
      </c>
      <c r="I17" s="111"/>
    </row>
    <row r="18" spans="3:9" x14ac:dyDescent="0.25">
      <c r="C18" s="1" t="s">
        <v>4838</v>
      </c>
      <c r="D18" s="1" t="s">
        <v>4357</v>
      </c>
      <c r="E18" s="1" t="s">
        <v>7</v>
      </c>
      <c r="F18" s="1">
        <v>1000</v>
      </c>
      <c r="G18" s="1" t="s">
        <v>4860</v>
      </c>
      <c r="H18" s="1" t="s">
        <v>4372</v>
      </c>
      <c r="I18" s="111"/>
    </row>
    <row r="19" spans="3:9" x14ac:dyDescent="0.25">
      <c r="C19" s="1" t="s">
        <v>4838</v>
      </c>
      <c r="D19" s="1" t="s">
        <v>4357</v>
      </c>
      <c r="E19" s="1" t="s">
        <v>7</v>
      </c>
      <c r="F19" s="1">
        <v>1000</v>
      </c>
      <c r="G19" s="1" t="s">
        <v>4861</v>
      </c>
      <c r="H19" s="1" t="s">
        <v>4372</v>
      </c>
      <c r="I19" s="111"/>
    </row>
    <row r="20" spans="3:9" x14ac:dyDescent="0.25">
      <c r="C20" s="1" t="s">
        <v>4838</v>
      </c>
      <c r="D20" s="1" t="s">
        <v>4357</v>
      </c>
      <c r="E20" s="1" t="s">
        <v>7</v>
      </c>
      <c r="F20" s="1">
        <v>1000</v>
      </c>
      <c r="G20" s="1" t="s">
        <v>4862</v>
      </c>
      <c r="H20" s="1" t="s">
        <v>4372</v>
      </c>
      <c r="I20" s="111"/>
    </row>
    <row r="21" spans="3:9" x14ac:dyDescent="0.25">
      <c r="C21" s="1" t="s">
        <v>4838</v>
      </c>
      <c r="D21" s="1" t="s">
        <v>4357</v>
      </c>
      <c r="E21" s="1" t="s">
        <v>7</v>
      </c>
      <c r="F21" s="1">
        <v>1000</v>
      </c>
      <c r="G21" s="1" t="s">
        <v>4863</v>
      </c>
      <c r="H21" s="1" t="s">
        <v>4372</v>
      </c>
      <c r="I21" s="111"/>
    </row>
    <row r="22" spans="3:9" x14ac:dyDescent="0.25">
      <c r="C22" s="1" t="s">
        <v>4838</v>
      </c>
      <c r="D22" s="1" t="s">
        <v>4357</v>
      </c>
      <c r="E22" s="1" t="s">
        <v>7</v>
      </c>
      <c r="F22" s="1">
        <v>1000</v>
      </c>
      <c r="G22" s="1" t="s">
        <v>4864</v>
      </c>
      <c r="H22" s="1" t="s">
        <v>4372</v>
      </c>
      <c r="I22" s="111"/>
    </row>
    <row r="23" spans="3:9" x14ac:dyDescent="0.25">
      <c r="C23" s="1" t="s">
        <v>4838</v>
      </c>
      <c r="D23" s="1" t="s">
        <v>17</v>
      </c>
      <c r="E23" s="1" t="s">
        <v>7</v>
      </c>
      <c r="F23" s="1">
        <v>28</v>
      </c>
      <c r="G23" s="1" t="s">
        <v>4865</v>
      </c>
      <c r="H23" s="1" t="s">
        <v>4872</v>
      </c>
      <c r="I23" s="111"/>
    </row>
    <row r="24" spans="3:9" x14ac:dyDescent="0.25">
      <c r="C24" s="1" t="s">
        <v>4838</v>
      </c>
      <c r="D24" s="1" t="s">
        <v>39</v>
      </c>
      <c r="E24" s="1" t="s">
        <v>7</v>
      </c>
      <c r="F24" s="1">
        <v>350</v>
      </c>
      <c r="G24" s="1" t="s">
        <v>4839</v>
      </c>
      <c r="H24" s="1" t="s">
        <v>1270</v>
      </c>
      <c r="I24" s="111"/>
    </row>
    <row r="25" spans="3:9" x14ac:dyDescent="0.25">
      <c r="C25" s="1" t="s">
        <v>4838</v>
      </c>
      <c r="D25" s="1" t="s">
        <v>509</v>
      </c>
      <c r="E25" s="1" t="s">
        <v>7</v>
      </c>
      <c r="F25" s="1">
        <v>207</v>
      </c>
      <c r="G25" s="1" t="s">
        <v>4840</v>
      </c>
      <c r="H25" s="1" t="s">
        <v>4871</v>
      </c>
      <c r="I25" s="111"/>
    </row>
    <row r="26" spans="3:9" x14ac:dyDescent="0.25">
      <c r="C26" s="1" t="s">
        <v>4838</v>
      </c>
      <c r="D26" s="1" t="s">
        <v>797</v>
      </c>
      <c r="E26" s="1" t="s">
        <v>7</v>
      </c>
      <c r="F26" s="1">
        <v>26</v>
      </c>
      <c r="G26" s="1" t="s">
        <v>4841</v>
      </c>
      <c r="H26" s="1" t="s">
        <v>2581</v>
      </c>
      <c r="I26" s="111"/>
    </row>
    <row r="27" spans="3:9" x14ac:dyDescent="0.25">
      <c r="C27" s="1" t="s">
        <v>4838</v>
      </c>
      <c r="D27" s="1" t="s">
        <v>4842</v>
      </c>
      <c r="E27" s="1" t="s">
        <v>7</v>
      </c>
      <c r="F27" s="1">
        <v>47</v>
      </c>
      <c r="G27" s="1" t="s">
        <v>4843</v>
      </c>
      <c r="H27" s="1" t="s">
        <v>4870</v>
      </c>
      <c r="I27" s="111"/>
    </row>
    <row r="28" spans="3:9" x14ac:dyDescent="0.25">
      <c r="C28" s="1" t="s">
        <v>4838</v>
      </c>
      <c r="D28" s="1" t="s">
        <v>23</v>
      </c>
      <c r="E28" s="1" t="s">
        <v>7</v>
      </c>
      <c r="F28" s="1">
        <v>2730</v>
      </c>
      <c r="G28" s="1" t="s">
        <v>4844</v>
      </c>
      <c r="H28" s="1" t="s">
        <v>1270</v>
      </c>
      <c r="I28" s="111"/>
    </row>
    <row r="29" spans="3:9" x14ac:dyDescent="0.25">
      <c r="C29" s="1" t="s">
        <v>4838</v>
      </c>
      <c r="D29" s="1" t="s">
        <v>39</v>
      </c>
      <c r="E29" s="1" t="s">
        <v>7</v>
      </c>
      <c r="F29" s="1">
        <v>79.5</v>
      </c>
      <c r="G29" s="1" t="s">
        <v>4845</v>
      </c>
      <c r="H29" s="1" t="s">
        <v>4877</v>
      </c>
      <c r="I29" s="111"/>
    </row>
    <row r="30" spans="3:9" x14ac:dyDescent="0.25">
      <c r="C30" s="1" t="s">
        <v>4838</v>
      </c>
      <c r="D30" s="1" t="s">
        <v>523</v>
      </c>
      <c r="E30" s="1" t="s">
        <v>7</v>
      </c>
      <c r="F30" s="1">
        <v>100</v>
      </c>
      <c r="G30" s="1" t="s">
        <v>4846</v>
      </c>
      <c r="H30" s="1" t="s">
        <v>583</v>
      </c>
      <c r="I30" s="111"/>
    </row>
    <row r="31" spans="3:9" x14ac:dyDescent="0.25">
      <c r="C31" s="1" t="s">
        <v>4838</v>
      </c>
      <c r="D31" s="1" t="s">
        <v>4847</v>
      </c>
      <c r="E31" s="1" t="s">
        <v>7</v>
      </c>
      <c r="F31" s="1">
        <v>26.5</v>
      </c>
      <c r="G31" s="1" t="s">
        <v>4848</v>
      </c>
      <c r="H31" s="1" t="s">
        <v>4869</v>
      </c>
      <c r="I31" s="111"/>
    </row>
    <row r="32" spans="3:9" x14ac:dyDescent="0.25">
      <c r="C32" s="1" t="s">
        <v>4838</v>
      </c>
      <c r="D32" s="1" t="s">
        <v>360</v>
      </c>
      <c r="E32" s="1" t="s">
        <v>7</v>
      </c>
      <c r="F32" s="1">
        <v>171</v>
      </c>
      <c r="G32" s="1" t="s">
        <v>4849</v>
      </c>
      <c r="H32" s="1" t="s">
        <v>4868</v>
      </c>
      <c r="I32" s="111"/>
    </row>
    <row r="33" spans="3:9" x14ac:dyDescent="0.25">
      <c r="C33" s="1" t="s">
        <v>4838</v>
      </c>
      <c r="D33" s="1" t="s">
        <v>2734</v>
      </c>
      <c r="E33" s="1" t="s">
        <v>7</v>
      </c>
      <c r="F33" s="1">
        <v>5</v>
      </c>
      <c r="G33" s="1" t="s">
        <v>4850</v>
      </c>
      <c r="H33" s="1" t="s">
        <v>4867</v>
      </c>
      <c r="I33" s="111"/>
    </row>
    <row r="34" spans="3:9" x14ac:dyDescent="0.25">
      <c r="C34" s="1" t="s">
        <v>4838</v>
      </c>
      <c r="D34" s="1" t="s">
        <v>521</v>
      </c>
      <c r="E34" s="1" t="s">
        <v>7</v>
      </c>
      <c r="F34" s="1">
        <v>12.5</v>
      </c>
      <c r="G34" s="1" t="s">
        <v>4851</v>
      </c>
      <c r="H34" s="1" t="s">
        <v>4866</v>
      </c>
      <c r="I34" s="111"/>
    </row>
    <row r="35" spans="3:9" x14ac:dyDescent="0.25">
      <c r="C35" s="1" t="s">
        <v>4838</v>
      </c>
      <c r="D35" s="1" t="s">
        <v>78</v>
      </c>
      <c r="E35" s="1" t="s">
        <v>7</v>
      </c>
      <c r="F35" s="1">
        <v>345</v>
      </c>
      <c r="G35" s="1"/>
      <c r="H35" s="1" t="s">
        <v>583</v>
      </c>
      <c r="I35" s="111"/>
    </row>
    <row r="36" spans="3:9" x14ac:dyDescent="0.25">
      <c r="C36" s="1" t="s">
        <v>4838</v>
      </c>
      <c r="D36" s="1" t="s">
        <v>78</v>
      </c>
      <c r="E36" s="1" t="s">
        <v>7</v>
      </c>
      <c r="F36" s="1">
        <v>170</v>
      </c>
      <c r="G36" s="1"/>
      <c r="H36" s="1" t="s">
        <v>871</v>
      </c>
      <c r="I36" s="111"/>
    </row>
    <row r="37" spans="3:9" x14ac:dyDescent="0.25">
      <c r="C37" s="1"/>
      <c r="D37" s="1"/>
      <c r="E37" s="1"/>
      <c r="F37" s="1"/>
      <c r="G37" s="1"/>
      <c r="H37" s="1"/>
      <c r="I37" s="111"/>
    </row>
    <row r="38" spans="3:9" x14ac:dyDescent="0.25">
      <c r="C38" s="28" t="s">
        <v>4852</v>
      </c>
      <c r="D38" s="28" t="s">
        <v>3252</v>
      </c>
      <c r="E38" s="28" t="s">
        <v>7</v>
      </c>
      <c r="F38" s="28">
        <v>-254</v>
      </c>
      <c r="G38" s="28" t="s">
        <v>4853</v>
      </c>
      <c r="H38" s="28" t="s">
        <v>4878</v>
      </c>
      <c r="I38" s="111"/>
    </row>
    <row r="39" spans="3:9" x14ac:dyDescent="0.25">
      <c r="C39" s="67" t="s">
        <v>4852</v>
      </c>
      <c r="D39" s="1" t="s">
        <v>1841</v>
      </c>
      <c r="E39" s="1" t="s">
        <v>7</v>
      </c>
      <c r="F39" s="1">
        <v>18</v>
      </c>
      <c r="G39" s="1">
        <v>1815775</v>
      </c>
      <c r="H39" s="1" t="s">
        <v>4893</v>
      </c>
      <c r="I39" s="111"/>
    </row>
    <row r="40" spans="3:9" x14ac:dyDescent="0.25">
      <c r="C40" s="67" t="s">
        <v>4852</v>
      </c>
      <c r="D40" s="1" t="s">
        <v>1841</v>
      </c>
      <c r="E40" s="1" t="s">
        <v>7</v>
      </c>
      <c r="F40" s="1">
        <v>19</v>
      </c>
      <c r="G40" s="1">
        <v>1231178</v>
      </c>
      <c r="H40" s="1" t="s">
        <v>4894</v>
      </c>
      <c r="I40" s="111"/>
    </row>
    <row r="41" spans="3:9" x14ac:dyDescent="0.25">
      <c r="C41" s="67" t="s">
        <v>4852</v>
      </c>
      <c r="D41" s="1" t="s">
        <v>1841</v>
      </c>
      <c r="E41" s="1" t="s">
        <v>7</v>
      </c>
      <c r="F41" s="1">
        <v>30.5</v>
      </c>
      <c r="G41" s="1"/>
      <c r="H41" s="1" t="s">
        <v>4895</v>
      </c>
      <c r="I41" s="111"/>
    </row>
    <row r="42" spans="3:9" x14ac:dyDescent="0.25">
      <c r="C42" s="67" t="s">
        <v>4852</v>
      </c>
      <c r="D42" s="1" t="s">
        <v>1841</v>
      </c>
      <c r="E42" s="1" t="s">
        <v>7</v>
      </c>
      <c r="F42" s="1">
        <v>1</v>
      </c>
      <c r="G42" s="1">
        <v>4905116</v>
      </c>
      <c r="H42" s="1" t="s">
        <v>4896</v>
      </c>
      <c r="I42" s="111"/>
    </row>
    <row r="43" spans="3:9" x14ac:dyDescent="0.25">
      <c r="C43" s="67" t="s">
        <v>4852</v>
      </c>
      <c r="D43" s="1" t="s">
        <v>1841</v>
      </c>
      <c r="E43" s="1" t="s">
        <v>7</v>
      </c>
      <c r="F43" s="1">
        <v>53</v>
      </c>
      <c r="G43" s="1">
        <v>3351086</v>
      </c>
      <c r="H43" s="1" t="s">
        <v>4897</v>
      </c>
      <c r="I43" s="111"/>
    </row>
    <row r="44" spans="3:9" x14ac:dyDescent="0.25">
      <c r="C44" s="67" t="s">
        <v>4852</v>
      </c>
      <c r="D44" s="1" t="s">
        <v>1841</v>
      </c>
      <c r="E44" s="1" t="s">
        <v>7</v>
      </c>
      <c r="F44" s="1">
        <v>3</v>
      </c>
      <c r="G44" s="1">
        <v>4213423</v>
      </c>
      <c r="H44" s="1" t="s">
        <v>4898</v>
      </c>
      <c r="I44" s="111"/>
    </row>
    <row r="45" spans="3:9" x14ac:dyDescent="0.25">
      <c r="C45" s="67" t="s">
        <v>4852</v>
      </c>
      <c r="D45" s="1" t="s">
        <v>1841</v>
      </c>
      <c r="E45" s="1" t="s">
        <v>7</v>
      </c>
      <c r="F45" s="1">
        <v>52</v>
      </c>
      <c r="G45" s="1">
        <v>43306</v>
      </c>
      <c r="H45" s="1" t="s">
        <v>4899</v>
      </c>
      <c r="I45" s="111"/>
    </row>
    <row r="46" spans="3:9" x14ac:dyDescent="0.25">
      <c r="C46" s="67" t="s">
        <v>4852</v>
      </c>
      <c r="D46" s="1" t="s">
        <v>1841</v>
      </c>
      <c r="E46" s="1" t="s">
        <v>7</v>
      </c>
      <c r="F46" s="1">
        <v>9</v>
      </c>
      <c r="G46" s="1">
        <v>2425302</v>
      </c>
      <c r="H46" s="1" t="s">
        <v>4900</v>
      </c>
      <c r="I46" s="111"/>
    </row>
    <row r="47" spans="3:9" x14ac:dyDescent="0.25">
      <c r="C47" s="67" t="s">
        <v>4852</v>
      </c>
      <c r="D47" s="1" t="s">
        <v>1841</v>
      </c>
      <c r="E47" s="1" t="s">
        <v>7</v>
      </c>
      <c r="F47" s="1">
        <v>15</v>
      </c>
      <c r="G47" s="1">
        <v>82647909</v>
      </c>
      <c r="H47" s="1" t="s">
        <v>4901</v>
      </c>
      <c r="I47" s="111"/>
    </row>
  </sheetData>
  <pageMargins left="0.7" right="0.7" top="0.75" bottom="0.75" header="0.3" footer="0.3"/>
  <pageSetup paperSize="256" orientation="portrait" horizontalDpi="203" verticalDpi="203" r:id="rId1"/>
</worksheet>
</file>

<file path=xl/worksheets/sheet9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A68FBF-10B7-4BC7-9426-3C6FD4960281}">
  <sheetPr codeName="Hoja98"/>
  <dimension ref="C2:H23"/>
  <sheetViews>
    <sheetView workbookViewId="0">
      <selection activeCell="A4" sqref="A4:XFD4"/>
    </sheetView>
  </sheetViews>
  <sheetFormatPr baseColWidth="10" defaultRowHeight="15.75" x14ac:dyDescent="0.25"/>
  <cols>
    <col min="3" max="3" width="11" style="3"/>
    <col min="4" max="4" width="22.5" style="3" bestFit="1" customWidth="1"/>
    <col min="5" max="6" width="11" style="3"/>
    <col min="7" max="7" width="18.75" style="3" bestFit="1" customWidth="1"/>
    <col min="8" max="8" width="35.5" style="3" customWidth="1"/>
  </cols>
  <sheetData>
    <row r="2" spans="3:8" ht="16.5" thickBot="1" x14ac:dyDescent="0.3"/>
    <row r="3" spans="3:8" x14ac:dyDescent="0.25">
      <c r="C3" s="11" t="s">
        <v>0</v>
      </c>
      <c r="D3" s="12" t="s">
        <v>1</v>
      </c>
      <c r="E3" s="12" t="s">
        <v>2</v>
      </c>
      <c r="F3" s="12" t="s">
        <v>3</v>
      </c>
      <c r="G3" s="12" t="s">
        <v>4</v>
      </c>
      <c r="H3" s="13"/>
    </row>
    <row r="4" spans="3:8" x14ac:dyDescent="0.25">
      <c r="C4" s="148"/>
      <c r="D4" s="149"/>
      <c r="E4" s="149"/>
      <c r="F4" s="149"/>
      <c r="G4" s="149"/>
      <c r="H4" s="150"/>
    </row>
    <row r="5" spans="3:8" x14ac:dyDescent="0.25">
      <c r="C5" s="148"/>
      <c r="D5" s="149"/>
      <c r="E5" s="149"/>
      <c r="F5" s="149"/>
      <c r="G5" s="149"/>
      <c r="H5" s="150"/>
    </row>
    <row r="6" spans="3:8" x14ac:dyDescent="0.25">
      <c r="C6" s="148"/>
      <c r="D6" s="149"/>
      <c r="E6" s="149"/>
      <c r="F6" s="149"/>
      <c r="G6" s="149"/>
      <c r="H6" s="150"/>
    </row>
    <row r="7" spans="3:8" x14ac:dyDescent="0.25">
      <c r="C7" s="148"/>
      <c r="D7" s="149"/>
      <c r="E7" s="149"/>
      <c r="F7" s="149"/>
      <c r="G7" s="149"/>
      <c r="H7" s="150"/>
    </row>
    <row r="8" spans="3:8" x14ac:dyDescent="0.25">
      <c r="C8" s="148"/>
      <c r="D8" s="149"/>
      <c r="E8" s="149"/>
      <c r="F8" s="149"/>
      <c r="G8" s="149"/>
      <c r="H8" s="150"/>
    </row>
    <row r="9" spans="3:8" x14ac:dyDescent="0.25">
      <c r="C9" s="148"/>
      <c r="D9" s="149"/>
      <c r="E9" s="149"/>
      <c r="F9" s="149"/>
      <c r="G9" s="149"/>
      <c r="H9" s="150"/>
    </row>
    <row r="10" spans="3:8" x14ac:dyDescent="0.25">
      <c r="C10" s="14"/>
      <c r="D10" s="1"/>
      <c r="E10" s="1"/>
      <c r="F10" s="1"/>
      <c r="G10" s="1"/>
      <c r="H10" s="16"/>
    </row>
    <row r="11" spans="3:8" x14ac:dyDescent="0.25">
      <c r="C11" s="29" t="s">
        <v>4902</v>
      </c>
      <c r="D11" s="28" t="s">
        <v>3679</v>
      </c>
      <c r="E11" s="28" t="s">
        <v>7</v>
      </c>
      <c r="F11" s="28">
        <v>-370</v>
      </c>
      <c r="G11" s="28" t="s">
        <v>4916</v>
      </c>
      <c r="H11" s="30" t="s">
        <v>4922</v>
      </c>
    </row>
    <row r="12" spans="3:8" x14ac:dyDescent="0.25">
      <c r="C12" s="14" t="s">
        <v>4902</v>
      </c>
      <c r="D12" s="1" t="s">
        <v>23</v>
      </c>
      <c r="E12" s="1" t="s">
        <v>7</v>
      </c>
      <c r="F12" s="1">
        <v>84</v>
      </c>
      <c r="G12" s="1" t="s">
        <v>4917</v>
      </c>
      <c r="H12" s="16" t="s">
        <v>4921</v>
      </c>
    </row>
    <row r="13" spans="3:8" x14ac:dyDescent="0.25">
      <c r="C13" s="29" t="s">
        <v>4902</v>
      </c>
      <c r="D13" s="28" t="s">
        <v>472</v>
      </c>
      <c r="E13" s="28" t="s">
        <v>7</v>
      </c>
      <c r="F13" s="28">
        <v>-20000</v>
      </c>
      <c r="G13" s="28" t="s">
        <v>4918</v>
      </c>
      <c r="H13" s="30" t="s">
        <v>4920</v>
      </c>
    </row>
    <row r="14" spans="3:8" x14ac:dyDescent="0.25">
      <c r="C14" s="14" t="s">
        <v>4902</v>
      </c>
      <c r="D14" s="1" t="s">
        <v>665</v>
      </c>
      <c r="E14" s="1" t="s">
        <v>7</v>
      </c>
      <c r="F14" s="1">
        <v>9</v>
      </c>
      <c r="G14" s="1" t="s">
        <v>4919</v>
      </c>
      <c r="H14" s="16" t="s">
        <v>386</v>
      </c>
    </row>
    <row r="15" spans="3:8" x14ac:dyDescent="0.25">
      <c r="C15" s="14" t="s">
        <v>4902</v>
      </c>
      <c r="D15" s="1" t="s">
        <v>23</v>
      </c>
      <c r="E15" s="1" t="s">
        <v>7</v>
      </c>
      <c r="F15" s="1">
        <v>1600</v>
      </c>
      <c r="G15" s="1" t="s">
        <v>4910</v>
      </c>
      <c r="H15" s="16" t="s">
        <v>2287</v>
      </c>
    </row>
    <row r="16" spans="3:8" x14ac:dyDescent="0.25">
      <c r="C16" s="14" t="s">
        <v>4902</v>
      </c>
      <c r="D16" s="1" t="s">
        <v>192</v>
      </c>
      <c r="E16" s="1" t="s">
        <v>7</v>
      </c>
      <c r="F16" s="1">
        <v>150</v>
      </c>
      <c r="G16" s="1" t="s">
        <v>4911</v>
      </c>
      <c r="H16" s="16" t="s">
        <v>4876</v>
      </c>
    </row>
    <row r="17" spans="3:8" x14ac:dyDescent="0.25">
      <c r="C17" s="14" t="s">
        <v>4902</v>
      </c>
      <c r="D17" s="1" t="s">
        <v>23</v>
      </c>
      <c r="E17" s="1" t="s">
        <v>7</v>
      </c>
      <c r="F17" s="1">
        <v>342.9</v>
      </c>
      <c r="G17" s="1" t="s">
        <v>4903</v>
      </c>
      <c r="H17" s="16" t="s">
        <v>4914</v>
      </c>
    </row>
    <row r="18" spans="3:8" x14ac:dyDescent="0.25">
      <c r="C18" s="14" t="s">
        <v>4902</v>
      </c>
      <c r="D18" s="1" t="s">
        <v>1259</v>
      </c>
      <c r="E18" s="1" t="s">
        <v>7</v>
      </c>
      <c r="F18" s="1">
        <v>233</v>
      </c>
      <c r="G18" s="1" t="s">
        <v>4904</v>
      </c>
      <c r="H18" s="16" t="s">
        <v>4912</v>
      </c>
    </row>
    <row r="19" spans="3:8" x14ac:dyDescent="0.25">
      <c r="C19" s="14" t="s">
        <v>4902</v>
      </c>
      <c r="D19" s="1" t="s">
        <v>3555</v>
      </c>
      <c r="E19" s="1" t="s">
        <v>7</v>
      </c>
      <c r="F19" s="1">
        <v>150</v>
      </c>
      <c r="G19" s="1" t="s">
        <v>4905</v>
      </c>
      <c r="H19" s="16" t="s">
        <v>4913</v>
      </c>
    </row>
    <row r="20" spans="3:8" x14ac:dyDescent="0.25">
      <c r="C20" s="14" t="s">
        <v>4902</v>
      </c>
      <c r="D20" s="1" t="s">
        <v>3555</v>
      </c>
      <c r="E20" s="1" t="s">
        <v>7</v>
      </c>
      <c r="F20" s="1">
        <v>400</v>
      </c>
      <c r="G20" s="1" t="s">
        <v>4906</v>
      </c>
      <c r="H20" s="16" t="s">
        <v>4913</v>
      </c>
    </row>
    <row r="21" spans="3:8" x14ac:dyDescent="0.25">
      <c r="C21" s="14" t="s">
        <v>4902</v>
      </c>
      <c r="D21" s="1" t="s">
        <v>17</v>
      </c>
      <c r="E21" s="1" t="s">
        <v>7</v>
      </c>
      <c r="F21" s="1">
        <v>24</v>
      </c>
      <c r="G21" s="1" t="s">
        <v>4907</v>
      </c>
      <c r="H21" s="16" t="s">
        <v>4915</v>
      </c>
    </row>
    <row r="22" spans="3:8" x14ac:dyDescent="0.25">
      <c r="C22" s="14" t="s">
        <v>4902</v>
      </c>
      <c r="D22" s="1" t="s">
        <v>2780</v>
      </c>
      <c r="E22" s="1" t="s">
        <v>7</v>
      </c>
      <c r="F22" s="1">
        <v>190</v>
      </c>
      <c r="G22" s="1" t="s">
        <v>4908</v>
      </c>
      <c r="H22" s="16" t="s">
        <v>1335</v>
      </c>
    </row>
    <row r="23" spans="3:8" ht="16.5" thickBot="1" x14ac:dyDescent="0.3">
      <c r="C23" s="25" t="s">
        <v>4902</v>
      </c>
      <c r="D23" s="18" t="s">
        <v>2780</v>
      </c>
      <c r="E23" s="18" t="s">
        <v>7</v>
      </c>
      <c r="F23" s="18">
        <v>500</v>
      </c>
      <c r="G23" s="18" t="s">
        <v>4909</v>
      </c>
      <c r="H23" s="27" t="s">
        <v>1335</v>
      </c>
    </row>
  </sheetData>
  <pageMargins left="0.7" right="0.7" top="0.75" bottom="0.75" header="0.3" footer="0.3"/>
</worksheet>
</file>

<file path=xl/worksheets/sheet9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4D956A-D004-4059-B0DB-BBC45EA35CFA}">
  <sheetPr codeName="Hoja99"/>
  <dimension ref="C2:I22"/>
  <sheetViews>
    <sheetView workbookViewId="0">
      <selection activeCell="I16" sqref="I16"/>
    </sheetView>
  </sheetViews>
  <sheetFormatPr baseColWidth="10" defaultRowHeight="15.75" x14ac:dyDescent="0.25"/>
  <cols>
    <col min="3" max="3" width="11" style="3"/>
    <col min="4" max="4" width="26.125" style="3" customWidth="1"/>
    <col min="5" max="6" width="11" style="3"/>
    <col min="7" max="7" width="18.75" style="3" bestFit="1" customWidth="1"/>
    <col min="8" max="8" width="25" style="3" bestFit="1" customWidth="1"/>
    <col min="9" max="9" width="11" style="3"/>
  </cols>
  <sheetData>
    <row r="2" spans="3:9" ht="16.5" thickBot="1" x14ac:dyDescent="0.3"/>
    <row r="3" spans="3:9" x14ac:dyDescent="0.25">
      <c r="C3" s="11" t="s">
        <v>0</v>
      </c>
      <c r="D3" s="12" t="s">
        <v>1</v>
      </c>
      <c r="E3" s="12" t="s">
        <v>2</v>
      </c>
      <c r="F3" s="12" t="s">
        <v>3</v>
      </c>
      <c r="G3" s="12" t="s">
        <v>4</v>
      </c>
      <c r="H3" s="12"/>
      <c r="I3" s="13"/>
    </row>
    <row r="4" spans="3:9" x14ac:dyDescent="0.25">
      <c r="C4" s="14"/>
      <c r="D4" s="1"/>
      <c r="E4" s="1"/>
      <c r="F4" s="1"/>
      <c r="G4" s="1"/>
      <c r="H4" s="1"/>
      <c r="I4" s="16"/>
    </row>
    <row r="5" spans="3:9" x14ac:dyDescent="0.25">
      <c r="C5" s="14" t="s">
        <v>4923</v>
      </c>
      <c r="D5" s="1" t="s">
        <v>295</v>
      </c>
      <c r="E5" s="1" t="s">
        <v>7</v>
      </c>
      <c r="F5" s="1">
        <v>20</v>
      </c>
      <c r="G5" s="1" t="s">
        <v>4946</v>
      </c>
      <c r="H5" s="1" t="s">
        <v>1924</v>
      </c>
      <c r="I5" s="16"/>
    </row>
    <row r="6" spans="3:9" x14ac:dyDescent="0.25">
      <c r="C6" s="14" t="s">
        <v>4923</v>
      </c>
      <c r="D6" s="1" t="s">
        <v>192</v>
      </c>
      <c r="E6" s="1" t="s">
        <v>7</v>
      </c>
      <c r="F6" s="1">
        <v>170</v>
      </c>
      <c r="G6" s="1" t="s">
        <v>4947</v>
      </c>
      <c r="H6" s="1" t="s">
        <v>4949</v>
      </c>
      <c r="I6" s="16"/>
    </row>
    <row r="7" spans="3:9" x14ac:dyDescent="0.25">
      <c r="C7" s="14" t="s">
        <v>4923</v>
      </c>
      <c r="D7" s="1" t="s">
        <v>284</v>
      </c>
      <c r="E7" s="1" t="s">
        <v>7</v>
      </c>
      <c r="F7" s="1">
        <v>175</v>
      </c>
      <c r="G7" s="1" t="s">
        <v>4948</v>
      </c>
      <c r="H7" s="1" t="s">
        <v>3366</v>
      </c>
      <c r="I7" s="16"/>
    </row>
    <row r="8" spans="3:9" x14ac:dyDescent="0.25">
      <c r="C8" s="14" t="s">
        <v>4923</v>
      </c>
      <c r="D8" s="1" t="s">
        <v>349</v>
      </c>
      <c r="E8" s="1" t="s">
        <v>7</v>
      </c>
      <c r="F8" s="1">
        <v>280</v>
      </c>
      <c r="G8" s="1" t="s">
        <v>4942</v>
      </c>
      <c r="H8" s="1" t="s">
        <v>3965</v>
      </c>
      <c r="I8" s="16"/>
    </row>
    <row r="9" spans="3:9" x14ac:dyDescent="0.25">
      <c r="C9" s="14" t="s">
        <v>4923</v>
      </c>
      <c r="D9" s="1" t="s">
        <v>23</v>
      </c>
      <c r="E9" s="1" t="s">
        <v>7</v>
      </c>
      <c r="F9" s="1">
        <v>1228</v>
      </c>
      <c r="G9" s="1" t="s">
        <v>4943</v>
      </c>
      <c r="H9" s="1" t="s">
        <v>68</v>
      </c>
      <c r="I9" s="16"/>
    </row>
    <row r="10" spans="3:9" x14ac:dyDescent="0.25">
      <c r="C10" s="14" t="s">
        <v>4923</v>
      </c>
      <c r="D10" s="1" t="s">
        <v>23</v>
      </c>
      <c r="E10" s="1" t="s">
        <v>7</v>
      </c>
      <c r="F10" s="1">
        <v>407.8</v>
      </c>
      <c r="G10" s="1" t="s">
        <v>4944</v>
      </c>
      <c r="H10" s="1" t="s">
        <v>4945</v>
      </c>
      <c r="I10" s="16"/>
    </row>
    <row r="11" spans="3:9" x14ac:dyDescent="0.25">
      <c r="C11" s="14" t="s">
        <v>4923</v>
      </c>
      <c r="D11" s="1" t="s">
        <v>356</v>
      </c>
      <c r="E11" s="1" t="s">
        <v>7</v>
      </c>
      <c r="F11" s="1">
        <v>7357.7</v>
      </c>
      <c r="G11" s="1" t="s">
        <v>4924</v>
      </c>
      <c r="H11" s="1" t="s">
        <v>4941</v>
      </c>
      <c r="I11" s="20"/>
    </row>
    <row r="12" spans="3:9" x14ac:dyDescent="0.25">
      <c r="C12" s="14" t="s">
        <v>4923</v>
      </c>
      <c r="D12" s="1" t="s">
        <v>6</v>
      </c>
      <c r="E12" s="1" t="s">
        <v>7</v>
      </c>
      <c r="F12" s="1">
        <v>7.5</v>
      </c>
      <c r="G12" s="1" t="s">
        <v>4925</v>
      </c>
      <c r="H12" s="1" t="s">
        <v>4939</v>
      </c>
      <c r="I12" s="16"/>
    </row>
    <row r="13" spans="3:9" x14ac:dyDescent="0.25">
      <c r="C13" s="14" t="s">
        <v>4923</v>
      </c>
      <c r="D13" s="1" t="s">
        <v>509</v>
      </c>
      <c r="E13" s="1" t="s">
        <v>7</v>
      </c>
      <c r="F13" s="1">
        <v>202.5</v>
      </c>
      <c r="G13" s="1" t="s">
        <v>4926</v>
      </c>
      <c r="H13" s="1" t="s">
        <v>4938</v>
      </c>
      <c r="I13" s="16"/>
    </row>
    <row r="14" spans="3:9" x14ac:dyDescent="0.25">
      <c r="C14" s="29" t="s">
        <v>4923</v>
      </c>
      <c r="D14" s="28" t="s">
        <v>2625</v>
      </c>
      <c r="E14" s="28" t="s">
        <v>7</v>
      </c>
      <c r="F14" s="28">
        <v>-84</v>
      </c>
      <c r="G14" s="28" t="s">
        <v>4927</v>
      </c>
      <c r="H14" s="28" t="s">
        <v>4936</v>
      </c>
      <c r="I14" s="16" t="s">
        <v>2375</v>
      </c>
    </row>
    <row r="15" spans="3:9" x14ac:dyDescent="0.25">
      <c r="C15" s="14" t="s">
        <v>4923</v>
      </c>
      <c r="D15" s="1" t="s">
        <v>100</v>
      </c>
      <c r="E15" s="1" t="s">
        <v>7</v>
      </c>
      <c r="F15" s="1">
        <v>129.5</v>
      </c>
      <c r="G15" s="1" t="s">
        <v>4928</v>
      </c>
      <c r="H15" s="1" t="s">
        <v>4937</v>
      </c>
      <c r="I15" s="16"/>
    </row>
    <row r="16" spans="3:9" x14ac:dyDescent="0.25">
      <c r="C16" s="14" t="s">
        <v>4923</v>
      </c>
      <c r="D16" s="1" t="s">
        <v>224</v>
      </c>
      <c r="E16" s="1" t="s">
        <v>7</v>
      </c>
      <c r="F16" s="1">
        <v>9</v>
      </c>
      <c r="G16" s="1" t="s">
        <v>4929</v>
      </c>
      <c r="H16" s="1" t="s">
        <v>4935</v>
      </c>
      <c r="I16" s="16"/>
    </row>
    <row r="17" spans="3:9" x14ac:dyDescent="0.25">
      <c r="C17" s="14" t="s">
        <v>4923</v>
      </c>
      <c r="D17" s="1" t="s">
        <v>349</v>
      </c>
      <c r="E17" s="1" t="s">
        <v>7</v>
      </c>
      <c r="F17" s="1">
        <v>9</v>
      </c>
      <c r="G17" s="1" t="s">
        <v>4930</v>
      </c>
      <c r="H17" s="1" t="s">
        <v>4934</v>
      </c>
      <c r="I17" s="16"/>
    </row>
    <row r="18" spans="3:9" x14ac:dyDescent="0.25">
      <c r="C18" s="14" t="s">
        <v>4923</v>
      </c>
      <c r="D18" s="1" t="s">
        <v>17</v>
      </c>
      <c r="E18" s="1" t="s">
        <v>7</v>
      </c>
      <c r="F18" s="1">
        <v>28</v>
      </c>
      <c r="G18" s="1" t="s">
        <v>4931</v>
      </c>
      <c r="H18" s="1" t="s">
        <v>4933</v>
      </c>
      <c r="I18" s="16"/>
    </row>
    <row r="19" spans="3:9" x14ac:dyDescent="0.25">
      <c r="C19" s="42" t="s">
        <v>4923</v>
      </c>
      <c r="D19" s="43" t="s">
        <v>161</v>
      </c>
      <c r="E19" s="43" t="s">
        <v>7</v>
      </c>
      <c r="F19" s="43">
        <v>261.5</v>
      </c>
      <c r="G19" s="43" t="s">
        <v>4932</v>
      </c>
      <c r="H19" s="43" t="s">
        <v>4940</v>
      </c>
      <c r="I19" s="44"/>
    </row>
    <row r="20" spans="3:9" x14ac:dyDescent="0.25">
      <c r="C20" s="14" t="s">
        <v>4923</v>
      </c>
      <c r="D20" s="1" t="s">
        <v>783</v>
      </c>
      <c r="E20" s="1" t="s">
        <v>7</v>
      </c>
      <c r="F20" s="1">
        <v>31.5</v>
      </c>
      <c r="G20" s="1">
        <v>5411076</v>
      </c>
      <c r="H20" s="1" t="s">
        <v>4961</v>
      </c>
      <c r="I20" s="16" t="s">
        <v>4962</v>
      </c>
    </row>
    <row r="21" spans="3:9" x14ac:dyDescent="0.25">
      <c r="C21" s="14" t="s">
        <v>4923</v>
      </c>
      <c r="D21" s="1" t="s">
        <v>78</v>
      </c>
      <c r="E21" s="1" t="s">
        <v>7</v>
      </c>
      <c r="F21" s="1">
        <v>1240</v>
      </c>
      <c r="G21" s="1"/>
      <c r="H21" s="1" t="s">
        <v>1924</v>
      </c>
      <c r="I21" s="16"/>
    </row>
    <row r="22" spans="3:9" ht="16.5" thickBot="1" x14ac:dyDescent="0.3">
      <c r="C22" s="25" t="s">
        <v>4923</v>
      </c>
      <c r="D22" s="18" t="s">
        <v>78</v>
      </c>
      <c r="E22" s="18" t="s">
        <v>7</v>
      </c>
      <c r="F22" s="18">
        <v>1010</v>
      </c>
      <c r="G22" s="18"/>
      <c r="H22" s="18" t="s">
        <v>871</v>
      </c>
      <c r="I22" s="27"/>
    </row>
  </sheetData>
  <pageMargins left="0.7" right="0.7" top="0.75" bottom="0.75" header="0.3" footer="0.3"/>
</worksheet>
</file>

<file path=xl/worksheets/sheet10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51BD7B-18E7-4D3F-80C8-E81A6D651CE4}">
  <sheetPr codeName="Hoja100"/>
  <dimension ref="D3:I30"/>
  <sheetViews>
    <sheetView workbookViewId="0">
      <selection activeCell="H13" sqref="H13"/>
    </sheetView>
  </sheetViews>
  <sheetFormatPr baseColWidth="10" defaultRowHeight="15.75" x14ac:dyDescent="0.25"/>
  <cols>
    <col min="4" max="4" width="11" style="3"/>
    <col min="5" max="5" width="21.25" style="3" customWidth="1"/>
    <col min="6" max="7" width="11" style="3"/>
    <col min="8" max="8" width="18.75" style="3" bestFit="1" customWidth="1"/>
    <col min="9" max="9" width="29" style="3" bestFit="1" customWidth="1"/>
  </cols>
  <sheetData>
    <row r="3" spans="4:9" x14ac:dyDescent="0.25">
      <c r="D3" s="1" t="s">
        <v>0</v>
      </c>
      <c r="E3" s="1" t="s">
        <v>1</v>
      </c>
      <c r="F3" s="1" t="s">
        <v>2</v>
      </c>
      <c r="G3" s="1" t="s">
        <v>3</v>
      </c>
      <c r="H3" s="1" t="s">
        <v>4</v>
      </c>
      <c r="I3" s="1"/>
    </row>
    <row r="4" spans="4:9" x14ac:dyDescent="0.25">
      <c r="D4" s="1"/>
      <c r="E4" s="1"/>
      <c r="F4" s="1"/>
      <c r="G4" s="1"/>
      <c r="H4" s="1"/>
      <c r="I4" s="1"/>
    </row>
    <row r="5" spans="4:9" x14ac:dyDescent="0.25">
      <c r="D5" s="1"/>
      <c r="E5" s="1"/>
      <c r="F5" s="1"/>
      <c r="G5" s="1"/>
      <c r="H5" s="1"/>
      <c r="I5" s="1"/>
    </row>
    <row r="6" spans="4:9" x14ac:dyDescent="0.25">
      <c r="D6" s="1" t="s">
        <v>4950</v>
      </c>
      <c r="E6" s="1" t="s">
        <v>23</v>
      </c>
      <c r="F6" s="1" t="s">
        <v>7</v>
      </c>
      <c r="G6" s="1">
        <v>569</v>
      </c>
      <c r="H6" s="1" t="s">
        <v>4993</v>
      </c>
      <c r="I6" s="1" t="s">
        <v>4995</v>
      </c>
    </row>
    <row r="7" spans="4:9" x14ac:dyDescent="0.25">
      <c r="D7" s="28" t="s">
        <v>4950</v>
      </c>
      <c r="E7" s="28" t="s">
        <v>472</v>
      </c>
      <c r="F7" s="28" t="s">
        <v>7</v>
      </c>
      <c r="G7" s="28">
        <v>-4400</v>
      </c>
      <c r="H7" s="28" t="s">
        <v>4994</v>
      </c>
      <c r="I7" s="28" t="s">
        <v>4990</v>
      </c>
    </row>
    <row r="8" spans="4:9" x14ac:dyDescent="0.25">
      <c r="D8" s="1" t="s">
        <v>4950</v>
      </c>
      <c r="E8" s="1" t="s">
        <v>665</v>
      </c>
      <c r="F8" s="1" t="s">
        <v>7</v>
      </c>
      <c r="G8" s="1">
        <v>21</v>
      </c>
      <c r="H8" s="1" t="s">
        <v>4970</v>
      </c>
      <c r="I8" s="1" t="s">
        <v>3308</v>
      </c>
    </row>
    <row r="9" spans="4:9" x14ac:dyDescent="0.25">
      <c r="D9" s="1" t="s">
        <v>4950</v>
      </c>
      <c r="E9" s="1" t="s">
        <v>23</v>
      </c>
      <c r="F9" s="1" t="s">
        <v>7</v>
      </c>
      <c r="G9" s="1">
        <v>570</v>
      </c>
      <c r="H9" s="1" t="s">
        <v>4971</v>
      </c>
      <c r="I9" s="1" t="s">
        <v>68</v>
      </c>
    </row>
    <row r="10" spans="4:9" x14ac:dyDescent="0.25">
      <c r="D10" s="1" t="s">
        <v>4950</v>
      </c>
      <c r="E10" s="1" t="s">
        <v>262</v>
      </c>
      <c r="F10" s="1" t="s">
        <v>7</v>
      </c>
      <c r="G10" s="1">
        <v>230</v>
      </c>
      <c r="H10" s="1" t="s">
        <v>4972</v>
      </c>
      <c r="I10" s="1" t="s">
        <v>4989</v>
      </c>
    </row>
    <row r="11" spans="4:9" x14ac:dyDescent="0.25">
      <c r="D11" s="1" t="s">
        <v>4950</v>
      </c>
      <c r="E11" s="1" t="s">
        <v>262</v>
      </c>
      <c r="F11" s="1" t="s">
        <v>7</v>
      </c>
      <c r="G11" s="1">
        <v>500</v>
      </c>
      <c r="H11" s="1" t="s">
        <v>4973</v>
      </c>
      <c r="I11" s="1" t="s">
        <v>4989</v>
      </c>
    </row>
    <row r="12" spans="4:9" x14ac:dyDescent="0.25">
      <c r="D12" s="1" t="s">
        <v>4950</v>
      </c>
      <c r="E12" s="1" t="s">
        <v>23</v>
      </c>
      <c r="F12" s="1" t="s">
        <v>7</v>
      </c>
      <c r="G12" s="1">
        <v>1160.5</v>
      </c>
      <c r="H12" s="1" t="s">
        <v>4974</v>
      </c>
      <c r="I12" s="1" t="s">
        <v>68</v>
      </c>
    </row>
    <row r="13" spans="4:9" x14ac:dyDescent="0.25">
      <c r="D13" s="28" t="s">
        <v>4950</v>
      </c>
      <c r="E13" s="28" t="s">
        <v>472</v>
      </c>
      <c r="F13" s="28" t="s">
        <v>7</v>
      </c>
      <c r="G13" s="28">
        <v>-24480</v>
      </c>
      <c r="H13" s="28" t="s">
        <v>4975</v>
      </c>
      <c r="I13" s="28" t="s">
        <v>4990</v>
      </c>
    </row>
    <row r="14" spans="4:9" x14ac:dyDescent="0.25">
      <c r="D14" s="78" t="s">
        <v>4950</v>
      </c>
      <c r="E14" s="78" t="s">
        <v>472</v>
      </c>
      <c r="F14" s="78" t="s">
        <v>7</v>
      </c>
      <c r="G14" s="78">
        <v>11500</v>
      </c>
      <c r="H14" s="78" t="s">
        <v>4976</v>
      </c>
      <c r="I14" s="78" t="s">
        <v>4988</v>
      </c>
    </row>
    <row r="15" spans="4:9" x14ac:dyDescent="0.25">
      <c r="D15" s="28" t="s">
        <v>4950</v>
      </c>
      <c r="E15" s="28" t="s">
        <v>2625</v>
      </c>
      <c r="F15" s="28" t="s">
        <v>7</v>
      </c>
      <c r="G15" s="28">
        <v>-40.5</v>
      </c>
      <c r="H15" s="28" t="s">
        <v>4977</v>
      </c>
      <c r="I15" s="28" t="s">
        <v>4987</v>
      </c>
    </row>
    <row r="16" spans="4:9" x14ac:dyDescent="0.25">
      <c r="D16" s="1" t="s">
        <v>4950</v>
      </c>
      <c r="E16" s="1" t="s">
        <v>27</v>
      </c>
      <c r="F16" s="1" t="s">
        <v>7</v>
      </c>
      <c r="G16" s="1">
        <v>5</v>
      </c>
      <c r="H16" s="1" t="s">
        <v>4978</v>
      </c>
      <c r="I16" s="1" t="s">
        <v>4986</v>
      </c>
    </row>
    <row r="17" spans="4:9" x14ac:dyDescent="0.25">
      <c r="D17" s="1" t="s">
        <v>4950</v>
      </c>
      <c r="E17" s="1" t="s">
        <v>299</v>
      </c>
      <c r="F17" s="1" t="s">
        <v>7</v>
      </c>
      <c r="G17" s="1">
        <v>91.5</v>
      </c>
      <c r="H17" s="1" t="s">
        <v>4979</v>
      </c>
      <c r="I17" s="1" t="s">
        <v>4985</v>
      </c>
    </row>
    <row r="18" spans="4:9" x14ac:dyDescent="0.25">
      <c r="D18" s="1" t="s">
        <v>4950</v>
      </c>
      <c r="E18" s="1" t="s">
        <v>23</v>
      </c>
      <c r="F18" s="1" t="s">
        <v>7</v>
      </c>
      <c r="G18" s="1">
        <v>1500</v>
      </c>
      <c r="H18" s="1" t="s">
        <v>4980</v>
      </c>
      <c r="I18" s="1" t="s">
        <v>4992</v>
      </c>
    </row>
    <row r="19" spans="4:9" x14ac:dyDescent="0.25">
      <c r="D19" s="1" t="s">
        <v>4950</v>
      </c>
      <c r="E19" s="1" t="s">
        <v>509</v>
      </c>
      <c r="F19" s="1" t="s">
        <v>7</v>
      </c>
      <c r="G19" s="1">
        <v>869</v>
      </c>
      <c r="H19" s="1" t="s">
        <v>4981</v>
      </c>
      <c r="I19" s="1" t="s">
        <v>4991</v>
      </c>
    </row>
    <row r="20" spans="4:9" x14ac:dyDescent="0.25">
      <c r="D20" s="1" t="s">
        <v>4950</v>
      </c>
      <c r="E20" s="1" t="s">
        <v>39</v>
      </c>
      <c r="F20" s="1" t="s">
        <v>7</v>
      </c>
      <c r="G20" s="1">
        <v>68.5</v>
      </c>
      <c r="H20" s="1" t="s">
        <v>4982</v>
      </c>
      <c r="I20" s="1" t="s">
        <v>4984</v>
      </c>
    </row>
    <row r="21" spans="4:9" x14ac:dyDescent="0.25">
      <c r="D21" s="1" t="s">
        <v>4950</v>
      </c>
      <c r="E21" s="1" t="s">
        <v>299</v>
      </c>
      <c r="F21" s="1" t="s">
        <v>7</v>
      </c>
      <c r="G21" s="1">
        <v>170</v>
      </c>
      <c r="H21" s="1" t="s">
        <v>4983</v>
      </c>
      <c r="I21" s="1" t="s">
        <v>689</v>
      </c>
    </row>
    <row r="22" spans="4:9" x14ac:dyDescent="0.25">
      <c r="D22" s="1" t="s">
        <v>4950</v>
      </c>
      <c r="E22" s="1" t="s">
        <v>370</v>
      </c>
      <c r="F22" s="1" t="s">
        <v>7</v>
      </c>
      <c r="G22" s="1">
        <v>28</v>
      </c>
      <c r="H22" s="1" t="s">
        <v>4951</v>
      </c>
      <c r="I22" s="1" t="s">
        <v>4968</v>
      </c>
    </row>
    <row r="23" spans="4:9" x14ac:dyDescent="0.25">
      <c r="D23" s="1" t="s">
        <v>4950</v>
      </c>
      <c r="E23" s="1" t="s">
        <v>23</v>
      </c>
      <c r="F23" s="1" t="s">
        <v>7</v>
      </c>
      <c r="G23" s="1">
        <v>78</v>
      </c>
      <c r="H23" s="1" t="s">
        <v>4952</v>
      </c>
      <c r="I23" s="1" t="s">
        <v>4967</v>
      </c>
    </row>
    <row r="24" spans="4:9" x14ac:dyDescent="0.25">
      <c r="D24" s="1" t="s">
        <v>4950</v>
      </c>
      <c r="E24" s="1" t="s">
        <v>23</v>
      </c>
      <c r="F24" s="1" t="s">
        <v>7</v>
      </c>
      <c r="G24" s="1">
        <v>2860</v>
      </c>
      <c r="H24" s="1" t="s">
        <v>4953</v>
      </c>
      <c r="I24" s="1" t="s">
        <v>4967</v>
      </c>
    </row>
    <row r="25" spans="4:9" x14ac:dyDescent="0.25">
      <c r="D25" s="1" t="s">
        <v>4950</v>
      </c>
      <c r="E25" s="1" t="s">
        <v>509</v>
      </c>
      <c r="F25" s="1" t="s">
        <v>7</v>
      </c>
      <c r="G25" s="1">
        <v>194.5</v>
      </c>
      <c r="H25" s="1" t="s">
        <v>4954</v>
      </c>
      <c r="I25" s="1" t="s">
        <v>4966</v>
      </c>
    </row>
    <row r="26" spans="4:9" x14ac:dyDescent="0.25">
      <c r="D26" s="1" t="s">
        <v>4950</v>
      </c>
      <c r="E26" s="1" t="s">
        <v>23</v>
      </c>
      <c r="F26" s="1" t="s">
        <v>7</v>
      </c>
      <c r="G26" s="1">
        <v>393.5</v>
      </c>
      <c r="H26" s="1" t="s">
        <v>4955</v>
      </c>
      <c r="I26" s="1" t="s">
        <v>4969</v>
      </c>
    </row>
    <row r="27" spans="4:9" x14ac:dyDescent="0.25">
      <c r="D27" s="1" t="s">
        <v>4950</v>
      </c>
      <c r="E27" s="1" t="s">
        <v>122</v>
      </c>
      <c r="F27" s="1" t="s">
        <v>7</v>
      </c>
      <c r="G27" s="1">
        <v>21</v>
      </c>
      <c r="H27" s="1" t="s">
        <v>4956</v>
      </c>
      <c r="I27" s="1" t="s">
        <v>4965</v>
      </c>
    </row>
    <row r="28" spans="4:9" x14ac:dyDescent="0.25">
      <c r="D28" s="1" t="s">
        <v>4950</v>
      </c>
      <c r="E28" s="1" t="s">
        <v>9</v>
      </c>
      <c r="F28" s="1" t="s">
        <v>7</v>
      </c>
      <c r="G28" s="1">
        <v>24</v>
      </c>
      <c r="H28" s="1" t="s">
        <v>4957</v>
      </c>
      <c r="I28" s="1" t="s">
        <v>4964</v>
      </c>
    </row>
    <row r="29" spans="4:9" x14ac:dyDescent="0.25">
      <c r="D29" s="1" t="s">
        <v>4950</v>
      </c>
      <c r="E29" s="1" t="s">
        <v>3555</v>
      </c>
      <c r="F29" s="1" t="s">
        <v>7</v>
      </c>
      <c r="G29" s="1">
        <v>214</v>
      </c>
      <c r="H29" s="1" t="s">
        <v>4958</v>
      </c>
      <c r="I29" s="1" t="s">
        <v>4960</v>
      </c>
    </row>
    <row r="30" spans="4:9" x14ac:dyDescent="0.25">
      <c r="D30" s="1" t="s">
        <v>4950</v>
      </c>
      <c r="E30" s="1" t="s">
        <v>39</v>
      </c>
      <c r="F30" s="1" t="s">
        <v>7</v>
      </c>
      <c r="G30" s="1">
        <v>160</v>
      </c>
      <c r="H30" s="1" t="s">
        <v>4959</v>
      </c>
      <c r="I30" s="1" t="s">
        <v>4963</v>
      </c>
    </row>
  </sheetData>
  <pageMargins left="0.7" right="0.7" top="0.75" bottom="0.75" header="0.3" footer="0.3"/>
  <pageSetup paperSize="256" orientation="portrait" horizontalDpi="203" verticalDpi="203" r:id="rId1"/>
</worksheet>
</file>

<file path=xl/worksheets/sheet10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B5322A-BA7F-4D79-B4FC-8F662E23682D}">
  <sheetPr codeName="Hoja101"/>
  <dimension ref="D3:K24"/>
  <sheetViews>
    <sheetView workbookViewId="0">
      <selection activeCell="K20" sqref="K20:K21"/>
    </sheetView>
  </sheetViews>
  <sheetFormatPr baseColWidth="10" defaultRowHeight="15.75" x14ac:dyDescent="0.25"/>
  <cols>
    <col min="4" max="4" width="11" style="3"/>
    <col min="5" max="5" width="22.5" style="3" bestFit="1" customWidth="1"/>
    <col min="6" max="6" width="11" style="3"/>
    <col min="7" max="7" width="12.375" style="3" customWidth="1"/>
    <col min="8" max="8" width="19.875" style="3" customWidth="1"/>
    <col min="9" max="9" width="43.25" style="3" bestFit="1" customWidth="1"/>
    <col min="10" max="11" width="11" style="3"/>
  </cols>
  <sheetData>
    <row r="3" spans="4:11" x14ac:dyDescent="0.25">
      <c r="D3" s="1" t="s">
        <v>0</v>
      </c>
      <c r="E3" s="1" t="s">
        <v>1</v>
      </c>
      <c r="F3" s="1" t="s">
        <v>2</v>
      </c>
      <c r="G3" s="1" t="s">
        <v>3</v>
      </c>
      <c r="H3" s="1" t="s">
        <v>4</v>
      </c>
      <c r="I3" s="1"/>
      <c r="J3" s="1"/>
      <c r="K3" s="1"/>
    </row>
    <row r="4" spans="4:11" x14ac:dyDescent="0.25">
      <c r="D4" s="1" t="s">
        <v>4996</v>
      </c>
      <c r="E4" s="1" t="s">
        <v>692</v>
      </c>
      <c r="F4" s="1" t="s">
        <v>7</v>
      </c>
      <c r="G4" s="1">
        <v>486</v>
      </c>
      <c r="H4" s="1">
        <v>5822799</v>
      </c>
      <c r="I4" s="1" t="s">
        <v>5034</v>
      </c>
      <c r="J4" s="1"/>
      <c r="K4" s="1"/>
    </row>
    <row r="5" spans="4:11" x14ac:dyDescent="0.25">
      <c r="D5" s="1" t="s">
        <v>4996</v>
      </c>
      <c r="E5" s="1" t="s">
        <v>519</v>
      </c>
      <c r="F5" s="1" t="s">
        <v>7</v>
      </c>
      <c r="G5" s="1">
        <v>11</v>
      </c>
      <c r="H5" s="1" t="s">
        <v>5024</v>
      </c>
      <c r="I5" s="1" t="s">
        <v>5037</v>
      </c>
      <c r="J5" s="1"/>
      <c r="K5" s="1"/>
    </row>
    <row r="6" spans="4:11" x14ac:dyDescent="0.25">
      <c r="D6" s="1" t="s">
        <v>4996</v>
      </c>
      <c r="E6" s="1" t="s">
        <v>5025</v>
      </c>
      <c r="F6" s="1" t="s">
        <v>7</v>
      </c>
      <c r="G6" s="1">
        <v>1.5</v>
      </c>
      <c r="H6" s="1" t="s">
        <v>5026</v>
      </c>
      <c r="I6" s="1" t="s">
        <v>5036</v>
      </c>
      <c r="J6" s="1"/>
      <c r="K6" s="1"/>
    </row>
    <row r="7" spans="4:11" x14ac:dyDescent="0.25">
      <c r="D7" s="1" t="s">
        <v>4996</v>
      </c>
      <c r="E7" s="1" t="s">
        <v>23</v>
      </c>
      <c r="F7" s="1" t="s">
        <v>7</v>
      </c>
      <c r="G7" s="1">
        <v>2212</v>
      </c>
      <c r="H7" s="1" t="s">
        <v>5027</v>
      </c>
      <c r="I7" s="1" t="s">
        <v>68</v>
      </c>
      <c r="J7" s="1"/>
      <c r="K7" s="1"/>
    </row>
    <row r="8" spans="4:11" x14ac:dyDescent="0.25">
      <c r="D8" s="1" t="s">
        <v>4996</v>
      </c>
      <c r="E8" s="1" t="s">
        <v>75</v>
      </c>
      <c r="F8" s="1" t="s">
        <v>7</v>
      </c>
      <c r="G8" s="1">
        <v>5</v>
      </c>
      <c r="H8" s="1" t="s">
        <v>5028</v>
      </c>
      <c r="I8" s="1" t="s">
        <v>5035</v>
      </c>
      <c r="J8" s="1"/>
      <c r="K8" s="1"/>
    </row>
    <row r="9" spans="4:11" x14ac:dyDescent="0.25">
      <c r="D9" s="1" t="s">
        <v>4996</v>
      </c>
      <c r="E9" s="1" t="s">
        <v>284</v>
      </c>
      <c r="F9" s="1" t="s">
        <v>7</v>
      </c>
      <c r="G9" s="1">
        <v>76</v>
      </c>
      <c r="H9" s="1" t="s">
        <v>5029</v>
      </c>
      <c r="I9" s="1" t="s">
        <v>5034</v>
      </c>
      <c r="J9" s="1"/>
      <c r="K9" s="1"/>
    </row>
    <row r="10" spans="4:11" x14ac:dyDescent="0.25">
      <c r="D10" s="1" t="s">
        <v>4996</v>
      </c>
      <c r="E10" s="1" t="s">
        <v>299</v>
      </c>
      <c r="F10" s="1" t="s">
        <v>7</v>
      </c>
      <c r="G10" s="1">
        <v>27</v>
      </c>
      <c r="H10" s="1" t="s">
        <v>5030</v>
      </c>
      <c r="I10" s="1" t="s">
        <v>5033</v>
      </c>
      <c r="J10" s="1"/>
      <c r="K10" s="1"/>
    </row>
    <row r="11" spans="4:11" x14ac:dyDescent="0.25">
      <c r="D11" s="1" t="s">
        <v>4996</v>
      </c>
      <c r="E11" s="1" t="s">
        <v>190</v>
      </c>
      <c r="F11" s="1" t="s">
        <v>7</v>
      </c>
      <c r="G11" s="1">
        <v>14</v>
      </c>
      <c r="H11" s="1" t="s">
        <v>5031</v>
      </c>
      <c r="I11" s="1" t="s">
        <v>5032</v>
      </c>
      <c r="J11" s="1"/>
      <c r="K11" s="1"/>
    </row>
    <row r="12" spans="4:11" x14ac:dyDescent="0.25">
      <c r="D12" s="1" t="s">
        <v>4996</v>
      </c>
      <c r="E12" s="1" t="s">
        <v>4997</v>
      </c>
      <c r="F12" s="1" t="s">
        <v>7</v>
      </c>
      <c r="G12" s="1">
        <v>378</v>
      </c>
      <c r="H12" s="1" t="s">
        <v>4998</v>
      </c>
      <c r="I12" s="1" t="s">
        <v>5020</v>
      </c>
      <c r="J12" s="1"/>
      <c r="K12" s="1"/>
    </row>
    <row r="13" spans="4:11" x14ac:dyDescent="0.25">
      <c r="D13" s="1" t="s">
        <v>4996</v>
      </c>
      <c r="E13" s="1" t="s">
        <v>262</v>
      </c>
      <c r="F13" s="1" t="s">
        <v>7</v>
      </c>
      <c r="G13" s="1">
        <v>20</v>
      </c>
      <c r="H13" s="1" t="s">
        <v>4999</v>
      </c>
      <c r="I13" s="1" t="s">
        <v>5021</v>
      </c>
      <c r="J13" s="1"/>
      <c r="K13" s="1"/>
    </row>
    <row r="14" spans="4:11" x14ac:dyDescent="0.25">
      <c r="D14" s="1" t="s">
        <v>4996</v>
      </c>
      <c r="E14" s="1" t="s">
        <v>17</v>
      </c>
      <c r="F14" s="1" t="s">
        <v>7</v>
      </c>
      <c r="G14" s="1">
        <v>4</v>
      </c>
      <c r="H14" s="1" t="s">
        <v>5000</v>
      </c>
      <c r="I14" s="1" t="s">
        <v>5019</v>
      </c>
      <c r="J14" s="1"/>
      <c r="K14" s="1"/>
    </row>
    <row r="15" spans="4:11" x14ac:dyDescent="0.25">
      <c r="D15" s="1" t="s">
        <v>4996</v>
      </c>
      <c r="E15" s="1" t="s">
        <v>23</v>
      </c>
      <c r="F15" s="1" t="s">
        <v>7</v>
      </c>
      <c r="G15" s="1">
        <v>2550</v>
      </c>
      <c r="H15" s="1" t="s">
        <v>5001</v>
      </c>
      <c r="I15" s="1" t="s">
        <v>5018</v>
      </c>
      <c r="J15" s="1"/>
      <c r="K15" s="1"/>
    </row>
    <row r="16" spans="4:11" x14ac:dyDescent="0.25">
      <c r="D16" s="1" t="s">
        <v>4996</v>
      </c>
      <c r="E16" s="1" t="s">
        <v>5002</v>
      </c>
      <c r="F16" s="1" t="s">
        <v>7</v>
      </c>
      <c r="G16" s="1">
        <v>61376.13</v>
      </c>
      <c r="H16" s="1" t="s">
        <v>5003</v>
      </c>
      <c r="I16" s="1" t="s">
        <v>5023</v>
      </c>
      <c r="J16" s="1">
        <v>50000</v>
      </c>
      <c r="K16" s="1" t="s">
        <v>1999</v>
      </c>
    </row>
    <row r="17" spans="4:11" x14ac:dyDescent="0.25">
      <c r="D17" s="1" t="s">
        <v>4996</v>
      </c>
      <c r="E17" s="1" t="s">
        <v>23</v>
      </c>
      <c r="F17" s="1" t="s">
        <v>7</v>
      </c>
      <c r="G17" s="1">
        <v>1421</v>
      </c>
      <c r="H17" s="1" t="s">
        <v>5004</v>
      </c>
      <c r="I17" s="1" t="s">
        <v>5022</v>
      </c>
      <c r="J17" s="1"/>
      <c r="K17" s="1"/>
    </row>
    <row r="18" spans="4:11" x14ac:dyDescent="0.25">
      <c r="D18" s="1" t="s">
        <v>4996</v>
      </c>
      <c r="E18" s="1" t="s">
        <v>39</v>
      </c>
      <c r="F18" s="1" t="s">
        <v>7</v>
      </c>
      <c r="G18" s="1">
        <v>20</v>
      </c>
      <c r="H18" s="1" t="s">
        <v>5005</v>
      </c>
      <c r="I18" s="1" t="s">
        <v>3570</v>
      </c>
      <c r="J18" s="1"/>
      <c r="K18" s="1"/>
    </row>
    <row r="19" spans="4:11" x14ac:dyDescent="0.25">
      <c r="D19" s="1" t="s">
        <v>4996</v>
      </c>
      <c r="E19" s="1" t="s">
        <v>6</v>
      </c>
      <c r="F19" s="1" t="s">
        <v>7</v>
      </c>
      <c r="G19" s="1">
        <v>170</v>
      </c>
      <c r="H19" s="1" t="s">
        <v>5006</v>
      </c>
      <c r="I19" s="1" t="s">
        <v>3306</v>
      </c>
      <c r="J19" s="1"/>
      <c r="K19" s="1"/>
    </row>
    <row r="20" spans="4:11" x14ac:dyDescent="0.25">
      <c r="D20" s="1" t="s">
        <v>4996</v>
      </c>
      <c r="E20" s="1" t="s">
        <v>5007</v>
      </c>
      <c r="F20" s="1" t="s">
        <v>7</v>
      </c>
      <c r="G20" s="1">
        <v>425</v>
      </c>
      <c r="H20" s="1" t="s">
        <v>5008</v>
      </c>
      <c r="I20" s="1" t="s">
        <v>5017</v>
      </c>
      <c r="J20" s="1"/>
      <c r="K20" s="1"/>
    </row>
    <row r="21" spans="4:11" x14ac:dyDescent="0.25">
      <c r="D21" s="1" t="s">
        <v>4996</v>
      </c>
      <c r="E21" s="1" t="s">
        <v>289</v>
      </c>
      <c r="F21" s="1" t="s">
        <v>7</v>
      </c>
      <c r="G21" s="1">
        <v>54</v>
      </c>
      <c r="H21" s="1" t="s">
        <v>5009</v>
      </c>
      <c r="I21" s="1" t="s">
        <v>5038</v>
      </c>
      <c r="J21" s="1"/>
      <c r="K21" s="1"/>
    </row>
    <row r="22" spans="4:11" x14ac:dyDescent="0.25">
      <c r="D22" s="1" t="s">
        <v>4996</v>
      </c>
      <c r="E22" s="1" t="s">
        <v>5010</v>
      </c>
      <c r="F22" s="1" t="s">
        <v>7</v>
      </c>
      <c r="G22" s="1">
        <v>2.5</v>
      </c>
      <c r="H22" s="1" t="s">
        <v>5011</v>
      </c>
      <c r="I22" s="1" t="s">
        <v>5016</v>
      </c>
      <c r="J22" s="1"/>
      <c r="K22" s="1"/>
    </row>
    <row r="23" spans="4:11" x14ac:dyDescent="0.25">
      <c r="D23" s="1" t="s">
        <v>4996</v>
      </c>
      <c r="E23" s="1" t="s">
        <v>979</v>
      </c>
      <c r="F23" s="1" t="s">
        <v>7</v>
      </c>
      <c r="G23" s="1">
        <v>17.5</v>
      </c>
      <c r="H23" s="1" t="s">
        <v>5012</v>
      </c>
      <c r="I23" s="1" t="s">
        <v>5015</v>
      </c>
      <c r="J23" s="1"/>
      <c r="K23" s="1"/>
    </row>
    <row r="24" spans="4:11" x14ac:dyDescent="0.25">
      <c r="D24" s="1" t="s">
        <v>4996</v>
      </c>
      <c r="E24" s="1" t="s">
        <v>39</v>
      </c>
      <c r="F24" s="1" t="s">
        <v>7</v>
      </c>
      <c r="G24" s="1">
        <v>7.5</v>
      </c>
      <c r="H24" s="1" t="s">
        <v>5013</v>
      </c>
      <c r="I24" s="1" t="s">
        <v>5014</v>
      </c>
      <c r="J24" s="1"/>
      <c r="K24" s="1"/>
    </row>
  </sheetData>
  <pageMargins left="0.7" right="0.7" top="0.75" bottom="0.75" header="0.3" footer="0.3"/>
</worksheet>
</file>

<file path=xl/worksheets/sheet10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09836F-7AFA-44A5-BAA2-BD3C1214CAD9}">
  <sheetPr codeName="Hoja102"/>
  <dimension ref="D3:I36"/>
  <sheetViews>
    <sheetView workbookViewId="0">
      <selection activeCell="H41" sqref="H41"/>
    </sheetView>
  </sheetViews>
  <sheetFormatPr baseColWidth="10" defaultRowHeight="15.75" x14ac:dyDescent="0.25"/>
  <cols>
    <col min="4" max="4" width="11" style="3"/>
    <col min="5" max="5" width="24.875" style="3" customWidth="1"/>
    <col min="6" max="7" width="11" style="3"/>
    <col min="8" max="8" width="20.375" style="3" customWidth="1"/>
    <col min="9" max="9" width="28.75" style="3" bestFit="1" customWidth="1"/>
  </cols>
  <sheetData>
    <row r="3" spans="4:9" x14ac:dyDescent="0.25">
      <c r="D3" s="1" t="s">
        <v>0</v>
      </c>
      <c r="E3" s="1" t="s">
        <v>1</v>
      </c>
      <c r="F3" s="1" t="s">
        <v>2</v>
      </c>
      <c r="G3" s="1" t="s">
        <v>3</v>
      </c>
      <c r="H3" s="1" t="s">
        <v>4</v>
      </c>
      <c r="I3" s="1"/>
    </row>
    <row r="4" spans="4:9" x14ac:dyDescent="0.25">
      <c r="D4" s="1"/>
      <c r="E4" s="1"/>
      <c r="F4" s="1"/>
      <c r="G4" s="1"/>
      <c r="H4" s="1"/>
      <c r="I4" s="1"/>
    </row>
    <row r="5" spans="4:9" x14ac:dyDescent="0.25">
      <c r="D5" s="28" t="s">
        <v>5039</v>
      </c>
      <c r="E5" s="28" t="s">
        <v>5095</v>
      </c>
      <c r="F5" s="28" t="s">
        <v>7</v>
      </c>
      <c r="G5" s="28">
        <v>-135</v>
      </c>
      <c r="H5" s="28" t="s">
        <v>5096</v>
      </c>
      <c r="I5" s="28" t="s">
        <v>5097</v>
      </c>
    </row>
    <row r="6" spans="4:9" x14ac:dyDescent="0.25">
      <c r="D6" s="1" t="s">
        <v>5039</v>
      </c>
      <c r="E6" s="1" t="s">
        <v>39</v>
      </c>
      <c r="F6" s="1" t="s">
        <v>7</v>
      </c>
      <c r="G6" s="1">
        <v>190</v>
      </c>
      <c r="H6" s="1" t="s">
        <v>5079</v>
      </c>
      <c r="I6" s="1" t="s">
        <v>4554</v>
      </c>
    </row>
    <row r="7" spans="4:9" x14ac:dyDescent="0.25">
      <c r="D7" s="1" t="s">
        <v>5039</v>
      </c>
      <c r="E7" s="1" t="s">
        <v>23</v>
      </c>
      <c r="F7" s="1" t="s">
        <v>7</v>
      </c>
      <c r="G7" s="1">
        <v>1950</v>
      </c>
      <c r="H7" s="1" t="s">
        <v>5080</v>
      </c>
      <c r="I7" s="1" t="s">
        <v>210</v>
      </c>
    </row>
    <row r="8" spans="4:9" x14ac:dyDescent="0.25">
      <c r="D8" s="1" t="s">
        <v>5039</v>
      </c>
      <c r="E8" s="1" t="s">
        <v>23</v>
      </c>
      <c r="F8" s="1" t="s">
        <v>7</v>
      </c>
      <c r="G8" s="1">
        <v>92.1</v>
      </c>
      <c r="H8" s="1" t="s">
        <v>5081</v>
      </c>
      <c r="I8" s="1" t="s">
        <v>1768</v>
      </c>
    </row>
    <row r="9" spans="4:9" x14ac:dyDescent="0.25">
      <c r="D9" s="28" t="s">
        <v>5039</v>
      </c>
      <c r="E9" s="28" t="s">
        <v>5082</v>
      </c>
      <c r="F9" s="28" t="s">
        <v>7</v>
      </c>
      <c r="G9" s="28">
        <v>-190</v>
      </c>
      <c r="H9" s="28" t="s">
        <v>5083</v>
      </c>
      <c r="I9" s="28" t="s">
        <v>5093</v>
      </c>
    </row>
    <row r="10" spans="4:9" x14ac:dyDescent="0.25">
      <c r="D10" s="1" t="s">
        <v>5039</v>
      </c>
      <c r="E10" s="1" t="s">
        <v>23</v>
      </c>
      <c r="F10" s="1" t="s">
        <v>7</v>
      </c>
      <c r="G10" s="1">
        <v>653.70000000000005</v>
      </c>
      <c r="H10" s="1" t="s">
        <v>5084</v>
      </c>
      <c r="I10" s="1" t="s">
        <v>1768</v>
      </c>
    </row>
    <row r="11" spans="4:9" x14ac:dyDescent="0.25">
      <c r="D11" s="1" t="s">
        <v>5039</v>
      </c>
      <c r="E11" s="1" t="s">
        <v>190</v>
      </c>
      <c r="F11" s="1" t="s">
        <v>7</v>
      </c>
      <c r="G11" s="1">
        <v>203</v>
      </c>
      <c r="H11" s="1" t="s">
        <v>5085</v>
      </c>
      <c r="I11" s="1" t="s">
        <v>5092</v>
      </c>
    </row>
    <row r="12" spans="4:9" x14ac:dyDescent="0.25">
      <c r="D12" s="1" t="s">
        <v>5039</v>
      </c>
      <c r="E12" s="1" t="s">
        <v>356</v>
      </c>
      <c r="F12" s="1" t="s">
        <v>7</v>
      </c>
      <c r="G12" s="1">
        <v>6</v>
      </c>
      <c r="H12" s="1" t="s">
        <v>5086</v>
      </c>
      <c r="I12" s="1" t="s">
        <v>5094</v>
      </c>
    </row>
    <row r="13" spans="4:9" x14ac:dyDescent="0.25">
      <c r="D13" s="1" t="s">
        <v>5039</v>
      </c>
      <c r="E13" s="1" t="s">
        <v>299</v>
      </c>
      <c r="F13" s="1" t="s">
        <v>7</v>
      </c>
      <c r="G13" s="1">
        <v>95.4</v>
      </c>
      <c r="H13" s="1" t="s">
        <v>5087</v>
      </c>
      <c r="I13" s="1" t="s">
        <v>5091</v>
      </c>
    </row>
    <row r="14" spans="4:9" x14ac:dyDescent="0.25">
      <c r="D14" s="1" t="s">
        <v>5039</v>
      </c>
      <c r="E14" s="1" t="s">
        <v>5088</v>
      </c>
      <c r="F14" s="1" t="s">
        <v>7</v>
      </c>
      <c r="G14" s="1">
        <v>227.2</v>
      </c>
      <c r="H14" s="1" t="s">
        <v>5089</v>
      </c>
      <c r="I14" s="1" t="s">
        <v>5090</v>
      </c>
    </row>
    <row r="15" spans="4:9" x14ac:dyDescent="0.25">
      <c r="D15" s="1" t="s">
        <v>5039</v>
      </c>
      <c r="E15" s="1" t="s">
        <v>5068</v>
      </c>
      <c r="F15" s="1" t="s">
        <v>7</v>
      </c>
      <c r="G15" s="1">
        <v>60</v>
      </c>
      <c r="H15" s="1" t="s">
        <v>5069</v>
      </c>
      <c r="I15" s="1" t="s">
        <v>5078</v>
      </c>
    </row>
    <row r="16" spans="4:9" x14ac:dyDescent="0.25">
      <c r="D16" s="1" t="s">
        <v>5039</v>
      </c>
      <c r="E16" s="1" t="s">
        <v>665</v>
      </c>
      <c r="F16" s="1" t="s">
        <v>7</v>
      </c>
      <c r="G16" s="1">
        <v>145</v>
      </c>
      <c r="H16" s="1" t="s">
        <v>5070</v>
      </c>
      <c r="I16" s="1" t="s">
        <v>386</v>
      </c>
    </row>
    <row r="17" spans="4:9" x14ac:dyDescent="0.25">
      <c r="D17" s="1" t="s">
        <v>5039</v>
      </c>
      <c r="E17" s="1" t="s">
        <v>5071</v>
      </c>
      <c r="F17" s="1" t="s">
        <v>7</v>
      </c>
      <c r="G17" s="1">
        <v>9</v>
      </c>
      <c r="H17" s="1" t="s">
        <v>5072</v>
      </c>
      <c r="I17" s="1" t="s">
        <v>5077</v>
      </c>
    </row>
    <row r="18" spans="4:9" x14ac:dyDescent="0.25">
      <c r="D18" s="78" t="s">
        <v>5039</v>
      </c>
      <c r="E18" s="78" t="s">
        <v>295</v>
      </c>
      <c r="F18" s="78" t="s">
        <v>7</v>
      </c>
      <c r="G18" s="78">
        <v>5</v>
      </c>
      <c r="H18" s="78" t="s">
        <v>5073</v>
      </c>
      <c r="I18" s="78" t="s">
        <v>5074</v>
      </c>
    </row>
    <row r="19" spans="4:9" x14ac:dyDescent="0.25">
      <c r="D19" s="1" t="s">
        <v>5039</v>
      </c>
      <c r="E19" s="1" t="s">
        <v>164</v>
      </c>
      <c r="F19" s="1" t="s">
        <v>7</v>
      </c>
      <c r="G19" s="1">
        <v>233</v>
      </c>
      <c r="H19" s="1" t="s">
        <v>5040</v>
      </c>
      <c r="I19" s="1" t="s">
        <v>4912</v>
      </c>
    </row>
    <row r="20" spans="4:9" x14ac:dyDescent="0.25">
      <c r="D20" s="1" t="s">
        <v>5039</v>
      </c>
      <c r="E20" s="1" t="s">
        <v>164</v>
      </c>
      <c r="F20" s="1" t="s">
        <v>7</v>
      </c>
      <c r="G20" s="1">
        <v>500</v>
      </c>
      <c r="H20" s="1" t="s">
        <v>5041</v>
      </c>
      <c r="I20" s="1" t="s">
        <v>4912</v>
      </c>
    </row>
    <row r="21" spans="4:9" x14ac:dyDescent="0.25">
      <c r="D21" s="1" t="s">
        <v>5039</v>
      </c>
      <c r="E21" s="1" t="s">
        <v>23</v>
      </c>
      <c r="F21" s="1" t="s">
        <v>7</v>
      </c>
      <c r="G21" s="1">
        <v>4000</v>
      </c>
      <c r="H21" s="1" t="s">
        <v>5042</v>
      </c>
      <c r="I21" s="1" t="s">
        <v>5065</v>
      </c>
    </row>
    <row r="22" spans="4:9" x14ac:dyDescent="0.25">
      <c r="D22" s="1" t="s">
        <v>5039</v>
      </c>
      <c r="E22" s="1" t="s">
        <v>27</v>
      </c>
      <c r="F22" s="1" t="s">
        <v>7</v>
      </c>
      <c r="G22" s="1">
        <v>287</v>
      </c>
      <c r="H22" s="1" t="s">
        <v>5043</v>
      </c>
      <c r="I22" s="1" t="s">
        <v>971</v>
      </c>
    </row>
    <row r="23" spans="4:9" x14ac:dyDescent="0.25">
      <c r="D23" s="28" t="s">
        <v>5039</v>
      </c>
      <c r="E23" s="28" t="s">
        <v>5044</v>
      </c>
      <c r="F23" s="28" t="s">
        <v>7</v>
      </c>
      <c r="G23" s="28">
        <v>-15.1</v>
      </c>
      <c r="H23" s="28" t="s">
        <v>5045</v>
      </c>
      <c r="I23" s="28" t="s">
        <v>5064</v>
      </c>
    </row>
    <row r="24" spans="4:9" x14ac:dyDescent="0.25">
      <c r="D24" s="1" t="s">
        <v>5039</v>
      </c>
      <c r="E24" s="1" t="s">
        <v>2734</v>
      </c>
      <c r="F24" s="1" t="s">
        <v>7</v>
      </c>
      <c r="G24" s="1">
        <v>10</v>
      </c>
      <c r="H24" s="1" t="s">
        <v>5046</v>
      </c>
      <c r="I24" s="1" t="s">
        <v>5075</v>
      </c>
    </row>
    <row r="25" spans="4:9" x14ac:dyDescent="0.25">
      <c r="D25" s="1" t="s">
        <v>5039</v>
      </c>
      <c r="E25" s="1" t="s">
        <v>519</v>
      </c>
      <c r="F25" s="1" t="s">
        <v>7</v>
      </c>
      <c r="G25" s="1">
        <v>23</v>
      </c>
      <c r="H25" s="1" t="s">
        <v>5047</v>
      </c>
      <c r="I25" s="1" t="s">
        <v>5067</v>
      </c>
    </row>
    <row r="26" spans="4:9" x14ac:dyDescent="0.25">
      <c r="D26" s="1" t="s">
        <v>5039</v>
      </c>
      <c r="E26" s="1" t="s">
        <v>2734</v>
      </c>
      <c r="F26" s="1" t="s">
        <v>7</v>
      </c>
      <c r="G26" s="1">
        <v>70</v>
      </c>
      <c r="H26" s="1" t="s">
        <v>5048</v>
      </c>
      <c r="I26" s="1" t="s">
        <v>5066</v>
      </c>
    </row>
    <row r="27" spans="4:9" x14ac:dyDescent="0.25">
      <c r="D27" s="1" t="s">
        <v>5039</v>
      </c>
      <c r="E27" s="1" t="s">
        <v>356</v>
      </c>
      <c r="F27" s="1" t="s">
        <v>7</v>
      </c>
      <c r="G27" s="1">
        <v>18</v>
      </c>
      <c r="H27" s="1" t="s">
        <v>5049</v>
      </c>
      <c r="I27" s="1" t="s">
        <v>5063</v>
      </c>
    </row>
    <row r="28" spans="4:9" x14ac:dyDescent="0.25">
      <c r="D28" s="1" t="s">
        <v>5039</v>
      </c>
      <c r="E28" s="1" t="s">
        <v>23</v>
      </c>
      <c r="F28" s="1" t="s">
        <v>7</v>
      </c>
      <c r="G28" s="1">
        <v>50</v>
      </c>
      <c r="H28" s="1" t="s">
        <v>5050</v>
      </c>
      <c r="I28" s="1" t="s">
        <v>3048</v>
      </c>
    </row>
    <row r="29" spans="4:9" x14ac:dyDescent="0.25">
      <c r="D29" s="1" t="s">
        <v>5039</v>
      </c>
      <c r="E29" s="1" t="s">
        <v>23</v>
      </c>
      <c r="F29" s="1" t="s">
        <v>7</v>
      </c>
      <c r="G29" s="1">
        <v>515</v>
      </c>
      <c r="H29" s="1" t="s">
        <v>5051</v>
      </c>
      <c r="I29" s="1" t="s">
        <v>687</v>
      </c>
    </row>
    <row r="30" spans="4:9" x14ac:dyDescent="0.25">
      <c r="D30" s="1" t="s">
        <v>5039</v>
      </c>
      <c r="E30" s="1" t="s">
        <v>164</v>
      </c>
      <c r="F30" s="1" t="s">
        <v>7</v>
      </c>
      <c r="G30" s="1">
        <v>5.5</v>
      </c>
      <c r="H30" s="1" t="s">
        <v>5052</v>
      </c>
      <c r="I30" s="1" t="s">
        <v>5062</v>
      </c>
    </row>
    <row r="31" spans="4:9" x14ac:dyDescent="0.25">
      <c r="D31" s="1" t="s">
        <v>5039</v>
      </c>
      <c r="E31" s="1" t="s">
        <v>4357</v>
      </c>
      <c r="F31" s="1" t="s">
        <v>7</v>
      </c>
      <c r="G31" s="1">
        <v>1000</v>
      </c>
      <c r="H31" s="1" t="s">
        <v>5053</v>
      </c>
      <c r="I31" s="1" t="s">
        <v>5076</v>
      </c>
    </row>
    <row r="32" spans="4:9" x14ac:dyDescent="0.25">
      <c r="D32" s="1" t="s">
        <v>5039</v>
      </c>
      <c r="E32" s="1" t="s">
        <v>4357</v>
      </c>
      <c r="F32" s="1" t="s">
        <v>7</v>
      </c>
      <c r="G32" s="1">
        <v>475</v>
      </c>
      <c r="H32" s="1" t="s">
        <v>5054</v>
      </c>
      <c r="I32" s="1" t="s">
        <v>5076</v>
      </c>
    </row>
    <row r="33" spans="4:9" x14ac:dyDescent="0.25">
      <c r="D33" s="1" t="s">
        <v>5039</v>
      </c>
      <c r="E33" s="1" t="s">
        <v>325</v>
      </c>
      <c r="F33" s="1" t="s">
        <v>7</v>
      </c>
      <c r="G33" s="1">
        <v>2</v>
      </c>
      <c r="H33" s="1" t="s">
        <v>5055</v>
      </c>
      <c r="I33" s="1" t="s">
        <v>5061</v>
      </c>
    </row>
    <row r="34" spans="4:9" x14ac:dyDescent="0.25">
      <c r="D34" s="28" t="s">
        <v>5039</v>
      </c>
      <c r="E34" s="28" t="s">
        <v>472</v>
      </c>
      <c r="F34" s="28" t="s">
        <v>7</v>
      </c>
      <c r="G34" s="28">
        <v>-3260</v>
      </c>
      <c r="H34" s="28" t="s">
        <v>5056</v>
      </c>
      <c r="I34" s="28" t="s">
        <v>5060</v>
      </c>
    </row>
    <row r="35" spans="4:9" x14ac:dyDescent="0.25">
      <c r="D35" s="1" t="s">
        <v>5039</v>
      </c>
      <c r="E35" s="1" t="s">
        <v>373</v>
      </c>
      <c r="F35" s="1" t="s">
        <v>7</v>
      </c>
      <c r="G35" s="1">
        <v>14.5</v>
      </c>
      <c r="H35" s="1" t="s">
        <v>5057</v>
      </c>
      <c r="I35" s="1" t="s">
        <v>5059</v>
      </c>
    </row>
    <row r="36" spans="4:9" x14ac:dyDescent="0.25">
      <c r="D36" s="1" t="s">
        <v>5039</v>
      </c>
      <c r="E36" s="1" t="s">
        <v>23</v>
      </c>
      <c r="F36" s="1" t="s">
        <v>7</v>
      </c>
      <c r="G36" s="1">
        <v>286.5</v>
      </c>
      <c r="H36" s="1" t="s">
        <v>5058</v>
      </c>
      <c r="I36" s="1" t="s">
        <v>660</v>
      </c>
    </row>
  </sheetData>
  <pageMargins left="0.7" right="0.7" top="0.75" bottom="0.75" header="0.3" footer="0.3"/>
  <pageSetup orientation="portrait" r:id="rId1"/>
</worksheet>
</file>

<file path=xl/worksheets/sheet10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5BF417-E0D5-45D3-B351-0EC4921FE0B9}">
  <sheetPr codeName="Hoja103"/>
  <dimension ref="D5:I42"/>
  <sheetViews>
    <sheetView topLeftCell="A7" workbookViewId="0">
      <selection activeCell="L42" sqref="L42"/>
    </sheetView>
  </sheetViews>
  <sheetFormatPr baseColWidth="10" defaultRowHeight="15.75" x14ac:dyDescent="0.25"/>
  <cols>
    <col min="4" max="4" width="11" style="3"/>
    <col min="5" max="5" width="26.875" style="3" customWidth="1"/>
    <col min="6" max="7" width="11" style="3"/>
    <col min="8" max="8" width="18.75" style="3" bestFit="1" customWidth="1"/>
    <col min="9" max="9" width="43.5" style="3" bestFit="1" customWidth="1"/>
  </cols>
  <sheetData>
    <row r="5" spans="4:9" x14ac:dyDescent="0.25">
      <c r="D5" s="1" t="s">
        <v>0</v>
      </c>
      <c r="E5" s="1" t="s">
        <v>1</v>
      </c>
      <c r="F5" s="1" t="s">
        <v>2</v>
      </c>
      <c r="G5" s="1" t="s">
        <v>3</v>
      </c>
      <c r="H5" s="1" t="s">
        <v>4</v>
      </c>
      <c r="I5" s="1"/>
    </row>
    <row r="6" spans="4:9" x14ac:dyDescent="0.25">
      <c r="D6" s="1"/>
      <c r="E6" s="1"/>
      <c r="F6" s="1"/>
      <c r="G6" s="1"/>
      <c r="H6" s="1"/>
      <c r="I6" s="1"/>
    </row>
    <row r="7" spans="4:9" x14ac:dyDescent="0.25">
      <c r="D7" s="111" t="s">
        <v>5098</v>
      </c>
      <c r="E7" s="156" t="s">
        <v>509</v>
      </c>
      <c r="F7" s="156" t="s">
        <v>7</v>
      </c>
      <c r="G7" s="156">
        <v>268.8</v>
      </c>
      <c r="H7" s="156" t="s">
        <v>5147</v>
      </c>
      <c r="I7" s="1" t="s">
        <v>5158</v>
      </c>
    </row>
    <row r="8" spans="4:9" x14ac:dyDescent="0.25">
      <c r="D8" s="111" t="s">
        <v>5098</v>
      </c>
      <c r="E8" s="156" t="s">
        <v>797</v>
      </c>
      <c r="F8" s="156" t="s">
        <v>7</v>
      </c>
      <c r="G8" s="156">
        <v>7</v>
      </c>
      <c r="H8" s="156" t="s">
        <v>5148</v>
      </c>
      <c r="I8" s="1" t="s">
        <v>5157</v>
      </c>
    </row>
    <row r="9" spans="4:9" x14ac:dyDescent="0.25">
      <c r="D9" s="111" t="s">
        <v>5098</v>
      </c>
      <c r="E9" s="156" t="s">
        <v>5149</v>
      </c>
      <c r="F9" s="156" t="s">
        <v>7</v>
      </c>
      <c r="G9" s="156">
        <v>2</v>
      </c>
      <c r="H9" s="156" t="s">
        <v>5150</v>
      </c>
      <c r="I9" s="1" t="s">
        <v>5156</v>
      </c>
    </row>
    <row r="10" spans="4:9" x14ac:dyDescent="0.25">
      <c r="D10" s="111" t="s">
        <v>5098</v>
      </c>
      <c r="E10" s="156" t="s">
        <v>164</v>
      </c>
      <c r="F10" s="156" t="s">
        <v>7</v>
      </c>
      <c r="G10" s="156">
        <v>16</v>
      </c>
      <c r="H10" s="156" t="s">
        <v>5151</v>
      </c>
      <c r="I10" s="1" t="s">
        <v>5155</v>
      </c>
    </row>
    <row r="11" spans="4:9" x14ac:dyDescent="0.25">
      <c r="D11" s="111" t="s">
        <v>5098</v>
      </c>
      <c r="E11" s="156" t="s">
        <v>5152</v>
      </c>
      <c r="F11" s="156" t="s">
        <v>7</v>
      </c>
      <c r="G11" s="156">
        <v>5</v>
      </c>
      <c r="H11" s="156" t="s">
        <v>5153</v>
      </c>
      <c r="I11" s="1" t="s">
        <v>5154</v>
      </c>
    </row>
    <row r="12" spans="4:9" x14ac:dyDescent="0.25">
      <c r="D12" s="111" t="s">
        <v>5098</v>
      </c>
      <c r="E12" s="156" t="s">
        <v>6</v>
      </c>
      <c r="F12" s="156" t="s">
        <v>7</v>
      </c>
      <c r="G12" s="156">
        <v>247</v>
      </c>
      <c r="H12" s="156" t="s">
        <v>5142</v>
      </c>
      <c r="I12" s="1" t="s">
        <v>2587</v>
      </c>
    </row>
    <row r="13" spans="4:9" x14ac:dyDescent="0.25">
      <c r="D13" s="111" t="s">
        <v>5098</v>
      </c>
      <c r="E13" s="156" t="s">
        <v>382</v>
      </c>
      <c r="F13" s="156" t="s">
        <v>7</v>
      </c>
      <c r="G13" s="156">
        <v>5.5</v>
      </c>
      <c r="H13" s="156" t="s">
        <v>5143</v>
      </c>
      <c r="I13" s="1" t="s">
        <v>5146</v>
      </c>
    </row>
    <row r="14" spans="4:9" x14ac:dyDescent="0.25">
      <c r="D14" s="111" t="s">
        <v>5098</v>
      </c>
      <c r="E14" s="156" t="s">
        <v>382</v>
      </c>
      <c r="F14" s="156" t="s">
        <v>7</v>
      </c>
      <c r="G14" s="156">
        <v>5</v>
      </c>
      <c r="H14" s="156" t="s">
        <v>5144</v>
      </c>
      <c r="I14" s="1" t="s">
        <v>5145</v>
      </c>
    </row>
    <row r="15" spans="4:9" x14ac:dyDescent="0.25">
      <c r="D15" s="111" t="s">
        <v>5098</v>
      </c>
      <c r="E15" s="156" t="s">
        <v>33</v>
      </c>
      <c r="F15" s="156" t="s">
        <v>7</v>
      </c>
      <c r="G15" s="156">
        <v>9</v>
      </c>
      <c r="H15" s="156" t="s">
        <v>5136</v>
      </c>
      <c r="I15" s="1" t="s">
        <v>5141</v>
      </c>
    </row>
    <row r="16" spans="4:9" x14ac:dyDescent="0.25">
      <c r="D16" s="111" t="s">
        <v>5098</v>
      </c>
      <c r="E16" s="156" t="s">
        <v>164</v>
      </c>
      <c r="F16" s="156" t="s">
        <v>7</v>
      </c>
      <c r="G16" s="156">
        <v>20</v>
      </c>
      <c r="H16" s="156" t="s">
        <v>5137</v>
      </c>
      <c r="I16" s="1" t="s">
        <v>5140</v>
      </c>
    </row>
    <row r="17" spans="4:9" x14ac:dyDescent="0.25">
      <c r="D17" s="111" t="s">
        <v>5098</v>
      </c>
      <c r="E17" s="156" t="s">
        <v>509</v>
      </c>
      <c r="F17" s="156" t="s">
        <v>7</v>
      </c>
      <c r="G17" s="156">
        <v>447.5</v>
      </c>
      <c r="H17" s="156" t="s">
        <v>5138</v>
      </c>
      <c r="I17" s="1" t="s">
        <v>5139</v>
      </c>
    </row>
    <row r="18" spans="4:9" x14ac:dyDescent="0.25">
      <c r="D18" s="111" t="s">
        <v>5098</v>
      </c>
      <c r="E18" s="156" t="s">
        <v>13</v>
      </c>
      <c r="F18" s="156" t="s">
        <v>7</v>
      </c>
      <c r="G18" s="156">
        <v>26</v>
      </c>
      <c r="H18" s="156" t="s">
        <v>5134</v>
      </c>
      <c r="I18" s="156" t="s">
        <v>5135</v>
      </c>
    </row>
    <row r="19" spans="4:9" x14ac:dyDescent="0.25">
      <c r="D19" s="1" t="s">
        <v>5098</v>
      </c>
      <c r="E19" s="1" t="s">
        <v>19</v>
      </c>
      <c r="F19" s="1" t="s">
        <v>7</v>
      </c>
      <c r="G19" s="1">
        <v>7</v>
      </c>
      <c r="H19" s="1" t="s">
        <v>5132</v>
      </c>
      <c r="I19" s="1" t="s">
        <v>5133</v>
      </c>
    </row>
    <row r="20" spans="4:9" x14ac:dyDescent="0.25">
      <c r="D20" s="1" t="s">
        <v>5098</v>
      </c>
      <c r="E20" s="1" t="s">
        <v>356</v>
      </c>
      <c r="F20" s="1" t="s">
        <v>7</v>
      </c>
      <c r="G20" s="1">
        <v>2100</v>
      </c>
      <c r="H20" s="1" t="s">
        <v>5099</v>
      </c>
      <c r="I20" s="1" t="s">
        <v>3570</v>
      </c>
    </row>
    <row r="21" spans="4:9" x14ac:dyDescent="0.25">
      <c r="D21" s="28" t="s">
        <v>5098</v>
      </c>
      <c r="E21" s="28" t="s">
        <v>172</v>
      </c>
      <c r="F21" s="28" t="s">
        <v>7</v>
      </c>
      <c r="G21" s="28">
        <v>-29000</v>
      </c>
      <c r="H21" s="28" t="s">
        <v>5100</v>
      </c>
      <c r="I21" s="28" t="s">
        <v>5118</v>
      </c>
    </row>
    <row r="22" spans="4:9" x14ac:dyDescent="0.25">
      <c r="D22" s="1" t="s">
        <v>5098</v>
      </c>
      <c r="E22" s="1" t="s">
        <v>5101</v>
      </c>
      <c r="F22" s="1" t="s">
        <v>7</v>
      </c>
      <c r="G22" s="1">
        <v>4902.3999999999996</v>
      </c>
      <c r="H22" s="1" t="s">
        <v>5102</v>
      </c>
      <c r="I22" s="1" t="s">
        <v>5120</v>
      </c>
    </row>
    <row r="23" spans="4:9" x14ac:dyDescent="0.25">
      <c r="D23" s="28" t="s">
        <v>5098</v>
      </c>
      <c r="E23" s="28" t="s">
        <v>172</v>
      </c>
      <c r="F23" s="28" t="s">
        <v>7</v>
      </c>
      <c r="G23" s="28">
        <v>-32000</v>
      </c>
      <c r="H23" s="28" t="s">
        <v>5103</v>
      </c>
      <c r="I23" s="28" t="s">
        <v>5118</v>
      </c>
    </row>
    <row r="24" spans="4:9" x14ac:dyDescent="0.25">
      <c r="D24" s="28" t="s">
        <v>5098</v>
      </c>
      <c r="E24" s="28" t="s">
        <v>598</v>
      </c>
      <c r="F24" s="28" t="s">
        <v>7</v>
      </c>
      <c r="G24" s="28">
        <v>-18927.740000000002</v>
      </c>
      <c r="H24" s="28" t="s">
        <v>5104</v>
      </c>
      <c r="I24" s="28" t="s">
        <v>5119</v>
      </c>
    </row>
    <row r="25" spans="4:9" x14ac:dyDescent="0.25">
      <c r="D25" s="1" t="s">
        <v>5098</v>
      </c>
      <c r="E25" s="1" t="s">
        <v>269</v>
      </c>
      <c r="F25" s="1" t="s">
        <v>7</v>
      </c>
      <c r="G25" s="1">
        <v>23.5</v>
      </c>
      <c r="H25" s="1" t="s">
        <v>5105</v>
      </c>
      <c r="I25" s="28" t="s">
        <v>5131</v>
      </c>
    </row>
    <row r="26" spans="4:9" x14ac:dyDescent="0.25">
      <c r="D26" s="28" t="s">
        <v>5098</v>
      </c>
      <c r="E26" s="28" t="s">
        <v>3143</v>
      </c>
      <c r="F26" s="28" t="s">
        <v>7</v>
      </c>
      <c r="G26" s="28">
        <v>-22</v>
      </c>
      <c r="H26" s="28" t="s">
        <v>5106</v>
      </c>
      <c r="I26" s="28" t="s">
        <v>4157</v>
      </c>
    </row>
    <row r="27" spans="4:9" x14ac:dyDescent="0.25">
      <c r="D27" s="1" t="s">
        <v>5098</v>
      </c>
      <c r="E27" s="1" t="s">
        <v>27</v>
      </c>
      <c r="F27" s="1" t="s">
        <v>7</v>
      </c>
      <c r="G27" s="1">
        <v>6</v>
      </c>
      <c r="H27" s="1" t="s">
        <v>5107</v>
      </c>
      <c r="I27" s="67" t="s">
        <v>5130</v>
      </c>
    </row>
    <row r="28" spans="4:9" x14ac:dyDescent="0.25">
      <c r="D28" s="1" t="s">
        <v>5098</v>
      </c>
      <c r="E28" s="1" t="s">
        <v>356</v>
      </c>
      <c r="F28" s="1" t="s">
        <v>7</v>
      </c>
      <c r="G28" s="1">
        <v>100</v>
      </c>
      <c r="H28" s="1" t="s">
        <v>5108</v>
      </c>
      <c r="I28" s="1" t="s">
        <v>5159</v>
      </c>
    </row>
    <row r="29" spans="4:9" x14ac:dyDescent="0.25">
      <c r="D29" s="1" t="s">
        <v>5098</v>
      </c>
      <c r="E29" s="1" t="s">
        <v>356</v>
      </c>
      <c r="F29" s="1" t="s">
        <v>7</v>
      </c>
      <c r="G29" s="1">
        <v>450</v>
      </c>
      <c r="H29" s="1" t="s">
        <v>5109</v>
      </c>
      <c r="I29" s="1" t="s">
        <v>5159</v>
      </c>
    </row>
    <row r="30" spans="4:9" x14ac:dyDescent="0.25">
      <c r="D30" s="1" t="s">
        <v>5098</v>
      </c>
      <c r="E30" s="1" t="s">
        <v>27</v>
      </c>
      <c r="F30" s="1" t="s">
        <v>7</v>
      </c>
      <c r="G30" s="1">
        <v>64</v>
      </c>
      <c r="H30" s="1" t="s">
        <v>5110</v>
      </c>
      <c r="I30" s="1" t="s">
        <v>5129</v>
      </c>
    </row>
    <row r="31" spans="4:9" x14ac:dyDescent="0.25">
      <c r="D31" s="1" t="s">
        <v>5098</v>
      </c>
      <c r="E31" s="1" t="s">
        <v>356</v>
      </c>
      <c r="F31" s="1" t="s">
        <v>7</v>
      </c>
      <c r="G31" s="1">
        <v>450</v>
      </c>
      <c r="H31" s="1" t="s">
        <v>5111</v>
      </c>
      <c r="I31" s="1" t="s">
        <v>5159</v>
      </c>
    </row>
    <row r="32" spans="4:9" x14ac:dyDescent="0.25">
      <c r="D32" s="28" t="s">
        <v>5098</v>
      </c>
      <c r="E32" s="28" t="s">
        <v>5112</v>
      </c>
      <c r="F32" s="28" t="s">
        <v>7</v>
      </c>
      <c r="G32" s="28">
        <v>-305</v>
      </c>
      <c r="H32" s="28" t="s">
        <v>5113</v>
      </c>
      <c r="I32" s="28" t="s">
        <v>5128</v>
      </c>
    </row>
    <row r="33" spans="4:9" x14ac:dyDescent="0.25">
      <c r="D33" s="1" t="s">
        <v>5098</v>
      </c>
      <c r="E33" s="1" t="s">
        <v>509</v>
      </c>
      <c r="F33" s="1" t="s">
        <v>7</v>
      </c>
      <c r="G33" s="1">
        <v>360.85</v>
      </c>
      <c r="H33" s="1" t="s">
        <v>5114</v>
      </c>
      <c r="I33" s="1" t="s">
        <v>3981</v>
      </c>
    </row>
    <row r="34" spans="4:9" x14ac:dyDescent="0.25">
      <c r="D34" s="28" t="s">
        <v>5115</v>
      </c>
      <c r="E34" s="28" t="s">
        <v>663</v>
      </c>
      <c r="F34" s="28" t="s">
        <v>7</v>
      </c>
      <c r="G34" s="28">
        <v>-0.45</v>
      </c>
      <c r="H34" s="28" t="s">
        <v>664</v>
      </c>
      <c r="I34" s="28" t="s">
        <v>2208</v>
      </c>
    </row>
    <row r="35" spans="4:9" x14ac:dyDescent="0.25">
      <c r="D35" s="28" t="s">
        <v>5115</v>
      </c>
      <c r="E35" s="28" t="s">
        <v>5116</v>
      </c>
      <c r="F35" s="28" t="s">
        <v>7</v>
      </c>
      <c r="G35" s="28">
        <v>-25</v>
      </c>
      <c r="H35" s="28" t="s">
        <v>5117</v>
      </c>
      <c r="I35" s="28" t="s">
        <v>5121</v>
      </c>
    </row>
    <row r="36" spans="4:9" x14ac:dyDescent="0.25">
      <c r="D36" s="1" t="s">
        <v>5115</v>
      </c>
      <c r="E36" s="1" t="s">
        <v>1841</v>
      </c>
      <c r="F36" s="1" t="s">
        <v>7</v>
      </c>
      <c r="G36" s="1">
        <v>19.5</v>
      </c>
      <c r="H36" s="1">
        <v>2513659</v>
      </c>
      <c r="I36" s="1" t="s">
        <v>5127</v>
      </c>
    </row>
    <row r="37" spans="4:9" x14ac:dyDescent="0.25">
      <c r="D37" s="1" t="s">
        <v>5115</v>
      </c>
      <c r="E37" s="1" t="s">
        <v>1841</v>
      </c>
      <c r="F37" s="1" t="s">
        <v>7</v>
      </c>
      <c r="G37" s="1">
        <v>15.5</v>
      </c>
      <c r="H37" s="1">
        <v>1819714</v>
      </c>
      <c r="I37" s="1" t="s">
        <v>867</v>
      </c>
    </row>
    <row r="38" spans="4:9" x14ac:dyDescent="0.25">
      <c r="D38" s="1" t="s">
        <v>5115</v>
      </c>
      <c r="E38" s="1" t="s">
        <v>1841</v>
      </c>
      <c r="F38" s="1" t="s">
        <v>7</v>
      </c>
      <c r="G38" s="1">
        <v>6.5</v>
      </c>
      <c r="H38" s="1">
        <v>4312547</v>
      </c>
      <c r="I38" s="1" t="s">
        <v>5126</v>
      </c>
    </row>
    <row r="39" spans="4:9" x14ac:dyDescent="0.25">
      <c r="D39" s="1" t="s">
        <v>5115</v>
      </c>
      <c r="E39" s="1" t="s">
        <v>1841</v>
      </c>
      <c r="F39" s="1" t="s">
        <v>7</v>
      </c>
      <c r="G39" s="1">
        <v>48</v>
      </c>
      <c r="H39" s="1">
        <v>1413876</v>
      </c>
      <c r="I39" s="1" t="s">
        <v>5125</v>
      </c>
    </row>
    <row r="40" spans="4:9" x14ac:dyDescent="0.25">
      <c r="D40" s="1" t="s">
        <v>5115</v>
      </c>
      <c r="E40" s="1" t="s">
        <v>1841</v>
      </c>
      <c r="F40" s="1" t="s">
        <v>7</v>
      </c>
      <c r="G40" s="1">
        <v>21</v>
      </c>
      <c r="H40" s="1">
        <v>0</v>
      </c>
      <c r="I40" s="1" t="s">
        <v>5124</v>
      </c>
    </row>
    <row r="41" spans="4:9" x14ac:dyDescent="0.25">
      <c r="D41" s="1" t="s">
        <v>5115</v>
      </c>
      <c r="E41" s="1" t="s">
        <v>1841</v>
      </c>
      <c r="F41" s="1" t="s">
        <v>7</v>
      </c>
      <c r="G41" s="1">
        <v>7.5</v>
      </c>
      <c r="H41" s="1">
        <v>0</v>
      </c>
      <c r="I41" s="1" t="s">
        <v>5123</v>
      </c>
    </row>
    <row r="42" spans="4:9" x14ac:dyDescent="0.25">
      <c r="D42" s="1" t="s">
        <v>5115</v>
      </c>
      <c r="E42" s="1" t="s">
        <v>1841</v>
      </c>
      <c r="F42" s="1" t="s">
        <v>7</v>
      </c>
      <c r="G42" s="1">
        <v>13.5</v>
      </c>
      <c r="H42" s="1">
        <v>2329760</v>
      </c>
      <c r="I42" s="1" t="s">
        <v>5122</v>
      </c>
    </row>
  </sheetData>
  <pageMargins left="0.7" right="0.7" top="0.75" bottom="0.75" header="0.3" footer="0.3"/>
  <pageSetup paperSize="256" orientation="portrait" horizontalDpi="203" verticalDpi="203" r:id="rId1"/>
</worksheet>
</file>

<file path=xl/worksheets/sheet10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8F8FFB-78CA-4118-A0FB-A52C946F727B}">
  <sheetPr codeName="Hoja104"/>
  <dimension ref="E4:J30"/>
  <sheetViews>
    <sheetView workbookViewId="0">
      <selection activeCell="E4" sqref="E4:J29"/>
    </sheetView>
  </sheetViews>
  <sheetFormatPr baseColWidth="10" defaultRowHeight="15.75" x14ac:dyDescent="0.25"/>
  <cols>
    <col min="5" max="5" width="21.875" customWidth="1"/>
    <col min="6" max="6" width="26.25" customWidth="1"/>
    <col min="7" max="7" width="13.5" customWidth="1"/>
    <col min="9" max="9" width="19.25" customWidth="1"/>
    <col min="10" max="10" width="38.875" customWidth="1"/>
  </cols>
  <sheetData>
    <row r="4" spans="5:10" x14ac:dyDescent="0.25">
      <c r="E4" s="1" t="s">
        <v>0</v>
      </c>
      <c r="F4" s="1" t="s">
        <v>1</v>
      </c>
      <c r="G4" s="1" t="s">
        <v>2</v>
      </c>
      <c r="H4" s="1" t="s">
        <v>3</v>
      </c>
      <c r="I4" s="1" t="s">
        <v>4</v>
      </c>
      <c r="J4" s="1"/>
    </row>
    <row r="5" spans="5:10" x14ac:dyDescent="0.25">
      <c r="E5" s="156"/>
      <c r="F5" s="156"/>
      <c r="G5" s="156"/>
      <c r="H5" s="156"/>
      <c r="I5" s="156"/>
      <c r="J5" s="156"/>
    </row>
    <row r="6" spans="5:10" x14ac:dyDescent="0.25">
      <c r="E6" s="114" t="s">
        <v>5160</v>
      </c>
      <c r="F6" s="157" t="s">
        <v>472</v>
      </c>
      <c r="G6" s="157" t="s">
        <v>7</v>
      </c>
      <c r="H6" s="157">
        <v>-1100</v>
      </c>
      <c r="I6" s="157" t="s">
        <v>5199</v>
      </c>
      <c r="J6" s="28" t="s">
        <v>5200</v>
      </c>
    </row>
    <row r="7" spans="5:10" x14ac:dyDescent="0.25">
      <c r="E7" s="114" t="s">
        <v>5160</v>
      </c>
      <c r="F7" s="157" t="s">
        <v>472</v>
      </c>
      <c r="G7" s="157" t="s">
        <v>7</v>
      </c>
      <c r="H7" s="157">
        <v>-1000</v>
      </c>
      <c r="I7" s="157" t="s">
        <v>5197</v>
      </c>
      <c r="J7" s="28" t="s">
        <v>5181</v>
      </c>
    </row>
    <row r="8" spans="5:10" x14ac:dyDescent="0.25">
      <c r="E8" s="111" t="s">
        <v>5160</v>
      </c>
      <c r="F8" s="156" t="s">
        <v>23</v>
      </c>
      <c r="G8" s="156" t="s">
        <v>7</v>
      </c>
      <c r="H8" s="156">
        <v>3070</v>
      </c>
      <c r="I8" s="156" t="s">
        <v>5198</v>
      </c>
      <c r="J8" s="67" t="s">
        <v>730</v>
      </c>
    </row>
    <row r="9" spans="5:10" x14ac:dyDescent="0.25">
      <c r="E9" s="111" t="s">
        <v>5160</v>
      </c>
      <c r="F9" s="156" t="s">
        <v>5188</v>
      </c>
      <c r="G9" s="156" t="s">
        <v>7</v>
      </c>
      <c r="H9" s="156">
        <v>100</v>
      </c>
      <c r="I9" s="156" t="s">
        <v>5189</v>
      </c>
      <c r="J9" s="1" t="s">
        <v>5196</v>
      </c>
    </row>
    <row r="10" spans="5:10" x14ac:dyDescent="0.25">
      <c r="E10" s="111" t="s">
        <v>5160</v>
      </c>
      <c r="F10" s="156" t="s">
        <v>5188</v>
      </c>
      <c r="G10" s="156" t="s">
        <v>7</v>
      </c>
      <c r="H10" s="156">
        <v>500</v>
      </c>
      <c r="I10" s="156" t="s">
        <v>5190</v>
      </c>
      <c r="J10" s="67" t="s">
        <v>5196</v>
      </c>
    </row>
    <row r="11" spans="5:10" x14ac:dyDescent="0.25">
      <c r="E11" s="111" t="s">
        <v>5160</v>
      </c>
      <c r="F11" s="156" t="s">
        <v>5188</v>
      </c>
      <c r="G11" s="156" t="s">
        <v>7</v>
      </c>
      <c r="H11" s="156">
        <v>500</v>
      </c>
      <c r="I11" s="156" t="s">
        <v>5191</v>
      </c>
      <c r="J11" s="67" t="s">
        <v>5195</v>
      </c>
    </row>
    <row r="12" spans="5:10" x14ac:dyDescent="0.25">
      <c r="E12" s="111" t="s">
        <v>5160</v>
      </c>
      <c r="F12" s="156" t="s">
        <v>509</v>
      </c>
      <c r="G12" s="156" t="s">
        <v>7</v>
      </c>
      <c r="H12" s="156">
        <v>746</v>
      </c>
      <c r="I12" s="156" t="s">
        <v>5192</v>
      </c>
      <c r="J12" s="67" t="s">
        <v>237</v>
      </c>
    </row>
    <row r="13" spans="5:10" x14ac:dyDescent="0.25">
      <c r="E13" s="111" t="s">
        <v>5160</v>
      </c>
      <c r="F13" s="156" t="s">
        <v>23</v>
      </c>
      <c r="G13" s="156" t="s">
        <v>7</v>
      </c>
      <c r="H13" s="156">
        <v>857.5</v>
      </c>
      <c r="I13" s="156" t="s">
        <v>5193</v>
      </c>
      <c r="J13" s="67" t="s">
        <v>5194</v>
      </c>
    </row>
    <row r="14" spans="5:10" x14ac:dyDescent="0.25">
      <c r="E14" s="111" t="s">
        <v>5160</v>
      </c>
      <c r="F14" s="156" t="s">
        <v>509</v>
      </c>
      <c r="G14" s="156" t="s">
        <v>7</v>
      </c>
      <c r="H14" s="156">
        <v>1351</v>
      </c>
      <c r="I14" s="156" t="s">
        <v>5183</v>
      </c>
      <c r="J14" s="67" t="s">
        <v>237</v>
      </c>
    </row>
    <row r="15" spans="5:10" x14ac:dyDescent="0.25">
      <c r="E15" s="111" t="s">
        <v>5160</v>
      </c>
      <c r="F15" s="156" t="s">
        <v>269</v>
      </c>
      <c r="G15" s="156" t="s">
        <v>7</v>
      </c>
      <c r="H15" s="156">
        <v>20.5</v>
      </c>
      <c r="I15" s="156" t="s">
        <v>5184</v>
      </c>
      <c r="J15" s="1" t="s">
        <v>5187</v>
      </c>
    </row>
    <row r="16" spans="5:10" x14ac:dyDescent="0.25">
      <c r="E16" s="111" t="s">
        <v>5160</v>
      </c>
      <c r="F16" s="156" t="s">
        <v>23</v>
      </c>
      <c r="G16" s="156" t="s">
        <v>7</v>
      </c>
      <c r="H16" s="156">
        <v>960</v>
      </c>
      <c r="I16" s="156" t="s">
        <v>5185</v>
      </c>
      <c r="J16" s="1" t="s">
        <v>5186</v>
      </c>
    </row>
    <row r="17" spans="5:10" x14ac:dyDescent="0.25">
      <c r="E17" s="111" t="s">
        <v>5160</v>
      </c>
      <c r="F17" s="156" t="s">
        <v>5174</v>
      </c>
      <c r="G17" s="156" t="s">
        <v>7</v>
      </c>
      <c r="H17" s="156">
        <v>160</v>
      </c>
      <c r="I17" s="156">
        <v>384332</v>
      </c>
      <c r="J17" s="1" t="s">
        <v>5182</v>
      </c>
    </row>
    <row r="18" spans="5:10" x14ac:dyDescent="0.25">
      <c r="E18" s="114" t="s">
        <v>5160</v>
      </c>
      <c r="F18" s="157" t="s">
        <v>472</v>
      </c>
      <c r="G18" s="157" t="s">
        <v>7</v>
      </c>
      <c r="H18" s="157">
        <v>-23760.6</v>
      </c>
      <c r="I18" s="157" t="s">
        <v>5175</v>
      </c>
      <c r="J18" s="28" t="s">
        <v>5181</v>
      </c>
    </row>
    <row r="19" spans="5:10" x14ac:dyDescent="0.25">
      <c r="E19" s="111" t="s">
        <v>5160</v>
      </c>
      <c r="F19" s="156" t="s">
        <v>3555</v>
      </c>
      <c r="G19" s="156" t="s">
        <v>7</v>
      </c>
      <c r="H19" s="156">
        <v>7.2</v>
      </c>
      <c r="I19" s="156" t="s">
        <v>5176</v>
      </c>
      <c r="J19" s="67" t="s">
        <v>4960</v>
      </c>
    </row>
    <row r="20" spans="5:10" x14ac:dyDescent="0.25">
      <c r="E20" s="111" t="s">
        <v>5160</v>
      </c>
      <c r="F20" s="156" t="s">
        <v>3555</v>
      </c>
      <c r="G20" s="156" t="s">
        <v>7</v>
      </c>
      <c r="H20" s="156">
        <v>470</v>
      </c>
      <c r="I20" s="156" t="s">
        <v>5177</v>
      </c>
      <c r="J20" s="1" t="s">
        <v>4960</v>
      </c>
    </row>
    <row r="21" spans="5:10" x14ac:dyDescent="0.25">
      <c r="E21" s="111" t="s">
        <v>5160</v>
      </c>
      <c r="F21" s="156" t="s">
        <v>3555</v>
      </c>
      <c r="G21" s="156" t="s">
        <v>7</v>
      </c>
      <c r="H21" s="156">
        <v>400</v>
      </c>
      <c r="I21" s="156" t="s">
        <v>5178</v>
      </c>
      <c r="J21" s="67" t="s">
        <v>4960</v>
      </c>
    </row>
    <row r="22" spans="5:10" x14ac:dyDescent="0.25">
      <c r="E22" s="111" t="s">
        <v>5160</v>
      </c>
      <c r="F22" s="156" t="s">
        <v>472</v>
      </c>
      <c r="G22" s="156" t="s">
        <v>7</v>
      </c>
      <c r="H22" s="156">
        <v>23760.6</v>
      </c>
      <c r="I22" s="156" t="s">
        <v>5179</v>
      </c>
      <c r="J22" s="67" t="s">
        <v>5180</v>
      </c>
    </row>
    <row r="23" spans="5:10" x14ac:dyDescent="0.25">
      <c r="E23" s="114" t="s">
        <v>5160</v>
      </c>
      <c r="F23" s="157" t="s">
        <v>472</v>
      </c>
      <c r="G23" s="157" t="s">
        <v>7</v>
      </c>
      <c r="H23" s="157">
        <v>-15720</v>
      </c>
      <c r="I23" s="157" t="s">
        <v>5161</v>
      </c>
      <c r="J23" s="28" t="s">
        <v>5181</v>
      </c>
    </row>
    <row r="24" spans="5:10" x14ac:dyDescent="0.25">
      <c r="E24" s="111" t="s">
        <v>5160</v>
      </c>
      <c r="F24" s="156" t="s">
        <v>349</v>
      </c>
      <c r="G24" s="156" t="s">
        <v>7</v>
      </c>
      <c r="H24" s="156">
        <v>24</v>
      </c>
      <c r="I24" s="156" t="s">
        <v>5162</v>
      </c>
      <c r="J24" s="1" t="s">
        <v>5169</v>
      </c>
    </row>
    <row r="25" spans="5:10" x14ac:dyDescent="0.25">
      <c r="E25" s="111" t="s">
        <v>5160</v>
      </c>
      <c r="F25" s="156" t="s">
        <v>15</v>
      </c>
      <c r="G25" s="156" t="s">
        <v>7</v>
      </c>
      <c r="H25" s="156">
        <v>7000</v>
      </c>
      <c r="I25" s="156" t="s">
        <v>5163</v>
      </c>
      <c r="J25" s="1" t="s">
        <v>5170</v>
      </c>
    </row>
    <row r="26" spans="5:10" x14ac:dyDescent="0.25">
      <c r="E26" s="111" t="s">
        <v>5160</v>
      </c>
      <c r="F26" s="156" t="s">
        <v>797</v>
      </c>
      <c r="G26" s="156" t="s">
        <v>7</v>
      </c>
      <c r="H26" s="156">
        <v>16</v>
      </c>
      <c r="I26" s="156" t="s">
        <v>5164</v>
      </c>
      <c r="J26" s="1" t="s">
        <v>5171</v>
      </c>
    </row>
    <row r="27" spans="5:10" x14ac:dyDescent="0.25">
      <c r="E27" s="111" t="s">
        <v>5160</v>
      </c>
      <c r="F27" s="156" t="s">
        <v>349</v>
      </c>
      <c r="G27" s="156" t="s">
        <v>7</v>
      </c>
      <c r="H27" s="156">
        <v>98.5</v>
      </c>
      <c r="I27" s="156" t="s">
        <v>5165</v>
      </c>
      <c r="J27" s="1" t="s">
        <v>5168</v>
      </c>
    </row>
    <row r="28" spans="5:10" x14ac:dyDescent="0.25">
      <c r="E28" s="111" t="s">
        <v>5160</v>
      </c>
      <c r="F28" s="156" t="s">
        <v>23</v>
      </c>
      <c r="G28" s="156" t="s">
        <v>7</v>
      </c>
      <c r="H28" s="156">
        <v>45</v>
      </c>
      <c r="I28" s="156" t="s">
        <v>5166</v>
      </c>
      <c r="J28" s="1" t="s">
        <v>5173</v>
      </c>
    </row>
    <row r="29" spans="5:10" x14ac:dyDescent="0.25">
      <c r="E29" s="111" t="s">
        <v>5160</v>
      </c>
      <c r="F29" s="156" t="s">
        <v>72</v>
      </c>
      <c r="G29" s="156" t="s">
        <v>7</v>
      </c>
      <c r="H29" s="156">
        <v>20</v>
      </c>
      <c r="I29" s="156" t="s">
        <v>5167</v>
      </c>
      <c r="J29" s="1" t="s">
        <v>5172</v>
      </c>
    </row>
    <row r="30" spans="5:10" x14ac:dyDescent="0.25">
      <c r="E30" s="3"/>
      <c r="F30" s="3"/>
      <c r="G30" s="3"/>
      <c r="H30" s="3"/>
      <c r="I30" s="3"/>
      <c r="J30" s="3"/>
    </row>
  </sheetData>
  <pageMargins left="0.7" right="0.7" top="0.75" bottom="0.75" header="0.3" footer="0.3"/>
  <pageSetup paperSize="179" orientation="portrait" horizontalDpi="203" verticalDpi="203" r:id="rId1"/>
</worksheet>
</file>

<file path=xl/worksheets/sheet10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70BD2A-0AA9-44F7-8EFE-3EFBE668EEC9}">
  <sheetPr codeName="Hoja105"/>
  <dimension ref="E4:M33"/>
  <sheetViews>
    <sheetView workbookViewId="0">
      <selection activeCell="J31" sqref="J31"/>
    </sheetView>
  </sheetViews>
  <sheetFormatPr baseColWidth="10" defaultRowHeight="15.75" x14ac:dyDescent="0.25"/>
  <cols>
    <col min="5" max="5" width="17.125" customWidth="1"/>
    <col min="6" max="6" width="28.5" customWidth="1"/>
    <col min="9" max="9" width="23.375" customWidth="1"/>
    <col min="10" max="10" width="51.625" customWidth="1"/>
    <col min="11" max="11" width="21.375" customWidth="1"/>
  </cols>
  <sheetData>
    <row r="4" spans="5:11" x14ac:dyDescent="0.25">
      <c r="E4" s="1" t="s">
        <v>0</v>
      </c>
      <c r="F4" s="1" t="s">
        <v>1</v>
      </c>
      <c r="G4" s="1" t="s">
        <v>2</v>
      </c>
      <c r="H4" s="1" t="s">
        <v>3</v>
      </c>
      <c r="I4" s="1" t="s">
        <v>4</v>
      </c>
      <c r="J4" s="1"/>
    </row>
    <row r="5" spans="5:11" x14ac:dyDescent="0.25">
      <c r="E5" s="1"/>
      <c r="F5" s="1"/>
      <c r="G5" s="1"/>
      <c r="H5" s="1"/>
      <c r="I5" s="1"/>
      <c r="J5" s="1"/>
    </row>
    <row r="6" spans="5:11" x14ac:dyDescent="0.25">
      <c r="E6" s="1"/>
      <c r="F6" s="1"/>
      <c r="G6" s="1"/>
      <c r="H6" s="1"/>
      <c r="I6" s="1"/>
      <c r="J6" s="1"/>
    </row>
    <row r="7" spans="5:11" x14ac:dyDescent="0.25">
      <c r="E7" s="1"/>
      <c r="F7" s="1"/>
      <c r="G7" s="1"/>
      <c r="H7" s="1"/>
      <c r="I7" s="1"/>
      <c r="J7" s="1"/>
    </row>
    <row r="8" spans="5:11" x14ac:dyDescent="0.25">
      <c r="E8" s="156"/>
      <c r="F8" s="156"/>
      <c r="G8" s="156"/>
      <c r="H8" s="156"/>
      <c r="I8" s="156"/>
      <c r="J8" s="156"/>
    </row>
    <row r="9" spans="5:11" x14ac:dyDescent="0.25">
      <c r="E9" s="114"/>
      <c r="F9" s="157"/>
      <c r="G9" s="157"/>
      <c r="H9" s="157"/>
      <c r="I9" s="157"/>
      <c r="J9" s="28"/>
    </row>
    <row r="10" spans="5:11" x14ac:dyDescent="0.25">
      <c r="E10" s="111" t="s">
        <v>5201</v>
      </c>
      <c r="F10" s="156" t="s">
        <v>17</v>
      </c>
      <c r="G10" s="156" t="s">
        <v>7</v>
      </c>
      <c r="H10" s="156">
        <v>135</v>
      </c>
      <c r="I10" s="156" t="s">
        <v>5233</v>
      </c>
      <c r="J10" s="1" t="s">
        <v>5234</v>
      </c>
    </row>
    <row r="11" spans="5:11" x14ac:dyDescent="0.25">
      <c r="E11" s="111" t="s">
        <v>5201</v>
      </c>
      <c r="F11" s="156" t="s">
        <v>472</v>
      </c>
      <c r="G11" s="156" t="s">
        <v>7</v>
      </c>
      <c r="H11" s="156">
        <v>3070.95</v>
      </c>
      <c r="I11" s="156" t="s">
        <v>5223</v>
      </c>
      <c r="J11" s="67" t="s">
        <v>5232</v>
      </c>
    </row>
    <row r="12" spans="5:11" x14ac:dyDescent="0.25">
      <c r="E12" s="111" t="s">
        <v>5201</v>
      </c>
      <c r="F12" s="156" t="s">
        <v>23</v>
      </c>
      <c r="G12" s="156" t="s">
        <v>7</v>
      </c>
      <c r="H12" s="156">
        <v>405</v>
      </c>
      <c r="I12" s="156" t="s">
        <v>5224</v>
      </c>
      <c r="J12" s="67" t="s">
        <v>5231</v>
      </c>
    </row>
    <row r="13" spans="5:11" x14ac:dyDescent="0.25">
      <c r="E13" s="111" t="s">
        <v>5201</v>
      </c>
      <c r="F13" s="156" t="s">
        <v>4286</v>
      </c>
      <c r="G13" s="156" t="s">
        <v>7</v>
      </c>
      <c r="H13" s="156">
        <v>4.5</v>
      </c>
      <c r="I13" s="156" t="s">
        <v>5225</v>
      </c>
      <c r="J13" s="67" t="s">
        <v>5230</v>
      </c>
    </row>
    <row r="14" spans="5:11" x14ac:dyDescent="0.25">
      <c r="E14" s="111" t="s">
        <v>5201</v>
      </c>
      <c r="F14" s="156" t="s">
        <v>6</v>
      </c>
      <c r="G14" s="156" t="s">
        <v>7</v>
      </c>
      <c r="H14" s="156">
        <v>71</v>
      </c>
      <c r="I14" s="156" t="s">
        <v>5226</v>
      </c>
      <c r="J14" s="67" t="s">
        <v>5229</v>
      </c>
    </row>
    <row r="15" spans="5:11" x14ac:dyDescent="0.25">
      <c r="E15" s="111" t="s">
        <v>5201</v>
      </c>
      <c r="F15" s="156" t="s">
        <v>289</v>
      </c>
      <c r="G15" s="156" t="s">
        <v>7</v>
      </c>
      <c r="H15" s="156">
        <v>130</v>
      </c>
      <c r="I15" s="156" t="s">
        <v>5227</v>
      </c>
      <c r="J15" s="1" t="s">
        <v>5228</v>
      </c>
    </row>
    <row r="16" spans="5:11" x14ac:dyDescent="0.25">
      <c r="E16" s="159" t="s">
        <v>5201</v>
      </c>
      <c r="F16" s="160" t="s">
        <v>100</v>
      </c>
      <c r="G16" s="160" t="s">
        <v>7</v>
      </c>
      <c r="H16" s="160">
        <v>18.5</v>
      </c>
      <c r="I16" s="160" t="s">
        <v>5218</v>
      </c>
      <c r="J16" s="161" t="s">
        <v>5235</v>
      </c>
      <c r="K16" s="162"/>
    </row>
    <row r="17" spans="5:10" x14ac:dyDescent="0.25">
      <c r="E17" s="111" t="s">
        <v>5201</v>
      </c>
      <c r="F17" s="156" t="s">
        <v>224</v>
      </c>
      <c r="G17" s="156" t="s">
        <v>7</v>
      </c>
      <c r="H17" s="156">
        <v>13</v>
      </c>
      <c r="I17" s="156" t="s">
        <v>5219</v>
      </c>
      <c r="J17" s="1" t="s">
        <v>5222</v>
      </c>
    </row>
    <row r="18" spans="5:10" x14ac:dyDescent="0.25">
      <c r="E18" s="111" t="s">
        <v>5201</v>
      </c>
      <c r="F18" s="156" t="s">
        <v>6</v>
      </c>
      <c r="G18" s="156" t="s">
        <v>7</v>
      </c>
      <c r="H18" s="156">
        <v>8</v>
      </c>
      <c r="I18" s="156" t="s">
        <v>5220</v>
      </c>
      <c r="J18" s="67" t="s">
        <v>5221</v>
      </c>
    </row>
    <row r="19" spans="5:10" x14ac:dyDescent="0.25">
      <c r="E19" s="111" t="s">
        <v>5201</v>
      </c>
      <c r="F19" s="156" t="s">
        <v>4632</v>
      </c>
      <c r="G19" s="156" t="s">
        <v>7</v>
      </c>
      <c r="H19" s="156">
        <v>18</v>
      </c>
      <c r="I19" s="156" t="s">
        <v>5202</v>
      </c>
      <c r="J19" s="67" t="s">
        <v>4640</v>
      </c>
    </row>
    <row r="20" spans="5:10" x14ac:dyDescent="0.25">
      <c r="E20" s="111" t="s">
        <v>5201</v>
      </c>
      <c r="F20" s="156" t="s">
        <v>72</v>
      </c>
      <c r="G20" s="156" t="s">
        <v>7</v>
      </c>
      <c r="H20" s="156">
        <v>148</v>
      </c>
      <c r="I20" s="156" t="s">
        <v>5203</v>
      </c>
      <c r="J20" s="1" t="s">
        <v>5217</v>
      </c>
    </row>
    <row r="21" spans="5:10" x14ac:dyDescent="0.25">
      <c r="E21" s="111" t="s">
        <v>5201</v>
      </c>
      <c r="F21" s="156" t="s">
        <v>23</v>
      </c>
      <c r="G21" s="156" t="s">
        <v>7</v>
      </c>
      <c r="H21" s="156">
        <v>105</v>
      </c>
      <c r="I21" s="156" t="s">
        <v>5204</v>
      </c>
      <c r="J21" s="67" t="s">
        <v>3207</v>
      </c>
    </row>
    <row r="22" spans="5:10" x14ac:dyDescent="0.25">
      <c r="E22" s="111" t="s">
        <v>5201</v>
      </c>
      <c r="F22" s="156" t="s">
        <v>224</v>
      </c>
      <c r="G22" s="156" t="s">
        <v>7</v>
      </c>
      <c r="H22" s="156">
        <v>48</v>
      </c>
      <c r="I22" s="156" t="s">
        <v>5205</v>
      </c>
      <c r="J22" s="67" t="s">
        <v>5216</v>
      </c>
    </row>
    <row r="23" spans="5:10" x14ac:dyDescent="0.25">
      <c r="E23" s="111" t="s">
        <v>5201</v>
      </c>
      <c r="F23" s="156" t="s">
        <v>5071</v>
      </c>
      <c r="G23" s="156" t="s">
        <v>7</v>
      </c>
      <c r="H23" s="156">
        <v>27.6</v>
      </c>
      <c r="I23" s="156" t="s">
        <v>5206</v>
      </c>
      <c r="J23" s="1" t="s">
        <v>5215</v>
      </c>
    </row>
    <row r="24" spans="5:10" x14ac:dyDescent="0.25">
      <c r="E24" s="111" t="s">
        <v>5201</v>
      </c>
      <c r="F24" s="156" t="s">
        <v>356</v>
      </c>
      <c r="G24" s="156" t="s">
        <v>7</v>
      </c>
      <c r="H24" s="156">
        <v>105</v>
      </c>
      <c r="I24" s="156" t="s">
        <v>5207</v>
      </c>
      <c r="J24" s="1" t="s">
        <v>3609</v>
      </c>
    </row>
    <row r="25" spans="5:10" x14ac:dyDescent="0.25">
      <c r="E25" s="111" t="s">
        <v>5201</v>
      </c>
      <c r="F25" s="156" t="s">
        <v>1561</v>
      </c>
      <c r="G25" s="156" t="s">
        <v>7</v>
      </c>
      <c r="H25" s="156">
        <v>6</v>
      </c>
      <c r="I25" s="156" t="s">
        <v>5208</v>
      </c>
      <c r="J25" s="1" t="s">
        <v>5214</v>
      </c>
    </row>
    <row r="26" spans="5:10" x14ac:dyDescent="0.25">
      <c r="E26" s="111" t="s">
        <v>5201</v>
      </c>
      <c r="F26" s="156" t="s">
        <v>23</v>
      </c>
      <c r="G26" s="156" t="s">
        <v>7</v>
      </c>
      <c r="H26" s="156">
        <v>1260</v>
      </c>
      <c r="I26" s="156" t="s">
        <v>5209</v>
      </c>
      <c r="J26" s="1" t="s">
        <v>1924</v>
      </c>
    </row>
    <row r="27" spans="5:10" x14ac:dyDescent="0.25">
      <c r="E27" s="111" t="s">
        <v>5201</v>
      </c>
      <c r="F27" s="156" t="s">
        <v>665</v>
      </c>
      <c r="G27" s="156" t="s">
        <v>7</v>
      </c>
      <c r="H27" s="156">
        <v>20</v>
      </c>
      <c r="I27" s="156" t="s">
        <v>5210</v>
      </c>
      <c r="J27" s="1" t="s">
        <v>5213</v>
      </c>
    </row>
    <row r="28" spans="5:10" x14ac:dyDescent="0.25">
      <c r="E28" s="111" t="s">
        <v>5201</v>
      </c>
      <c r="F28" s="156" t="s">
        <v>521</v>
      </c>
      <c r="G28" s="156" t="s">
        <v>7</v>
      </c>
      <c r="H28" s="156">
        <v>60</v>
      </c>
      <c r="I28" s="156" t="s">
        <v>5211</v>
      </c>
      <c r="J28" s="1" t="s">
        <v>5212</v>
      </c>
    </row>
    <row r="29" spans="5:10" x14ac:dyDescent="0.25">
      <c r="E29" s="114" t="s">
        <v>5160</v>
      </c>
      <c r="F29" s="157" t="s">
        <v>663</v>
      </c>
      <c r="G29" s="157" t="s">
        <v>7</v>
      </c>
      <c r="H29" s="157">
        <v>-3.7</v>
      </c>
      <c r="I29" s="157" t="s">
        <v>664</v>
      </c>
      <c r="J29" s="28"/>
    </row>
    <row r="30" spans="5:10" x14ac:dyDescent="0.25">
      <c r="F30" s="158"/>
      <c r="G30" s="158"/>
      <c r="H30" s="158"/>
      <c r="I30" s="158"/>
    </row>
    <row r="33" spans="13:13" x14ac:dyDescent="0.25">
      <c r="M33">
        <f>530+110</f>
        <v>640</v>
      </c>
    </row>
  </sheetData>
  <pageMargins left="0.7" right="0.7" top="0.75" bottom="0.75" header="0.3" footer="0.3"/>
</worksheet>
</file>

<file path=xl/worksheets/sheet10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46846D-943D-4DB1-B4BB-7A6523F70C53}">
  <sheetPr codeName="Hoja106"/>
  <dimension ref="E3:J28"/>
  <sheetViews>
    <sheetView workbookViewId="0">
      <selection activeCell="E3" sqref="E3:J28"/>
    </sheetView>
  </sheetViews>
  <sheetFormatPr baseColWidth="10" defaultRowHeight="15.75" x14ac:dyDescent="0.25"/>
  <cols>
    <col min="5" max="5" width="21.75" customWidth="1"/>
    <col min="6" max="6" width="32.25" customWidth="1"/>
    <col min="9" max="9" width="20" customWidth="1"/>
    <col min="10" max="10" width="38" customWidth="1"/>
  </cols>
  <sheetData>
    <row r="3" spans="5:10" x14ac:dyDescent="0.25">
      <c r="E3" s="1" t="s">
        <v>0</v>
      </c>
      <c r="F3" s="1" t="s">
        <v>1</v>
      </c>
      <c r="G3" s="1" t="s">
        <v>2</v>
      </c>
      <c r="H3" s="1" t="s">
        <v>3</v>
      </c>
      <c r="I3" s="1" t="s">
        <v>4</v>
      </c>
      <c r="J3" s="1"/>
    </row>
    <row r="4" spans="5:10" x14ac:dyDescent="0.25">
      <c r="E4" s="163" t="s">
        <v>5236</v>
      </c>
      <c r="F4" s="156" t="s">
        <v>23</v>
      </c>
      <c r="G4" s="156" t="s">
        <v>7</v>
      </c>
      <c r="H4" s="156">
        <v>46</v>
      </c>
      <c r="I4" s="156" t="s">
        <v>5275</v>
      </c>
      <c r="J4" s="156" t="s">
        <v>590</v>
      </c>
    </row>
    <row r="5" spans="5:10" x14ac:dyDescent="0.25">
      <c r="E5" s="164" t="s">
        <v>5236</v>
      </c>
      <c r="F5" s="157" t="s">
        <v>4823</v>
      </c>
      <c r="G5" s="157" t="s">
        <v>7</v>
      </c>
      <c r="H5" s="157">
        <v>-20</v>
      </c>
      <c r="I5" s="157" t="s">
        <v>5276</v>
      </c>
      <c r="J5" s="28" t="s">
        <v>5281</v>
      </c>
    </row>
    <row r="6" spans="5:10" x14ac:dyDescent="0.25">
      <c r="E6" s="164" t="s">
        <v>5236</v>
      </c>
      <c r="F6" s="157" t="s">
        <v>4823</v>
      </c>
      <c r="G6" s="157" t="s">
        <v>7</v>
      </c>
      <c r="H6" s="157">
        <v>-30</v>
      </c>
      <c r="I6" s="157" t="s">
        <v>5277</v>
      </c>
      <c r="J6" s="28" t="s">
        <v>5281</v>
      </c>
    </row>
    <row r="7" spans="5:10" x14ac:dyDescent="0.25">
      <c r="E7" s="163" t="s">
        <v>5236</v>
      </c>
      <c r="F7" s="156" t="s">
        <v>665</v>
      </c>
      <c r="G7" s="156" t="s">
        <v>7</v>
      </c>
      <c r="H7" s="156">
        <v>4</v>
      </c>
      <c r="I7" s="156" t="s">
        <v>5278</v>
      </c>
      <c r="J7" s="67" t="s">
        <v>5280</v>
      </c>
    </row>
    <row r="8" spans="5:10" x14ac:dyDescent="0.25">
      <c r="E8" s="164" t="s">
        <v>5236</v>
      </c>
      <c r="F8" s="157" t="s">
        <v>2923</v>
      </c>
      <c r="G8" s="157" t="s">
        <v>7</v>
      </c>
      <c r="H8" s="157">
        <v>-20</v>
      </c>
      <c r="I8" s="157" t="s">
        <v>5279</v>
      </c>
      <c r="J8" s="28" t="s">
        <v>2925</v>
      </c>
    </row>
    <row r="9" spans="5:10" x14ac:dyDescent="0.25">
      <c r="E9" s="111" t="s">
        <v>5236</v>
      </c>
      <c r="F9" s="156" t="s">
        <v>23</v>
      </c>
      <c r="G9" s="156" t="s">
        <v>7</v>
      </c>
      <c r="H9" s="156">
        <v>163.9</v>
      </c>
      <c r="I9" s="156" t="s">
        <v>5269</v>
      </c>
      <c r="J9" s="67" t="s">
        <v>5274</v>
      </c>
    </row>
    <row r="10" spans="5:10" x14ac:dyDescent="0.25">
      <c r="E10" s="111" t="s">
        <v>5236</v>
      </c>
      <c r="F10" s="156" t="s">
        <v>72</v>
      </c>
      <c r="G10" s="156" t="s">
        <v>7</v>
      </c>
      <c r="H10" s="156">
        <v>45</v>
      </c>
      <c r="I10" s="156" t="s">
        <v>5270</v>
      </c>
      <c r="J10" s="67" t="s">
        <v>5273</v>
      </c>
    </row>
    <row r="11" spans="5:10" x14ac:dyDescent="0.25">
      <c r="E11" s="111" t="s">
        <v>5236</v>
      </c>
      <c r="F11" s="156" t="s">
        <v>2734</v>
      </c>
      <c r="G11" s="156" t="s">
        <v>7</v>
      </c>
      <c r="H11" s="156">
        <v>27</v>
      </c>
      <c r="I11" s="156" t="s">
        <v>5271</v>
      </c>
      <c r="J11" s="67" t="s">
        <v>5272</v>
      </c>
    </row>
    <row r="12" spans="5:10" x14ac:dyDescent="0.25">
      <c r="E12" s="111" t="s">
        <v>5236</v>
      </c>
      <c r="F12" s="156" t="s">
        <v>95</v>
      </c>
      <c r="G12" s="156" t="s">
        <v>7</v>
      </c>
      <c r="H12" s="156">
        <v>9.5</v>
      </c>
      <c r="I12" s="156" t="s">
        <v>5252</v>
      </c>
      <c r="J12" s="67" t="s">
        <v>5267</v>
      </c>
    </row>
    <row r="13" spans="5:10" x14ac:dyDescent="0.25">
      <c r="E13" s="111" t="s">
        <v>5236</v>
      </c>
      <c r="F13" s="156" t="s">
        <v>5253</v>
      </c>
      <c r="G13" s="156" t="s">
        <v>7</v>
      </c>
      <c r="H13" s="156">
        <v>70</v>
      </c>
      <c r="I13" s="156" t="s">
        <v>5254</v>
      </c>
      <c r="J13" s="67" t="s">
        <v>5264</v>
      </c>
    </row>
    <row r="14" spans="5:10" x14ac:dyDescent="0.25">
      <c r="E14" s="111" t="s">
        <v>5236</v>
      </c>
      <c r="F14" s="156" t="s">
        <v>1279</v>
      </c>
      <c r="G14" s="156" t="s">
        <v>7</v>
      </c>
      <c r="H14" s="156">
        <v>32</v>
      </c>
      <c r="I14" s="156" t="s">
        <v>5255</v>
      </c>
      <c r="J14" s="1" t="s">
        <v>5263</v>
      </c>
    </row>
    <row r="15" spans="5:10" x14ac:dyDescent="0.25">
      <c r="E15" s="111" t="s">
        <v>5236</v>
      </c>
      <c r="F15" s="156" t="s">
        <v>39</v>
      </c>
      <c r="G15" s="156" t="s">
        <v>7</v>
      </c>
      <c r="H15" s="156">
        <v>35</v>
      </c>
      <c r="I15" s="156" t="s">
        <v>5256</v>
      </c>
      <c r="J15" s="1" t="s">
        <v>5266</v>
      </c>
    </row>
    <row r="16" spans="5:10" x14ac:dyDescent="0.25">
      <c r="E16" s="111" t="s">
        <v>5236</v>
      </c>
      <c r="F16" s="156" t="s">
        <v>17</v>
      </c>
      <c r="G16" s="156" t="s">
        <v>7</v>
      </c>
      <c r="H16" s="156">
        <v>110</v>
      </c>
      <c r="I16" s="156" t="s">
        <v>5257</v>
      </c>
      <c r="J16" s="1" t="s">
        <v>5262</v>
      </c>
    </row>
    <row r="17" spans="5:10" x14ac:dyDescent="0.25">
      <c r="E17" s="111" t="s">
        <v>5236</v>
      </c>
      <c r="F17" s="156" t="s">
        <v>224</v>
      </c>
      <c r="G17" s="156" t="s">
        <v>7</v>
      </c>
      <c r="H17" s="156">
        <v>67.099999999999994</v>
      </c>
      <c r="I17" s="156" t="s">
        <v>5258</v>
      </c>
      <c r="J17" s="67" t="s">
        <v>5261</v>
      </c>
    </row>
    <row r="18" spans="5:10" x14ac:dyDescent="0.25">
      <c r="E18" s="114" t="s">
        <v>5236</v>
      </c>
      <c r="F18" s="157" t="s">
        <v>5259</v>
      </c>
      <c r="G18" s="157" t="s">
        <v>7</v>
      </c>
      <c r="H18" s="157">
        <v>-1430</v>
      </c>
      <c r="I18" s="157" t="s">
        <v>5260</v>
      </c>
      <c r="J18" s="28" t="s">
        <v>5268</v>
      </c>
    </row>
    <row r="19" spans="5:10" x14ac:dyDescent="0.25">
      <c r="E19" s="111" t="s">
        <v>5236</v>
      </c>
      <c r="F19" s="156" t="s">
        <v>3555</v>
      </c>
      <c r="G19" s="156" t="s">
        <v>7</v>
      </c>
      <c r="H19" s="156">
        <v>55</v>
      </c>
      <c r="I19" s="156" t="s">
        <v>5237</v>
      </c>
      <c r="J19" s="1" t="s">
        <v>4960</v>
      </c>
    </row>
    <row r="20" spans="5:10" x14ac:dyDescent="0.25">
      <c r="E20" s="111" t="s">
        <v>5236</v>
      </c>
      <c r="F20" s="156" t="s">
        <v>23</v>
      </c>
      <c r="G20" s="156" t="s">
        <v>7</v>
      </c>
      <c r="H20" s="156">
        <v>1725</v>
      </c>
      <c r="I20" s="156" t="s">
        <v>5238</v>
      </c>
      <c r="J20" s="67" t="s">
        <v>5265</v>
      </c>
    </row>
    <row r="21" spans="5:10" x14ac:dyDescent="0.25">
      <c r="E21" s="111" t="s">
        <v>5236</v>
      </c>
      <c r="F21" s="156" t="s">
        <v>39</v>
      </c>
      <c r="G21" s="156" t="s">
        <v>7</v>
      </c>
      <c r="H21" s="156">
        <v>22.8</v>
      </c>
      <c r="I21" s="156" t="s">
        <v>5239</v>
      </c>
      <c r="J21" s="67" t="s">
        <v>5251</v>
      </c>
    </row>
    <row r="22" spans="5:10" x14ac:dyDescent="0.25">
      <c r="E22" s="114" t="s">
        <v>5236</v>
      </c>
      <c r="F22" s="157" t="s">
        <v>105</v>
      </c>
      <c r="G22" s="157" t="s">
        <v>7</v>
      </c>
      <c r="H22" s="157">
        <v>-1367.91</v>
      </c>
      <c r="I22" s="157" t="s">
        <v>5240</v>
      </c>
      <c r="J22" s="28" t="s">
        <v>5247</v>
      </c>
    </row>
    <row r="23" spans="5:10" x14ac:dyDescent="0.25">
      <c r="E23" s="111" t="s">
        <v>5236</v>
      </c>
      <c r="F23" s="156" t="s">
        <v>23</v>
      </c>
      <c r="G23" s="156" t="s">
        <v>7</v>
      </c>
      <c r="H23" s="156">
        <v>5285</v>
      </c>
      <c r="I23" s="156" t="s">
        <v>5241</v>
      </c>
      <c r="J23" s="1" t="s">
        <v>5250</v>
      </c>
    </row>
    <row r="24" spans="5:10" x14ac:dyDescent="0.25">
      <c r="E24" s="114" t="s">
        <v>5236</v>
      </c>
      <c r="F24" s="157" t="s">
        <v>105</v>
      </c>
      <c r="G24" s="157" t="s">
        <v>7</v>
      </c>
      <c r="H24" s="157">
        <v>-64.5</v>
      </c>
      <c r="I24" s="157" t="s">
        <v>5242</v>
      </c>
      <c r="J24" s="28" t="s">
        <v>5247</v>
      </c>
    </row>
    <row r="25" spans="5:10" x14ac:dyDescent="0.25">
      <c r="E25" s="111" t="s">
        <v>5236</v>
      </c>
      <c r="F25" s="156" t="s">
        <v>72</v>
      </c>
      <c r="G25" s="156" t="s">
        <v>7</v>
      </c>
      <c r="H25" s="156">
        <v>64.5</v>
      </c>
      <c r="I25" s="156" t="s">
        <v>5243</v>
      </c>
      <c r="J25" s="1" t="s">
        <v>5249</v>
      </c>
    </row>
    <row r="26" spans="5:10" x14ac:dyDescent="0.25">
      <c r="E26" s="114" t="s">
        <v>5236</v>
      </c>
      <c r="F26" s="157" t="s">
        <v>105</v>
      </c>
      <c r="G26" s="157" t="s">
        <v>7</v>
      </c>
      <c r="H26" s="157">
        <v>-36.049999999999997</v>
      </c>
      <c r="I26" s="157" t="s">
        <v>5244</v>
      </c>
      <c r="J26" s="28" t="s">
        <v>5247</v>
      </c>
    </row>
    <row r="27" spans="5:10" x14ac:dyDescent="0.25">
      <c r="E27" s="111" t="s">
        <v>5236</v>
      </c>
      <c r="F27" s="156" t="s">
        <v>979</v>
      </c>
      <c r="G27" s="156" t="s">
        <v>7</v>
      </c>
      <c r="H27" s="156">
        <v>36</v>
      </c>
      <c r="I27" s="156" t="s">
        <v>5245</v>
      </c>
      <c r="J27" s="1" t="s">
        <v>5248</v>
      </c>
    </row>
    <row r="28" spans="5:10" x14ac:dyDescent="0.25">
      <c r="E28" s="114" t="s">
        <v>5236</v>
      </c>
      <c r="F28" s="157" t="s">
        <v>105</v>
      </c>
      <c r="G28" s="157" t="s">
        <v>7</v>
      </c>
      <c r="H28" s="157">
        <v>-12911</v>
      </c>
      <c r="I28" s="157" t="s">
        <v>5246</v>
      </c>
      <c r="J28" s="28" t="s">
        <v>5247</v>
      </c>
    </row>
  </sheetData>
  <pageMargins left="0.7" right="0.7" top="0.75" bottom="0.75" header="0.3" footer="0.3"/>
</worksheet>
</file>

<file path=xl/worksheets/sheet10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DECCCD-E6CB-44FC-8C7E-A3339A9AA8D1}">
  <sheetPr codeName="Hoja107"/>
  <dimension ref="F6:K31"/>
  <sheetViews>
    <sheetView topLeftCell="A4" workbookViewId="0">
      <selection activeCell="F17" sqref="F17:K17"/>
    </sheetView>
  </sheetViews>
  <sheetFormatPr baseColWidth="10" defaultRowHeight="15.75" x14ac:dyDescent="0.25"/>
  <cols>
    <col min="6" max="6" width="10.375" bestFit="1" customWidth="1"/>
    <col min="7" max="7" width="30.75" customWidth="1"/>
    <col min="10" max="10" width="22.25" customWidth="1"/>
    <col min="11" max="11" width="44.875" bestFit="1" customWidth="1"/>
  </cols>
  <sheetData>
    <row r="6" spans="6:11" x14ac:dyDescent="0.25">
      <c r="F6" s="1" t="s">
        <v>0</v>
      </c>
      <c r="G6" s="1" t="s">
        <v>1</v>
      </c>
      <c r="H6" s="1" t="s">
        <v>2</v>
      </c>
      <c r="I6" s="1" t="s">
        <v>3</v>
      </c>
      <c r="J6" s="1" t="s">
        <v>4</v>
      </c>
      <c r="K6" s="1"/>
    </row>
    <row r="7" spans="6:11" x14ac:dyDescent="0.25">
      <c r="F7" s="164"/>
      <c r="G7" s="157"/>
      <c r="H7" s="157"/>
      <c r="I7" s="157"/>
      <c r="J7" s="157"/>
      <c r="K7" s="28"/>
    </row>
    <row r="8" spans="6:11" x14ac:dyDescent="0.25">
      <c r="F8" s="164"/>
      <c r="G8" s="157"/>
      <c r="H8" s="157"/>
      <c r="I8" s="157"/>
      <c r="J8" s="157"/>
      <c r="K8" s="28"/>
    </row>
    <row r="9" spans="6:11" x14ac:dyDescent="0.25">
      <c r="F9" s="163"/>
      <c r="G9" s="156"/>
      <c r="H9" s="156"/>
      <c r="I9" s="156"/>
      <c r="J9" s="156"/>
      <c r="K9" s="67"/>
    </row>
    <row r="10" spans="6:11" x14ac:dyDescent="0.25">
      <c r="F10" s="164"/>
      <c r="G10" s="157"/>
      <c r="H10" s="157"/>
      <c r="I10" s="157"/>
      <c r="J10" s="157"/>
      <c r="K10" s="28"/>
    </row>
    <row r="11" spans="6:11" x14ac:dyDescent="0.25">
      <c r="F11" s="111" t="s">
        <v>5282</v>
      </c>
      <c r="G11" s="156" t="s">
        <v>509</v>
      </c>
      <c r="H11" s="156" t="s">
        <v>7</v>
      </c>
      <c r="I11" s="156">
        <v>83.3</v>
      </c>
      <c r="J11" s="156" t="s">
        <v>5305</v>
      </c>
      <c r="K11" s="67" t="s">
        <v>5314</v>
      </c>
    </row>
    <row r="12" spans="6:11" x14ac:dyDescent="0.25">
      <c r="F12" s="111" t="s">
        <v>5282</v>
      </c>
      <c r="G12" s="156" t="s">
        <v>23</v>
      </c>
      <c r="H12" s="156" t="s">
        <v>7</v>
      </c>
      <c r="I12" s="156">
        <v>2890</v>
      </c>
      <c r="J12" s="156" t="s">
        <v>5306</v>
      </c>
      <c r="K12" s="67" t="s">
        <v>5313</v>
      </c>
    </row>
    <row r="13" spans="6:11" x14ac:dyDescent="0.25">
      <c r="F13" s="111" t="s">
        <v>5282</v>
      </c>
      <c r="G13" s="156" t="s">
        <v>299</v>
      </c>
      <c r="H13" s="156" t="s">
        <v>7</v>
      </c>
      <c r="I13" s="156">
        <v>2</v>
      </c>
      <c r="J13" s="156" t="s">
        <v>5307</v>
      </c>
      <c r="K13" s="67" t="s">
        <v>689</v>
      </c>
    </row>
    <row r="14" spans="6:11" x14ac:dyDescent="0.25">
      <c r="F14" s="111" t="s">
        <v>5282</v>
      </c>
      <c r="G14" s="156" t="s">
        <v>2734</v>
      </c>
      <c r="H14" s="156" t="s">
        <v>7</v>
      </c>
      <c r="I14" s="156">
        <v>8.5</v>
      </c>
      <c r="J14" s="156" t="s">
        <v>5308</v>
      </c>
      <c r="K14" s="67" t="s">
        <v>5312</v>
      </c>
    </row>
    <row r="15" spans="6:11" x14ac:dyDescent="0.25">
      <c r="F15" s="111" t="s">
        <v>5282</v>
      </c>
      <c r="G15" s="156" t="s">
        <v>6</v>
      </c>
      <c r="H15" s="156" t="s">
        <v>7</v>
      </c>
      <c r="I15" s="156">
        <v>135</v>
      </c>
      <c r="J15" s="156" t="s">
        <v>5309</v>
      </c>
      <c r="K15" s="67" t="s">
        <v>5229</v>
      </c>
    </row>
    <row r="16" spans="6:11" x14ac:dyDescent="0.25">
      <c r="F16" s="111" t="s">
        <v>5282</v>
      </c>
      <c r="G16" s="156" t="s">
        <v>1561</v>
      </c>
      <c r="H16" s="156" t="s">
        <v>7</v>
      </c>
      <c r="I16" s="156">
        <v>128</v>
      </c>
      <c r="J16" s="156" t="s">
        <v>5310</v>
      </c>
      <c r="K16" s="1" t="s">
        <v>5311</v>
      </c>
    </row>
    <row r="17" spans="6:11" x14ac:dyDescent="0.25">
      <c r="F17" s="165" t="s">
        <v>5282</v>
      </c>
      <c r="G17" s="166" t="s">
        <v>23</v>
      </c>
      <c r="H17" s="166" t="s">
        <v>7</v>
      </c>
      <c r="I17" s="166">
        <v>966</v>
      </c>
      <c r="J17" s="166" t="s">
        <v>5292</v>
      </c>
      <c r="K17" s="8" t="s">
        <v>832</v>
      </c>
    </row>
    <row r="18" spans="6:11" x14ac:dyDescent="0.25">
      <c r="F18" s="111" t="s">
        <v>5282</v>
      </c>
      <c r="G18" s="156" t="s">
        <v>192</v>
      </c>
      <c r="H18" s="156" t="s">
        <v>7</v>
      </c>
      <c r="I18" s="156">
        <v>399</v>
      </c>
      <c r="J18" s="156" t="s">
        <v>5293</v>
      </c>
      <c r="K18" s="1" t="s">
        <v>5304</v>
      </c>
    </row>
    <row r="19" spans="6:11" x14ac:dyDescent="0.25">
      <c r="F19" s="111" t="s">
        <v>5282</v>
      </c>
      <c r="G19" s="156" t="s">
        <v>742</v>
      </c>
      <c r="H19" s="156" t="s">
        <v>7</v>
      </c>
      <c r="I19" s="156">
        <v>25</v>
      </c>
      <c r="J19" s="156" t="s">
        <v>5294</v>
      </c>
      <c r="K19" s="67" t="s">
        <v>5303</v>
      </c>
    </row>
    <row r="20" spans="6:11" x14ac:dyDescent="0.25">
      <c r="F20" s="111" t="s">
        <v>5282</v>
      </c>
      <c r="G20" s="156" t="s">
        <v>39</v>
      </c>
      <c r="H20" s="156" t="s">
        <v>7</v>
      </c>
      <c r="I20" s="156">
        <v>52.5</v>
      </c>
      <c r="J20" s="156" t="s">
        <v>5295</v>
      </c>
      <c r="K20" s="67" t="s">
        <v>5302</v>
      </c>
    </row>
    <row r="21" spans="6:11" x14ac:dyDescent="0.25">
      <c r="F21" s="111" t="s">
        <v>5282</v>
      </c>
      <c r="G21" s="156" t="s">
        <v>370</v>
      </c>
      <c r="H21" s="156" t="s">
        <v>7</v>
      </c>
      <c r="I21" s="156">
        <v>32</v>
      </c>
      <c r="J21" s="156" t="s">
        <v>5296</v>
      </c>
      <c r="K21" s="1" t="s">
        <v>5301</v>
      </c>
    </row>
    <row r="22" spans="6:11" x14ac:dyDescent="0.25">
      <c r="F22" s="111" t="s">
        <v>5282</v>
      </c>
      <c r="G22" s="156" t="s">
        <v>126</v>
      </c>
      <c r="H22" s="156" t="s">
        <v>7</v>
      </c>
      <c r="I22" s="156">
        <v>5992.9</v>
      </c>
      <c r="J22" s="156" t="s">
        <v>5297</v>
      </c>
      <c r="K22" s="67" t="s">
        <v>1194</v>
      </c>
    </row>
    <row r="23" spans="6:11" x14ac:dyDescent="0.25">
      <c r="F23" s="111" t="s">
        <v>5282</v>
      </c>
      <c r="G23" s="156" t="s">
        <v>23</v>
      </c>
      <c r="H23" s="156" t="s">
        <v>7</v>
      </c>
      <c r="I23" s="156">
        <v>1884</v>
      </c>
      <c r="J23" s="156" t="s">
        <v>5298</v>
      </c>
      <c r="K23" s="67" t="s">
        <v>583</v>
      </c>
    </row>
    <row r="24" spans="6:11" x14ac:dyDescent="0.25">
      <c r="F24" s="111" t="s">
        <v>5282</v>
      </c>
      <c r="G24" s="156" t="s">
        <v>17</v>
      </c>
      <c r="H24" s="156" t="s">
        <v>7</v>
      </c>
      <c r="I24" s="156">
        <v>56</v>
      </c>
      <c r="J24" s="156" t="s">
        <v>5299</v>
      </c>
      <c r="K24" s="67" t="s">
        <v>5300</v>
      </c>
    </row>
    <row r="25" spans="6:11" x14ac:dyDescent="0.25">
      <c r="F25" s="111" t="s">
        <v>5282</v>
      </c>
      <c r="G25" s="156" t="s">
        <v>5174</v>
      </c>
      <c r="H25" s="156" t="s">
        <v>7</v>
      </c>
      <c r="I25" s="156">
        <v>4.5</v>
      </c>
      <c r="J25" s="156" t="s">
        <v>5283</v>
      </c>
      <c r="K25" s="1" t="s">
        <v>5291</v>
      </c>
    </row>
    <row r="26" spans="6:11" x14ac:dyDescent="0.25">
      <c r="F26" s="111" t="s">
        <v>5282</v>
      </c>
      <c r="G26" s="156" t="s">
        <v>5174</v>
      </c>
      <c r="H26" s="156" t="s">
        <v>7</v>
      </c>
      <c r="I26" s="156">
        <v>164.5</v>
      </c>
      <c r="J26" s="156" t="s">
        <v>5284</v>
      </c>
      <c r="K26" s="67" t="s">
        <v>5290</v>
      </c>
    </row>
    <row r="27" spans="6:11" x14ac:dyDescent="0.25">
      <c r="F27" s="111" t="s">
        <v>5282</v>
      </c>
      <c r="G27" s="156" t="s">
        <v>521</v>
      </c>
      <c r="H27" s="156" t="s">
        <v>7</v>
      </c>
      <c r="I27" s="156">
        <v>45</v>
      </c>
      <c r="J27" s="156" t="s">
        <v>5285</v>
      </c>
      <c r="K27" s="1" t="s">
        <v>5289</v>
      </c>
    </row>
    <row r="28" spans="6:11" x14ac:dyDescent="0.25">
      <c r="F28" s="111" t="s">
        <v>5282</v>
      </c>
      <c r="G28" s="156" t="s">
        <v>9</v>
      </c>
      <c r="H28" s="156" t="s">
        <v>7</v>
      </c>
      <c r="I28" s="156">
        <v>13</v>
      </c>
      <c r="J28" s="156" t="s">
        <v>5286</v>
      </c>
      <c r="K28" s="67" t="s">
        <v>3973</v>
      </c>
    </row>
    <row r="29" spans="6:11" x14ac:dyDescent="0.25">
      <c r="F29" s="111" t="s">
        <v>5236</v>
      </c>
      <c r="G29" s="156" t="s">
        <v>6</v>
      </c>
      <c r="H29" s="156" t="s">
        <v>7</v>
      </c>
      <c r="I29" s="156">
        <v>90</v>
      </c>
      <c r="J29" s="156" t="s">
        <v>5287</v>
      </c>
      <c r="K29" s="1" t="s">
        <v>5288</v>
      </c>
    </row>
    <row r="30" spans="6:11" x14ac:dyDescent="0.25">
      <c r="F30" s="114" t="s">
        <v>5236</v>
      </c>
      <c r="G30" s="157" t="s">
        <v>663</v>
      </c>
      <c r="H30" s="157" t="s">
        <v>7</v>
      </c>
      <c r="I30" s="157">
        <v>-1</v>
      </c>
      <c r="J30" s="157" t="s">
        <v>664</v>
      </c>
      <c r="K30" s="28"/>
    </row>
    <row r="31" spans="6:11" x14ac:dyDescent="0.25">
      <c r="G31" s="158"/>
      <c r="H31" s="158"/>
      <c r="I31" s="158"/>
      <c r="J31" s="158"/>
    </row>
  </sheetData>
  <pageMargins left="0.7" right="0.7" top="0.75" bottom="0.75" header="0.3" footer="0.3"/>
</worksheet>
</file>

<file path=xl/worksheets/sheet10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0ABFAE-8526-484C-A65A-9A195BD9FC73}">
  <sheetPr codeName="Hoja108"/>
  <dimension ref="F6:K25"/>
  <sheetViews>
    <sheetView workbookViewId="0">
      <selection activeCell="E5" sqref="E5:M26"/>
    </sheetView>
  </sheetViews>
  <sheetFormatPr baseColWidth="10" defaultRowHeight="15.75" x14ac:dyDescent="0.25"/>
  <cols>
    <col min="6" max="6" width="27.375" customWidth="1"/>
    <col min="7" max="7" width="26.75" customWidth="1"/>
    <col min="10" max="10" width="21.75" customWidth="1"/>
    <col min="11" max="11" width="30.625" customWidth="1"/>
  </cols>
  <sheetData>
    <row r="6" spans="6:11" x14ac:dyDescent="0.25">
      <c r="F6" s="1" t="s">
        <v>0</v>
      </c>
      <c r="G6" s="1" t="s">
        <v>1</v>
      </c>
      <c r="H6" s="1" t="s">
        <v>2</v>
      </c>
      <c r="I6" s="1" t="s">
        <v>3</v>
      </c>
      <c r="J6" s="1" t="s">
        <v>4</v>
      </c>
      <c r="K6" s="1"/>
    </row>
    <row r="7" spans="6:11" x14ac:dyDescent="0.25">
      <c r="F7" s="163"/>
      <c r="G7" s="156"/>
      <c r="H7" s="156"/>
      <c r="I7" s="156"/>
      <c r="J7" s="156"/>
      <c r="K7" s="156"/>
    </row>
    <row r="8" spans="6:11" x14ac:dyDescent="0.25">
      <c r="F8" s="111"/>
      <c r="G8" s="156"/>
      <c r="H8" s="156"/>
      <c r="I8" s="156"/>
      <c r="J8" s="156"/>
      <c r="K8" s="67"/>
    </row>
    <row r="9" spans="6:11" x14ac:dyDescent="0.25">
      <c r="F9" s="111" t="s">
        <v>5315</v>
      </c>
      <c r="G9" s="111" t="s">
        <v>27</v>
      </c>
      <c r="H9" s="111" t="s">
        <v>7</v>
      </c>
      <c r="I9" s="111">
        <v>47.5</v>
      </c>
      <c r="J9" s="111" t="s">
        <v>5343</v>
      </c>
      <c r="K9" s="67" t="s">
        <v>5346</v>
      </c>
    </row>
    <row r="10" spans="6:11" x14ac:dyDescent="0.25">
      <c r="F10" s="111" t="s">
        <v>5315</v>
      </c>
      <c r="G10" s="111" t="s">
        <v>23</v>
      </c>
      <c r="H10" s="111" t="s">
        <v>7</v>
      </c>
      <c r="I10" s="111">
        <v>47.5</v>
      </c>
      <c r="J10" s="111" t="s">
        <v>5344</v>
      </c>
      <c r="K10" s="67" t="s">
        <v>5345</v>
      </c>
    </row>
    <row r="11" spans="6:11" x14ac:dyDescent="0.25">
      <c r="F11" s="111" t="s">
        <v>5315</v>
      </c>
      <c r="G11" s="111" t="s">
        <v>5316</v>
      </c>
      <c r="H11" s="111" t="s">
        <v>7</v>
      </c>
      <c r="I11" s="111">
        <v>29.8</v>
      </c>
      <c r="J11" s="111" t="s">
        <v>5317</v>
      </c>
      <c r="K11" s="1" t="s">
        <v>5342</v>
      </c>
    </row>
    <row r="12" spans="6:11" x14ac:dyDescent="0.25">
      <c r="F12" s="111" t="s">
        <v>5315</v>
      </c>
      <c r="G12" s="111" t="s">
        <v>742</v>
      </c>
      <c r="H12" s="111" t="s">
        <v>7</v>
      </c>
      <c r="I12" s="111">
        <v>370</v>
      </c>
      <c r="J12" s="111" t="s">
        <v>5318</v>
      </c>
      <c r="K12" s="1" t="s">
        <v>5341</v>
      </c>
    </row>
    <row r="13" spans="6:11" x14ac:dyDescent="0.25">
      <c r="F13" s="111" t="s">
        <v>5315</v>
      </c>
      <c r="G13" s="111" t="s">
        <v>1602</v>
      </c>
      <c r="H13" s="111" t="s">
        <v>7</v>
      </c>
      <c r="I13" s="111">
        <v>20</v>
      </c>
      <c r="J13" s="111" t="s">
        <v>5319</v>
      </c>
      <c r="K13" s="1" t="s">
        <v>5340</v>
      </c>
    </row>
    <row r="14" spans="6:11" x14ac:dyDescent="0.25">
      <c r="F14" s="111" t="s">
        <v>5315</v>
      </c>
      <c r="G14" s="111" t="s">
        <v>262</v>
      </c>
      <c r="H14" s="111" t="s">
        <v>7</v>
      </c>
      <c r="I14" s="111">
        <v>91</v>
      </c>
      <c r="J14" s="111" t="s">
        <v>5320</v>
      </c>
      <c r="K14" s="67" t="s">
        <v>5339</v>
      </c>
    </row>
    <row r="15" spans="6:11" x14ac:dyDescent="0.25">
      <c r="F15" s="111" t="s">
        <v>5315</v>
      </c>
      <c r="G15" s="111" t="s">
        <v>2780</v>
      </c>
      <c r="H15" s="111" t="s">
        <v>7</v>
      </c>
      <c r="I15" s="111">
        <v>95</v>
      </c>
      <c r="J15" s="111" t="s">
        <v>5321</v>
      </c>
      <c r="K15" s="28" t="s">
        <v>2961</v>
      </c>
    </row>
    <row r="16" spans="6:11" x14ac:dyDescent="0.25">
      <c r="F16" s="111" t="s">
        <v>5315</v>
      </c>
      <c r="G16" s="111" t="s">
        <v>299</v>
      </c>
      <c r="H16" s="111" t="s">
        <v>7</v>
      </c>
      <c r="I16" s="111">
        <v>209.5</v>
      </c>
      <c r="J16" s="111" t="s">
        <v>5322</v>
      </c>
      <c r="K16" s="1" t="s">
        <v>5337</v>
      </c>
    </row>
    <row r="17" spans="6:11" x14ac:dyDescent="0.25">
      <c r="F17" s="111" t="s">
        <v>5315</v>
      </c>
      <c r="G17" s="111" t="s">
        <v>23</v>
      </c>
      <c r="H17" s="111" t="s">
        <v>7</v>
      </c>
      <c r="I17" s="111">
        <v>100</v>
      </c>
      <c r="J17" s="111" t="s">
        <v>5323</v>
      </c>
      <c r="K17" s="67" t="s">
        <v>5231</v>
      </c>
    </row>
    <row r="18" spans="6:11" x14ac:dyDescent="0.25">
      <c r="F18" s="111" t="s">
        <v>5315</v>
      </c>
      <c r="G18" s="111" t="s">
        <v>370</v>
      </c>
      <c r="H18" s="111" t="s">
        <v>7</v>
      </c>
      <c r="I18" s="111">
        <v>5</v>
      </c>
      <c r="J18" s="111" t="s">
        <v>5324</v>
      </c>
      <c r="K18" s="67" t="s">
        <v>5336</v>
      </c>
    </row>
    <row r="19" spans="6:11" x14ac:dyDescent="0.25">
      <c r="F19" s="111" t="s">
        <v>5315</v>
      </c>
      <c r="G19" s="111" t="s">
        <v>284</v>
      </c>
      <c r="H19" s="111" t="s">
        <v>7</v>
      </c>
      <c r="I19" s="111">
        <v>15</v>
      </c>
      <c r="J19" s="111" t="s">
        <v>5325</v>
      </c>
      <c r="K19" s="28" t="s">
        <v>5335</v>
      </c>
    </row>
    <row r="20" spans="6:11" x14ac:dyDescent="0.25">
      <c r="F20" s="111" t="s">
        <v>5315</v>
      </c>
      <c r="G20" s="111" t="s">
        <v>39</v>
      </c>
      <c r="H20" s="111" t="s">
        <v>7</v>
      </c>
      <c r="I20" s="111">
        <v>7.5</v>
      </c>
      <c r="J20" s="111" t="s">
        <v>5326</v>
      </c>
      <c r="K20" s="1" t="s">
        <v>5338</v>
      </c>
    </row>
    <row r="21" spans="6:11" x14ac:dyDescent="0.25">
      <c r="F21" s="111" t="s">
        <v>5315</v>
      </c>
      <c r="G21" s="111" t="s">
        <v>797</v>
      </c>
      <c r="H21" s="111" t="s">
        <v>7</v>
      </c>
      <c r="I21" s="111">
        <v>4</v>
      </c>
      <c r="J21" s="111" t="s">
        <v>5327</v>
      </c>
      <c r="K21" s="28" t="s">
        <v>5334</v>
      </c>
    </row>
    <row r="22" spans="6:11" x14ac:dyDescent="0.25">
      <c r="F22" s="114" t="s">
        <v>5315</v>
      </c>
      <c r="G22" s="114" t="s">
        <v>472</v>
      </c>
      <c r="H22" s="114" t="s">
        <v>7</v>
      </c>
      <c r="I22" s="114">
        <v>-21900</v>
      </c>
      <c r="J22" s="114" t="s">
        <v>5328</v>
      </c>
      <c r="K22" s="28" t="s">
        <v>5333</v>
      </c>
    </row>
    <row r="23" spans="6:11" x14ac:dyDescent="0.25">
      <c r="F23" s="111" t="s">
        <v>5315</v>
      </c>
      <c r="G23" s="111" t="s">
        <v>23</v>
      </c>
      <c r="H23" s="111" t="s">
        <v>7</v>
      </c>
      <c r="I23" s="111">
        <v>4057.2</v>
      </c>
      <c r="J23" s="111" t="s">
        <v>5329</v>
      </c>
      <c r="K23" s="67" t="s">
        <v>1991</v>
      </c>
    </row>
    <row r="24" spans="6:11" x14ac:dyDescent="0.25">
      <c r="F24" s="111" t="s">
        <v>5315</v>
      </c>
      <c r="G24" s="111" t="s">
        <v>2734</v>
      </c>
      <c r="H24" s="111" t="s">
        <v>7</v>
      </c>
      <c r="I24" s="111">
        <v>50</v>
      </c>
      <c r="J24" s="111" t="s">
        <v>5330</v>
      </c>
      <c r="K24" s="1" t="s">
        <v>5332</v>
      </c>
    </row>
    <row r="25" spans="6:11" x14ac:dyDescent="0.25">
      <c r="F25" s="111" t="s">
        <v>5315</v>
      </c>
      <c r="G25" s="111" t="s">
        <v>521</v>
      </c>
      <c r="H25" s="111" t="s">
        <v>7</v>
      </c>
      <c r="I25" s="111">
        <v>45</v>
      </c>
      <c r="J25" s="111" t="s">
        <v>5331</v>
      </c>
      <c r="K25" s="28" t="s">
        <v>5289</v>
      </c>
    </row>
  </sheetData>
  <pageMargins left="0.7" right="0.7" top="0.75" bottom="0.75" header="0.3" footer="0.3"/>
</worksheet>
</file>

<file path=xl/worksheets/sheet10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850334-56A4-4580-9A97-925AFC0571C5}">
  <sheetPr codeName="Hoja109"/>
  <dimension ref="E7:J18"/>
  <sheetViews>
    <sheetView workbookViewId="0">
      <selection activeCell="J9" sqref="J9"/>
    </sheetView>
  </sheetViews>
  <sheetFormatPr baseColWidth="10" defaultRowHeight="15.75" x14ac:dyDescent="0.25"/>
  <cols>
    <col min="5" max="5" width="18.875" customWidth="1"/>
    <col min="6" max="6" width="26.375" customWidth="1"/>
    <col min="7" max="7" width="15.5" customWidth="1"/>
    <col min="8" max="8" width="15.375" customWidth="1"/>
    <col min="9" max="9" width="22.875" customWidth="1"/>
    <col min="10" max="10" width="32.375" customWidth="1"/>
  </cols>
  <sheetData>
    <row r="7" spans="5:10" x14ac:dyDescent="0.25">
      <c r="E7" s="1" t="s">
        <v>0</v>
      </c>
      <c r="F7" s="1" t="s">
        <v>1</v>
      </c>
      <c r="G7" s="1" t="s">
        <v>2</v>
      </c>
      <c r="H7" s="1" t="s">
        <v>3</v>
      </c>
      <c r="I7" s="1" t="s">
        <v>4</v>
      </c>
      <c r="J7" s="1"/>
    </row>
    <row r="8" spans="5:10" x14ac:dyDescent="0.25">
      <c r="E8" s="163"/>
      <c r="F8" s="156"/>
      <c r="G8" s="156"/>
      <c r="H8" s="156"/>
      <c r="I8" s="156"/>
      <c r="J8" s="156"/>
    </row>
    <row r="9" spans="5:10" x14ac:dyDescent="0.25">
      <c r="E9" s="111"/>
      <c r="F9" s="111"/>
      <c r="G9" s="111"/>
      <c r="H9" s="111"/>
      <c r="I9" s="111"/>
      <c r="J9" s="1"/>
    </row>
    <row r="10" spans="5:10" x14ac:dyDescent="0.25">
      <c r="E10" s="111" t="s">
        <v>5347</v>
      </c>
      <c r="F10" s="156" t="s">
        <v>240</v>
      </c>
      <c r="G10" s="156" t="s">
        <v>7</v>
      </c>
      <c r="H10" s="156">
        <v>41</v>
      </c>
      <c r="I10" s="156" t="s">
        <v>5360</v>
      </c>
      <c r="J10" s="67" t="s">
        <v>5365</v>
      </c>
    </row>
    <row r="11" spans="5:10" x14ac:dyDescent="0.25">
      <c r="E11" s="111" t="s">
        <v>5347</v>
      </c>
      <c r="F11" s="156" t="s">
        <v>519</v>
      </c>
      <c r="G11" s="156" t="s">
        <v>7</v>
      </c>
      <c r="H11" s="156">
        <v>32</v>
      </c>
      <c r="I11" s="156" t="s">
        <v>5361</v>
      </c>
      <c r="J11" s="67" t="s">
        <v>5364</v>
      </c>
    </row>
    <row r="12" spans="5:10" x14ac:dyDescent="0.25">
      <c r="E12" s="111" t="s">
        <v>5347</v>
      </c>
      <c r="F12" s="156" t="s">
        <v>2168</v>
      </c>
      <c r="G12" s="156" t="s">
        <v>7</v>
      </c>
      <c r="H12" s="156">
        <v>1</v>
      </c>
      <c r="I12" s="156" t="s">
        <v>5362</v>
      </c>
      <c r="J12" s="67" t="s">
        <v>5363</v>
      </c>
    </row>
    <row r="13" spans="5:10" x14ac:dyDescent="0.25">
      <c r="E13" s="167" t="s">
        <v>5347</v>
      </c>
      <c r="F13" s="156" t="s">
        <v>19</v>
      </c>
      <c r="G13" s="156" t="s">
        <v>7</v>
      </c>
      <c r="H13" s="156">
        <v>23</v>
      </c>
      <c r="I13" s="156" t="s">
        <v>5348</v>
      </c>
      <c r="J13" s="1" t="s">
        <v>5359</v>
      </c>
    </row>
    <row r="14" spans="5:10" x14ac:dyDescent="0.25">
      <c r="E14" s="167" t="s">
        <v>5347</v>
      </c>
      <c r="F14" s="156" t="s">
        <v>509</v>
      </c>
      <c r="G14" s="156" t="s">
        <v>7</v>
      </c>
      <c r="H14" s="156">
        <v>39</v>
      </c>
      <c r="I14" s="156" t="s">
        <v>5349</v>
      </c>
      <c r="J14" s="67" t="s">
        <v>5358</v>
      </c>
    </row>
    <row r="15" spans="5:10" x14ac:dyDescent="0.25">
      <c r="E15" s="167" t="s">
        <v>5347</v>
      </c>
      <c r="F15" s="156" t="s">
        <v>509</v>
      </c>
      <c r="G15" s="156" t="s">
        <v>7</v>
      </c>
      <c r="H15" s="156">
        <v>16</v>
      </c>
      <c r="I15" s="156" t="s">
        <v>5350</v>
      </c>
      <c r="J15" s="67" t="s">
        <v>5357</v>
      </c>
    </row>
    <row r="16" spans="5:10" x14ac:dyDescent="0.25">
      <c r="E16" s="167" t="s">
        <v>5347</v>
      </c>
      <c r="F16" s="156" t="s">
        <v>9</v>
      </c>
      <c r="G16" s="156" t="s">
        <v>7</v>
      </c>
      <c r="H16" s="156">
        <v>10</v>
      </c>
      <c r="I16" s="156" t="s">
        <v>5351</v>
      </c>
      <c r="J16" s="67" t="s">
        <v>5356</v>
      </c>
    </row>
    <row r="17" spans="5:10" x14ac:dyDescent="0.25">
      <c r="E17" s="167" t="s">
        <v>5347</v>
      </c>
      <c r="F17" s="156" t="s">
        <v>295</v>
      </c>
      <c r="G17" s="156" t="s">
        <v>7</v>
      </c>
      <c r="H17" s="156">
        <v>48.5</v>
      </c>
      <c r="I17" s="156" t="s">
        <v>5352</v>
      </c>
      <c r="J17" s="67" t="s">
        <v>5355</v>
      </c>
    </row>
    <row r="18" spans="5:10" x14ac:dyDescent="0.25">
      <c r="E18" s="167" t="s">
        <v>5347</v>
      </c>
      <c r="F18" s="156" t="s">
        <v>519</v>
      </c>
      <c r="G18" s="156" t="s">
        <v>7</v>
      </c>
      <c r="H18" s="156">
        <v>10.8</v>
      </c>
      <c r="I18" s="156" t="s">
        <v>5353</v>
      </c>
      <c r="J18" s="67" t="s">
        <v>5354</v>
      </c>
    </row>
  </sheetData>
  <pageMargins left="0.7" right="0.7" top="0.75" bottom="0.75" header="0.3" footer="0.3"/>
  <pageSetup paperSize="179" orientation="portrait" horizontalDpi="203" verticalDpi="203" r:id="rId1"/>
</worksheet>
</file>

<file path=xl/worksheets/sheet1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50368A-1C6C-4686-B451-6F3D93F9E28F}">
  <sheetPr codeName="Hoja110"/>
  <dimension ref="C3:H39"/>
  <sheetViews>
    <sheetView workbookViewId="0">
      <selection activeCell="F6" sqref="F6"/>
    </sheetView>
  </sheetViews>
  <sheetFormatPr baseColWidth="10" defaultRowHeight="15.75" x14ac:dyDescent="0.25"/>
  <cols>
    <col min="3" max="3" width="11" style="3"/>
    <col min="4" max="4" width="23.25" style="3" bestFit="1" customWidth="1"/>
    <col min="5" max="5" width="11" style="3"/>
    <col min="6" max="6" width="15" style="3" customWidth="1"/>
    <col min="7" max="7" width="18.75" style="3" bestFit="1" customWidth="1"/>
    <col min="8" max="8" width="32.75" style="3" bestFit="1" customWidth="1"/>
  </cols>
  <sheetData>
    <row r="3" spans="3:8" x14ac:dyDescent="0.25">
      <c r="C3" s="7" t="s">
        <v>0</v>
      </c>
      <c r="D3" s="7" t="s">
        <v>1</v>
      </c>
      <c r="E3" s="7" t="s">
        <v>2</v>
      </c>
      <c r="F3" s="7" t="s">
        <v>3</v>
      </c>
      <c r="G3" s="7" t="s">
        <v>4</v>
      </c>
      <c r="H3" s="7"/>
    </row>
    <row r="4" spans="3:8" x14ac:dyDescent="0.25">
      <c r="C4" s="7"/>
      <c r="D4" s="7"/>
      <c r="E4" s="7"/>
      <c r="F4" s="7"/>
      <c r="G4" s="7"/>
      <c r="H4" s="7"/>
    </row>
    <row r="5" spans="3:8" x14ac:dyDescent="0.25">
      <c r="C5" s="1" t="s">
        <v>5366</v>
      </c>
      <c r="D5" s="1" t="s">
        <v>5447</v>
      </c>
      <c r="E5" s="1" t="s">
        <v>7</v>
      </c>
      <c r="F5" s="1">
        <v>1000</v>
      </c>
      <c r="G5" s="1">
        <v>3973997</v>
      </c>
      <c r="H5" s="1" t="s">
        <v>1388</v>
      </c>
    </row>
    <row r="6" spans="3:8" x14ac:dyDescent="0.25">
      <c r="C6" s="1" t="s">
        <v>5366</v>
      </c>
      <c r="D6" s="1" t="s">
        <v>5445</v>
      </c>
      <c r="E6" s="1" t="s">
        <v>7</v>
      </c>
      <c r="F6" s="1">
        <v>453.5</v>
      </c>
      <c r="G6" s="1">
        <v>4166336</v>
      </c>
      <c r="H6" s="1" t="s">
        <v>5446</v>
      </c>
    </row>
    <row r="7" spans="3:8" x14ac:dyDescent="0.25">
      <c r="C7" s="1" t="s">
        <v>5366</v>
      </c>
      <c r="D7" s="1" t="s">
        <v>95</v>
      </c>
      <c r="E7" s="1" t="s">
        <v>7</v>
      </c>
      <c r="F7" s="1">
        <v>51</v>
      </c>
      <c r="G7" s="1" t="s">
        <v>5426</v>
      </c>
      <c r="H7" s="1" t="s">
        <v>5428</v>
      </c>
    </row>
    <row r="8" spans="3:8" x14ac:dyDescent="0.25">
      <c r="C8" s="1" t="s">
        <v>5366</v>
      </c>
      <c r="D8" s="1" t="s">
        <v>6</v>
      </c>
      <c r="E8" s="1" t="s">
        <v>7</v>
      </c>
      <c r="F8" s="1">
        <v>193.5</v>
      </c>
      <c r="G8" s="1" t="s">
        <v>5427</v>
      </c>
      <c r="H8" s="1" t="s">
        <v>5429</v>
      </c>
    </row>
    <row r="9" spans="3:8" x14ac:dyDescent="0.25">
      <c r="C9" s="1" t="s">
        <v>5366</v>
      </c>
      <c r="D9" s="1" t="s">
        <v>509</v>
      </c>
      <c r="E9" s="1" t="s">
        <v>7</v>
      </c>
      <c r="F9" s="1">
        <v>102</v>
      </c>
      <c r="G9" s="1" t="s">
        <v>5416</v>
      </c>
      <c r="H9" s="1" t="s">
        <v>5423</v>
      </c>
    </row>
    <row r="10" spans="3:8" x14ac:dyDescent="0.25">
      <c r="C10" s="1" t="s">
        <v>5366</v>
      </c>
      <c r="D10" s="1" t="s">
        <v>665</v>
      </c>
      <c r="E10" s="1" t="s">
        <v>7</v>
      </c>
      <c r="F10" s="1">
        <v>20</v>
      </c>
      <c r="G10" s="1" t="s">
        <v>5417</v>
      </c>
      <c r="H10" s="1" t="s">
        <v>1227</v>
      </c>
    </row>
    <row r="11" spans="3:8" x14ac:dyDescent="0.25">
      <c r="C11" s="28" t="s">
        <v>5366</v>
      </c>
      <c r="D11" s="28" t="s">
        <v>5418</v>
      </c>
      <c r="E11" s="28" t="s">
        <v>7</v>
      </c>
      <c r="F11" s="28">
        <v>-4.5</v>
      </c>
      <c r="G11" s="28" t="s">
        <v>5419</v>
      </c>
      <c r="H11" s="28" t="s">
        <v>5425</v>
      </c>
    </row>
    <row r="12" spans="3:8" x14ac:dyDescent="0.25">
      <c r="C12" s="1" t="s">
        <v>5366</v>
      </c>
      <c r="D12" s="1" t="s">
        <v>13</v>
      </c>
      <c r="E12" s="1" t="s">
        <v>7</v>
      </c>
      <c r="F12" s="1">
        <v>45</v>
      </c>
      <c r="G12" s="1" t="s">
        <v>5420</v>
      </c>
      <c r="H12" s="1" t="s">
        <v>5424</v>
      </c>
    </row>
    <row r="13" spans="3:8" x14ac:dyDescent="0.25">
      <c r="C13" s="1" t="s">
        <v>5366</v>
      </c>
      <c r="D13" s="1" t="s">
        <v>13</v>
      </c>
      <c r="E13" s="1" t="s">
        <v>7</v>
      </c>
      <c r="F13" s="1">
        <v>87.1</v>
      </c>
      <c r="G13" s="1" t="s">
        <v>5421</v>
      </c>
      <c r="H13" s="1" t="s">
        <v>68</v>
      </c>
    </row>
    <row r="14" spans="3:8" x14ac:dyDescent="0.25">
      <c r="C14" s="1" t="s">
        <v>5366</v>
      </c>
      <c r="D14" s="1" t="s">
        <v>960</v>
      </c>
      <c r="E14" s="1" t="s">
        <v>7</v>
      </c>
      <c r="F14" s="1">
        <v>45</v>
      </c>
      <c r="G14" s="1" t="s">
        <v>5422</v>
      </c>
      <c r="H14" s="1" t="s">
        <v>68</v>
      </c>
    </row>
    <row r="15" spans="3:8" x14ac:dyDescent="0.25">
      <c r="C15" s="1" t="s">
        <v>5366</v>
      </c>
      <c r="D15" s="1" t="s">
        <v>5403</v>
      </c>
      <c r="E15" s="1" t="s">
        <v>7</v>
      </c>
      <c r="F15" s="1">
        <v>9</v>
      </c>
      <c r="G15" s="1" t="s">
        <v>5404</v>
      </c>
      <c r="H15" s="1" t="s">
        <v>5410</v>
      </c>
    </row>
    <row r="16" spans="3:8" x14ac:dyDescent="0.25">
      <c r="C16" s="1" t="s">
        <v>5366</v>
      </c>
      <c r="D16" s="1" t="s">
        <v>95</v>
      </c>
      <c r="E16" s="1" t="s">
        <v>7</v>
      </c>
      <c r="F16" s="1">
        <v>6</v>
      </c>
      <c r="G16" s="1" t="s">
        <v>5405</v>
      </c>
      <c r="H16" s="1" t="s">
        <v>5412</v>
      </c>
    </row>
    <row r="17" spans="3:8" x14ac:dyDescent="0.25">
      <c r="C17" s="1" t="s">
        <v>5366</v>
      </c>
      <c r="D17" s="1" t="s">
        <v>27</v>
      </c>
      <c r="E17" s="1" t="s">
        <v>7</v>
      </c>
      <c r="F17" s="1">
        <v>8</v>
      </c>
      <c r="G17" s="1" t="s">
        <v>5406</v>
      </c>
      <c r="H17" s="1" t="s">
        <v>5413</v>
      </c>
    </row>
    <row r="18" spans="3:8" x14ac:dyDescent="0.25">
      <c r="C18" s="1" t="s">
        <v>5366</v>
      </c>
      <c r="D18" s="1" t="s">
        <v>382</v>
      </c>
      <c r="E18" s="1" t="s">
        <v>7</v>
      </c>
      <c r="F18" s="1">
        <v>29</v>
      </c>
      <c r="G18" s="1" t="s">
        <v>5407</v>
      </c>
      <c r="H18" s="1" t="s">
        <v>5414</v>
      </c>
    </row>
    <row r="19" spans="3:8" x14ac:dyDescent="0.25">
      <c r="C19" s="28" t="s">
        <v>5366</v>
      </c>
      <c r="D19" s="28" t="s">
        <v>69</v>
      </c>
      <c r="E19" s="28" t="s">
        <v>7</v>
      </c>
      <c r="F19" s="28">
        <v>-500</v>
      </c>
      <c r="G19" s="28" t="s">
        <v>5408</v>
      </c>
      <c r="H19" s="28" t="s">
        <v>5411</v>
      </c>
    </row>
    <row r="20" spans="3:8" x14ac:dyDescent="0.25">
      <c r="C20" s="1" t="s">
        <v>5366</v>
      </c>
      <c r="D20" s="1" t="s">
        <v>356</v>
      </c>
      <c r="E20" s="1" t="s">
        <v>7</v>
      </c>
      <c r="F20" s="1">
        <v>85</v>
      </c>
      <c r="G20" s="1" t="s">
        <v>5409</v>
      </c>
      <c r="H20" s="1" t="s">
        <v>5415</v>
      </c>
    </row>
    <row r="21" spans="3:8" x14ac:dyDescent="0.25">
      <c r="C21" s="1" t="s">
        <v>5366</v>
      </c>
      <c r="D21" s="1" t="s">
        <v>655</v>
      </c>
      <c r="E21" s="1" t="s">
        <v>7</v>
      </c>
      <c r="F21" s="1">
        <v>35</v>
      </c>
      <c r="G21" s="1" t="s">
        <v>5367</v>
      </c>
      <c r="H21" s="1" t="s">
        <v>5399</v>
      </c>
    </row>
    <row r="22" spans="3:8" x14ac:dyDescent="0.25">
      <c r="C22" s="1" t="s">
        <v>5366</v>
      </c>
      <c r="D22" s="1" t="s">
        <v>5368</v>
      </c>
      <c r="E22" s="1" t="s">
        <v>7</v>
      </c>
      <c r="F22" s="1">
        <v>13000</v>
      </c>
      <c r="G22" s="1" t="s">
        <v>5369</v>
      </c>
      <c r="H22" s="1" t="s">
        <v>5400</v>
      </c>
    </row>
    <row r="23" spans="3:8" x14ac:dyDescent="0.25">
      <c r="C23" s="1" t="s">
        <v>5366</v>
      </c>
      <c r="D23" s="1" t="s">
        <v>23</v>
      </c>
      <c r="E23" s="1" t="s">
        <v>7</v>
      </c>
      <c r="F23" s="1">
        <v>1836.4</v>
      </c>
      <c r="G23" s="1" t="s">
        <v>5370</v>
      </c>
      <c r="H23" s="1" t="s">
        <v>590</v>
      </c>
    </row>
    <row r="24" spans="3:8" x14ac:dyDescent="0.25">
      <c r="C24" s="1" t="s">
        <v>5366</v>
      </c>
      <c r="D24" s="1" t="s">
        <v>509</v>
      </c>
      <c r="E24" s="1" t="s">
        <v>7</v>
      </c>
      <c r="F24" s="1">
        <v>413</v>
      </c>
      <c r="G24" s="1" t="s">
        <v>5371</v>
      </c>
      <c r="H24" s="1" t="s">
        <v>5402</v>
      </c>
    </row>
    <row r="25" spans="3:8" x14ac:dyDescent="0.25">
      <c r="C25" s="1" t="s">
        <v>5366</v>
      </c>
      <c r="D25" s="1" t="s">
        <v>5372</v>
      </c>
      <c r="E25" s="1" t="s">
        <v>7</v>
      </c>
      <c r="F25" s="1">
        <v>400</v>
      </c>
      <c r="G25" s="1" t="s">
        <v>5373</v>
      </c>
      <c r="H25" s="1" t="s">
        <v>5401</v>
      </c>
    </row>
    <row r="26" spans="3:8" x14ac:dyDescent="0.25">
      <c r="C26" s="1" t="s">
        <v>5366</v>
      </c>
      <c r="D26" s="1" t="s">
        <v>5372</v>
      </c>
      <c r="E26" s="1" t="s">
        <v>7</v>
      </c>
      <c r="F26" s="1">
        <v>1000</v>
      </c>
      <c r="G26" s="1" t="s">
        <v>5374</v>
      </c>
      <c r="H26" s="1" t="s">
        <v>5401</v>
      </c>
    </row>
    <row r="27" spans="3:8" x14ac:dyDescent="0.25">
      <c r="C27" s="1" t="s">
        <v>5366</v>
      </c>
      <c r="D27" s="1" t="s">
        <v>23</v>
      </c>
      <c r="E27" s="1" t="s">
        <v>7</v>
      </c>
      <c r="F27" s="1">
        <v>480</v>
      </c>
      <c r="G27" s="1" t="s">
        <v>5375</v>
      </c>
      <c r="H27" s="1" t="s">
        <v>1622</v>
      </c>
    </row>
    <row r="28" spans="3:8" x14ac:dyDescent="0.25">
      <c r="C28" s="1" t="s">
        <v>5366</v>
      </c>
      <c r="D28" s="1" t="s">
        <v>39</v>
      </c>
      <c r="E28" s="1" t="s">
        <v>7</v>
      </c>
      <c r="F28" s="1">
        <v>26.5</v>
      </c>
      <c r="G28" s="1" t="s">
        <v>5376</v>
      </c>
      <c r="H28" s="1" t="s">
        <v>5398</v>
      </c>
    </row>
    <row r="29" spans="3:8" x14ac:dyDescent="0.25">
      <c r="C29" s="1" t="s">
        <v>5366</v>
      </c>
      <c r="D29" s="1" t="s">
        <v>15</v>
      </c>
      <c r="E29" s="1" t="s">
        <v>7</v>
      </c>
      <c r="F29" s="1">
        <v>96.6</v>
      </c>
      <c r="G29" s="1" t="s">
        <v>5377</v>
      </c>
      <c r="H29" s="1" t="s">
        <v>5397</v>
      </c>
    </row>
    <row r="30" spans="3:8" x14ac:dyDescent="0.25">
      <c r="C30" s="1" t="s">
        <v>5366</v>
      </c>
      <c r="D30" s="1" t="s">
        <v>5378</v>
      </c>
      <c r="E30" s="1" t="s">
        <v>7</v>
      </c>
      <c r="F30" s="1">
        <v>6</v>
      </c>
      <c r="G30" s="1" t="s">
        <v>5379</v>
      </c>
      <c r="H30" s="1" t="s">
        <v>5396</v>
      </c>
    </row>
    <row r="31" spans="3:8" x14ac:dyDescent="0.25">
      <c r="C31" s="1" t="s">
        <v>5366</v>
      </c>
      <c r="D31" s="1" t="s">
        <v>190</v>
      </c>
      <c r="E31" s="1" t="s">
        <v>7</v>
      </c>
      <c r="F31" s="1">
        <v>460</v>
      </c>
      <c r="G31" s="1" t="s">
        <v>5380</v>
      </c>
      <c r="H31" s="1" t="s">
        <v>2295</v>
      </c>
    </row>
    <row r="32" spans="3:8" x14ac:dyDescent="0.25">
      <c r="C32" s="1" t="s">
        <v>5366</v>
      </c>
      <c r="D32" s="1" t="s">
        <v>5381</v>
      </c>
      <c r="E32" s="1" t="s">
        <v>7</v>
      </c>
      <c r="F32" s="1">
        <v>179.3</v>
      </c>
      <c r="G32" s="1" t="s">
        <v>5382</v>
      </c>
      <c r="H32" s="1" t="s">
        <v>5394</v>
      </c>
    </row>
    <row r="33" spans="3:8" x14ac:dyDescent="0.25">
      <c r="C33" s="1" t="s">
        <v>5366</v>
      </c>
      <c r="D33" s="1" t="s">
        <v>655</v>
      </c>
      <c r="E33" s="1" t="s">
        <v>7</v>
      </c>
      <c r="F33" s="1">
        <v>30</v>
      </c>
      <c r="G33" s="1" t="s">
        <v>5383</v>
      </c>
      <c r="H33" s="1" t="s">
        <v>5393</v>
      </c>
    </row>
    <row r="34" spans="3:8" x14ac:dyDescent="0.25">
      <c r="C34" s="1" t="s">
        <v>5366</v>
      </c>
      <c r="D34" s="1" t="s">
        <v>5384</v>
      </c>
      <c r="E34" s="1" t="s">
        <v>7</v>
      </c>
      <c r="F34" s="1">
        <v>34</v>
      </c>
      <c r="G34" s="1" t="s">
        <v>5385</v>
      </c>
      <c r="H34" s="1" t="s">
        <v>5170</v>
      </c>
    </row>
    <row r="35" spans="3:8" x14ac:dyDescent="0.25">
      <c r="C35" s="1" t="s">
        <v>5366</v>
      </c>
      <c r="D35" s="1" t="s">
        <v>39</v>
      </c>
      <c r="E35" s="1" t="s">
        <v>7</v>
      </c>
      <c r="F35" s="1">
        <v>36.799999999999997</v>
      </c>
      <c r="G35" s="1" t="s">
        <v>5386</v>
      </c>
      <c r="H35" s="1" t="s">
        <v>5392</v>
      </c>
    </row>
    <row r="36" spans="3:8" x14ac:dyDescent="0.25">
      <c r="C36" s="1" t="s">
        <v>5366</v>
      </c>
      <c r="D36" s="1" t="s">
        <v>164</v>
      </c>
      <c r="E36" s="1" t="s">
        <v>7</v>
      </c>
      <c r="F36" s="1">
        <v>106</v>
      </c>
      <c r="G36" s="1" t="s">
        <v>5387</v>
      </c>
      <c r="H36" s="1" t="s">
        <v>5170</v>
      </c>
    </row>
    <row r="37" spans="3:8" x14ac:dyDescent="0.25">
      <c r="C37" s="1" t="s">
        <v>5366</v>
      </c>
      <c r="D37" s="1" t="s">
        <v>23</v>
      </c>
      <c r="E37" s="1" t="s">
        <v>7</v>
      </c>
      <c r="F37" s="1">
        <v>2654.4</v>
      </c>
      <c r="G37" s="1" t="s">
        <v>5388</v>
      </c>
      <c r="H37" s="1" t="s">
        <v>5392</v>
      </c>
    </row>
    <row r="38" spans="3:8" x14ac:dyDescent="0.25">
      <c r="C38" s="1" t="s">
        <v>5366</v>
      </c>
      <c r="D38" s="1" t="s">
        <v>5389</v>
      </c>
      <c r="E38" s="1" t="s">
        <v>7</v>
      </c>
      <c r="F38" s="1">
        <v>94</v>
      </c>
      <c r="G38" s="1" t="s">
        <v>5390</v>
      </c>
      <c r="H38" s="1" t="s">
        <v>5395</v>
      </c>
    </row>
    <row r="39" spans="3:8" x14ac:dyDescent="0.25">
      <c r="C39" s="1" t="s">
        <v>5366</v>
      </c>
      <c r="D39" s="1" t="s">
        <v>5389</v>
      </c>
      <c r="E39" s="1" t="s">
        <v>7</v>
      </c>
      <c r="F39" s="1">
        <v>500</v>
      </c>
      <c r="G39" s="1" t="s">
        <v>5391</v>
      </c>
      <c r="H39" s="1" t="s">
        <v>5395</v>
      </c>
    </row>
  </sheetData>
  <pageMargins left="0.7" right="0.7" top="0.75" bottom="0.75" header="0.3" footer="0.3"/>
  <pageSetup paperSize="256" orientation="portrait" horizontalDpi="0" verticalDpi="0" r:id="rId1"/>
</worksheet>
</file>

<file path=xl/worksheets/sheet1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502A9F-270C-48D8-8D38-07D2A81A8ABB}">
  <sheetPr codeName="Hoja111"/>
  <dimension ref="D3:N40"/>
  <sheetViews>
    <sheetView topLeftCell="A11" workbookViewId="0">
      <selection activeCell="H34" sqref="H34"/>
    </sheetView>
  </sheetViews>
  <sheetFormatPr baseColWidth="10" defaultRowHeight="15.75" x14ac:dyDescent="0.25"/>
  <cols>
    <col min="4" max="4" width="11" style="3"/>
    <col min="5" max="5" width="26.375" style="3" customWidth="1"/>
    <col min="6" max="7" width="11" style="3"/>
    <col min="8" max="8" width="23.375" style="3" customWidth="1"/>
    <col min="9" max="9" width="31.625" style="3" customWidth="1"/>
    <col min="10" max="10" width="11" style="3"/>
  </cols>
  <sheetData>
    <row r="3" spans="4:9" x14ac:dyDescent="0.25">
      <c r="D3" s="1" t="s">
        <v>0</v>
      </c>
      <c r="E3" s="1" t="s">
        <v>1</v>
      </c>
      <c r="F3" s="1" t="s">
        <v>2</v>
      </c>
      <c r="G3" s="1" t="s">
        <v>3</v>
      </c>
      <c r="H3" s="1" t="s">
        <v>4</v>
      </c>
      <c r="I3" s="1"/>
    </row>
    <row r="4" spans="4:9" x14ac:dyDescent="0.25">
      <c r="D4" s="1"/>
      <c r="E4" s="1"/>
      <c r="F4" s="1"/>
      <c r="G4" s="1"/>
      <c r="H4" s="1"/>
      <c r="I4" s="1"/>
    </row>
    <row r="5" spans="4:9" x14ac:dyDescent="0.25">
      <c r="D5" s="1"/>
      <c r="E5" s="1"/>
      <c r="F5" s="1"/>
      <c r="G5" s="1"/>
      <c r="H5" s="1"/>
      <c r="I5" s="1"/>
    </row>
    <row r="6" spans="4:9" x14ac:dyDescent="0.25">
      <c r="D6" s="1" t="s">
        <v>5430</v>
      </c>
      <c r="E6" s="1" t="s">
        <v>299</v>
      </c>
      <c r="F6" s="1" t="s">
        <v>7</v>
      </c>
      <c r="G6" s="1">
        <v>338</v>
      </c>
      <c r="H6" s="1" t="s">
        <v>5486</v>
      </c>
      <c r="I6" s="1" t="s">
        <v>4912</v>
      </c>
    </row>
    <row r="7" spans="4:9" x14ac:dyDescent="0.25">
      <c r="D7" s="1" t="s">
        <v>5430</v>
      </c>
      <c r="E7" s="1" t="s">
        <v>509</v>
      </c>
      <c r="F7" s="1" t="s">
        <v>7</v>
      </c>
      <c r="G7" s="1">
        <v>17.5</v>
      </c>
      <c r="H7" s="1" t="s">
        <v>5454</v>
      </c>
      <c r="I7" s="1" t="s">
        <v>5476</v>
      </c>
    </row>
    <row r="8" spans="4:9" x14ac:dyDescent="0.25">
      <c r="D8" s="1" t="s">
        <v>5430</v>
      </c>
      <c r="E8" s="1" t="s">
        <v>509</v>
      </c>
      <c r="F8" s="1" t="s">
        <v>7</v>
      </c>
      <c r="G8" s="1">
        <v>5.5</v>
      </c>
      <c r="H8" s="1" t="s">
        <v>5455</v>
      </c>
      <c r="I8" s="1" t="s">
        <v>915</v>
      </c>
    </row>
    <row r="9" spans="4:9" x14ac:dyDescent="0.25">
      <c r="D9" s="1" t="s">
        <v>5430</v>
      </c>
      <c r="E9" s="1" t="s">
        <v>27</v>
      </c>
      <c r="F9" s="1" t="s">
        <v>7</v>
      </c>
      <c r="G9" s="1">
        <v>10</v>
      </c>
      <c r="H9" s="1" t="s">
        <v>5456</v>
      </c>
      <c r="I9" s="1" t="s">
        <v>5477</v>
      </c>
    </row>
    <row r="10" spans="4:9" x14ac:dyDescent="0.25">
      <c r="D10" s="1" t="s">
        <v>5430</v>
      </c>
      <c r="E10" s="1" t="s">
        <v>161</v>
      </c>
      <c r="F10" s="1" t="s">
        <v>7</v>
      </c>
      <c r="G10" s="1">
        <v>27.5</v>
      </c>
      <c r="H10" s="1" t="s">
        <v>5457</v>
      </c>
      <c r="I10" s="1" t="s">
        <v>5478</v>
      </c>
    </row>
    <row r="11" spans="4:9" x14ac:dyDescent="0.25">
      <c r="D11" s="1" t="s">
        <v>5430</v>
      </c>
      <c r="E11" s="1" t="s">
        <v>23</v>
      </c>
      <c r="F11" s="1" t="s">
        <v>7</v>
      </c>
      <c r="G11" s="1">
        <v>1792</v>
      </c>
      <c r="H11" s="1" t="s">
        <v>5458</v>
      </c>
      <c r="I11" s="1" t="s">
        <v>5485</v>
      </c>
    </row>
    <row r="12" spans="4:9" x14ac:dyDescent="0.25">
      <c r="D12" s="1" t="s">
        <v>5430</v>
      </c>
      <c r="E12" s="1" t="s">
        <v>2105</v>
      </c>
      <c r="F12" s="1" t="s">
        <v>7</v>
      </c>
      <c r="G12" s="1">
        <v>46</v>
      </c>
      <c r="H12" s="1" t="s">
        <v>5459</v>
      </c>
      <c r="I12" s="1" t="s">
        <v>5479</v>
      </c>
    </row>
    <row r="13" spans="4:9" x14ac:dyDescent="0.25">
      <c r="D13" s="1" t="s">
        <v>5430</v>
      </c>
      <c r="E13" s="1" t="s">
        <v>5460</v>
      </c>
      <c r="F13" s="1" t="s">
        <v>7</v>
      </c>
      <c r="G13" s="1">
        <v>925</v>
      </c>
      <c r="H13" s="1" t="s">
        <v>5461</v>
      </c>
      <c r="I13" s="1" t="s">
        <v>1388</v>
      </c>
    </row>
    <row r="14" spans="4:9" x14ac:dyDescent="0.25">
      <c r="D14" s="1" t="s">
        <v>5430</v>
      </c>
      <c r="E14" s="1" t="s">
        <v>5462</v>
      </c>
      <c r="F14" s="1" t="s">
        <v>7</v>
      </c>
      <c r="G14" s="1">
        <v>1000</v>
      </c>
      <c r="H14" s="1" t="s">
        <v>5463</v>
      </c>
      <c r="I14" s="1" t="s">
        <v>1388</v>
      </c>
    </row>
    <row r="15" spans="4:9" x14ac:dyDescent="0.25">
      <c r="D15" s="1" t="s">
        <v>5430</v>
      </c>
      <c r="E15" s="1" t="s">
        <v>521</v>
      </c>
      <c r="F15" s="1" t="s">
        <v>7</v>
      </c>
      <c r="G15" s="1">
        <v>2</v>
      </c>
      <c r="H15" s="1" t="s">
        <v>5464</v>
      </c>
      <c r="I15" s="1" t="s">
        <v>5480</v>
      </c>
    </row>
    <row r="16" spans="4:9" x14ac:dyDescent="0.25">
      <c r="D16" s="28" t="s">
        <v>5430</v>
      </c>
      <c r="E16" s="28" t="s">
        <v>105</v>
      </c>
      <c r="F16" s="28" t="s">
        <v>7</v>
      </c>
      <c r="G16" s="28">
        <v>-725.54</v>
      </c>
      <c r="H16" s="28" t="s">
        <v>5465</v>
      </c>
      <c r="I16" s="28" t="s">
        <v>5453</v>
      </c>
    </row>
    <row r="17" spans="4:9" x14ac:dyDescent="0.25">
      <c r="D17" s="1" t="s">
        <v>5430</v>
      </c>
      <c r="E17" s="1" t="s">
        <v>5462</v>
      </c>
      <c r="F17" s="1" t="s">
        <v>7</v>
      </c>
      <c r="G17" s="1">
        <v>1000</v>
      </c>
      <c r="H17" s="1" t="s">
        <v>5466</v>
      </c>
      <c r="I17" s="1" t="s">
        <v>1388</v>
      </c>
    </row>
    <row r="18" spans="4:9" x14ac:dyDescent="0.25">
      <c r="D18" s="28" t="s">
        <v>5430</v>
      </c>
      <c r="E18" s="28" t="s">
        <v>105</v>
      </c>
      <c r="F18" s="28" t="s">
        <v>7</v>
      </c>
      <c r="G18" s="28">
        <v>-1775.4</v>
      </c>
      <c r="H18" s="28" t="s">
        <v>5467</v>
      </c>
      <c r="I18" s="28" t="s">
        <v>5453</v>
      </c>
    </row>
    <row r="19" spans="4:9" x14ac:dyDescent="0.25">
      <c r="D19" s="1" t="s">
        <v>5430</v>
      </c>
      <c r="E19" s="1" t="s">
        <v>23</v>
      </c>
      <c r="F19" s="1" t="s">
        <v>7</v>
      </c>
      <c r="G19" s="1">
        <v>1775.5</v>
      </c>
      <c r="H19" s="1" t="s">
        <v>5468</v>
      </c>
      <c r="I19" s="1" t="s">
        <v>5484</v>
      </c>
    </row>
    <row r="20" spans="4:9" x14ac:dyDescent="0.25">
      <c r="D20" s="28" t="s">
        <v>5430</v>
      </c>
      <c r="E20" s="28" t="s">
        <v>105</v>
      </c>
      <c r="F20" s="28" t="s">
        <v>7</v>
      </c>
      <c r="G20" s="28">
        <v>-46</v>
      </c>
      <c r="H20" s="28" t="s">
        <v>5469</v>
      </c>
      <c r="I20" s="28" t="s">
        <v>5453</v>
      </c>
    </row>
    <row r="21" spans="4:9" x14ac:dyDescent="0.25">
      <c r="D21" s="1" t="s">
        <v>5430</v>
      </c>
      <c r="E21" s="1" t="s">
        <v>509</v>
      </c>
      <c r="F21" s="1" t="s">
        <v>7</v>
      </c>
      <c r="G21" s="1">
        <v>46</v>
      </c>
      <c r="H21" s="1" t="s">
        <v>5470</v>
      </c>
      <c r="I21" s="1" t="s">
        <v>5482</v>
      </c>
    </row>
    <row r="22" spans="4:9" x14ac:dyDescent="0.25">
      <c r="D22" s="28" t="s">
        <v>5430</v>
      </c>
      <c r="E22" s="28" t="s">
        <v>105</v>
      </c>
      <c r="F22" s="28" t="s">
        <v>7</v>
      </c>
      <c r="G22" s="28">
        <v>-85</v>
      </c>
      <c r="H22" s="28" t="s">
        <v>5471</v>
      </c>
      <c r="I22" s="28" t="s">
        <v>5453</v>
      </c>
    </row>
    <row r="23" spans="4:9" x14ac:dyDescent="0.25">
      <c r="D23" s="1" t="s">
        <v>5430</v>
      </c>
      <c r="E23" s="1" t="s">
        <v>6</v>
      </c>
      <c r="F23" s="1" t="s">
        <v>7</v>
      </c>
      <c r="G23" s="1">
        <v>85</v>
      </c>
      <c r="H23" s="1" t="s">
        <v>5472</v>
      </c>
      <c r="I23" s="1" t="s">
        <v>5481</v>
      </c>
    </row>
    <row r="24" spans="4:9" x14ac:dyDescent="0.25">
      <c r="D24" s="28" t="s">
        <v>5430</v>
      </c>
      <c r="E24" s="28" t="s">
        <v>105</v>
      </c>
      <c r="F24" s="28" t="s">
        <v>7</v>
      </c>
      <c r="G24" s="28">
        <v>-524</v>
      </c>
      <c r="H24" s="28" t="s">
        <v>5473</v>
      </c>
      <c r="I24" s="28" t="s">
        <v>5453</v>
      </c>
    </row>
    <row r="25" spans="4:9" x14ac:dyDescent="0.25">
      <c r="D25" s="1" t="s">
        <v>5430</v>
      </c>
      <c r="E25" s="1" t="s">
        <v>509</v>
      </c>
      <c r="F25" s="1" t="s">
        <v>7</v>
      </c>
      <c r="G25" s="1">
        <v>20</v>
      </c>
      <c r="H25" s="1" t="s">
        <v>5474</v>
      </c>
      <c r="I25" s="1" t="s">
        <v>5483</v>
      </c>
    </row>
    <row r="26" spans="4:9" x14ac:dyDescent="0.25">
      <c r="D26" s="1" t="s">
        <v>5430</v>
      </c>
      <c r="E26" s="1" t="s">
        <v>3555</v>
      </c>
      <c r="F26" s="1" t="s">
        <v>7</v>
      </c>
      <c r="G26" s="1">
        <v>104</v>
      </c>
      <c r="H26" s="1" t="s">
        <v>5431</v>
      </c>
      <c r="I26" s="1" t="s">
        <v>3566</v>
      </c>
    </row>
    <row r="27" spans="4:9" x14ac:dyDescent="0.25">
      <c r="D27" s="1" t="s">
        <v>5430</v>
      </c>
      <c r="E27" s="1" t="s">
        <v>3555</v>
      </c>
      <c r="F27" s="1" t="s">
        <v>7</v>
      </c>
      <c r="G27" s="1">
        <v>400</v>
      </c>
      <c r="H27" s="1" t="s">
        <v>5432</v>
      </c>
      <c r="I27" s="1" t="s">
        <v>3566</v>
      </c>
    </row>
    <row r="28" spans="4:9" x14ac:dyDescent="0.25">
      <c r="D28" s="28" t="s">
        <v>5430</v>
      </c>
      <c r="E28" s="28" t="s">
        <v>105</v>
      </c>
      <c r="F28" s="28" t="s">
        <v>7</v>
      </c>
      <c r="G28" s="28">
        <v>-1104.3900000000001</v>
      </c>
      <c r="H28" s="28" t="s">
        <v>5433</v>
      </c>
      <c r="I28" s="28" t="s">
        <v>5453</v>
      </c>
    </row>
    <row r="29" spans="4:9" x14ac:dyDescent="0.25">
      <c r="D29" s="1" t="s">
        <v>5430</v>
      </c>
      <c r="E29" s="1" t="s">
        <v>960</v>
      </c>
      <c r="F29" s="1" t="s">
        <v>7</v>
      </c>
      <c r="G29" s="1">
        <v>5</v>
      </c>
      <c r="H29" s="1" t="s">
        <v>5434</v>
      </c>
      <c r="I29" s="1" t="s">
        <v>5452</v>
      </c>
    </row>
    <row r="30" spans="4:9" x14ac:dyDescent="0.25">
      <c r="D30" s="1" t="s">
        <v>5430</v>
      </c>
      <c r="E30" s="1" t="s">
        <v>960</v>
      </c>
      <c r="F30" s="1" t="s">
        <v>7</v>
      </c>
      <c r="G30" s="1">
        <v>10</v>
      </c>
      <c r="H30" s="1" t="s">
        <v>5435</v>
      </c>
      <c r="I30" s="1" t="s">
        <v>5451</v>
      </c>
    </row>
    <row r="31" spans="4:9" x14ac:dyDescent="0.25">
      <c r="D31" s="1" t="s">
        <v>5430</v>
      </c>
      <c r="E31" s="1" t="s">
        <v>655</v>
      </c>
      <c r="F31" s="1" t="s">
        <v>7</v>
      </c>
      <c r="G31" s="1">
        <v>54</v>
      </c>
      <c r="H31" s="1" t="s">
        <v>5436</v>
      </c>
      <c r="I31" s="1" t="s">
        <v>5450</v>
      </c>
    </row>
    <row r="32" spans="4:9" x14ac:dyDescent="0.25">
      <c r="D32" s="1" t="s">
        <v>5430</v>
      </c>
      <c r="E32" s="1" t="s">
        <v>655</v>
      </c>
      <c r="F32" s="1" t="s">
        <v>7</v>
      </c>
      <c r="G32" s="1">
        <v>86</v>
      </c>
      <c r="H32" s="1" t="s">
        <v>5437</v>
      </c>
      <c r="I32" s="1" t="s">
        <v>5448</v>
      </c>
    </row>
    <row r="33" spans="4:14" x14ac:dyDescent="0.25">
      <c r="D33" s="1" t="s">
        <v>5430</v>
      </c>
      <c r="E33" s="1" t="s">
        <v>23</v>
      </c>
      <c r="F33" s="1" t="s">
        <v>7</v>
      </c>
      <c r="G33" s="1">
        <v>900</v>
      </c>
      <c r="H33" s="1" t="s">
        <v>5438</v>
      </c>
      <c r="I33" s="1" t="s">
        <v>68</v>
      </c>
      <c r="N33">
        <f>2.9*800</f>
        <v>2320</v>
      </c>
    </row>
    <row r="34" spans="4:14" x14ac:dyDescent="0.25">
      <c r="D34" s="28" t="s">
        <v>5430</v>
      </c>
      <c r="E34" s="28" t="s">
        <v>472</v>
      </c>
      <c r="F34" s="28" t="s">
        <v>7</v>
      </c>
      <c r="G34" s="28">
        <v>-22460</v>
      </c>
      <c r="H34" s="28" t="s">
        <v>5439</v>
      </c>
      <c r="I34" s="28" t="s">
        <v>5449</v>
      </c>
    </row>
    <row r="35" spans="4:14" x14ac:dyDescent="0.25">
      <c r="D35" s="28" t="s">
        <v>5430</v>
      </c>
      <c r="E35" s="28" t="s">
        <v>5440</v>
      </c>
      <c r="F35" s="28" t="s">
        <v>7</v>
      </c>
      <c r="G35" s="28">
        <v>-500</v>
      </c>
      <c r="H35" s="28" t="s">
        <v>5441</v>
      </c>
      <c r="I35" s="28" t="s">
        <v>5475</v>
      </c>
    </row>
    <row r="36" spans="4:14" x14ac:dyDescent="0.25">
      <c r="D36" s="28" t="s">
        <v>5430</v>
      </c>
      <c r="E36" s="28" t="s">
        <v>5440</v>
      </c>
      <c r="F36" s="28" t="s">
        <v>7</v>
      </c>
      <c r="G36" s="28">
        <v>-320</v>
      </c>
      <c r="H36" s="28" t="s">
        <v>5442</v>
      </c>
      <c r="I36" s="28" t="s">
        <v>5475</v>
      </c>
    </row>
    <row r="37" spans="4:14" x14ac:dyDescent="0.25">
      <c r="D37" s="28" t="s">
        <v>5430</v>
      </c>
      <c r="E37" s="28" t="s">
        <v>5440</v>
      </c>
      <c r="F37" s="28" t="s">
        <v>7</v>
      </c>
      <c r="G37" s="28">
        <v>-500</v>
      </c>
      <c r="H37" s="28" t="s">
        <v>5443</v>
      </c>
      <c r="I37" s="28" t="s">
        <v>5475</v>
      </c>
    </row>
    <row r="38" spans="4:14" x14ac:dyDescent="0.25">
      <c r="D38" s="28" t="s">
        <v>5430</v>
      </c>
      <c r="E38" s="28" t="s">
        <v>5440</v>
      </c>
      <c r="F38" s="28" t="s">
        <v>7</v>
      </c>
      <c r="G38" s="28">
        <v>-500</v>
      </c>
      <c r="H38" s="28" t="s">
        <v>5444</v>
      </c>
      <c r="I38" s="28" t="s">
        <v>5475</v>
      </c>
    </row>
    <row r="40" spans="4:14" x14ac:dyDescent="0.25">
      <c r="D40" s="28" t="s">
        <v>5430</v>
      </c>
      <c r="E40" s="28" t="s">
        <v>2972</v>
      </c>
      <c r="F40" s="28" t="s">
        <v>7</v>
      </c>
      <c r="G40" s="28">
        <v>-7000</v>
      </c>
      <c r="H40" s="28">
        <v>2177</v>
      </c>
      <c r="I40" s="28" t="s">
        <v>5449</v>
      </c>
    </row>
  </sheetData>
  <pageMargins left="0.7" right="0.7" top="0.75" bottom="0.75" header="0.3" footer="0.3"/>
  <pageSetup paperSize="256" orientation="portrait" horizontalDpi="0" verticalDpi="0" r:id="rId1"/>
</worksheet>
</file>

<file path=xl/worksheets/sheet1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02C872-4EB0-467A-BA54-E8761C7464B0}">
  <sheetPr codeName="Hoja112"/>
  <dimension ref="D3:J40"/>
  <sheetViews>
    <sheetView topLeftCell="A10" workbookViewId="0">
      <selection activeCell="G6" sqref="G6"/>
    </sheetView>
  </sheetViews>
  <sheetFormatPr baseColWidth="10" defaultRowHeight="15.75" x14ac:dyDescent="0.25"/>
  <cols>
    <col min="4" max="4" width="11" style="3"/>
    <col min="5" max="5" width="28" style="3" customWidth="1"/>
    <col min="6" max="7" width="11" style="3"/>
    <col min="8" max="8" width="18.75" style="3" bestFit="1" customWidth="1"/>
    <col min="9" max="9" width="38.875" style="3" bestFit="1" customWidth="1"/>
    <col min="10" max="10" width="11" style="3"/>
  </cols>
  <sheetData>
    <row r="3" spans="4:10" x14ac:dyDescent="0.25">
      <c r="D3" s="1" t="s">
        <v>0</v>
      </c>
      <c r="E3" s="1" t="s">
        <v>1</v>
      </c>
      <c r="F3" s="1" t="s">
        <v>2</v>
      </c>
      <c r="G3" s="1" t="s">
        <v>3</v>
      </c>
      <c r="H3" s="1" t="s">
        <v>4</v>
      </c>
      <c r="I3" s="1"/>
      <c r="J3" s="1"/>
    </row>
    <row r="4" spans="4:10" x14ac:dyDescent="0.25">
      <c r="D4" s="1"/>
      <c r="E4" s="1"/>
      <c r="F4" s="1"/>
      <c r="G4" s="1"/>
      <c r="H4" s="1"/>
      <c r="I4" s="1"/>
      <c r="J4" s="1"/>
    </row>
    <row r="5" spans="4:10" x14ac:dyDescent="0.25">
      <c r="D5" s="28" t="s">
        <v>5487</v>
      </c>
      <c r="E5" s="28" t="s">
        <v>5556</v>
      </c>
      <c r="F5" s="28" t="s">
        <v>7</v>
      </c>
      <c r="G5" s="28">
        <v>-50</v>
      </c>
      <c r="H5" s="28" t="s">
        <v>5557</v>
      </c>
      <c r="I5" s="28" t="s">
        <v>5562</v>
      </c>
      <c r="J5" s="1"/>
    </row>
    <row r="6" spans="4:10" x14ac:dyDescent="0.25">
      <c r="D6" s="1" t="s">
        <v>5487</v>
      </c>
      <c r="E6" s="1" t="s">
        <v>5558</v>
      </c>
      <c r="F6" s="1" t="s">
        <v>7</v>
      </c>
      <c r="G6" s="168">
        <v>400</v>
      </c>
      <c r="H6" s="1" t="s">
        <v>5559</v>
      </c>
      <c r="I6" s="1" t="s">
        <v>5563</v>
      </c>
      <c r="J6" s="1"/>
    </row>
    <row r="7" spans="4:10" x14ac:dyDescent="0.25">
      <c r="D7" s="1" t="s">
        <v>5487</v>
      </c>
      <c r="E7" s="1" t="s">
        <v>5560</v>
      </c>
      <c r="F7" s="1" t="s">
        <v>7</v>
      </c>
      <c r="G7" s="1">
        <v>100.5</v>
      </c>
      <c r="H7" s="1" t="s">
        <v>5561</v>
      </c>
      <c r="I7" s="1" t="s">
        <v>386</v>
      </c>
      <c r="J7" s="1"/>
    </row>
    <row r="8" spans="4:10" x14ac:dyDescent="0.25">
      <c r="D8" s="1" t="s">
        <v>5487</v>
      </c>
      <c r="E8" s="1" t="s">
        <v>5515</v>
      </c>
      <c r="F8" s="1" t="s">
        <v>7</v>
      </c>
      <c r="G8" s="1">
        <v>21</v>
      </c>
      <c r="H8" s="1" t="s">
        <v>5516</v>
      </c>
      <c r="I8" s="1" t="s">
        <v>5553</v>
      </c>
      <c r="J8" s="1"/>
    </row>
    <row r="9" spans="4:10" x14ac:dyDescent="0.25">
      <c r="D9" s="1" t="s">
        <v>5487</v>
      </c>
      <c r="E9" s="1" t="s">
        <v>960</v>
      </c>
      <c r="F9" s="1" t="s">
        <v>7</v>
      </c>
      <c r="G9" s="1">
        <v>184.5</v>
      </c>
      <c r="H9" s="1" t="s">
        <v>5517</v>
      </c>
      <c r="I9" s="1" t="s">
        <v>5424</v>
      </c>
      <c r="J9" s="1"/>
    </row>
    <row r="10" spans="4:10" x14ac:dyDescent="0.25">
      <c r="D10" s="1" t="s">
        <v>5487</v>
      </c>
      <c r="E10" s="1" t="s">
        <v>5518</v>
      </c>
      <c r="F10" s="1" t="s">
        <v>7</v>
      </c>
      <c r="G10" s="1">
        <v>165</v>
      </c>
      <c r="H10" s="1" t="s">
        <v>5519</v>
      </c>
      <c r="I10" s="1" t="s">
        <v>5552</v>
      </c>
      <c r="J10" s="1"/>
    </row>
    <row r="11" spans="4:10" x14ac:dyDescent="0.25">
      <c r="D11" s="1" t="s">
        <v>5487</v>
      </c>
      <c r="E11" s="1" t="s">
        <v>5520</v>
      </c>
      <c r="F11" s="1" t="s">
        <v>7</v>
      </c>
      <c r="G11" s="1">
        <v>300</v>
      </c>
      <c r="H11" s="1" t="s">
        <v>5521</v>
      </c>
      <c r="I11" s="1" t="s">
        <v>5550</v>
      </c>
      <c r="J11" s="1" t="s">
        <v>5551</v>
      </c>
    </row>
    <row r="12" spans="4:10" x14ac:dyDescent="0.25">
      <c r="D12" s="28" t="s">
        <v>5487</v>
      </c>
      <c r="E12" s="28" t="s">
        <v>2625</v>
      </c>
      <c r="F12" s="28" t="s">
        <v>7</v>
      </c>
      <c r="G12" s="28">
        <v>-70</v>
      </c>
      <c r="H12" s="28" t="s">
        <v>5522</v>
      </c>
      <c r="I12" s="28" t="s">
        <v>5548</v>
      </c>
      <c r="J12" s="1"/>
    </row>
    <row r="13" spans="4:10" x14ac:dyDescent="0.25">
      <c r="D13" s="1" t="s">
        <v>5487</v>
      </c>
      <c r="E13" s="1" t="s">
        <v>5523</v>
      </c>
      <c r="F13" s="1" t="s">
        <v>7</v>
      </c>
      <c r="G13" s="1">
        <v>34</v>
      </c>
      <c r="H13" s="1" t="s">
        <v>5524</v>
      </c>
      <c r="I13" s="1" t="s">
        <v>5547</v>
      </c>
      <c r="J13" s="1"/>
    </row>
    <row r="14" spans="4:10" x14ac:dyDescent="0.25">
      <c r="D14" s="1" t="s">
        <v>5487</v>
      </c>
      <c r="E14" s="1" t="s">
        <v>23</v>
      </c>
      <c r="F14" s="1" t="s">
        <v>7</v>
      </c>
      <c r="G14" s="1">
        <v>2000</v>
      </c>
      <c r="H14" s="1" t="s">
        <v>5525</v>
      </c>
      <c r="I14" s="1" t="s">
        <v>5555</v>
      </c>
      <c r="J14" s="1"/>
    </row>
    <row r="15" spans="4:10" x14ac:dyDescent="0.25">
      <c r="D15" s="1" t="s">
        <v>5487</v>
      </c>
      <c r="E15" s="1" t="s">
        <v>5526</v>
      </c>
      <c r="F15" s="1" t="s">
        <v>7</v>
      </c>
      <c r="G15" s="1">
        <v>22</v>
      </c>
      <c r="H15" s="1" t="s">
        <v>5527</v>
      </c>
      <c r="I15" s="1" t="s">
        <v>5546</v>
      </c>
      <c r="J15" s="1"/>
    </row>
    <row r="16" spans="4:10" x14ac:dyDescent="0.25">
      <c r="D16" s="1" t="s">
        <v>5487</v>
      </c>
      <c r="E16" s="1" t="s">
        <v>5528</v>
      </c>
      <c r="F16" s="1" t="s">
        <v>7</v>
      </c>
      <c r="G16" s="1">
        <v>36</v>
      </c>
      <c r="H16" s="1" t="s">
        <v>5529</v>
      </c>
      <c r="I16" s="1" t="s">
        <v>5545</v>
      </c>
      <c r="J16" s="1"/>
    </row>
    <row r="17" spans="4:10" x14ac:dyDescent="0.25">
      <c r="D17" s="1" t="s">
        <v>5487</v>
      </c>
      <c r="E17" s="1" t="s">
        <v>4462</v>
      </c>
      <c r="F17" s="1" t="s">
        <v>7</v>
      </c>
      <c r="G17" s="1">
        <v>14</v>
      </c>
      <c r="H17" s="1" t="s">
        <v>5530</v>
      </c>
      <c r="I17" s="1" t="s">
        <v>5544</v>
      </c>
      <c r="J17" s="1"/>
    </row>
    <row r="18" spans="4:10" x14ac:dyDescent="0.25">
      <c r="D18" s="1" t="s">
        <v>5487</v>
      </c>
      <c r="E18" s="1" t="s">
        <v>5531</v>
      </c>
      <c r="F18" s="1" t="s">
        <v>7</v>
      </c>
      <c r="G18" s="1">
        <v>28</v>
      </c>
      <c r="H18" s="1" t="s">
        <v>5532</v>
      </c>
      <c r="I18" s="1" t="s">
        <v>5543</v>
      </c>
      <c r="J18" s="1"/>
    </row>
    <row r="19" spans="4:10" x14ac:dyDescent="0.25">
      <c r="D19" s="1" t="s">
        <v>5487</v>
      </c>
      <c r="E19" s="1" t="s">
        <v>5533</v>
      </c>
      <c r="F19" s="1" t="s">
        <v>7</v>
      </c>
      <c r="G19" s="1">
        <v>11</v>
      </c>
      <c r="H19" s="1" t="s">
        <v>5534</v>
      </c>
      <c r="I19" s="1" t="s">
        <v>5542</v>
      </c>
      <c r="J19" s="1"/>
    </row>
    <row r="20" spans="4:10" x14ac:dyDescent="0.25">
      <c r="D20" s="1" t="s">
        <v>5487</v>
      </c>
      <c r="E20" s="1" t="s">
        <v>5535</v>
      </c>
      <c r="F20" s="1" t="s">
        <v>7</v>
      </c>
      <c r="G20" s="1">
        <v>980.7</v>
      </c>
      <c r="H20" s="1" t="s">
        <v>5536</v>
      </c>
      <c r="I20" s="1" t="s">
        <v>5549</v>
      </c>
      <c r="J20" s="1"/>
    </row>
    <row r="21" spans="4:10" x14ac:dyDescent="0.25">
      <c r="D21" s="1" t="s">
        <v>5487</v>
      </c>
      <c r="E21" s="1" t="s">
        <v>5535</v>
      </c>
      <c r="F21" s="1" t="s">
        <v>7</v>
      </c>
      <c r="G21" s="1">
        <v>1000</v>
      </c>
      <c r="H21" s="1" t="s">
        <v>5537</v>
      </c>
      <c r="I21" s="1" t="s">
        <v>5549</v>
      </c>
      <c r="J21" s="1"/>
    </row>
    <row r="22" spans="4:10" x14ac:dyDescent="0.25">
      <c r="D22" s="1" t="s">
        <v>5487</v>
      </c>
      <c r="E22" s="1" t="s">
        <v>5535</v>
      </c>
      <c r="F22" s="1" t="s">
        <v>7</v>
      </c>
      <c r="G22" s="1">
        <v>1000</v>
      </c>
      <c r="H22" s="1" t="s">
        <v>5538</v>
      </c>
      <c r="I22" s="1" t="s">
        <v>5549</v>
      </c>
      <c r="J22" s="1"/>
    </row>
    <row r="23" spans="4:10" x14ac:dyDescent="0.25">
      <c r="D23" s="1" t="s">
        <v>5487</v>
      </c>
      <c r="E23" s="1" t="s">
        <v>5535</v>
      </c>
      <c r="F23" s="1" t="s">
        <v>7</v>
      </c>
      <c r="G23" s="1">
        <v>1000</v>
      </c>
      <c r="H23" s="1" t="s">
        <v>5539</v>
      </c>
      <c r="I23" s="1" t="s">
        <v>5549</v>
      </c>
      <c r="J23" s="1"/>
    </row>
    <row r="24" spans="4:10" x14ac:dyDescent="0.25">
      <c r="D24" s="1" t="s">
        <v>5487</v>
      </c>
      <c r="E24" s="1" t="s">
        <v>122</v>
      </c>
      <c r="F24" s="1" t="s">
        <v>7</v>
      </c>
      <c r="G24" s="1">
        <v>30</v>
      </c>
      <c r="H24" s="1" t="s">
        <v>5540</v>
      </c>
      <c r="I24" s="1" t="s">
        <v>5541</v>
      </c>
      <c r="J24" s="1"/>
    </row>
    <row r="25" spans="4:10" x14ac:dyDescent="0.25">
      <c r="D25" s="1" t="s">
        <v>5487</v>
      </c>
      <c r="E25" s="1" t="s">
        <v>509</v>
      </c>
      <c r="F25" s="1" t="s">
        <v>7</v>
      </c>
      <c r="G25" s="1">
        <v>50</v>
      </c>
      <c r="H25" s="1" t="s">
        <v>5488</v>
      </c>
      <c r="I25" s="1" t="s">
        <v>915</v>
      </c>
      <c r="J25" s="1"/>
    </row>
    <row r="26" spans="4:10" x14ac:dyDescent="0.25">
      <c r="D26" s="1" t="s">
        <v>5487</v>
      </c>
      <c r="E26" s="1" t="s">
        <v>509</v>
      </c>
      <c r="F26" s="1" t="s">
        <v>7</v>
      </c>
      <c r="G26" s="1">
        <v>541.1</v>
      </c>
      <c r="H26" s="1" t="s">
        <v>5489</v>
      </c>
      <c r="I26" s="1" t="s">
        <v>5513</v>
      </c>
      <c r="J26" s="1"/>
    </row>
    <row r="27" spans="4:10" x14ac:dyDescent="0.25">
      <c r="D27" s="1" t="s">
        <v>5487</v>
      </c>
      <c r="E27" s="1" t="s">
        <v>5490</v>
      </c>
      <c r="F27" s="1" t="s">
        <v>7</v>
      </c>
      <c r="G27" s="1">
        <v>6040</v>
      </c>
      <c r="H27" s="1" t="s">
        <v>5491</v>
      </c>
      <c r="I27" s="1" t="s">
        <v>5514</v>
      </c>
      <c r="J27" s="1"/>
    </row>
    <row r="28" spans="4:10" x14ac:dyDescent="0.25">
      <c r="D28" s="1" t="s">
        <v>5487</v>
      </c>
      <c r="E28" s="1" t="s">
        <v>5492</v>
      </c>
      <c r="F28" s="1" t="s">
        <v>7</v>
      </c>
      <c r="G28" s="1">
        <v>9016</v>
      </c>
      <c r="H28" s="1" t="s">
        <v>5493</v>
      </c>
      <c r="I28" s="1" t="s">
        <v>5514</v>
      </c>
      <c r="J28" s="1"/>
    </row>
    <row r="29" spans="4:10" x14ac:dyDescent="0.25">
      <c r="D29" s="1" t="s">
        <v>5487</v>
      </c>
      <c r="E29" s="1" t="s">
        <v>5494</v>
      </c>
      <c r="F29" s="1" t="s">
        <v>7</v>
      </c>
      <c r="G29" s="1">
        <v>7830</v>
      </c>
      <c r="H29" s="1" t="s">
        <v>5495</v>
      </c>
      <c r="I29" s="1" t="s">
        <v>5514</v>
      </c>
      <c r="J29" s="1"/>
    </row>
    <row r="30" spans="4:10" x14ac:dyDescent="0.25">
      <c r="D30" s="1" t="s">
        <v>5487</v>
      </c>
      <c r="E30" s="1" t="s">
        <v>5496</v>
      </c>
      <c r="F30" s="1" t="s">
        <v>7</v>
      </c>
      <c r="G30" s="1">
        <v>7287.5</v>
      </c>
      <c r="H30" s="1" t="s">
        <v>5497</v>
      </c>
      <c r="I30" s="1" t="s">
        <v>5514</v>
      </c>
      <c r="J30" s="1"/>
    </row>
    <row r="31" spans="4:10" x14ac:dyDescent="0.25">
      <c r="D31" s="1" t="s">
        <v>5487</v>
      </c>
      <c r="E31" s="1" t="s">
        <v>3524</v>
      </c>
      <c r="F31" s="1" t="s">
        <v>7</v>
      </c>
      <c r="G31" s="1">
        <v>22.5</v>
      </c>
      <c r="H31" s="1" t="s">
        <v>5498</v>
      </c>
      <c r="I31" s="1" t="s">
        <v>5512</v>
      </c>
      <c r="J31" s="1"/>
    </row>
    <row r="32" spans="4:10" x14ac:dyDescent="0.25">
      <c r="D32" s="1" t="s">
        <v>5487</v>
      </c>
      <c r="E32" s="1" t="s">
        <v>4622</v>
      </c>
      <c r="F32" s="1" t="s">
        <v>7</v>
      </c>
      <c r="G32" s="1">
        <v>28</v>
      </c>
      <c r="H32" s="1" t="s">
        <v>5499</v>
      </c>
      <c r="I32" s="1" t="s">
        <v>235</v>
      </c>
      <c r="J32" s="1"/>
    </row>
    <row r="33" spans="4:10" x14ac:dyDescent="0.25">
      <c r="D33" s="1" t="s">
        <v>5487</v>
      </c>
      <c r="E33" s="1" t="s">
        <v>5500</v>
      </c>
      <c r="F33" s="1" t="s">
        <v>7</v>
      </c>
      <c r="G33" s="1">
        <v>170</v>
      </c>
      <c r="H33" s="1" t="s">
        <v>5501</v>
      </c>
      <c r="I33" s="1" t="s">
        <v>5511</v>
      </c>
      <c r="J33" s="1"/>
    </row>
    <row r="34" spans="4:10" x14ac:dyDescent="0.25">
      <c r="D34" s="1" t="s">
        <v>5487</v>
      </c>
      <c r="E34" s="1" t="s">
        <v>23</v>
      </c>
      <c r="F34" s="1" t="s">
        <v>7</v>
      </c>
      <c r="G34" s="1">
        <v>122.5</v>
      </c>
      <c r="H34" s="1" t="s">
        <v>5502</v>
      </c>
      <c r="I34" s="1" t="s">
        <v>4967</v>
      </c>
      <c r="J34" s="1"/>
    </row>
    <row r="35" spans="4:10" x14ac:dyDescent="0.25">
      <c r="D35" s="1" t="s">
        <v>5487</v>
      </c>
      <c r="E35" s="1" t="s">
        <v>23</v>
      </c>
      <c r="F35" s="1" t="s">
        <v>7</v>
      </c>
      <c r="G35" s="1">
        <v>415</v>
      </c>
      <c r="H35" s="1" t="s">
        <v>5503</v>
      </c>
      <c r="I35" s="1" t="s">
        <v>5554</v>
      </c>
      <c r="J35" s="1"/>
    </row>
    <row r="36" spans="4:10" x14ac:dyDescent="0.25">
      <c r="D36" s="1" t="s">
        <v>5487</v>
      </c>
      <c r="E36" s="1" t="s">
        <v>356</v>
      </c>
      <c r="F36" s="1" t="s">
        <v>7</v>
      </c>
      <c r="G36" s="1">
        <v>20</v>
      </c>
      <c r="H36" s="1" t="s">
        <v>5504</v>
      </c>
      <c r="I36" s="1" t="s">
        <v>3609</v>
      </c>
      <c r="J36" s="1"/>
    </row>
    <row r="37" spans="4:10" x14ac:dyDescent="0.25">
      <c r="D37" s="1" t="s">
        <v>5487</v>
      </c>
      <c r="E37" s="1" t="s">
        <v>5505</v>
      </c>
      <c r="F37" s="1" t="s">
        <v>7</v>
      </c>
      <c r="G37" s="1">
        <v>5</v>
      </c>
      <c r="H37" s="1" t="s">
        <v>5506</v>
      </c>
      <c r="I37" s="1" t="s">
        <v>5510</v>
      </c>
      <c r="J37" s="1"/>
    </row>
    <row r="38" spans="4:10" x14ac:dyDescent="0.25">
      <c r="D38" s="1" t="s">
        <v>5487</v>
      </c>
      <c r="E38" s="1" t="s">
        <v>356</v>
      </c>
      <c r="F38" s="1" t="s">
        <v>7</v>
      </c>
      <c r="G38" s="1">
        <v>200</v>
      </c>
      <c r="H38" s="1" t="s">
        <v>5507</v>
      </c>
      <c r="I38" s="1" t="s">
        <v>3609</v>
      </c>
      <c r="J38" s="1"/>
    </row>
    <row r="39" spans="4:10" x14ac:dyDescent="0.25">
      <c r="D39" s="1" t="s">
        <v>5487</v>
      </c>
      <c r="E39" s="1" t="s">
        <v>960</v>
      </c>
      <c r="F39" s="1" t="s">
        <v>7</v>
      </c>
      <c r="G39" s="1">
        <v>45</v>
      </c>
      <c r="H39" s="1" t="s">
        <v>5508</v>
      </c>
      <c r="I39" s="1" t="s">
        <v>5424</v>
      </c>
      <c r="J39" s="1"/>
    </row>
    <row r="40" spans="4:10" x14ac:dyDescent="0.25">
      <c r="D40" s="1" t="s">
        <v>5487</v>
      </c>
      <c r="E40" s="1" t="s">
        <v>17</v>
      </c>
      <c r="F40" s="1" t="s">
        <v>7</v>
      </c>
      <c r="G40" s="1">
        <v>21</v>
      </c>
      <c r="H40" s="1" t="s">
        <v>5509</v>
      </c>
      <c r="I40" s="1" t="s">
        <v>235</v>
      </c>
      <c r="J40" s="1"/>
    </row>
  </sheetData>
  <pageMargins left="0.7" right="0.7" top="0.75" bottom="0.75" header="0.3" footer="0.3"/>
  <pageSetup paperSize="256" orientation="portrait" horizontalDpi="0" verticalDpi="0" r:id="rId1"/>
</worksheet>
</file>

<file path=xl/worksheets/sheet1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614E6A-EB08-4EA1-8D76-5FC3EA79E169}">
  <sheetPr codeName="Hoja113"/>
  <dimension ref="C3:I48"/>
  <sheetViews>
    <sheetView topLeftCell="A4" workbookViewId="0">
      <selection activeCell="I27" sqref="I27"/>
    </sheetView>
  </sheetViews>
  <sheetFormatPr baseColWidth="10" defaultRowHeight="15.75" x14ac:dyDescent="0.25"/>
  <cols>
    <col min="3" max="3" width="11" style="3"/>
    <col min="4" max="4" width="18.125" style="3" bestFit="1" customWidth="1"/>
    <col min="5" max="6" width="11" style="3"/>
    <col min="7" max="7" width="18.75" style="3" bestFit="1" customWidth="1"/>
    <col min="8" max="8" width="32.75" style="3" customWidth="1"/>
  </cols>
  <sheetData>
    <row r="3" spans="3:9" x14ac:dyDescent="0.25">
      <c r="C3" s="1" t="s">
        <v>0</v>
      </c>
      <c r="D3" s="1" t="s">
        <v>1</v>
      </c>
      <c r="E3" s="1" t="s">
        <v>2</v>
      </c>
      <c r="F3" s="1" t="s">
        <v>3</v>
      </c>
      <c r="G3" s="1" t="s">
        <v>4</v>
      </c>
      <c r="H3" s="1"/>
    </row>
    <row r="4" spans="3:9" x14ac:dyDescent="0.25">
      <c r="C4" s="1"/>
      <c r="D4" s="1"/>
      <c r="E4" s="1"/>
      <c r="F4" s="1"/>
      <c r="G4" s="1"/>
      <c r="H4" s="1"/>
    </row>
    <row r="5" spans="3:9" x14ac:dyDescent="0.25">
      <c r="C5" s="1" t="s">
        <v>5564</v>
      </c>
      <c r="D5" s="1" t="s">
        <v>23</v>
      </c>
      <c r="E5" s="1" t="s">
        <v>7</v>
      </c>
      <c r="F5" s="1">
        <v>210</v>
      </c>
      <c r="G5" s="1">
        <v>6780505</v>
      </c>
      <c r="H5" s="1" t="s">
        <v>583</v>
      </c>
    </row>
    <row r="6" spans="3:9" x14ac:dyDescent="0.25">
      <c r="C6" s="28" t="s">
        <v>5564</v>
      </c>
      <c r="D6" s="28" t="s">
        <v>472</v>
      </c>
      <c r="E6" s="28" t="s">
        <v>7</v>
      </c>
      <c r="F6" s="28">
        <v>-7598</v>
      </c>
      <c r="G6" s="28" t="s">
        <v>5647</v>
      </c>
      <c r="H6" s="28" t="s">
        <v>5648</v>
      </c>
    </row>
    <row r="7" spans="3:9" x14ac:dyDescent="0.25">
      <c r="C7" s="28" t="s">
        <v>5564</v>
      </c>
      <c r="D7" s="28" t="s">
        <v>472</v>
      </c>
      <c r="E7" s="28" t="s">
        <v>7</v>
      </c>
      <c r="F7" s="28">
        <v>-2599</v>
      </c>
      <c r="G7" s="28" t="s">
        <v>5621</v>
      </c>
      <c r="H7" s="28" t="s">
        <v>5642</v>
      </c>
    </row>
    <row r="8" spans="3:9" x14ac:dyDescent="0.25">
      <c r="C8" s="28" t="s">
        <v>5564</v>
      </c>
      <c r="D8" s="28" t="s">
        <v>472</v>
      </c>
      <c r="E8" s="28" t="s">
        <v>7</v>
      </c>
      <c r="F8" s="28">
        <v>-510.6</v>
      </c>
      <c r="G8" s="28" t="s">
        <v>5622</v>
      </c>
      <c r="H8" s="28" t="s">
        <v>5642</v>
      </c>
    </row>
    <row r="9" spans="3:9" x14ac:dyDescent="0.25">
      <c r="C9" s="28" t="s">
        <v>5564</v>
      </c>
      <c r="D9" s="28" t="s">
        <v>472</v>
      </c>
      <c r="E9" s="28" t="s">
        <v>7</v>
      </c>
      <c r="F9" s="28">
        <v>-1841.4</v>
      </c>
      <c r="G9" s="28" t="s">
        <v>5623</v>
      </c>
      <c r="H9" s="28" t="s">
        <v>5642</v>
      </c>
    </row>
    <row r="10" spans="3:9" x14ac:dyDescent="0.25">
      <c r="C10" s="28" t="s">
        <v>5564</v>
      </c>
      <c r="D10" s="28" t="s">
        <v>472</v>
      </c>
      <c r="E10" s="28" t="s">
        <v>7</v>
      </c>
      <c r="F10" s="28">
        <v>-11616.6</v>
      </c>
      <c r="G10" s="28" t="s">
        <v>5624</v>
      </c>
      <c r="H10" s="28" t="s">
        <v>5641</v>
      </c>
    </row>
    <row r="11" spans="3:9" x14ac:dyDescent="0.25">
      <c r="C11" s="1" t="s">
        <v>5564</v>
      </c>
      <c r="D11" s="1" t="s">
        <v>5625</v>
      </c>
      <c r="E11" s="1" t="s">
        <v>7</v>
      </c>
      <c r="F11" s="1">
        <v>3.5</v>
      </c>
      <c r="G11" s="1" t="s">
        <v>5626</v>
      </c>
      <c r="H11" s="1" t="s">
        <v>5640</v>
      </c>
    </row>
    <row r="12" spans="3:9" x14ac:dyDescent="0.25">
      <c r="C12" s="1" t="s">
        <v>5564</v>
      </c>
      <c r="D12" s="1" t="s">
        <v>5625</v>
      </c>
      <c r="E12" s="1" t="s">
        <v>7</v>
      </c>
      <c r="F12" s="1">
        <v>56</v>
      </c>
      <c r="G12" s="1" t="s">
        <v>5627</v>
      </c>
      <c r="H12" s="1" t="s">
        <v>5639</v>
      </c>
    </row>
    <row r="13" spans="3:9" x14ac:dyDescent="0.25">
      <c r="C13" s="1" t="s">
        <v>5564</v>
      </c>
      <c r="D13" s="1" t="s">
        <v>23</v>
      </c>
      <c r="E13" s="1" t="s">
        <v>7</v>
      </c>
      <c r="F13" s="1">
        <v>2720</v>
      </c>
      <c r="G13" s="1" t="s">
        <v>5628</v>
      </c>
      <c r="H13" s="1" t="s">
        <v>5644</v>
      </c>
      <c r="I13" s="3" t="s">
        <v>1548</v>
      </c>
    </row>
    <row r="14" spans="3:9" x14ac:dyDescent="0.25">
      <c r="C14" s="1" t="s">
        <v>5564</v>
      </c>
      <c r="D14" s="1" t="s">
        <v>5629</v>
      </c>
      <c r="E14" s="1" t="s">
        <v>7</v>
      </c>
      <c r="F14" s="1">
        <v>12000</v>
      </c>
      <c r="G14" s="1" t="s">
        <v>5630</v>
      </c>
      <c r="H14" s="1" t="s">
        <v>5646</v>
      </c>
    </row>
    <row r="15" spans="3:9" x14ac:dyDescent="0.25">
      <c r="C15" s="1" t="s">
        <v>5564</v>
      </c>
      <c r="D15" s="1" t="s">
        <v>5631</v>
      </c>
      <c r="E15" s="1" t="s">
        <v>7</v>
      </c>
      <c r="F15" s="1">
        <v>50010</v>
      </c>
      <c r="G15" s="1" t="s">
        <v>5632</v>
      </c>
      <c r="H15" s="1" t="s">
        <v>5643</v>
      </c>
    </row>
    <row r="16" spans="3:9" x14ac:dyDescent="0.25">
      <c r="C16" s="1" t="s">
        <v>5564</v>
      </c>
      <c r="D16" s="1" t="s">
        <v>5633</v>
      </c>
      <c r="E16" s="1" t="s">
        <v>7</v>
      </c>
      <c r="F16" s="1">
        <v>40000</v>
      </c>
      <c r="G16" s="1" t="s">
        <v>5634</v>
      </c>
      <c r="H16" s="1" t="s">
        <v>5615</v>
      </c>
    </row>
    <row r="17" spans="3:8" x14ac:dyDescent="0.25">
      <c r="C17" s="28" t="s">
        <v>5564</v>
      </c>
      <c r="D17" s="28" t="s">
        <v>172</v>
      </c>
      <c r="E17" s="28" t="s">
        <v>7</v>
      </c>
      <c r="F17" s="28">
        <v>-32400</v>
      </c>
      <c r="G17" s="28" t="s">
        <v>5635</v>
      </c>
      <c r="H17" s="28" t="s">
        <v>5645</v>
      </c>
    </row>
    <row r="18" spans="3:8" x14ac:dyDescent="0.25">
      <c r="C18" s="28" t="s">
        <v>5564</v>
      </c>
      <c r="D18" s="28" t="s">
        <v>172</v>
      </c>
      <c r="E18" s="28" t="s">
        <v>7</v>
      </c>
      <c r="F18" s="28">
        <v>-32400</v>
      </c>
      <c r="G18" s="28" t="s">
        <v>5636</v>
      </c>
      <c r="H18" s="28" t="s">
        <v>5645</v>
      </c>
    </row>
    <row r="19" spans="3:8" x14ac:dyDescent="0.25">
      <c r="C19" s="28" t="s">
        <v>5564</v>
      </c>
      <c r="D19" s="28" t="s">
        <v>172</v>
      </c>
      <c r="E19" s="28" t="s">
        <v>7</v>
      </c>
      <c r="F19" s="28">
        <v>-32400</v>
      </c>
      <c r="G19" s="28" t="s">
        <v>5637</v>
      </c>
      <c r="H19" s="28" t="s">
        <v>5645</v>
      </c>
    </row>
    <row r="20" spans="3:8" x14ac:dyDescent="0.25">
      <c r="C20" s="1" t="s">
        <v>5564</v>
      </c>
      <c r="D20" s="1" t="s">
        <v>23</v>
      </c>
      <c r="E20" s="1" t="s">
        <v>7</v>
      </c>
      <c r="F20" s="1">
        <v>144</v>
      </c>
      <c r="G20" s="1" t="s">
        <v>5638</v>
      </c>
      <c r="H20" s="1" t="s">
        <v>4967</v>
      </c>
    </row>
    <row r="21" spans="3:8" x14ac:dyDescent="0.25">
      <c r="C21" s="1" t="s">
        <v>5564</v>
      </c>
      <c r="D21" s="1" t="s">
        <v>509</v>
      </c>
      <c r="E21" s="1" t="s">
        <v>7</v>
      </c>
      <c r="F21" s="1">
        <v>104</v>
      </c>
      <c r="G21" s="1" t="s">
        <v>5591</v>
      </c>
      <c r="H21" s="1" t="s">
        <v>5620</v>
      </c>
    </row>
    <row r="22" spans="3:8" x14ac:dyDescent="0.25">
      <c r="C22" s="1" t="s">
        <v>5564</v>
      </c>
      <c r="D22" s="1" t="s">
        <v>5592</v>
      </c>
      <c r="E22" s="1" t="s">
        <v>7</v>
      </c>
      <c r="F22" s="1">
        <v>2</v>
      </c>
      <c r="G22" s="1" t="s">
        <v>5593</v>
      </c>
      <c r="H22" s="1" t="s">
        <v>5619</v>
      </c>
    </row>
    <row r="23" spans="3:8" x14ac:dyDescent="0.25">
      <c r="C23" s="1" t="s">
        <v>5564</v>
      </c>
      <c r="D23" s="1" t="s">
        <v>5592</v>
      </c>
      <c r="E23" s="1" t="s">
        <v>7</v>
      </c>
      <c r="F23" s="1">
        <v>70.5</v>
      </c>
      <c r="G23" s="1" t="s">
        <v>5594</v>
      </c>
      <c r="H23" s="1" t="s">
        <v>5618</v>
      </c>
    </row>
    <row r="24" spans="3:8" x14ac:dyDescent="0.25">
      <c r="C24" s="1" t="s">
        <v>5564</v>
      </c>
      <c r="D24" s="1" t="s">
        <v>5515</v>
      </c>
      <c r="E24" s="1" t="s">
        <v>7</v>
      </c>
      <c r="F24" s="1">
        <v>21</v>
      </c>
      <c r="G24" s="1" t="s">
        <v>5595</v>
      </c>
      <c r="H24" s="1" t="s">
        <v>5617</v>
      </c>
    </row>
    <row r="25" spans="3:8" x14ac:dyDescent="0.25">
      <c r="C25" s="1" t="s">
        <v>5564</v>
      </c>
      <c r="D25" s="1" t="s">
        <v>509</v>
      </c>
      <c r="E25" s="1" t="s">
        <v>7</v>
      </c>
      <c r="F25" s="1">
        <v>75</v>
      </c>
      <c r="G25" s="1" t="s">
        <v>5596</v>
      </c>
      <c r="H25" s="1" t="s">
        <v>915</v>
      </c>
    </row>
    <row r="26" spans="3:8" x14ac:dyDescent="0.25">
      <c r="C26" s="1" t="s">
        <v>5564</v>
      </c>
      <c r="D26" s="1" t="s">
        <v>5597</v>
      </c>
      <c r="E26" s="1" t="s">
        <v>7</v>
      </c>
      <c r="F26" s="1">
        <v>43408.800000000003</v>
      </c>
      <c r="G26" s="1" t="s">
        <v>5598</v>
      </c>
      <c r="H26" s="1" t="s">
        <v>5615</v>
      </c>
    </row>
    <row r="27" spans="3:8" x14ac:dyDescent="0.25">
      <c r="C27" s="1" t="s">
        <v>5564</v>
      </c>
      <c r="D27" s="1" t="s">
        <v>5599</v>
      </c>
      <c r="E27" s="1" t="s">
        <v>7</v>
      </c>
      <c r="F27" s="1">
        <v>15460</v>
      </c>
      <c r="G27" s="1" t="s">
        <v>5600</v>
      </c>
      <c r="H27" s="1" t="s">
        <v>5514</v>
      </c>
    </row>
    <row r="28" spans="3:8" x14ac:dyDescent="0.25">
      <c r="C28" s="1" t="s">
        <v>5564</v>
      </c>
      <c r="D28" s="1" t="s">
        <v>5601</v>
      </c>
      <c r="E28" s="1" t="s">
        <v>7</v>
      </c>
      <c r="F28" s="1">
        <v>7680</v>
      </c>
      <c r="G28" s="1" t="s">
        <v>5602</v>
      </c>
      <c r="H28" s="1" t="s">
        <v>5514</v>
      </c>
    </row>
    <row r="29" spans="3:8" x14ac:dyDescent="0.25">
      <c r="C29" s="1" t="s">
        <v>5564</v>
      </c>
      <c r="D29" s="1" t="s">
        <v>5603</v>
      </c>
      <c r="E29" s="1" t="s">
        <v>7</v>
      </c>
      <c r="F29" s="1">
        <v>10310</v>
      </c>
      <c r="G29" s="1" t="s">
        <v>5604</v>
      </c>
      <c r="H29" s="1" t="s">
        <v>5514</v>
      </c>
    </row>
    <row r="30" spans="3:8" x14ac:dyDescent="0.25">
      <c r="C30" s="1" t="s">
        <v>5564</v>
      </c>
      <c r="D30" s="1" t="s">
        <v>5605</v>
      </c>
      <c r="E30" s="1" t="s">
        <v>7</v>
      </c>
      <c r="F30" s="1">
        <v>3040</v>
      </c>
      <c r="G30" s="1" t="s">
        <v>5606</v>
      </c>
      <c r="H30" s="1" t="s">
        <v>5514</v>
      </c>
    </row>
    <row r="31" spans="3:8" x14ac:dyDescent="0.25">
      <c r="C31" s="1" t="s">
        <v>5564</v>
      </c>
      <c r="D31" s="1" t="s">
        <v>5607</v>
      </c>
      <c r="E31" s="1" t="s">
        <v>7</v>
      </c>
      <c r="F31" s="1">
        <v>17890</v>
      </c>
      <c r="G31" s="1" t="s">
        <v>5608</v>
      </c>
      <c r="H31" s="1" t="s">
        <v>5514</v>
      </c>
    </row>
    <row r="32" spans="3:8" x14ac:dyDescent="0.25">
      <c r="C32" s="1" t="s">
        <v>5564</v>
      </c>
      <c r="D32" s="1" t="s">
        <v>5609</v>
      </c>
      <c r="E32" s="1" t="s">
        <v>7</v>
      </c>
      <c r="F32" s="1">
        <v>31400</v>
      </c>
      <c r="G32" s="1" t="s">
        <v>5610</v>
      </c>
      <c r="H32" s="1" t="s">
        <v>5514</v>
      </c>
    </row>
    <row r="33" spans="3:8" x14ac:dyDescent="0.25">
      <c r="C33" s="1" t="s">
        <v>5564</v>
      </c>
      <c r="D33" s="1" t="s">
        <v>4627</v>
      </c>
      <c r="E33" s="1" t="s">
        <v>7</v>
      </c>
      <c r="F33" s="1">
        <v>10</v>
      </c>
      <c r="G33" s="1" t="s">
        <v>5611</v>
      </c>
      <c r="H33" s="1" t="s">
        <v>5616</v>
      </c>
    </row>
    <row r="34" spans="3:8" x14ac:dyDescent="0.25">
      <c r="C34" s="1" t="s">
        <v>5564</v>
      </c>
      <c r="D34" s="1" t="s">
        <v>5558</v>
      </c>
      <c r="E34" s="1" t="s">
        <v>7</v>
      </c>
      <c r="F34" s="1">
        <v>300</v>
      </c>
      <c r="G34" s="1" t="s">
        <v>5612</v>
      </c>
      <c r="H34" s="1" t="s">
        <v>5563</v>
      </c>
    </row>
    <row r="35" spans="3:8" x14ac:dyDescent="0.25">
      <c r="C35" s="1" t="s">
        <v>5564</v>
      </c>
      <c r="D35" s="1" t="s">
        <v>5558</v>
      </c>
      <c r="E35" s="1" t="s">
        <v>7</v>
      </c>
      <c r="F35" s="1">
        <v>500</v>
      </c>
      <c r="G35" s="1" t="s">
        <v>5613</v>
      </c>
      <c r="H35" s="1" t="s">
        <v>5563</v>
      </c>
    </row>
    <row r="36" spans="3:8" x14ac:dyDescent="0.25">
      <c r="C36" s="1" t="s">
        <v>5564</v>
      </c>
      <c r="D36" s="1" t="s">
        <v>5558</v>
      </c>
      <c r="E36" s="1" t="s">
        <v>7</v>
      </c>
      <c r="F36" s="1">
        <v>500</v>
      </c>
      <c r="G36" s="1" t="s">
        <v>5614</v>
      </c>
      <c r="H36" s="1" t="s">
        <v>5563</v>
      </c>
    </row>
    <row r="37" spans="3:8" x14ac:dyDescent="0.25">
      <c r="C37" s="1" t="s">
        <v>5564</v>
      </c>
      <c r="D37" s="1" t="s">
        <v>5565</v>
      </c>
      <c r="E37" s="1" t="s">
        <v>7</v>
      </c>
      <c r="F37" s="1">
        <v>10.5</v>
      </c>
      <c r="G37" s="1" t="s">
        <v>5566</v>
      </c>
      <c r="H37" s="1" t="s">
        <v>5588</v>
      </c>
    </row>
    <row r="38" spans="3:8" x14ac:dyDescent="0.25">
      <c r="C38" s="1" t="s">
        <v>5564</v>
      </c>
      <c r="D38" s="1" t="s">
        <v>3094</v>
      </c>
      <c r="E38" s="1" t="s">
        <v>7</v>
      </c>
      <c r="F38" s="1">
        <v>6</v>
      </c>
      <c r="G38" s="1" t="s">
        <v>5567</v>
      </c>
      <c r="H38" s="1" t="s">
        <v>5587</v>
      </c>
    </row>
    <row r="39" spans="3:8" x14ac:dyDescent="0.25">
      <c r="C39" s="28" t="s">
        <v>5564</v>
      </c>
      <c r="D39" s="28" t="s">
        <v>2625</v>
      </c>
      <c r="E39" s="28" t="s">
        <v>7</v>
      </c>
      <c r="F39" s="28">
        <v>-145.6</v>
      </c>
      <c r="G39" s="28" t="s">
        <v>5568</v>
      </c>
      <c r="H39" s="28" t="s">
        <v>5586</v>
      </c>
    </row>
    <row r="40" spans="3:8" x14ac:dyDescent="0.25">
      <c r="C40" s="1" t="s">
        <v>5564</v>
      </c>
      <c r="D40" s="1" t="s">
        <v>5569</v>
      </c>
      <c r="E40" s="1" t="s">
        <v>7</v>
      </c>
      <c r="F40" s="1">
        <v>177.9</v>
      </c>
      <c r="G40" s="1" t="s">
        <v>5570</v>
      </c>
      <c r="H40" s="1" t="s">
        <v>5585</v>
      </c>
    </row>
    <row r="41" spans="3:8" x14ac:dyDescent="0.25">
      <c r="C41" s="1" t="s">
        <v>5564</v>
      </c>
      <c r="D41" s="1" t="s">
        <v>23</v>
      </c>
      <c r="E41" s="1" t="s">
        <v>7</v>
      </c>
      <c r="F41" s="1">
        <v>1203.5</v>
      </c>
      <c r="G41" s="1" t="s">
        <v>5571</v>
      </c>
      <c r="H41" s="1" t="s">
        <v>5392</v>
      </c>
    </row>
    <row r="42" spans="3:8" x14ac:dyDescent="0.25">
      <c r="C42" s="1" t="s">
        <v>5564</v>
      </c>
      <c r="D42" s="1" t="s">
        <v>5572</v>
      </c>
      <c r="E42" s="1" t="s">
        <v>7</v>
      </c>
      <c r="F42" s="1">
        <v>28</v>
      </c>
      <c r="G42" s="1" t="s">
        <v>5573</v>
      </c>
      <c r="H42" s="1" t="s">
        <v>547</v>
      </c>
    </row>
    <row r="43" spans="3:8" x14ac:dyDescent="0.25">
      <c r="C43" s="1" t="s">
        <v>5564</v>
      </c>
      <c r="D43" s="1" t="s">
        <v>509</v>
      </c>
      <c r="E43" s="1" t="s">
        <v>7</v>
      </c>
      <c r="F43" s="1">
        <v>177</v>
      </c>
      <c r="G43" s="1" t="s">
        <v>5574</v>
      </c>
      <c r="H43" s="1" t="s">
        <v>5584</v>
      </c>
    </row>
    <row r="44" spans="3:8" x14ac:dyDescent="0.25">
      <c r="C44" s="1" t="s">
        <v>5564</v>
      </c>
      <c r="D44" s="1" t="s">
        <v>5575</v>
      </c>
      <c r="E44" s="1" t="s">
        <v>7</v>
      </c>
      <c r="F44" s="1">
        <v>10.5</v>
      </c>
      <c r="G44" s="1" t="s">
        <v>5576</v>
      </c>
      <c r="H44" s="1" t="s">
        <v>5583</v>
      </c>
    </row>
    <row r="45" spans="3:8" x14ac:dyDescent="0.25">
      <c r="C45" s="1" t="s">
        <v>5564</v>
      </c>
      <c r="D45" s="1" t="s">
        <v>3126</v>
      </c>
      <c r="E45" s="1" t="s">
        <v>7</v>
      </c>
      <c r="F45" s="1">
        <v>13</v>
      </c>
      <c r="G45" s="1" t="s">
        <v>5577</v>
      </c>
      <c r="H45" s="1" t="s">
        <v>5582</v>
      </c>
    </row>
    <row r="46" spans="3:8" x14ac:dyDescent="0.25">
      <c r="C46" s="1" t="s">
        <v>5564</v>
      </c>
      <c r="D46" s="1" t="s">
        <v>349</v>
      </c>
      <c r="E46" s="1" t="s">
        <v>7</v>
      </c>
      <c r="F46" s="1">
        <v>143.5</v>
      </c>
      <c r="G46" s="1" t="s">
        <v>5578</v>
      </c>
      <c r="H46" s="1" t="s">
        <v>5589</v>
      </c>
    </row>
    <row r="47" spans="3:8" x14ac:dyDescent="0.25">
      <c r="C47" s="1" t="s">
        <v>5564</v>
      </c>
      <c r="D47" s="1" t="s">
        <v>5579</v>
      </c>
      <c r="E47" s="1" t="s">
        <v>7</v>
      </c>
      <c r="F47" s="1">
        <v>500</v>
      </c>
      <c r="G47" s="1" t="s">
        <v>5580</v>
      </c>
      <c r="H47" s="1" t="s">
        <v>3973</v>
      </c>
    </row>
    <row r="48" spans="3:8" x14ac:dyDescent="0.25">
      <c r="C48" s="1" t="s">
        <v>5564</v>
      </c>
      <c r="D48" s="1" t="s">
        <v>23</v>
      </c>
      <c r="E48" s="1" t="s">
        <v>7</v>
      </c>
      <c r="F48" s="1">
        <v>270</v>
      </c>
      <c r="G48" s="1" t="s">
        <v>5581</v>
      </c>
      <c r="H48" s="1" t="s">
        <v>5590</v>
      </c>
    </row>
  </sheetData>
  <pageMargins left="0.7" right="0.7" top="0.75" bottom="0.75" header="0.3" footer="0.3"/>
  <pageSetup paperSize="256" orientation="portrait" horizontalDpi="0" verticalDpi="0" r:id="rId1"/>
</worksheet>
</file>

<file path=xl/worksheets/sheet1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939D7B-4436-4020-B3C5-DC0CDEB8660F}">
  <sheetPr codeName="Hoja114"/>
  <dimension ref="C2:L44"/>
  <sheetViews>
    <sheetView topLeftCell="A4" workbookViewId="0">
      <selection activeCell="H16" sqref="H16"/>
    </sheetView>
  </sheetViews>
  <sheetFormatPr baseColWidth="10" defaultRowHeight="15.75" x14ac:dyDescent="0.25"/>
  <cols>
    <col min="3" max="3" width="11" style="3"/>
    <col min="4" max="4" width="26.375" style="3" customWidth="1"/>
    <col min="5" max="6" width="11" style="3"/>
    <col min="7" max="7" width="26.75" style="3" customWidth="1"/>
    <col min="8" max="8" width="43.125" style="3" customWidth="1"/>
    <col min="9" max="9" width="11" style="3"/>
  </cols>
  <sheetData>
    <row r="2" spans="3:8" x14ac:dyDescent="0.25">
      <c r="C2" s="1" t="s">
        <v>0</v>
      </c>
      <c r="D2" s="1" t="s">
        <v>1</v>
      </c>
      <c r="E2" s="1" t="s">
        <v>2</v>
      </c>
      <c r="F2" s="1" t="s">
        <v>3</v>
      </c>
      <c r="G2" s="1" t="s">
        <v>4</v>
      </c>
      <c r="H2" s="1"/>
    </row>
    <row r="3" spans="3:8" x14ac:dyDescent="0.25">
      <c r="C3" s="1"/>
      <c r="D3" s="1"/>
      <c r="E3" s="1"/>
      <c r="F3" s="1"/>
      <c r="G3" s="1"/>
      <c r="H3" s="1"/>
    </row>
    <row r="4" spans="3:8" x14ac:dyDescent="0.25">
      <c r="C4" s="1"/>
      <c r="D4" s="1"/>
      <c r="E4" s="1"/>
      <c r="F4" s="1"/>
      <c r="G4" s="1"/>
      <c r="H4" s="1"/>
    </row>
    <row r="5" spans="3:8" x14ac:dyDescent="0.25">
      <c r="C5" s="28" t="s">
        <v>5649</v>
      </c>
      <c r="D5" s="28" t="s">
        <v>472</v>
      </c>
      <c r="E5" s="28" t="s">
        <v>7</v>
      </c>
      <c r="F5" s="28">
        <v>-2000</v>
      </c>
      <c r="G5" s="28" t="s">
        <v>5722</v>
      </c>
      <c r="H5" s="114" t="s">
        <v>5724</v>
      </c>
    </row>
    <row r="6" spans="3:8" x14ac:dyDescent="0.25">
      <c r="C6" s="28" t="s">
        <v>5649</v>
      </c>
      <c r="D6" s="28" t="s">
        <v>472</v>
      </c>
      <c r="E6" s="28" t="s">
        <v>7</v>
      </c>
      <c r="F6" s="28">
        <v>-2500</v>
      </c>
      <c r="G6" s="28" t="s">
        <v>5723</v>
      </c>
      <c r="H6" s="114" t="s">
        <v>5724</v>
      </c>
    </row>
    <row r="7" spans="3:8" x14ac:dyDescent="0.25">
      <c r="C7" s="28" t="s">
        <v>5649</v>
      </c>
      <c r="D7" s="28" t="s">
        <v>2887</v>
      </c>
      <c r="E7" s="28" t="s">
        <v>7</v>
      </c>
      <c r="F7" s="28">
        <v>-50</v>
      </c>
      <c r="G7" s="28" t="s">
        <v>5704</v>
      </c>
      <c r="H7" s="28" t="s">
        <v>5714</v>
      </c>
    </row>
    <row r="8" spans="3:8" x14ac:dyDescent="0.25">
      <c r="C8" s="28" t="s">
        <v>5649</v>
      </c>
      <c r="D8" s="28" t="s">
        <v>2887</v>
      </c>
      <c r="E8" s="28" t="s">
        <v>7</v>
      </c>
      <c r="F8" s="28">
        <v>-450</v>
      </c>
      <c r="G8" s="28" t="s">
        <v>5705</v>
      </c>
      <c r="H8" s="28" t="s">
        <v>5714</v>
      </c>
    </row>
    <row r="9" spans="3:8" x14ac:dyDescent="0.25">
      <c r="C9" s="1" t="s">
        <v>5649</v>
      </c>
      <c r="D9" s="1" t="s">
        <v>3254</v>
      </c>
      <c r="E9" s="1" t="s">
        <v>7</v>
      </c>
      <c r="F9" s="1">
        <v>273.3</v>
      </c>
      <c r="G9" s="1" t="s">
        <v>5706</v>
      </c>
      <c r="H9" s="1" t="s">
        <v>730</v>
      </c>
    </row>
    <row r="10" spans="3:8" x14ac:dyDescent="0.25">
      <c r="C10" s="28" t="s">
        <v>5649</v>
      </c>
      <c r="D10" s="28" t="s">
        <v>5082</v>
      </c>
      <c r="E10" s="28" t="s">
        <v>7</v>
      </c>
      <c r="F10" s="28">
        <v>-28</v>
      </c>
      <c r="G10" s="28" t="s">
        <v>5707</v>
      </c>
      <c r="H10" s="28" t="s">
        <v>5715</v>
      </c>
    </row>
    <row r="11" spans="3:8" x14ac:dyDescent="0.25">
      <c r="C11" s="1" t="s">
        <v>5649</v>
      </c>
      <c r="D11" s="1" t="s">
        <v>5708</v>
      </c>
      <c r="E11" s="1" t="s">
        <v>7</v>
      </c>
      <c r="F11" s="1">
        <v>165</v>
      </c>
      <c r="G11" s="1" t="s">
        <v>5709</v>
      </c>
      <c r="H11" s="1" t="s">
        <v>1208</v>
      </c>
    </row>
    <row r="12" spans="3:8" x14ac:dyDescent="0.25">
      <c r="C12" s="1" t="s">
        <v>5649</v>
      </c>
      <c r="D12" s="1" t="s">
        <v>5710</v>
      </c>
      <c r="E12" s="1" t="s">
        <v>7</v>
      </c>
      <c r="F12" s="1">
        <v>5</v>
      </c>
      <c r="G12" s="1" t="s">
        <v>5711</v>
      </c>
      <c r="H12" s="1" t="s">
        <v>5716</v>
      </c>
    </row>
    <row r="13" spans="3:8" x14ac:dyDescent="0.25">
      <c r="C13" s="1" t="s">
        <v>5649</v>
      </c>
      <c r="D13" s="1" t="s">
        <v>5592</v>
      </c>
      <c r="E13" s="1" t="s">
        <v>7</v>
      </c>
      <c r="F13" s="1">
        <v>50.5</v>
      </c>
      <c r="G13" s="1" t="s">
        <v>5712</v>
      </c>
      <c r="H13" s="1" t="s">
        <v>5717</v>
      </c>
    </row>
    <row r="14" spans="3:8" x14ac:dyDescent="0.25">
      <c r="C14" s="1" t="s">
        <v>5649</v>
      </c>
      <c r="D14" s="1" t="s">
        <v>23</v>
      </c>
      <c r="E14" s="1" t="s">
        <v>7</v>
      </c>
      <c r="F14" s="1">
        <v>2000</v>
      </c>
      <c r="G14" s="1" t="s">
        <v>5713</v>
      </c>
      <c r="H14" s="1" t="s">
        <v>5725</v>
      </c>
    </row>
    <row r="15" spans="3:8" x14ac:dyDescent="0.25">
      <c r="C15" s="1" t="s">
        <v>5649</v>
      </c>
      <c r="D15" s="1" t="s">
        <v>5685</v>
      </c>
      <c r="E15" s="1" t="s">
        <v>7</v>
      </c>
      <c r="F15" s="1">
        <v>5</v>
      </c>
      <c r="G15" s="1" t="s">
        <v>5686</v>
      </c>
      <c r="H15" s="1" t="s">
        <v>5698</v>
      </c>
    </row>
    <row r="16" spans="3:8" x14ac:dyDescent="0.25">
      <c r="C16" s="43" t="s">
        <v>5649</v>
      </c>
      <c r="D16" s="43" t="s">
        <v>23</v>
      </c>
      <c r="E16" s="43" t="s">
        <v>7</v>
      </c>
      <c r="F16" s="43">
        <v>1310</v>
      </c>
      <c r="G16" s="43" t="s">
        <v>5687</v>
      </c>
      <c r="H16" s="43" t="s">
        <v>5726</v>
      </c>
    </row>
    <row r="17" spans="3:12" x14ac:dyDescent="0.25">
      <c r="C17" s="1" t="s">
        <v>5649</v>
      </c>
      <c r="D17" s="1" t="s">
        <v>5688</v>
      </c>
      <c r="E17" s="1" t="s">
        <v>7</v>
      </c>
      <c r="F17" s="1">
        <v>174.5</v>
      </c>
      <c r="G17" s="1" t="s">
        <v>5689</v>
      </c>
      <c r="H17" s="1" t="s">
        <v>5401</v>
      </c>
    </row>
    <row r="18" spans="3:12" x14ac:dyDescent="0.25">
      <c r="C18" s="1" t="s">
        <v>5649</v>
      </c>
      <c r="D18" s="1" t="s">
        <v>5690</v>
      </c>
      <c r="E18" s="1" t="s">
        <v>7</v>
      </c>
      <c r="F18" s="1">
        <v>20</v>
      </c>
      <c r="G18" s="1" t="s">
        <v>5691</v>
      </c>
      <c r="H18" s="1" t="s">
        <v>5699</v>
      </c>
    </row>
    <row r="19" spans="3:12" x14ac:dyDescent="0.25">
      <c r="C19" s="1" t="s">
        <v>5649</v>
      </c>
      <c r="D19" s="1" t="s">
        <v>1561</v>
      </c>
      <c r="E19" s="1" t="s">
        <v>7</v>
      </c>
      <c r="F19" s="1">
        <v>45</v>
      </c>
      <c r="G19" s="1" t="s">
        <v>5692</v>
      </c>
      <c r="H19" s="1" t="s">
        <v>5510</v>
      </c>
    </row>
    <row r="20" spans="3:12" x14ac:dyDescent="0.25">
      <c r="C20" s="28" t="s">
        <v>5649</v>
      </c>
      <c r="D20" s="28" t="s">
        <v>2923</v>
      </c>
      <c r="E20" s="28" t="s">
        <v>7</v>
      </c>
      <c r="F20" s="28">
        <v>-60</v>
      </c>
      <c r="G20" s="28" t="s">
        <v>5693</v>
      </c>
      <c r="H20" s="28" t="s">
        <v>5700</v>
      </c>
    </row>
    <row r="21" spans="3:12" x14ac:dyDescent="0.25">
      <c r="C21" s="1" t="s">
        <v>5649</v>
      </c>
      <c r="D21" s="1" t="s">
        <v>5694</v>
      </c>
      <c r="E21" s="1" t="s">
        <v>7</v>
      </c>
      <c r="F21" s="1">
        <v>8.5</v>
      </c>
      <c r="G21" s="1" t="s">
        <v>5695</v>
      </c>
      <c r="H21" s="1" t="s">
        <v>5701</v>
      </c>
    </row>
    <row r="22" spans="3:12" x14ac:dyDescent="0.25">
      <c r="C22" s="1" t="s">
        <v>5649</v>
      </c>
      <c r="D22" s="1" t="s">
        <v>5565</v>
      </c>
      <c r="E22" s="1" t="s">
        <v>7</v>
      </c>
      <c r="F22" s="1">
        <v>9</v>
      </c>
      <c r="G22" s="1" t="s">
        <v>5696</v>
      </c>
      <c r="H22" s="1" t="s">
        <v>5677</v>
      </c>
    </row>
    <row r="23" spans="3:12" x14ac:dyDescent="0.25">
      <c r="C23" s="1" t="s">
        <v>5649</v>
      </c>
      <c r="D23" s="1" t="s">
        <v>3098</v>
      </c>
      <c r="E23" s="1" t="s">
        <v>7</v>
      </c>
      <c r="F23" s="1">
        <v>16</v>
      </c>
      <c r="G23" s="1" t="s">
        <v>5697</v>
      </c>
      <c r="H23" s="1" t="s">
        <v>5702</v>
      </c>
    </row>
    <row r="24" spans="3:12" x14ac:dyDescent="0.25">
      <c r="C24" s="1" t="s">
        <v>5649</v>
      </c>
      <c r="D24" s="1" t="s">
        <v>5650</v>
      </c>
      <c r="E24" s="1" t="s">
        <v>7</v>
      </c>
      <c r="F24" s="1">
        <v>260</v>
      </c>
      <c r="G24" s="1" t="s">
        <v>5651</v>
      </c>
      <c r="H24" s="1" t="s">
        <v>5585</v>
      </c>
    </row>
    <row r="25" spans="3:12" x14ac:dyDescent="0.25">
      <c r="C25" s="1" t="s">
        <v>5649</v>
      </c>
      <c r="D25" s="1" t="s">
        <v>5650</v>
      </c>
      <c r="E25" s="1" t="s">
        <v>7</v>
      </c>
      <c r="F25" s="1">
        <v>500</v>
      </c>
      <c r="G25" s="1" t="s">
        <v>5652</v>
      </c>
      <c r="H25" s="1" t="s">
        <v>5585</v>
      </c>
    </row>
    <row r="26" spans="3:12" x14ac:dyDescent="0.25">
      <c r="C26" s="1" t="s">
        <v>5649</v>
      </c>
      <c r="D26" s="1" t="s">
        <v>5650</v>
      </c>
      <c r="E26" s="1" t="s">
        <v>7</v>
      </c>
      <c r="F26" s="1">
        <v>500</v>
      </c>
      <c r="G26" s="1" t="s">
        <v>5653</v>
      </c>
      <c r="H26" s="1" t="s">
        <v>5585</v>
      </c>
      <c r="J26" s="169">
        <v>162000</v>
      </c>
      <c r="K26" s="169" t="s">
        <v>5719</v>
      </c>
      <c r="L26" s="169"/>
    </row>
    <row r="27" spans="3:12" x14ac:dyDescent="0.25">
      <c r="C27" s="1" t="s">
        <v>5649</v>
      </c>
      <c r="D27" s="1" t="s">
        <v>5650</v>
      </c>
      <c r="E27" s="1" t="s">
        <v>7</v>
      </c>
      <c r="F27" s="1">
        <v>500</v>
      </c>
      <c r="G27" s="1" t="s">
        <v>5654</v>
      </c>
      <c r="H27" s="1" t="s">
        <v>5585</v>
      </c>
      <c r="J27" s="104">
        <v>135500</v>
      </c>
      <c r="K27" s="104" t="s">
        <v>5720</v>
      </c>
    </row>
    <row r="28" spans="3:12" x14ac:dyDescent="0.25">
      <c r="C28" s="28" t="s">
        <v>5649</v>
      </c>
      <c r="D28" s="28" t="s">
        <v>5655</v>
      </c>
      <c r="E28" s="28" t="s">
        <v>7</v>
      </c>
      <c r="F28" s="28">
        <v>-135</v>
      </c>
      <c r="G28" s="28" t="s">
        <v>5656</v>
      </c>
      <c r="H28" s="28"/>
      <c r="J28" s="104">
        <v>22000</v>
      </c>
      <c r="K28" s="104" t="s">
        <v>5718</v>
      </c>
    </row>
    <row r="29" spans="3:12" x14ac:dyDescent="0.25">
      <c r="C29" s="1" t="s">
        <v>5649</v>
      </c>
      <c r="D29" s="1" t="s">
        <v>2625</v>
      </c>
      <c r="E29" s="1" t="s">
        <v>7</v>
      </c>
      <c r="F29" s="1">
        <v>30</v>
      </c>
      <c r="G29" s="1" t="s">
        <v>5657</v>
      </c>
      <c r="H29" s="1" t="s">
        <v>52</v>
      </c>
    </row>
    <row r="30" spans="3:12" x14ac:dyDescent="0.25">
      <c r="C30" s="1" t="s">
        <v>5649</v>
      </c>
      <c r="D30" s="1" t="s">
        <v>5658</v>
      </c>
      <c r="E30" s="1" t="s">
        <v>7</v>
      </c>
      <c r="F30" s="1">
        <v>18</v>
      </c>
      <c r="G30" s="1" t="s">
        <v>5659</v>
      </c>
      <c r="H30" s="1" t="s">
        <v>5684</v>
      </c>
      <c r="J30">
        <f>+J26-J27-J28</f>
        <v>4500</v>
      </c>
      <c r="K30" t="s">
        <v>5721</v>
      </c>
    </row>
    <row r="31" spans="3:12" x14ac:dyDescent="0.25">
      <c r="C31" s="1" t="s">
        <v>5649</v>
      </c>
      <c r="D31" s="1" t="s">
        <v>2625</v>
      </c>
      <c r="E31" s="1" t="s">
        <v>7</v>
      </c>
      <c r="F31" s="1">
        <v>52</v>
      </c>
      <c r="G31" s="1" t="s">
        <v>5660</v>
      </c>
      <c r="H31" s="1" t="s">
        <v>52</v>
      </c>
    </row>
    <row r="32" spans="3:12" x14ac:dyDescent="0.25">
      <c r="C32" s="1" t="s">
        <v>5649</v>
      </c>
      <c r="D32" s="1" t="s">
        <v>2887</v>
      </c>
      <c r="E32" s="1" t="s">
        <v>7</v>
      </c>
      <c r="F32" s="1">
        <v>40</v>
      </c>
      <c r="G32" s="1" t="s">
        <v>5661</v>
      </c>
      <c r="H32" s="1" t="s">
        <v>5683</v>
      </c>
    </row>
    <row r="33" spans="3:8" x14ac:dyDescent="0.25">
      <c r="C33" s="28" t="s">
        <v>5649</v>
      </c>
      <c r="D33" s="28" t="s">
        <v>172</v>
      </c>
      <c r="E33" s="28" t="s">
        <v>7</v>
      </c>
      <c r="F33" s="28">
        <v>-34500</v>
      </c>
      <c r="G33" s="28" t="s">
        <v>5662</v>
      </c>
      <c r="H33" s="28" t="s">
        <v>5645</v>
      </c>
    </row>
    <row r="34" spans="3:8" x14ac:dyDescent="0.25">
      <c r="C34" s="28" t="s">
        <v>5649</v>
      </c>
      <c r="D34" s="28" t="s">
        <v>172</v>
      </c>
      <c r="E34" s="28" t="s">
        <v>7</v>
      </c>
      <c r="F34" s="28">
        <v>-34000</v>
      </c>
      <c r="G34" s="28" t="s">
        <v>5663</v>
      </c>
      <c r="H34" s="28" t="s">
        <v>5645</v>
      </c>
    </row>
    <row r="35" spans="3:8" x14ac:dyDescent="0.25">
      <c r="C35" s="28" t="s">
        <v>5649</v>
      </c>
      <c r="D35" s="28" t="s">
        <v>172</v>
      </c>
      <c r="E35" s="28" t="s">
        <v>7</v>
      </c>
      <c r="F35" s="28">
        <v>-34000</v>
      </c>
      <c r="G35" s="28" t="s">
        <v>5664</v>
      </c>
      <c r="H35" s="28" t="s">
        <v>5645</v>
      </c>
    </row>
    <row r="36" spans="3:8" x14ac:dyDescent="0.25">
      <c r="C36" s="28" t="s">
        <v>5649</v>
      </c>
      <c r="D36" s="28" t="s">
        <v>172</v>
      </c>
      <c r="E36" s="28" t="s">
        <v>7</v>
      </c>
      <c r="F36" s="28">
        <v>-33000</v>
      </c>
      <c r="G36" s="28" t="s">
        <v>5665</v>
      </c>
      <c r="H36" s="28" t="s">
        <v>5645</v>
      </c>
    </row>
    <row r="37" spans="3:8" x14ac:dyDescent="0.25">
      <c r="C37" s="1" t="s">
        <v>5649</v>
      </c>
      <c r="D37" s="1" t="s">
        <v>5666</v>
      </c>
      <c r="E37" s="1" t="s">
        <v>7</v>
      </c>
      <c r="F37" s="1">
        <v>243</v>
      </c>
      <c r="G37" s="1" t="s">
        <v>5667</v>
      </c>
      <c r="H37" s="1" t="s">
        <v>5682</v>
      </c>
    </row>
    <row r="38" spans="3:8" x14ac:dyDescent="0.25">
      <c r="C38" s="1" t="s">
        <v>5649</v>
      </c>
      <c r="D38" s="1" t="s">
        <v>509</v>
      </c>
      <c r="E38" s="1" t="s">
        <v>7</v>
      </c>
      <c r="F38" s="1">
        <v>4931.6000000000004</v>
      </c>
      <c r="G38" s="1" t="s">
        <v>5668</v>
      </c>
      <c r="H38" s="1" t="s">
        <v>5682</v>
      </c>
    </row>
    <row r="39" spans="3:8" x14ac:dyDescent="0.25">
      <c r="C39" s="1" t="s">
        <v>5649</v>
      </c>
      <c r="D39" s="1" t="s">
        <v>2887</v>
      </c>
      <c r="E39" s="1" t="s">
        <v>7</v>
      </c>
      <c r="F39" s="1">
        <v>8.5</v>
      </c>
      <c r="G39" s="1" t="s">
        <v>5669</v>
      </c>
      <c r="H39" s="1" t="s">
        <v>5681</v>
      </c>
    </row>
    <row r="40" spans="3:8" x14ac:dyDescent="0.25">
      <c r="C40" s="1" t="s">
        <v>5649</v>
      </c>
      <c r="D40" s="1" t="s">
        <v>5670</v>
      </c>
      <c r="E40" s="1" t="s">
        <v>7</v>
      </c>
      <c r="F40" s="1">
        <v>5</v>
      </c>
      <c r="G40" s="1" t="s">
        <v>5671</v>
      </c>
      <c r="H40" s="1" t="s">
        <v>5680</v>
      </c>
    </row>
    <row r="41" spans="3:8" x14ac:dyDescent="0.25">
      <c r="C41" s="1" t="s">
        <v>5649</v>
      </c>
      <c r="D41" s="1" t="s">
        <v>5672</v>
      </c>
      <c r="E41" s="1" t="s">
        <v>7</v>
      </c>
      <c r="F41" s="1">
        <v>68</v>
      </c>
      <c r="G41" s="1" t="s">
        <v>5673</v>
      </c>
      <c r="H41" s="1" t="s">
        <v>5679</v>
      </c>
    </row>
    <row r="42" spans="3:8" x14ac:dyDescent="0.25">
      <c r="C42" s="1" t="s">
        <v>5649</v>
      </c>
      <c r="D42" s="1" t="s">
        <v>5674</v>
      </c>
      <c r="E42" s="1" t="s">
        <v>7</v>
      </c>
      <c r="F42" s="1">
        <v>112</v>
      </c>
      <c r="G42" s="1" t="s">
        <v>5675</v>
      </c>
      <c r="H42" s="1" t="s">
        <v>5678</v>
      </c>
    </row>
    <row r="43" spans="3:8" x14ac:dyDescent="0.25">
      <c r="C43" s="1" t="s">
        <v>5649</v>
      </c>
      <c r="D43" s="1" t="s">
        <v>5565</v>
      </c>
      <c r="E43" s="1" t="s">
        <v>7</v>
      </c>
      <c r="F43" s="1">
        <v>31</v>
      </c>
      <c r="G43" s="1" t="s">
        <v>5676</v>
      </c>
      <c r="H43" s="1" t="s">
        <v>5677</v>
      </c>
    </row>
    <row r="44" spans="3:8" x14ac:dyDescent="0.25">
      <c r="C44" s="1" t="s">
        <v>5649</v>
      </c>
      <c r="D44" s="1" t="s">
        <v>5703</v>
      </c>
      <c r="E44" s="1" t="s">
        <v>7</v>
      </c>
      <c r="F44" s="1">
        <v>428</v>
      </c>
      <c r="G44" s="1">
        <v>122912</v>
      </c>
      <c r="H44" s="1" t="s">
        <v>3609</v>
      </c>
    </row>
  </sheetData>
  <pageMargins left="0.7" right="0.7" top="0.75" bottom="0.75" header="0.3" footer="0.3"/>
  <pageSetup paperSize="256" orientation="portrait" horizontalDpi="0" verticalDpi="0" r:id="rId1"/>
</worksheet>
</file>

<file path=xl/worksheets/sheet1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B4BA8A-6BF4-4133-9F30-99AFDAE8484C}">
  <sheetPr codeName="Hoja115"/>
  <dimension ref="D2:J36"/>
  <sheetViews>
    <sheetView workbookViewId="0">
      <selection activeCell="I22" sqref="I22"/>
    </sheetView>
  </sheetViews>
  <sheetFormatPr baseColWidth="10" defaultRowHeight="15.75" x14ac:dyDescent="0.25"/>
  <cols>
    <col min="4" max="4" width="11" style="3"/>
    <col min="5" max="5" width="21" style="3" customWidth="1"/>
    <col min="6" max="7" width="11" style="3"/>
    <col min="8" max="8" width="21.625" style="3" customWidth="1"/>
    <col min="9" max="9" width="34.75" style="3" customWidth="1"/>
    <col min="10" max="10" width="11" style="3"/>
  </cols>
  <sheetData>
    <row r="2" spans="4:9" ht="16.5" thickBot="1" x14ac:dyDescent="0.3"/>
    <row r="3" spans="4:9" x14ac:dyDescent="0.25">
      <c r="D3" s="11" t="s">
        <v>0</v>
      </c>
      <c r="E3" s="12" t="s">
        <v>1</v>
      </c>
      <c r="F3" s="12" t="s">
        <v>2</v>
      </c>
      <c r="G3" s="12" t="s">
        <v>3</v>
      </c>
      <c r="H3" s="12" t="s">
        <v>4</v>
      </c>
      <c r="I3" s="13"/>
    </row>
    <row r="4" spans="4:9" x14ac:dyDescent="0.25">
      <c r="D4" s="148"/>
      <c r="E4" s="149"/>
      <c r="F4" s="149"/>
      <c r="G4" s="149"/>
      <c r="H4" s="149"/>
      <c r="I4" s="150"/>
    </row>
    <row r="5" spans="4:9" x14ac:dyDescent="0.25">
      <c r="D5" s="14" t="s">
        <v>5727</v>
      </c>
      <c r="E5" s="1" t="s">
        <v>23</v>
      </c>
      <c r="F5" s="1" t="s">
        <v>7</v>
      </c>
      <c r="G5" s="1">
        <v>576</v>
      </c>
      <c r="H5" s="1" t="s">
        <v>5781</v>
      </c>
      <c r="I5" s="16" t="s">
        <v>5786</v>
      </c>
    </row>
    <row r="6" spans="4:9" x14ac:dyDescent="0.25">
      <c r="D6" s="14" t="s">
        <v>5727</v>
      </c>
      <c r="E6" s="1" t="s">
        <v>5782</v>
      </c>
      <c r="F6" s="1" t="s">
        <v>7</v>
      </c>
      <c r="G6" s="1">
        <v>1000</v>
      </c>
      <c r="H6" s="1" t="s">
        <v>5783</v>
      </c>
      <c r="I6" s="16" t="s">
        <v>5786</v>
      </c>
    </row>
    <row r="7" spans="4:9" x14ac:dyDescent="0.25">
      <c r="D7" s="14" t="s">
        <v>5727</v>
      </c>
      <c r="E7" s="1" t="s">
        <v>5782</v>
      </c>
      <c r="F7" s="1" t="s">
        <v>7</v>
      </c>
      <c r="G7" s="1">
        <v>34</v>
      </c>
      <c r="H7" s="1" t="s">
        <v>5784</v>
      </c>
      <c r="I7" s="16" t="s">
        <v>5786</v>
      </c>
    </row>
    <row r="8" spans="4:9" x14ac:dyDescent="0.25">
      <c r="D8" s="42" t="s">
        <v>5727</v>
      </c>
      <c r="E8" s="43" t="s">
        <v>5462</v>
      </c>
      <c r="F8" s="43" t="s">
        <v>7</v>
      </c>
      <c r="G8" s="43">
        <v>539</v>
      </c>
      <c r="H8" s="43" t="s">
        <v>5785</v>
      </c>
      <c r="I8" s="44" t="s">
        <v>5787</v>
      </c>
    </row>
    <row r="9" spans="4:9" x14ac:dyDescent="0.25">
      <c r="D9" s="14" t="s">
        <v>5727</v>
      </c>
      <c r="E9" s="1" t="s">
        <v>3524</v>
      </c>
      <c r="F9" s="1" t="s">
        <v>7</v>
      </c>
      <c r="G9" s="1">
        <v>320</v>
      </c>
      <c r="H9" s="1" t="s">
        <v>5773</v>
      </c>
      <c r="I9" s="16" t="s">
        <v>689</v>
      </c>
    </row>
    <row r="10" spans="4:9" x14ac:dyDescent="0.25">
      <c r="D10" s="14" t="s">
        <v>5727</v>
      </c>
      <c r="E10" s="1" t="s">
        <v>5774</v>
      </c>
      <c r="F10" s="1" t="s">
        <v>7</v>
      </c>
      <c r="G10" s="1">
        <v>102</v>
      </c>
      <c r="H10" s="1" t="s">
        <v>5775</v>
      </c>
      <c r="I10" s="16" t="s">
        <v>5059</v>
      </c>
    </row>
    <row r="11" spans="4:9" x14ac:dyDescent="0.25">
      <c r="D11" s="14" t="s">
        <v>5727</v>
      </c>
      <c r="E11" s="1" t="s">
        <v>23</v>
      </c>
      <c r="F11" s="1" t="s">
        <v>7</v>
      </c>
      <c r="G11" s="1">
        <v>397.1</v>
      </c>
      <c r="H11" s="1" t="s">
        <v>5776</v>
      </c>
      <c r="I11" s="16" t="s">
        <v>590</v>
      </c>
    </row>
    <row r="12" spans="4:9" x14ac:dyDescent="0.25">
      <c r="D12" s="14" t="s">
        <v>5727</v>
      </c>
      <c r="E12" s="1" t="s">
        <v>5777</v>
      </c>
      <c r="F12" s="1" t="s">
        <v>7</v>
      </c>
      <c r="G12" s="1">
        <v>30.5</v>
      </c>
      <c r="H12" s="1" t="s">
        <v>5778</v>
      </c>
      <c r="I12" s="16" t="s">
        <v>5780</v>
      </c>
    </row>
    <row r="13" spans="4:9" x14ac:dyDescent="0.25">
      <c r="D13" s="14" t="s">
        <v>5727</v>
      </c>
      <c r="E13" s="1" t="s">
        <v>23</v>
      </c>
      <c r="F13" s="1" t="s">
        <v>7</v>
      </c>
      <c r="G13" s="1">
        <v>38</v>
      </c>
      <c r="H13" s="1" t="s">
        <v>5779</v>
      </c>
      <c r="I13" s="16" t="s">
        <v>3727</v>
      </c>
    </row>
    <row r="14" spans="4:9" x14ac:dyDescent="0.25">
      <c r="D14" s="14" t="s">
        <v>5727</v>
      </c>
      <c r="E14" s="1" t="s">
        <v>23</v>
      </c>
      <c r="F14" s="1" t="s">
        <v>7</v>
      </c>
      <c r="G14" s="1">
        <v>70</v>
      </c>
      <c r="H14" s="1" t="s">
        <v>5744</v>
      </c>
      <c r="I14" s="16" t="s">
        <v>5231</v>
      </c>
    </row>
    <row r="15" spans="4:9" x14ac:dyDescent="0.25">
      <c r="D15" s="29" t="s">
        <v>5727</v>
      </c>
      <c r="E15" s="28" t="s">
        <v>2625</v>
      </c>
      <c r="F15" s="28" t="s">
        <v>7</v>
      </c>
      <c r="G15" s="28">
        <v>-27</v>
      </c>
      <c r="H15" s="28" t="s">
        <v>5745</v>
      </c>
      <c r="I15" s="30" t="s">
        <v>5770</v>
      </c>
    </row>
    <row r="16" spans="4:9" x14ac:dyDescent="0.25">
      <c r="D16" s="14" t="s">
        <v>5727</v>
      </c>
      <c r="E16" s="1" t="s">
        <v>5746</v>
      </c>
      <c r="F16" s="1" t="s">
        <v>7</v>
      </c>
      <c r="G16" s="1">
        <v>4.5</v>
      </c>
      <c r="H16" s="1" t="s">
        <v>5747</v>
      </c>
      <c r="I16" s="16" t="s">
        <v>5768</v>
      </c>
    </row>
    <row r="17" spans="4:9" x14ac:dyDescent="0.25">
      <c r="D17" s="14" t="s">
        <v>5727</v>
      </c>
      <c r="E17" s="1" t="s">
        <v>5746</v>
      </c>
      <c r="F17" s="1" t="s">
        <v>7</v>
      </c>
      <c r="G17" s="1">
        <v>27</v>
      </c>
      <c r="H17" s="1" t="s">
        <v>5748</v>
      </c>
      <c r="I17" s="16" t="s">
        <v>5767</v>
      </c>
    </row>
    <row r="18" spans="4:9" x14ac:dyDescent="0.25">
      <c r="D18" s="14" t="s">
        <v>5727</v>
      </c>
      <c r="E18" s="1" t="s">
        <v>23</v>
      </c>
      <c r="F18" s="1" t="s">
        <v>7</v>
      </c>
      <c r="G18" s="1">
        <v>1030</v>
      </c>
      <c r="H18" s="1" t="s">
        <v>5749</v>
      </c>
      <c r="I18" s="16" t="s">
        <v>5769</v>
      </c>
    </row>
    <row r="19" spans="4:9" x14ac:dyDescent="0.25">
      <c r="D19" s="14" t="s">
        <v>5727</v>
      </c>
      <c r="E19" s="1" t="s">
        <v>5592</v>
      </c>
      <c r="F19" s="1" t="s">
        <v>7</v>
      </c>
      <c r="G19" s="1">
        <v>34.5</v>
      </c>
      <c r="H19" s="1" t="s">
        <v>5750</v>
      </c>
      <c r="I19" s="16" t="s">
        <v>5766</v>
      </c>
    </row>
    <row r="20" spans="4:9" x14ac:dyDescent="0.25">
      <c r="D20" s="14" t="s">
        <v>5727</v>
      </c>
      <c r="E20" s="1" t="s">
        <v>3212</v>
      </c>
      <c r="F20" s="1" t="s">
        <v>7</v>
      </c>
      <c r="G20" s="1">
        <v>90.5</v>
      </c>
      <c r="H20" s="1" t="s">
        <v>5751</v>
      </c>
      <c r="I20" s="16" t="s">
        <v>5765</v>
      </c>
    </row>
    <row r="21" spans="4:9" x14ac:dyDescent="0.25">
      <c r="D21" s="14" t="s">
        <v>5727</v>
      </c>
      <c r="E21" s="1" t="s">
        <v>5752</v>
      </c>
      <c r="F21" s="1" t="s">
        <v>7</v>
      </c>
      <c r="G21" s="1">
        <v>343</v>
      </c>
      <c r="H21" s="1" t="s">
        <v>5753</v>
      </c>
      <c r="I21" s="16" t="s">
        <v>5764</v>
      </c>
    </row>
    <row r="22" spans="4:9" x14ac:dyDescent="0.25">
      <c r="D22" s="14" t="s">
        <v>5727</v>
      </c>
      <c r="E22" s="1" t="s">
        <v>5752</v>
      </c>
      <c r="F22" s="1" t="s">
        <v>7</v>
      </c>
      <c r="G22" s="1">
        <v>500</v>
      </c>
      <c r="H22" s="1" t="s">
        <v>5754</v>
      </c>
      <c r="I22" s="16" t="s">
        <v>5764</v>
      </c>
    </row>
    <row r="23" spans="4:9" x14ac:dyDescent="0.25">
      <c r="D23" s="14" t="s">
        <v>5727</v>
      </c>
      <c r="E23" s="1" t="s">
        <v>5755</v>
      </c>
      <c r="F23" s="1" t="s">
        <v>7</v>
      </c>
      <c r="G23" s="1">
        <v>82</v>
      </c>
      <c r="H23" s="1" t="s">
        <v>5756</v>
      </c>
      <c r="I23" s="16" t="s">
        <v>5763</v>
      </c>
    </row>
    <row r="24" spans="4:9" x14ac:dyDescent="0.25">
      <c r="D24" s="14" t="s">
        <v>5727</v>
      </c>
      <c r="E24" s="1" t="s">
        <v>2625</v>
      </c>
      <c r="F24" s="1" t="s">
        <v>7</v>
      </c>
      <c r="G24" s="1">
        <v>72</v>
      </c>
      <c r="H24" s="1" t="s">
        <v>5728</v>
      </c>
      <c r="I24" s="16" t="s">
        <v>52</v>
      </c>
    </row>
    <row r="25" spans="4:9" x14ac:dyDescent="0.25">
      <c r="D25" s="14" t="s">
        <v>5727</v>
      </c>
      <c r="E25" s="1" t="s">
        <v>23</v>
      </c>
      <c r="F25" s="1" t="s">
        <v>7</v>
      </c>
      <c r="G25" s="1">
        <v>640</v>
      </c>
      <c r="H25" s="1" t="s">
        <v>5729</v>
      </c>
      <c r="I25" s="16" t="s">
        <v>1622</v>
      </c>
    </row>
    <row r="26" spans="4:9" x14ac:dyDescent="0.25">
      <c r="D26" s="14" t="s">
        <v>5727</v>
      </c>
      <c r="E26" s="1" t="s">
        <v>5730</v>
      </c>
      <c r="F26" s="1" t="s">
        <v>7</v>
      </c>
      <c r="G26" s="1">
        <v>6</v>
      </c>
      <c r="H26" s="1" t="s">
        <v>5731</v>
      </c>
      <c r="I26" s="16" t="s">
        <v>5771</v>
      </c>
    </row>
    <row r="27" spans="4:9" x14ac:dyDescent="0.25">
      <c r="D27" s="14" t="s">
        <v>5727</v>
      </c>
      <c r="E27" s="1" t="s">
        <v>5592</v>
      </c>
      <c r="F27" s="1" t="s">
        <v>7</v>
      </c>
      <c r="G27" s="1">
        <v>4</v>
      </c>
      <c r="H27" s="1" t="s">
        <v>5732</v>
      </c>
      <c r="I27" s="16" t="s">
        <v>5762</v>
      </c>
    </row>
    <row r="28" spans="4:9" x14ac:dyDescent="0.25">
      <c r="D28" s="14" t="s">
        <v>5727</v>
      </c>
      <c r="E28" s="1" t="s">
        <v>5592</v>
      </c>
      <c r="F28" s="1" t="s">
        <v>7</v>
      </c>
      <c r="G28" s="1">
        <v>10</v>
      </c>
      <c r="H28" s="1" t="s">
        <v>5733</v>
      </c>
      <c r="I28" s="16" t="s">
        <v>5761</v>
      </c>
    </row>
    <row r="29" spans="4:9" x14ac:dyDescent="0.25">
      <c r="D29" s="14" t="s">
        <v>5727</v>
      </c>
      <c r="E29" s="1" t="s">
        <v>509</v>
      </c>
      <c r="F29" s="1" t="s">
        <v>7</v>
      </c>
      <c r="G29" s="1">
        <v>46.5</v>
      </c>
      <c r="H29" s="1" t="s">
        <v>5734</v>
      </c>
      <c r="I29" s="16" t="s">
        <v>5760</v>
      </c>
    </row>
    <row r="30" spans="4:9" x14ac:dyDescent="0.25">
      <c r="D30" s="14" t="s">
        <v>5727</v>
      </c>
      <c r="E30" s="1" t="s">
        <v>5670</v>
      </c>
      <c r="F30" s="1" t="s">
        <v>7</v>
      </c>
      <c r="G30" s="1">
        <v>4.5</v>
      </c>
      <c r="H30" s="1" t="s">
        <v>5735</v>
      </c>
      <c r="I30" s="16" t="s">
        <v>5759</v>
      </c>
    </row>
    <row r="31" spans="4:9" x14ac:dyDescent="0.25">
      <c r="D31" s="14" t="s">
        <v>5727</v>
      </c>
      <c r="E31" s="1" t="s">
        <v>5670</v>
      </c>
      <c r="F31" s="1" t="s">
        <v>7</v>
      </c>
      <c r="G31" s="1">
        <v>4.5</v>
      </c>
      <c r="H31" s="1" t="s">
        <v>5736</v>
      </c>
      <c r="I31" s="16" t="s">
        <v>5758</v>
      </c>
    </row>
    <row r="32" spans="4:9" x14ac:dyDescent="0.25">
      <c r="D32" s="14" t="s">
        <v>5727</v>
      </c>
      <c r="E32" s="1" t="s">
        <v>5737</v>
      </c>
      <c r="F32" s="1" t="s">
        <v>7</v>
      </c>
      <c r="G32" s="1">
        <v>116</v>
      </c>
      <c r="H32" s="1" t="s">
        <v>5738</v>
      </c>
      <c r="I32" s="16" t="s">
        <v>5772</v>
      </c>
    </row>
    <row r="33" spans="4:9" x14ac:dyDescent="0.25">
      <c r="D33" s="14" t="s">
        <v>5727</v>
      </c>
      <c r="E33" s="1" t="s">
        <v>5737</v>
      </c>
      <c r="F33" s="1" t="s">
        <v>7</v>
      </c>
      <c r="G33" s="1">
        <v>500</v>
      </c>
      <c r="H33" s="1" t="s">
        <v>5739</v>
      </c>
      <c r="I33" s="16" t="s">
        <v>5772</v>
      </c>
    </row>
    <row r="34" spans="4:9" x14ac:dyDescent="0.25">
      <c r="D34" s="14" t="s">
        <v>5727</v>
      </c>
      <c r="E34" s="1" t="s">
        <v>5737</v>
      </c>
      <c r="F34" s="1" t="s">
        <v>7</v>
      </c>
      <c r="G34" s="1">
        <v>500</v>
      </c>
      <c r="H34" s="1" t="s">
        <v>5740</v>
      </c>
      <c r="I34" s="16" t="s">
        <v>5772</v>
      </c>
    </row>
    <row r="35" spans="4:9" x14ac:dyDescent="0.25">
      <c r="D35" s="14" t="s">
        <v>5727</v>
      </c>
      <c r="E35" s="1" t="s">
        <v>23</v>
      </c>
      <c r="F35" s="1" t="s">
        <v>7</v>
      </c>
      <c r="G35" s="1">
        <v>3000</v>
      </c>
      <c r="H35" s="1" t="s">
        <v>5741</v>
      </c>
      <c r="I35" s="16" t="s">
        <v>5392</v>
      </c>
    </row>
    <row r="36" spans="4:9" ht="16.5" thickBot="1" x14ac:dyDescent="0.3">
      <c r="D36" s="25" t="s">
        <v>5727</v>
      </c>
      <c r="E36" s="18" t="s">
        <v>5742</v>
      </c>
      <c r="F36" s="18" t="s">
        <v>7</v>
      </c>
      <c r="G36" s="18">
        <v>30.5</v>
      </c>
      <c r="H36" s="18" t="s">
        <v>5743</v>
      </c>
      <c r="I36" s="27" t="s">
        <v>5757</v>
      </c>
    </row>
  </sheetData>
  <pageMargins left="0.7" right="0.7" top="0.75" bottom="0.75" header="0.3" footer="0.3"/>
  <pageSetup orientation="portrait" r:id="rId1"/>
</worksheet>
</file>

<file path=xl/worksheets/sheet1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2D82A0-B8DC-4110-B7CE-AD97365C256E}">
  <sheetPr codeName="Hoja116"/>
  <dimension ref="C3:I23"/>
  <sheetViews>
    <sheetView workbookViewId="0">
      <selection activeCell="C20" sqref="C20:H20"/>
    </sheetView>
  </sheetViews>
  <sheetFormatPr baseColWidth="10" defaultRowHeight="15.75" x14ac:dyDescent="0.25"/>
  <cols>
    <col min="3" max="3" width="10.375" style="3" bestFit="1" customWidth="1"/>
    <col min="4" max="4" width="28.625" style="3" customWidth="1"/>
    <col min="5" max="5" width="7.5" style="3" bestFit="1" customWidth="1"/>
    <col min="6" max="6" width="11" style="3" customWidth="1"/>
    <col min="7" max="7" width="20.875" style="3" customWidth="1"/>
    <col min="8" max="8" width="30" style="3" customWidth="1"/>
    <col min="9" max="9" width="11" style="3"/>
  </cols>
  <sheetData>
    <row r="3" spans="3:8" x14ac:dyDescent="0.25">
      <c r="C3" s="1" t="s">
        <v>0</v>
      </c>
      <c r="D3" s="1" t="s">
        <v>1</v>
      </c>
      <c r="E3" s="1" t="s">
        <v>2</v>
      </c>
      <c r="F3" s="1" t="s">
        <v>3</v>
      </c>
      <c r="G3" s="1" t="s">
        <v>4</v>
      </c>
      <c r="H3" s="1"/>
    </row>
    <row r="4" spans="3:8" x14ac:dyDescent="0.25">
      <c r="C4" s="1" t="s">
        <v>5788</v>
      </c>
      <c r="D4" s="1" t="s">
        <v>1941</v>
      </c>
      <c r="E4" s="1" t="s">
        <v>7</v>
      </c>
      <c r="F4" s="1">
        <v>9</v>
      </c>
      <c r="G4" s="1">
        <v>22830848</v>
      </c>
      <c r="H4" s="1" t="s">
        <v>5859</v>
      </c>
    </row>
    <row r="5" spans="3:8" x14ac:dyDescent="0.25">
      <c r="C5" s="1" t="s">
        <v>5788</v>
      </c>
      <c r="D5" s="1" t="s">
        <v>5832</v>
      </c>
      <c r="E5" s="1" t="s">
        <v>7</v>
      </c>
      <c r="F5" s="1">
        <v>34</v>
      </c>
      <c r="G5" s="1">
        <v>10492391</v>
      </c>
      <c r="H5" s="1" t="s">
        <v>5833</v>
      </c>
    </row>
    <row r="6" spans="3:8" x14ac:dyDescent="0.25">
      <c r="C6" s="1" t="s">
        <v>5788</v>
      </c>
      <c r="D6" s="1" t="s">
        <v>5829</v>
      </c>
      <c r="E6" s="1" t="s">
        <v>7</v>
      </c>
      <c r="F6" s="1">
        <v>56</v>
      </c>
      <c r="G6" s="1" t="s">
        <v>5830</v>
      </c>
      <c r="H6" s="1" t="s">
        <v>5831</v>
      </c>
    </row>
    <row r="7" spans="3:8" x14ac:dyDescent="0.25">
      <c r="C7" s="1" t="s">
        <v>5788</v>
      </c>
      <c r="D7" s="1" t="s">
        <v>5826</v>
      </c>
      <c r="E7" s="1" t="s">
        <v>7</v>
      </c>
      <c r="F7" s="1">
        <v>82.5</v>
      </c>
      <c r="G7" s="1" t="s">
        <v>5827</v>
      </c>
      <c r="H7" s="1" t="s">
        <v>5828</v>
      </c>
    </row>
    <row r="8" spans="3:8" x14ac:dyDescent="0.25">
      <c r="C8" s="1" t="s">
        <v>5788</v>
      </c>
      <c r="D8" s="1" t="s">
        <v>5789</v>
      </c>
      <c r="E8" s="1" t="s">
        <v>7</v>
      </c>
      <c r="F8" s="1">
        <v>19</v>
      </c>
      <c r="G8" s="1" t="s">
        <v>5790</v>
      </c>
      <c r="H8" s="1" t="s">
        <v>5813</v>
      </c>
    </row>
    <row r="9" spans="3:8" x14ac:dyDescent="0.25">
      <c r="C9" s="1" t="s">
        <v>5788</v>
      </c>
      <c r="D9" s="1" t="s">
        <v>5791</v>
      </c>
      <c r="E9" s="1" t="s">
        <v>7</v>
      </c>
      <c r="F9" s="1">
        <v>5.9</v>
      </c>
      <c r="G9" s="1" t="s">
        <v>5792</v>
      </c>
      <c r="H9" s="1" t="s">
        <v>5814</v>
      </c>
    </row>
    <row r="10" spans="3:8" x14ac:dyDescent="0.25">
      <c r="C10" s="1" t="s">
        <v>5788</v>
      </c>
      <c r="D10" s="1" t="s">
        <v>5793</v>
      </c>
      <c r="E10" s="1" t="s">
        <v>7</v>
      </c>
      <c r="F10" s="1">
        <v>1</v>
      </c>
      <c r="G10" s="1" t="s">
        <v>5794</v>
      </c>
      <c r="H10" s="1" t="s">
        <v>5815</v>
      </c>
    </row>
    <row r="11" spans="3:8" x14ac:dyDescent="0.25">
      <c r="C11" s="1" t="s">
        <v>5788</v>
      </c>
      <c r="D11" s="1" t="s">
        <v>5793</v>
      </c>
      <c r="E11" s="1" t="s">
        <v>7</v>
      </c>
      <c r="F11" s="1">
        <v>5</v>
      </c>
      <c r="G11" s="1" t="s">
        <v>5795</v>
      </c>
      <c r="H11" s="1" t="s">
        <v>5816</v>
      </c>
    </row>
    <row r="12" spans="3:8" x14ac:dyDescent="0.25">
      <c r="C12" s="1" t="s">
        <v>5788</v>
      </c>
      <c r="D12" s="1" t="s">
        <v>5796</v>
      </c>
      <c r="E12" s="1" t="s">
        <v>7</v>
      </c>
      <c r="F12" s="1">
        <v>4</v>
      </c>
      <c r="G12" s="1" t="s">
        <v>5797</v>
      </c>
      <c r="H12" s="1" t="s">
        <v>5817</v>
      </c>
    </row>
    <row r="13" spans="3:8" x14ac:dyDescent="0.25">
      <c r="C13" s="1" t="s">
        <v>5788</v>
      </c>
      <c r="D13" s="1" t="s">
        <v>5798</v>
      </c>
      <c r="E13" s="1" t="s">
        <v>7</v>
      </c>
      <c r="F13" s="1">
        <v>9</v>
      </c>
      <c r="G13" s="1" t="s">
        <v>5799</v>
      </c>
      <c r="H13" s="1" t="s">
        <v>5818</v>
      </c>
    </row>
    <row r="14" spans="3:8" x14ac:dyDescent="0.25">
      <c r="C14" s="1" t="s">
        <v>5788</v>
      </c>
      <c r="D14" s="1" t="s">
        <v>2887</v>
      </c>
      <c r="E14" s="1" t="s">
        <v>7</v>
      </c>
      <c r="F14" s="1">
        <v>5</v>
      </c>
      <c r="G14" s="1" t="s">
        <v>5800</v>
      </c>
      <c r="H14" s="1" t="s">
        <v>5819</v>
      </c>
    </row>
    <row r="15" spans="3:8" x14ac:dyDescent="0.25">
      <c r="C15" s="1" t="s">
        <v>5788</v>
      </c>
      <c r="D15" s="1" t="s">
        <v>5801</v>
      </c>
      <c r="E15" s="1" t="s">
        <v>7</v>
      </c>
      <c r="F15" s="1">
        <v>129</v>
      </c>
      <c r="G15" s="1" t="s">
        <v>5802</v>
      </c>
      <c r="H15" s="1" t="s">
        <v>5820</v>
      </c>
    </row>
    <row r="16" spans="3:8" x14ac:dyDescent="0.25">
      <c r="C16" s="1" t="s">
        <v>5788</v>
      </c>
      <c r="D16" s="1" t="s">
        <v>5803</v>
      </c>
      <c r="E16" s="1" t="s">
        <v>7</v>
      </c>
      <c r="F16" s="1">
        <v>4.5</v>
      </c>
      <c r="G16" s="1" t="s">
        <v>5804</v>
      </c>
      <c r="H16" s="1" t="s">
        <v>5821</v>
      </c>
    </row>
    <row r="17" spans="3:8" x14ac:dyDescent="0.25">
      <c r="C17" s="1" t="s">
        <v>5788</v>
      </c>
      <c r="D17" s="1" t="s">
        <v>5805</v>
      </c>
      <c r="E17" s="1" t="s">
        <v>7</v>
      </c>
      <c r="F17" s="1">
        <v>60</v>
      </c>
      <c r="G17" s="1" t="s">
        <v>5806</v>
      </c>
      <c r="H17" s="1" t="s">
        <v>5822</v>
      </c>
    </row>
    <row r="18" spans="3:8" x14ac:dyDescent="0.25">
      <c r="C18" s="1" t="s">
        <v>5788</v>
      </c>
      <c r="D18" s="1" t="s">
        <v>5803</v>
      </c>
      <c r="E18" s="1" t="s">
        <v>7</v>
      </c>
      <c r="F18" s="1">
        <v>15</v>
      </c>
      <c r="G18" s="1" t="s">
        <v>5807</v>
      </c>
      <c r="H18" s="1" t="s">
        <v>5823</v>
      </c>
    </row>
    <row r="19" spans="3:8" x14ac:dyDescent="0.25">
      <c r="C19" s="1" t="s">
        <v>5788</v>
      </c>
      <c r="D19" s="1" t="s">
        <v>5805</v>
      </c>
      <c r="E19" s="1" t="s">
        <v>7</v>
      </c>
      <c r="F19" s="1">
        <v>131.5</v>
      </c>
      <c r="G19" s="1" t="s">
        <v>5808</v>
      </c>
      <c r="H19" s="1" t="s">
        <v>5822</v>
      </c>
    </row>
    <row r="20" spans="3:8" x14ac:dyDescent="0.25">
      <c r="C20" s="28" t="s">
        <v>5788</v>
      </c>
      <c r="D20" s="28" t="s">
        <v>472</v>
      </c>
      <c r="E20" s="28" t="s">
        <v>7</v>
      </c>
      <c r="F20" s="28">
        <v>-25440</v>
      </c>
      <c r="G20" s="28" t="s">
        <v>5809</v>
      </c>
      <c r="H20" s="28" t="s">
        <v>5824</v>
      </c>
    </row>
    <row r="21" spans="3:8" x14ac:dyDescent="0.25">
      <c r="C21" s="1" t="s">
        <v>5788</v>
      </c>
      <c r="D21" s="1" t="s">
        <v>4635</v>
      </c>
      <c r="E21" s="1" t="s">
        <v>7</v>
      </c>
      <c r="F21" s="1">
        <v>30.5</v>
      </c>
      <c r="G21" s="1" t="s">
        <v>5810</v>
      </c>
      <c r="H21" s="1" t="s">
        <v>2291</v>
      </c>
    </row>
    <row r="22" spans="3:8" x14ac:dyDescent="0.25">
      <c r="C22" s="1" t="s">
        <v>5788</v>
      </c>
      <c r="D22" s="1" t="s">
        <v>4635</v>
      </c>
      <c r="E22" s="1" t="s">
        <v>7</v>
      </c>
      <c r="F22" s="1">
        <v>106</v>
      </c>
      <c r="G22" s="1" t="s">
        <v>5811</v>
      </c>
      <c r="H22" s="1" t="s">
        <v>2291</v>
      </c>
    </row>
    <row r="23" spans="3:8" x14ac:dyDescent="0.25">
      <c r="C23" s="1" t="s">
        <v>5788</v>
      </c>
      <c r="D23" s="1" t="s">
        <v>5742</v>
      </c>
      <c r="E23" s="1" t="s">
        <v>7</v>
      </c>
      <c r="F23" s="1">
        <v>30.5</v>
      </c>
      <c r="G23" s="1" t="s">
        <v>5812</v>
      </c>
      <c r="H23" s="1" t="s">
        <v>5825</v>
      </c>
    </row>
  </sheetData>
  <pageMargins left="0.7" right="0.7" top="0.75" bottom="0.75" header="0.3" footer="0.3"/>
  <pageSetup paperSize="256" orientation="portrait" horizontalDpi="0" verticalDpi="0" r:id="rId1"/>
</worksheet>
</file>

<file path=xl/worksheets/sheet1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1A367F-DF4C-4F7F-AFB7-20796ECF97DB}">
  <sheetPr codeName="Hoja117"/>
  <dimension ref="C4:I35"/>
  <sheetViews>
    <sheetView topLeftCell="A4" workbookViewId="0">
      <selection activeCell="H27" sqref="H27"/>
    </sheetView>
  </sheetViews>
  <sheetFormatPr baseColWidth="10" defaultRowHeight="15.75" x14ac:dyDescent="0.25"/>
  <cols>
    <col min="3" max="3" width="11" style="3"/>
    <col min="4" max="4" width="22.375" style="3" bestFit="1" customWidth="1"/>
    <col min="5" max="6" width="11" style="3"/>
    <col min="7" max="7" width="18.75" style="3" bestFit="1" customWidth="1"/>
    <col min="8" max="8" width="27.75" style="3" bestFit="1" customWidth="1"/>
  </cols>
  <sheetData>
    <row r="4" spans="3:9" x14ac:dyDescent="0.25">
      <c r="C4" s="1" t="s">
        <v>0</v>
      </c>
      <c r="D4" s="1" t="s">
        <v>1</v>
      </c>
      <c r="E4" s="1" t="s">
        <v>2</v>
      </c>
      <c r="F4" s="1" t="s">
        <v>3</v>
      </c>
      <c r="G4" s="1" t="s">
        <v>4</v>
      </c>
      <c r="H4" s="1"/>
    </row>
    <row r="5" spans="3:9" x14ac:dyDescent="0.25">
      <c r="C5" s="1"/>
      <c r="D5" s="1"/>
      <c r="E5" s="1"/>
      <c r="F5" s="1"/>
      <c r="G5" s="1"/>
      <c r="H5" s="1"/>
    </row>
    <row r="6" spans="3:9" x14ac:dyDescent="0.25">
      <c r="C6" s="1" t="s">
        <v>5834</v>
      </c>
      <c r="D6" s="1" t="s">
        <v>23</v>
      </c>
      <c r="E6" s="1" t="s">
        <v>7</v>
      </c>
      <c r="F6" s="1">
        <v>1725</v>
      </c>
      <c r="G6" s="1" t="s">
        <v>5952</v>
      </c>
      <c r="H6" s="1" t="s">
        <v>3983</v>
      </c>
    </row>
    <row r="7" spans="3:9" x14ac:dyDescent="0.25">
      <c r="C7" s="1" t="s">
        <v>5834</v>
      </c>
      <c r="D7" s="1" t="s">
        <v>5953</v>
      </c>
      <c r="E7" s="1" t="s">
        <v>7</v>
      </c>
      <c r="F7" s="1">
        <v>3</v>
      </c>
      <c r="G7" s="1" t="s">
        <v>5954</v>
      </c>
      <c r="H7" s="1" t="s">
        <v>5955</v>
      </c>
    </row>
    <row r="8" spans="3:9" x14ac:dyDescent="0.25">
      <c r="C8" s="2" t="s">
        <v>5834</v>
      </c>
      <c r="D8" s="2" t="s">
        <v>5579</v>
      </c>
      <c r="E8" s="2" t="s">
        <v>7</v>
      </c>
      <c r="F8" s="2">
        <v>144.5</v>
      </c>
      <c r="G8" s="2" t="s">
        <v>5934</v>
      </c>
      <c r="H8" s="2" t="s">
        <v>3973</v>
      </c>
    </row>
    <row r="9" spans="3:9" x14ac:dyDescent="0.25">
      <c r="C9" s="6" t="s">
        <v>5834</v>
      </c>
      <c r="D9" s="6" t="s">
        <v>23</v>
      </c>
      <c r="E9" s="6" t="s">
        <v>7</v>
      </c>
      <c r="F9" s="6">
        <v>2610</v>
      </c>
      <c r="G9" s="6" t="s">
        <v>5935</v>
      </c>
      <c r="H9" s="6" t="s">
        <v>1548</v>
      </c>
      <c r="I9" s="243" t="s">
        <v>1999</v>
      </c>
    </row>
    <row r="10" spans="3:9" x14ac:dyDescent="0.25">
      <c r="C10" s="1" t="s">
        <v>5834</v>
      </c>
      <c r="D10" s="1" t="s">
        <v>5368</v>
      </c>
      <c r="E10" s="1" t="s">
        <v>7</v>
      </c>
      <c r="F10" s="1">
        <v>10000</v>
      </c>
      <c r="G10" s="1" t="s">
        <v>5936</v>
      </c>
      <c r="H10" s="1" t="s">
        <v>1388</v>
      </c>
    </row>
    <row r="11" spans="3:9" x14ac:dyDescent="0.25">
      <c r="C11" s="28" t="s">
        <v>5834</v>
      </c>
      <c r="D11" s="28" t="s">
        <v>598</v>
      </c>
      <c r="E11" s="28" t="s">
        <v>7</v>
      </c>
      <c r="F11" s="28">
        <v>-8000</v>
      </c>
      <c r="G11" s="28" t="s">
        <v>5937</v>
      </c>
      <c r="H11" s="28" t="s">
        <v>5947</v>
      </c>
    </row>
    <row r="12" spans="3:9" x14ac:dyDescent="0.25">
      <c r="C12" s="28" t="s">
        <v>5834</v>
      </c>
      <c r="D12" s="28" t="s">
        <v>598</v>
      </c>
      <c r="E12" s="28" t="s">
        <v>7</v>
      </c>
      <c r="F12" s="28">
        <v>-15041.26</v>
      </c>
      <c r="G12" s="28" t="s">
        <v>5938</v>
      </c>
      <c r="H12" s="28" t="s">
        <v>5947</v>
      </c>
    </row>
    <row r="13" spans="3:9" x14ac:dyDescent="0.25">
      <c r="C13" s="1" t="s">
        <v>5834</v>
      </c>
      <c r="D13" s="1" t="s">
        <v>23</v>
      </c>
      <c r="E13" s="1" t="s">
        <v>7</v>
      </c>
      <c r="F13" s="1">
        <v>665</v>
      </c>
      <c r="G13" s="1" t="s">
        <v>5939</v>
      </c>
      <c r="H13" s="1" t="s">
        <v>1270</v>
      </c>
    </row>
    <row r="14" spans="3:9" x14ac:dyDescent="0.25">
      <c r="C14" s="1" t="s">
        <v>5834</v>
      </c>
      <c r="D14" s="1" t="s">
        <v>5940</v>
      </c>
      <c r="E14" s="1" t="s">
        <v>7</v>
      </c>
      <c r="F14" s="1">
        <v>62</v>
      </c>
      <c r="G14" s="1" t="s">
        <v>5941</v>
      </c>
      <c r="H14" s="1" t="s">
        <v>5950</v>
      </c>
    </row>
    <row r="15" spans="3:9" x14ac:dyDescent="0.25">
      <c r="C15" s="1" t="s">
        <v>5834</v>
      </c>
      <c r="D15" s="1" t="s">
        <v>5829</v>
      </c>
      <c r="E15" s="1" t="s">
        <v>7</v>
      </c>
      <c r="F15" s="1">
        <v>4</v>
      </c>
      <c r="G15" s="1" t="s">
        <v>5942</v>
      </c>
      <c r="H15" s="1" t="s">
        <v>5949</v>
      </c>
    </row>
    <row r="16" spans="3:9" x14ac:dyDescent="0.25">
      <c r="C16" s="1" t="s">
        <v>5834</v>
      </c>
      <c r="D16" s="1" t="s">
        <v>23</v>
      </c>
      <c r="E16" s="1" t="s">
        <v>7</v>
      </c>
      <c r="F16" s="1">
        <v>1869</v>
      </c>
      <c r="G16" s="1" t="s">
        <v>5943</v>
      </c>
      <c r="H16" s="1" t="s">
        <v>1270</v>
      </c>
    </row>
    <row r="17" spans="3:8" x14ac:dyDescent="0.25">
      <c r="C17" s="1" t="s">
        <v>5834</v>
      </c>
      <c r="D17" s="1" t="s">
        <v>5944</v>
      </c>
      <c r="E17" s="1" t="s">
        <v>7</v>
      </c>
      <c r="F17" s="1">
        <v>82.5</v>
      </c>
      <c r="G17" s="1" t="s">
        <v>5945</v>
      </c>
      <c r="H17" s="1" t="s">
        <v>5948</v>
      </c>
    </row>
    <row r="18" spans="3:8" x14ac:dyDescent="0.25">
      <c r="C18" s="1" t="s">
        <v>5834</v>
      </c>
      <c r="D18" s="1" t="s">
        <v>509</v>
      </c>
      <c r="E18" s="1" t="s">
        <v>7</v>
      </c>
      <c r="F18" s="1">
        <v>632</v>
      </c>
      <c r="G18" s="1" t="s">
        <v>5946</v>
      </c>
      <c r="H18" s="1" t="s">
        <v>5951</v>
      </c>
    </row>
    <row r="19" spans="3:8" x14ac:dyDescent="0.25">
      <c r="C19" s="1" t="s">
        <v>5834</v>
      </c>
      <c r="D19" s="1" t="s">
        <v>4448</v>
      </c>
      <c r="E19" s="1" t="s">
        <v>7</v>
      </c>
      <c r="F19" s="1">
        <v>3.5</v>
      </c>
      <c r="G19" s="1" t="s">
        <v>5835</v>
      </c>
      <c r="H19" s="1" t="s">
        <v>5866</v>
      </c>
    </row>
    <row r="20" spans="3:8" x14ac:dyDescent="0.25">
      <c r="C20" s="1" t="s">
        <v>5834</v>
      </c>
      <c r="D20" s="1" t="s">
        <v>4448</v>
      </c>
      <c r="E20" s="1" t="s">
        <v>7</v>
      </c>
      <c r="F20" s="1">
        <v>9</v>
      </c>
      <c r="G20" s="1" t="s">
        <v>5836</v>
      </c>
      <c r="H20" s="1" t="s">
        <v>5867</v>
      </c>
    </row>
    <row r="21" spans="3:8" x14ac:dyDescent="0.25">
      <c r="C21" s="1" t="s">
        <v>5834</v>
      </c>
      <c r="D21" s="1" t="s">
        <v>5829</v>
      </c>
      <c r="E21" s="1" t="s">
        <v>7</v>
      </c>
      <c r="F21" s="1">
        <v>61</v>
      </c>
      <c r="G21" s="1" t="s">
        <v>5837</v>
      </c>
      <c r="H21" s="1" t="s">
        <v>5865</v>
      </c>
    </row>
    <row r="22" spans="3:8" x14ac:dyDescent="0.25">
      <c r="C22" s="28" t="s">
        <v>5834</v>
      </c>
      <c r="D22" s="28" t="s">
        <v>2625</v>
      </c>
      <c r="E22" s="28" t="s">
        <v>7</v>
      </c>
      <c r="F22" s="28">
        <v>-9</v>
      </c>
      <c r="G22" s="28" t="s">
        <v>5838</v>
      </c>
      <c r="H22" s="28" t="s">
        <v>5868</v>
      </c>
    </row>
    <row r="23" spans="3:8" x14ac:dyDescent="0.25">
      <c r="C23" s="1" t="s">
        <v>5834</v>
      </c>
      <c r="D23" s="1" t="s">
        <v>5839</v>
      </c>
      <c r="E23" s="1" t="s">
        <v>7</v>
      </c>
      <c r="F23" s="1">
        <v>220</v>
      </c>
      <c r="G23" s="1" t="s">
        <v>5840</v>
      </c>
      <c r="H23" s="1" t="s">
        <v>5864</v>
      </c>
    </row>
    <row r="24" spans="3:8" x14ac:dyDescent="0.25">
      <c r="C24" s="1" t="s">
        <v>5834</v>
      </c>
      <c r="D24" s="1" t="s">
        <v>295</v>
      </c>
      <c r="E24" s="1" t="s">
        <v>7</v>
      </c>
      <c r="F24" s="1">
        <v>38</v>
      </c>
      <c r="G24" s="1" t="s">
        <v>5841</v>
      </c>
      <c r="H24" s="1" t="s">
        <v>5863</v>
      </c>
    </row>
    <row r="25" spans="3:8" x14ac:dyDescent="0.25">
      <c r="C25" s="1" t="s">
        <v>5834</v>
      </c>
      <c r="D25" s="1" t="s">
        <v>5842</v>
      </c>
      <c r="E25" s="1" t="s">
        <v>7</v>
      </c>
      <c r="F25" s="1">
        <v>39</v>
      </c>
      <c r="G25" s="1" t="s">
        <v>5843</v>
      </c>
      <c r="H25" s="1" t="s">
        <v>5862</v>
      </c>
    </row>
    <row r="26" spans="3:8" x14ac:dyDescent="0.25">
      <c r="C26" s="1" t="s">
        <v>5834</v>
      </c>
      <c r="D26" s="1" t="s">
        <v>509</v>
      </c>
      <c r="E26" s="1" t="s">
        <v>7</v>
      </c>
      <c r="F26" s="1">
        <v>500</v>
      </c>
      <c r="G26" s="1" t="s">
        <v>5844</v>
      </c>
      <c r="H26" s="1" t="s">
        <v>5861</v>
      </c>
    </row>
    <row r="27" spans="3:8" x14ac:dyDescent="0.25">
      <c r="C27" s="1" t="s">
        <v>5834</v>
      </c>
      <c r="D27" s="1" t="s">
        <v>320</v>
      </c>
      <c r="E27" s="1" t="s">
        <v>7</v>
      </c>
      <c r="F27" s="1">
        <v>2783.5</v>
      </c>
      <c r="G27" s="1" t="s">
        <v>5845</v>
      </c>
      <c r="H27" s="1" t="s">
        <v>5869</v>
      </c>
    </row>
    <row r="28" spans="3:8" x14ac:dyDescent="0.25">
      <c r="C28" s="2" t="s">
        <v>5834</v>
      </c>
      <c r="D28" s="2" t="s">
        <v>2857</v>
      </c>
      <c r="E28" s="2" t="s">
        <v>7</v>
      </c>
      <c r="F28" s="2">
        <v>2200</v>
      </c>
      <c r="G28" s="2" t="s">
        <v>5846</v>
      </c>
      <c r="H28" s="2" t="s">
        <v>1388</v>
      </c>
    </row>
    <row r="29" spans="3:8" x14ac:dyDescent="0.25">
      <c r="C29" s="1" t="s">
        <v>5834</v>
      </c>
      <c r="D29" s="1" t="s">
        <v>5847</v>
      </c>
      <c r="E29" s="1" t="s">
        <v>7</v>
      </c>
      <c r="F29" s="1">
        <v>9</v>
      </c>
      <c r="G29" s="1" t="s">
        <v>5848</v>
      </c>
      <c r="H29" s="1" t="s">
        <v>5860</v>
      </c>
    </row>
    <row r="30" spans="3:8" x14ac:dyDescent="0.25">
      <c r="C30" s="1" t="s">
        <v>5834</v>
      </c>
      <c r="D30" s="1" t="s">
        <v>5849</v>
      </c>
      <c r="E30" s="1" t="s">
        <v>7</v>
      </c>
      <c r="F30" s="1">
        <v>23</v>
      </c>
      <c r="G30" s="1" t="s">
        <v>5850</v>
      </c>
      <c r="H30" s="1" t="s">
        <v>4967</v>
      </c>
    </row>
    <row r="31" spans="3:8" x14ac:dyDescent="0.25">
      <c r="C31" s="1" t="s">
        <v>5834</v>
      </c>
      <c r="D31" s="1" t="s">
        <v>3212</v>
      </c>
      <c r="E31" s="1" t="s">
        <v>7</v>
      </c>
      <c r="F31" s="1">
        <v>50</v>
      </c>
      <c r="G31" s="1" t="s">
        <v>5851</v>
      </c>
      <c r="H31" s="1" t="s">
        <v>5860</v>
      </c>
    </row>
    <row r="32" spans="3:8" x14ac:dyDescent="0.25">
      <c r="C32" s="1" t="s">
        <v>5834</v>
      </c>
      <c r="D32" s="1" t="s">
        <v>5852</v>
      </c>
      <c r="E32" s="1" t="s">
        <v>7</v>
      </c>
      <c r="F32" s="1">
        <v>162</v>
      </c>
      <c r="G32" s="1" t="s">
        <v>5853</v>
      </c>
      <c r="H32" s="1" t="s">
        <v>5870</v>
      </c>
    </row>
    <row r="33" spans="3:8" x14ac:dyDescent="0.25">
      <c r="C33" s="1" t="s">
        <v>5834</v>
      </c>
      <c r="D33" s="1" t="s">
        <v>23</v>
      </c>
      <c r="E33" s="1" t="s">
        <v>7</v>
      </c>
      <c r="F33" s="1">
        <v>651</v>
      </c>
      <c r="G33" s="1" t="s">
        <v>5854</v>
      </c>
      <c r="H33" s="1" t="s">
        <v>660</v>
      </c>
    </row>
    <row r="34" spans="3:8" x14ac:dyDescent="0.25">
      <c r="C34" s="1" t="s">
        <v>5834</v>
      </c>
      <c r="D34" s="1" t="s">
        <v>23</v>
      </c>
      <c r="E34" s="1" t="s">
        <v>7</v>
      </c>
      <c r="F34" s="1">
        <v>1000</v>
      </c>
      <c r="G34" s="1" t="s">
        <v>5855</v>
      </c>
      <c r="H34" s="1" t="s">
        <v>5392</v>
      </c>
    </row>
    <row r="35" spans="3:8" x14ac:dyDescent="0.25">
      <c r="C35" s="1" t="s">
        <v>5834</v>
      </c>
      <c r="D35" s="1" t="s">
        <v>5856</v>
      </c>
      <c r="E35" s="1" t="s">
        <v>7</v>
      </c>
      <c r="F35" s="1">
        <v>15</v>
      </c>
      <c r="G35" s="1" t="s">
        <v>5857</v>
      </c>
      <c r="H35" s="1" t="s">
        <v>5858</v>
      </c>
    </row>
  </sheetData>
  <pageMargins left="0.7" right="0.7" top="0.75" bottom="0.75" header="0.3" footer="0.3"/>
  <pageSetup paperSize="256" orientation="portrait" horizontalDpi="0" verticalDpi="0" r:id="rId1"/>
</worksheet>
</file>

<file path=xl/worksheets/sheet1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472EFF-D1D8-48D2-BEAA-C4B5FEE56F18}">
  <sheetPr codeName="Hoja118"/>
  <dimension ref="D2:I28"/>
  <sheetViews>
    <sheetView workbookViewId="0">
      <selection activeCell="H13" sqref="H13"/>
    </sheetView>
  </sheetViews>
  <sheetFormatPr baseColWidth="10" defaultRowHeight="15.75" x14ac:dyDescent="0.25"/>
  <cols>
    <col min="4" max="4" width="11" style="3"/>
    <col min="5" max="5" width="23.25" style="3" bestFit="1" customWidth="1"/>
    <col min="6" max="7" width="11" style="3"/>
    <col min="8" max="8" width="25.75" style="3" customWidth="1"/>
    <col min="9" max="9" width="37.5" style="3" customWidth="1"/>
  </cols>
  <sheetData>
    <row r="2" spans="4:9" ht="16.5" thickBot="1" x14ac:dyDescent="0.3"/>
    <row r="3" spans="4:9" x14ac:dyDescent="0.25">
      <c r="D3" s="21" t="s">
        <v>0</v>
      </c>
      <c r="E3" s="22" t="s">
        <v>1</v>
      </c>
      <c r="F3" s="22" t="s">
        <v>2</v>
      </c>
      <c r="G3" s="22" t="s">
        <v>3</v>
      </c>
      <c r="H3" s="22" t="s">
        <v>4</v>
      </c>
      <c r="I3" s="23"/>
    </row>
    <row r="4" spans="4:9" x14ac:dyDescent="0.25">
      <c r="D4" s="14"/>
      <c r="E4" s="1"/>
      <c r="F4" s="1"/>
      <c r="G4" s="1"/>
      <c r="H4" s="1"/>
      <c r="I4" s="16"/>
    </row>
    <row r="5" spans="4:9" x14ac:dyDescent="0.25">
      <c r="D5" s="14"/>
      <c r="E5" s="1"/>
      <c r="F5" s="1"/>
      <c r="G5" s="1"/>
      <c r="H5" s="1"/>
      <c r="I5" s="16"/>
    </row>
    <row r="6" spans="4:9" x14ac:dyDescent="0.25">
      <c r="D6" s="14" t="s">
        <v>5956</v>
      </c>
      <c r="E6" s="1" t="s">
        <v>5999</v>
      </c>
      <c r="F6" s="1" t="s">
        <v>7</v>
      </c>
      <c r="G6" s="1">
        <v>34.5</v>
      </c>
      <c r="H6" s="1" t="s">
        <v>6000</v>
      </c>
      <c r="I6" s="16" t="s">
        <v>6001</v>
      </c>
    </row>
    <row r="7" spans="4:9" x14ac:dyDescent="0.25">
      <c r="D7" s="14" t="s">
        <v>5956</v>
      </c>
      <c r="E7" s="1" t="s">
        <v>5805</v>
      </c>
      <c r="F7" s="1" t="s">
        <v>7</v>
      </c>
      <c r="G7" s="1">
        <v>6</v>
      </c>
      <c r="H7" s="1" t="s">
        <v>5981</v>
      </c>
      <c r="I7" s="16" t="s">
        <v>5997</v>
      </c>
    </row>
    <row r="8" spans="4:9" x14ac:dyDescent="0.25">
      <c r="D8" s="14" t="s">
        <v>5956</v>
      </c>
      <c r="E8" s="1" t="s">
        <v>5805</v>
      </c>
      <c r="F8" s="1" t="s">
        <v>7</v>
      </c>
      <c r="G8" s="1">
        <v>40</v>
      </c>
      <c r="H8" s="1" t="s">
        <v>5982</v>
      </c>
      <c r="I8" s="16" t="s">
        <v>5996</v>
      </c>
    </row>
    <row r="9" spans="4:9" x14ac:dyDescent="0.25">
      <c r="D9" s="14" t="s">
        <v>5956</v>
      </c>
      <c r="E9" s="1" t="s">
        <v>3005</v>
      </c>
      <c r="F9" s="1" t="s">
        <v>7</v>
      </c>
      <c r="G9" s="1">
        <v>25</v>
      </c>
      <c r="H9" s="1" t="s">
        <v>5983</v>
      </c>
      <c r="I9" s="16" t="s">
        <v>386</v>
      </c>
    </row>
    <row r="10" spans="4:9" x14ac:dyDescent="0.25">
      <c r="D10" s="14" t="s">
        <v>5956</v>
      </c>
      <c r="E10" s="1" t="s">
        <v>3005</v>
      </c>
      <c r="F10" s="1" t="s">
        <v>7</v>
      </c>
      <c r="G10" s="1">
        <v>145</v>
      </c>
      <c r="H10" s="1" t="s">
        <v>5984</v>
      </c>
      <c r="I10" s="16" t="s">
        <v>386</v>
      </c>
    </row>
    <row r="11" spans="4:9" x14ac:dyDescent="0.25">
      <c r="D11" s="14" t="s">
        <v>5956</v>
      </c>
      <c r="E11" s="1" t="s">
        <v>23</v>
      </c>
      <c r="F11" s="1" t="s">
        <v>7</v>
      </c>
      <c r="G11" s="1">
        <v>857.5</v>
      </c>
      <c r="H11" s="1" t="s">
        <v>5985</v>
      </c>
      <c r="I11" s="16" t="s">
        <v>5995</v>
      </c>
    </row>
    <row r="12" spans="4:9" x14ac:dyDescent="0.25">
      <c r="D12" s="14" t="s">
        <v>5956</v>
      </c>
      <c r="E12" s="1" t="s">
        <v>3098</v>
      </c>
      <c r="F12" s="1" t="s">
        <v>7</v>
      </c>
      <c r="G12" s="1">
        <v>5</v>
      </c>
      <c r="H12" s="1" t="s">
        <v>5986</v>
      </c>
      <c r="I12" s="16" t="s">
        <v>5994</v>
      </c>
    </row>
    <row r="13" spans="4:9" x14ac:dyDescent="0.25">
      <c r="D13" s="29" t="s">
        <v>5956</v>
      </c>
      <c r="E13" s="28" t="s">
        <v>1945</v>
      </c>
      <c r="F13" s="28" t="s">
        <v>7</v>
      </c>
      <c r="G13" s="28">
        <v>-152.80000000000001</v>
      </c>
      <c r="H13" s="28" t="s">
        <v>5987</v>
      </c>
      <c r="I13" s="30" t="s">
        <v>5993</v>
      </c>
    </row>
    <row r="14" spans="4:9" x14ac:dyDescent="0.25">
      <c r="D14" s="29" t="s">
        <v>5956</v>
      </c>
      <c r="E14" s="28" t="s">
        <v>1945</v>
      </c>
      <c r="F14" s="28" t="s">
        <v>7</v>
      </c>
      <c r="G14" s="28">
        <v>-500</v>
      </c>
      <c r="H14" s="28" t="s">
        <v>5988</v>
      </c>
      <c r="I14" s="30" t="s">
        <v>5993</v>
      </c>
    </row>
    <row r="15" spans="4:9" x14ac:dyDescent="0.25">
      <c r="D15" s="14" t="s">
        <v>5956</v>
      </c>
      <c r="E15" s="1" t="s">
        <v>5174</v>
      </c>
      <c r="F15" s="1" t="s">
        <v>7</v>
      </c>
      <c r="G15" s="1">
        <v>37.5</v>
      </c>
      <c r="H15" s="1" t="s">
        <v>5989</v>
      </c>
      <c r="I15" s="16" t="s">
        <v>5992</v>
      </c>
    </row>
    <row r="16" spans="4:9" x14ac:dyDescent="0.25">
      <c r="D16" s="14" t="s">
        <v>5956</v>
      </c>
      <c r="E16" s="1" t="s">
        <v>5518</v>
      </c>
      <c r="F16" s="1" t="s">
        <v>7</v>
      </c>
      <c r="G16" s="1">
        <v>15</v>
      </c>
      <c r="H16" s="1" t="s">
        <v>5990</v>
      </c>
      <c r="I16" s="16" t="s">
        <v>5998</v>
      </c>
    </row>
    <row r="17" spans="4:9" x14ac:dyDescent="0.25">
      <c r="D17" s="14" t="s">
        <v>5956</v>
      </c>
      <c r="E17" s="1" t="s">
        <v>5518</v>
      </c>
      <c r="F17" s="1" t="s">
        <v>7</v>
      </c>
      <c r="G17" s="1">
        <v>55.2</v>
      </c>
      <c r="H17" s="1" t="s">
        <v>5991</v>
      </c>
      <c r="I17" s="16" t="s">
        <v>5998</v>
      </c>
    </row>
    <row r="18" spans="4:9" x14ac:dyDescent="0.25">
      <c r="D18" s="14" t="s">
        <v>5956</v>
      </c>
      <c r="E18" s="1" t="s">
        <v>23</v>
      </c>
      <c r="F18" s="1" t="s">
        <v>7</v>
      </c>
      <c r="G18" s="1">
        <v>2030</v>
      </c>
      <c r="H18" s="1" t="s">
        <v>5957</v>
      </c>
      <c r="I18" s="16" t="s">
        <v>5980</v>
      </c>
    </row>
    <row r="19" spans="4:9" x14ac:dyDescent="0.25">
      <c r="D19" s="14" t="s">
        <v>5956</v>
      </c>
      <c r="E19" s="1" t="s">
        <v>5958</v>
      </c>
      <c r="F19" s="1" t="s">
        <v>7</v>
      </c>
      <c r="G19" s="1">
        <v>138.80000000000001</v>
      </c>
      <c r="H19" s="1" t="s">
        <v>5959</v>
      </c>
      <c r="I19" s="16" t="s">
        <v>5978</v>
      </c>
    </row>
    <row r="20" spans="4:9" x14ac:dyDescent="0.25">
      <c r="D20" s="14" t="s">
        <v>5956</v>
      </c>
      <c r="E20" s="1" t="s">
        <v>3664</v>
      </c>
      <c r="F20" s="1" t="s">
        <v>7</v>
      </c>
      <c r="G20" s="1">
        <v>2</v>
      </c>
      <c r="H20" s="1" t="s">
        <v>5960</v>
      </c>
      <c r="I20" s="16" t="s">
        <v>5977</v>
      </c>
    </row>
    <row r="21" spans="4:9" x14ac:dyDescent="0.25">
      <c r="D21" s="14" t="s">
        <v>5956</v>
      </c>
      <c r="E21" s="1" t="s">
        <v>23</v>
      </c>
      <c r="F21" s="1" t="s">
        <v>7</v>
      </c>
      <c r="G21" s="1">
        <v>365.5</v>
      </c>
      <c r="H21" s="1" t="s">
        <v>5961</v>
      </c>
      <c r="I21" s="16" t="s">
        <v>5231</v>
      </c>
    </row>
    <row r="22" spans="4:9" x14ac:dyDescent="0.25">
      <c r="D22" s="14" t="s">
        <v>5956</v>
      </c>
      <c r="E22" s="1" t="s">
        <v>5962</v>
      </c>
      <c r="F22" s="1" t="s">
        <v>7</v>
      </c>
      <c r="G22" s="1">
        <v>3</v>
      </c>
      <c r="H22" s="1" t="s">
        <v>5963</v>
      </c>
      <c r="I22" s="16" t="s">
        <v>5976</v>
      </c>
    </row>
    <row r="23" spans="4:9" x14ac:dyDescent="0.25">
      <c r="D23" s="14" t="s">
        <v>5956</v>
      </c>
      <c r="E23" s="1" t="s">
        <v>5964</v>
      </c>
      <c r="F23" s="1" t="s">
        <v>7</v>
      </c>
      <c r="G23" s="1">
        <v>3</v>
      </c>
      <c r="H23" s="1" t="s">
        <v>5965</v>
      </c>
      <c r="I23" s="16" t="s">
        <v>5975</v>
      </c>
    </row>
    <row r="24" spans="4:9" x14ac:dyDescent="0.25">
      <c r="D24" s="14" t="s">
        <v>5956</v>
      </c>
      <c r="E24" s="1" t="s">
        <v>509</v>
      </c>
      <c r="F24" s="1" t="s">
        <v>7</v>
      </c>
      <c r="G24" s="1">
        <v>3.5</v>
      </c>
      <c r="H24" s="1" t="s">
        <v>5966</v>
      </c>
      <c r="I24" s="16" t="s">
        <v>5974</v>
      </c>
    </row>
    <row r="25" spans="4:9" x14ac:dyDescent="0.25">
      <c r="D25" s="14" t="s">
        <v>5956</v>
      </c>
      <c r="E25" s="1" t="s">
        <v>3634</v>
      </c>
      <c r="F25" s="1" t="s">
        <v>7</v>
      </c>
      <c r="G25" s="1">
        <v>198</v>
      </c>
      <c r="H25" s="1" t="s">
        <v>5967</v>
      </c>
      <c r="I25" s="16" t="s">
        <v>4029</v>
      </c>
    </row>
    <row r="26" spans="4:9" x14ac:dyDescent="0.25">
      <c r="D26" s="14" t="s">
        <v>5956</v>
      </c>
      <c r="E26" s="1" t="s">
        <v>3664</v>
      </c>
      <c r="F26" s="1" t="s">
        <v>7</v>
      </c>
      <c r="G26" s="1">
        <v>6</v>
      </c>
      <c r="H26" s="1" t="s">
        <v>5968</v>
      </c>
      <c r="I26" s="16" t="s">
        <v>5973</v>
      </c>
    </row>
    <row r="27" spans="4:9" x14ac:dyDescent="0.25">
      <c r="D27" s="14" t="s">
        <v>5956</v>
      </c>
      <c r="E27" s="1" t="s">
        <v>5969</v>
      </c>
      <c r="F27" s="1" t="s">
        <v>7</v>
      </c>
      <c r="G27" s="1">
        <v>90</v>
      </c>
      <c r="H27" s="1" t="s">
        <v>5970</v>
      </c>
      <c r="I27" s="16" t="s">
        <v>5972</v>
      </c>
    </row>
    <row r="28" spans="4:9" ht="16.5" thickBot="1" x14ac:dyDescent="0.3">
      <c r="D28" s="25" t="s">
        <v>5956</v>
      </c>
      <c r="E28" s="18" t="s">
        <v>4659</v>
      </c>
      <c r="F28" s="18" t="s">
        <v>7</v>
      </c>
      <c r="G28" s="18">
        <v>100</v>
      </c>
      <c r="H28" s="18" t="s">
        <v>5971</v>
      </c>
      <c r="I28" s="27" t="s">
        <v>5979</v>
      </c>
    </row>
  </sheetData>
  <pageMargins left="0.7" right="0.7" top="0.75" bottom="0.75" header="0.3" footer="0.3"/>
  <pageSetup paperSize="256" orientation="portrait" horizontalDpi="0" verticalDpi="0" r:id="rId1"/>
</worksheet>
</file>

<file path=xl/worksheets/sheet1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0FE324-02B1-46E0-AA8A-541314922FA0}">
  <sheetPr codeName="Hoja119"/>
  <dimension ref="C2:H28"/>
  <sheetViews>
    <sheetView workbookViewId="0">
      <selection activeCell="B2" sqref="B2:I29"/>
    </sheetView>
  </sheetViews>
  <sheetFormatPr baseColWidth="10" defaultRowHeight="15.75" x14ac:dyDescent="0.25"/>
  <cols>
    <col min="3" max="3" width="11" style="3"/>
    <col min="4" max="4" width="24.5" style="3" customWidth="1"/>
    <col min="5" max="6" width="11" style="3"/>
    <col min="7" max="7" width="18.75" style="3" bestFit="1" customWidth="1"/>
    <col min="8" max="8" width="28.25" style="3" customWidth="1"/>
  </cols>
  <sheetData>
    <row r="2" spans="3:8" ht="16.5" thickBot="1" x14ac:dyDescent="0.3"/>
    <row r="3" spans="3:8" x14ac:dyDescent="0.25">
      <c r="C3" s="11" t="s">
        <v>0</v>
      </c>
      <c r="D3" s="12" t="s">
        <v>1</v>
      </c>
      <c r="E3" s="12" t="s">
        <v>2</v>
      </c>
      <c r="F3" s="12" t="s">
        <v>3</v>
      </c>
      <c r="G3" s="12" t="s">
        <v>4</v>
      </c>
      <c r="H3" s="13"/>
    </row>
    <row r="4" spans="3:8" x14ac:dyDescent="0.25">
      <c r="C4" s="14"/>
      <c r="D4" s="1"/>
      <c r="E4" s="1"/>
      <c r="F4" s="1"/>
      <c r="G4" s="1"/>
      <c r="H4" s="16"/>
    </row>
    <row r="5" spans="3:8" x14ac:dyDescent="0.25">
      <c r="C5" s="29" t="s">
        <v>6002</v>
      </c>
      <c r="D5" s="28" t="s">
        <v>6028</v>
      </c>
      <c r="E5" s="28" t="s">
        <v>7</v>
      </c>
      <c r="F5" s="28">
        <v>-190</v>
      </c>
      <c r="G5" s="28" t="s">
        <v>6029</v>
      </c>
      <c r="H5" s="30" t="s">
        <v>6039</v>
      </c>
    </row>
    <row r="6" spans="3:8" x14ac:dyDescent="0.25">
      <c r="C6" s="14" t="s">
        <v>6002</v>
      </c>
      <c r="D6" s="1" t="s">
        <v>2775</v>
      </c>
      <c r="E6" s="1" t="s">
        <v>7</v>
      </c>
      <c r="F6" s="1">
        <v>30</v>
      </c>
      <c r="G6" s="1" t="s">
        <v>6030</v>
      </c>
      <c r="H6" s="16" t="s">
        <v>6040</v>
      </c>
    </row>
    <row r="7" spans="3:8" x14ac:dyDescent="0.25">
      <c r="C7" s="29" t="s">
        <v>6002</v>
      </c>
      <c r="D7" s="28" t="s">
        <v>6031</v>
      </c>
      <c r="E7" s="28" t="s">
        <v>7</v>
      </c>
      <c r="F7" s="28">
        <v>-35</v>
      </c>
      <c r="G7" s="28" t="s">
        <v>6032</v>
      </c>
      <c r="H7" s="30" t="s">
        <v>6043</v>
      </c>
    </row>
    <row r="8" spans="3:8" x14ac:dyDescent="0.25">
      <c r="C8" s="29" t="s">
        <v>6002</v>
      </c>
      <c r="D8" s="28" t="s">
        <v>2625</v>
      </c>
      <c r="E8" s="28" t="s">
        <v>7</v>
      </c>
      <c r="F8" s="28">
        <v>-5</v>
      </c>
      <c r="G8" s="28" t="s">
        <v>6033</v>
      </c>
      <c r="H8" s="30" t="s">
        <v>6041</v>
      </c>
    </row>
    <row r="9" spans="3:8" x14ac:dyDescent="0.25">
      <c r="C9" s="29" t="s">
        <v>6002</v>
      </c>
      <c r="D9" s="28" t="s">
        <v>4736</v>
      </c>
      <c r="E9" s="28" t="s">
        <v>7</v>
      </c>
      <c r="F9" s="28">
        <v>-8</v>
      </c>
      <c r="G9" s="28" t="s">
        <v>6034</v>
      </c>
      <c r="H9" s="30" t="s">
        <v>6042</v>
      </c>
    </row>
    <row r="10" spans="3:8" x14ac:dyDescent="0.25">
      <c r="C10" s="29" t="s">
        <v>6002</v>
      </c>
      <c r="D10" s="28" t="s">
        <v>6031</v>
      </c>
      <c r="E10" s="28" t="s">
        <v>7</v>
      </c>
      <c r="F10" s="28">
        <v>-260</v>
      </c>
      <c r="G10" s="28" t="s">
        <v>6035</v>
      </c>
      <c r="H10" s="30" t="s">
        <v>6044</v>
      </c>
    </row>
    <row r="11" spans="3:8" x14ac:dyDescent="0.25">
      <c r="C11" s="14" t="s">
        <v>6002</v>
      </c>
      <c r="D11" s="1" t="s">
        <v>5829</v>
      </c>
      <c r="E11" s="1" t="s">
        <v>7</v>
      </c>
      <c r="F11" s="1">
        <v>64.599999999999994</v>
      </c>
      <c r="G11" s="1" t="s">
        <v>6036</v>
      </c>
      <c r="H11" s="16" t="s">
        <v>5397</v>
      </c>
    </row>
    <row r="12" spans="3:8" x14ac:dyDescent="0.25">
      <c r="C12" s="14" t="s">
        <v>6002</v>
      </c>
      <c r="D12" s="1" t="s">
        <v>23</v>
      </c>
      <c r="E12" s="1" t="s">
        <v>7</v>
      </c>
      <c r="F12" s="1">
        <v>1617.5</v>
      </c>
      <c r="G12" s="1" t="s">
        <v>6025</v>
      </c>
      <c r="H12" s="16" t="s">
        <v>4442</v>
      </c>
    </row>
    <row r="13" spans="3:8" x14ac:dyDescent="0.25">
      <c r="C13" s="14" t="s">
        <v>6002</v>
      </c>
      <c r="D13" s="1" t="s">
        <v>6026</v>
      </c>
      <c r="E13" s="1" t="s">
        <v>7</v>
      </c>
      <c r="F13" s="1">
        <v>17.5</v>
      </c>
      <c r="G13" s="1" t="s">
        <v>6027</v>
      </c>
      <c r="H13" s="16" t="s">
        <v>6045</v>
      </c>
    </row>
    <row r="14" spans="3:8" x14ac:dyDescent="0.25">
      <c r="C14" s="14" t="s">
        <v>6002</v>
      </c>
      <c r="D14" s="1" t="s">
        <v>23</v>
      </c>
      <c r="E14" s="1" t="s">
        <v>7</v>
      </c>
      <c r="F14" s="1">
        <v>1180.0999999999999</v>
      </c>
      <c r="G14" s="1" t="s">
        <v>6003</v>
      </c>
      <c r="H14" s="16" t="s">
        <v>1270</v>
      </c>
    </row>
    <row r="15" spans="3:8" x14ac:dyDescent="0.25">
      <c r="C15" s="14" t="s">
        <v>6002</v>
      </c>
      <c r="D15" s="1" t="s">
        <v>6004</v>
      </c>
      <c r="E15" s="1" t="s">
        <v>7</v>
      </c>
      <c r="F15" s="1">
        <v>20</v>
      </c>
      <c r="G15" s="1" t="s">
        <v>6005</v>
      </c>
      <c r="H15" s="16" t="s">
        <v>6024</v>
      </c>
    </row>
    <row r="16" spans="3:8" x14ac:dyDescent="0.25">
      <c r="C16" s="14" t="s">
        <v>6002</v>
      </c>
      <c r="D16" s="1" t="s">
        <v>5791</v>
      </c>
      <c r="E16" s="1" t="s">
        <v>7</v>
      </c>
      <c r="F16" s="1">
        <v>10</v>
      </c>
      <c r="G16" s="1" t="s">
        <v>6006</v>
      </c>
      <c r="H16" s="16" t="s">
        <v>6023</v>
      </c>
    </row>
    <row r="17" spans="3:8" x14ac:dyDescent="0.25">
      <c r="C17" s="42" t="s">
        <v>6002</v>
      </c>
      <c r="D17" s="43" t="s">
        <v>6007</v>
      </c>
      <c r="E17" s="43" t="s">
        <v>7</v>
      </c>
      <c r="F17" s="43">
        <v>3040</v>
      </c>
      <c r="G17" s="43" t="s">
        <v>6008</v>
      </c>
      <c r="H17" s="44" t="s">
        <v>6038</v>
      </c>
    </row>
    <row r="18" spans="3:8" x14ac:dyDescent="0.25">
      <c r="C18" s="42" t="s">
        <v>6002</v>
      </c>
      <c r="D18" s="43" t="s">
        <v>6009</v>
      </c>
      <c r="E18" s="43" t="s">
        <v>7</v>
      </c>
      <c r="F18" s="43">
        <v>21460</v>
      </c>
      <c r="G18" s="43" t="s">
        <v>6010</v>
      </c>
      <c r="H18" s="44" t="s">
        <v>6038</v>
      </c>
    </row>
    <row r="19" spans="3:8" x14ac:dyDescent="0.25">
      <c r="C19" s="42" t="s">
        <v>6002</v>
      </c>
      <c r="D19" s="43" t="s">
        <v>6011</v>
      </c>
      <c r="E19" s="43" t="s">
        <v>7</v>
      </c>
      <c r="F19" s="43">
        <v>30528.9</v>
      </c>
      <c r="G19" s="43" t="s">
        <v>6012</v>
      </c>
      <c r="H19" s="44" t="s">
        <v>6037</v>
      </c>
    </row>
    <row r="20" spans="3:8" x14ac:dyDescent="0.25">
      <c r="C20" s="14" t="s">
        <v>6002</v>
      </c>
      <c r="D20" s="1" t="s">
        <v>3524</v>
      </c>
      <c r="E20" s="1" t="s">
        <v>7</v>
      </c>
      <c r="F20" s="1">
        <v>105</v>
      </c>
      <c r="G20" s="1" t="s">
        <v>6013</v>
      </c>
      <c r="H20" s="16" t="s">
        <v>689</v>
      </c>
    </row>
    <row r="21" spans="3:8" x14ac:dyDescent="0.25">
      <c r="C21" s="14" t="s">
        <v>6002</v>
      </c>
      <c r="D21" s="1" t="s">
        <v>6014</v>
      </c>
      <c r="E21" s="1" t="s">
        <v>7</v>
      </c>
      <c r="F21" s="1">
        <v>10</v>
      </c>
      <c r="G21" s="1" t="s">
        <v>6015</v>
      </c>
      <c r="H21" s="16" t="s">
        <v>6022</v>
      </c>
    </row>
    <row r="22" spans="3:8" x14ac:dyDescent="0.25">
      <c r="C22" s="14" t="s">
        <v>6002</v>
      </c>
      <c r="D22" s="1" t="s">
        <v>23</v>
      </c>
      <c r="E22" s="1" t="s">
        <v>7</v>
      </c>
      <c r="F22" s="1">
        <v>50</v>
      </c>
      <c r="G22" s="1" t="s">
        <v>6016</v>
      </c>
      <c r="H22" s="16" t="s">
        <v>660</v>
      </c>
    </row>
    <row r="23" spans="3:8" x14ac:dyDescent="0.25">
      <c r="C23" s="14" t="s">
        <v>6002</v>
      </c>
      <c r="D23" s="1" t="s">
        <v>4592</v>
      </c>
      <c r="E23" s="1" t="s">
        <v>7</v>
      </c>
      <c r="F23" s="1">
        <v>498</v>
      </c>
      <c r="G23" s="1" t="s">
        <v>6017</v>
      </c>
      <c r="H23" s="16" t="s">
        <v>4601</v>
      </c>
    </row>
    <row r="24" spans="3:8" x14ac:dyDescent="0.25">
      <c r="C24" s="14" t="s">
        <v>6002</v>
      </c>
      <c r="D24" s="1" t="s">
        <v>509</v>
      </c>
      <c r="E24" s="1" t="s">
        <v>7</v>
      </c>
      <c r="F24" s="1">
        <v>452</v>
      </c>
      <c r="G24" s="1" t="s">
        <v>6018</v>
      </c>
      <c r="H24" s="16" t="s">
        <v>6021</v>
      </c>
    </row>
    <row r="25" spans="3:8" x14ac:dyDescent="0.25">
      <c r="C25" s="14" t="s">
        <v>6002</v>
      </c>
      <c r="D25" s="1" t="s">
        <v>6019</v>
      </c>
      <c r="E25" s="1" t="s">
        <v>7</v>
      </c>
      <c r="F25" s="1">
        <v>96.5</v>
      </c>
      <c r="G25" s="1" t="s">
        <v>6020</v>
      </c>
      <c r="H25" s="16" t="s">
        <v>6040</v>
      </c>
    </row>
    <row r="26" spans="3:8" x14ac:dyDescent="0.25">
      <c r="C26" s="14"/>
      <c r="D26" s="1"/>
      <c r="E26" s="1"/>
      <c r="F26" s="1"/>
      <c r="G26" s="1"/>
      <c r="H26" s="16"/>
    </row>
    <row r="27" spans="3:8" x14ac:dyDescent="0.25">
      <c r="C27" s="14"/>
      <c r="D27" s="1"/>
      <c r="E27" s="1"/>
      <c r="F27" s="1"/>
      <c r="G27" s="1"/>
      <c r="H27" s="16"/>
    </row>
    <row r="28" spans="3:8" ht="16.5" thickBot="1" x14ac:dyDescent="0.3">
      <c r="C28" s="25" t="s">
        <v>6002</v>
      </c>
      <c r="D28" s="18" t="s">
        <v>78</v>
      </c>
      <c r="E28" s="18" t="s">
        <v>7</v>
      </c>
      <c r="F28" s="18">
        <v>2495</v>
      </c>
      <c r="G28" s="18"/>
      <c r="H28" s="27" t="s">
        <v>547</v>
      </c>
    </row>
  </sheetData>
  <pageMargins left="0.7" right="0.7" top="0.75" bottom="0.75" header="0.3" footer="0.3"/>
  <pageSetup paperSize="256" orientation="portrait" horizontalDpi="0" verticalDpi="0" r:id="rId1"/>
</worksheet>
</file>

<file path=xl/worksheets/sheet1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C51BEB-3B9B-4BA9-BA71-7B5F024D1DB6}">
  <sheetPr codeName="Hoja120"/>
  <dimension ref="C2:H28"/>
  <sheetViews>
    <sheetView workbookViewId="0">
      <selection activeCell="F18" sqref="F18"/>
    </sheetView>
  </sheetViews>
  <sheetFormatPr baseColWidth="10" defaultRowHeight="15.75" x14ac:dyDescent="0.25"/>
  <cols>
    <col min="3" max="3" width="10.375" style="3" bestFit="1" customWidth="1"/>
    <col min="4" max="4" width="23.25" style="3" bestFit="1" customWidth="1"/>
    <col min="5" max="5" width="7.5" style="3" bestFit="1" customWidth="1"/>
    <col min="6" max="6" width="11.375" style="3" customWidth="1"/>
    <col min="7" max="7" width="18.75" style="3" bestFit="1" customWidth="1"/>
    <col min="8" max="8" width="34.5" style="3" customWidth="1"/>
  </cols>
  <sheetData>
    <row r="2" spans="3:8" ht="16.5" thickBot="1" x14ac:dyDescent="0.3"/>
    <row r="3" spans="3:8" x14ac:dyDescent="0.25">
      <c r="C3" s="11" t="s">
        <v>0</v>
      </c>
      <c r="D3" s="12" t="s">
        <v>1</v>
      </c>
      <c r="E3" s="12" t="s">
        <v>2</v>
      </c>
      <c r="F3" s="12" t="s">
        <v>3</v>
      </c>
      <c r="G3" s="12" t="s">
        <v>4</v>
      </c>
      <c r="H3" s="13"/>
    </row>
    <row r="4" spans="3:8" x14ac:dyDescent="0.25">
      <c r="C4" s="14"/>
      <c r="D4" s="1"/>
      <c r="E4" s="1"/>
      <c r="F4" s="1"/>
      <c r="G4" s="1"/>
      <c r="H4" s="16"/>
    </row>
    <row r="5" spans="3:8" x14ac:dyDescent="0.25">
      <c r="C5" s="29" t="s">
        <v>6046</v>
      </c>
      <c r="D5" s="28" t="s">
        <v>472</v>
      </c>
      <c r="E5" s="28" t="s">
        <v>7</v>
      </c>
      <c r="F5" s="28">
        <v>-661.5</v>
      </c>
      <c r="G5" s="28" t="s">
        <v>6074</v>
      </c>
      <c r="H5" s="30" t="s">
        <v>6089</v>
      </c>
    </row>
    <row r="6" spans="3:8" x14ac:dyDescent="0.25">
      <c r="C6" s="14" t="s">
        <v>6046</v>
      </c>
      <c r="D6" s="1" t="s">
        <v>6075</v>
      </c>
      <c r="E6" s="1" t="s">
        <v>7</v>
      </c>
      <c r="F6" s="1">
        <v>349</v>
      </c>
      <c r="G6" s="1" t="s">
        <v>6076</v>
      </c>
      <c r="H6" s="16" t="s">
        <v>5725</v>
      </c>
    </row>
    <row r="7" spans="3:8" x14ac:dyDescent="0.25">
      <c r="C7" s="14" t="s">
        <v>6046</v>
      </c>
      <c r="D7" s="1" t="s">
        <v>3005</v>
      </c>
      <c r="E7" s="1" t="s">
        <v>7</v>
      </c>
      <c r="F7" s="1">
        <v>16</v>
      </c>
      <c r="G7" s="1" t="s">
        <v>6077</v>
      </c>
      <c r="H7" s="16" t="s">
        <v>3308</v>
      </c>
    </row>
    <row r="8" spans="3:8" x14ac:dyDescent="0.25">
      <c r="C8" s="14" t="s">
        <v>6046</v>
      </c>
      <c r="D8" s="1" t="s">
        <v>5592</v>
      </c>
      <c r="E8" s="1" t="s">
        <v>7</v>
      </c>
      <c r="F8" s="1">
        <v>5</v>
      </c>
      <c r="G8" s="1" t="s">
        <v>6078</v>
      </c>
      <c r="H8" s="16" t="s">
        <v>6091</v>
      </c>
    </row>
    <row r="9" spans="3:8" x14ac:dyDescent="0.25">
      <c r="C9" s="14" t="s">
        <v>6046</v>
      </c>
      <c r="D9" s="1" t="s">
        <v>5592</v>
      </c>
      <c r="E9" s="1" t="s">
        <v>7</v>
      </c>
      <c r="F9" s="1">
        <v>10</v>
      </c>
      <c r="G9" s="1" t="s">
        <v>6079</v>
      </c>
      <c r="H9" s="16" t="s">
        <v>6092</v>
      </c>
    </row>
    <row r="10" spans="3:8" x14ac:dyDescent="0.25">
      <c r="C10" s="14" t="s">
        <v>6046</v>
      </c>
      <c r="D10" s="1" t="s">
        <v>6080</v>
      </c>
      <c r="E10" s="1" t="s">
        <v>7</v>
      </c>
      <c r="F10" s="1">
        <v>18</v>
      </c>
      <c r="G10" s="1" t="s">
        <v>6081</v>
      </c>
      <c r="H10" s="16" t="s">
        <v>6093</v>
      </c>
    </row>
    <row r="11" spans="3:8" x14ac:dyDescent="0.25">
      <c r="C11" s="42" t="s">
        <v>6046</v>
      </c>
      <c r="D11" s="43" t="s">
        <v>15</v>
      </c>
      <c r="E11" s="43" t="s">
        <v>7</v>
      </c>
      <c r="F11" s="43">
        <v>40</v>
      </c>
      <c r="G11" s="43" t="s">
        <v>6082</v>
      </c>
      <c r="H11" s="44" t="s">
        <v>6096</v>
      </c>
    </row>
    <row r="12" spans="3:8" x14ac:dyDescent="0.25">
      <c r="C12" s="14" t="s">
        <v>6046</v>
      </c>
      <c r="D12" s="1" t="s">
        <v>6083</v>
      </c>
      <c r="E12" s="1" t="s">
        <v>7</v>
      </c>
      <c r="F12" s="1">
        <v>207.5</v>
      </c>
      <c r="G12" s="1" t="s">
        <v>6084</v>
      </c>
      <c r="H12" s="16" t="s">
        <v>6090</v>
      </c>
    </row>
    <row r="13" spans="3:8" x14ac:dyDescent="0.25">
      <c r="C13" s="14" t="s">
        <v>6046</v>
      </c>
      <c r="D13" s="1" t="s">
        <v>3664</v>
      </c>
      <c r="E13" s="1" t="s">
        <v>7</v>
      </c>
      <c r="F13" s="1">
        <v>12</v>
      </c>
      <c r="G13" s="1" t="s">
        <v>6085</v>
      </c>
      <c r="H13" s="16" t="s">
        <v>6095</v>
      </c>
    </row>
    <row r="14" spans="3:8" x14ac:dyDescent="0.25">
      <c r="C14" s="14" t="s">
        <v>6046</v>
      </c>
      <c r="D14" s="1" t="s">
        <v>6086</v>
      </c>
      <c r="E14" s="1" t="s">
        <v>7</v>
      </c>
      <c r="F14" s="1">
        <v>406</v>
      </c>
      <c r="G14" s="1" t="s">
        <v>6087</v>
      </c>
      <c r="H14" s="16" t="s">
        <v>6094</v>
      </c>
    </row>
    <row r="15" spans="3:8" x14ac:dyDescent="0.25">
      <c r="C15" s="14" t="s">
        <v>6046</v>
      </c>
      <c r="D15" s="1" t="s">
        <v>6086</v>
      </c>
      <c r="E15" s="1" t="s">
        <v>7</v>
      </c>
      <c r="F15" s="1">
        <v>500</v>
      </c>
      <c r="G15" s="1" t="s">
        <v>6088</v>
      </c>
      <c r="H15" s="16" t="s">
        <v>6094</v>
      </c>
    </row>
    <row r="16" spans="3:8" x14ac:dyDescent="0.25">
      <c r="C16" s="14" t="s">
        <v>6046</v>
      </c>
      <c r="D16" s="1" t="s">
        <v>23</v>
      </c>
      <c r="E16" s="1" t="s">
        <v>7</v>
      </c>
      <c r="F16" s="1">
        <v>1725</v>
      </c>
      <c r="G16" s="1" t="s">
        <v>6068</v>
      </c>
      <c r="H16" s="16" t="s">
        <v>583</v>
      </c>
    </row>
    <row r="17" spans="3:8" x14ac:dyDescent="0.25">
      <c r="C17" s="29" t="s">
        <v>6046</v>
      </c>
      <c r="D17" s="28" t="s">
        <v>6069</v>
      </c>
      <c r="E17" s="28" t="s">
        <v>7</v>
      </c>
      <c r="F17" s="28">
        <v>-4</v>
      </c>
      <c r="G17" s="28" t="s">
        <v>6070</v>
      </c>
      <c r="H17" s="30" t="s">
        <v>6072</v>
      </c>
    </row>
    <row r="18" spans="3:8" x14ac:dyDescent="0.25">
      <c r="C18" s="14" t="s">
        <v>6046</v>
      </c>
      <c r="D18" s="1" t="s">
        <v>3318</v>
      </c>
      <c r="E18" s="1" t="s">
        <v>7</v>
      </c>
      <c r="F18" s="1">
        <v>179.5</v>
      </c>
      <c r="G18" s="1" t="s">
        <v>6071</v>
      </c>
      <c r="H18" s="16" t="s">
        <v>6073</v>
      </c>
    </row>
    <row r="19" spans="3:8" x14ac:dyDescent="0.25">
      <c r="C19" s="14" t="s">
        <v>6046</v>
      </c>
      <c r="D19" s="1" t="s">
        <v>6047</v>
      </c>
      <c r="E19" s="1" t="s">
        <v>7</v>
      </c>
      <c r="F19" s="1">
        <v>42</v>
      </c>
      <c r="G19" s="1" t="s">
        <v>6048</v>
      </c>
      <c r="H19" s="16" t="s">
        <v>6067</v>
      </c>
    </row>
    <row r="20" spans="3:8" x14ac:dyDescent="0.25">
      <c r="C20" s="14" t="s">
        <v>6046</v>
      </c>
      <c r="D20" s="1" t="s">
        <v>6049</v>
      </c>
      <c r="E20" s="1" t="s">
        <v>7</v>
      </c>
      <c r="F20" s="1">
        <v>62</v>
      </c>
      <c r="G20" s="1" t="s">
        <v>6050</v>
      </c>
      <c r="H20" s="16" t="s">
        <v>6066</v>
      </c>
    </row>
    <row r="21" spans="3:8" x14ac:dyDescent="0.25">
      <c r="C21" s="14" t="s">
        <v>6046</v>
      </c>
      <c r="D21" s="1" t="s">
        <v>5569</v>
      </c>
      <c r="E21" s="1" t="s">
        <v>7</v>
      </c>
      <c r="F21" s="1">
        <v>219.8</v>
      </c>
      <c r="G21" s="1" t="s">
        <v>6051</v>
      </c>
      <c r="H21" s="16" t="s">
        <v>6065</v>
      </c>
    </row>
    <row r="22" spans="3:8" x14ac:dyDescent="0.25">
      <c r="C22" s="29" t="s">
        <v>6046</v>
      </c>
      <c r="D22" s="28" t="s">
        <v>1492</v>
      </c>
      <c r="E22" s="28" t="s">
        <v>7</v>
      </c>
      <c r="F22" s="28">
        <v>-85.9</v>
      </c>
      <c r="G22" s="28" t="s">
        <v>6052</v>
      </c>
      <c r="H22" s="30" t="s">
        <v>6064</v>
      </c>
    </row>
    <row r="23" spans="3:8" x14ac:dyDescent="0.25">
      <c r="C23" s="14" t="s">
        <v>6046</v>
      </c>
      <c r="D23" s="1" t="s">
        <v>4625</v>
      </c>
      <c r="E23" s="1" t="s">
        <v>7</v>
      </c>
      <c r="F23" s="1">
        <v>6</v>
      </c>
      <c r="G23" s="1" t="s">
        <v>6053</v>
      </c>
      <c r="H23" s="16" t="s">
        <v>6063</v>
      </c>
    </row>
    <row r="24" spans="3:8" x14ac:dyDescent="0.25">
      <c r="C24" s="14" t="s">
        <v>6046</v>
      </c>
      <c r="D24" s="1" t="s">
        <v>23</v>
      </c>
      <c r="E24" s="1" t="s">
        <v>7</v>
      </c>
      <c r="F24" s="1">
        <v>1110.5</v>
      </c>
      <c r="G24" s="1" t="s">
        <v>6054</v>
      </c>
      <c r="H24" s="16" t="s">
        <v>3048</v>
      </c>
    </row>
    <row r="25" spans="3:8" x14ac:dyDescent="0.25">
      <c r="C25" s="14" t="s">
        <v>6046</v>
      </c>
      <c r="D25" s="1" t="s">
        <v>6055</v>
      </c>
      <c r="E25" s="1" t="s">
        <v>7</v>
      </c>
      <c r="F25" s="1">
        <v>13.5</v>
      </c>
      <c r="G25" s="1" t="s">
        <v>6056</v>
      </c>
      <c r="H25" s="16" t="s">
        <v>6062</v>
      </c>
    </row>
    <row r="26" spans="3:8" x14ac:dyDescent="0.25">
      <c r="C26" s="14" t="s">
        <v>6046</v>
      </c>
      <c r="D26" s="1" t="s">
        <v>398</v>
      </c>
      <c r="E26" s="1" t="s">
        <v>7</v>
      </c>
      <c r="F26" s="1">
        <v>165</v>
      </c>
      <c r="G26" s="1" t="s">
        <v>6057</v>
      </c>
      <c r="H26" s="16" t="s">
        <v>5510</v>
      </c>
    </row>
    <row r="27" spans="3:8" x14ac:dyDescent="0.25">
      <c r="C27" s="14" t="s">
        <v>6046</v>
      </c>
      <c r="D27" s="1" t="s">
        <v>2625</v>
      </c>
      <c r="E27" s="1" t="s">
        <v>7</v>
      </c>
      <c r="F27" s="1">
        <v>9.5</v>
      </c>
      <c r="G27" s="1" t="s">
        <v>6058</v>
      </c>
      <c r="H27" s="16" t="s">
        <v>52</v>
      </c>
    </row>
    <row r="28" spans="3:8" ht="16.5" thickBot="1" x14ac:dyDescent="0.3">
      <c r="C28" s="25" t="s">
        <v>6046</v>
      </c>
      <c r="D28" s="18" t="s">
        <v>6059</v>
      </c>
      <c r="E28" s="18" t="s">
        <v>7</v>
      </c>
      <c r="F28" s="18">
        <v>20</v>
      </c>
      <c r="G28" s="18" t="s">
        <v>6060</v>
      </c>
      <c r="H28" s="27" t="s">
        <v>6061</v>
      </c>
    </row>
  </sheetData>
  <pageMargins left="0.7" right="0.7" top="0.75" bottom="0.75" header="0.3" footer="0.3"/>
  <pageSetup paperSize="256" orientation="portrait" horizontalDpi="0" verticalDpi="0" r:id="rId1"/>
</worksheet>
</file>

<file path=xl/worksheets/sheet1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BD5C86-664D-443A-B860-BD6B3154EB1C}">
  <dimension ref="D3:I35"/>
  <sheetViews>
    <sheetView tabSelected="1" topLeftCell="A8" workbookViewId="0">
      <selection activeCell="C2" sqref="C2:J35"/>
    </sheetView>
  </sheetViews>
  <sheetFormatPr baseColWidth="10" defaultRowHeight="15.75" x14ac:dyDescent="0.25"/>
  <cols>
    <col min="4" max="4" width="11" style="3"/>
    <col min="5" max="5" width="22.375" style="3" bestFit="1" customWidth="1"/>
    <col min="6" max="7" width="11" style="3"/>
    <col min="8" max="8" width="18.75" style="3" bestFit="1" customWidth="1"/>
    <col min="9" max="9" width="30.875" style="3" bestFit="1" customWidth="1"/>
  </cols>
  <sheetData>
    <row r="3" spans="4:9" x14ac:dyDescent="0.25">
      <c r="D3" s="7" t="s">
        <v>0</v>
      </c>
      <c r="E3" s="7" t="s">
        <v>1</v>
      </c>
      <c r="F3" s="7" t="s">
        <v>2</v>
      </c>
      <c r="G3" s="7" t="s">
        <v>3</v>
      </c>
      <c r="H3" s="7" t="s">
        <v>4</v>
      </c>
      <c r="I3" s="1"/>
    </row>
    <row r="4" spans="4:9" s="258" customFormat="1" x14ac:dyDescent="0.25">
      <c r="D4" s="1"/>
      <c r="E4" s="1"/>
      <c r="F4" s="1"/>
      <c r="G4" s="1"/>
      <c r="H4" s="1"/>
      <c r="I4" s="1"/>
    </row>
    <row r="5" spans="4:9" s="258" customFormat="1" x14ac:dyDescent="0.25">
      <c r="D5" s="1"/>
      <c r="E5" s="1"/>
      <c r="F5" s="1"/>
      <c r="G5" s="1"/>
      <c r="H5" s="1"/>
      <c r="I5" s="1"/>
    </row>
    <row r="6" spans="4:9" x14ac:dyDescent="0.25">
      <c r="D6" s="28" t="s">
        <v>6097</v>
      </c>
      <c r="E6" s="28" t="s">
        <v>1941</v>
      </c>
      <c r="F6" s="28" t="s">
        <v>7</v>
      </c>
      <c r="G6" s="28">
        <v>-50</v>
      </c>
      <c r="H6" s="28" t="s">
        <v>6153</v>
      </c>
      <c r="I6" s="28" t="s">
        <v>6154</v>
      </c>
    </row>
    <row r="7" spans="4:9" x14ac:dyDescent="0.25">
      <c r="D7" s="1" t="s">
        <v>6097</v>
      </c>
      <c r="E7" s="1" t="s">
        <v>6075</v>
      </c>
      <c r="F7" s="1" t="s">
        <v>7</v>
      </c>
      <c r="G7" s="1">
        <v>367.4</v>
      </c>
      <c r="H7" s="1" t="s">
        <v>6130</v>
      </c>
      <c r="I7" s="1" t="s">
        <v>3167</v>
      </c>
    </row>
    <row r="8" spans="4:9" x14ac:dyDescent="0.25">
      <c r="D8" s="260" t="s">
        <v>6097</v>
      </c>
      <c r="E8" s="260" t="s">
        <v>4622</v>
      </c>
      <c r="F8" s="260" t="s">
        <v>7</v>
      </c>
      <c r="G8" s="260">
        <v>-87.5</v>
      </c>
      <c r="H8" s="260" t="s">
        <v>6131</v>
      </c>
      <c r="I8" s="260" t="s">
        <v>6149</v>
      </c>
    </row>
    <row r="9" spans="4:9" x14ac:dyDescent="0.25">
      <c r="D9" s="1" t="s">
        <v>6097</v>
      </c>
      <c r="E9" s="1" t="s">
        <v>23</v>
      </c>
      <c r="F9" s="1" t="s">
        <v>7</v>
      </c>
      <c r="G9" s="1">
        <v>160</v>
      </c>
      <c r="H9" s="1" t="s">
        <v>6132</v>
      </c>
      <c r="I9" s="1" t="s">
        <v>583</v>
      </c>
    </row>
    <row r="10" spans="4:9" x14ac:dyDescent="0.25">
      <c r="D10" s="1" t="s">
        <v>6097</v>
      </c>
      <c r="E10" s="1" t="s">
        <v>2773</v>
      </c>
      <c r="F10" s="1" t="s">
        <v>7</v>
      </c>
      <c r="G10" s="1">
        <v>2</v>
      </c>
      <c r="H10" s="1" t="s">
        <v>6133</v>
      </c>
      <c r="I10" s="1" t="s">
        <v>6145</v>
      </c>
    </row>
    <row r="11" spans="4:9" x14ac:dyDescent="0.25">
      <c r="D11" s="1" t="s">
        <v>6097</v>
      </c>
      <c r="E11" s="1" t="s">
        <v>509</v>
      </c>
      <c r="F11" s="1" t="s">
        <v>7</v>
      </c>
      <c r="G11" s="1">
        <v>1176</v>
      </c>
      <c r="H11" s="1" t="s">
        <v>6134</v>
      </c>
      <c r="I11" s="1" t="s">
        <v>6148</v>
      </c>
    </row>
    <row r="12" spans="4:9" x14ac:dyDescent="0.25">
      <c r="D12" s="1" t="s">
        <v>6097</v>
      </c>
      <c r="E12" s="1" t="s">
        <v>23</v>
      </c>
      <c r="F12" s="1" t="s">
        <v>7</v>
      </c>
      <c r="G12" s="1">
        <v>4599.8999999999996</v>
      </c>
      <c r="H12" s="1" t="s">
        <v>6135</v>
      </c>
      <c r="I12" s="1" t="s">
        <v>6152</v>
      </c>
    </row>
    <row r="13" spans="4:9" x14ac:dyDescent="0.25">
      <c r="D13" s="1" t="s">
        <v>6097</v>
      </c>
      <c r="E13" s="1" t="s">
        <v>23</v>
      </c>
      <c r="F13" s="1" t="s">
        <v>7</v>
      </c>
      <c r="G13" s="1">
        <v>905</v>
      </c>
      <c r="H13" s="1" t="s">
        <v>6136</v>
      </c>
      <c r="I13" s="1" t="s">
        <v>583</v>
      </c>
    </row>
    <row r="14" spans="4:9" x14ac:dyDescent="0.25">
      <c r="D14" s="1" t="s">
        <v>6097</v>
      </c>
      <c r="E14" s="1" t="s">
        <v>6137</v>
      </c>
      <c r="F14" s="1" t="s">
        <v>7</v>
      </c>
      <c r="G14" s="1">
        <v>112.5</v>
      </c>
      <c r="H14" s="1" t="s">
        <v>6138</v>
      </c>
      <c r="I14" s="1" t="s">
        <v>6147</v>
      </c>
    </row>
    <row r="15" spans="4:9" x14ac:dyDescent="0.25">
      <c r="D15" s="1" t="s">
        <v>6097</v>
      </c>
      <c r="E15" s="1" t="s">
        <v>23</v>
      </c>
      <c r="F15" s="1" t="s">
        <v>7</v>
      </c>
      <c r="G15" s="1">
        <v>605</v>
      </c>
      <c r="H15" s="1" t="s">
        <v>6139</v>
      </c>
      <c r="I15" s="1" t="s">
        <v>2559</v>
      </c>
    </row>
    <row r="16" spans="4:9" x14ac:dyDescent="0.25">
      <c r="D16" s="1" t="s">
        <v>6097</v>
      </c>
      <c r="E16" s="1" t="s">
        <v>295</v>
      </c>
      <c r="F16" s="1" t="s">
        <v>7</v>
      </c>
      <c r="G16" s="1">
        <v>35</v>
      </c>
      <c r="H16" s="1" t="s">
        <v>6140</v>
      </c>
      <c r="I16" s="1" t="s">
        <v>6146</v>
      </c>
    </row>
    <row r="17" spans="4:9" x14ac:dyDescent="0.25">
      <c r="D17" s="1" t="s">
        <v>6097</v>
      </c>
      <c r="E17" s="1" t="s">
        <v>5592</v>
      </c>
      <c r="F17" s="1" t="s">
        <v>7</v>
      </c>
      <c r="G17" s="1">
        <v>90</v>
      </c>
      <c r="H17" s="1" t="s">
        <v>6141</v>
      </c>
      <c r="I17" s="1" t="s">
        <v>6145</v>
      </c>
    </row>
    <row r="18" spans="4:9" x14ac:dyDescent="0.25">
      <c r="D18" s="1" t="s">
        <v>6097</v>
      </c>
      <c r="E18" s="1" t="s">
        <v>1561</v>
      </c>
      <c r="F18" s="1" t="s">
        <v>7</v>
      </c>
      <c r="G18" s="1">
        <v>66.5</v>
      </c>
      <c r="H18" s="1" t="s">
        <v>6098</v>
      </c>
      <c r="I18" s="1" t="s">
        <v>6150</v>
      </c>
    </row>
    <row r="19" spans="4:9" x14ac:dyDescent="0.25">
      <c r="D19" s="1" t="s">
        <v>6097</v>
      </c>
      <c r="E19" s="1" t="s">
        <v>122</v>
      </c>
      <c r="F19" s="1" t="s">
        <v>7</v>
      </c>
      <c r="G19" s="1">
        <v>400</v>
      </c>
      <c r="H19" s="1" t="s">
        <v>6099</v>
      </c>
      <c r="I19" s="1" t="s">
        <v>6144</v>
      </c>
    </row>
    <row r="20" spans="4:9" x14ac:dyDescent="0.25">
      <c r="D20" s="28" t="s">
        <v>6097</v>
      </c>
      <c r="E20" s="28" t="s">
        <v>2056</v>
      </c>
      <c r="F20" s="28" t="s">
        <v>7</v>
      </c>
      <c r="G20" s="260">
        <v>-61.66</v>
      </c>
      <c r="H20" s="28" t="s">
        <v>6100</v>
      </c>
      <c r="I20" s="28" t="s">
        <v>6143</v>
      </c>
    </row>
    <row r="21" spans="4:9" x14ac:dyDescent="0.25">
      <c r="D21" s="1" t="s">
        <v>6097</v>
      </c>
      <c r="E21" s="1" t="s">
        <v>6101</v>
      </c>
      <c r="F21" s="1" t="s">
        <v>7</v>
      </c>
      <c r="G21" s="261">
        <v>173.5</v>
      </c>
      <c r="H21" s="1" t="s">
        <v>6102</v>
      </c>
      <c r="I21" s="1" t="s">
        <v>6151</v>
      </c>
    </row>
    <row r="22" spans="4:9" x14ac:dyDescent="0.25">
      <c r="D22" s="1" t="s">
        <v>6097</v>
      </c>
      <c r="E22" s="1" t="s">
        <v>6103</v>
      </c>
      <c r="F22" s="1" t="s">
        <v>7</v>
      </c>
      <c r="G22" s="261">
        <v>5.5</v>
      </c>
      <c r="H22" s="1" t="s">
        <v>6104</v>
      </c>
      <c r="I22" s="1" t="s">
        <v>6142</v>
      </c>
    </row>
    <row r="23" spans="4:9" x14ac:dyDescent="0.25">
      <c r="D23" s="1" t="s">
        <v>6097</v>
      </c>
      <c r="E23" s="1" t="s">
        <v>6105</v>
      </c>
      <c r="F23" s="1" t="s">
        <v>7</v>
      </c>
      <c r="G23" s="261">
        <v>64</v>
      </c>
      <c r="H23" s="1" t="s">
        <v>6106</v>
      </c>
      <c r="I23" s="1" t="s">
        <v>6129</v>
      </c>
    </row>
    <row r="24" spans="4:9" x14ac:dyDescent="0.25">
      <c r="D24" s="1" t="s">
        <v>6097</v>
      </c>
      <c r="E24" s="1" t="s">
        <v>6107</v>
      </c>
      <c r="F24" s="1" t="s">
        <v>7</v>
      </c>
      <c r="G24" s="261">
        <v>24</v>
      </c>
      <c r="H24" s="1" t="s">
        <v>6108</v>
      </c>
      <c r="I24" s="1" t="s">
        <v>6128</v>
      </c>
    </row>
    <row r="25" spans="4:9" x14ac:dyDescent="0.25">
      <c r="D25" s="1" t="s">
        <v>6097</v>
      </c>
      <c r="E25" s="1" t="s">
        <v>4357</v>
      </c>
      <c r="F25" s="1" t="s">
        <v>7</v>
      </c>
      <c r="G25" s="261">
        <v>488</v>
      </c>
      <c r="H25" s="1" t="s">
        <v>6109</v>
      </c>
      <c r="I25" s="1" t="s">
        <v>5401</v>
      </c>
    </row>
    <row r="26" spans="4:9" x14ac:dyDescent="0.25">
      <c r="D26" s="1" t="s">
        <v>6097</v>
      </c>
      <c r="E26" s="1" t="s">
        <v>509</v>
      </c>
      <c r="F26" s="1" t="s">
        <v>7</v>
      </c>
      <c r="G26" s="261">
        <v>578</v>
      </c>
      <c r="H26" s="1" t="s">
        <v>6110</v>
      </c>
      <c r="I26" s="1" t="s">
        <v>5481</v>
      </c>
    </row>
    <row r="27" spans="4:9" x14ac:dyDescent="0.25">
      <c r="D27" s="1" t="s">
        <v>6097</v>
      </c>
      <c r="E27" s="1" t="s">
        <v>4790</v>
      </c>
      <c r="F27" s="1" t="s">
        <v>7</v>
      </c>
      <c r="G27" s="261">
        <v>52.1</v>
      </c>
      <c r="H27" s="1" t="s">
        <v>6111</v>
      </c>
      <c r="I27" s="1" t="s">
        <v>6126</v>
      </c>
    </row>
    <row r="28" spans="4:9" x14ac:dyDescent="0.25">
      <c r="D28" s="1" t="s">
        <v>6097</v>
      </c>
      <c r="E28" s="1" t="s">
        <v>4592</v>
      </c>
      <c r="F28" s="1" t="s">
        <v>7</v>
      </c>
      <c r="G28" s="261">
        <v>150</v>
      </c>
      <c r="H28" s="1" t="s">
        <v>6112</v>
      </c>
      <c r="I28" s="1" t="s">
        <v>6125</v>
      </c>
    </row>
    <row r="29" spans="4:9" x14ac:dyDescent="0.25">
      <c r="D29" s="1" t="s">
        <v>6097</v>
      </c>
      <c r="E29" s="1" t="s">
        <v>6113</v>
      </c>
      <c r="F29" s="1" t="s">
        <v>7</v>
      </c>
      <c r="G29" s="261">
        <v>6</v>
      </c>
      <c r="H29" s="1" t="s">
        <v>6114</v>
      </c>
      <c r="I29" s="1" t="s">
        <v>6124</v>
      </c>
    </row>
    <row r="30" spans="4:9" x14ac:dyDescent="0.25">
      <c r="D30" s="1" t="s">
        <v>6097</v>
      </c>
      <c r="E30" s="1" t="s">
        <v>6113</v>
      </c>
      <c r="F30" s="1" t="s">
        <v>7</v>
      </c>
      <c r="G30" s="261">
        <v>110</v>
      </c>
      <c r="H30" s="1" t="s">
        <v>6115</v>
      </c>
      <c r="I30" s="1" t="s">
        <v>6123</v>
      </c>
    </row>
    <row r="31" spans="4:9" x14ac:dyDescent="0.25">
      <c r="D31" s="1" t="s">
        <v>6097</v>
      </c>
      <c r="E31" s="1" t="s">
        <v>2775</v>
      </c>
      <c r="F31" s="1" t="s">
        <v>7</v>
      </c>
      <c r="G31" s="261">
        <v>50</v>
      </c>
      <c r="H31" s="1" t="s">
        <v>6116</v>
      </c>
      <c r="I31" s="1" t="s">
        <v>4338</v>
      </c>
    </row>
    <row r="32" spans="4:9" x14ac:dyDescent="0.25">
      <c r="D32" s="1" t="s">
        <v>6097</v>
      </c>
      <c r="E32" s="1" t="s">
        <v>3094</v>
      </c>
      <c r="F32" s="1" t="s">
        <v>7</v>
      </c>
      <c r="G32" s="261">
        <v>207</v>
      </c>
      <c r="H32" s="1" t="s">
        <v>6117</v>
      </c>
      <c r="I32" s="1" t="s">
        <v>6127</v>
      </c>
    </row>
    <row r="33" spans="4:9" x14ac:dyDescent="0.25">
      <c r="D33" s="1" t="s">
        <v>6097</v>
      </c>
      <c r="E33" s="1" t="s">
        <v>4448</v>
      </c>
      <c r="F33" s="1" t="s">
        <v>7</v>
      </c>
      <c r="G33" s="261">
        <v>8.5</v>
      </c>
      <c r="H33" s="1" t="s">
        <v>6118</v>
      </c>
      <c r="I33" s="1" t="s">
        <v>6122</v>
      </c>
    </row>
    <row r="34" spans="4:9" x14ac:dyDescent="0.25">
      <c r="D34" s="1" t="s">
        <v>6097</v>
      </c>
      <c r="E34" s="1" t="s">
        <v>6119</v>
      </c>
      <c r="F34" s="1" t="s">
        <v>7</v>
      </c>
      <c r="G34" s="261">
        <v>15.5</v>
      </c>
      <c r="H34" s="1" t="s">
        <v>6120</v>
      </c>
      <c r="I34" s="1" t="s">
        <v>6121</v>
      </c>
    </row>
    <row r="35" spans="4:9" x14ac:dyDescent="0.25">
      <c r="G35" s="259"/>
    </row>
  </sheetData>
  <pageMargins left="0.7" right="0.7" top="0.75" bottom="0.75" header="0.3" footer="0.3"/>
  <pageSetup paperSize="256" orientation="portrait" horizontalDpi="0" verticalDpi="0" r:id="rId1"/>
</worksheet>
</file>

<file path=xl/worksheets/sheet1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0CBB69-9295-4CD6-9670-5862F5E237C8}">
  <sheetPr codeName="Hoja121"/>
  <dimension ref="D2:I5"/>
  <sheetViews>
    <sheetView workbookViewId="0">
      <selection activeCell="F6" sqref="F6"/>
    </sheetView>
  </sheetViews>
  <sheetFormatPr baseColWidth="10" defaultRowHeight="15.75" x14ac:dyDescent="0.25"/>
  <cols>
    <col min="3" max="3" width="17.875" customWidth="1"/>
    <col min="5" max="5" width="30.75" customWidth="1"/>
  </cols>
  <sheetData>
    <row r="2" spans="4:9" ht="16.5" thickBot="1" x14ac:dyDescent="0.3"/>
    <row r="3" spans="4:9" ht="16.5" thickBot="1" x14ac:dyDescent="0.3">
      <c r="D3" s="247" t="s">
        <v>699</v>
      </c>
      <c r="E3" s="248"/>
      <c r="F3" s="248"/>
      <c r="G3" s="248"/>
      <c r="H3" s="248"/>
      <c r="I3" s="249"/>
    </row>
    <row r="4" spans="4:9" x14ac:dyDescent="0.25">
      <c r="D4" s="45" t="s">
        <v>474</v>
      </c>
      <c r="E4" s="46" t="s">
        <v>499</v>
      </c>
      <c r="F4" s="46" t="s">
        <v>7</v>
      </c>
      <c r="G4" s="46">
        <v>60</v>
      </c>
      <c r="H4" s="46" t="s">
        <v>500</v>
      </c>
      <c r="I4" s="47"/>
    </row>
    <row r="5" spans="4:9" x14ac:dyDescent="0.25">
      <c r="D5" s="61" t="s">
        <v>1035</v>
      </c>
      <c r="E5" s="60" t="s">
        <v>23</v>
      </c>
      <c r="F5" s="60" t="s">
        <v>7</v>
      </c>
      <c r="G5" s="60">
        <v>2000</v>
      </c>
      <c r="H5" s="60" t="s">
        <v>1050</v>
      </c>
      <c r="I5" s="15"/>
    </row>
  </sheetData>
  <mergeCells count="1">
    <mergeCell ref="D3:I3"/>
  </mergeCells>
  <pageMargins left="0.7" right="0.7" top="0.75" bottom="0.75" header="0.3" footer="0.3"/>
</worksheet>
</file>

<file path=xl/worksheets/sheet1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9554C3-EDB3-4594-97DF-EC668232F604}">
  <sheetPr codeName="Hoja122"/>
  <dimension ref="C3:J132"/>
  <sheetViews>
    <sheetView topLeftCell="A100" zoomScale="85" zoomScaleNormal="85" workbookViewId="0">
      <selection activeCell="D114" sqref="D114"/>
    </sheetView>
  </sheetViews>
  <sheetFormatPr baseColWidth="10" defaultRowHeight="15.75" x14ac:dyDescent="0.25"/>
  <cols>
    <col min="4" max="5" width="11" style="3"/>
    <col min="6" max="6" width="10" style="3" bestFit="1" customWidth="1"/>
    <col min="7" max="7" width="38.25" style="83" customWidth="1"/>
    <col min="8" max="8" width="16.25" style="171" bestFit="1" customWidth="1"/>
    <col min="9" max="9" width="25.75" style="171" bestFit="1" customWidth="1"/>
    <col min="10" max="10" width="69.25" customWidth="1"/>
  </cols>
  <sheetData>
    <row r="3" spans="4:10" ht="16.5" thickBot="1" x14ac:dyDescent="0.3"/>
    <row r="4" spans="4:10" ht="21" x14ac:dyDescent="0.35">
      <c r="D4" s="250" t="s">
        <v>3727</v>
      </c>
      <c r="E4" s="251"/>
      <c r="F4" s="251"/>
      <c r="G4" s="251"/>
      <c r="H4" s="251"/>
      <c r="I4" s="252"/>
    </row>
    <row r="5" spans="4:10" x14ac:dyDescent="0.25">
      <c r="D5" s="108" t="s">
        <v>5876</v>
      </c>
      <c r="E5" s="7" t="s">
        <v>5871</v>
      </c>
      <c r="F5" s="7" t="s">
        <v>5872</v>
      </c>
      <c r="G5" s="7" t="s">
        <v>5873</v>
      </c>
      <c r="H5" s="172" t="s">
        <v>5874</v>
      </c>
      <c r="I5" s="173" t="s">
        <v>5875</v>
      </c>
    </row>
    <row r="6" spans="4:10" x14ac:dyDescent="0.25">
      <c r="D6" s="14" t="s">
        <v>5877</v>
      </c>
      <c r="E6" s="5">
        <v>46136</v>
      </c>
      <c r="F6" s="43">
        <v>18</v>
      </c>
      <c r="G6" s="177" t="s">
        <v>5890</v>
      </c>
      <c r="H6" s="178">
        <v>34.1</v>
      </c>
      <c r="I6" s="179">
        <f>+F6*H6</f>
        <v>613.80000000000007</v>
      </c>
      <c r="J6" t="s">
        <v>5913</v>
      </c>
    </row>
    <row r="7" spans="4:10" x14ac:dyDescent="0.25">
      <c r="D7" s="14"/>
      <c r="E7" s="1"/>
      <c r="F7" s="43">
        <v>3</v>
      </c>
      <c r="G7" s="177" t="s">
        <v>5889</v>
      </c>
      <c r="H7" s="178">
        <v>53.7</v>
      </c>
      <c r="I7" s="179">
        <f t="shared" ref="I7:I19" si="0">+F7*H7</f>
        <v>161.10000000000002</v>
      </c>
      <c r="J7" t="s">
        <v>5913</v>
      </c>
    </row>
    <row r="8" spans="4:10" x14ac:dyDescent="0.25">
      <c r="D8" s="14"/>
      <c r="E8" s="1"/>
      <c r="F8" s="43">
        <v>25</v>
      </c>
      <c r="G8" s="177" t="s">
        <v>5888</v>
      </c>
      <c r="H8" s="178">
        <v>14.3</v>
      </c>
      <c r="I8" s="179">
        <f t="shared" si="0"/>
        <v>357.5</v>
      </c>
      <c r="J8" t="s">
        <v>5913</v>
      </c>
    </row>
    <row r="9" spans="4:10" x14ac:dyDescent="0.25">
      <c r="D9" s="14"/>
      <c r="E9" s="1"/>
      <c r="F9" s="60">
        <v>1</v>
      </c>
      <c r="G9" s="180" t="s">
        <v>5887</v>
      </c>
      <c r="H9" s="181">
        <v>75.099999999999994</v>
      </c>
      <c r="I9" s="182">
        <f t="shared" si="0"/>
        <v>75.099999999999994</v>
      </c>
      <c r="J9" s="187" t="s">
        <v>5915</v>
      </c>
    </row>
    <row r="10" spans="4:10" x14ac:dyDescent="0.25">
      <c r="D10" s="14"/>
      <c r="E10" s="1"/>
      <c r="F10" s="60">
        <v>1</v>
      </c>
      <c r="G10" s="180" t="s">
        <v>5886</v>
      </c>
      <c r="H10" s="181">
        <v>55</v>
      </c>
      <c r="I10" s="182">
        <f t="shared" si="0"/>
        <v>55</v>
      </c>
      <c r="J10" s="187" t="s">
        <v>5915</v>
      </c>
    </row>
    <row r="11" spans="4:10" x14ac:dyDescent="0.25">
      <c r="D11" s="14"/>
      <c r="E11" s="1"/>
      <c r="F11" s="219">
        <v>0.5</v>
      </c>
      <c r="G11" s="220" t="s">
        <v>5885</v>
      </c>
      <c r="H11" s="221">
        <v>60</v>
      </c>
      <c r="I11" s="222">
        <f t="shared" si="0"/>
        <v>30</v>
      </c>
      <c r="J11" s="223" t="s">
        <v>5931</v>
      </c>
    </row>
    <row r="12" spans="4:10" x14ac:dyDescent="0.25">
      <c r="D12" s="14"/>
      <c r="E12" s="1"/>
      <c r="F12" s="219">
        <v>3</v>
      </c>
      <c r="G12" s="220" t="s">
        <v>5884</v>
      </c>
      <c r="H12" s="221">
        <v>65</v>
      </c>
      <c r="I12" s="222">
        <f t="shared" si="0"/>
        <v>195</v>
      </c>
      <c r="J12" s="223" t="s">
        <v>5931</v>
      </c>
    </row>
    <row r="13" spans="4:10" x14ac:dyDescent="0.25">
      <c r="D13" s="14"/>
      <c r="E13" s="1"/>
      <c r="F13" s="60">
        <v>25</v>
      </c>
      <c r="G13" s="180" t="s">
        <v>5883</v>
      </c>
      <c r="H13" s="181">
        <v>31.8</v>
      </c>
      <c r="I13" s="182">
        <f t="shared" si="0"/>
        <v>795</v>
      </c>
      <c r="J13" s="187" t="s">
        <v>5916</v>
      </c>
    </row>
    <row r="14" spans="4:10" x14ac:dyDescent="0.25">
      <c r="D14" s="14"/>
      <c r="E14" s="1"/>
      <c r="F14" s="60"/>
      <c r="G14" s="180"/>
      <c r="H14" s="181"/>
      <c r="I14" s="182"/>
      <c r="J14" s="187" t="s">
        <v>5925</v>
      </c>
    </row>
    <row r="15" spans="4:10" x14ac:dyDescent="0.25">
      <c r="D15" s="14"/>
      <c r="E15" s="1"/>
      <c r="F15" s="43">
        <v>7</v>
      </c>
      <c r="G15" s="177" t="s">
        <v>5882</v>
      </c>
      <c r="H15" s="178">
        <v>4.5</v>
      </c>
      <c r="I15" s="179">
        <f t="shared" si="0"/>
        <v>31.5</v>
      </c>
      <c r="J15" t="s">
        <v>5913</v>
      </c>
    </row>
    <row r="16" spans="4:10" x14ac:dyDescent="0.25">
      <c r="D16" s="14"/>
      <c r="E16" s="1"/>
      <c r="F16" s="43">
        <v>10</v>
      </c>
      <c r="G16" s="177" t="s">
        <v>5881</v>
      </c>
      <c r="H16" s="178">
        <v>4.5</v>
      </c>
      <c r="I16" s="179">
        <f t="shared" si="0"/>
        <v>45</v>
      </c>
      <c r="J16" t="s">
        <v>5913</v>
      </c>
    </row>
    <row r="17" spans="4:10" x14ac:dyDescent="0.25">
      <c r="D17" s="14"/>
      <c r="E17" s="1"/>
      <c r="F17" s="43">
        <v>3</v>
      </c>
      <c r="G17" s="177" t="s">
        <v>5880</v>
      </c>
      <c r="H17" s="178">
        <v>4.5</v>
      </c>
      <c r="I17" s="179">
        <f t="shared" si="0"/>
        <v>13.5</v>
      </c>
      <c r="J17" t="s">
        <v>5913</v>
      </c>
    </row>
    <row r="18" spans="4:10" x14ac:dyDescent="0.25">
      <c r="D18" s="14"/>
      <c r="E18" s="1"/>
      <c r="F18" s="43">
        <v>3</v>
      </c>
      <c r="G18" s="177" t="s">
        <v>5879</v>
      </c>
      <c r="H18" s="178">
        <v>4.5</v>
      </c>
      <c r="I18" s="179">
        <f t="shared" si="0"/>
        <v>13.5</v>
      </c>
      <c r="J18" t="s">
        <v>5913</v>
      </c>
    </row>
    <row r="19" spans="4:10" x14ac:dyDescent="0.25">
      <c r="D19" s="14"/>
      <c r="E19" s="1"/>
      <c r="F19" s="219">
        <v>3</v>
      </c>
      <c r="G19" s="220" t="s">
        <v>5878</v>
      </c>
      <c r="H19" s="221">
        <v>20</v>
      </c>
      <c r="I19" s="222">
        <f t="shared" si="0"/>
        <v>60</v>
      </c>
      <c r="J19" s="223" t="s">
        <v>5931</v>
      </c>
    </row>
    <row r="20" spans="4:10" x14ac:dyDescent="0.25">
      <c r="D20" s="14"/>
      <c r="E20" s="1"/>
      <c r="F20" s="1"/>
      <c r="G20" s="94"/>
      <c r="H20" s="58"/>
      <c r="I20" s="174"/>
    </row>
    <row r="21" spans="4:10" ht="19.5" thickBot="1" x14ac:dyDescent="0.35">
      <c r="D21" s="25"/>
      <c r="E21" s="18"/>
      <c r="F21" s="18"/>
      <c r="G21" s="170"/>
      <c r="H21" s="175" t="s">
        <v>5891</v>
      </c>
      <c r="I21" s="176">
        <f>SUM(I6:I20)</f>
        <v>2446</v>
      </c>
    </row>
    <row r="22" spans="4:10" x14ac:dyDescent="0.25">
      <c r="G22" s="83" t="s">
        <v>5912</v>
      </c>
    </row>
    <row r="25" spans="4:10" ht="18.75" x14ac:dyDescent="0.3">
      <c r="G25" s="183" t="s">
        <v>5883</v>
      </c>
      <c r="H25" s="184">
        <v>25</v>
      </c>
      <c r="I25" s="185" t="s">
        <v>5917</v>
      </c>
    </row>
    <row r="26" spans="4:10" x14ac:dyDescent="0.25">
      <c r="E26" s="188">
        <v>46147</v>
      </c>
      <c r="F26" s="189"/>
      <c r="G26" s="190" t="s">
        <v>5883</v>
      </c>
      <c r="H26" s="191">
        <v>-8</v>
      </c>
    </row>
    <row r="27" spans="4:10" x14ac:dyDescent="0.25">
      <c r="E27" s="197">
        <v>46149</v>
      </c>
      <c r="F27" s="198"/>
      <c r="G27" s="199" t="s">
        <v>5883</v>
      </c>
      <c r="H27" s="200">
        <v>-2</v>
      </c>
    </row>
    <row r="28" spans="4:10" x14ac:dyDescent="0.25">
      <c r="E28" s="188">
        <v>46160</v>
      </c>
      <c r="F28" s="189"/>
      <c r="G28" s="190" t="s">
        <v>5883</v>
      </c>
      <c r="H28" s="191">
        <v>-10</v>
      </c>
    </row>
    <row r="29" spans="4:10" x14ac:dyDescent="0.25">
      <c r="E29" s="57">
        <v>46160</v>
      </c>
      <c r="G29" s="83" t="s">
        <v>5883</v>
      </c>
      <c r="H29" s="171">
        <v>-5</v>
      </c>
      <c r="I29" s="171" t="s">
        <v>5932</v>
      </c>
    </row>
    <row r="31" spans="4:10" x14ac:dyDescent="0.25">
      <c r="H31" s="171">
        <f>SUM(H25:H30)</f>
        <v>0</v>
      </c>
    </row>
    <row r="38" spans="4:10" ht="16.5" thickBot="1" x14ac:dyDescent="0.3"/>
    <row r="39" spans="4:10" ht="21" x14ac:dyDescent="0.35">
      <c r="D39" s="250" t="s">
        <v>3727</v>
      </c>
      <c r="E39" s="251"/>
      <c r="F39" s="251"/>
      <c r="G39" s="251"/>
      <c r="H39" s="251"/>
      <c r="I39" s="252"/>
    </row>
    <row r="40" spans="4:10" x14ac:dyDescent="0.25">
      <c r="D40" s="108" t="s">
        <v>5876</v>
      </c>
      <c r="E40" s="7" t="s">
        <v>5871</v>
      </c>
      <c r="F40" s="7" t="s">
        <v>5872</v>
      </c>
      <c r="G40" s="7" t="s">
        <v>5873</v>
      </c>
      <c r="H40" s="172" t="s">
        <v>5874</v>
      </c>
      <c r="I40" s="173" t="s">
        <v>5875</v>
      </c>
    </row>
    <row r="41" spans="4:10" x14ac:dyDescent="0.25">
      <c r="D41" s="14" t="s">
        <v>5892</v>
      </c>
      <c r="E41" s="5">
        <v>46145</v>
      </c>
      <c r="F41" s="36">
        <v>380</v>
      </c>
      <c r="G41" s="201" t="s">
        <v>5897</v>
      </c>
      <c r="H41" s="202">
        <v>2.85</v>
      </c>
      <c r="I41" s="203">
        <f>+F41*H41</f>
        <v>1083</v>
      </c>
      <c r="J41" s="204" t="s">
        <v>5921</v>
      </c>
    </row>
    <row r="42" spans="4:10" x14ac:dyDescent="0.25">
      <c r="D42" s="14"/>
      <c r="E42" s="1"/>
      <c r="F42" s="36">
        <v>18</v>
      </c>
      <c r="G42" s="201" t="s">
        <v>5890</v>
      </c>
      <c r="H42" s="202">
        <v>35.9</v>
      </c>
      <c r="I42" s="203">
        <f t="shared" ref="I42:I49" si="1">+F42*H42</f>
        <v>646.19999999999993</v>
      </c>
      <c r="J42" s="204" t="s">
        <v>5921</v>
      </c>
    </row>
    <row r="43" spans="4:10" x14ac:dyDescent="0.25">
      <c r="D43" s="14"/>
      <c r="E43" s="1"/>
      <c r="F43" s="36">
        <v>10</v>
      </c>
      <c r="G43" s="201" t="s">
        <v>5896</v>
      </c>
      <c r="H43" s="202">
        <v>20.3</v>
      </c>
      <c r="I43" s="203">
        <f t="shared" si="1"/>
        <v>203</v>
      </c>
      <c r="J43" s="204" t="s">
        <v>5921</v>
      </c>
    </row>
    <row r="44" spans="4:10" x14ac:dyDescent="0.25">
      <c r="D44" s="14"/>
      <c r="E44" s="1"/>
      <c r="F44" s="36">
        <v>20</v>
      </c>
      <c r="G44" s="201" t="s">
        <v>5895</v>
      </c>
      <c r="H44" s="202">
        <v>8.6999999999999993</v>
      </c>
      <c r="I44" s="203">
        <f t="shared" si="1"/>
        <v>174</v>
      </c>
      <c r="J44" s="204" t="s">
        <v>5921</v>
      </c>
    </row>
    <row r="45" spans="4:10" x14ac:dyDescent="0.25">
      <c r="D45" s="14"/>
      <c r="E45" s="1"/>
      <c r="F45" s="36">
        <v>10</v>
      </c>
      <c r="G45" s="201" t="s">
        <v>5882</v>
      </c>
      <c r="H45" s="202">
        <v>4.5</v>
      </c>
      <c r="I45" s="203">
        <f t="shared" si="1"/>
        <v>45</v>
      </c>
      <c r="J45" s="204" t="s">
        <v>5921</v>
      </c>
    </row>
    <row r="46" spans="4:10" x14ac:dyDescent="0.25">
      <c r="D46" s="14"/>
      <c r="E46" s="1"/>
      <c r="F46" s="36">
        <v>3</v>
      </c>
      <c r="G46" s="201" t="s">
        <v>5879</v>
      </c>
      <c r="H46" s="202">
        <v>4.5</v>
      </c>
      <c r="I46" s="203">
        <f t="shared" si="1"/>
        <v>13.5</v>
      </c>
      <c r="J46" s="204" t="s">
        <v>5921</v>
      </c>
    </row>
    <row r="47" spans="4:10" x14ac:dyDescent="0.25">
      <c r="D47" s="14"/>
      <c r="E47" s="1"/>
      <c r="F47" s="209">
        <v>3</v>
      </c>
      <c r="G47" s="210" t="s">
        <v>5894</v>
      </c>
      <c r="H47" s="211">
        <v>53</v>
      </c>
      <c r="I47" s="212">
        <f t="shared" si="1"/>
        <v>159</v>
      </c>
      <c r="J47" s="254" t="s">
        <v>5924</v>
      </c>
    </row>
    <row r="48" spans="4:10" x14ac:dyDescent="0.25">
      <c r="D48" s="14"/>
      <c r="E48" s="1"/>
      <c r="F48" s="209">
        <v>3</v>
      </c>
      <c r="G48" s="210" t="s">
        <v>5887</v>
      </c>
      <c r="H48" s="211">
        <v>73</v>
      </c>
      <c r="I48" s="212">
        <f t="shared" si="1"/>
        <v>219</v>
      </c>
      <c r="J48" s="254"/>
    </row>
    <row r="49" spans="4:10" x14ac:dyDescent="0.25">
      <c r="D49" s="14"/>
      <c r="E49" s="1"/>
      <c r="F49" s="209">
        <v>32</v>
      </c>
      <c r="G49" s="210" t="s">
        <v>5893</v>
      </c>
      <c r="H49" s="211">
        <v>31.8</v>
      </c>
      <c r="I49" s="212">
        <f t="shared" si="1"/>
        <v>1017.6</v>
      </c>
      <c r="J49" s="254"/>
    </row>
    <row r="50" spans="4:10" x14ac:dyDescent="0.25">
      <c r="D50" s="14"/>
      <c r="E50" s="1"/>
      <c r="F50" s="1"/>
      <c r="G50" s="94"/>
      <c r="H50" s="58"/>
      <c r="I50" s="174"/>
      <c r="J50" s="223" t="s">
        <v>5930</v>
      </c>
    </row>
    <row r="51" spans="4:10" x14ac:dyDescent="0.25">
      <c r="D51" s="14"/>
      <c r="E51" s="1"/>
      <c r="F51" s="1"/>
      <c r="G51" s="94"/>
      <c r="H51" s="58"/>
      <c r="I51" s="174"/>
    </row>
    <row r="52" spans="4:10" x14ac:dyDescent="0.25">
      <c r="D52" s="14"/>
      <c r="E52" s="1"/>
      <c r="F52" s="1"/>
      <c r="G52" s="94"/>
      <c r="H52" s="58"/>
      <c r="I52" s="174"/>
    </row>
    <row r="53" spans="4:10" x14ac:dyDescent="0.25">
      <c r="D53" s="14"/>
      <c r="E53" s="1"/>
      <c r="F53" s="1"/>
      <c r="G53" s="94"/>
      <c r="H53" s="58"/>
      <c r="I53" s="174"/>
    </row>
    <row r="54" spans="4:10" x14ac:dyDescent="0.25">
      <c r="D54" s="14"/>
      <c r="E54" s="1"/>
      <c r="F54" s="1"/>
      <c r="G54" s="94"/>
      <c r="H54" s="58"/>
      <c r="I54" s="174"/>
    </row>
    <row r="55" spans="4:10" x14ac:dyDescent="0.25">
      <c r="D55" s="14"/>
      <c r="E55" s="1"/>
      <c r="F55" s="1"/>
      <c r="G55" s="94"/>
      <c r="H55" s="58"/>
      <c r="I55" s="174"/>
    </row>
    <row r="56" spans="4:10" ht="19.5" thickBot="1" x14ac:dyDescent="0.35">
      <c r="D56" s="25"/>
      <c r="E56" s="18"/>
      <c r="F56" s="18"/>
      <c r="G56" s="170"/>
      <c r="H56" s="175" t="s">
        <v>5891</v>
      </c>
      <c r="I56" s="176">
        <f>SUM(I41:I55)</f>
        <v>3560.2999999999997</v>
      </c>
    </row>
    <row r="57" spans="4:10" x14ac:dyDescent="0.25">
      <c r="G57" s="83" t="s">
        <v>5914</v>
      </c>
    </row>
    <row r="60" spans="4:10" ht="16.5" thickBot="1" x14ac:dyDescent="0.3"/>
    <row r="61" spans="4:10" ht="21" x14ac:dyDescent="0.35">
      <c r="D61" s="250" t="s">
        <v>3727</v>
      </c>
      <c r="E61" s="251"/>
      <c r="F61" s="251"/>
      <c r="G61" s="251"/>
      <c r="H61" s="251"/>
      <c r="I61" s="252"/>
    </row>
    <row r="62" spans="4:10" x14ac:dyDescent="0.25">
      <c r="D62" s="108" t="s">
        <v>5876</v>
      </c>
      <c r="E62" s="7" t="s">
        <v>5871</v>
      </c>
      <c r="F62" s="7" t="s">
        <v>5872</v>
      </c>
      <c r="G62" s="7" t="s">
        <v>5873</v>
      </c>
      <c r="H62" s="172" t="s">
        <v>5874</v>
      </c>
      <c r="I62" s="173" t="s">
        <v>5875</v>
      </c>
    </row>
    <row r="63" spans="4:10" x14ac:dyDescent="0.25">
      <c r="D63" s="61" t="s">
        <v>5898</v>
      </c>
      <c r="E63" s="186">
        <v>46147</v>
      </c>
      <c r="F63" s="60">
        <v>3</v>
      </c>
      <c r="G63" s="180" t="s">
        <v>5882</v>
      </c>
      <c r="H63" s="181">
        <v>4.5</v>
      </c>
      <c r="I63" s="182">
        <f t="shared" ref="I63" si="2">+F63*H63</f>
        <v>13.5</v>
      </c>
      <c r="J63" s="187" t="s">
        <v>5915</v>
      </c>
    </row>
    <row r="64" spans="4:10" x14ac:dyDescent="0.25">
      <c r="D64" s="14"/>
      <c r="E64" s="1"/>
      <c r="F64" s="1"/>
      <c r="G64" s="94"/>
      <c r="H64" s="58"/>
      <c r="I64" s="174"/>
    </row>
    <row r="65" spans="4:10" x14ac:dyDescent="0.25">
      <c r="D65" s="14"/>
      <c r="E65" s="1"/>
      <c r="F65" s="1"/>
      <c r="G65" s="94"/>
      <c r="H65" s="58"/>
      <c r="I65" s="174"/>
    </row>
    <row r="66" spans="4:10" x14ac:dyDescent="0.25">
      <c r="D66" s="14"/>
      <c r="E66" s="1"/>
      <c r="F66" s="1"/>
      <c r="G66" s="94"/>
      <c r="H66" s="58"/>
      <c r="I66" s="174"/>
    </row>
    <row r="67" spans="4:10" ht="19.5" thickBot="1" x14ac:dyDescent="0.35">
      <c r="D67" s="25"/>
      <c r="E67" s="18"/>
      <c r="F67" s="18"/>
      <c r="G67" s="170"/>
      <c r="H67" s="175" t="s">
        <v>5891</v>
      </c>
      <c r="I67" s="176">
        <f>SUM(I63:I66)</f>
        <v>13.5</v>
      </c>
    </row>
    <row r="68" spans="4:10" x14ac:dyDescent="0.25">
      <c r="G68" s="83" t="s">
        <v>5919</v>
      </c>
    </row>
    <row r="72" spans="4:10" ht="16.5" thickBot="1" x14ac:dyDescent="0.3"/>
    <row r="73" spans="4:10" ht="21" x14ac:dyDescent="0.35">
      <c r="D73" s="250" t="s">
        <v>3727</v>
      </c>
      <c r="E73" s="251"/>
      <c r="F73" s="251"/>
      <c r="G73" s="251"/>
      <c r="H73" s="251"/>
      <c r="I73" s="252"/>
    </row>
    <row r="74" spans="4:10" x14ac:dyDescent="0.25">
      <c r="D74" s="108" t="s">
        <v>5876</v>
      </c>
      <c r="E74" s="7" t="s">
        <v>5871</v>
      </c>
      <c r="F74" s="7" t="s">
        <v>5872</v>
      </c>
      <c r="G74" s="7" t="s">
        <v>5873</v>
      </c>
      <c r="H74" s="172" t="s">
        <v>5874</v>
      </c>
      <c r="I74" s="173" t="s">
        <v>5875</v>
      </c>
    </row>
    <row r="75" spans="4:10" x14ac:dyDescent="0.25">
      <c r="D75" s="64" t="s">
        <v>5899</v>
      </c>
      <c r="E75" s="192">
        <v>46149</v>
      </c>
      <c r="F75" s="6">
        <v>5</v>
      </c>
      <c r="G75" s="193" t="s">
        <v>5900</v>
      </c>
      <c r="H75" s="194">
        <v>2</v>
      </c>
      <c r="I75" s="195">
        <f t="shared" ref="I75:I76" si="3">+F75*H75</f>
        <v>10</v>
      </c>
      <c r="J75" s="196" t="s">
        <v>5918</v>
      </c>
    </row>
    <row r="76" spans="4:10" x14ac:dyDescent="0.25">
      <c r="D76" s="64"/>
      <c r="E76" s="6"/>
      <c r="F76" s="6">
        <v>5</v>
      </c>
      <c r="G76" s="193" t="s">
        <v>5901</v>
      </c>
      <c r="H76" s="194">
        <v>2</v>
      </c>
      <c r="I76" s="195">
        <f t="shared" si="3"/>
        <v>10</v>
      </c>
      <c r="J76" s="196" t="s">
        <v>5918</v>
      </c>
    </row>
    <row r="77" spans="4:10" x14ac:dyDescent="0.25">
      <c r="D77" s="14"/>
      <c r="E77" s="1"/>
      <c r="F77" s="1"/>
      <c r="G77" s="94"/>
      <c r="H77" s="58"/>
      <c r="I77" s="174"/>
    </row>
    <row r="78" spans="4:10" x14ac:dyDescent="0.25">
      <c r="D78" s="14"/>
      <c r="E78" s="1"/>
      <c r="F78" s="1"/>
      <c r="G78" s="94"/>
      <c r="H78" s="58"/>
      <c r="I78" s="174"/>
    </row>
    <row r="79" spans="4:10" ht="19.5" thickBot="1" x14ac:dyDescent="0.35">
      <c r="D79" s="25"/>
      <c r="E79" s="18"/>
      <c r="F79" s="18"/>
      <c r="G79" s="170"/>
      <c r="H79" s="175" t="s">
        <v>5891</v>
      </c>
      <c r="I79" s="176">
        <f>SUM(I75:I78)</f>
        <v>20</v>
      </c>
    </row>
    <row r="80" spans="4:10" x14ac:dyDescent="0.25">
      <c r="G80" s="83" t="s">
        <v>5920</v>
      </c>
    </row>
    <row r="84" spans="4:10" ht="16.5" thickBot="1" x14ac:dyDescent="0.3"/>
    <row r="85" spans="4:10" ht="21" x14ac:dyDescent="0.35">
      <c r="D85" s="250" t="s">
        <v>3727</v>
      </c>
      <c r="E85" s="251"/>
      <c r="F85" s="251"/>
      <c r="G85" s="251"/>
      <c r="H85" s="251"/>
      <c r="I85" s="252"/>
    </row>
    <row r="86" spans="4:10" x14ac:dyDescent="0.25">
      <c r="D86" s="108" t="s">
        <v>5876</v>
      </c>
      <c r="E86" s="7" t="s">
        <v>5871</v>
      </c>
      <c r="F86" s="7" t="s">
        <v>5872</v>
      </c>
      <c r="G86" s="7" t="s">
        <v>5873</v>
      </c>
      <c r="H86" s="172" t="s">
        <v>5874</v>
      </c>
      <c r="I86" s="173" t="s">
        <v>5875</v>
      </c>
    </row>
    <row r="87" spans="4:10" x14ac:dyDescent="0.25">
      <c r="D87" s="128" t="s">
        <v>5902</v>
      </c>
      <c r="E87" s="205">
        <v>46158</v>
      </c>
      <c r="F87" s="78">
        <v>16</v>
      </c>
      <c r="G87" s="206" t="s">
        <v>5906</v>
      </c>
      <c r="H87" s="207">
        <v>2</v>
      </c>
      <c r="I87" s="208">
        <f t="shared" ref="I87:I91" si="4">+F87*H87</f>
        <v>32</v>
      </c>
      <c r="J87" s="253" t="s">
        <v>5923</v>
      </c>
    </row>
    <row r="88" spans="4:10" x14ac:dyDescent="0.25">
      <c r="D88" s="128"/>
      <c r="E88" s="78"/>
      <c r="F88" s="78">
        <v>18</v>
      </c>
      <c r="G88" s="206" t="s">
        <v>5905</v>
      </c>
      <c r="H88" s="207">
        <v>5</v>
      </c>
      <c r="I88" s="208">
        <f t="shared" si="4"/>
        <v>90</v>
      </c>
      <c r="J88" s="253"/>
    </row>
    <row r="89" spans="4:10" x14ac:dyDescent="0.25">
      <c r="D89" s="128"/>
      <c r="E89" s="78"/>
      <c r="F89" s="78">
        <v>40</v>
      </c>
      <c r="G89" s="206" t="s">
        <v>5904</v>
      </c>
      <c r="H89" s="207">
        <v>0.5</v>
      </c>
      <c r="I89" s="208">
        <f t="shared" si="4"/>
        <v>20</v>
      </c>
      <c r="J89" s="253"/>
    </row>
    <row r="90" spans="4:10" x14ac:dyDescent="0.25">
      <c r="D90" s="128"/>
      <c r="E90" s="78"/>
      <c r="F90" s="78">
        <v>1</v>
      </c>
      <c r="G90" s="206" t="s">
        <v>5903</v>
      </c>
      <c r="H90" s="207">
        <v>5</v>
      </c>
      <c r="I90" s="208">
        <f t="shared" si="4"/>
        <v>5</v>
      </c>
      <c r="J90" s="253"/>
    </row>
    <row r="91" spans="4:10" x14ac:dyDescent="0.25">
      <c r="D91" s="128"/>
      <c r="E91" s="78"/>
      <c r="F91" s="78">
        <v>3</v>
      </c>
      <c r="G91" s="206" t="s">
        <v>5890</v>
      </c>
      <c r="H91" s="207">
        <v>35.200000000000003</v>
      </c>
      <c r="I91" s="208">
        <f t="shared" si="4"/>
        <v>105.60000000000001</v>
      </c>
      <c r="J91" s="253"/>
    </row>
    <row r="92" spans="4:10" x14ac:dyDescent="0.25">
      <c r="D92" s="14"/>
      <c r="E92" s="1"/>
      <c r="F92" s="1"/>
      <c r="G92" s="94"/>
      <c r="H92" s="58"/>
      <c r="I92" s="174"/>
    </row>
    <row r="93" spans="4:10" x14ac:dyDescent="0.25">
      <c r="D93" s="14"/>
      <c r="E93" s="1"/>
      <c r="F93" s="1"/>
      <c r="G93" s="94"/>
      <c r="H93" s="58"/>
      <c r="I93" s="174"/>
    </row>
    <row r="94" spans="4:10" x14ac:dyDescent="0.25">
      <c r="D94" s="14"/>
      <c r="E94" s="1"/>
      <c r="F94" s="1"/>
      <c r="G94" s="94"/>
      <c r="H94" s="58"/>
      <c r="I94" s="174"/>
    </row>
    <row r="95" spans="4:10" x14ac:dyDescent="0.25">
      <c r="D95" s="14"/>
      <c r="E95" s="1"/>
      <c r="F95" s="1"/>
      <c r="G95" s="94"/>
      <c r="H95" s="58"/>
      <c r="I95" s="174"/>
    </row>
    <row r="96" spans="4:10" ht="19.5" thickBot="1" x14ac:dyDescent="0.35">
      <c r="D96" s="25"/>
      <c r="E96" s="18"/>
      <c r="F96" s="18"/>
      <c r="G96" s="170"/>
      <c r="H96" s="175" t="s">
        <v>5891</v>
      </c>
      <c r="I96" s="176">
        <f>SUM(I87:I95)</f>
        <v>252.60000000000002</v>
      </c>
    </row>
    <row r="97" spans="3:10" x14ac:dyDescent="0.25">
      <c r="G97" s="83" t="s">
        <v>5922</v>
      </c>
    </row>
    <row r="101" spans="3:10" ht="16.5" thickBot="1" x14ac:dyDescent="0.3"/>
    <row r="102" spans="3:10" ht="21" x14ac:dyDescent="0.35">
      <c r="D102" s="250" t="s">
        <v>3727</v>
      </c>
      <c r="E102" s="251"/>
      <c r="F102" s="251"/>
      <c r="G102" s="251"/>
      <c r="H102" s="251"/>
      <c r="I102" s="252"/>
    </row>
    <row r="103" spans="3:10" x14ac:dyDescent="0.25">
      <c r="D103" s="108" t="s">
        <v>5876</v>
      </c>
      <c r="E103" s="7" t="s">
        <v>5871</v>
      </c>
      <c r="F103" s="7" t="s">
        <v>5872</v>
      </c>
      <c r="G103" s="7" t="s">
        <v>5873</v>
      </c>
      <c r="H103" s="172" t="s">
        <v>5874</v>
      </c>
      <c r="I103" s="173" t="s">
        <v>5875</v>
      </c>
    </row>
    <row r="104" spans="3:10" x14ac:dyDescent="0.25">
      <c r="D104" s="213" t="s">
        <v>5907</v>
      </c>
      <c r="E104" s="214">
        <v>46160</v>
      </c>
      <c r="F104" s="92">
        <v>0.5</v>
      </c>
      <c r="G104" s="215" t="s">
        <v>5908</v>
      </c>
      <c r="H104" s="216">
        <v>52</v>
      </c>
      <c r="I104" s="217">
        <f t="shared" ref="I104:I105" si="5">+F104*H104</f>
        <v>26</v>
      </c>
      <c r="J104" s="218" t="s">
        <v>5927</v>
      </c>
    </row>
    <row r="105" spans="3:10" x14ac:dyDescent="0.25">
      <c r="D105" s="213"/>
      <c r="E105" s="92"/>
      <c r="F105" s="92">
        <v>0.5</v>
      </c>
      <c r="G105" s="215" t="s">
        <v>5909</v>
      </c>
      <c r="H105" s="216">
        <v>80</v>
      </c>
      <c r="I105" s="217">
        <f t="shared" si="5"/>
        <v>40</v>
      </c>
      <c r="J105" s="218" t="s">
        <v>5927</v>
      </c>
    </row>
    <row r="106" spans="3:10" x14ac:dyDescent="0.25">
      <c r="D106" s="14"/>
      <c r="E106" s="1"/>
      <c r="F106" s="1"/>
      <c r="G106" s="94"/>
      <c r="H106" s="58"/>
      <c r="I106" s="174"/>
    </row>
    <row r="107" spans="3:10" x14ac:dyDescent="0.25">
      <c r="D107" s="14"/>
      <c r="E107" s="1"/>
      <c r="F107" s="1"/>
      <c r="G107" s="94"/>
      <c r="H107" s="58"/>
      <c r="I107" s="174"/>
    </row>
    <row r="108" spans="3:10" ht="19.5" thickBot="1" x14ac:dyDescent="0.35">
      <c r="D108" s="25"/>
      <c r="E108" s="18"/>
      <c r="F108" s="18"/>
      <c r="G108" s="170"/>
      <c r="H108" s="175" t="s">
        <v>5891</v>
      </c>
      <c r="I108" s="176">
        <f>SUM(I104:I107)</f>
        <v>66</v>
      </c>
    </row>
    <row r="109" spans="3:10" x14ac:dyDescent="0.25">
      <c r="G109" s="83" t="s">
        <v>5926</v>
      </c>
    </row>
    <row r="111" spans="3:10" ht="16.5" thickBot="1" x14ac:dyDescent="0.3">
      <c r="C111" s="224"/>
      <c r="D111" s="225"/>
      <c r="E111" s="225"/>
      <c r="F111" s="225"/>
      <c r="G111" s="226"/>
      <c r="H111" s="227"/>
      <c r="I111" s="227"/>
      <c r="J111" s="224"/>
    </row>
    <row r="112" spans="3:10" ht="21" x14ac:dyDescent="0.35">
      <c r="C112" s="224"/>
      <c r="D112" s="255" t="s">
        <v>3727</v>
      </c>
      <c r="E112" s="256"/>
      <c r="F112" s="256"/>
      <c r="G112" s="256"/>
      <c r="H112" s="256"/>
      <c r="I112" s="257"/>
      <c r="J112" s="224"/>
    </row>
    <row r="113" spans="3:10" x14ac:dyDescent="0.25">
      <c r="C113" s="224"/>
      <c r="D113" s="228" t="s">
        <v>5876</v>
      </c>
      <c r="E113" s="229" t="s">
        <v>5871</v>
      </c>
      <c r="F113" s="229" t="s">
        <v>5872</v>
      </c>
      <c r="G113" s="229" t="s">
        <v>5873</v>
      </c>
      <c r="H113" s="230" t="s">
        <v>5874</v>
      </c>
      <c r="I113" s="231" t="s">
        <v>5875</v>
      </c>
      <c r="J113" s="224"/>
    </row>
    <row r="114" spans="3:10" x14ac:dyDescent="0.25">
      <c r="C114" s="224"/>
      <c r="D114" s="232"/>
      <c r="E114" s="233">
        <v>46160</v>
      </c>
      <c r="F114" s="234">
        <v>5</v>
      </c>
      <c r="G114" s="235" t="s">
        <v>5883</v>
      </c>
      <c r="H114" s="236">
        <v>31.8</v>
      </c>
      <c r="I114" s="237">
        <f t="shared" ref="I114" si="6">+F114*H114</f>
        <v>159</v>
      </c>
      <c r="J114" s="224"/>
    </row>
    <row r="115" spans="3:10" x14ac:dyDescent="0.25">
      <c r="C115" s="224"/>
      <c r="D115" s="232"/>
      <c r="E115" s="233"/>
      <c r="F115" s="234"/>
      <c r="G115" s="235"/>
      <c r="H115" s="236"/>
      <c r="I115" s="237"/>
      <c r="J115" s="224" t="s">
        <v>5933</v>
      </c>
    </row>
    <row r="116" spans="3:10" x14ac:dyDescent="0.25">
      <c r="C116" s="224"/>
      <c r="D116" s="232"/>
      <c r="E116" s="233"/>
      <c r="F116" s="234"/>
      <c r="G116" s="235"/>
      <c r="H116" s="236"/>
      <c r="I116" s="237"/>
      <c r="J116" s="224"/>
    </row>
    <row r="117" spans="3:10" x14ac:dyDescent="0.25">
      <c r="C117" s="224"/>
      <c r="D117" s="232"/>
      <c r="E117" s="234"/>
      <c r="F117" s="234"/>
      <c r="G117" s="235"/>
      <c r="H117" s="236"/>
      <c r="I117" s="237"/>
      <c r="J117" s="224"/>
    </row>
    <row r="118" spans="3:10" x14ac:dyDescent="0.25">
      <c r="C118" s="224"/>
      <c r="D118" s="232"/>
      <c r="E118" s="234"/>
      <c r="F118" s="234"/>
      <c r="G118" s="235"/>
      <c r="H118" s="236"/>
      <c r="I118" s="237"/>
      <c r="J118" s="224"/>
    </row>
    <row r="119" spans="3:10" ht="19.5" thickBot="1" x14ac:dyDescent="0.35">
      <c r="C119" s="224"/>
      <c r="D119" s="238"/>
      <c r="E119" s="239"/>
      <c r="F119" s="239"/>
      <c r="G119" s="240"/>
      <c r="H119" s="241" t="s">
        <v>5891</v>
      </c>
      <c r="I119" s="242">
        <f>SUM(I114:I118)</f>
        <v>159</v>
      </c>
      <c r="J119" s="224"/>
    </row>
    <row r="120" spans="3:10" x14ac:dyDescent="0.25">
      <c r="C120" s="224"/>
      <c r="D120" s="225"/>
      <c r="E120" s="225"/>
      <c r="F120" s="225"/>
      <c r="G120" s="226" t="s">
        <v>5928</v>
      </c>
      <c r="H120" s="227"/>
      <c r="I120" s="227"/>
      <c r="J120" s="224"/>
    </row>
    <row r="121" spans="3:10" x14ac:dyDescent="0.25">
      <c r="C121" s="224"/>
      <c r="D121" s="225"/>
      <c r="E121" s="225"/>
      <c r="F121" s="225"/>
      <c r="G121" s="226"/>
      <c r="H121" s="227"/>
      <c r="I121" s="227"/>
      <c r="J121" s="224"/>
    </row>
    <row r="124" spans="3:10" ht="16.5" thickBot="1" x14ac:dyDescent="0.3"/>
    <row r="125" spans="3:10" ht="21" x14ac:dyDescent="0.35">
      <c r="D125" s="250" t="s">
        <v>3727</v>
      </c>
      <c r="E125" s="251"/>
      <c r="F125" s="251"/>
      <c r="G125" s="251"/>
      <c r="H125" s="251"/>
      <c r="I125" s="252"/>
    </row>
    <row r="126" spans="3:10" x14ac:dyDescent="0.25">
      <c r="D126" s="108" t="s">
        <v>5876</v>
      </c>
      <c r="E126" s="7" t="s">
        <v>5871</v>
      </c>
      <c r="F126" s="7" t="s">
        <v>5872</v>
      </c>
      <c r="G126" s="7" t="s">
        <v>5873</v>
      </c>
      <c r="H126" s="172" t="s">
        <v>5874</v>
      </c>
      <c r="I126" s="173" t="s">
        <v>5875</v>
      </c>
    </row>
    <row r="127" spans="3:10" x14ac:dyDescent="0.25">
      <c r="D127" s="14" t="s">
        <v>5910</v>
      </c>
      <c r="E127" s="5">
        <v>46207</v>
      </c>
      <c r="F127" s="1">
        <v>1</v>
      </c>
      <c r="G127" s="94" t="s">
        <v>5911</v>
      </c>
      <c r="H127" s="58">
        <v>38</v>
      </c>
      <c r="I127" s="174">
        <f t="shared" ref="I127" si="7">+F127*H127</f>
        <v>38</v>
      </c>
      <c r="J127" t="s">
        <v>5929</v>
      </c>
    </row>
    <row r="128" spans="3:10" x14ac:dyDescent="0.25">
      <c r="D128" s="14"/>
      <c r="E128" s="5"/>
      <c r="F128" s="1"/>
      <c r="G128" s="94"/>
      <c r="H128" s="58"/>
      <c r="I128" s="174"/>
    </row>
    <row r="129" spans="4:9" x14ac:dyDescent="0.25">
      <c r="D129" s="14"/>
      <c r="E129" s="5"/>
      <c r="F129" s="1"/>
      <c r="G129" s="94"/>
      <c r="H129" s="58"/>
      <c r="I129" s="174"/>
    </row>
    <row r="130" spans="4:9" x14ac:dyDescent="0.25">
      <c r="D130" s="14"/>
      <c r="E130" s="1"/>
      <c r="F130" s="1"/>
      <c r="G130" s="94"/>
      <c r="H130" s="58"/>
      <c r="I130" s="174"/>
    </row>
    <row r="131" spans="4:9" x14ac:dyDescent="0.25">
      <c r="D131" s="14"/>
      <c r="E131" s="1"/>
      <c r="F131" s="1"/>
      <c r="G131" s="94"/>
      <c r="H131" s="58"/>
      <c r="I131" s="174"/>
    </row>
    <row r="132" spans="4:9" ht="19.5" thickBot="1" x14ac:dyDescent="0.35">
      <c r="D132" s="25"/>
      <c r="E132" s="18"/>
      <c r="F132" s="18"/>
      <c r="G132" s="170"/>
      <c r="H132" s="175" t="s">
        <v>5891</v>
      </c>
      <c r="I132" s="176">
        <f>SUM(I127:I131)</f>
        <v>38</v>
      </c>
    </row>
  </sheetData>
  <mergeCells count="10">
    <mergeCell ref="D125:I125"/>
    <mergeCell ref="J87:J91"/>
    <mergeCell ref="J47:J49"/>
    <mergeCell ref="D112:I112"/>
    <mergeCell ref="D4:I4"/>
    <mergeCell ref="D39:I39"/>
    <mergeCell ref="D61:I61"/>
    <mergeCell ref="D73:I73"/>
    <mergeCell ref="D85:I85"/>
    <mergeCell ref="D102:I102"/>
  </mergeCells>
  <pageMargins left="0.7" right="0.7" top="0.75" bottom="0.75" header="0.3" footer="0.3"/>
  <pageSetup paperSize="256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123</vt:i4>
      </vt:variant>
    </vt:vector>
  </HeadingPairs>
  <TitlesOfParts>
    <vt:vector size="123" baseType="lpstr">
      <vt:lpstr>24-02</vt:lpstr>
      <vt:lpstr>25-02</vt:lpstr>
      <vt:lpstr>26-02</vt:lpstr>
      <vt:lpstr>27-02</vt:lpstr>
      <vt:lpstr>01-03</vt:lpstr>
      <vt:lpstr>02-03</vt:lpstr>
      <vt:lpstr>03-03</vt:lpstr>
      <vt:lpstr>04-03</vt:lpstr>
      <vt:lpstr>05-03</vt:lpstr>
      <vt:lpstr>06-03</vt:lpstr>
      <vt:lpstr>07-03</vt:lpstr>
      <vt:lpstr>09-03</vt:lpstr>
      <vt:lpstr>10-03</vt:lpstr>
      <vt:lpstr>11-03</vt:lpstr>
      <vt:lpstr>12-03</vt:lpstr>
      <vt:lpstr>13-03</vt:lpstr>
      <vt:lpstr>14-03</vt:lpstr>
      <vt:lpstr>16-03</vt:lpstr>
      <vt:lpstr>17-03</vt:lpstr>
      <vt:lpstr>18-03</vt:lpstr>
      <vt:lpstr>19-03</vt:lpstr>
      <vt:lpstr>20-03</vt:lpstr>
      <vt:lpstr>21-03</vt:lpstr>
      <vt:lpstr>23-03</vt:lpstr>
      <vt:lpstr>24-03</vt:lpstr>
      <vt:lpstr>25-03</vt:lpstr>
      <vt:lpstr>26-03</vt:lpstr>
      <vt:lpstr>27-03</vt:lpstr>
      <vt:lpstr>28-03</vt:lpstr>
      <vt:lpstr>30-03</vt:lpstr>
      <vt:lpstr>31-03</vt:lpstr>
      <vt:lpstr>01-04</vt:lpstr>
      <vt:lpstr>02-04</vt:lpstr>
      <vt:lpstr>03-04</vt:lpstr>
      <vt:lpstr>04-04</vt:lpstr>
      <vt:lpstr>05-04</vt:lpstr>
      <vt:lpstr>06-04</vt:lpstr>
      <vt:lpstr>07-04</vt:lpstr>
      <vt:lpstr>08-04</vt:lpstr>
      <vt:lpstr>09-04</vt:lpstr>
      <vt:lpstr>10-04</vt:lpstr>
      <vt:lpstr>11-04</vt:lpstr>
      <vt:lpstr>14-04</vt:lpstr>
      <vt:lpstr>15-04</vt:lpstr>
      <vt:lpstr>16-04</vt:lpstr>
      <vt:lpstr>17-04</vt:lpstr>
      <vt:lpstr>18-04</vt:lpstr>
      <vt:lpstr>20-04 </vt:lpstr>
      <vt:lpstr>21-04</vt:lpstr>
      <vt:lpstr>22-04</vt:lpstr>
      <vt:lpstr>23-04</vt:lpstr>
      <vt:lpstr>24-04</vt:lpstr>
      <vt:lpstr>25-04</vt:lpstr>
      <vt:lpstr>26-04</vt:lpstr>
      <vt:lpstr>27-04</vt:lpstr>
      <vt:lpstr>28-04</vt:lpstr>
      <vt:lpstr>29-04</vt:lpstr>
      <vt:lpstr>30-04</vt:lpstr>
      <vt:lpstr>01-05</vt:lpstr>
      <vt:lpstr>02-05</vt:lpstr>
      <vt:lpstr>03-05</vt:lpstr>
      <vt:lpstr>04-05</vt:lpstr>
      <vt:lpstr>05-05</vt:lpstr>
      <vt:lpstr>06-05</vt:lpstr>
      <vt:lpstr>07-05</vt:lpstr>
      <vt:lpstr>08-05</vt:lpstr>
      <vt:lpstr>09-05</vt:lpstr>
      <vt:lpstr>10Y11-05</vt:lpstr>
      <vt:lpstr>12-05</vt:lpstr>
      <vt:lpstr>13-05</vt:lpstr>
      <vt:lpstr>14-05</vt:lpstr>
      <vt:lpstr>15-05</vt:lpstr>
      <vt:lpstr>16-01</vt:lpstr>
      <vt:lpstr>17Y18-05</vt:lpstr>
      <vt:lpstr>19-05</vt:lpstr>
      <vt:lpstr>20-05</vt:lpstr>
      <vt:lpstr>21-05</vt:lpstr>
      <vt:lpstr>22-05</vt:lpstr>
      <vt:lpstr>23-05</vt:lpstr>
      <vt:lpstr>24Y25</vt:lpstr>
      <vt:lpstr>26-05</vt:lpstr>
      <vt:lpstr>27-05</vt:lpstr>
      <vt:lpstr>28-05</vt:lpstr>
      <vt:lpstr>29-05</vt:lpstr>
      <vt:lpstr>30-05</vt:lpstr>
      <vt:lpstr>31Y01-06</vt:lpstr>
      <vt:lpstr>02-06</vt:lpstr>
      <vt:lpstr>03-06</vt:lpstr>
      <vt:lpstr>04-06</vt:lpstr>
      <vt:lpstr>05-06</vt:lpstr>
      <vt:lpstr>06-06</vt:lpstr>
      <vt:lpstr>7Y8-06</vt:lpstr>
      <vt:lpstr>09-06</vt:lpstr>
      <vt:lpstr>10-06</vt:lpstr>
      <vt:lpstr>12-06</vt:lpstr>
      <vt:lpstr>13-06</vt:lpstr>
      <vt:lpstr>14Y15-06</vt:lpstr>
      <vt:lpstr>16-06</vt:lpstr>
      <vt:lpstr>17-06</vt:lpstr>
      <vt:lpstr>18-06</vt:lpstr>
      <vt:lpstr>19-06</vt:lpstr>
      <vt:lpstr>20-06</vt:lpstr>
      <vt:lpstr>22-06</vt:lpstr>
      <vt:lpstr>23-06</vt:lpstr>
      <vt:lpstr>24-06</vt:lpstr>
      <vt:lpstr>25-06</vt:lpstr>
      <vt:lpstr>26-06</vt:lpstr>
      <vt:lpstr>27-06</vt:lpstr>
      <vt:lpstr>28-06</vt:lpstr>
      <vt:lpstr>29-06</vt:lpstr>
      <vt:lpstr>30-06</vt:lpstr>
      <vt:lpstr>01-07</vt:lpstr>
      <vt:lpstr>02-07</vt:lpstr>
      <vt:lpstr>03-07</vt:lpstr>
      <vt:lpstr>04-07</vt:lpstr>
      <vt:lpstr>05-07</vt:lpstr>
      <vt:lpstr>06-07</vt:lpstr>
      <vt:lpstr>07-07</vt:lpstr>
      <vt:lpstr>08-07</vt:lpstr>
      <vt:lpstr>09-07</vt:lpstr>
      <vt:lpstr>10-07</vt:lpstr>
      <vt:lpstr>HOJA 1</vt:lpstr>
      <vt:lpstr>Hoja2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USUARIO</cp:lastModifiedBy>
  <dcterms:created xsi:type="dcterms:W3CDTF">2026-02-24T15:05:16Z</dcterms:created>
  <dcterms:modified xsi:type="dcterms:W3CDTF">2026-07-11T00:59:17Z</dcterms:modified>
</cp:coreProperties>
</file>