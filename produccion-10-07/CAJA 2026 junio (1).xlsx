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329143F-7FE3-40A7-9646-FE26FCE195BA}" xr6:coauthVersionLast="47" xr6:coauthVersionMax="47" xr10:uidLastSave="{00000000-0000-0000-0000-000000000000}"/>
  <bookViews>
    <workbookView xWindow="-120" yWindow="-120" windowWidth="29040" windowHeight="15720" firstSheet="127" activeTab="132" xr2:uid="{F203D909-0C37-46BE-AFD5-CAD07D1E6E2E}"/>
  </bookViews>
  <sheets>
    <sheet name="23-02" sheetId="1" r:id="rId1"/>
    <sheet name="24-02 " sheetId="2" r:id="rId2"/>
    <sheet name="25-02 " sheetId="3" r:id="rId3"/>
    <sheet name="26-02  " sheetId="4" r:id="rId4"/>
    <sheet name="27-02 " sheetId="5" r:id="rId5"/>
    <sheet name="28-02  " sheetId="6" r:id="rId6"/>
    <sheet name="01-03 " sheetId="7" r:id="rId7"/>
    <sheet name="02-03 " sheetId="9" r:id="rId8"/>
    <sheet name="03-03 " sheetId="10" r:id="rId9"/>
    <sheet name="04-03 " sheetId="11" r:id="rId10"/>
    <sheet name="05-03" sheetId="12" r:id="rId11"/>
    <sheet name="06-03 " sheetId="13" r:id="rId12"/>
    <sheet name="07-03" sheetId="15" r:id="rId13"/>
    <sheet name="08-03" sheetId="16" r:id="rId14"/>
    <sheet name="09-03" sheetId="17" r:id="rId15"/>
    <sheet name="10-03" sheetId="18" r:id="rId16"/>
    <sheet name="11-03" sheetId="19" r:id="rId17"/>
    <sheet name="12-03" sheetId="20" r:id="rId18"/>
    <sheet name="13-03" sheetId="21" r:id="rId19"/>
    <sheet name="14-03" sheetId="22" r:id="rId20"/>
    <sheet name="15-03" sheetId="23" r:id="rId21"/>
    <sheet name="16-03 " sheetId="24" r:id="rId22"/>
    <sheet name="17-03  " sheetId="25" r:id="rId23"/>
    <sheet name="18-03  " sheetId="26" r:id="rId24"/>
    <sheet name="19-03" sheetId="27" r:id="rId25"/>
    <sheet name="20-03" sheetId="28" r:id="rId26"/>
    <sheet name="21-03" sheetId="29" r:id="rId27"/>
    <sheet name="22-03" sheetId="31" r:id="rId28"/>
    <sheet name="23-03" sheetId="32" r:id="rId29"/>
    <sheet name="24-03" sheetId="33" r:id="rId30"/>
    <sheet name="25-03 " sheetId="34" r:id="rId31"/>
    <sheet name="26-03" sheetId="35" r:id="rId32"/>
    <sheet name="27-03" sheetId="36" r:id="rId33"/>
    <sheet name="28-03" sheetId="37" r:id="rId34"/>
    <sheet name="29-03" sheetId="38" r:id="rId35"/>
    <sheet name="30-03" sheetId="39" r:id="rId36"/>
    <sheet name="31-03" sheetId="40" r:id="rId37"/>
    <sheet name="01-04" sheetId="41" r:id="rId38"/>
    <sheet name="02-04" sheetId="42" r:id="rId39"/>
    <sheet name="03-04" sheetId="43" r:id="rId40"/>
    <sheet name="04-04" sheetId="44" r:id="rId41"/>
    <sheet name="05-04" sheetId="47" r:id="rId42"/>
    <sheet name="06-04" sheetId="48" r:id="rId43"/>
    <sheet name="07-04" sheetId="49" r:id="rId44"/>
    <sheet name="08-04" sheetId="50" r:id="rId45"/>
    <sheet name="09-04" sheetId="51" r:id="rId46"/>
    <sheet name="10-04" sheetId="52" r:id="rId47"/>
    <sheet name="11-04" sheetId="53" r:id="rId48"/>
    <sheet name="14-04" sheetId="54" r:id="rId49"/>
    <sheet name="15-04 " sheetId="55" r:id="rId50"/>
    <sheet name="16-04" sheetId="57" r:id="rId51"/>
    <sheet name="17-04" sheetId="58" r:id="rId52"/>
    <sheet name="18-04 " sheetId="59" r:id="rId53"/>
    <sheet name="19-04 " sheetId="60" r:id="rId54"/>
    <sheet name="20-04 " sheetId="61" r:id="rId55"/>
    <sheet name="21-04 " sheetId="62" r:id="rId56"/>
    <sheet name="22-04  " sheetId="63" r:id="rId57"/>
    <sheet name="23-04" sheetId="64" r:id="rId58"/>
    <sheet name="24-04 " sheetId="65" r:id="rId59"/>
    <sheet name="25-04" sheetId="66" r:id="rId60"/>
    <sheet name="26-04 " sheetId="67" r:id="rId61"/>
    <sheet name="27-04" sheetId="68" r:id="rId62"/>
    <sheet name="28-04" sheetId="69" r:id="rId63"/>
    <sheet name="29-04" sheetId="70" r:id="rId64"/>
    <sheet name="30-04 " sheetId="72" r:id="rId65"/>
    <sheet name="01-05" sheetId="73" r:id="rId66"/>
    <sheet name="02-05 " sheetId="74" r:id="rId67"/>
    <sheet name="03-05" sheetId="75" r:id="rId68"/>
    <sheet name="04-05 " sheetId="76" r:id="rId69"/>
    <sheet name="05-05 " sheetId="77" r:id="rId70"/>
    <sheet name="06-05  " sheetId="78" r:id="rId71"/>
    <sheet name="07-05" sheetId="79" r:id="rId72"/>
    <sheet name="08-05 " sheetId="80" r:id="rId73"/>
    <sheet name="09-05  " sheetId="81" r:id="rId74"/>
    <sheet name="11-05 " sheetId="82" r:id="rId75"/>
    <sheet name="12-05" sheetId="83" r:id="rId76"/>
    <sheet name="13-05" sheetId="84" r:id="rId77"/>
    <sheet name="14-05" sheetId="85" r:id="rId78"/>
    <sheet name="15-05" sheetId="86" r:id="rId79"/>
    <sheet name="16-05" sheetId="87" r:id="rId80"/>
    <sheet name="17-05" sheetId="88" r:id="rId81"/>
    <sheet name="18-05 " sheetId="89" r:id="rId82"/>
    <sheet name="19-05  " sheetId="90" r:id="rId83"/>
    <sheet name="20-05" sheetId="92" r:id="rId84"/>
    <sheet name="21-05" sheetId="93" r:id="rId85"/>
    <sheet name="22-05" sheetId="94" r:id="rId86"/>
    <sheet name="23-05 " sheetId="95" r:id="rId87"/>
    <sheet name="24Y25-05 " sheetId="96" r:id="rId88"/>
    <sheet name="26-05 " sheetId="97" r:id="rId89"/>
    <sheet name="27-05 " sheetId="98" r:id="rId90"/>
    <sheet name="28-05" sheetId="99" r:id="rId91"/>
    <sheet name="29-05" sheetId="100" r:id="rId92"/>
    <sheet name="30-05" sheetId="101" r:id="rId93"/>
    <sheet name="31-05" sheetId="102" r:id="rId94"/>
    <sheet name="01-06 " sheetId="103" r:id="rId95"/>
    <sheet name="02-06 " sheetId="104" r:id="rId96"/>
    <sheet name="03-06 " sheetId="105" r:id="rId97"/>
    <sheet name="04-06 " sheetId="106" r:id="rId98"/>
    <sheet name="05-06" sheetId="107" r:id="rId99"/>
    <sheet name="06-06 " sheetId="108" r:id="rId100"/>
    <sheet name="07-06 " sheetId="109" r:id="rId101"/>
    <sheet name="08-06 " sheetId="110" r:id="rId102"/>
    <sheet name="09-06" sheetId="111" r:id="rId103"/>
    <sheet name="10-06" sheetId="112" r:id="rId104"/>
    <sheet name="12-06" sheetId="114" r:id="rId105"/>
    <sheet name="13-06" sheetId="115" r:id="rId106"/>
    <sheet name="14-06 " sheetId="116" r:id="rId107"/>
    <sheet name="15-06" sheetId="117" r:id="rId108"/>
    <sheet name="16-06" sheetId="118" r:id="rId109"/>
    <sheet name="17-06" sheetId="119" r:id="rId110"/>
    <sheet name="18-06" sheetId="120" r:id="rId111"/>
    <sheet name="19-06" sheetId="121" r:id="rId112"/>
    <sheet name="20-06 " sheetId="122" r:id="rId113"/>
    <sheet name="21-06 " sheetId="123" r:id="rId114"/>
    <sheet name="22-06 " sheetId="124" r:id="rId115"/>
    <sheet name="23-06" sheetId="125" r:id="rId116"/>
    <sheet name="24-06" sheetId="126" r:id="rId117"/>
    <sheet name="25-06" sheetId="127" r:id="rId118"/>
    <sheet name="26-06" sheetId="128" r:id="rId119"/>
    <sheet name="27-06" sheetId="129" r:id="rId120"/>
    <sheet name="28-06" sheetId="130" r:id="rId121"/>
    <sheet name="29-06" sheetId="131" r:id="rId122"/>
    <sheet name="30-06" sheetId="132" r:id="rId123"/>
    <sheet name="01-07" sheetId="133" r:id="rId124"/>
    <sheet name="02-07" sheetId="134" r:id="rId125"/>
    <sheet name="03-07 " sheetId="135" r:id="rId126"/>
    <sheet name="04-07 " sheetId="136" r:id="rId127"/>
    <sheet name="05-07  " sheetId="138" r:id="rId128"/>
    <sheet name="06-07" sheetId="139" r:id="rId129"/>
    <sheet name="07-07" sheetId="140" r:id="rId130"/>
    <sheet name="08-07" sheetId="141" r:id="rId131"/>
    <sheet name="09-07" sheetId="142" r:id="rId132"/>
    <sheet name="10-07" sheetId="143" r:id="rId133"/>
    <sheet name="HOLCIM" sheetId="30" r:id="rId134"/>
    <sheet name="POR CANCELAR " sheetId="45" r:id="rId135"/>
    <sheet name="Hoja2" sheetId="46" r:id="rId136"/>
    <sheet name="Hoja1" sheetId="56" r:id="rId137"/>
    <sheet name="CORPORACION HERRERA" sheetId="71" r:id="rId1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4" i="143" l="1"/>
  <c r="G94" i="143"/>
  <c r="F94" i="143"/>
  <c r="F97" i="143" l="1"/>
  <c r="G97" i="142"/>
  <c r="F97" i="142"/>
  <c r="H97" i="142" l="1"/>
  <c r="F100" i="142"/>
  <c r="H92" i="141"/>
  <c r="G92" i="141"/>
  <c r="F92" i="141"/>
  <c r="F95" i="141" s="1"/>
  <c r="H85" i="140"/>
  <c r="G85" i="140"/>
  <c r="F85" i="140"/>
  <c r="F88" i="140" s="1"/>
  <c r="J83" i="139"/>
  <c r="H97" i="139" l="1"/>
  <c r="G97" i="139"/>
  <c r="F97" i="139"/>
  <c r="F100" i="139" s="1"/>
  <c r="H69" i="138"/>
  <c r="G69" i="138"/>
  <c r="F69" i="138"/>
  <c r="F72" i="138" s="1"/>
  <c r="H108" i="136" l="1"/>
  <c r="G108" i="136"/>
  <c r="F108" i="136"/>
  <c r="F111" i="136" s="1"/>
  <c r="H105" i="135"/>
  <c r="G105" i="135"/>
  <c r="F105" i="135"/>
  <c r="F108" i="135" s="1"/>
  <c r="H86" i="134"/>
  <c r="G86" i="134"/>
  <c r="F86" i="134"/>
  <c r="F89" i="134" s="1"/>
  <c r="H95" i="133"/>
  <c r="G95" i="133"/>
  <c r="F95" i="133"/>
  <c r="F98" i="133" s="1"/>
  <c r="H95" i="132"/>
  <c r="G95" i="132"/>
  <c r="F95" i="132"/>
  <c r="F98" i="132" s="1"/>
  <c r="H109" i="131"/>
  <c r="G109" i="131"/>
  <c r="F109" i="131"/>
  <c r="F112" i="131" s="1"/>
  <c r="H69" i="130"/>
  <c r="G69" i="130"/>
  <c r="F69" i="130"/>
  <c r="F72" i="130" s="1"/>
  <c r="J104" i="129"/>
  <c r="I104" i="129"/>
  <c r="H104" i="129"/>
  <c r="H107" i="129" s="1"/>
  <c r="J91" i="128"/>
  <c r="I91" i="128"/>
  <c r="H91" i="128"/>
  <c r="H94" i="128" s="1"/>
  <c r="G87" i="127"/>
  <c r="G90" i="127" s="1"/>
  <c r="I87" i="127"/>
  <c r="H87" i="127"/>
  <c r="G91" i="126"/>
  <c r="G94" i="126" s="1"/>
  <c r="I91" i="126"/>
  <c r="H91" i="126"/>
  <c r="H90" i="125"/>
  <c r="G90" i="125"/>
  <c r="F90" i="125"/>
  <c r="F93" i="125" s="1"/>
  <c r="H84" i="124"/>
  <c r="G84" i="124"/>
  <c r="F84" i="124"/>
  <c r="F87" i="124" s="1"/>
  <c r="F62" i="123"/>
  <c r="H59" i="123" l="1"/>
  <c r="G59" i="123"/>
  <c r="F59" i="123"/>
  <c r="K28" i="122"/>
  <c r="H126" i="122"/>
  <c r="G126" i="122"/>
  <c r="F126" i="122"/>
  <c r="F129" i="122" s="1"/>
  <c r="H86" i="121"/>
  <c r="G86" i="121"/>
  <c r="F86" i="121"/>
  <c r="F89" i="121" s="1"/>
  <c r="H95" i="120"/>
  <c r="G95" i="120"/>
  <c r="F95" i="120"/>
  <c r="F98" i="120" s="1"/>
  <c r="H83" i="119"/>
  <c r="G83" i="119"/>
  <c r="F83" i="119"/>
  <c r="F86" i="119" s="1"/>
  <c r="F94" i="118"/>
  <c r="F97" i="118" s="1"/>
  <c r="H10" i="56"/>
  <c r="H14" i="56"/>
  <c r="H94" i="118" l="1"/>
  <c r="G94" i="118"/>
  <c r="G92" i="117" l="1"/>
  <c r="H92" i="117"/>
  <c r="F92" i="117"/>
  <c r="F95" i="117" s="1"/>
  <c r="H66" i="116"/>
  <c r="G66" i="116"/>
  <c r="F66" i="116"/>
  <c r="F69" i="116" s="1"/>
  <c r="H117" i="115"/>
  <c r="G117" i="115"/>
  <c r="F117" i="115"/>
  <c r="F120" i="115" s="1"/>
  <c r="H92" i="114" l="1"/>
  <c r="G92" i="114"/>
  <c r="F92" i="114"/>
  <c r="F95" i="114" s="1"/>
  <c r="H94" i="112"/>
  <c r="G94" i="112"/>
  <c r="F94" i="112"/>
  <c r="F97" i="112" s="1"/>
  <c r="H80" i="111"/>
  <c r="G80" i="111"/>
  <c r="F80" i="111"/>
  <c r="F83" i="111" s="1"/>
  <c r="H92" i="110" l="1"/>
  <c r="G92" i="110"/>
  <c r="F92" i="110"/>
  <c r="F95" i="110" s="1"/>
  <c r="H55" i="109"/>
  <c r="G55" i="109"/>
  <c r="F55" i="109"/>
  <c r="F58" i="109" s="1"/>
  <c r="H104" i="108"/>
  <c r="G104" i="108"/>
  <c r="F104" i="108"/>
  <c r="F107" i="108" s="1"/>
  <c r="F79" i="107"/>
  <c r="F82" i="107" s="1"/>
  <c r="H79" i="107"/>
  <c r="G79" i="107"/>
  <c r="H77" i="106"/>
  <c r="G77" i="106"/>
  <c r="F77" i="106"/>
  <c r="F80" i="106" s="1"/>
  <c r="F85" i="105"/>
  <c r="F88" i="105" s="1"/>
  <c r="H85" i="105"/>
  <c r="G85" i="105"/>
  <c r="H69" i="104"/>
  <c r="G69" i="104"/>
  <c r="F69" i="104"/>
  <c r="F72" i="104" s="1"/>
  <c r="H77" i="103"/>
  <c r="G77" i="103"/>
  <c r="F77" i="103"/>
  <c r="F80" i="103" s="1"/>
  <c r="H77" i="102"/>
  <c r="G77" i="102"/>
  <c r="F77" i="102"/>
  <c r="F80" i="102" s="1"/>
  <c r="H112" i="101"/>
  <c r="G112" i="101"/>
  <c r="F112" i="101"/>
  <c r="F115" i="101" s="1"/>
  <c r="H84" i="100"/>
  <c r="G84" i="100"/>
  <c r="F84" i="100"/>
  <c r="F87" i="100" s="1"/>
  <c r="F80" i="99"/>
  <c r="H80" i="99"/>
  <c r="G80" i="99"/>
  <c r="F83" i="99" l="1"/>
  <c r="H101" i="98"/>
  <c r="G101" i="98"/>
  <c r="F101" i="98"/>
  <c r="F104" i="98" s="1"/>
  <c r="H77" i="97"/>
  <c r="G77" i="97"/>
  <c r="F77" i="97"/>
  <c r="F80" i="97" s="1"/>
  <c r="H110" i="96"/>
  <c r="G110" i="96"/>
  <c r="F110" i="96"/>
  <c r="F113" i="96" s="1"/>
  <c r="F106" i="95"/>
  <c r="F109" i="95" s="1"/>
  <c r="H106" i="95"/>
  <c r="G106" i="95"/>
  <c r="H91" i="94"/>
  <c r="G91" i="94"/>
  <c r="F91" i="94"/>
  <c r="F94" i="94" s="1"/>
  <c r="K90" i="93"/>
  <c r="H99" i="93"/>
  <c r="G99" i="93"/>
  <c r="F99" i="93"/>
  <c r="F102" i="93" s="1"/>
  <c r="H93" i="92"/>
  <c r="G93" i="92"/>
  <c r="F93" i="92"/>
  <c r="F96" i="92" s="1"/>
  <c r="H87" i="90" l="1"/>
  <c r="G87" i="90"/>
  <c r="F87" i="90"/>
  <c r="F90" i="90" s="1"/>
  <c r="H96" i="89"/>
  <c r="G96" i="89"/>
  <c r="F96" i="89"/>
  <c r="F99" i="89" s="1"/>
  <c r="H60" i="88"/>
  <c r="G60" i="88"/>
  <c r="F60" i="88"/>
  <c r="F63" i="88" s="1"/>
  <c r="F113" i="87"/>
  <c r="F116" i="87" s="1"/>
  <c r="H113" i="87" l="1"/>
  <c r="G113" i="87"/>
  <c r="H108" i="86" l="1"/>
  <c r="G108" i="86"/>
  <c r="F108" i="86"/>
  <c r="F111" i="86" s="1"/>
  <c r="H95" i="85"/>
  <c r="G95" i="85"/>
  <c r="F95" i="85"/>
  <c r="F98" i="85" s="1"/>
  <c r="F97" i="84"/>
  <c r="F100" i="84" s="1"/>
  <c r="H97" i="84"/>
  <c r="G97" i="84"/>
  <c r="H83" i="83"/>
  <c r="G83" i="83"/>
  <c r="F83" i="83"/>
  <c r="F86" i="83" s="1"/>
  <c r="H85" i="82"/>
  <c r="G85" i="82"/>
  <c r="F85" i="82"/>
  <c r="F88" i="82" s="1"/>
  <c r="H93" i="81"/>
  <c r="G93" i="81"/>
  <c r="F93" i="81"/>
  <c r="F96" i="81" s="1"/>
  <c r="F102" i="80"/>
  <c r="H102" i="80" l="1"/>
  <c r="G102" i="80"/>
  <c r="F105" i="80"/>
  <c r="H95" i="79"/>
  <c r="G95" i="79"/>
  <c r="F95" i="79"/>
  <c r="F98" i="79" s="1"/>
  <c r="H78" i="78"/>
  <c r="G78" i="78"/>
  <c r="F78" i="78"/>
  <c r="F81" i="78" s="1"/>
  <c r="H90" i="77"/>
  <c r="G90" i="77"/>
  <c r="F90" i="77"/>
  <c r="F93" i="77" s="1"/>
  <c r="F103" i="76"/>
  <c r="F106" i="76" s="1"/>
  <c r="H103" i="76"/>
  <c r="G103" i="76"/>
  <c r="F72" i="75"/>
  <c r="H72" i="75" l="1"/>
  <c r="G72" i="75"/>
  <c r="F75" i="75"/>
  <c r="H129" i="74"/>
  <c r="G129" i="74"/>
  <c r="F129" i="74"/>
  <c r="F132" i="74" s="1"/>
  <c r="H53" i="73" l="1"/>
  <c r="G53" i="73"/>
  <c r="F53" i="73"/>
  <c r="F56" i="73" s="1"/>
  <c r="H87" i="72"/>
  <c r="G87" i="72"/>
  <c r="F87" i="72"/>
  <c r="F90" i="72" s="1"/>
  <c r="I15" i="71"/>
  <c r="H115" i="70" l="1"/>
  <c r="G115" i="70"/>
  <c r="F115" i="70"/>
  <c r="F118" i="70" s="1"/>
  <c r="J71" i="69"/>
  <c r="H86" i="69"/>
  <c r="G86" i="69"/>
  <c r="F86" i="69"/>
  <c r="F89" i="69" s="1"/>
  <c r="H89" i="68"/>
  <c r="G89" i="68"/>
  <c r="F89" i="68"/>
  <c r="F92" i="68" s="1"/>
  <c r="H53" i="67"/>
  <c r="G53" i="67"/>
  <c r="F53" i="67"/>
  <c r="F56" i="67" s="1"/>
  <c r="F112" i="66"/>
  <c r="M88" i="66" l="1"/>
  <c r="H112" i="66"/>
  <c r="G112" i="66"/>
  <c r="F115" i="66"/>
  <c r="H102" i="65"/>
  <c r="G102" i="65"/>
  <c r="F102" i="65"/>
  <c r="F105" i="65" s="1"/>
  <c r="K79" i="64"/>
  <c r="H84" i="64" l="1"/>
  <c r="G84" i="64"/>
  <c r="F84" i="64"/>
  <c r="F87" i="64" s="1"/>
  <c r="H99" i="63"/>
  <c r="G99" i="63"/>
  <c r="F99" i="63"/>
  <c r="F102" i="63" s="1"/>
  <c r="F107" i="62"/>
  <c r="F110" i="62" s="1"/>
  <c r="H107" i="62"/>
  <c r="G107" i="62"/>
  <c r="F109" i="61"/>
  <c r="H109" i="61" l="1"/>
  <c r="G109" i="61"/>
  <c r="F112" i="61"/>
  <c r="F67" i="60"/>
  <c r="H67" i="60" l="1"/>
  <c r="G67" i="60"/>
  <c r="F70" i="60"/>
  <c r="H106" i="59"/>
  <c r="G106" i="59"/>
  <c r="F106" i="59"/>
  <c r="F109" i="59" s="1"/>
  <c r="H87" i="58"/>
  <c r="G87" i="58"/>
  <c r="F87" i="58"/>
  <c r="F90" i="58" s="1"/>
  <c r="O22" i="57"/>
  <c r="H104" i="57"/>
  <c r="G104" i="57"/>
  <c r="F104" i="57"/>
  <c r="F107" i="57" s="1"/>
  <c r="F94" i="55" l="1"/>
  <c r="H94" i="55" l="1"/>
  <c r="G94" i="55"/>
  <c r="F97" i="55"/>
  <c r="H167" i="54"/>
  <c r="G167" i="54"/>
  <c r="F167" i="54"/>
  <c r="F170" i="54" s="1"/>
  <c r="H107" i="53"/>
  <c r="G107" i="53"/>
  <c r="F107" i="53"/>
  <c r="F110" i="53" s="1"/>
  <c r="H99" i="52"/>
  <c r="G99" i="52"/>
  <c r="F99" i="52"/>
  <c r="F102" i="52" s="1"/>
  <c r="H84" i="51"/>
  <c r="G84" i="51"/>
  <c r="F84" i="51"/>
  <c r="F87" i="51" s="1"/>
  <c r="H97" i="50"/>
  <c r="G97" i="50"/>
  <c r="F97" i="50"/>
  <c r="F100" i="50" s="1"/>
  <c r="H95" i="49"/>
  <c r="G95" i="49"/>
  <c r="F95" i="49"/>
  <c r="F98" i="49" s="1"/>
  <c r="H91" i="48"/>
  <c r="G91" i="48"/>
  <c r="F91" i="48"/>
  <c r="F94" i="48" s="1"/>
  <c r="H65" i="47"/>
  <c r="G65" i="47"/>
  <c r="F65" i="47"/>
  <c r="F68" i="47" s="1"/>
  <c r="H45" i="46"/>
  <c r="H37" i="46"/>
  <c r="H29" i="46"/>
  <c r="H17" i="46"/>
  <c r="H7" i="46"/>
  <c r="F141" i="44" l="1"/>
  <c r="L15" i="30"/>
  <c r="H141" i="44" l="1"/>
  <c r="G141" i="44"/>
  <c r="F144" i="44"/>
  <c r="H49" i="43" l="1"/>
  <c r="G49" i="43"/>
  <c r="F49" i="43"/>
  <c r="F52" i="43" s="1"/>
  <c r="F110" i="42"/>
  <c r="F113" i="42" s="1"/>
  <c r="H110" i="42"/>
  <c r="G110" i="42"/>
  <c r="H86" i="41"/>
  <c r="G86" i="41"/>
  <c r="F86" i="41"/>
  <c r="F89" i="41" s="1"/>
  <c r="H86" i="40"/>
  <c r="G86" i="40"/>
  <c r="F86" i="40"/>
  <c r="F89" i="40" s="1"/>
  <c r="F71" i="39"/>
  <c r="I79" i="39"/>
  <c r="H93" i="39" l="1"/>
  <c r="G93" i="39"/>
  <c r="F93" i="39"/>
  <c r="F96" i="39" s="1"/>
  <c r="H83" i="38"/>
  <c r="G83" i="38"/>
  <c r="F83" i="38"/>
  <c r="F86" i="38" s="1"/>
  <c r="F83" i="37"/>
  <c r="H110" i="37"/>
  <c r="G110" i="37"/>
  <c r="F110" i="37"/>
  <c r="F113" i="37" s="1"/>
  <c r="F81" i="36"/>
  <c r="F102" i="36" s="1"/>
  <c r="F105" i="36" s="1"/>
  <c r="H102" i="36"/>
  <c r="G102" i="36"/>
  <c r="F95" i="35"/>
  <c r="H95" i="35" l="1"/>
  <c r="G95" i="35"/>
  <c r="F98" i="35"/>
  <c r="F103" i="34"/>
  <c r="F106" i="34" s="1"/>
  <c r="H103" i="34"/>
  <c r="G103" i="34"/>
  <c r="L37" i="33" l="1"/>
  <c r="H101" i="33" l="1"/>
  <c r="G101" i="33"/>
  <c r="F101" i="33"/>
  <c r="F104" i="33" s="1"/>
  <c r="H100" i="32"/>
  <c r="G100" i="32"/>
  <c r="F100" i="32"/>
  <c r="F103" i="32" s="1"/>
  <c r="H70" i="31" l="1"/>
  <c r="G70" i="31"/>
  <c r="F70" i="31"/>
  <c r="F73" i="31" s="1"/>
  <c r="K63" i="31"/>
  <c r="J5" i="30"/>
  <c r="L109" i="29"/>
  <c r="K107" i="29"/>
  <c r="K96" i="29" l="1"/>
  <c r="H122" i="29"/>
  <c r="G122" i="29"/>
  <c r="F122" i="29"/>
  <c r="F125" i="29" s="1"/>
  <c r="H95" i="28"/>
  <c r="G95" i="28"/>
  <c r="F95" i="28"/>
  <c r="F98" i="28" s="1"/>
  <c r="H107" i="27"/>
  <c r="G107" i="27"/>
  <c r="F107" i="27"/>
  <c r="F110" i="27" s="1"/>
  <c r="F105" i="26"/>
  <c r="F87" i="26"/>
  <c r="H102" i="26"/>
  <c r="G102" i="26"/>
  <c r="F102" i="26"/>
  <c r="H76" i="25"/>
  <c r="G76" i="25"/>
  <c r="F76" i="25"/>
  <c r="F79" i="25" s="1"/>
  <c r="M97" i="24"/>
  <c r="M90" i="24"/>
  <c r="H100" i="24"/>
  <c r="G100" i="24"/>
  <c r="F100" i="24"/>
  <c r="F103" i="24" s="1"/>
  <c r="H80" i="23" l="1"/>
  <c r="G80" i="23"/>
  <c r="F80" i="23"/>
  <c r="F83" i="23" s="1"/>
  <c r="F121" i="22"/>
  <c r="F124" i="22" s="1"/>
  <c r="H121" i="22"/>
  <c r="G121" i="22"/>
  <c r="F82" i="21"/>
  <c r="F108" i="21" s="1"/>
  <c r="F111" i="21" s="1"/>
  <c r="H108" i="21"/>
  <c r="G108" i="21"/>
  <c r="H129" i="20"/>
  <c r="G129" i="20"/>
  <c r="F129" i="20"/>
  <c r="F132" i="20" s="1"/>
  <c r="F101" i="19"/>
  <c r="F99" i="19"/>
  <c r="F100" i="19"/>
  <c r="H126" i="19"/>
  <c r="G126" i="19"/>
  <c r="F112" i="18"/>
  <c r="F126" i="19" l="1"/>
  <c r="F129" i="19" s="1"/>
  <c r="H133" i="18"/>
  <c r="G133" i="18"/>
  <c r="F133" i="18"/>
  <c r="F136" i="18" s="1"/>
  <c r="H111" i="17"/>
  <c r="G111" i="17"/>
  <c r="F111" i="17"/>
  <c r="F114" i="17" s="1"/>
  <c r="H83" i="16"/>
  <c r="G83" i="16"/>
  <c r="F83" i="16"/>
  <c r="F86" i="16" s="1"/>
  <c r="F94" i="15"/>
  <c r="F128" i="15" s="1"/>
  <c r="L110" i="15" l="1"/>
  <c r="H128" i="15"/>
  <c r="G128" i="15"/>
  <c r="F131" i="15"/>
  <c r="H122" i="13"/>
  <c r="G122" i="13"/>
  <c r="F122" i="13"/>
  <c r="F125" i="13" s="1"/>
  <c r="F133" i="12"/>
  <c r="H133" i="12"/>
  <c r="G133" i="12"/>
  <c r="F133" i="10"/>
  <c r="H122" i="11"/>
  <c r="G122" i="11"/>
  <c r="F122" i="11"/>
  <c r="F125" i="11" s="1"/>
  <c r="F130" i="10"/>
  <c r="H130" i="10"/>
  <c r="G130" i="10"/>
  <c r="H110" i="9"/>
  <c r="G110" i="9"/>
  <c r="F110" i="9"/>
  <c r="F113" i="9" s="1"/>
  <c r="H89" i="7"/>
  <c r="G89" i="7"/>
  <c r="F89" i="7"/>
  <c r="F92" i="7" s="1"/>
  <c r="F159" i="6"/>
  <c r="F162" i="6" s="1"/>
  <c r="H159" i="6"/>
  <c r="G159" i="6"/>
  <c r="F94" i="5"/>
  <c r="F116" i="5" s="1"/>
  <c r="H116" i="5"/>
  <c r="G116" i="5"/>
  <c r="F119" i="5" l="1"/>
  <c r="H109" i="4" l="1"/>
  <c r="G109" i="4"/>
  <c r="F109" i="4"/>
  <c r="F112" i="4" s="1"/>
  <c r="F112" i="3"/>
  <c r="F115" i="3" s="1"/>
  <c r="H112" i="3" l="1"/>
  <c r="G112" i="3"/>
  <c r="F139" i="2"/>
  <c r="F136" i="2" l="1"/>
  <c r="H136" i="2" l="1"/>
  <c r="G136" i="2"/>
  <c r="F130" i="1"/>
  <c r="H130" i="1" l="1"/>
  <c r="G130" i="1"/>
  <c r="F133" i="1" l="1"/>
</calcChain>
</file>

<file path=xl/sharedStrings.xml><?xml version="1.0" encoding="utf-8"?>
<sst xmlns="http://schemas.openxmlformats.org/spreadsheetml/2006/main" count="18982" uniqueCount="10589">
  <si>
    <t xml:space="preserve">INICIO CAJA </t>
  </si>
  <si>
    <t xml:space="preserve">USUARIO </t>
  </si>
  <si>
    <t xml:space="preserve">ITEM </t>
  </si>
  <si>
    <t xml:space="preserve">CLIENTE </t>
  </si>
  <si>
    <t xml:space="preserve">EFECTIVO </t>
  </si>
  <si>
    <t xml:space="preserve">CREDITO </t>
  </si>
  <si>
    <t xml:space="preserve">DEPOSITO/YAPE </t>
  </si>
  <si>
    <t>P001-39743</t>
  </si>
  <si>
    <t xml:space="preserve">ANAYELY </t>
  </si>
  <si>
    <t xml:space="preserve">PEDRO ARAMBULO </t>
  </si>
  <si>
    <t>LUNES 23-02-2026- CAJA H&amp;C</t>
  </si>
  <si>
    <t>P001-39744</t>
  </si>
  <si>
    <t xml:space="preserve">VENTAS DEL DIA </t>
  </si>
  <si>
    <t>P001-39745</t>
  </si>
  <si>
    <t>P001-39746</t>
  </si>
  <si>
    <t>P001-39747</t>
  </si>
  <si>
    <t>P001-39748</t>
  </si>
  <si>
    <t>P001-39749</t>
  </si>
  <si>
    <t>P001-39750</t>
  </si>
  <si>
    <t>P001-39751</t>
  </si>
  <si>
    <t>P001-39752</t>
  </si>
  <si>
    <t>P001-39753</t>
  </si>
  <si>
    <t>P001-39754</t>
  </si>
  <si>
    <t>P001-39755</t>
  </si>
  <si>
    <t>P001-39756</t>
  </si>
  <si>
    <t>P001-39757</t>
  </si>
  <si>
    <t>P001-39758</t>
  </si>
  <si>
    <t>P002-30090</t>
  </si>
  <si>
    <t>P002-30091</t>
  </si>
  <si>
    <t>P002-30092</t>
  </si>
  <si>
    <t>P002-30093</t>
  </si>
  <si>
    <t>P002-30094</t>
  </si>
  <si>
    <t>P002-30095</t>
  </si>
  <si>
    <t>P002-30096</t>
  </si>
  <si>
    <t xml:space="preserve">KAREN </t>
  </si>
  <si>
    <t xml:space="preserve">CARLOS SILVA </t>
  </si>
  <si>
    <t xml:space="preserve">SANCHEZ TORO DEINER </t>
  </si>
  <si>
    <t xml:space="preserve">ARRASCUE OLIVERA </t>
  </si>
  <si>
    <t xml:space="preserve">SILVA CARRERO </t>
  </si>
  <si>
    <t xml:space="preserve">OTROS INGRESOS </t>
  </si>
  <si>
    <t xml:space="preserve">EDWIN HERRERA </t>
  </si>
  <si>
    <t>P002-30033</t>
  </si>
  <si>
    <t xml:space="preserve">SALIDAS </t>
  </si>
  <si>
    <t xml:space="preserve">COMBUSTIBLE MAQUINA/LUCAS </t>
  </si>
  <si>
    <t xml:space="preserve">TOTAL </t>
  </si>
  <si>
    <t xml:space="preserve">LUIS CALDERON </t>
  </si>
  <si>
    <t>PIEDRA CHANCADA 3/4  4*60</t>
  </si>
  <si>
    <t xml:space="preserve">ANTERIOR </t>
  </si>
  <si>
    <t xml:space="preserve">CLIENTE VENTAS </t>
  </si>
  <si>
    <t xml:space="preserve">CAJA </t>
  </si>
  <si>
    <t xml:space="preserve">CASTAÑEDA MONTENEGRO </t>
  </si>
  <si>
    <t xml:space="preserve">PEREZ PEREZ </t>
  </si>
  <si>
    <t>TERESA BERNILLA</t>
  </si>
  <si>
    <t xml:space="preserve">VILCHEZ HERIBERTO </t>
  </si>
  <si>
    <t>P002-30097</t>
  </si>
  <si>
    <t>P002-30098</t>
  </si>
  <si>
    <t>P002-30099</t>
  </si>
  <si>
    <t>P002-30100</t>
  </si>
  <si>
    <t xml:space="preserve">COFESEG </t>
  </si>
  <si>
    <t xml:space="preserve">UCEDA TINEO </t>
  </si>
  <si>
    <t>BOLETAS Y FACTURAS</t>
  </si>
  <si>
    <t xml:space="preserve">ARENA AMARILLA 35*32 / ALMACEN </t>
  </si>
  <si>
    <t xml:space="preserve">MONTALVAN PEREZ </t>
  </si>
  <si>
    <t xml:space="preserve">ALEJANDRO VASQUEZ </t>
  </si>
  <si>
    <t>P001-39759</t>
  </si>
  <si>
    <t>P001-39760</t>
  </si>
  <si>
    <t>P001-39761</t>
  </si>
  <si>
    <t>P001-39762</t>
  </si>
  <si>
    <t>P001-39763</t>
  </si>
  <si>
    <t>P001-39764</t>
  </si>
  <si>
    <t>P001-39765</t>
  </si>
  <si>
    <t>B001-1800</t>
  </si>
  <si>
    <t xml:space="preserve">REGALADO CARRAZCO </t>
  </si>
  <si>
    <t>F001-2705</t>
  </si>
  <si>
    <t xml:space="preserve">CONSORCIO CONSULTORES </t>
  </si>
  <si>
    <t>P002-30101</t>
  </si>
  <si>
    <t>P002-30102</t>
  </si>
  <si>
    <t>P002-30103</t>
  </si>
  <si>
    <t>P002-30104</t>
  </si>
  <si>
    <t>P002-30105</t>
  </si>
  <si>
    <t>P002-30106</t>
  </si>
  <si>
    <t>P002-30107</t>
  </si>
  <si>
    <t>P002-30108</t>
  </si>
  <si>
    <t>P002-30109</t>
  </si>
  <si>
    <t>P002-30110</t>
  </si>
  <si>
    <t>P002-30111</t>
  </si>
  <si>
    <t>P002-30112</t>
  </si>
  <si>
    <t>P002-30113</t>
  </si>
  <si>
    <t xml:space="preserve">YANET VILELA </t>
  </si>
  <si>
    <t xml:space="preserve">VITON MEJIA </t>
  </si>
  <si>
    <t xml:space="preserve">MALCA MENDOZA </t>
  </si>
  <si>
    <t>PIEDRA CHANCADA 1/2 17*52</t>
  </si>
  <si>
    <t>F001-2706</t>
  </si>
  <si>
    <t xml:space="preserve">VINCI </t>
  </si>
  <si>
    <t xml:space="preserve">KT CONSTRUCTORES </t>
  </si>
  <si>
    <t>F001-2707</t>
  </si>
  <si>
    <t>P001-39766</t>
  </si>
  <si>
    <t>P001-39767</t>
  </si>
  <si>
    <t>P001-39768</t>
  </si>
  <si>
    <t>P001-39769</t>
  </si>
  <si>
    <t>P001-39770</t>
  </si>
  <si>
    <t>P001-39771</t>
  </si>
  <si>
    <t>P001-39772</t>
  </si>
  <si>
    <t xml:space="preserve">JEINER HERRERA- FERRETERIA LA UNION </t>
  </si>
  <si>
    <t xml:space="preserve">PEREZ CHINCHAY </t>
  </si>
  <si>
    <t xml:space="preserve">BURGOS CABANILLAS </t>
  </si>
  <si>
    <t xml:space="preserve">RUIZ SALAZAR ANDY </t>
  </si>
  <si>
    <t xml:space="preserve">PROGRESO PATAPO </t>
  </si>
  <si>
    <t xml:space="preserve">SONARIO CANACHO </t>
  </si>
  <si>
    <t>P002-30114</t>
  </si>
  <si>
    <t>P002-30115</t>
  </si>
  <si>
    <t>P002-30116</t>
  </si>
  <si>
    <t>P002-30117</t>
  </si>
  <si>
    <t>P002-30118</t>
  </si>
  <si>
    <t>P002-30119</t>
  </si>
  <si>
    <t>P002-30120</t>
  </si>
  <si>
    <t xml:space="preserve">ASENJO GUERRERO </t>
  </si>
  <si>
    <t>P002-30121</t>
  </si>
  <si>
    <t>P002-30122</t>
  </si>
  <si>
    <t xml:space="preserve">ALMUERZO ANGEL </t>
  </si>
  <si>
    <t xml:space="preserve">COMPRA DE 7 BIDON DE AGUA </t>
  </si>
  <si>
    <t>P001-39773</t>
  </si>
  <si>
    <t>P001-39774</t>
  </si>
  <si>
    <t>P001-39775</t>
  </si>
  <si>
    <t>P001-39776</t>
  </si>
  <si>
    <t>P001-39777</t>
  </si>
  <si>
    <t>P001-39778</t>
  </si>
  <si>
    <t>P001-39779</t>
  </si>
  <si>
    <t>P001-39780</t>
  </si>
  <si>
    <t>P001-39781</t>
  </si>
  <si>
    <t>P001-39782</t>
  </si>
  <si>
    <t>P001-39783</t>
  </si>
  <si>
    <t>P002-30123</t>
  </si>
  <si>
    <t>P002-30124</t>
  </si>
  <si>
    <t>P002-30125</t>
  </si>
  <si>
    <t>CALDERON GUERRERO</t>
  </si>
  <si>
    <t xml:space="preserve">GRUPO CORPORATIVO HERRERA </t>
  </si>
  <si>
    <t xml:space="preserve">ALMUERZO DARWIN </t>
  </si>
  <si>
    <t>COMPRA DE 950 LADRILLO CONCRETO - 600 MONSEFU Y 350 BORO</t>
  </si>
  <si>
    <t xml:space="preserve">ORLANDO </t>
  </si>
  <si>
    <t xml:space="preserve">LEIVA GIL </t>
  </si>
  <si>
    <t xml:space="preserve">REAL ARQUITECTURA </t>
  </si>
  <si>
    <t xml:space="preserve">ALMUERZO JESUS </t>
  </si>
  <si>
    <t xml:space="preserve">GASEOSA </t>
  </si>
  <si>
    <t>F001-2708</t>
  </si>
  <si>
    <t>F001-2709</t>
  </si>
  <si>
    <t xml:space="preserve">EMPRESA AGROINDUSTRIAL </t>
  </si>
  <si>
    <t>P001-39784</t>
  </si>
  <si>
    <t>P001-39785</t>
  </si>
  <si>
    <t>P001-39786</t>
  </si>
  <si>
    <t>P001-39787</t>
  </si>
  <si>
    <t>P001-39788</t>
  </si>
  <si>
    <t xml:space="preserve">REYES NEIRA </t>
  </si>
  <si>
    <t>F001-2710</t>
  </si>
  <si>
    <t>F001-2711</t>
  </si>
  <si>
    <t>F001-2712</t>
  </si>
  <si>
    <t xml:space="preserve">CONSTRUCTORA GLOBAL </t>
  </si>
  <si>
    <t xml:space="preserve">SERVICIOS GENERALES </t>
  </si>
  <si>
    <t xml:space="preserve">FERROCONSTRUCTORA JH </t>
  </si>
  <si>
    <t xml:space="preserve">PESANTES CORTIJO </t>
  </si>
  <si>
    <t xml:space="preserve">ALMACEN </t>
  </si>
  <si>
    <t xml:space="preserve">DEV. YAPE CLIENTE </t>
  </si>
  <si>
    <t>P002-30126</t>
  </si>
  <si>
    <t xml:space="preserve">RIMARACHIN </t>
  </si>
  <si>
    <t xml:space="preserve">ARSENIO MEJIA </t>
  </si>
  <si>
    <t xml:space="preserve">CORPORACION CONSTRUCTORA </t>
  </si>
  <si>
    <t>P001-39789</t>
  </si>
  <si>
    <t>P001-39790</t>
  </si>
  <si>
    <t>P002-30127</t>
  </si>
  <si>
    <t xml:space="preserve">LUIS CRUZ </t>
  </si>
  <si>
    <t xml:space="preserve"> ESTANDAR SIPAN 690*0.71</t>
  </si>
  <si>
    <t xml:space="preserve"> ESTANDAR TORRE FUERTE 600*0.8</t>
  </si>
  <si>
    <t>ESTANDAR RANDOM 1000*0.71</t>
  </si>
  <si>
    <t>PANDERETA RANDOM 1500*0.56</t>
  </si>
  <si>
    <t>ESTANDAR FORTALEZA 448*0.87</t>
  </si>
  <si>
    <t>ESTANDAR FORTALEZA 2500*0.87</t>
  </si>
  <si>
    <t xml:space="preserve">ASENJO/ANTICIPADO </t>
  </si>
  <si>
    <t xml:space="preserve">LEYVA </t>
  </si>
  <si>
    <t xml:space="preserve">JH </t>
  </si>
  <si>
    <t xml:space="preserve">MALCA PATAPO </t>
  </si>
  <si>
    <t>FLETE LADRILLO BLOQUE 500</t>
  </si>
  <si>
    <t>FLETE LADRILLO BLOQUE 600</t>
  </si>
  <si>
    <t xml:space="preserve">FLETE CEMENTO Y CAJAS </t>
  </si>
  <si>
    <t>FLETE ESTANDAR FORTALEZA 2500</t>
  </si>
  <si>
    <t xml:space="preserve">BORO/ ANIBAL </t>
  </si>
  <si>
    <t xml:space="preserve">CARRT. MONSEFU </t>
  </si>
  <si>
    <t xml:space="preserve">PATAPO </t>
  </si>
  <si>
    <t>P001-39791</t>
  </si>
  <si>
    <t>P001-39792</t>
  </si>
  <si>
    <t>P001-39793</t>
  </si>
  <si>
    <t>P001-39794</t>
  </si>
  <si>
    <t>P001-39795</t>
  </si>
  <si>
    <t>P001-39796</t>
  </si>
  <si>
    <t>P001-39797</t>
  </si>
  <si>
    <t>P001-39798</t>
  </si>
  <si>
    <t>P002-30128</t>
  </si>
  <si>
    <t xml:space="preserve">LLUEN </t>
  </si>
  <si>
    <t xml:space="preserve">RIVERA CHEVEZ </t>
  </si>
  <si>
    <t xml:space="preserve">POLO VASQUEZ </t>
  </si>
  <si>
    <t>MODESTO VASQUEZ</t>
  </si>
  <si>
    <t xml:space="preserve">UCEDA MERILYN </t>
  </si>
  <si>
    <t>P002-30129</t>
  </si>
  <si>
    <t>P002-30130</t>
  </si>
  <si>
    <t>P002-30131</t>
  </si>
  <si>
    <t>P002-30132</t>
  </si>
  <si>
    <t>P002-30133</t>
  </si>
  <si>
    <t>P002-30134</t>
  </si>
  <si>
    <t>F001-2713</t>
  </si>
  <si>
    <t>P001-39799</t>
  </si>
  <si>
    <t>P001-39800</t>
  </si>
  <si>
    <t>P001-39801</t>
  </si>
  <si>
    <t>P001-39802</t>
  </si>
  <si>
    <t xml:space="preserve">HERMES </t>
  </si>
  <si>
    <t xml:space="preserve">CHAVEZ MUÑOZ </t>
  </si>
  <si>
    <t>P002-30135</t>
  </si>
  <si>
    <t>P002-30136</t>
  </si>
  <si>
    <t>P002-30137</t>
  </si>
  <si>
    <t xml:space="preserve">CASANOVA VALDIVIA </t>
  </si>
  <si>
    <t>PIEDRA BASE 18*33</t>
  </si>
  <si>
    <t>PIEDRA CHANCADA 3/4 17*52</t>
  </si>
  <si>
    <t xml:space="preserve">CALDERON/DEPOSITO </t>
  </si>
  <si>
    <t xml:space="preserve">ERNESTO GUEVARA /DESAYUNO </t>
  </si>
  <si>
    <t xml:space="preserve">DESAYUNO JAVIER.JULIAN. MIGUEL </t>
  </si>
  <si>
    <t>P001-39803</t>
  </si>
  <si>
    <t>P001-39804</t>
  </si>
  <si>
    <t>P001-39805</t>
  </si>
  <si>
    <t>P001-39806</t>
  </si>
  <si>
    <t>P001-39807</t>
  </si>
  <si>
    <t>F001-2714</t>
  </si>
  <si>
    <t xml:space="preserve">2E CONSTRUCTORA </t>
  </si>
  <si>
    <t>JUAREZ CAMPOS</t>
  </si>
  <si>
    <t>P002-30138</t>
  </si>
  <si>
    <t>P002-30139</t>
  </si>
  <si>
    <t>P002-30140</t>
  </si>
  <si>
    <t>P002-30141</t>
  </si>
  <si>
    <t>P002-30142</t>
  </si>
  <si>
    <t>P001-39808</t>
  </si>
  <si>
    <t>P001-39809</t>
  </si>
  <si>
    <t>P001-39810</t>
  </si>
  <si>
    <t>P001-39811</t>
  </si>
  <si>
    <t>P001-39812</t>
  </si>
  <si>
    <t>P001-39813</t>
  </si>
  <si>
    <t>P001-39814</t>
  </si>
  <si>
    <t>P002-30143</t>
  </si>
  <si>
    <t>P002-30144</t>
  </si>
  <si>
    <t>P002-30145</t>
  </si>
  <si>
    <t>P002-30146</t>
  </si>
  <si>
    <t>P002-30147</t>
  </si>
  <si>
    <t>CARGUIO ZAMORA 4 M3X7</t>
  </si>
  <si>
    <t xml:space="preserve">ALMUERZO OMAR Y MIGUEL </t>
  </si>
  <si>
    <t xml:space="preserve">ROSAS RIVAS </t>
  </si>
  <si>
    <t>P001-39815</t>
  </si>
  <si>
    <t>P001-39816</t>
  </si>
  <si>
    <t>P001-39817</t>
  </si>
  <si>
    <t>P001-39818</t>
  </si>
  <si>
    <t>P001-39819</t>
  </si>
  <si>
    <t>P001-39820</t>
  </si>
  <si>
    <t xml:space="preserve">TAVARA GUERRERO </t>
  </si>
  <si>
    <t>P002-30148</t>
  </si>
  <si>
    <t>GUEVARA CORONEL</t>
  </si>
  <si>
    <t>P001-39821</t>
  </si>
  <si>
    <t>P001-39822</t>
  </si>
  <si>
    <t>P001-39823</t>
  </si>
  <si>
    <t>P001-39824</t>
  </si>
  <si>
    <t>P001-39825</t>
  </si>
  <si>
    <t xml:space="preserve">FERRETERIA OBLITAS </t>
  </si>
  <si>
    <t xml:space="preserve">JEINER HERRERA - FERRETERIA LA UNION </t>
  </si>
  <si>
    <t xml:space="preserve">JOAQUIN ROMAN ABEL </t>
  </si>
  <si>
    <t>P002-30149</t>
  </si>
  <si>
    <t>LUCAS HERRERA</t>
  </si>
  <si>
    <t>P001-39826</t>
  </si>
  <si>
    <t>P001-39827</t>
  </si>
  <si>
    <t>P001-39828</t>
  </si>
  <si>
    <t>P001-39829</t>
  </si>
  <si>
    <t>P001-39830</t>
  </si>
  <si>
    <t>P001-39831</t>
  </si>
  <si>
    <t>P001-39832</t>
  </si>
  <si>
    <t>P001-39833</t>
  </si>
  <si>
    <t>P002-30150</t>
  </si>
  <si>
    <t>P002-30151</t>
  </si>
  <si>
    <t>P002-30152</t>
  </si>
  <si>
    <t>P002-30153</t>
  </si>
  <si>
    <t>P002-30154</t>
  </si>
  <si>
    <t>P002-30155</t>
  </si>
  <si>
    <t xml:space="preserve">VASQUEZ CARRERO </t>
  </si>
  <si>
    <t xml:space="preserve">DIAZ BARCO MAGDALENA </t>
  </si>
  <si>
    <t xml:space="preserve">ARENILLA 17*14 / ALMACEN </t>
  </si>
  <si>
    <t>P001-39834</t>
  </si>
  <si>
    <t>P001-39835</t>
  </si>
  <si>
    <t>P001-39836</t>
  </si>
  <si>
    <t>P001-39837</t>
  </si>
  <si>
    <t>P001-39838</t>
  </si>
  <si>
    <t>P001-39839</t>
  </si>
  <si>
    <t>P001-39840</t>
  </si>
  <si>
    <t xml:space="preserve">BECERRA LOZANO </t>
  </si>
  <si>
    <t xml:space="preserve">BAUTISTA CARRAZCO </t>
  </si>
  <si>
    <t>P002-30156</t>
  </si>
  <si>
    <t>P002-30157</t>
  </si>
  <si>
    <t xml:space="preserve">ROJAS MANAYAY </t>
  </si>
  <si>
    <t xml:space="preserve">JAVIER SALAZAR - PAGO </t>
  </si>
  <si>
    <t>SOLANO RELAIZA</t>
  </si>
  <si>
    <t xml:space="preserve">ANTERIORES DIAZ BARCO </t>
  </si>
  <si>
    <t>MIGUEL CARRANZA -PAGO</t>
  </si>
  <si>
    <t xml:space="preserve">ERNESTO GUEVARA 1.5 DIA Y EXTRA </t>
  </si>
  <si>
    <t xml:space="preserve">DEV. YAPE </t>
  </si>
  <si>
    <t>P001-39841</t>
  </si>
  <si>
    <t>P001-39842</t>
  </si>
  <si>
    <t>P001-39843</t>
  </si>
  <si>
    <t>P001-39844</t>
  </si>
  <si>
    <t>P001-39845</t>
  </si>
  <si>
    <t>P001-39846</t>
  </si>
  <si>
    <t>P001-39847</t>
  </si>
  <si>
    <t>P001-39848</t>
  </si>
  <si>
    <t>P001-39849</t>
  </si>
  <si>
    <t>P002-30158</t>
  </si>
  <si>
    <t>P002-30159</t>
  </si>
  <si>
    <t>P002-30160</t>
  </si>
  <si>
    <t>P002-30161</t>
  </si>
  <si>
    <t>P002-30162</t>
  </si>
  <si>
    <t>P002-30163</t>
  </si>
  <si>
    <t>P002-30164</t>
  </si>
  <si>
    <t>P002-30165</t>
  </si>
  <si>
    <t>P002-30166</t>
  </si>
  <si>
    <t>P002-30167</t>
  </si>
  <si>
    <t>P002-30168</t>
  </si>
  <si>
    <t xml:space="preserve">COMBUSTIBLE JBC </t>
  </si>
  <si>
    <t>ANTERIORES HERIBERTO VILCHEZ</t>
  </si>
  <si>
    <t xml:space="preserve">JUAREZ CAMPOS LILIANA </t>
  </si>
  <si>
    <t xml:space="preserve">MAESTRO VEGA </t>
  </si>
  <si>
    <t>COMPRA DE 35 M3 ARENA AMARILLA*32</t>
  </si>
  <si>
    <t>COMPRA DE 7 FIERRO 1/4 *7.20(luis cruz)</t>
  </si>
  <si>
    <t xml:space="preserve">COMPRA DE LADRILLO JORDIN HERRERA </t>
  </si>
  <si>
    <t>COMPRA DE 1 UNIVERSAL 1 (JH)</t>
  </si>
  <si>
    <t>B001-1801</t>
  </si>
  <si>
    <t xml:space="preserve">RUIZ RUIZ EDUARDO </t>
  </si>
  <si>
    <t>P001-39850</t>
  </si>
  <si>
    <t>P001-39851</t>
  </si>
  <si>
    <t>P001-39852</t>
  </si>
  <si>
    <t>P001-39853</t>
  </si>
  <si>
    <t>P001-39854</t>
  </si>
  <si>
    <t xml:space="preserve">CORREA TORRES </t>
  </si>
  <si>
    <t>P001-39855</t>
  </si>
  <si>
    <t>P001-39856</t>
  </si>
  <si>
    <t>P001-39857</t>
  </si>
  <si>
    <t>P001-39858</t>
  </si>
  <si>
    <t>P001-39859</t>
  </si>
  <si>
    <t>P001-39860</t>
  </si>
  <si>
    <t>P001-39861</t>
  </si>
  <si>
    <t>P001-39862</t>
  </si>
  <si>
    <t>P001-39863</t>
  </si>
  <si>
    <t>P001-39864</t>
  </si>
  <si>
    <t>P001-39865</t>
  </si>
  <si>
    <t>P001-39866</t>
  </si>
  <si>
    <t>P001-39867</t>
  </si>
  <si>
    <t>P001-39868</t>
  </si>
  <si>
    <t>LEON CRUZ</t>
  </si>
  <si>
    <t>CORONADO DIAZ</t>
  </si>
  <si>
    <t>P002-30169</t>
  </si>
  <si>
    <t>P002-30170</t>
  </si>
  <si>
    <t xml:space="preserve">GARCIA CASTILLO </t>
  </si>
  <si>
    <t xml:space="preserve">ANULADO - GUSTAVO GUEVARA </t>
  </si>
  <si>
    <t>P002-30171</t>
  </si>
  <si>
    <t>P002-30172</t>
  </si>
  <si>
    <t>P002-30173</t>
  </si>
  <si>
    <t>P002-30174</t>
  </si>
  <si>
    <t>P002-30175</t>
  </si>
  <si>
    <t xml:space="preserve">2600 LADRILLO ESTANDAR SIPAN Y 96 PANDERETA SERVIGON  </t>
  </si>
  <si>
    <t xml:space="preserve">COMBUSTIBLE MOTO ROJA VIEJITA </t>
  </si>
  <si>
    <t>P001-39869</t>
  </si>
  <si>
    <t>P001-39870</t>
  </si>
  <si>
    <t>P001-39871</t>
  </si>
  <si>
    <t>P001-39872</t>
  </si>
  <si>
    <t>P001-39873</t>
  </si>
  <si>
    <t>P001-39874</t>
  </si>
  <si>
    <t xml:space="preserve">CUBAS TINOCO </t>
  </si>
  <si>
    <t xml:space="preserve">SANCHEZ SANCHEZ EDWARD </t>
  </si>
  <si>
    <t xml:space="preserve">CAJO DIAZ </t>
  </si>
  <si>
    <t>P002-30176</t>
  </si>
  <si>
    <t>P002-30177</t>
  </si>
  <si>
    <t>P002-30178</t>
  </si>
  <si>
    <t xml:space="preserve">SANCHEZ PEDRERA </t>
  </si>
  <si>
    <t xml:space="preserve">VILCHEZ TARRILLO HERIBERTO </t>
  </si>
  <si>
    <t xml:space="preserve">DEV. YAPE JORDIN HERRERA </t>
  </si>
  <si>
    <t xml:space="preserve">DEV. DEPOSITO JORDIN </t>
  </si>
  <si>
    <t xml:space="preserve">FLETE LADRILLO TUMAN - OBLITAS </t>
  </si>
  <si>
    <t xml:space="preserve">COMBUSTIBLE FUSO </t>
  </si>
  <si>
    <t xml:space="preserve">FLETE MOSHOQUEQUE </t>
  </si>
  <si>
    <t>P001-39875</t>
  </si>
  <si>
    <t>P001-39876</t>
  </si>
  <si>
    <t>P001-39877</t>
  </si>
  <si>
    <t>P001-39878</t>
  </si>
  <si>
    <t>P001-39879</t>
  </si>
  <si>
    <t>P001-39880</t>
  </si>
  <si>
    <t>P001-39881</t>
  </si>
  <si>
    <t>JULCA BRAVO CELSO</t>
  </si>
  <si>
    <t xml:space="preserve">COMPRA DE 300(EDWIN HERRERA)+180(ALMACEN) LADRILLO DE CONCRETO </t>
  </si>
  <si>
    <t xml:space="preserve">DIFERENCIA ETERNIT </t>
  </si>
  <si>
    <t xml:space="preserve">COMPRA DE PIEDRA CHANCADA - CAMPOS TUMAN </t>
  </si>
  <si>
    <t xml:space="preserve">JORDIN HERRERA LADRILLO </t>
  </si>
  <si>
    <t xml:space="preserve">FLETE MARICAL NIETO </t>
  </si>
  <si>
    <t>P001-39882</t>
  </si>
  <si>
    <t xml:space="preserve">REPUESTO FORLAND </t>
  </si>
  <si>
    <t xml:space="preserve">SOBRANTE DE CAJA </t>
  </si>
  <si>
    <t>P001-39883</t>
  </si>
  <si>
    <t>P001-39884</t>
  </si>
  <si>
    <t>P001-39885</t>
  </si>
  <si>
    <t>P001-39886</t>
  </si>
  <si>
    <t>P001-39887</t>
  </si>
  <si>
    <t>P001-39888</t>
  </si>
  <si>
    <t>P001-39889</t>
  </si>
  <si>
    <t>P001-39890</t>
  </si>
  <si>
    <t>P001-39891</t>
  </si>
  <si>
    <t>P001-39892</t>
  </si>
  <si>
    <t>P001-39893</t>
  </si>
  <si>
    <t>P001-39894</t>
  </si>
  <si>
    <t>P001-39895</t>
  </si>
  <si>
    <t>P001-39896</t>
  </si>
  <si>
    <t>P002-30179</t>
  </si>
  <si>
    <t>P002-30180</t>
  </si>
  <si>
    <t>P002-30181</t>
  </si>
  <si>
    <t>P002-30182</t>
  </si>
  <si>
    <t>P002-30183</t>
  </si>
  <si>
    <t>P002-30184</t>
  </si>
  <si>
    <t>P002-30185</t>
  </si>
  <si>
    <t>P002-30186</t>
  </si>
  <si>
    <t>P002-30187</t>
  </si>
  <si>
    <t>P002-30188</t>
  </si>
  <si>
    <t>F001-2716</t>
  </si>
  <si>
    <t>LADRILLO KK BODOQUE 1988*0.555</t>
  </si>
  <si>
    <t>B001-1802</t>
  </si>
  <si>
    <t xml:space="preserve">GUEVARA ROJAS </t>
  </si>
  <si>
    <t>B001-1803</t>
  </si>
  <si>
    <t>B001-1804</t>
  </si>
  <si>
    <t>F001-2717</t>
  </si>
  <si>
    <t xml:space="preserve">TELECABINAS KUELAP </t>
  </si>
  <si>
    <t>F001-2718</t>
  </si>
  <si>
    <t>F001-2719</t>
  </si>
  <si>
    <t xml:space="preserve">MANAYAY LUCERO </t>
  </si>
  <si>
    <t>F001-2720</t>
  </si>
  <si>
    <t xml:space="preserve">RANCHO PANCHO </t>
  </si>
  <si>
    <t xml:space="preserve">VENTA DEL DIA </t>
  </si>
  <si>
    <t xml:space="preserve">CORONEL REGALADO </t>
  </si>
  <si>
    <t>P001-39897</t>
  </si>
  <si>
    <t>P001-39898</t>
  </si>
  <si>
    <t>P001-39899</t>
  </si>
  <si>
    <t>P001-39900</t>
  </si>
  <si>
    <t>P001-39901</t>
  </si>
  <si>
    <t>P001-39902</t>
  </si>
  <si>
    <t>P001-39903</t>
  </si>
  <si>
    <t>VELA RAMIREZ</t>
  </si>
  <si>
    <t>P001-39904</t>
  </si>
  <si>
    <t>MIRES ALTAMIRANO</t>
  </si>
  <si>
    <t xml:space="preserve">AGIP VASQUEZ LILIANA </t>
  </si>
  <si>
    <t xml:space="preserve">CARLOS MANAYALLE </t>
  </si>
  <si>
    <t xml:space="preserve">GERMAN MENDOZA </t>
  </si>
  <si>
    <t xml:space="preserve">MARIA VEGA </t>
  </si>
  <si>
    <t xml:space="preserve">GUEVARA ROJAS VILMA -CANCELO POR YAPE Y LA VENTA TODO LO COLOQUE EN EFECTIVO </t>
  </si>
  <si>
    <t xml:space="preserve">COMPRA DE 6 BIDON DE AGUA </t>
  </si>
  <si>
    <t xml:space="preserve">COMPRA DE CEMENTO - JORDIN </t>
  </si>
  <si>
    <t>COMPRA DE 100 CAJAS OCTAGONAL *1.5</t>
  </si>
  <si>
    <t>B001-1805</t>
  </si>
  <si>
    <t>F001-2721</t>
  </si>
  <si>
    <t>F001-2722</t>
  </si>
  <si>
    <t>ECOLEP</t>
  </si>
  <si>
    <t>P001-39905</t>
  </si>
  <si>
    <t>P001-39906</t>
  </si>
  <si>
    <t>P001-39907</t>
  </si>
  <si>
    <t>P001-39908</t>
  </si>
  <si>
    <t>P001-39909</t>
  </si>
  <si>
    <t>P001-39910</t>
  </si>
  <si>
    <t>P001-39911</t>
  </si>
  <si>
    <t>P001-39912</t>
  </si>
  <si>
    <t>P001-39913</t>
  </si>
  <si>
    <t>P001-39914</t>
  </si>
  <si>
    <t>P001-39915</t>
  </si>
  <si>
    <t>P001-39916</t>
  </si>
  <si>
    <t>P001-39917</t>
  </si>
  <si>
    <t>P001-39918</t>
  </si>
  <si>
    <t xml:space="preserve">ERNESTO GUEVARA </t>
  </si>
  <si>
    <t>P001-39919</t>
  </si>
  <si>
    <t>P001-39920</t>
  </si>
  <si>
    <t>P001-39921</t>
  </si>
  <si>
    <t>P001-39922</t>
  </si>
  <si>
    <t>P001-39923</t>
  </si>
  <si>
    <t>P002-30189</t>
  </si>
  <si>
    <t>P002-30190</t>
  </si>
  <si>
    <t>P002-30191</t>
  </si>
  <si>
    <t>P002-30192</t>
  </si>
  <si>
    <t>P002-30193</t>
  </si>
  <si>
    <t xml:space="preserve">HERIBERTO VILCHEZ </t>
  </si>
  <si>
    <t xml:space="preserve">MODESTO </t>
  </si>
  <si>
    <t xml:space="preserve">YONATAN YDROGO </t>
  </si>
  <si>
    <t>P002-30194</t>
  </si>
  <si>
    <t>P002-30195</t>
  </si>
  <si>
    <t>P002-30196</t>
  </si>
  <si>
    <t>ANULADO/ANDY RUIZ</t>
  </si>
  <si>
    <t xml:space="preserve">ANULADO/FELIX SERVIGON </t>
  </si>
  <si>
    <t>P002-30197</t>
  </si>
  <si>
    <t>P002-30198</t>
  </si>
  <si>
    <t>P002-30199</t>
  </si>
  <si>
    <t>P002-30200</t>
  </si>
  <si>
    <t xml:space="preserve">ELIMINACION DE DESMONTE </t>
  </si>
  <si>
    <t xml:space="preserve">EDWIN HERRERA - ANTERIOR </t>
  </si>
  <si>
    <t xml:space="preserve">JEINER </t>
  </si>
  <si>
    <t xml:space="preserve">COMPRA DE LADRILLO JORDIN </t>
  </si>
  <si>
    <t>P001-39924</t>
  </si>
  <si>
    <t xml:space="preserve">GUEVARA GONZALES </t>
  </si>
  <si>
    <t xml:space="preserve">GIL SALAZAR NELLY </t>
  </si>
  <si>
    <t xml:space="preserve">RUBIO HOYOS </t>
  </si>
  <si>
    <t>P001-39925</t>
  </si>
  <si>
    <t>P001-39926</t>
  </si>
  <si>
    <t>P001-39927</t>
  </si>
  <si>
    <t>P001-39928</t>
  </si>
  <si>
    <t>P001-39929</t>
  </si>
  <si>
    <t>P001-39930</t>
  </si>
  <si>
    <t>P001-39931</t>
  </si>
  <si>
    <t>P001-39932</t>
  </si>
  <si>
    <t>P001-39933</t>
  </si>
  <si>
    <t>P001-39934</t>
  </si>
  <si>
    <t>P002-30201</t>
  </si>
  <si>
    <t>P002-30202</t>
  </si>
  <si>
    <t>P002-30203</t>
  </si>
  <si>
    <t>P002-30204</t>
  </si>
  <si>
    <t>P002-30205</t>
  </si>
  <si>
    <t>ACUÑA CORONEL</t>
  </si>
  <si>
    <t xml:space="preserve">ASENJO </t>
  </si>
  <si>
    <t>P002-30206</t>
  </si>
  <si>
    <t>P002-30207</t>
  </si>
  <si>
    <t>P002-30208</t>
  </si>
  <si>
    <t xml:space="preserve">ANTERIORES </t>
  </si>
  <si>
    <t xml:space="preserve">CORONEL REGALADO DIONY </t>
  </si>
  <si>
    <t>COMPRA DE 15 CEMENTO ROJO HOLCIM *27</t>
  </si>
  <si>
    <t>COMPRA DE AFIRMADO 35 M3 X22</t>
  </si>
  <si>
    <t xml:space="preserve">CORPORACIION HERRERA </t>
  </si>
  <si>
    <t xml:space="preserve">SANTIN </t>
  </si>
  <si>
    <t>P001-39935</t>
  </si>
  <si>
    <t>P001-39936</t>
  </si>
  <si>
    <t>P001-39937</t>
  </si>
  <si>
    <t>P001-39938</t>
  </si>
  <si>
    <t>P001-39939</t>
  </si>
  <si>
    <t>P001-39940</t>
  </si>
  <si>
    <t xml:space="preserve">CAMPOS BRAVO </t>
  </si>
  <si>
    <t>P002-30209</t>
  </si>
  <si>
    <t>P002-30210</t>
  </si>
  <si>
    <t>P002-30211</t>
  </si>
  <si>
    <t xml:space="preserve">BODOQUES - PERSONAL </t>
  </si>
  <si>
    <t xml:space="preserve">JORDIN </t>
  </si>
  <si>
    <t>P002-39919</t>
  </si>
  <si>
    <t xml:space="preserve">FLETE ADELIO ASTONITAS - TUMAN DIAZ BARCO </t>
  </si>
  <si>
    <t xml:space="preserve">CUBAS CIEZA </t>
  </si>
  <si>
    <t xml:space="preserve">CARGIO ZAMORA 6 M3 </t>
  </si>
  <si>
    <t xml:space="preserve">COMPRA DE SILICONA ROJA Y ALCOHOL </t>
  </si>
  <si>
    <t>P001-39941</t>
  </si>
  <si>
    <t>P001-39942</t>
  </si>
  <si>
    <t>P001-39943</t>
  </si>
  <si>
    <t>P001-39944</t>
  </si>
  <si>
    <t>P001-39945</t>
  </si>
  <si>
    <t>P001-39946</t>
  </si>
  <si>
    <t>P001-39947</t>
  </si>
  <si>
    <t>P001-39948</t>
  </si>
  <si>
    <t>P001-39949</t>
  </si>
  <si>
    <t>P001-39950</t>
  </si>
  <si>
    <t xml:space="preserve">CONSTRUCTORA E INMOBILIARIA VINCI </t>
  </si>
  <si>
    <t>F001-2724</t>
  </si>
  <si>
    <t>F001-2725</t>
  </si>
  <si>
    <t>CASTAÑEDA MONTENEGRO</t>
  </si>
  <si>
    <t xml:space="preserve">HAMILTON CUENTA </t>
  </si>
  <si>
    <t>P001-39951</t>
  </si>
  <si>
    <t>P001-39952</t>
  </si>
  <si>
    <t>P001-39953</t>
  </si>
  <si>
    <t>P001-39954</t>
  </si>
  <si>
    <t>P001-39955</t>
  </si>
  <si>
    <t>P001-39956</t>
  </si>
  <si>
    <t>P001-39957</t>
  </si>
  <si>
    <t xml:space="preserve">BAUTISTA CARRAZCO ELMER </t>
  </si>
  <si>
    <t>P002-30212</t>
  </si>
  <si>
    <t>P002-30213</t>
  </si>
  <si>
    <t>P002-30214</t>
  </si>
  <si>
    <t>P002-30215</t>
  </si>
  <si>
    <t>P002-30216</t>
  </si>
  <si>
    <t>P002-30217</t>
  </si>
  <si>
    <t>P002-30218</t>
  </si>
  <si>
    <t>P002-30219</t>
  </si>
  <si>
    <t xml:space="preserve">VELA RAMIREZ </t>
  </si>
  <si>
    <t>F001-2726</t>
  </si>
  <si>
    <t>P001-39958</t>
  </si>
  <si>
    <t>P001-39959</t>
  </si>
  <si>
    <t>P001-39960</t>
  </si>
  <si>
    <t>P001-39961</t>
  </si>
  <si>
    <t>P001-39962</t>
  </si>
  <si>
    <t>P001-39963</t>
  </si>
  <si>
    <t>P001-39964</t>
  </si>
  <si>
    <t xml:space="preserve">CORONADO DIAZ </t>
  </si>
  <si>
    <t>P002-30220</t>
  </si>
  <si>
    <t>P002-30221</t>
  </si>
  <si>
    <t>P002-30222</t>
  </si>
  <si>
    <t>P002-30223</t>
  </si>
  <si>
    <t>P002-30224</t>
  </si>
  <si>
    <t xml:space="preserve">HUAMAN CACERES </t>
  </si>
  <si>
    <t>P002-30225</t>
  </si>
  <si>
    <t>P002-30226</t>
  </si>
  <si>
    <t>P002-30227</t>
  </si>
  <si>
    <t xml:space="preserve">FAUSTINO </t>
  </si>
  <si>
    <t xml:space="preserve">CINTHIA VASQUEZ </t>
  </si>
  <si>
    <t xml:space="preserve">PAGO ERNESTO GUEVARA </t>
  </si>
  <si>
    <t xml:space="preserve">JUAN SALAZAR </t>
  </si>
  <si>
    <t xml:space="preserve">ARTICULOS DE OFICINA </t>
  </si>
  <si>
    <t xml:space="preserve">COMPRA DE 2000 LADRILLO ARTESANAL PEQUEÑO - ISAIAS RODRIGUEZ </t>
  </si>
  <si>
    <t>P001-39965</t>
  </si>
  <si>
    <t>P001-39966</t>
  </si>
  <si>
    <t xml:space="preserve">LADRILLO JORDIN HERRERA </t>
  </si>
  <si>
    <t xml:space="preserve">FLETE WILMER - SOL DE POMALCA </t>
  </si>
  <si>
    <t xml:space="preserve">NAYELY </t>
  </si>
  <si>
    <t>B001-1806</t>
  </si>
  <si>
    <t xml:space="preserve">CARRANZA MEDINA </t>
  </si>
  <si>
    <t xml:space="preserve">SALAS SALAS </t>
  </si>
  <si>
    <t>B001-1807</t>
  </si>
  <si>
    <t xml:space="preserve">SERVICIOS GENERALES ADJ 4 TNL 1/2- 4 TNL 5/8- 2 TNL 6MM </t>
  </si>
  <si>
    <t>P001-39967</t>
  </si>
  <si>
    <t>VILLEGAS HERNANDEZ</t>
  </si>
  <si>
    <t>P001-39968</t>
  </si>
  <si>
    <t>P001-39969</t>
  </si>
  <si>
    <t>P001-39970</t>
  </si>
  <si>
    <t>P001-39971</t>
  </si>
  <si>
    <t>P001-39972</t>
  </si>
  <si>
    <t>P001-39973</t>
  </si>
  <si>
    <t>P001-39974</t>
  </si>
  <si>
    <t xml:space="preserve">FERNANDEZ SANCHEZ </t>
  </si>
  <si>
    <t>GRUPO CORPORATIVO HERRERA</t>
  </si>
  <si>
    <t xml:space="preserve">MONTEZA CIEZA </t>
  </si>
  <si>
    <t>P001-39975</t>
  </si>
  <si>
    <t>P001-39976</t>
  </si>
  <si>
    <t>P001-39977</t>
  </si>
  <si>
    <t>P001-39978</t>
  </si>
  <si>
    <t>P001-39979</t>
  </si>
  <si>
    <t>P001-39980</t>
  </si>
  <si>
    <t>P001-39981</t>
  </si>
  <si>
    <t>P001-39982</t>
  </si>
  <si>
    <t>P001-39983</t>
  </si>
  <si>
    <t>P001-39984</t>
  </si>
  <si>
    <t>P001-39985</t>
  </si>
  <si>
    <t>P001-39986</t>
  </si>
  <si>
    <t>P001-39987</t>
  </si>
  <si>
    <t>P001-39988</t>
  </si>
  <si>
    <t>P001-39989</t>
  </si>
  <si>
    <t>P001-39990</t>
  </si>
  <si>
    <t>P001-39991</t>
  </si>
  <si>
    <t>P001-39992</t>
  </si>
  <si>
    <t>P001-39993</t>
  </si>
  <si>
    <t>P001-39994</t>
  </si>
  <si>
    <t>SEGIK</t>
  </si>
  <si>
    <t xml:space="preserve">SALAS LEYVA </t>
  </si>
  <si>
    <t xml:space="preserve">HERNAN GALVEZ </t>
  </si>
  <si>
    <t xml:space="preserve">TAPIA CAMPOS </t>
  </si>
  <si>
    <t xml:space="preserve">PEREZ PEREZ JUAN - BORO </t>
  </si>
  <si>
    <t xml:space="preserve">VASQUEZ SANCHEZ MODESTO </t>
  </si>
  <si>
    <t xml:space="preserve">CARRERO SILVA </t>
  </si>
  <si>
    <t>P002-30228</t>
  </si>
  <si>
    <t>P002-30229</t>
  </si>
  <si>
    <t>P002-30230</t>
  </si>
  <si>
    <t>P002-30231</t>
  </si>
  <si>
    <t>P002-30232</t>
  </si>
  <si>
    <t>P002-30233</t>
  </si>
  <si>
    <t>P002-30234</t>
  </si>
  <si>
    <t>P002-30235</t>
  </si>
  <si>
    <t>P002-30236</t>
  </si>
  <si>
    <t>P002-30237</t>
  </si>
  <si>
    <t>P002-30238</t>
  </si>
  <si>
    <t xml:space="preserve">CORONADO TORRES CARLA </t>
  </si>
  <si>
    <t>P002-30239</t>
  </si>
  <si>
    <t>P002-30240</t>
  </si>
  <si>
    <t>P002-30241</t>
  </si>
  <si>
    <t>P002-30242</t>
  </si>
  <si>
    <t>P002-30243</t>
  </si>
  <si>
    <t>P002-30244</t>
  </si>
  <si>
    <t>P002-30245</t>
  </si>
  <si>
    <t xml:space="preserve">GARCIA CASTILLO MAXIMO </t>
  </si>
  <si>
    <t xml:space="preserve">RAMIREZ DE LA CRUZ </t>
  </si>
  <si>
    <t xml:space="preserve">DIAZ MONDRAGON </t>
  </si>
  <si>
    <t>P001-39995</t>
  </si>
  <si>
    <t>P001-39996</t>
  </si>
  <si>
    <t>P002-30246</t>
  </si>
  <si>
    <t>P002-30247</t>
  </si>
  <si>
    <t>P002-30248</t>
  </si>
  <si>
    <t>P002-30249</t>
  </si>
  <si>
    <t>P002-30250</t>
  </si>
  <si>
    <t>P002-30251</t>
  </si>
  <si>
    <t>F001-2727</t>
  </si>
  <si>
    <t>REAL ARQUITECTURA</t>
  </si>
  <si>
    <t xml:space="preserve">CRUZ MOSTACERO </t>
  </si>
  <si>
    <t>F001-2728</t>
  </si>
  <si>
    <t>F001-2729</t>
  </si>
  <si>
    <t xml:space="preserve">DIAZ BARCO </t>
  </si>
  <si>
    <t>P001-39997</t>
  </si>
  <si>
    <t>P001-39998</t>
  </si>
  <si>
    <t>P001-39999</t>
  </si>
  <si>
    <t>P001-40000</t>
  </si>
  <si>
    <t>P001-40001</t>
  </si>
  <si>
    <t>P001-40002</t>
  </si>
  <si>
    <t>P001-40003</t>
  </si>
  <si>
    <t>P001-40004</t>
  </si>
  <si>
    <t>P001-40005</t>
  </si>
  <si>
    <t>P001-40006</t>
  </si>
  <si>
    <t>P001-40007</t>
  </si>
  <si>
    <t xml:space="preserve">RIMARACHIN CIEZA </t>
  </si>
  <si>
    <t>CAMPOS CASTRO</t>
  </si>
  <si>
    <t>F001-2730</t>
  </si>
  <si>
    <t>F001-2731</t>
  </si>
  <si>
    <t>GRUPO ESPN</t>
  </si>
  <si>
    <t>P001-40008</t>
  </si>
  <si>
    <t>P001-40009</t>
  </si>
  <si>
    <t>HERIBERTO VILCHEZ</t>
  </si>
  <si>
    <t>P002-30252</t>
  </si>
  <si>
    <t>P002-30253</t>
  </si>
  <si>
    <t>P002-30254</t>
  </si>
  <si>
    <t>P002-30255</t>
  </si>
  <si>
    <t>P002-30256</t>
  </si>
  <si>
    <t>P002-30257</t>
  </si>
  <si>
    <t>P002-30258</t>
  </si>
  <si>
    <t>P002-30259</t>
  </si>
  <si>
    <t>P002-30260</t>
  </si>
  <si>
    <t>P002-30261</t>
  </si>
  <si>
    <t xml:space="preserve">ALADINO TORRES </t>
  </si>
  <si>
    <t>FERROCONSTRUCTORA JH</t>
  </si>
  <si>
    <t>P001-40010</t>
  </si>
  <si>
    <t>P001-40011</t>
  </si>
  <si>
    <t>P001-40012</t>
  </si>
  <si>
    <t>P001-40013</t>
  </si>
  <si>
    <t>P001-40014</t>
  </si>
  <si>
    <t>P001-40015</t>
  </si>
  <si>
    <t xml:space="preserve">JESSICA SALAZAR </t>
  </si>
  <si>
    <t>BECERRA LOZANO</t>
  </si>
  <si>
    <t>GUSTAVO GUEVARA</t>
  </si>
  <si>
    <t>ANTERIORES</t>
  </si>
  <si>
    <t xml:space="preserve">COMBUSTIBLE MOTO NUEVA </t>
  </si>
  <si>
    <t xml:space="preserve">COMBUSTIBLE FORLAND </t>
  </si>
  <si>
    <t>P002-30262</t>
  </si>
  <si>
    <t xml:space="preserve">COMPRA DE REPUESTAS CPU </t>
  </si>
  <si>
    <t xml:space="preserve">FERNANDEZ SANCHEZ LUZ </t>
  </si>
  <si>
    <t xml:space="preserve">415 LADRILLO CONCRTO *1.5- ALMACEN </t>
  </si>
  <si>
    <t>P002-30263</t>
  </si>
  <si>
    <t>P002-30264</t>
  </si>
  <si>
    <t>P002-30265</t>
  </si>
  <si>
    <t>P002-30266</t>
  </si>
  <si>
    <t>P002-30267</t>
  </si>
  <si>
    <t xml:space="preserve">TIERRA DE CULTIVO </t>
  </si>
  <si>
    <t xml:space="preserve">RONCAL PINEDO </t>
  </si>
  <si>
    <t>P001-40016</t>
  </si>
  <si>
    <t>P001-40017</t>
  </si>
  <si>
    <t>P001-40018</t>
  </si>
  <si>
    <t xml:space="preserve">RODRIGUEZ TANTARICO </t>
  </si>
  <si>
    <t xml:space="preserve">COMBUSTIBLE CARGADOR </t>
  </si>
  <si>
    <t>ANGEL MORENO</t>
  </si>
  <si>
    <t xml:space="preserve">OMAR ASTONITAS </t>
  </si>
  <si>
    <t xml:space="preserve">JOSE BARBOZA </t>
  </si>
  <si>
    <t xml:space="preserve">JESUS TERRONES </t>
  </si>
  <si>
    <t xml:space="preserve">DARWIN BARBOZA </t>
  </si>
  <si>
    <t xml:space="preserve">MIGUEL CARRANZA </t>
  </si>
  <si>
    <t xml:space="preserve">JHON ASTONITAS </t>
  </si>
  <si>
    <t xml:space="preserve">LUCAS HERRERA </t>
  </si>
  <si>
    <t xml:space="preserve">MODESTO TORRES </t>
  </si>
  <si>
    <t xml:space="preserve">SANCHEZ SANCHEZ EDWAR </t>
  </si>
  <si>
    <t xml:space="preserve">CABANILLAS ZAMORA </t>
  </si>
  <si>
    <t>P001-40019</t>
  </si>
  <si>
    <t xml:space="preserve">LADRILLO JORDIN </t>
  </si>
  <si>
    <t xml:space="preserve">JEINER HERRERA - PAGO </t>
  </si>
  <si>
    <t xml:space="preserve">JORDIN HERRERA </t>
  </si>
  <si>
    <t xml:space="preserve">JULIAN </t>
  </si>
  <si>
    <t xml:space="preserve">DENILSON </t>
  </si>
  <si>
    <t xml:space="preserve">KAREN RUIZ Y NAYELY </t>
  </si>
  <si>
    <t xml:space="preserve">ANAYELY JIMENES </t>
  </si>
  <si>
    <t xml:space="preserve">SALDO DE CAJA </t>
  </si>
  <si>
    <t>F001-2732</t>
  </si>
  <si>
    <t xml:space="preserve">FERNANDEZ BARRIOS </t>
  </si>
  <si>
    <t>P001-40020</t>
  </si>
  <si>
    <t>P001-40021</t>
  </si>
  <si>
    <t>P001-40022</t>
  </si>
  <si>
    <t>P001-40023</t>
  </si>
  <si>
    <t>P001-40024</t>
  </si>
  <si>
    <t xml:space="preserve">GUSTAVO GUEVARA </t>
  </si>
  <si>
    <t>P001-40025</t>
  </si>
  <si>
    <t>P001-40026</t>
  </si>
  <si>
    <t>P001-40027</t>
  </si>
  <si>
    <t>P001-40028</t>
  </si>
  <si>
    <t>P001-40029</t>
  </si>
  <si>
    <t>P001-40030</t>
  </si>
  <si>
    <t>P001-40031</t>
  </si>
  <si>
    <t>P001-40032</t>
  </si>
  <si>
    <t>P001-40033</t>
  </si>
  <si>
    <t>P001-40034</t>
  </si>
  <si>
    <t>P001-40035</t>
  </si>
  <si>
    <t>P001-40036</t>
  </si>
  <si>
    <t>P001-40037</t>
  </si>
  <si>
    <t>P001-40038</t>
  </si>
  <si>
    <t>P001-40039</t>
  </si>
  <si>
    <t>P001-40040</t>
  </si>
  <si>
    <t>P001-40041</t>
  </si>
  <si>
    <t>P001-40042</t>
  </si>
  <si>
    <t>P001-40043</t>
  </si>
  <si>
    <t xml:space="preserve">DIAZ CHICOMA </t>
  </si>
  <si>
    <t xml:space="preserve">RAMOS DELGADO </t>
  </si>
  <si>
    <t>AZAÑERO</t>
  </si>
  <si>
    <t>LUCERO ANTONIO</t>
  </si>
  <si>
    <t>P001-40044</t>
  </si>
  <si>
    <t>P001-40045</t>
  </si>
  <si>
    <t>P001-40046</t>
  </si>
  <si>
    <t>P001-40047</t>
  </si>
  <si>
    <t>P001-40048</t>
  </si>
  <si>
    <t>P001-40049</t>
  </si>
  <si>
    <t>P001-40050</t>
  </si>
  <si>
    <t xml:space="preserve">REYES CARLOS </t>
  </si>
  <si>
    <t>MENDOZA</t>
  </si>
  <si>
    <t>MEDINA</t>
  </si>
  <si>
    <t>P001-40051</t>
  </si>
  <si>
    <t>P001-40052</t>
  </si>
  <si>
    <t>P001-40053</t>
  </si>
  <si>
    <t>P001-40054</t>
  </si>
  <si>
    <t>P001-40055</t>
  </si>
  <si>
    <t>P001-40056</t>
  </si>
  <si>
    <t>P001-40057</t>
  </si>
  <si>
    <t xml:space="preserve">PURIHUAMAN </t>
  </si>
  <si>
    <t>P001-40058</t>
  </si>
  <si>
    <t>P001-40059</t>
  </si>
  <si>
    <t>P001-40060</t>
  </si>
  <si>
    <t>P001-40061</t>
  </si>
  <si>
    <t>P001-40062</t>
  </si>
  <si>
    <t>P001-40063</t>
  </si>
  <si>
    <t>P001-40064</t>
  </si>
  <si>
    <t>P001-40065</t>
  </si>
  <si>
    <t>P001-40066</t>
  </si>
  <si>
    <t xml:space="preserve">JUAREZ </t>
  </si>
  <si>
    <t>P001-40067</t>
  </si>
  <si>
    <t>P001-40068</t>
  </si>
  <si>
    <t>P001-40069</t>
  </si>
  <si>
    <t>P001-40070</t>
  </si>
  <si>
    <t>P001-40071</t>
  </si>
  <si>
    <t>P001-40072</t>
  </si>
  <si>
    <t>P001-40073</t>
  </si>
  <si>
    <t>P001-40074</t>
  </si>
  <si>
    <t>P001-40075</t>
  </si>
  <si>
    <t>P001-40076</t>
  </si>
  <si>
    <t xml:space="preserve">VILCHEZ TARRILLO </t>
  </si>
  <si>
    <t xml:space="preserve">GRASERA FUSO </t>
  </si>
  <si>
    <t xml:space="preserve">FLETES ADELIO </t>
  </si>
  <si>
    <t xml:space="preserve">ADELIO </t>
  </si>
  <si>
    <t xml:space="preserve">LAVADO DE FUSO </t>
  </si>
  <si>
    <t xml:space="preserve">JHON </t>
  </si>
  <si>
    <t xml:space="preserve">DAVID GUEVARA </t>
  </si>
  <si>
    <t xml:space="preserve">GASTOS COMPUTADORA </t>
  </si>
  <si>
    <t>CORPORACION MARVID / COMPRA DE 100 BLS DE RAPIMIX*7.7</t>
  </si>
  <si>
    <t>F001-2733</t>
  </si>
  <si>
    <t>F001-2734</t>
  </si>
  <si>
    <t>P001-40077</t>
  </si>
  <si>
    <t>P001-40078</t>
  </si>
  <si>
    <t>P001-40079</t>
  </si>
  <si>
    <t>P001-40080</t>
  </si>
  <si>
    <t>P001-40081</t>
  </si>
  <si>
    <t xml:space="preserve">VEGA LLAJA </t>
  </si>
  <si>
    <t>P001-40082</t>
  </si>
  <si>
    <t>P001-40083</t>
  </si>
  <si>
    <t>P001-40084</t>
  </si>
  <si>
    <t>P001-40085</t>
  </si>
  <si>
    <t>P001-40086</t>
  </si>
  <si>
    <t xml:space="preserve">VILLALOBOS TANTALEON </t>
  </si>
  <si>
    <t xml:space="preserve">ALARCON DIAZ </t>
  </si>
  <si>
    <t xml:space="preserve">CONSORCIO RECICLADOR </t>
  </si>
  <si>
    <t>P001-40087</t>
  </si>
  <si>
    <t>P001-40088</t>
  </si>
  <si>
    <t>P001-40089</t>
  </si>
  <si>
    <t>P001-40090</t>
  </si>
  <si>
    <t>P001-40091</t>
  </si>
  <si>
    <t>F001-2735</t>
  </si>
  <si>
    <t>CHAVEZ MUÑOZ</t>
  </si>
  <si>
    <t xml:space="preserve">JHAIR PADILLA </t>
  </si>
  <si>
    <t xml:space="preserve">SR PERALES </t>
  </si>
  <si>
    <t xml:space="preserve">JIBAJA NEYRA </t>
  </si>
  <si>
    <t>P001-40092</t>
  </si>
  <si>
    <t>P001-40093</t>
  </si>
  <si>
    <t>P001-40094</t>
  </si>
  <si>
    <t>P001-40095</t>
  </si>
  <si>
    <t>P001-40096</t>
  </si>
  <si>
    <t>P001-40097</t>
  </si>
  <si>
    <t>P001-40098</t>
  </si>
  <si>
    <t>P001-40099</t>
  </si>
  <si>
    <t>P001-40100</t>
  </si>
  <si>
    <t>P001-40101</t>
  </si>
  <si>
    <t>P001-40102</t>
  </si>
  <si>
    <t>P001-40103</t>
  </si>
  <si>
    <t>P001-40104</t>
  </si>
  <si>
    <t>P001-40105</t>
  </si>
  <si>
    <t>P001-40106</t>
  </si>
  <si>
    <t>P001-40107</t>
  </si>
  <si>
    <t>P001-40108</t>
  </si>
  <si>
    <t>P001-40109</t>
  </si>
  <si>
    <t>P001-40110</t>
  </si>
  <si>
    <t>P001-40111</t>
  </si>
  <si>
    <t>P001-40112</t>
  </si>
  <si>
    <t>P001-40113</t>
  </si>
  <si>
    <t>P001-40114</t>
  </si>
  <si>
    <t>P001-40115</t>
  </si>
  <si>
    <t>P001-40116</t>
  </si>
  <si>
    <t>P001-40117</t>
  </si>
  <si>
    <t>P001-40118</t>
  </si>
  <si>
    <t xml:space="preserve">CHUNGA BOCANEGRA </t>
  </si>
  <si>
    <t>P002-30268</t>
  </si>
  <si>
    <t>P002-30269</t>
  </si>
  <si>
    <t>P002-30270</t>
  </si>
  <si>
    <t>P002-30271</t>
  </si>
  <si>
    <t>VILLALOBOS ( ANDY OBLITAS)</t>
  </si>
  <si>
    <t>P002-30272</t>
  </si>
  <si>
    <t>P002-30273</t>
  </si>
  <si>
    <t>P002-30274</t>
  </si>
  <si>
    <t>P002-30275</t>
  </si>
  <si>
    <t>P002-30276</t>
  </si>
  <si>
    <t>P002-30277</t>
  </si>
  <si>
    <t>P002-30278</t>
  </si>
  <si>
    <t>P002-30279</t>
  </si>
  <si>
    <t>P002-30280</t>
  </si>
  <si>
    <t>PESANTES CORTIJO</t>
  </si>
  <si>
    <t>P002-30281</t>
  </si>
  <si>
    <t xml:space="preserve">BARBOZA VASQUEZ </t>
  </si>
  <si>
    <t xml:space="preserve">DIAZ VILLALOBOS </t>
  </si>
  <si>
    <t>P002-30282</t>
  </si>
  <si>
    <t>P002-30283</t>
  </si>
  <si>
    <t>P002-30284</t>
  </si>
  <si>
    <t>P002-30285</t>
  </si>
  <si>
    <t>P002-30286</t>
  </si>
  <si>
    <t>P002-30287</t>
  </si>
  <si>
    <t>P002-30288</t>
  </si>
  <si>
    <t>P002-30289</t>
  </si>
  <si>
    <t>COMBUSTIBLE JBC D3U-847</t>
  </si>
  <si>
    <t>INVERSIONES Y TRANSPORTES (LADRILLO)</t>
  </si>
  <si>
    <t xml:space="preserve">CIEZA CUSTODIO </t>
  </si>
  <si>
    <t>GARCIA CASTILLO MAXIMO (FREDY ALVA)</t>
  </si>
  <si>
    <t>P002-30290</t>
  </si>
  <si>
    <t>P002-30291</t>
  </si>
  <si>
    <t>P002-30292</t>
  </si>
  <si>
    <t>P002-30293</t>
  </si>
  <si>
    <t xml:space="preserve">SAAVEDRA BANDA </t>
  </si>
  <si>
    <t>LAINES</t>
  </si>
  <si>
    <t xml:space="preserve">DEVOLUCION BANCARIZACION IAN ASENJO </t>
  </si>
  <si>
    <t xml:space="preserve">LUCAS HERRERA Y AYUDANTES </t>
  </si>
  <si>
    <t>SALDO DE CAJA</t>
  </si>
  <si>
    <t xml:space="preserve">COMBUSTIBLE FUSO Y FORLAND </t>
  </si>
  <si>
    <t>MARTES 24-02-2026- CAJA H&amp;C</t>
  </si>
  <si>
    <t>MIERCOLES 25-02-2026- CAJA H&amp;C</t>
  </si>
  <si>
    <t>JUEVES  26-02-2026- CAJA H&amp;C</t>
  </si>
  <si>
    <t>VIERNES 27-02-2026- CAJA H&amp;C</t>
  </si>
  <si>
    <t>SABADO  28-02-2026- CAJA H&amp;C</t>
  </si>
  <si>
    <t>DOMINGO 01-03-2026- CAJA H&amp;C</t>
  </si>
  <si>
    <t>B001-1808</t>
  </si>
  <si>
    <t xml:space="preserve">REGALADO CARRASCO </t>
  </si>
  <si>
    <t>F001-2736</t>
  </si>
  <si>
    <t xml:space="preserve">2E CONSTRUCTORA Y SERVICIOS </t>
  </si>
  <si>
    <t>F001-2737</t>
  </si>
  <si>
    <t xml:space="preserve">KT CONSTRUCTORA </t>
  </si>
  <si>
    <t>P001-40119</t>
  </si>
  <si>
    <t xml:space="preserve">ACUÑA CORONEL </t>
  </si>
  <si>
    <t>P001-40120</t>
  </si>
  <si>
    <t>P001-40121</t>
  </si>
  <si>
    <t>P001-40122</t>
  </si>
  <si>
    <t>P001-40123</t>
  </si>
  <si>
    <t>P001-40124</t>
  </si>
  <si>
    <t>P001-40125</t>
  </si>
  <si>
    <t xml:space="preserve">SOLANO RELAIZA </t>
  </si>
  <si>
    <t>P001-40126</t>
  </si>
  <si>
    <t>P001-40127</t>
  </si>
  <si>
    <t>P001-40128</t>
  </si>
  <si>
    <t>P001-40129</t>
  </si>
  <si>
    <t>P001-40130</t>
  </si>
  <si>
    <t>P001-40131</t>
  </si>
  <si>
    <t>P001-40132</t>
  </si>
  <si>
    <t>P001-40133</t>
  </si>
  <si>
    <t>P001-40134</t>
  </si>
  <si>
    <t>P001-40135</t>
  </si>
  <si>
    <t xml:space="preserve">VASQUEZ JARAMILLO </t>
  </si>
  <si>
    <t xml:space="preserve">BAUTISTA CARRASCO </t>
  </si>
  <si>
    <t>QUESQUEN QUIROZ</t>
  </si>
  <si>
    <t>COMPRA DE 17 M3 ARENA AMARILLA 17*32</t>
  </si>
  <si>
    <t xml:space="preserve">HIDROGO DE SALAZAR </t>
  </si>
  <si>
    <t>P001-40136</t>
  </si>
  <si>
    <t>P001-40137</t>
  </si>
  <si>
    <t>P001-40138</t>
  </si>
  <si>
    <t>P001-40139</t>
  </si>
  <si>
    <t>P001-40140</t>
  </si>
  <si>
    <t>P001-40141</t>
  </si>
  <si>
    <t>P001-40142</t>
  </si>
  <si>
    <t>P001-40143</t>
  </si>
  <si>
    <t>P001-40144</t>
  </si>
  <si>
    <t>P001-40145</t>
  </si>
  <si>
    <t>P001-40146</t>
  </si>
  <si>
    <t>P001-40147</t>
  </si>
  <si>
    <t>P001-40148</t>
  </si>
  <si>
    <t>P002-30294</t>
  </si>
  <si>
    <t xml:space="preserve">WENDOR HERNANDEZ </t>
  </si>
  <si>
    <t>P002-30295</t>
  </si>
  <si>
    <t>P002-30296</t>
  </si>
  <si>
    <t>P002-30297</t>
  </si>
  <si>
    <t>P002-30298</t>
  </si>
  <si>
    <t>P002-30299</t>
  </si>
  <si>
    <t>P002-30300</t>
  </si>
  <si>
    <t>P002-30301</t>
  </si>
  <si>
    <t>P002-30302</t>
  </si>
  <si>
    <t>P002-30303</t>
  </si>
  <si>
    <t>F001-2738</t>
  </si>
  <si>
    <t>CORPORACION CONSTRUCTORA</t>
  </si>
  <si>
    <t xml:space="preserve">VILLEGAS HERNANDEZ </t>
  </si>
  <si>
    <t xml:space="preserve">INSTITUCION EDUCATIVA </t>
  </si>
  <si>
    <t>JOAQUIN ROMAN</t>
  </si>
  <si>
    <t>P002-30304</t>
  </si>
  <si>
    <t>P002-30305</t>
  </si>
  <si>
    <t>P002-30306</t>
  </si>
  <si>
    <t>P002-30307</t>
  </si>
  <si>
    <t>P002-30308</t>
  </si>
  <si>
    <t>P002-30309</t>
  </si>
  <si>
    <t>P002-30310</t>
  </si>
  <si>
    <t>P002-30311</t>
  </si>
  <si>
    <t xml:space="preserve">DEV. BANCARIZACION IAN ASENJO </t>
  </si>
  <si>
    <t xml:space="preserve">COMBUSTIBLE MOTO AZUL </t>
  </si>
  <si>
    <t>35 M3 PIEDRA CHANCADA 1/2*52</t>
  </si>
  <si>
    <t xml:space="preserve">PAGO A CORPORACION HERRERA </t>
  </si>
  <si>
    <t>F001-2739</t>
  </si>
  <si>
    <t>P001-40149</t>
  </si>
  <si>
    <t>P001-40150</t>
  </si>
  <si>
    <t>P001-40151</t>
  </si>
  <si>
    <t>P001-40152</t>
  </si>
  <si>
    <t>P001-40153</t>
  </si>
  <si>
    <t>P001-40154</t>
  </si>
  <si>
    <t>P001-40155</t>
  </si>
  <si>
    <t>FERROCONSTRUCTORA</t>
  </si>
  <si>
    <t xml:space="preserve">CAMPOS BURGOS </t>
  </si>
  <si>
    <t xml:space="preserve">MORANTE </t>
  </si>
  <si>
    <t xml:space="preserve">GUEVARA VASQUEZ </t>
  </si>
  <si>
    <t>P001-40156</t>
  </si>
  <si>
    <t>P001-40157</t>
  </si>
  <si>
    <t>P001-40158</t>
  </si>
  <si>
    <t>P001-40159</t>
  </si>
  <si>
    <t>P001-40160</t>
  </si>
  <si>
    <t>P001-40161</t>
  </si>
  <si>
    <t>P001-40162</t>
  </si>
  <si>
    <t>P001-40163</t>
  </si>
  <si>
    <t>P002-30312</t>
  </si>
  <si>
    <t>P002-30313</t>
  </si>
  <si>
    <t>P002-30314</t>
  </si>
  <si>
    <t>P002-30315</t>
  </si>
  <si>
    <t>P002-30316</t>
  </si>
  <si>
    <t>P002-30317</t>
  </si>
  <si>
    <t>P002-30318</t>
  </si>
  <si>
    <t xml:space="preserve">INGRESO A LA CAJA GRANDE BANCARIZACION IAN ASENJO </t>
  </si>
  <si>
    <t xml:space="preserve">INGRESO A CAJA PAGOS CORPORACION HERRERA </t>
  </si>
  <si>
    <t xml:space="preserve">EFECTIVO EN CAJA CHICA </t>
  </si>
  <si>
    <t xml:space="preserve">INGRESO A CAJA GRANDE - PAGO MARVID </t>
  </si>
  <si>
    <t xml:space="preserve">CIEZA CUSTODIO LUZ </t>
  </si>
  <si>
    <t xml:space="preserve">DIFERENCIA DEL PAGO DE CEMENTO MARVID </t>
  </si>
  <si>
    <t xml:space="preserve">DEV BANCARIZACION IAN ASENJO </t>
  </si>
  <si>
    <t xml:space="preserve">SUPLEX LUCAS </t>
  </si>
  <si>
    <t xml:space="preserve">FLETE ADELIO PATAPO </t>
  </si>
  <si>
    <t xml:space="preserve">FLETE ADELIO ZEVALLOS </t>
  </si>
  <si>
    <t xml:space="preserve">FLETE WILSON SANTA ANGELA </t>
  </si>
  <si>
    <t>MIERCOLES 04-03-2026- CAJA H&amp;C</t>
  </si>
  <si>
    <t>LUNES 02-03-2026- CAJA H&amp;C</t>
  </si>
  <si>
    <t>MARTES 03-03-2026- CAJA H&amp;C</t>
  </si>
  <si>
    <t>P001-40164</t>
  </si>
  <si>
    <t xml:space="preserve">COMPRA DE 35 M3 ARENA AMARILLA *32/ALMACEN </t>
  </si>
  <si>
    <t xml:space="preserve">COMPRA DE 17 PIEDRA BASE *33/ ALMACEN </t>
  </si>
  <si>
    <t xml:space="preserve">COMPRA DE 25 TEE DE 1/2 PAVCO /JH </t>
  </si>
  <si>
    <t>B001-1809</t>
  </si>
  <si>
    <t>B001-1810</t>
  </si>
  <si>
    <t>CASTAÑEDA FERNANDEZ</t>
  </si>
  <si>
    <t>F001-2740</t>
  </si>
  <si>
    <t>F001-2741</t>
  </si>
  <si>
    <t>F001-2742</t>
  </si>
  <si>
    <t>F001-2743</t>
  </si>
  <si>
    <t xml:space="preserve">ANULADO </t>
  </si>
  <si>
    <t>F001-2744</t>
  </si>
  <si>
    <t xml:space="preserve">SEGIK INGENIEROS </t>
  </si>
  <si>
    <t>P001-40165</t>
  </si>
  <si>
    <t>P001-40166</t>
  </si>
  <si>
    <t>P001-40167</t>
  </si>
  <si>
    <t>P001-40168</t>
  </si>
  <si>
    <t>P001-40169</t>
  </si>
  <si>
    <t>P001-40170</t>
  </si>
  <si>
    <t>P001-40171</t>
  </si>
  <si>
    <t>P001-40172</t>
  </si>
  <si>
    <t>P001-40173</t>
  </si>
  <si>
    <t xml:space="preserve">ACOSTA DE SANTA </t>
  </si>
  <si>
    <t xml:space="preserve">BAUTISTA VASQUEZ </t>
  </si>
  <si>
    <t>P001-40174</t>
  </si>
  <si>
    <t>P001-40175</t>
  </si>
  <si>
    <t>P001-40176</t>
  </si>
  <si>
    <t>P001-40177</t>
  </si>
  <si>
    <t>P001-40178</t>
  </si>
  <si>
    <t>P001-40179</t>
  </si>
  <si>
    <t>P001-40180</t>
  </si>
  <si>
    <t>P001-40181</t>
  </si>
  <si>
    <t>P001-40182</t>
  </si>
  <si>
    <t>P001-40183</t>
  </si>
  <si>
    <t>P001-40184</t>
  </si>
  <si>
    <t>RUBIO HOYOS</t>
  </si>
  <si>
    <t>P001-40185</t>
  </si>
  <si>
    <t>P001-40186</t>
  </si>
  <si>
    <t>P001-40187</t>
  </si>
  <si>
    <t>P001-40188</t>
  </si>
  <si>
    <t>P001-40189</t>
  </si>
  <si>
    <t>P001-40190</t>
  </si>
  <si>
    <t>P001-40191</t>
  </si>
  <si>
    <t>P001-40192</t>
  </si>
  <si>
    <t>P001-40193</t>
  </si>
  <si>
    <t>P001-40194</t>
  </si>
  <si>
    <t>P001-40195</t>
  </si>
  <si>
    <t>P001-40196</t>
  </si>
  <si>
    <t>P001-40197</t>
  </si>
  <si>
    <t>P001-40198</t>
  </si>
  <si>
    <t>P001-40199</t>
  </si>
  <si>
    <t>P001-40200</t>
  </si>
  <si>
    <t>P001-40201</t>
  </si>
  <si>
    <t xml:space="preserve">SAUCEDO SANTISTEBAN </t>
  </si>
  <si>
    <t>P002-30319</t>
  </si>
  <si>
    <t>P002-30320</t>
  </si>
  <si>
    <t>P002-30321</t>
  </si>
  <si>
    <t>P002-30322</t>
  </si>
  <si>
    <t>P002-30323</t>
  </si>
  <si>
    <t>P002-30324</t>
  </si>
  <si>
    <t>P002-30325</t>
  </si>
  <si>
    <t xml:space="preserve">AGUILAR RAMOS PEDRO </t>
  </si>
  <si>
    <t>P002-30326</t>
  </si>
  <si>
    <t>P002-30327</t>
  </si>
  <si>
    <t>P002-30328</t>
  </si>
  <si>
    <t>P002-30329</t>
  </si>
  <si>
    <t>P002-30330</t>
  </si>
  <si>
    <t>P002-30331</t>
  </si>
  <si>
    <t>P002-30332</t>
  </si>
  <si>
    <t>P002-30333</t>
  </si>
  <si>
    <t>P002-30334</t>
  </si>
  <si>
    <t>P002-30335</t>
  </si>
  <si>
    <t>P002-30336</t>
  </si>
  <si>
    <t>P002-30337</t>
  </si>
  <si>
    <t>P002-30338</t>
  </si>
  <si>
    <t>P002-30339</t>
  </si>
  <si>
    <t>P002-30340</t>
  </si>
  <si>
    <t>P002-30341</t>
  </si>
  <si>
    <t>P002-30342</t>
  </si>
  <si>
    <t>P002-30343</t>
  </si>
  <si>
    <t>P002-30344</t>
  </si>
  <si>
    <t xml:space="preserve">CALDERON GUERRERO OSCAR </t>
  </si>
  <si>
    <t>P002-30345</t>
  </si>
  <si>
    <t>P002-30346</t>
  </si>
  <si>
    <t>P002-30347</t>
  </si>
  <si>
    <t>P002-30348</t>
  </si>
  <si>
    <t>P002-30349</t>
  </si>
  <si>
    <t>KAREN AQUINO</t>
  </si>
  <si>
    <t xml:space="preserve">MARVID </t>
  </si>
  <si>
    <t xml:space="preserve">CAMPOS BURGOS SALOMON </t>
  </si>
  <si>
    <t xml:space="preserve">AZAÑERO </t>
  </si>
  <si>
    <t xml:space="preserve">CARNE DE CERDO JEINER </t>
  </si>
  <si>
    <t xml:space="preserve">ALMUERZO CARLOS HERRERA </t>
  </si>
  <si>
    <t xml:space="preserve">DETERGENTE </t>
  </si>
  <si>
    <t xml:space="preserve">PASAJE DARWIN </t>
  </si>
  <si>
    <t xml:space="preserve">A CUENTA DE FIERRO ADJ </t>
  </si>
  <si>
    <t xml:space="preserve">GASOLINA MOTO ROJA NUEVA </t>
  </si>
  <si>
    <t>PEREZ PEREZ JUAN( ANIBAL)</t>
  </si>
  <si>
    <t xml:space="preserve">A CUENTA DE LADRILLO JORDIN HERRERA </t>
  </si>
  <si>
    <t>JUEVES 05-03-2026- CAJA H&amp;C</t>
  </si>
  <si>
    <t>COMPRA DE 25 M3 AFIRMADO *22</t>
  </si>
  <si>
    <t xml:space="preserve">ALMACEN/CALDERON </t>
  </si>
  <si>
    <t xml:space="preserve">COMPRA DE 35 M3 ARENA AMARILLA *32 </t>
  </si>
  <si>
    <t xml:space="preserve">COMPRA DE 4 M3 PIEDRA CHANCADA 1/2/ CARLOS H./ ASENJO </t>
  </si>
  <si>
    <t>COMPRA DE 2160 LADRILLO PANDERETA SIPAN *0.65</t>
  </si>
  <si>
    <t>F001-2746</t>
  </si>
  <si>
    <t>F001-2747</t>
  </si>
  <si>
    <t>F001-2748</t>
  </si>
  <si>
    <t>F001-2749</t>
  </si>
  <si>
    <t>F001-2750</t>
  </si>
  <si>
    <t>F001-2751</t>
  </si>
  <si>
    <t>F001-2752</t>
  </si>
  <si>
    <t xml:space="preserve">ALFARERO </t>
  </si>
  <si>
    <t xml:space="preserve">RODRIGUES VALLEJOS </t>
  </si>
  <si>
    <t>P001-40202</t>
  </si>
  <si>
    <t>P001-40203</t>
  </si>
  <si>
    <t>P001-40204</t>
  </si>
  <si>
    <t>P001-40205</t>
  </si>
  <si>
    <t>P001-40206</t>
  </si>
  <si>
    <t>P001-40207</t>
  </si>
  <si>
    <t>P001-40208</t>
  </si>
  <si>
    <t>P001-40209</t>
  </si>
  <si>
    <t>P001-40210</t>
  </si>
  <si>
    <t>P001-40211</t>
  </si>
  <si>
    <t>P001-40212</t>
  </si>
  <si>
    <t>P001-40213</t>
  </si>
  <si>
    <t>P001-40214</t>
  </si>
  <si>
    <t xml:space="preserve">ANULADO/TAPIA LOZANO </t>
  </si>
  <si>
    <t xml:space="preserve">AQUINO SILVA </t>
  </si>
  <si>
    <t>CACERES QUIROZ</t>
  </si>
  <si>
    <t>P001-40215</t>
  </si>
  <si>
    <t>P001-40216</t>
  </si>
  <si>
    <t>P001-40217</t>
  </si>
  <si>
    <t>P001-40218</t>
  </si>
  <si>
    <t>P001-40219</t>
  </si>
  <si>
    <t>P001-40220</t>
  </si>
  <si>
    <t>P001-40221</t>
  </si>
  <si>
    <t>P001-40222</t>
  </si>
  <si>
    <t>P001-40223</t>
  </si>
  <si>
    <t>P001-40224</t>
  </si>
  <si>
    <t>P001-40225</t>
  </si>
  <si>
    <t>P001-40226</t>
  </si>
  <si>
    <t>P001-40227</t>
  </si>
  <si>
    <t>P001-40228</t>
  </si>
  <si>
    <t>P001-40229</t>
  </si>
  <si>
    <t>P001-40230</t>
  </si>
  <si>
    <t>P001-40231</t>
  </si>
  <si>
    <t xml:space="preserve">RODRIGUES TANTARICO </t>
  </si>
  <si>
    <t xml:space="preserve">MIGUEL CAMPOS </t>
  </si>
  <si>
    <t xml:space="preserve">GONZALES RUBIO </t>
  </si>
  <si>
    <t>P001-40232</t>
  </si>
  <si>
    <t>P001-40233</t>
  </si>
  <si>
    <t>P001-40234</t>
  </si>
  <si>
    <t>P001-40235</t>
  </si>
  <si>
    <t>P002-30350</t>
  </si>
  <si>
    <t>P002-30351</t>
  </si>
  <si>
    <t>P002-30352</t>
  </si>
  <si>
    <t>P002-30353</t>
  </si>
  <si>
    <t>P002-30354</t>
  </si>
  <si>
    <t>P002-30355</t>
  </si>
  <si>
    <t>P002-30356</t>
  </si>
  <si>
    <t>P002-30357</t>
  </si>
  <si>
    <t>P002-30358</t>
  </si>
  <si>
    <t>P002-30359</t>
  </si>
  <si>
    <t>P002-30360</t>
  </si>
  <si>
    <t>P002-30361</t>
  </si>
  <si>
    <t>P002-30362</t>
  </si>
  <si>
    <t xml:space="preserve">KAREN AQUINO </t>
  </si>
  <si>
    <t xml:space="preserve">VASQUEZ IDROGO </t>
  </si>
  <si>
    <t xml:space="preserve">ZEVALLOS BUSTAMANTE </t>
  </si>
  <si>
    <t>P002-30363</t>
  </si>
  <si>
    <t>P002-30364</t>
  </si>
  <si>
    <t>P002-30365</t>
  </si>
  <si>
    <t>P002-30366</t>
  </si>
  <si>
    <t>P002-30367</t>
  </si>
  <si>
    <t>P002-30368</t>
  </si>
  <si>
    <t>P002-30369</t>
  </si>
  <si>
    <t>P002-30370</t>
  </si>
  <si>
    <t>P002-30371</t>
  </si>
  <si>
    <t>P002-30372</t>
  </si>
  <si>
    <t xml:space="preserve">HERNANDEZ BECERRA WENDOR </t>
  </si>
  <si>
    <t xml:space="preserve">ESCOBAR ALTAMIRANO </t>
  </si>
  <si>
    <t>P002-30373</t>
  </si>
  <si>
    <t>P002-30374</t>
  </si>
  <si>
    <t>P002-30375</t>
  </si>
  <si>
    <t xml:space="preserve">INGRESO A CAJA GRANDE </t>
  </si>
  <si>
    <t xml:space="preserve">GASEOSA JORDIN HERRERA </t>
  </si>
  <si>
    <t xml:space="preserve">ACTIVIDAD JEINER </t>
  </si>
  <si>
    <t>ALMUERZO ANGEL Y DARWIN</t>
  </si>
  <si>
    <t xml:space="preserve">COMBUSTIBLE JBC - JULIAN </t>
  </si>
  <si>
    <t>COMPRA DE 770 LADRILLO CONCRETO(500 PEREZ PEREZ)(270 ANA VILLEGAS)</t>
  </si>
  <si>
    <t>INVERSIONES Y TRANSPORTES - LADRILLO 04-03</t>
  </si>
  <si>
    <t>INVERSIONES Y TRANSPORTES - LADRILLO 05-03</t>
  </si>
  <si>
    <t>F001-2753</t>
  </si>
  <si>
    <t xml:space="preserve">GRUPO ESPN </t>
  </si>
  <si>
    <t xml:space="preserve">ADJ 14 TONELADAS DE FIERRO </t>
  </si>
  <si>
    <t>ANULADO /CORONADO DIAZ</t>
  </si>
  <si>
    <t>P001-40236</t>
  </si>
  <si>
    <t>P001-40237</t>
  </si>
  <si>
    <t xml:space="preserve">JOSE CALUA / DEPSOITO ANTERIOR </t>
  </si>
  <si>
    <t xml:space="preserve">JORDIN HERERA </t>
  </si>
  <si>
    <t xml:space="preserve">KAREN AQUINO / ANTERIORES </t>
  </si>
  <si>
    <t xml:space="preserve">INGRESO DE EFECTIVO / LO QUE FGUE A CUENTA ADJ </t>
  </si>
  <si>
    <t>DEVOLUCION DE COMPRA DE LADRILLO / JORDIN</t>
  </si>
  <si>
    <t>GONZALES RUBIO</t>
  </si>
  <si>
    <t>SAUCEDO SANTISTEBAN</t>
  </si>
  <si>
    <t xml:space="preserve">ACCIDENTE TUBERIAS </t>
  </si>
  <si>
    <t xml:space="preserve">SALIDA JORDIN - TUBERIAS </t>
  </si>
  <si>
    <t xml:space="preserve">DEPOSITO A CUENTA CORRIENTE </t>
  </si>
  <si>
    <t xml:space="preserve">SAUL - POLLO </t>
  </si>
  <si>
    <t xml:space="preserve">DEVOLUCION DE DEPOSITO - NAPO GUEVARA </t>
  </si>
  <si>
    <t xml:space="preserve">INVERSIONES Y TRANSPORTES JH </t>
  </si>
  <si>
    <t>VIERNES 06-03-2026- CAJA H&amp;C</t>
  </si>
  <si>
    <t>IRRINORT EIRL( 30 UNION UNIVERSAL 3/4 ERA)</t>
  </si>
  <si>
    <t xml:space="preserve">COMPRA DE 18*15 ARENILLA - ALMACEN </t>
  </si>
  <si>
    <t>COMPRA DE 35 *52 PIEDRA CHANCADA 1/2</t>
  </si>
  <si>
    <t>COFESEG- COMPRA DE 25 KG CLAVO 3.7</t>
  </si>
  <si>
    <t>B001-1811</t>
  </si>
  <si>
    <t>B001-1812</t>
  </si>
  <si>
    <t xml:space="preserve">INSTITUCION EDUCATIVA INICIAL </t>
  </si>
  <si>
    <t>NUÑEZ NUÑEZ</t>
  </si>
  <si>
    <t>F001-2754</t>
  </si>
  <si>
    <t xml:space="preserve">VENTAS Y SERVICIOS A&amp;G </t>
  </si>
  <si>
    <t>F001-2755</t>
  </si>
  <si>
    <t>F001-2756</t>
  </si>
  <si>
    <t>F001-2757</t>
  </si>
  <si>
    <t>F001-2758</t>
  </si>
  <si>
    <t>P001-40238</t>
  </si>
  <si>
    <t xml:space="preserve">MONTALVAN PEREZ CATALINA </t>
  </si>
  <si>
    <t>P001-40239</t>
  </si>
  <si>
    <t>P001-40240</t>
  </si>
  <si>
    <t>P001-40241</t>
  </si>
  <si>
    <t>P001-40242</t>
  </si>
  <si>
    <t>P001-40243</t>
  </si>
  <si>
    <t>P001-40244</t>
  </si>
  <si>
    <t>P001-40245</t>
  </si>
  <si>
    <t>P001-40246</t>
  </si>
  <si>
    <t>P001-40247</t>
  </si>
  <si>
    <t>P001-40248</t>
  </si>
  <si>
    <t>P001-40249</t>
  </si>
  <si>
    <t>P001-40250</t>
  </si>
  <si>
    <t>P001-40251</t>
  </si>
  <si>
    <t>P001-40252</t>
  </si>
  <si>
    <t>P001-40253</t>
  </si>
  <si>
    <t>P001-40254</t>
  </si>
  <si>
    <t>P001-40255</t>
  </si>
  <si>
    <t>P001-40256</t>
  </si>
  <si>
    <t>P001-40257</t>
  </si>
  <si>
    <t>P001-40258</t>
  </si>
  <si>
    <t>P001-40259</t>
  </si>
  <si>
    <t>P001-40260</t>
  </si>
  <si>
    <t>P001-40261</t>
  </si>
  <si>
    <t>P001-40262</t>
  </si>
  <si>
    <t>P001-40263</t>
  </si>
  <si>
    <t>P001-40264</t>
  </si>
  <si>
    <t>P001-40265</t>
  </si>
  <si>
    <t>P001-40266</t>
  </si>
  <si>
    <t>P001-40267</t>
  </si>
  <si>
    <t>P001-40268</t>
  </si>
  <si>
    <t>P001-40269</t>
  </si>
  <si>
    <t>P001-40270</t>
  </si>
  <si>
    <t xml:space="preserve">JIMENEZ YARANGO </t>
  </si>
  <si>
    <t xml:space="preserve">MARIA GLADYS PEREZ VASQUEZ </t>
  </si>
  <si>
    <t>P001-40271</t>
  </si>
  <si>
    <t>P001-40272</t>
  </si>
  <si>
    <t>P001-40273</t>
  </si>
  <si>
    <t>P001-40274</t>
  </si>
  <si>
    <t>P001-40275</t>
  </si>
  <si>
    <t>P001-40276</t>
  </si>
  <si>
    <t>P001-40277</t>
  </si>
  <si>
    <t>P001-40278</t>
  </si>
  <si>
    <t>P001-40279</t>
  </si>
  <si>
    <t>P001-40280</t>
  </si>
  <si>
    <t>P001-40281</t>
  </si>
  <si>
    <t xml:space="preserve">TAPIA LOZANO JOSE </t>
  </si>
  <si>
    <t xml:space="preserve">CRUPO CORPORATIVO HERRERA </t>
  </si>
  <si>
    <t>P002-30376</t>
  </si>
  <si>
    <t xml:space="preserve">QURMAQ </t>
  </si>
  <si>
    <t>P002-30377</t>
  </si>
  <si>
    <t>P002-30378</t>
  </si>
  <si>
    <t>P002-30379</t>
  </si>
  <si>
    <t>P002-30380</t>
  </si>
  <si>
    <t>P002-30381</t>
  </si>
  <si>
    <t>P002-30382</t>
  </si>
  <si>
    <t>P002-30383</t>
  </si>
  <si>
    <t xml:space="preserve">RAMOS AGUIRRE </t>
  </si>
  <si>
    <t xml:space="preserve">CHANAME ARISTA </t>
  </si>
  <si>
    <t>P002-30384</t>
  </si>
  <si>
    <t>P002-30385</t>
  </si>
  <si>
    <t>P002-30386</t>
  </si>
  <si>
    <t>P002-30387</t>
  </si>
  <si>
    <t>P002-30388</t>
  </si>
  <si>
    <t>P002-30389</t>
  </si>
  <si>
    <t>P002-30390</t>
  </si>
  <si>
    <t>P002-30391</t>
  </si>
  <si>
    <t>P002-30392</t>
  </si>
  <si>
    <t xml:space="preserve">LUCERO ANTONIO </t>
  </si>
  <si>
    <t xml:space="preserve">DIFERENCIA DE CEMENTO CALDERON GUERRERO </t>
  </si>
  <si>
    <t xml:space="preserve">SAUL MANO DE OBRA / JBC </t>
  </si>
  <si>
    <t xml:space="preserve">COMBUSTIBLE MOTO ROJA VIEJA </t>
  </si>
  <si>
    <t xml:space="preserve">COMBUSTIBLE MOTO ROJA NUEVA </t>
  </si>
  <si>
    <t xml:space="preserve">MANGUERA DE RADIADOR </t>
  </si>
  <si>
    <t xml:space="preserve">COMBUSTIBLE JBC JULIAN </t>
  </si>
  <si>
    <t xml:space="preserve">JULIAN - HERIDA </t>
  </si>
  <si>
    <t>P001-40282</t>
  </si>
  <si>
    <t>P002-30393</t>
  </si>
  <si>
    <t>P002-30394</t>
  </si>
  <si>
    <t xml:space="preserve">WALTER CASA BLANCA </t>
  </si>
  <si>
    <t>P002-30395</t>
  </si>
  <si>
    <t>P002-30396</t>
  </si>
  <si>
    <t xml:space="preserve">JHON SANCHEZ </t>
  </si>
  <si>
    <t xml:space="preserve">ANDY RUIZ </t>
  </si>
  <si>
    <t>ADELANTO ANGEL</t>
  </si>
  <si>
    <t xml:space="preserve">COMBUSTIBLE ANGEL </t>
  </si>
  <si>
    <t xml:space="preserve">EXTRA ANGEL Y JESUS </t>
  </si>
  <si>
    <t xml:space="preserve">100 DE ACEITE DE FUSO Y 30 MANO DE OBRA           </t>
  </si>
  <si>
    <t xml:space="preserve">INVERSIONES Y TRANSPORTES JH / VENTA DEL DIA </t>
  </si>
  <si>
    <t>SABADO 07-03-2026- CAJA H&amp;C</t>
  </si>
  <si>
    <t>P001-40283</t>
  </si>
  <si>
    <t>COMPRA DE 490 YESOS *3.3  ( BALLENA)</t>
  </si>
  <si>
    <t>COMPRA DE 17 M3 ARENILLA *15</t>
  </si>
  <si>
    <t>CAMPOS</t>
  </si>
  <si>
    <t>B001-1813</t>
  </si>
  <si>
    <t xml:space="preserve">IMAN DIEZ </t>
  </si>
  <si>
    <t xml:space="preserve">CONSORCIO AMERICA </t>
  </si>
  <si>
    <t>F001-2759</t>
  </si>
  <si>
    <t>F001-2760</t>
  </si>
  <si>
    <t xml:space="preserve">SEGIK </t>
  </si>
  <si>
    <t>P001-40284</t>
  </si>
  <si>
    <t>P001-40285</t>
  </si>
  <si>
    <t>P001-40286</t>
  </si>
  <si>
    <t>P001-40287</t>
  </si>
  <si>
    <t>P001-40288</t>
  </si>
  <si>
    <t xml:space="preserve">CRUZ RAMOS </t>
  </si>
  <si>
    <t>P001-40289</t>
  </si>
  <si>
    <t>P001-40290</t>
  </si>
  <si>
    <t>P001-40291</t>
  </si>
  <si>
    <t>P001-40292</t>
  </si>
  <si>
    <t>P001-40293</t>
  </si>
  <si>
    <t>P001-40294</t>
  </si>
  <si>
    <t>P001-40295</t>
  </si>
  <si>
    <t>P001-40296</t>
  </si>
  <si>
    <t>P001-40297</t>
  </si>
  <si>
    <t>P001-40298</t>
  </si>
  <si>
    <t>P001-40299</t>
  </si>
  <si>
    <t>P001-40300</t>
  </si>
  <si>
    <t>P001-40301</t>
  </si>
  <si>
    <t>P001-40302</t>
  </si>
  <si>
    <t>P001-40303</t>
  </si>
  <si>
    <t>P001-40304</t>
  </si>
  <si>
    <t>P001-40305</t>
  </si>
  <si>
    <t>P001-40306</t>
  </si>
  <si>
    <t>P001-40307</t>
  </si>
  <si>
    <t>P001-40308</t>
  </si>
  <si>
    <t>P001-40309</t>
  </si>
  <si>
    <t>SAMILLAN BEREJANO</t>
  </si>
  <si>
    <t>CAMPOS BRAVO CARLOS</t>
  </si>
  <si>
    <t xml:space="preserve">GUERRERO LORREN </t>
  </si>
  <si>
    <t>LARIOS BERNAL</t>
  </si>
  <si>
    <t>P002-30397</t>
  </si>
  <si>
    <t xml:space="preserve">AVELLANEDA </t>
  </si>
  <si>
    <t>P002-30398</t>
  </si>
  <si>
    <t>P002-30399</t>
  </si>
  <si>
    <t>P002-30400</t>
  </si>
  <si>
    <t>P002-30401</t>
  </si>
  <si>
    <t>P002-30402</t>
  </si>
  <si>
    <t>P002-30403</t>
  </si>
  <si>
    <t>P002-30404</t>
  </si>
  <si>
    <t>P002-30405</t>
  </si>
  <si>
    <t>P002-30406</t>
  </si>
  <si>
    <t>P002-30407</t>
  </si>
  <si>
    <t>P002-30408</t>
  </si>
  <si>
    <t>P002-30409</t>
  </si>
  <si>
    <t>P002-30410</t>
  </si>
  <si>
    <t>P002-30411</t>
  </si>
  <si>
    <t>P002-30412</t>
  </si>
  <si>
    <t>P002-30413</t>
  </si>
  <si>
    <t>P002-30414</t>
  </si>
  <si>
    <t>P002-30415</t>
  </si>
  <si>
    <t>P002-30416</t>
  </si>
  <si>
    <t>P002-30417</t>
  </si>
  <si>
    <t>P002-30418</t>
  </si>
  <si>
    <t>P002-30419</t>
  </si>
  <si>
    <t>P002-30420</t>
  </si>
  <si>
    <t>P002-30421</t>
  </si>
  <si>
    <t>P002-30422</t>
  </si>
  <si>
    <t>P002-30423</t>
  </si>
  <si>
    <t>P002-30424</t>
  </si>
  <si>
    <t>P002-30425</t>
  </si>
  <si>
    <t>P002-30426</t>
  </si>
  <si>
    <t>P002-30427</t>
  </si>
  <si>
    <t>P002-30428</t>
  </si>
  <si>
    <t xml:space="preserve">YDROGO GALVEZ YONATAN </t>
  </si>
  <si>
    <t xml:space="preserve">FREDY ALVA </t>
  </si>
  <si>
    <t xml:space="preserve">WALTER- CASA BLANCA </t>
  </si>
  <si>
    <t xml:space="preserve">UMBO </t>
  </si>
  <si>
    <t>UCEDA TINEO</t>
  </si>
  <si>
    <t xml:space="preserve">RUIZ SALAZAR KAREN </t>
  </si>
  <si>
    <t xml:space="preserve">LUCERO </t>
  </si>
  <si>
    <t>INGA GAVIDIA</t>
  </si>
  <si>
    <t xml:space="preserve">PARCHE DE LLANTA FUSO </t>
  </si>
  <si>
    <t xml:space="preserve">DENILSON SALAZAR </t>
  </si>
  <si>
    <t xml:space="preserve">COMPRA DE 50 LADRILLO CONCRETO *1.7 </t>
  </si>
  <si>
    <t>DARWIN BARBOZA</t>
  </si>
  <si>
    <t>COMBUSTIBLE JBC - D3U</t>
  </si>
  <si>
    <t xml:space="preserve">COMBUSTIBLE MAQUINA </t>
  </si>
  <si>
    <t>P001-40310</t>
  </si>
  <si>
    <t>P001-40311</t>
  </si>
  <si>
    <t>P001-40312</t>
  </si>
  <si>
    <t>P001-40313</t>
  </si>
  <si>
    <t>P001-40314</t>
  </si>
  <si>
    <t>P001-40315</t>
  </si>
  <si>
    <t>P001-40316</t>
  </si>
  <si>
    <t xml:space="preserve">AYALA FERNANDEZ </t>
  </si>
  <si>
    <t>JEINER HERRERA- FERRETERIA LA UNION</t>
  </si>
  <si>
    <t xml:space="preserve">INVERSIONES Y TRANSPORTES </t>
  </si>
  <si>
    <t xml:space="preserve">MODESTO VASQUEZ </t>
  </si>
  <si>
    <t>EDUARDO HERRERA</t>
  </si>
  <si>
    <t xml:space="preserve">JULIAN VILLALOBOS </t>
  </si>
  <si>
    <t xml:space="preserve">ANULADO /HIDROGO DE SALAZAR FELICITA </t>
  </si>
  <si>
    <t>P002-30429</t>
  </si>
  <si>
    <t xml:space="preserve">SALIDA COMPRA DE FIERRO </t>
  </si>
  <si>
    <t xml:space="preserve">NEYSER </t>
  </si>
  <si>
    <t xml:space="preserve">ANGEL MORENO </t>
  </si>
  <si>
    <t>KAREN RUIZ</t>
  </si>
  <si>
    <t xml:space="preserve">ANAYELY JMENES </t>
  </si>
  <si>
    <t>P001-40317</t>
  </si>
  <si>
    <t>P001-40318</t>
  </si>
  <si>
    <t xml:space="preserve">JEINER HERRERA </t>
  </si>
  <si>
    <t>DOMINGO 08-03-2026- CAJA H&amp;C</t>
  </si>
  <si>
    <t>P002-30430</t>
  </si>
  <si>
    <t>P002-30431</t>
  </si>
  <si>
    <t>P002-30432</t>
  </si>
  <si>
    <t>P002-30433</t>
  </si>
  <si>
    <t>P002-30434</t>
  </si>
  <si>
    <t>P002-30435</t>
  </si>
  <si>
    <t>P002-30436</t>
  </si>
  <si>
    <t>P002-30437</t>
  </si>
  <si>
    <t>P002-30438</t>
  </si>
  <si>
    <t>P002-30439</t>
  </si>
  <si>
    <t>P002-30440</t>
  </si>
  <si>
    <t>P002-30441</t>
  </si>
  <si>
    <t>P002-30442</t>
  </si>
  <si>
    <t>P002-30443</t>
  </si>
  <si>
    <t>P002-30444</t>
  </si>
  <si>
    <t>P002-30445</t>
  </si>
  <si>
    <t>P002-30446</t>
  </si>
  <si>
    <t>P002-30447</t>
  </si>
  <si>
    <t>P002-30448</t>
  </si>
  <si>
    <t>P002-30449</t>
  </si>
  <si>
    <t>P002-30450</t>
  </si>
  <si>
    <t>P002-30451</t>
  </si>
  <si>
    <t>P002-30452</t>
  </si>
  <si>
    <t>P002-30453</t>
  </si>
  <si>
    <t>P002-30454</t>
  </si>
  <si>
    <t>P002-30455</t>
  </si>
  <si>
    <t>P002-30456</t>
  </si>
  <si>
    <t>P002-30457</t>
  </si>
  <si>
    <t>P002-30458</t>
  </si>
  <si>
    <t>P002-30459</t>
  </si>
  <si>
    <t>P002-30460</t>
  </si>
  <si>
    <t>P002-30461</t>
  </si>
  <si>
    <t>P002-30462</t>
  </si>
  <si>
    <t>P002-30463</t>
  </si>
  <si>
    <t>P002-30464</t>
  </si>
  <si>
    <t>P002-30465</t>
  </si>
  <si>
    <t>P002-30466</t>
  </si>
  <si>
    <t>P002-30467</t>
  </si>
  <si>
    <t>P002-30468</t>
  </si>
  <si>
    <t>P002-30469</t>
  </si>
  <si>
    <t>P002-30470</t>
  </si>
  <si>
    <t>P002-30471</t>
  </si>
  <si>
    <t>P002-30472</t>
  </si>
  <si>
    <t>P002-30473</t>
  </si>
  <si>
    <t>P002-30474</t>
  </si>
  <si>
    <t>P002-30475</t>
  </si>
  <si>
    <t xml:space="preserve">ABEL </t>
  </si>
  <si>
    <t xml:space="preserve">MODESTO SANCHEZ </t>
  </si>
  <si>
    <t>JORDIN HERRERA</t>
  </si>
  <si>
    <t xml:space="preserve">CARRASCO MANAY </t>
  </si>
  <si>
    <t xml:space="preserve">TUBOS ROTOS </t>
  </si>
  <si>
    <t xml:space="preserve">ARREGLAR TOLVA FORLAND Y MAQUINA - CALIN </t>
  </si>
  <si>
    <t>P002-30476</t>
  </si>
  <si>
    <t>P002-30477</t>
  </si>
  <si>
    <t>P002-30478</t>
  </si>
  <si>
    <t>P002-30479</t>
  </si>
  <si>
    <t>P002-30480</t>
  </si>
  <si>
    <t>P002-30481</t>
  </si>
  <si>
    <t>P002-30482</t>
  </si>
  <si>
    <t xml:space="preserve">CUBAS ACHA </t>
  </si>
  <si>
    <t xml:space="preserve">KAREN RUIZ </t>
  </si>
  <si>
    <t xml:space="preserve">ADELIO ASTONITAS </t>
  </si>
  <si>
    <t>LUNES 09-03-2026- CAJA H&amp;C</t>
  </si>
  <si>
    <t>COMPRA DE 35 M3 ARENA AMARILLA *33</t>
  </si>
  <si>
    <t xml:space="preserve">COMPRA DE 300 BLS RAPIMIX *7.6 OBRA JHON SANCHEZ </t>
  </si>
  <si>
    <t xml:space="preserve">COMPRA DE 1000 LADRILLO TECHO 15 FORTES ( AZABACHE) </t>
  </si>
  <si>
    <t>B001-1814</t>
  </si>
  <si>
    <t xml:space="preserve">ACUÑA TARRILLO MARIA </t>
  </si>
  <si>
    <t>F001-2761</t>
  </si>
  <si>
    <t>F001-2762</t>
  </si>
  <si>
    <t>F001-2763</t>
  </si>
  <si>
    <t xml:space="preserve">VASQUEZ GARCIA </t>
  </si>
  <si>
    <t>P001-40319</t>
  </si>
  <si>
    <t>P001-40320</t>
  </si>
  <si>
    <t>P001-40321</t>
  </si>
  <si>
    <t>P001-40322</t>
  </si>
  <si>
    <t>P001-40323</t>
  </si>
  <si>
    <t>P001-40324</t>
  </si>
  <si>
    <t>P001-40325</t>
  </si>
  <si>
    <t>P001-40326</t>
  </si>
  <si>
    <t>P001-40327</t>
  </si>
  <si>
    <t>P001-40328</t>
  </si>
  <si>
    <t>P001-40329</t>
  </si>
  <si>
    <t>P001-40330</t>
  </si>
  <si>
    <t>P001-40331</t>
  </si>
  <si>
    <t>P001-40332</t>
  </si>
  <si>
    <t>P001-40333</t>
  </si>
  <si>
    <t>P001-40334</t>
  </si>
  <si>
    <t>P001-40335</t>
  </si>
  <si>
    <t>P001-40336</t>
  </si>
  <si>
    <t>P001-40337</t>
  </si>
  <si>
    <t>P001-40338</t>
  </si>
  <si>
    <t>P001-40339</t>
  </si>
  <si>
    <t>P001-40340</t>
  </si>
  <si>
    <t>P001-40341</t>
  </si>
  <si>
    <t>P001-40342</t>
  </si>
  <si>
    <t>P001-40343</t>
  </si>
  <si>
    <t>P001-40344</t>
  </si>
  <si>
    <t>P001-40345</t>
  </si>
  <si>
    <t>P001-40346</t>
  </si>
  <si>
    <t>P001-40347</t>
  </si>
  <si>
    <t>P001-40348</t>
  </si>
  <si>
    <t>P001-40349</t>
  </si>
  <si>
    <t xml:space="preserve">GASTELO MUNDACA </t>
  </si>
  <si>
    <t>JOSE BENAVIDES</t>
  </si>
  <si>
    <t xml:space="preserve">CIPRIANI TELLO </t>
  </si>
  <si>
    <t xml:space="preserve">CUMPA SANTOYO </t>
  </si>
  <si>
    <t>P002-30483</t>
  </si>
  <si>
    <t>P002-30484</t>
  </si>
  <si>
    <t>P002-30485</t>
  </si>
  <si>
    <t>P002-30486</t>
  </si>
  <si>
    <t>P002-30487</t>
  </si>
  <si>
    <t>P002-30488</t>
  </si>
  <si>
    <t>P002-30489</t>
  </si>
  <si>
    <t>P002-30490</t>
  </si>
  <si>
    <t>P002-30491</t>
  </si>
  <si>
    <t>P002-30492</t>
  </si>
  <si>
    <t>P002-30493</t>
  </si>
  <si>
    <t>P002-30494</t>
  </si>
  <si>
    <t>P002-30495</t>
  </si>
  <si>
    <t>P002-30496</t>
  </si>
  <si>
    <t>P002-30497</t>
  </si>
  <si>
    <t>P002-30498</t>
  </si>
  <si>
    <t>P002-30499</t>
  </si>
  <si>
    <t>P002-30500</t>
  </si>
  <si>
    <t>P002-30501</t>
  </si>
  <si>
    <t>P002-30502</t>
  </si>
  <si>
    <t>P002-30503</t>
  </si>
  <si>
    <t>P002-30504</t>
  </si>
  <si>
    <t>P002-30505</t>
  </si>
  <si>
    <t>P002-30506</t>
  </si>
  <si>
    <t>P002-30507</t>
  </si>
  <si>
    <t>P002-30508</t>
  </si>
  <si>
    <t>P002-30509</t>
  </si>
  <si>
    <t>P002-30510</t>
  </si>
  <si>
    <t>P002-30511</t>
  </si>
  <si>
    <t>P002-30512</t>
  </si>
  <si>
    <t>P002-30513</t>
  </si>
  <si>
    <t>CLIENTE VENTAS</t>
  </si>
  <si>
    <t xml:space="preserve">ANIBAL TORRES </t>
  </si>
  <si>
    <t>SANCHEZ PEDRERA</t>
  </si>
  <si>
    <t xml:space="preserve">JHON SANCHEZ / LA VICTORIA </t>
  </si>
  <si>
    <t>P001-40350</t>
  </si>
  <si>
    <t xml:space="preserve">SUCEDO SANTISTEBAN </t>
  </si>
  <si>
    <t>P002-30514</t>
  </si>
  <si>
    <t>P002-30515</t>
  </si>
  <si>
    <t xml:space="preserve">INVERSIONES Y TRANSPORTES - LADRILLO </t>
  </si>
  <si>
    <t>P001-40351</t>
  </si>
  <si>
    <t>P001-40352</t>
  </si>
  <si>
    <t>P002-30516</t>
  </si>
  <si>
    <t>P002-30517</t>
  </si>
  <si>
    <t xml:space="preserve">JHON SANCHEZ / LA PRADERA </t>
  </si>
  <si>
    <t xml:space="preserve">CASANOVA WILDER </t>
  </si>
  <si>
    <t xml:space="preserve">PAGO DE AYUDANTE </t>
  </si>
  <si>
    <t>MARTES 10-03-2026- CAJA H&amp;C</t>
  </si>
  <si>
    <t>P001-40353</t>
  </si>
  <si>
    <t>COMPRA DE 17 M3 PIEDRA CHANCADA 1/2 *54</t>
  </si>
  <si>
    <t xml:space="preserve">COMPRA DE PRODUCTOS DE FERRETERIA A JC IMPORT </t>
  </si>
  <si>
    <t>GUEVARA EL RROLLO</t>
  </si>
  <si>
    <t xml:space="preserve">MENDOZA MONDRAGON </t>
  </si>
  <si>
    <t>P001-40354</t>
  </si>
  <si>
    <t>P001-40355</t>
  </si>
  <si>
    <t>P001-40356</t>
  </si>
  <si>
    <t>P001-40357</t>
  </si>
  <si>
    <t>P001-40358</t>
  </si>
  <si>
    <t>P001-40359</t>
  </si>
  <si>
    <t>P001-40360</t>
  </si>
  <si>
    <t>P001-40361</t>
  </si>
  <si>
    <t>P001-40362</t>
  </si>
  <si>
    <t>P001-40363</t>
  </si>
  <si>
    <t>P001-40364</t>
  </si>
  <si>
    <t>P001-40365</t>
  </si>
  <si>
    <t>P001-40366</t>
  </si>
  <si>
    <t>P001-40367</t>
  </si>
  <si>
    <t>P001-40368</t>
  </si>
  <si>
    <t>P001-40369</t>
  </si>
  <si>
    <t>P001-40370</t>
  </si>
  <si>
    <t>P001-40371</t>
  </si>
  <si>
    <t>P001-40372</t>
  </si>
  <si>
    <t>P001-40373</t>
  </si>
  <si>
    <t>P001-40374</t>
  </si>
  <si>
    <t>P001-40375</t>
  </si>
  <si>
    <t>P001-40376</t>
  </si>
  <si>
    <t>P001-40377</t>
  </si>
  <si>
    <t>P001-40378</t>
  </si>
  <si>
    <t xml:space="preserve">VASQUEZ GARCIA JUAN ELICEO </t>
  </si>
  <si>
    <t>JEINER HERRERA - FERRETERIA LA UNION</t>
  </si>
  <si>
    <t>P002-30518</t>
  </si>
  <si>
    <t>P001-40379</t>
  </si>
  <si>
    <t>P001-40380</t>
  </si>
  <si>
    <t>P001-40381</t>
  </si>
  <si>
    <t>P001-40382</t>
  </si>
  <si>
    <t>P001-40383</t>
  </si>
  <si>
    <t>P001-40384</t>
  </si>
  <si>
    <t>P001-40385</t>
  </si>
  <si>
    <t>P001-40386</t>
  </si>
  <si>
    <t>P001-40387</t>
  </si>
  <si>
    <t>P001-40388</t>
  </si>
  <si>
    <t>P001-40389</t>
  </si>
  <si>
    <t>P001-40390</t>
  </si>
  <si>
    <t xml:space="preserve">TAPIA VASQUEZ </t>
  </si>
  <si>
    <t xml:space="preserve">GIL CAMPOS NATIVIDAD </t>
  </si>
  <si>
    <t xml:space="preserve">SANTIN VASQUEZ </t>
  </si>
  <si>
    <t>P002-30519</t>
  </si>
  <si>
    <t>P002-30520</t>
  </si>
  <si>
    <t>P002-30521</t>
  </si>
  <si>
    <t>P002-30522</t>
  </si>
  <si>
    <t>P002-30523</t>
  </si>
  <si>
    <t>P002-30524</t>
  </si>
  <si>
    <t>P002-30525</t>
  </si>
  <si>
    <t>P002-30526</t>
  </si>
  <si>
    <t>P002-30527</t>
  </si>
  <si>
    <t>P002-30528</t>
  </si>
  <si>
    <t>P002-30529</t>
  </si>
  <si>
    <t>P002-30530</t>
  </si>
  <si>
    <t>P002-30531</t>
  </si>
  <si>
    <t>P002-30532</t>
  </si>
  <si>
    <t>P002-30533</t>
  </si>
  <si>
    <t>P002-30534</t>
  </si>
  <si>
    <t>P002-30535</t>
  </si>
  <si>
    <t>P002-30536</t>
  </si>
  <si>
    <t>P002-30537</t>
  </si>
  <si>
    <t>P002-30538</t>
  </si>
  <si>
    <t>P002-30539</t>
  </si>
  <si>
    <t>P002-30540</t>
  </si>
  <si>
    <t>P002-30541</t>
  </si>
  <si>
    <t>P002-30542</t>
  </si>
  <si>
    <t xml:space="preserve">LLONTOP TORO </t>
  </si>
  <si>
    <t>P001-40391</t>
  </si>
  <si>
    <t>P001-40392</t>
  </si>
  <si>
    <t>P001-40393</t>
  </si>
  <si>
    <t xml:space="preserve">2 M3 GARGUIO </t>
  </si>
  <si>
    <t>P001-40394</t>
  </si>
  <si>
    <t xml:space="preserve">COMBUSTIBLE MONTACARGA </t>
  </si>
  <si>
    <t xml:space="preserve">COMBUSTIBLE FORLAND - FUSO Y JBC </t>
  </si>
  <si>
    <t xml:space="preserve">COMBUSTIBLE MOTO ROJA </t>
  </si>
  <si>
    <t xml:space="preserve">VIDRIO CELULAR </t>
  </si>
  <si>
    <t>P001-40395</t>
  </si>
  <si>
    <t>F001-2764</t>
  </si>
  <si>
    <t>F001-2765</t>
  </si>
  <si>
    <t>F001-2766</t>
  </si>
  <si>
    <t>F001-2767</t>
  </si>
  <si>
    <t xml:space="preserve">COMPRA DE 40 FIERRO 6MM JH </t>
  </si>
  <si>
    <t xml:space="preserve">COMPRA DE 30 FIERRO 6MM JH </t>
  </si>
  <si>
    <t xml:space="preserve">CONSTRUCTORA FRONTERIZA </t>
  </si>
  <si>
    <t>F001-2768</t>
  </si>
  <si>
    <t>P001-40396</t>
  </si>
  <si>
    <t>P001-40397</t>
  </si>
  <si>
    <t>P001-40398</t>
  </si>
  <si>
    <t>P001-40399</t>
  </si>
  <si>
    <t>P001-40400</t>
  </si>
  <si>
    <t>P001-40401</t>
  </si>
  <si>
    <t>P001-40402</t>
  </si>
  <si>
    <t>P001-40403</t>
  </si>
  <si>
    <t>P001-40404</t>
  </si>
  <si>
    <t xml:space="preserve">CAMPOS BRAVO CARLOS </t>
  </si>
  <si>
    <t>CORREA JULCA</t>
  </si>
  <si>
    <t xml:space="preserve">HERNANDEZ NCRUZ </t>
  </si>
  <si>
    <t>P002-30543</t>
  </si>
  <si>
    <t>P002-30544</t>
  </si>
  <si>
    <t>P002-30545</t>
  </si>
  <si>
    <t>P002-30546</t>
  </si>
  <si>
    <t xml:space="preserve">JOSE MORE </t>
  </si>
  <si>
    <t xml:space="preserve">ESTIBADORES ADJ </t>
  </si>
  <si>
    <t xml:space="preserve">DEVOLUCION DE COMPRA DE RAPIMIX </t>
  </si>
  <si>
    <t xml:space="preserve">ADELANTO JORDY VILLANUEVA </t>
  </si>
  <si>
    <t xml:space="preserve">SALDO DE CJA </t>
  </si>
  <si>
    <t>COMPRA DE 35 ARENA AMARILLA *34</t>
  </si>
  <si>
    <t>COMPRA DE 17 M3 PIEDRA BASE *35</t>
  </si>
  <si>
    <t xml:space="preserve">INVERSIONES Y TRANSPORTES 3000 ARTESANAL Y 100 TECHO 15 </t>
  </si>
  <si>
    <t>F001-2769</t>
  </si>
  <si>
    <t>F001-2770</t>
  </si>
  <si>
    <t>F001-2771</t>
  </si>
  <si>
    <t>F001-2772</t>
  </si>
  <si>
    <t xml:space="preserve">ZAMORA CIEZA WALTER </t>
  </si>
  <si>
    <t>P001-40405</t>
  </si>
  <si>
    <t>P001-40406</t>
  </si>
  <si>
    <t>P001-40407</t>
  </si>
  <si>
    <t>P001-40408</t>
  </si>
  <si>
    <t>P001-40409</t>
  </si>
  <si>
    <t>P001-40410</t>
  </si>
  <si>
    <t>P001-40411</t>
  </si>
  <si>
    <t>P001-40412</t>
  </si>
  <si>
    <t>P001-40413</t>
  </si>
  <si>
    <t>P001-40414</t>
  </si>
  <si>
    <t>P001-40415</t>
  </si>
  <si>
    <t>P001-40416</t>
  </si>
  <si>
    <t>P001-40417</t>
  </si>
  <si>
    <t>P001-40418</t>
  </si>
  <si>
    <t>P001-40419</t>
  </si>
  <si>
    <t>P001-40420</t>
  </si>
  <si>
    <t>P001-40421</t>
  </si>
  <si>
    <t>P001-40422</t>
  </si>
  <si>
    <t>P001-40423</t>
  </si>
  <si>
    <t>P001-40424</t>
  </si>
  <si>
    <t>P001-40425</t>
  </si>
  <si>
    <t>P001-40426</t>
  </si>
  <si>
    <t>P001-40427</t>
  </si>
  <si>
    <t>P001-40428</t>
  </si>
  <si>
    <t>P001-40429</t>
  </si>
  <si>
    <t>P001-40430</t>
  </si>
  <si>
    <t>P001-40431</t>
  </si>
  <si>
    <t>P001-40432</t>
  </si>
  <si>
    <t>P001-40433</t>
  </si>
  <si>
    <t>P001-40434</t>
  </si>
  <si>
    <t>P001-40435</t>
  </si>
  <si>
    <t xml:space="preserve">MALUQUIZ TAPIA </t>
  </si>
  <si>
    <t xml:space="preserve">EDINSON VASQUEZ ROCA FUERTE </t>
  </si>
  <si>
    <t xml:space="preserve">BAZAN SILVA </t>
  </si>
  <si>
    <t xml:space="preserve">EMPRESA DE TRANSPORTES </t>
  </si>
  <si>
    <t>CABRERA CORONEL</t>
  </si>
  <si>
    <t>P002-30547</t>
  </si>
  <si>
    <t>P002-30548</t>
  </si>
  <si>
    <t>P002-30549</t>
  </si>
  <si>
    <t>P002-30550</t>
  </si>
  <si>
    <t>P002-30551</t>
  </si>
  <si>
    <t>P002-30552</t>
  </si>
  <si>
    <t>P002-30553</t>
  </si>
  <si>
    <t>P002-30554</t>
  </si>
  <si>
    <t>P002-30555</t>
  </si>
  <si>
    <t>P002-30556</t>
  </si>
  <si>
    <t>P002-30557</t>
  </si>
  <si>
    <t>P002-30558</t>
  </si>
  <si>
    <t xml:space="preserve">CHUQUIPOMA </t>
  </si>
  <si>
    <t>P002-30559</t>
  </si>
  <si>
    <t>P002-30560</t>
  </si>
  <si>
    <t>P002-30561</t>
  </si>
  <si>
    <t>P002-30562</t>
  </si>
  <si>
    <t>P002-30563</t>
  </si>
  <si>
    <t>P002-30564</t>
  </si>
  <si>
    <t>P002-30565</t>
  </si>
  <si>
    <t>P002-30566</t>
  </si>
  <si>
    <t>P002-30567</t>
  </si>
  <si>
    <t>P002-30568</t>
  </si>
  <si>
    <t>P002-30569</t>
  </si>
  <si>
    <t>P002-30570</t>
  </si>
  <si>
    <t>P002-30571</t>
  </si>
  <si>
    <t>P002-30572</t>
  </si>
  <si>
    <t>P002-30573</t>
  </si>
  <si>
    <t>P002-30574</t>
  </si>
  <si>
    <t>P002-30575</t>
  </si>
  <si>
    <t>P002-30576</t>
  </si>
  <si>
    <t>P002-30577</t>
  </si>
  <si>
    <t>P002-30578</t>
  </si>
  <si>
    <t>P002-30579</t>
  </si>
  <si>
    <t>P002-30580</t>
  </si>
  <si>
    <t>P002-30581</t>
  </si>
  <si>
    <t>P002-30582</t>
  </si>
  <si>
    <t>P002-30583</t>
  </si>
  <si>
    <t>P002-30584</t>
  </si>
  <si>
    <t xml:space="preserve">CORPORACION MARVID </t>
  </si>
  <si>
    <t xml:space="preserve">REINERIO </t>
  </si>
  <si>
    <t xml:space="preserve">SEGUNDO LLAGUENTO </t>
  </si>
  <si>
    <t xml:space="preserve">RUIZ SALAZAR </t>
  </si>
  <si>
    <t xml:space="preserve">ZAMORA </t>
  </si>
  <si>
    <t>JOSE MORE SALTUR</t>
  </si>
  <si>
    <t xml:space="preserve">QUEZQUEN QUIROZ </t>
  </si>
  <si>
    <t xml:space="preserve">VENTAS </t>
  </si>
  <si>
    <t>P001-40436</t>
  </si>
  <si>
    <t>P001-40437</t>
  </si>
  <si>
    <t>P001-40438</t>
  </si>
  <si>
    <t>COMPRA DE 100 PEGAMENTOS *16 BLANCO</t>
  </si>
  <si>
    <t>MONTALVAN PEREZ</t>
  </si>
  <si>
    <t xml:space="preserve">DEVOLUCION JORDY VLLANUEVA - JORDY </t>
  </si>
  <si>
    <t xml:space="preserve">ALMUERZO ANGEL Y JAVIER </t>
  </si>
  <si>
    <t xml:space="preserve">PAGO DE FIERRO ADJ </t>
  </si>
  <si>
    <t xml:space="preserve">COMPRA DE 9 BIDONES DE AGUA </t>
  </si>
  <si>
    <t>P001-40439</t>
  </si>
  <si>
    <t xml:space="preserve">LIMPIEZA FERRETERIA </t>
  </si>
  <si>
    <t xml:space="preserve">ARREGLAR FUSO </t>
  </si>
  <si>
    <t xml:space="preserve">DEVOLUCION DE DEPOSITO JORDIN HERRERRA BBVA </t>
  </si>
  <si>
    <t xml:space="preserve">PAGO ANGEL MORENO SABADO </t>
  </si>
  <si>
    <t xml:space="preserve">FLETE WEYNER SALTUR </t>
  </si>
  <si>
    <t>COMPRA DE 17ARENA AMARILLA *34</t>
  </si>
  <si>
    <t xml:space="preserve">GARGUIO ZAMORA </t>
  </si>
  <si>
    <t xml:space="preserve">INVERSIONES Y TRANSPORTES   </t>
  </si>
  <si>
    <t>MIERCOLES 11-03-2026- CAJA H&amp;C</t>
  </si>
  <si>
    <t>JUEVES 12-03-2026- CAJA H&amp;C</t>
  </si>
  <si>
    <t>P001-40440</t>
  </si>
  <si>
    <t xml:space="preserve">BAISTA SAC </t>
  </si>
  <si>
    <t>F001-2775</t>
  </si>
  <si>
    <t xml:space="preserve">IGLESIA ADVENTISTA </t>
  </si>
  <si>
    <t>F001-2776</t>
  </si>
  <si>
    <t xml:space="preserve">JEINER HERRERA- FERRETERIA </t>
  </si>
  <si>
    <t xml:space="preserve">HUAMAN YAJAHUANCA </t>
  </si>
  <si>
    <t>P001-40441</t>
  </si>
  <si>
    <t>P001-40442</t>
  </si>
  <si>
    <t>P001-40443</t>
  </si>
  <si>
    <t>P001-40444</t>
  </si>
  <si>
    <t>P001-40445</t>
  </si>
  <si>
    <t>P001-40446</t>
  </si>
  <si>
    <t>P001-40447</t>
  </si>
  <si>
    <t>P001-40448</t>
  </si>
  <si>
    <t>P001-40449</t>
  </si>
  <si>
    <t>P001-40450</t>
  </si>
  <si>
    <t>P001-40451</t>
  </si>
  <si>
    <t>P001-40452</t>
  </si>
  <si>
    <t>P001-40453</t>
  </si>
  <si>
    <t>P001-40454</t>
  </si>
  <si>
    <t>P001-40455</t>
  </si>
  <si>
    <t>P001-40456</t>
  </si>
  <si>
    <t>P001-40457</t>
  </si>
  <si>
    <t>P001-40458</t>
  </si>
  <si>
    <t>P001-40459</t>
  </si>
  <si>
    <t>P001-40460</t>
  </si>
  <si>
    <t>P001-40461</t>
  </si>
  <si>
    <t>P001-40462</t>
  </si>
  <si>
    <t>P001-40463</t>
  </si>
  <si>
    <t>P001-40464</t>
  </si>
  <si>
    <t>P001-40465</t>
  </si>
  <si>
    <t>P001-40466</t>
  </si>
  <si>
    <t>P001-40467</t>
  </si>
  <si>
    <t>P001-40468</t>
  </si>
  <si>
    <t>P002-30585</t>
  </si>
  <si>
    <t>P002-30586</t>
  </si>
  <si>
    <t>P002-30587</t>
  </si>
  <si>
    <t>P002-30588</t>
  </si>
  <si>
    <t>VASQUEZ JARAMILLO</t>
  </si>
  <si>
    <t>VENTA DEL DIA</t>
  </si>
  <si>
    <t>GIL CAMPOS NATIVIDAD</t>
  </si>
  <si>
    <t>VASQUEZ GARCIA</t>
  </si>
  <si>
    <t>P002-30589</t>
  </si>
  <si>
    <t>P002-30590</t>
  </si>
  <si>
    <t>P002-30591</t>
  </si>
  <si>
    <t>P002-30592</t>
  </si>
  <si>
    <t>P002-30593</t>
  </si>
  <si>
    <t>P002-30594</t>
  </si>
  <si>
    <t>P002-30595</t>
  </si>
  <si>
    <t>P002-30596</t>
  </si>
  <si>
    <t>P002-30597</t>
  </si>
  <si>
    <t>P002-30598</t>
  </si>
  <si>
    <t xml:space="preserve">INVERSIONES GIDE </t>
  </si>
  <si>
    <t xml:space="preserve">CARLA CORONADO </t>
  </si>
  <si>
    <t>P002-30599</t>
  </si>
  <si>
    <t>P002-30600</t>
  </si>
  <si>
    <t>P002-30601</t>
  </si>
  <si>
    <t>P002-30602</t>
  </si>
  <si>
    <t>P002-30603</t>
  </si>
  <si>
    <t>P002-30604</t>
  </si>
  <si>
    <t>P002-30605</t>
  </si>
  <si>
    <t>P002-30606</t>
  </si>
  <si>
    <t>P002-30607</t>
  </si>
  <si>
    <t>P002-30608</t>
  </si>
  <si>
    <t>P002-30609</t>
  </si>
  <si>
    <t>P002-30610</t>
  </si>
  <si>
    <t xml:space="preserve">ZEVALLOS </t>
  </si>
  <si>
    <t xml:space="preserve">MARIA GLADYS </t>
  </si>
  <si>
    <t xml:space="preserve">CARGUIO 4 CUBOS ZAMORA </t>
  </si>
  <si>
    <t xml:space="preserve">LLUEN SECLEN - DEVOLUCION </t>
  </si>
  <si>
    <t xml:space="preserve">PAPEL HIGIENICO </t>
  </si>
  <si>
    <t xml:space="preserve">ANGEL Y MODESTO - DESAYUNO </t>
  </si>
  <si>
    <t>P001-40469</t>
  </si>
  <si>
    <t>P001-40470</t>
  </si>
  <si>
    <t>P001-40471</t>
  </si>
  <si>
    <t>P001-40472</t>
  </si>
  <si>
    <t>P001-40473</t>
  </si>
  <si>
    <t>P001-40474</t>
  </si>
  <si>
    <t>P001-40475</t>
  </si>
  <si>
    <t>P001-40476</t>
  </si>
  <si>
    <t>P001-40477</t>
  </si>
  <si>
    <t>P001-40478</t>
  </si>
  <si>
    <t>P001-40479</t>
  </si>
  <si>
    <t xml:space="preserve">AQUINO RAMOS </t>
  </si>
  <si>
    <t xml:space="preserve">COMPRA DE LADRILLO CONCRETO 350 ANAVILLEGAS, 350 RUBIO,300 ANAVILLEGAS, 200 GONZALES </t>
  </si>
  <si>
    <t>MANAYAY</t>
  </si>
  <si>
    <t>P001-40480</t>
  </si>
  <si>
    <t>P001-40481</t>
  </si>
  <si>
    <t>P001-40482</t>
  </si>
  <si>
    <t>P001-40483</t>
  </si>
  <si>
    <t>P001-40484</t>
  </si>
  <si>
    <t>P001-40485</t>
  </si>
  <si>
    <t xml:space="preserve">PAICO ZAGACETA </t>
  </si>
  <si>
    <t xml:space="preserve">CARRERO MARIA </t>
  </si>
  <si>
    <t>COMPRA DE 35 M5 AFIRMADO *25</t>
  </si>
  <si>
    <t xml:space="preserve">COMPRA DE 35 ARENILLA </t>
  </si>
  <si>
    <t>COMPRA DE PIEDRA CHANCADA 1/2 Y 3/4</t>
  </si>
  <si>
    <t>F001-2777</t>
  </si>
  <si>
    <t>F001-2778</t>
  </si>
  <si>
    <t>F001-2779</t>
  </si>
  <si>
    <t>P001-40486</t>
  </si>
  <si>
    <t>P001-40487</t>
  </si>
  <si>
    <t>P001-40488</t>
  </si>
  <si>
    <t xml:space="preserve">LLUEN SECLEN </t>
  </si>
  <si>
    <t>WALTER CASA BLANCA</t>
  </si>
  <si>
    <t xml:space="preserve">JEINER HERRERA / CEMENTO HOCIN 20 BLS </t>
  </si>
  <si>
    <t>P002-30611</t>
  </si>
  <si>
    <t>P002-30612</t>
  </si>
  <si>
    <t>P002-30613</t>
  </si>
  <si>
    <t xml:space="preserve">ANGEL MORENO ALMUERZO </t>
  </si>
  <si>
    <t xml:space="preserve">CAMBIO DE ACEITE </t>
  </si>
  <si>
    <t xml:space="preserve">PEAJE ANGEL </t>
  </si>
  <si>
    <t>P002-30614</t>
  </si>
  <si>
    <t>ALQUILER BRENIS MARZO</t>
  </si>
  <si>
    <t xml:space="preserve">COMPRA DE ACEITE </t>
  </si>
  <si>
    <t xml:space="preserve">OMAR -PAGO </t>
  </si>
  <si>
    <t>VIERNES 13-03-2026- CAJA H&amp;C</t>
  </si>
  <si>
    <t>COMPRA DE 35 M3 ARENA AMARILLA*34</t>
  </si>
  <si>
    <t>COMP´RA DE 80 CEMENTOS AZUL PACASMAYO *32.4</t>
  </si>
  <si>
    <t xml:space="preserve">COMPRA DE 50 KG CLAVO 2.5 COFESEG </t>
  </si>
  <si>
    <t xml:space="preserve">LEGION ISMAEL </t>
  </si>
  <si>
    <t>KT CONSTRUCTORA</t>
  </si>
  <si>
    <t>F001-2780</t>
  </si>
  <si>
    <t>F001-2781</t>
  </si>
  <si>
    <t>F001-2782</t>
  </si>
  <si>
    <t>F001-2783</t>
  </si>
  <si>
    <t>F001-2784</t>
  </si>
  <si>
    <t>F001-2785</t>
  </si>
  <si>
    <t>F001-2786</t>
  </si>
  <si>
    <t xml:space="preserve">MEOÑO </t>
  </si>
  <si>
    <t>ANULADA</t>
  </si>
  <si>
    <t>F001-2787</t>
  </si>
  <si>
    <t>F001-2788</t>
  </si>
  <si>
    <t>F001-2789</t>
  </si>
  <si>
    <t>F001-2790</t>
  </si>
  <si>
    <t>F001-2791</t>
  </si>
  <si>
    <t>P001-40489</t>
  </si>
  <si>
    <t>P001-40490</t>
  </si>
  <si>
    <t>P001-40491</t>
  </si>
  <si>
    <t>P001-40492</t>
  </si>
  <si>
    <t>P001-40493</t>
  </si>
  <si>
    <t>P001-40494</t>
  </si>
  <si>
    <t>P001-40495</t>
  </si>
  <si>
    <t>P001-40496</t>
  </si>
  <si>
    <t>P001-40497</t>
  </si>
  <si>
    <t>P001-40498</t>
  </si>
  <si>
    <t>P001-40499</t>
  </si>
  <si>
    <t>P001-40500</t>
  </si>
  <si>
    <t>P001-40501</t>
  </si>
  <si>
    <t>P001-40502</t>
  </si>
  <si>
    <t>P001-40503</t>
  </si>
  <si>
    <t>P001-40504</t>
  </si>
  <si>
    <t>P001-40505</t>
  </si>
  <si>
    <t>P001-40506</t>
  </si>
  <si>
    <t>P001-40507</t>
  </si>
  <si>
    <t>P001-40508</t>
  </si>
  <si>
    <t>P001-40509</t>
  </si>
  <si>
    <t>P001-40510</t>
  </si>
  <si>
    <t>P001-40511</t>
  </si>
  <si>
    <t>P001-40512</t>
  </si>
  <si>
    <t>P001-40513</t>
  </si>
  <si>
    <t xml:space="preserve">CORDOVA ZAPATA </t>
  </si>
  <si>
    <t xml:space="preserve">HUAMAN </t>
  </si>
  <si>
    <t>P001-40514</t>
  </si>
  <si>
    <t>P001-40515</t>
  </si>
  <si>
    <t>P001-40516</t>
  </si>
  <si>
    <t>P001-40517</t>
  </si>
  <si>
    <t>P001-40518</t>
  </si>
  <si>
    <t>P001-40519</t>
  </si>
  <si>
    <t>P001-40520</t>
  </si>
  <si>
    <t>P001-40521</t>
  </si>
  <si>
    <t>P001-40522</t>
  </si>
  <si>
    <t>P001-40523</t>
  </si>
  <si>
    <t xml:space="preserve">ROMERO GONZALES </t>
  </si>
  <si>
    <t xml:space="preserve">AUTOFACIL </t>
  </si>
  <si>
    <t>P002-30615</t>
  </si>
  <si>
    <t>P002-30616</t>
  </si>
  <si>
    <t>P002-30617</t>
  </si>
  <si>
    <t>P002-30618</t>
  </si>
  <si>
    <t>P002-30619</t>
  </si>
  <si>
    <t>P002-30620</t>
  </si>
  <si>
    <t>P002-30621</t>
  </si>
  <si>
    <t>P002-30622</t>
  </si>
  <si>
    <t>P002-30623</t>
  </si>
  <si>
    <t>P002-30624</t>
  </si>
  <si>
    <t>P002-30625</t>
  </si>
  <si>
    <t>P002-30626</t>
  </si>
  <si>
    <t>P002-30627</t>
  </si>
  <si>
    <t>P002-30628</t>
  </si>
  <si>
    <t>P002-30629</t>
  </si>
  <si>
    <t>P002-30630</t>
  </si>
  <si>
    <t>P002-30631</t>
  </si>
  <si>
    <t>P002-30632</t>
  </si>
  <si>
    <t>P002-30633</t>
  </si>
  <si>
    <t>PAICO ZAGACETA</t>
  </si>
  <si>
    <t>CUBAS ACHA</t>
  </si>
  <si>
    <t xml:space="preserve">CARRERO </t>
  </si>
  <si>
    <t>P002-30634</t>
  </si>
  <si>
    <t>P002-30635</t>
  </si>
  <si>
    <t xml:space="preserve">SEGUNDO HERRERA URIARTE </t>
  </si>
  <si>
    <t xml:space="preserve">LINEA CELULAR PROMAT </t>
  </si>
  <si>
    <t xml:space="preserve">FLETE CARLOS HERRERA -CENTRO </t>
  </si>
  <si>
    <t xml:space="preserve">COMBUSTIBLE FUSO LUCAS </t>
  </si>
  <si>
    <t xml:space="preserve">JUNIOR BERNILLA </t>
  </si>
  <si>
    <t xml:space="preserve">PANCA </t>
  </si>
  <si>
    <t>SABADO 14-03-2026- CAJA H&amp;C</t>
  </si>
  <si>
    <t>COMPRA DE 35 P CHANCADA 1/2 *54</t>
  </si>
  <si>
    <t>COMPRA DE 25 CEMENTO AZUL PACASMAYO(COLLUD)</t>
  </si>
  <si>
    <t xml:space="preserve">COMPRA DE 20 CEMENTO AZUL PACASMAYO </t>
  </si>
  <si>
    <t>COMPRA DE 80 Y 15 CEMENTO AZUL PACASMAYO</t>
  </si>
  <si>
    <t xml:space="preserve">COMPRA DE 10 PIEDRA BASE - BUSTAMANTE </t>
  </si>
  <si>
    <t>B001-1815</t>
  </si>
  <si>
    <t xml:space="preserve">PEJERREY </t>
  </si>
  <si>
    <t>F001-2792</t>
  </si>
  <si>
    <t>F001-2793</t>
  </si>
  <si>
    <t>F001-2794</t>
  </si>
  <si>
    <t>F001-2795</t>
  </si>
  <si>
    <t>F001-2796</t>
  </si>
  <si>
    <t>F001-2797</t>
  </si>
  <si>
    <t>F001-2798</t>
  </si>
  <si>
    <t>P001-40524</t>
  </si>
  <si>
    <t xml:space="preserve">SANCHEZ RAMON </t>
  </si>
  <si>
    <t>P001-40525</t>
  </si>
  <si>
    <t>P001-40526</t>
  </si>
  <si>
    <t>P001-40527</t>
  </si>
  <si>
    <t>P001-40528</t>
  </si>
  <si>
    <t>P001-40529</t>
  </si>
  <si>
    <t>P001-40530</t>
  </si>
  <si>
    <t>P001-40531</t>
  </si>
  <si>
    <t>P001-40532</t>
  </si>
  <si>
    <t>P001-40533</t>
  </si>
  <si>
    <t>P001-40534</t>
  </si>
  <si>
    <t>P001-40535</t>
  </si>
  <si>
    <t>P001-40536</t>
  </si>
  <si>
    <t>P001-40537</t>
  </si>
  <si>
    <t>P001-40538</t>
  </si>
  <si>
    <t>P001-40539</t>
  </si>
  <si>
    <t>P001-40540</t>
  </si>
  <si>
    <t>P001-40541</t>
  </si>
  <si>
    <t>P001-40542</t>
  </si>
  <si>
    <t>P001-40543</t>
  </si>
  <si>
    <t>P001-40544</t>
  </si>
  <si>
    <t>P001-40545</t>
  </si>
  <si>
    <t>P001-40546</t>
  </si>
  <si>
    <t>P001-40547</t>
  </si>
  <si>
    <t>P001-40548</t>
  </si>
  <si>
    <t>P001-40549</t>
  </si>
  <si>
    <t>P001-40550</t>
  </si>
  <si>
    <t>P001-40551</t>
  </si>
  <si>
    <t>P001-40552</t>
  </si>
  <si>
    <t>P001-40553</t>
  </si>
  <si>
    <t>P001-40554</t>
  </si>
  <si>
    <t>P001-40555</t>
  </si>
  <si>
    <t>P001-40556</t>
  </si>
  <si>
    <t>P001-40557</t>
  </si>
  <si>
    <t>P001-40558</t>
  </si>
  <si>
    <t>P001-40559</t>
  </si>
  <si>
    <t>P002-30636</t>
  </si>
  <si>
    <t>P002-30637</t>
  </si>
  <si>
    <t>P002-30638</t>
  </si>
  <si>
    <t>P002-30639</t>
  </si>
  <si>
    <t>P002-30640</t>
  </si>
  <si>
    <t>P002-30641</t>
  </si>
  <si>
    <t>P002-30642</t>
  </si>
  <si>
    <t>P002-30643</t>
  </si>
  <si>
    <t>P002-30644</t>
  </si>
  <si>
    <t>P002-30645</t>
  </si>
  <si>
    <t>P002-30646</t>
  </si>
  <si>
    <t>P002-30647</t>
  </si>
  <si>
    <t>P002-30648</t>
  </si>
  <si>
    <t xml:space="preserve">HERNANDEZ VASQUEZ </t>
  </si>
  <si>
    <t>YDROGO GALVEZ YONATAN</t>
  </si>
  <si>
    <t xml:space="preserve">RAMIREZ HERNANDEZ </t>
  </si>
  <si>
    <t xml:space="preserve">ACOSTA DE SANTA CRUZ </t>
  </si>
  <si>
    <t xml:space="preserve">AUTO FACIL </t>
  </si>
  <si>
    <t xml:space="preserve">RAMOS FERNANDEZ </t>
  </si>
  <si>
    <t xml:space="preserve">GALVEZ NUÑEZ </t>
  </si>
  <si>
    <t xml:space="preserve">CUBAS RODRIGUEZ </t>
  </si>
  <si>
    <t xml:space="preserve">NEYSER BARBOZA- PAGO </t>
  </si>
  <si>
    <t xml:space="preserve">COMBUSTIBLE FORLAND ANGEL </t>
  </si>
  <si>
    <t>PARCHE DE LLANTA - MOTO VIEJA</t>
  </si>
  <si>
    <t xml:space="preserve">ALMUERZO MODESTO Y JULIAN </t>
  </si>
  <si>
    <t xml:space="preserve">FRANCIS PAGO </t>
  </si>
  <si>
    <t xml:space="preserve">A CUENTA ROJO HOLCIM - DEYVI RIMARACHIN </t>
  </si>
  <si>
    <t>COMBUSTIBLE MOTO ROJA VIEJA</t>
  </si>
  <si>
    <t xml:space="preserve">PETROLEO JBC - OMAR </t>
  </si>
  <si>
    <t>P002-30649</t>
  </si>
  <si>
    <t>P002-30650</t>
  </si>
  <si>
    <t>P002-30651</t>
  </si>
  <si>
    <t>P002-30652</t>
  </si>
  <si>
    <t>F001-2799</t>
  </si>
  <si>
    <t>MULTISERVICIOS</t>
  </si>
  <si>
    <t xml:space="preserve">APOYO CARGUIO JORDY </t>
  </si>
  <si>
    <t xml:space="preserve">FLETES JORDIN HERRERA </t>
  </si>
  <si>
    <t xml:space="preserve">SOBRANTE DE CJA </t>
  </si>
  <si>
    <t xml:space="preserve">JAVIER SALAZAR </t>
  </si>
  <si>
    <t xml:space="preserve">OMAR Y EDUARDO </t>
  </si>
  <si>
    <t>ANAYELY JIMENEZ</t>
  </si>
  <si>
    <t xml:space="preserve">COMPRA DE 50 CEMENTO AZUL HOLCIM </t>
  </si>
  <si>
    <t>DOMINGO 15-03-2026- CAJA H&amp;C</t>
  </si>
  <si>
    <t>F001-2800</t>
  </si>
  <si>
    <t xml:space="preserve">TRANSPORTES DEL NORTE </t>
  </si>
  <si>
    <t>P001-40560</t>
  </si>
  <si>
    <t xml:space="preserve">CHERREZ LEYVA </t>
  </si>
  <si>
    <t>P001-40561</t>
  </si>
  <si>
    <t>P001-40562</t>
  </si>
  <si>
    <t>P001-40563</t>
  </si>
  <si>
    <t>P001-40564</t>
  </si>
  <si>
    <t>P001-40565</t>
  </si>
  <si>
    <t>P001-40566</t>
  </si>
  <si>
    <t>P001-40567</t>
  </si>
  <si>
    <t>P001-40568</t>
  </si>
  <si>
    <t>P001-40569</t>
  </si>
  <si>
    <t>P001-40570</t>
  </si>
  <si>
    <t>P001-40571</t>
  </si>
  <si>
    <t>P001-40572</t>
  </si>
  <si>
    <t>P001-40573</t>
  </si>
  <si>
    <t>P001-40574</t>
  </si>
  <si>
    <t>P001-40575</t>
  </si>
  <si>
    <t>P001-40576</t>
  </si>
  <si>
    <t>P001-40577</t>
  </si>
  <si>
    <t>P001-40578</t>
  </si>
  <si>
    <t>P001-40579</t>
  </si>
  <si>
    <t>P001-40580</t>
  </si>
  <si>
    <t>P001-40581</t>
  </si>
  <si>
    <t>P001-40582</t>
  </si>
  <si>
    <t>P001-40583</t>
  </si>
  <si>
    <t>P001-40584</t>
  </si>
  <si>
    <t>P001-40585</t>
  </si>
  <si>
    <t>P001-40586</t>
  </si>
  <si>
    <t>P001-40587</t>
  </si>
  <si>
    <t>P001-40588</t>
  </si>
  <si>
    <t>P001-40589</t>
  </si>
  <si>
    <t>P001-40590</t>
  </si>
  <si>
    <t>P001-40591</t>
  </si>
  <si>
    <t>P001-40592</t>
  </si>
  <si>
    <t>P001-40593</t>
  </si>
  <si>
    <t>P001-40594</t>
  </si>
  <si>
    <t>P001-40595</t>
  </si>
  <si>
    <t>P001-40596</t>
  </si>
  <si>
    <t>P001-40597</t>
  </si>
  <si>
    <t>P001-40598</t>
  </si>
  <si>
    <t>P001-40599</t>
  </si>
  <si>
    <t>P001-40600</t>
  </si>
  <si>
    <t>P001-40601</t>
  </si>
  <si>
    <t>P001-40602</t>
  </si>
  <si>
    <t>P001-40603</t>
  </si>
  <si>
    <t>P001-40604</t>
  </si>
  <si>
    <t>P001-40605</t>
  </si>
  <si>
    <t xml:space="preserve">CHAVEZ PAZ </t>
  </si>
  <si>
    <t xml:space="preserve">EBERSON </t>
  </si>
  <si>
    <t xml:space="preserve">PEREZ </t>
  </si>
  <si>
    <t xml:space="preserve">CARUAMANBO </t>
  </si>
  <si>
    <t>ANAYELY JIMENES</t>
  </si>
  <si>
    <t xml:space="preserve">LEON </t>
  </si>
  <si>
    <t xml:space="preserve">ESTIBADORES CEMENTO </t>
  </si>
  <si>
    <t xml:space="preserve">ADELANTO ORLANDO VASQUEZ </t>
  </si>
  <si>
    <t xml:space="preserve">AYUDANTE </t>
  </si>
  <si>
    <t>LUNES 16-03-2026- CAJA H&amp;C</t>
  </si>
  <si>
    <t>COMPRA DE 8.5 M3 HORMIGON( SEMANA)*35</t>
  </si>
  <si>
    <t>F001-2801</t>
  </si>
  <si>
    <t>F001-2802</t>
  </si>
  <si>
    <t xml:space="preserve">HUAMAN PARIACURI </t>
  </si>
  <si>
    <t>P001-40606</t>
  </si>
  <si>
    <t>P001-40607</t>
  </si>
  <si>
    <t>P001-40608</t>
  </si>
  <si>
    <t>P001-40609</t>
  </si>
  <si>
    <t>P001-40610</t>
  </si>
  <si>
    <t>P001-40611</t>
  </si>
  <si>
    <t>P001-40612</t>
  </si>
  <si>
    <t>P001-40613</t>
  </si>
  <si>
    <t>P001-40614</t>
  </si>
  <si>
    <t>P001-40615</t>
  </si>
  <si>
    <t>P001-40616</t>
  </si>
  <si>
    <t>P001-40617</t>
  </si>
  <si>
    <t>P001-40618</t>
  </si>
  <si>
    <t>P001-40619</t>
  </si>
  <si>
    <t>P002-30653</t>
  </si>
  <si>
    <t>P002-30654</t>
  </si>
  <si>
    <t>P002-30655</t>
  </si>
  <si>
    <t>P002-30656</t>
  </si>
  <si>
    <t>P002-30657</t>
  </si>
  <si>
    <t>P002-30658</t>
  </si>
  <si>
    <t>P002-30659</t>
  </si>
  <si>
    <t>P002-30660</t>
  </si>
  <si>
    <t>P002-30661</t>
  </si>
  <si>
    <t>P002-30662</t>
  </si>
  <si>
    <t>P002-30663</t>
  </si>
  <si>
    <t>P002-30664</t>
  </si>
  <si>
    <t>P002-30665</t>
  </si>
  <si>
    <t>P002-30666</t>
  </si>
  <si>
    <t>P002-30667</t>
  </si>
  <si>
    <t>P002-30668</t>
  </si>
  <si>
    <t>FLETE CARLOS HERRERA CENTRO</t>
  </si>
  <si>
    <t xml:space="preserve">OBLITAS TUMAN </t>
  </si>
  <si>
    <t xml:space="preserve">JUDITH OBLITAS </t>
  </si>
  <si>
    <t>RAMIREZ HERNANDEZ</t>
  </si>
  <si>
    <t xml:space="preserve">LLONTOP ASTRID </t>
  </si>
  <si>
    <t>EMPRESA AGROINDUSTRIAL</t>
  </si>
  <si>
    <t>P001-40620</t>
  </si>
  <si>
    <t>P001-40621</t>
  </si>
  <si>
    <t>P001-40622</t>
  </si>
  <si>
    <t>P001-40623</t>
  </si>
  <si>
    <t>P001-40624</t>
  </si>
  <si>
    <t>P001-40625</t>
  </si>
  <si>
    <t>P001-40626</t>
  </si>
  <si>
    <t>P001-40627</t>
  </si>
  <si>
    <t>P001-40628</t>
  </si>
  <si>
    <t>P001-40629</t>
  </si>
  <si>
    <t>P001-40630</t>
  </si>
  <si>
    <t>P001-40631</t>
  </si>
  <si>
    <t>P001-40632</t>
  </si>
  <si>
    <t xml:space="preserve">COMPRA DE 35 AFIRMADO </t>
  </si>
  <si>
    <t>F001-2803</t>
  </si>
  <si>
    <t>P001-40633</t>
  </si>
  <si>
    <t>P001-40634</t>
  </si>
  <si>
    <t>P001-40635</t>
  </si>
  <si>
    <t>P001-40636</t>
  </si>
  <si>
    <t>P001-40637</t>
  </si>
  <si>
    <t xml:space="preserve">INGENIERO CHICOMA </t>
  </si>
  <si>
    <t>P002-30669</t>
  </si>
  <si>
    <t>P002-30670</t>
  </si>
  <si>
    <t>P002-30671</t>
  </si>
  <si>
    <t>P002-30672</t>
  </si>
  <si>
    <t>P002-30673</t>
  </si>
  <si>
    <t>P002-30674</t>
  </si>
  <si>
    <t xml:space="preserve">VASQUEZ COTRINA </t>
  </si>
  <si>
    <t xml:space="preserve">A CUENTA ESTIBADORES HOLCIM </t>
  </si>
  <si>
    <t>COMPRA DE 500 LADRILLO CONCRETO *1.65</t>
  </si>
  <si>
    <t>JORDY VILLANUEVA -FLETE TUMAN</t>
  </si>
  <si>
    <t>MARTES 17-03-2026- CAJA H&amp;C</t>
  </si>
  <si>
    <t xml:space="preserve">COMPRA DE 4 PIEDRA OVER 40+8PLUMAS+6 PASAJE </t>
  </si>
  <si>
    <t xml:space="preserve">COMPRA DE 5 CAJAS DE AGUA </t>
  </si>
  <si>
    <t>COMPRA DE 60 RAPIMIX *7.6</t>
  </si>
  <si>
    <t xml:space="preserve">COMPRA DE 116 FIERRO 1/2 *32.15- OBRA MAESTRO VEGA </t>
  </si>
  <si>
    <t>F001-2805</t>
  </si>
  <si>
    <t>F001-2806</t>
  </si>
  <si>
    <t>F001-2807</t>
  </si>
  <si>
    <t>F001-2808</t>
  </si>
  <si>
    <t>P001-40638</t>
  </si>
  <si>
    <t>P001-40639</t>
  </si>
  <si>
    <t>P001-40640</t>
  </si>
  <si>
    <t>P001-40641</t>
  </si>
  <si>
    <t>P001-40642</t>
  </si>
  <si>
    <t>P001-40643</t>
  </si>
  <si>
    <t>P001-40644</t>
  </si>
  <si>
    <t>P001-40645</t>
  </si>
  <si>
    <t>P001-40646</t>
  </si>
  <si>
    <t>P001-40647</t>
  </si>
  <si>
    <t>P001-40648</t>
  </si>
  <si>
    <t>P001-40649</t>
  </si>
  <si>
    <t>P001-40650</t>
  </si>
  <si>
    <t>P001-40651</t>
  </si>
  <si>
    <t>P001-40652</t>
  </si>
  <si>
    <t>P001-40653</t>
  </si>
  <si>
    <t>P001-40654</t>
  </si>
  <si>
    <t>P001-40655</t>
  </si>
  <si>
    <t>P001-40656</t>
  </si>
  <si>
    <t>P001-40657</t>
  </si>
  <si>
    <t>P001-40658</t>
  </si>
  <si>
    <t>P002-30675</t>
  </si>
  <si>
    <t>P002-30676</t>
  </si>
  <si>
    <t>P002-30677</t>
  </si>
  <si>
    <t>P002-30678</t>
  </si>
  <si>
    <t>P002-30679</t>
  </si>
  <si>
    <t>P002-30680</t>
  </si>
  <si>
    <t>P002-30681</t>
  </si>
  <si>
    <t>P002-30682</t>
  </si>
  <si>
    <t>P002-30683</t>
  </si>
  <si>
    <t>P002-30684</t>
  </si>
  <si>
    <t>P002-30685</t>
  </si>
  <si>
    <t>P002-30686</t>
  </si>
  <si>
    <t>P002-30687</t>
  </si>
  <si>
    <t>P002-30688</t>
  </si>
  <si>
    <t>P002-30689</t>
  </si>
  <si>
    <t>P002-30690</t>
  </si>
  <si>
    <t xml:space="preserve">LAINES </t>
  </si>
  <si>
    <t xml:space="preserve">JACKELINE LLATAS </t>
  </si>
  <si>
    <t xml:space="preserve">SEGUNDO LLAGUENDO </t>
  </si>
  <si>
    <t xml:space="preserve">SANTA CRUZ CERVERA </t>
  </si>
  <si>
    <t xml:space="preserve">INGRESO A LA CUENTA </t>
  </si>
  <si>
    <t xml:space="preserve">ALMUERZO LUCAS, MODESTO Y JOSE </t>
  </si>
  <si>
    <t xml:space="preserve">COMBUSTIBLE MOTO VIEJA </t>
  </si>
  <si>
    <t>MIERCOLES 18-03-2026- CAJA H&amp;C</t>
  </si>
  <si>
    <t>COMPRA DE 1 ROLLO DE ALAMBRE 16</t>
  </si>
  <si>
    <t>COMPRA DE 7 FIERRO 3/4*74</t>
  </si>
  <si>
    <t>COFESEG</t>
  </si>
  <si>
    <t>F001-2809</t>
  </si>
  <si>
    <t>F001-2810</t>
  </si>
  <si>
    <t>F001-2811</t>
  </si>
  <si>
    <t>P001-40659</t>
  </si>
  <si>
    <t>P001-40660</t>
  </si>
  <si>
    <t>P001-40661</t>
  </si>
  <si>
    <t>P001-40662</t>
  </si>
  <si>
    <t>P001-40663</t>
  </si>
  <si>
    <t>P001-40664</t>
  </si>
  <si>
    <t>P001-40665</t>
  </si>
  <si>
    <t>P001-40666</t>
  </si>
  <si>
    <t>P001-40667</t>
  </si>
  <si>
    <t>P001-40668</t>
  </si>
  <si>
    <t>P001-40669</t>
  </si>
  <si>
    <t>P001-40670</t>
  </si>
  <si>
    <t>P001-40671</t>
  </si>
  <si>
    <t>P001-40672</t>
  </si>
  <si>
    <t>P001-40673</t>
  </si>
  <si>
    <t>P001-40674</t>
  </si>
  <si>
    <t>P001-40675</t>
  </si>
  <si>
    <t>P001-40676</t>
  </si>
  <si>
    <t>P001-40677</t>
  </si>
  <si>
    <t xml:space="preserve">ANULADA </t>
  </si>
  <si>
    <t xml:space="preserve">RODAS CARHUATANTA </t>
  </si>
  <si>
    <t xml:space="preserve">SALAZAR DIAZ </t>
  </si>
  <si>
    <t>CAMPOS BURGOS SALOMON</t>
  </si>
  <si>
    <t>P001-40678</t>
  </si>
  <si>
    <t>P001-40679</t>
  </si>
  <si>
    <t>P001-40680</t>
  </si>
  <si>
    <t>P001-40681</t>
  </si>
  <si>
    <t>P001-40682</t>
  </si>
  <si>
    <t>P001-40683</t>
  </si>
  <si>
    <t>P001-40684</t>
  </si>
  <si>
    <t>P001-40685</t>
  </si>
  <si>
    <t>P001-40686</t>
  </si>
  <si>
    <t>P001-40687</t>
  </si>
  <si>
    <t>P001-40688</t>
  </si>
  <si>
    <t>P001-40689</t>
  </si>
  <si>
    <t>P001-40690</t>
  </si>
  <si>
    <t>P001-40691</t>
  </si>
  <si>
    <t>P001-40692</t>
  </si>
  <si>
    <t>P001-40693</t>
  </si>
  <si>
    <t>P001-40694</t>
  </si>
  <si>
    <t>P001-40695</t>
  </si>
  <si>
    <t>P001-40696</t>
  </si>
  <si>
    <t>P001-40697</t>
  </si>
  <si>
    <t xml:space="preserve">GRUPO CORPORATIVO </t>
  </si>
  <si>
    <t xml:space="preserve">LARIOS BERNAL </t>
  </si>
  <si>
    <t xml:space="preserve">VASQUEZ GARCIA JUAN </t>
  </si>
  <si>
    <t xml:space="preserve">JUAREZ GARCIA </t>
  </si>
  <si>
    <t xml:space="preserve">SANTA CRUZ </t>
  </si>
  <si>
    <t>P001-40698</t>
  </si>
  <si>
    <t>P002-30691</t>
  </si>
  <si>
    <t>P002-30692</t>
  </si>
  <si>
    <t>P002-30693</t>
  </si>
  <si>
    <t>P002-30694</t>
  </si>
  <si>
    <t>P002-30695</t>
  </si>
  <si>
    <t>P002-30696</t>
  </si>
  <si>
    <t>P002-30697</t>
  </si>
  <si>
    <t>P002-30698</t>
  </si>
  <si>
    <t>P002-30699</t>
  </si>
  <si>
    <t>P002-30700</t>
  </si>
  <si>
    <t>P002-30701</t>
  </si>
  <si>
    <t>P002-30702</t>
  </si>
  <si>
    <t>P002-30703</t>
  </si>
  <si>
    <t>P002-30704</t>
  </si>
  <si>
    <t>P002-30705</t>
  </si>
  <si>
    <t>P002-30706</t>
  </si>
  <si>
    <t>P002-30707</t>
  </si>
  <si>
    <t>P002-30708</t>
  </si>
  <si>
    <t>P002-30709</t>
  </si>
  <si>
    <t>P002-30710</t>
  </si>
  <si>
    <t>P002-30711</t>
  </si>
  <si>
    <t>P002-30712</t>
  </si>
  <si>
    <t>P002-30713</t>
  </si>
  <si>
    <t>P002-30714</t>
  </si>
  <si>
    <t>P002-30715</t>
  </si>
  <si>
    <t>P002-30716</t>
  </si>
  <si>
    <t xml:space="preserve">JUAREZ CAMPOS </t>
  </si>
  <si>
    <t>GUEVARA ROJAS VILMA(PAICO)</t>
  </si>
  <si>
    <t xml:space="preserve">SORIANO MUNDACA </t>
  </si>
  <si>
    <t xml:space="preserve">AGRIPINA </t>
  </si>
  <si>
    <t xml:space="preserve">DELGADO TARRILLO </t>
  </si>
  <si>
    <t xml:space="preserve">COMPARTIR ANAYELY </t>
  </si>
  <si>
    <t>A CUENTA ROJO HOLCIM - RIMARACHIN</t>
  </si>
  <si>
    <t>P002-30717</t>
  </si>
  <si>
    <t>DEVOLUCION PROMAT PAGO DE OMAR</t>
  </si>
  <si>
    <t>COMPRA DE 2000 ARTESANAL PEQUEÑO 0.35 Y 2000 BODOQUE 0.45</t>
  </si>
  <si>
    <t xml:space="preserve">COMBUSTIBLE JBC 2- CARGADOR </t>
  </si>
  <si>
    <t xml:space="preserve">DEVOLUCION DE DEPOSITO CERVERA MANUEL </t>
  </si>
  <si>
    <t>JUEVES 19-03-2026- CAJA H&amp;C</t>
  </si>
  <si>
    <t>P001-40699</t>
  </si>
  <si>
    <t>COMPRA DE 35 P CHAN 1/2 *54</t>
  </si>
  <si>
    <t>COMPRA DE 2 ROLLOS ALAMBRE *3.3</t>
  </si>
  <si>
    <t>CORPORACION HERRERA</t>
  </si>
  <si>
    <t>F001-2812</t>
  </si>
  <si>
    <t>MANAYAY LUCERO</t>
  </si>
  <si>
    <t>F001-2813</t>
  </si>
  <si>
    <t>F001-2814</t>
  </si>
  <si>
    <t>F001-2815</t>
  </si>
  <si>
    <t>F001-2816</t>
  </si>
  <si>
    <t>F001-2817</t>
  </si>
  <si>
    <t>F001-2818</t>
  </si>
  <si>
    <t>F001-2819</t>
  </si>
  <si>
    <t>F001-2820</t>
  </si>
  <si>
    <t>F001-2821</t>
  </si>
  <si>
    <t>P001-40700</t>
  </si>
  <si>
    <t>P001-40701</t>
  </si>
  <si>
    <t>P001-40702</t>
  </si>
  <si>
    <t>P001-40703</t>
  </si>
  <si>
    <t>P001-40704</t>
  </si>
  <si>
    <t>P001-40705</t>
  </si>
  <si>
    <t>P001-40706</t>
  </si>
  <si>
    <t>P001-40707</t>
  </si>
  <si>
    <t>P001-40708</t>
  </si>
  <si>
    <t>P001-40709</t>
  </si>
  <si>
    <t>P001-40710</t>
  </si>
  <si>
    <t>P001-40711</t>
  </si>
  <si>
    <t>P001-40712</t>
  </si>
  <si>
    <t>P001-40713</t>
  </si>
  <si>
    <t>P001-40714</t>
  </si>
  <si>
    <t>P001-40715</t>
  </si>
  <si>
    <t>P001-40716</t>
  </si>
  <si>
    <t>P001-40717</t>
  </si>
  <si>
    <t>P001-40718</t>
  </si>
  <si>
    <t>P001-40719</t>
  </si>
  <si>
    <t>P001-40720</t>
  </si>
  <si>
    <t>P001-40721</t>
  </si>
  <si>
    <t>P001-40722</t>
  </si>
  <si>
    <t>P001-40723</t>
  </si>
  <si>
    <t>P001-40724</t>
  </si>
  <si>
    <t>P001-40725</t>
  </si>
  <si>
    <t>P001-40726</t>
  </si>
  <si>
    <t>P002-30718</t>
  </si>
  <si>
    <t>P002-30719</t>
  </si>
  <si>
    <t>P002-30720</t>
  </si>
  <si>
    <t>P002-30721</t>
  </si>
  <si>
    <t>P002-30722</t>
  </si>
  <si>
    <t>P002-30723</t>
  </si>
  <si>
    <t>P002-30724</t>
  </si>
  <si>
    <t>P002-30725</t>
  </si>
  <si>
    <t>P002-30726</t>
  </si>
  <si>
    <t>P002-30727</t>
  </si>
  <si>
    <t>P002-30728</t>
  </si>
  <si>
    <t>P002-30729</t>
  </si>
  <si>
    <t>P002-30730</t>
  </si>
  <si>
    <t>P002-30731</t>
  </si>
  <si>
    <t>P002-30732</t>
  </si>
  <si>
    <t>P002-30733</t>
  </si>
  <si>
    <t>P002-30734</t>
  </si>
  <si>
    <t>P002-30735</t>
  </si>
  <si>
    <t>P002-30736</t>
  </si>
  <si>
    <t>P002-30737</t>
  </si>
  <si>
    <t>P002-30738</t>
  </si>
  <si>
    <t>P002-30739</t>
  </si>
  <si>
    <t>P002-30740</t>
  </si>
  <si>
    <t>P002-30741</t>
  </si>
  <si>
    <t>P002-30742</t>
  </si>
  <si>
    <t>P002-30743</t>
  </si>
  <si>
    <t>P002-30744</t>
  </si>
  <si>
    <t>P002-30745</t>
  </si>
  <si>
    <t>P002-30746</t>
  </si>
  <si>
    <t>P002-30747</t>
  </si>
  <si>
    <t>P002-30748</t>
  </si>
  <si>
    <t>P002-30749</t>
  </si>
  <si>
    <t xml:space="preserve">HENRRY CRUZ </t>
  </si>
  <si>
    <t>RUIZ SALAZAR</t>
  </si>
  <si>
    <t>URIARTE RODRIGO</t>
  </si>
  <si>
    <t>DILMER RODAS</t>
  </si>
  <si>
    <t xml:space="preserve">SANHEZ QUINTOS </t>
  </si>
  <si>
    <t xml:space="preserve">CHIRINOS RIOS </t>
  </si>
  <si>
    <t>MONTENEGRO BRAVO</t>
  </si>
  <si>
    <t xml:space="preserve">FRANK ALEX </t>
  </si>
  <si>
    <t>LADRILLO JORDIN HERRERA 14-03</t>
  </si>
  <si>
    <t>FLETE CARLOS HERRERA 17-03</t>
  </si>
  <si>
    <t xml:space="preserve">FLETE CARRETERA A PIMENTEL - WILSON </t>
  </si>
  <si>
    <t xml:space="preserve">FLETE SEGIK </t>
  </si>
  <si>
    <t xml:space="preserve">PARCHE DE LLANTA JBC </t>
  </si>
  <si>
    <t>CAMPOS BURGOS</t>
  </si>
  <si>
    <t xml:space="preserve">FLETE POMALCA </t>
  </si>
  <si>
    <t>P001-40727</t>
  </si>
  <si>
    <t xml:space="preserve">DEVOLUCION DE DEPOSITO ARSENIO MEJIA </t>
  </si>
  <si>
    <t>VIERNES 20-03-2026- CAJA H&amp;C</t>
  </si>
  <si>
    <t>COMPRA DE 17 PIEDRA CHANCADA 1/2*57</t>
  </si>
  <si>
    <t>COMPRA DE 35 M3 ARENILLA *16</t>
  </si>
  <si>
    <t>ALMACEN</t>
  </si>
  <si>
    <t>COMPRA LADRILLO CONCRETO (300 FERRETERIA,200 RUBIO,35 VILLEGAS)</t>
  </si>
  <si>
    <t>F001-2822</t>
  </si>
  <si>
    <t>P001-40728</t>
  </si>
  <si>
    <t>P001-40729</t>
  </si>
  <si>
    <t>P001-40730</t>
  </si>
  <si>
    <t>P001-40731</t>
  </si>
  <si>
    <t>P001-40732</t>
  </si>
  <si>
    <t>P001-40733</t>
  </si>
  <si>
    <t>P001-40734</t>
  </si>
  <si>
    <t>P001-40735</t>
  </si>
  <si>
    <t>P001-40736</t>
  </si>
  <si>
    <t>P001-40737</t>
  </si>
  <si>
    <t>P001-40738</t>
  </si>
  <si>
    <t>P001-40739</t>
  </si>
  <si>
    <t>P001-40740</t>
  </si>
  <si>
    <t>P001-40741</t>
  </si>
  <si>
    <t>P001-40742</t>
  </si>
  <si>
    <t>P001-40743</t>
  </si>
  <si>
    <t>P001-40744</t>
  </si>
  <si>
    <t>P001-40745</t>
  </si>
  <si>
    <t>P001-40746</t>
  </si>
  <si>
    <t>P001-40747</t>
  </si>
  <si>
    <t>P001-40748</t>
  </si>
  <si>
    <t>P001-40749</t>
  </si>
  <si>
    <t>P001-40750</t>
  </si>
  <si>
    <t>P001-40751</t>
  </si>
  <si>
    <t>P001-40752</t>
  </si>
  <si>
    <t>P001-40753</t>
  </si>
  <si>
    <t>P001-40754</t>
  </si>
  <si>
    <t>P001-40755</t>
  </si>
  <si>
    <t>P001-40756</t>
  </si>
  <si>
    <t>P001-40757</t>
  </si>
  <si>
    <t>P001-40758</t>
  </si>
  <si>
    <t>PEREZ CHILET</t>
  </si>
  <si>
    <t>SANCHEZ RAMON</t>
  </si>
  <si>
    <t>P002-30750</t>
  </si>
  <si>
    <t>P002-30751</t>
  </si>
  <si>
    <t>P002-30752</t>
  </si>
  <si>
    <t>P002-30753</t>
  </si>
  <si>
    <t>P002-30754</t>
  </si>
  <si>
    <t>P002-30755</t>
  </si>
  <si>
    <t>P002-30756</t>
  </si>
  <si>
    <t>P002-30757</t>
  </si>
  <si>
    <t>P002-30758</t>
  </si>
  <si>
    <t>P002-30759</t>
  </si>
  <si>
    <t>P002-30760</t>
  </si>
  <si>
    <t>P002-30761</t>
  </si>
  <si>
    <t>P002-30762</t>
  </si>
  <si>
    <t>P002-30763</t>
  </si>
  <si>
    <t>P002-30764</t>
  </si>
  <si>
    <t>P002-30765</t>
  </si>
  <si>
    <t>P002-30766</t>
  </si>
  <si>
    <t>P002-30767</t>
  </si>
  <si>
    <t xml:space="preserve">HERRERA JIBAJA </t>
  </si>
  <si>
    <t xml:space="preserve">HERIBERTO </t>
  </si>
  <si>
    <t>P001-40759</t>
  </si>
  <si>
    <t>P001-40760</t>
  </si>
  <si>
    <t xml:space="preserve">JEINER HERRERA  </t>
  </si>
  <si>
    <t xml:space="preserve">FLETE 100 LADRILLO ORLANDO </t>
  </si>
  <si>
    <t>ALMUERZO ADELIO 17-03</t>
  </si>
  <si>
    <t xml:space="preserve">ORLANDO VASQUEZ </t>
  </si>
  <si>
    <t xml:space="preserve">PROGRESO PATAPO -MODESTO </t>
  </si>
  <si>
    <t>P001-40761</t>
  </si>
  <si>
    <t xml:space="preserve">JULCA BRAVO </t>
  </si>
  <si>
    <t xml:space="preserve">COMBUSTIBLE JBC - OMAR </t>
  </si>
  <si>
    <t>F001-2823</t>
  </si>
  <si>
    <t xml:space="preserve">AKHANTHA </t>
  </si>
  <si>
    <t xml:space="preserve">PAGO EDUARDO Y JAVIER </t>
  </si>
  <si>
    <t xml:space="preserve">PAGO MIGUEL CARRANZA </t>
  </si>
  <si>
    <t>P002-30768</t>
  </si>
  <si>
    <t>ALADINO TORRES</t>
  </si>
  <si>
    <t>SABADO 21-03-2026- CAJA H&amp;C</t>
  </si>
  <si>
    <t>COMPRA DE 35 ARENA AMARILLA*34</t>
  </si>
  <si>
    <t>B001-1816</t>
  </si>
  <si>
    <t xml:space="preserve">RODRIGUEZ CORDOVA </t>
  </si>
  <si>
    <t>COMPRA DE 2 ROLLOS DE ALAMBRE 16*3.3</t>
  </si>
  <si>
    <t xml:space="preserve">FERROCONSTRUCTORA </t>
  </si>
  <si>
    <t>F001-2824</t>
  </si>
  <si>
    <t>F001-2825</t>
  </si>
  <si>
    <t>F001-2826</t>
  </si>
  <si>
    <t>F001-2827</t>
  </si>
  <si>
    <t xml:space="preserve">GAETANI </t>
  </si>
  <si>
    <t>P001-40762</t>
  </si>
  <si>
    <t>P001-40763</t>
  </si>
  <si>
    <t>P001-40764</t>
  </si>
  <si>
    <t>P001-40765</t>
  </si>
  <si>
    <t>P001-40766</t>
  </si>
  <si>
    <t>P001-40767</t>
  </si>
  <si>
    <t>P001-40768</t>
  </si>
  <si>
    <t>P001-40769</t>
  </si>
  <si>
    <t>P001-40770</t>
  </si>
  <si>
    <t>P001-40771</t>
  </si>
  <si>
    <t>P001-40772</t>
  </si>
  <si>
    <t>P001-40773</t>
  </si>
  <si>
    <t>P001-40774</t>
  </si>
  <si>
    <t>P001-40775</t>
  </si>
  <si>
    <t>P001-40776</t>
  </si>
  <si>
    <t>P001-40777</t>
  </si>
  <si>
    <t>P001-40778</t>
  </si>
  <si>
    <t>P001-40779</t>
  </si>
  <si>
    <t>P001-40780</t>
  </si>
  <si>
    <t>P001-40781</t>
  </si>
  <si>
    <t>P001-40782</t>
  </si>
  <si>
    <t>P001-40783</t>
  </si>
  <si>
    <t>P001-40784</t>
  </si>
  <si>
    <t>P001-40785</t>
  </si>
  <si>
    <t>P001-40786</t>
  </si>
  <si>
    <t>P001-40787</t>
  </si>
  <si>
    <t>P001-40788</t>
  </si>
  <si>
    <t>P001-40789</t>
  </si>
  <si>
    <t>P001-40790</t>
  </si>
  <si>
    <t>P001-40791</t>
  </si>
  <si>
    <t>P001-40792</t>
  </si>
  <si>
    <t>P001-40793</t>
  </si>
  <si>
    <t>P001-40794</t>
  </si>
  <si>
    <t>P001-40795</t>
  </si>
  <si>
    <t>P001-40796</t>
  </si>
  <si>
    <t>P001-40797</t>
  </si>
  <si>
    <t>P001-40798</t>
  </si>
  <si>
    <t>P001-40799</t>
  </si>
  <si>
    <t>P001-40800</t>
  </si>
  <si>
    <t>P001-40801</t>
  </si>
  <si>
    <t>P001-40802</t>
  </si>
  <si>
    <t>SANTIN VASQUEZ</t>
  </si>
  <si>
    <t xml:space="preserve">ABELARDO JIBAJA </t>
  </si>
  <si>
    <t xml:space="preserve">AYALA FERNANDEZ MANUEL </t>
  </si>
  <si>
    <t xml:space="preserve">ROMEL VASQUEZ </t>
  </si>
  <si>
    <t xml:space="preserve">GARCIA PEÑA </t>
  </si>
  <si>
    <t xml:space="preserve">HUAMAN RODRIGUEZ </t>
  </si>
  <si>
    <t xml:space="preserve">JEINER HERRERA FERRETERIA LA UNION </t>
  </si>
  <si>
    <t>AUTOFACIL</t>
  </si>
  <si>
    <t>P002-30769</t>
  </si>
  <si>
    <t xml:space="preserve">TERESA BERNILLA </t>
  </si>
  <si>
    <t>P002-30770</t>
  </si>
  <si>
    <t>P002-30771</t>
  </si>
  <si>
    <t>P002-30772</t>
  </si>
  <si>
    <t>P002-30773</t>
  </si>
  <si>
    <t>P002-30774</t>
  </si>
  <si>
    <t>P002-30775</t>
  </si>
  <si>
    <t>P002-30776</t>
  </si>
  <si>
    <t>P002-30777</t>
  </si>
  <si>
    <t>P002-30778</t>
  </si>
  <si>
    <t>P002-30779</t>
  </si>
  <si>
    <t>P002-30780</t>
  </si>
  <si>
    <t>P002-30781</t>
  </si>
  <si>
    <t>P002-30782</t>
  </si>
  <si>
    <t>P002-30783</t>
  </si>
  <si>
    <t>P002-30784</t>
  </si>
  <si>
    <t>P002-30785</t>
  </si>
  <si>
    <t>P002-30786</t>
  </si>
  <si>
    <t>P002-30787</t>
  </si>
  <si>
    <t>P002-30788</t>
  </si>
  <si>
    <t>P003-317</t>
  </si>
  <si>
    <t xml:space="preserve">BRENILDA SALAZAR </t>
  </si>
  <si>
    <t xml:space="preserve">ARAMBULO HERRERA </t>
  </si>
  <si>
    <t xml:space="preserve">FLETE PROMAT </t>
  </si>
  <si>
    <t xml:space="preserve">GUEVARA VASQUEZ SEGUNDO </t>
  </si>
  <si>
    <t xml:space="preserve">DEVOLUCION DE DEPOSITO JORDIN HERRERA </t>
  </si>
  <si>
    <t xml:space="preserve">JORDIN HERRERA - PAGO </t>
  </si>
  <si>
    <t>JULIAN VILLALOBOS</t>
  </si>
  <si>
    <t xml:space="preserve">SALDO DE CAJA MAÑANA </t>
  </si>
  <si>
    <t>P002-30789</t>
  </si>
  <si>
    <t>JOSE BARBOZA</t>
  </si>
  <si>
    <t xml:space="preserve">ELIMACION DE DESMONTE - JOSE . ANGEL Y ELMER </t>
  </si>
  <si>
    <t xml:space="preserve">ELMER PAGO </t>
  </si>
  <si>
    <t>P001-40803</t>
  </si>
  <si>
    <t>NAYELY JIMENEZ</t>
  </si>
  <si>
    <t>JEINER HERRERA 14-03</t>
  </si>
  <si>
    <t xml:space="preserve">CEMENTO ROJO HOLCIM </t>
  </si>
  <si>
    <t xml:space="preserve">TOTAL CEMENTOS </t>
  </si>
  <si>
    <t xml:space="preserve">PRECIO </t>
  </si>
  <si>
    <t xml:space="preserve">YAPE </t>
  </si>
  <si>
    <t xml:space="preserve">POR CANCELAR </t>
  </si>
  <si>
    <t xml:space="preserve">LADRILLO </t>
  </si>
  <si>
    <t xml:space="preserve">YENI </t>
  </si>
  <si>
    <t>DOMINGO 22-03-2026- CAJA H&amp;C</t>
  </si>
  <si>
    <t>P001-40804</t>
  </si>
  <si>
    <t>P001-40805</t>
  </si>
  <si>
    <t>P001-40806</t>
  </si>
  <si>
    <t>P001-40807</t>
  </si>
  <si>
    <t>P001-40808</t>
  </si>
  <si>
    <t>P001-40809</t>
  </si>
  <si>
    <t>P001-40810</t>
  </si>
  <si>
    <t>P001-40811</t>
  </si>
  <si>
    <t>P001-40812</t>
  </si>
  <si>
    <t>P001-40813</t>
  </si>
  <si>
    <t>P001-40814</t>
  </si>
  <si>
    <t>P001-40815</t>
  </si>
  <si>
    <t>P001-40816</t>
  </si>
  <si>
    <t>P001-40817</t>
  </si>
  <si>
    <t>P001-40818</t>
  </si>
  <si>
    <t>P001-40819</t>
  </si>
  <si>
    <t>P001-40820</t>
  </si>
  <si>
    <t>P001-40821</t>
  </si>
  <si>
    <t>P001-40822</t>
  </si>
  <si>
    <t>P001-40823</t>
  </si>
  <si>
    <t>P001-40824</t>
  </si>
  <si>
    <t>P001-40825</t>
  </si>
  <si>
    <t>P001-40826</t>
  </si>
  <si>
    <t>P001-40827</t>
  </si>
  <si>
    <t>P001-40828</t>
  </si>
  <si>
    <t>P001-40829</t>
  </si>
  <si>
    <t>P001-40830</t>
  </si>
  <si>
    <t>P001-40831</t>
  </si>
  <si>
    <t>P001-40832</t>
  </si>
  <si>
    <t xml:space="preserve">CARRASCO TINEO </t>
  </si>
  <si>
    <t xml:space="preserve">BERRU </t>
  </si>
  <si>
    <t xml:space="preserve">SILVA LOZANO </t>
  </si>
  <si>
    <t>P001-40833</t>
  </si>
  <si>
    <t>P001-40834</t>
  </si>
  <si>
    <t>P001-40835</t>
  </si>
  <si>
    <t>P001-40836</t>
  </si>
  <si>
    <t>P001-40837</t>
  </si>
  <si>
    <t>P001-40838</t>
  </si>
  <si>
    <t>P001-40839</t>
  </si>
  <si>
    <t>P001-40840</t>
  </si>
  <si>
    <t>P002-30790</t>
  </si>
  <si>
    <t xml:space="preserve">ARCE PALOMINO </t>
  </si>
  <si>
    <t xml:space="preserve">ELMER TENORIO </t>
  </si>
  <si>
    <t xml:space="preserve">ARREGLO DE MONTACARGA </t>
  </si>
  <si>
    <t>CARROCERIA CALIN</t>
  </si>
  <si>
    <t>LUNES 23-03-2026- CAJA H&amp;C</t>
  </si>
  <si>
    <t>P001-40841</t>
  </si>
  <si>
    <t>COMPRA 17 ARENA AMARILLA*34</t>
  </si>
  <si>
    <t xml:space="preserve">COMPRA DE 4 BASES,9 PESTAÑAS, 9 TAPAS </t>
  </si>
  <si>
    <t>COMPRA DE LADRILLO TECHO 15 PERUANOS *2.05</t>
  </si>
  <si>
    <t>B001-1817</t>
  </si>
  <si>
    <t xml:space="preserve">SILVA PEREZ </t>
  </si>
  <si>
    <t>F001-2828</t>
  </si>
  <si>
    <t xml:space="preserve">GEORIEGO </t>
  </si>
  <si>
    <t>F001-2829</t>
  </si>
  <si>
    <t>F001-2830</t>
  </si>
  <si>
    <t>EMP REG. DE SERV</t>
  </si>
  <si>
    <t>F001-2831</t>
  </si>
  <si>
    <t>F001-2832</t>
  </si>
  <si>
    <t>EJP</t>
  </si>
  <si>
    <t>P001-40842</t>
  </si>
  <si>
    <t>P001-40843</t>
  </si>
  <si>
    <t>P001-40844</t>
  </si>
  <si>
    <t>P001-40845</t>
  </si>
  <si>
    <t>P001-40846</t>
  </si>
  <si>
    <t>P001-40847</t>
  </si>
  <si>
    <t>P001-40848</t>
  </si>
  <si>
    <t>P001-40849</t>
  </si>
  <si>
    <t>P001-40850</t>
  </si>
  <si>
    <t>P001-40851</t>
  </si>
  <si>
    <t>P001-40852</t>
  </si>
  <si>
    <t>P001-40853</t>
  </si>
  <si>
    <t>P001-40854</t>
  </si>
  <si>
    <t>P001-40855</t>
  </si>
  <si>
    <t>P001-40856</t>
  </si>
  <si>
    <t>P001-40857</t>
  </si>
  <si>
    <t>P001-40858</t>
  </si>
  <si>
    <t>P001-40859</t>
  </si>
  <si>
    <t>P001-40860</t>
  </si>
  <si>
    <t>P001-40861</t>
  </si>
  <si>
    <t>P001-40862</t>
  </si>
  <si>
    <t>P001-40863</t>
  </si>
  <si>
    <t>P001-40864</t>
  </si>
  <si>
    <t>P001-40865</t>
  </si>
  <si>
    <t>P001-40866</t>
  </si>
  <si>
    <t>P001-40867</t>
  </si>
  <si>
    <t>P001-40868</t>
  </si>
  <si>
    <t>P001-40869</t>
  </si>
  <si>
    <t>P001-40870</t>
  </si>
  <si>
    <t>P001-40871</t>
  </si>
  <si>
    <t>P001-40872</t>
  </si>
  <si>
    <t>P001-40873</t>
  </si>
  <si>
    <t>P001-40874</t>
  </si>
  <si>
    <t xml:space="preserve">UCEDA CARRANZA </t>
  </si>
  <si>
    <t xml:space="preserve">REYES PEREZ </t>
  </si>
  <si>
    <t xml:space="preserve">CHUQUILIN </t>
  </si>
  <si>
    <t xml:space="preserve">PEREZ CHILET </t>
  </si>
  <si>
    <t>PRONOEI</t>
  </si>
  <si>
    <t xml:space="preserve">BURGA CUEVA </t>
  </si>
  <si>
    <t>P001-40875</t>
  </si>
  <si>
    <t>P001-40876</t>
  </si>
  <si>
    <t>P002-30791</t>
  </si>
  <si>
    <t>P002-30792</t>
  </si>
  <si>
    <t>P002-30793</t>
  </si>
  <si>
    <t>P002-30794</t>
  </si>
  <si>
    <t>P002-30795</t>
  </si>
  <si>
    <t>P002-30796</t>
  </si>
  <si>
    <t>P002-30797</t>
  </si>
  <si>
    <t>P002-30798</t>
  </si>
  <si>
    <t>P002-30799</t>
  </si>
  <si>
    <t>P002-30800</t>
  </si>
  <si>
    <t>P002-30801</t>
  </si>
  <si>
    <t>P002-30802</t>
  </si>
  <si>
    <t>P002-30803</t>
  </si>
  <si>
    <t>P002-30804</t>
  </si>
  <si>
    <t>P002-30805</t>
  </si>
  <si>
    <t>P002-30806</t>
  </si>
  <si>
    <t>P002-30807</t>
  </si>
  <si>
    <t>P002-30808</t>
  </si>
  <si>
    <t>P002-30809</t>
  </si>
  <si>
    <t>P002-30810</t>
  </si>
  <si>
    <t>P002-30811</t>
  </si>
  <si>
    <t>P002-30812</t>
  </si>
  <si>
    <t>DELGADO TARRILLO MARITZA</t>
  </si>
  <si>
    <t xml:space="preserve">EMPRESA AGROINDUTRIAL </t>
  </si>
  <si>
    <t xml:space="preserve">YDROGO GALVES </t>
  </si>
  <si>
    <t>COMBUSTIBLE FORLAND 22-03</t>
  </si>
  <si>
    <t xml:space="preserve">DIFERENCIA DE PAGO ANGEL MORENO </t>
  </si>
  <si>
    <t xml:space="preserve">COMBUSTIBLE - FORLAND- FUSO - JBC </t>
  </si>
  <si>
    <t xml:space="preserve">COMPRA DE 17 BIDONES DE AGUA </t>
  </si>
  <si>
    <t xml:space="preserve">ANAYELY JIMENES - DOMINGO </t>
  </si>
  <si>
    <t xml:space="preserve">COMPRA DE 5 ARENA AMARILLA - JH </t>
  </si>
  <si>
    <t>MARTES 24-03-2026- CAJA H&amp;C</t>
  </si>
  <si>
    <t>P001-40877</t>
  </si>
  <si>
    <t xml:space="preserve">COMPRA DE 156 LADRILLO PANDERETA SIPAN *0.68/ AGRIPINA </t>
  </si>
  <si>
    <t>PINTURAS KOLORCIX</t>
  </si>
  <si>
    <t>F001-2833</t>
  </si>
  <si>
    <t>F001-2834</t>
  </si>
  <si>
    <t>KALABCA</t>
  </si>
  <si>
    <t>P001-40878</t>
  </si>
  <si>
    <t>P001-40879</t>
  </si>
  <si>
    <t>P001-40880</t>
  </si>
  <si>
    <t>P001-40881</t>
  </si>
  <si>
    <t>P001-40882</t>
  </si>
  <si>
    <t>P001-40883</t>
  </si>
  <si>
    <t>P001-40884</t>
  </si>
  <si>
    <t>P001-40885</t>
  </si>
  <si>
    <t>P001-40886</t>
  </si>
  <si>
    <t>P001-40887</t>
  </si>
  <si>
    <t>P001-40888</t>
  </si>
  <si>
    <t>P001-40889</t>
  </si>
  <si>
    <t>P001-40890</t>
  </si>
  <si>
    <t>P001-40891</t>
  </si>
  <si>
    <t>P001-40892</t>
  </si>
  <si>
    <t>P001-40893</t>
  </si>
  <si>
    <t>P001-40894</t>
  </si>
  <si>
    <t>P001-40895</t>
  </si>
  <si>
    <t>P001-40896</t>
  </si>
  <si>
    <t>P001-40897</t>
  </si>
  <si>
    <t>P001-40898</t>
  </si>
  <si>
    <t xml:space="preserve">MORALES </t>
  </si>
  <si>
    <t xml:space="preserve">LOPEZ BERRU </t>
  </si>
  <si>
    <t xml:space="preserve">CHAMBA SILVA </t>
  </si>
  <si>
    <t>REYES PEREZ</t>
  </si>
  <si>
    <t>P002-30813</t>
  </si>
  <si>
    <t>P002-30814</t>
  </si>
  <si>
    <t>P002-30815</t>
  </si>
  <si>
    <t>P002-30816</t>
  </si>
  <si>
    <t>P002-30817</t>
  </si>
  <si>
    <t>P002-30818</t>
  </si>
  <si>
    <t>P002-30819</t>
  </si>
  <si>
    <t>P002-30820</t>
  </si>
  <si>
    <t>P002-30821</t>
  </si>
  <si>
    <t>P002-30822</t>
  </si>
  <si>
    <t>P002-30823</t>
  </si>
  <si>
    <t>P002-30824</t>
  </si>
  <si>
    <t>P002-30825</t>
  </si>
  <si>
    <t>P002-30826</t>
  </si>
  <si>
    <t>P002-30827</t>
  </si>
  <si>
    <t>P002-30828</t>
  </si>
  <si>
    <t>P002-30829</t>
  </si>
  <si>
    <t>P002-30830</t>
  </si>
  <si>
    <t>P002-30831</t>
  </si>
  <si>
    <t>P002-30832</t>
  </si>
  <si>
    <t>P002-30833</t>
  </si>
  <si>
    <t>P002-30834</t>
  </si>
  <si>
    <t>P002-30835</t>
  </si>
  <si>
    <t>P002-30836</t>
  </si>
  <si>
    <t>P002-30837</t>
  </si>
  <si>
    <t>P002-30838</t>
  </si>
  <si>
    <t>P002-30839</t>
  </si>
  <si>
    <t>P002-30840</t>
  </si>
  <si>
    <t>P002-30841</t>
  </si>
  <si>
    <t>P002-30842</t>
  </si>
  <si>
    <t>P002-30843</t>
  </si>
  <si>
    <t>P002-30844</t>
  </si>
  <si>
    <t>P002-30845</t>
  </si>
  <si>
    <t>P002-30846</t>
  </si>
  <si>
    <t>GARCIA CASTILLO MAXIMO</t>
  </si>
  <si>
    <t xml:space="preserve">CELID BERNEO </t>
  </si>
  <si>
    <t>DELGADO CHENTA</t>
  </si>
  <si>
    <t>MAYS FARRO</t>
  </si>
  <si>
    <t xml:space="preserve">ISAIAS RODRIGUEZ </t>
  </si>
  <si>
    <t>COMPRA DE 35 PIEDRA CHANCADA 1/2</t>
  </si>
  <si>
    <t>COMPRA DE 2 FIERRO 3/4*75</t>
  </si>
  <si>
    <t xml:space="preserve">GUEVARA CUBAS </t>
  </si>
  <si>
    <t xml:space="preserve">ANULADO / ARSENIO </t>
  </si>
  <si>
    <t xml:space="preserve">COMPRA DE 100 LADRILLO KK ARTESANAL BODOQUE </t>
  </si>
  <si>
    <t xml:space="preserve">REPUESTO DE LLANTA JBC </t>
  </si>
  <si>
    <t xml:space="preserve">ESTIBADORES </t>
  </si>
  <si>
    <t xml:space="preserve">PAGO ACCIDENTADO </t>
  </si>
  <si>
    <t xml:space="preserve">DEVOLUCION DE DEPOSITO ADELIO </t>
  </si>
  <si>
    <t>MIERCOLES 25-03-2026- CAJA H&amp;C</t>
  </si>
  <si>
    <t xml:space="preserve">COMPRA DE 1 ROLLO DE ALAMBRE 8 </t>
  </si>
  <si>
    <t>F001-2835</t>
  </si>
  <si>
    <t xml:space="preserve">MIRATEL </t>
  </si>
  <si>
    <t>F001-2836</t>
  </si>
  <si>
    <t>F001-2837</t>
  </si>
  <si>
    <t>F001-2838</t>
  </si>
  <si>
    <t>VINCI</t>
  </si>
  <si>
    <t>P001-40899</t>
  </si>
  <si>
    <t>P001-40900</t>
  </si>
  <si>
    <t>P001-40901</t>
  </si>
  <si>
    <t>P001-40902</t>
  </si>
  <si>
    <t>P001-40903</t>
  </si>
  <si>
    <t>P001-40904</t>
  </si>
  <si>
    <t>P001-40905</t>
  </si>
  <si>
    <t>P001-40906</t>
  </si>
  <si>
    <t>P001-40907</t>
  </si>
  <si>
    <t>P001-40908</t>
  </si>
  <si>
    <t>P001-40909</t>
  </si>
  <si>
    <t>P001-40910</t>
  </si>
  <si>
    <t>P001-40911</t>
  </si>
  <si>
    <t>P001-40912</t>
  </si>
  <si>
    <t>P001-40913</t>
  </si>
  <si>
    <t>P001-40914</t>
  </si>
  <si>
    <t>P001-40915</t>
  </si>
  <si>
    <t>P001-40916</t>
  </si>
  <si>
    <t>P001-40917</t>
  </si>
  <si>
    <t>P001-40918</t>
  </si>
  <si>
    <t>F001-2839</t>
  </si>
  <si>
    <t>F001-2840</t>
  </si>
  <si>
    <t>F001-2841</t>
  </si>
  <si>
    <t>F001-2842</t>
  </si>
  <si>
    <t>P001-40919</t>
  </si>
  <si>
    <t>P001-40920</t>
  </si>
  <si>
    <t>P001-40921</t>
  </si>
  <si>
    <t>P001-40922</t>
  </si>
  <si>
    <t>P001-40923</t>
  </si>
  <si>
    <t>P001-40924</t>
  </si>
  <si>
    <t>CAJO CAJO</t>
  </si>
  <si>
    <t>VASQUEZ ROJAS HEBERT</t>
  </si>
  <si>
    <t xml:space="preserve">BARBOZA CUBAS </t>
  </si>
  <si>
    <t xml:space="preserve">REYES NEYRA </t>
  </si>
  <si>
    <t xml:space="preserve">ROXANA ORILLO </t>
  </si>
  <si>
    <t>CELID BERNEO</t>
  </si>
  <si>
    <t xml:space="preserve">CARLOS BARRIOS </t>
  </si>
  <si>
    <t xml:space="preserve">P00200030843    </t>
  </si>
  <si>
    <t xml:space="preserve">P00200030841 </t>
  </si>
  <si>
    <t xml:space="preserve">DELGADO CHENTA </t>
  </si>
  <si>
    <t xml:space="preserve">ARREGLAR MAQUINA TITO </t>
  </si>
  <si>
    <t xml:space="preserve">FLETE CARLOS SEGIK </t>
  </si>
  <si>
    <t>A CUENTA CEMENTO MARVID</t>
  </si>
  <si>
    <t>P002-30847</t>
  </si>
  <si>
    <t>P002-30848</t>
  </si>
  <si>
    <t>P002-30849</t>
  </si>
  <si>
    <t>P002-30850</t>
  </si>
  <si>
    <t>P002-30851</t>
  </si>
  <si>
    <t>P002-30852</t>
  </si>
  <si>
    <t>P002-30853</t>
  </si>
  <si>
    <t>P002-30854</t>
  </si>
  <si>
    <t>P002-30855</t>
  </si>
  <si>
    <t>P002-30856</t>
  </si>
  <si>
    <t>P002-30857</t>
  </si>
  <si>
    <t>P002-30858</t>
  </si>
  <si>
    <t>P002-30859</t>
  </si>
  <si>
    <t>P001-40925</t>
  </si>
  <si>
    <t>P001-40926</t>
  </si>
  <si>
    <t>PELAEZ</t>
  </si>
  <si>
    <t>MEOÑO  MENDOZA</t>
  </si>
  <si>
    <t>COMPRA DE 250 LADRILLO CONCRETO (DELGADO CHENTA)</t>
  </si>
  <si>
    <t xml:space="preserve">COMPRA DE 1 AFIRMADO 25, 1 HORMIGON 35, 1 PIEDRA CHANCADA </t>
  </si>
  <si>
    <t>P001-40927</t>
  </si>
  <si>
    <t>P001-40928</t>
  </si>
  <si>
    <t>P001-40929</t>
  </si>
  <si>
    <t>P001-40930</t>
  </si>
  <si>
    <t>P001-40931</t>
  </si>
  <si>
    <t>P001-40932</t>
  </si>
  <si>
    <t>P001-40933</t>
  </si>
  <si>
    <t>P001-40934</t>
  </si>
  <si>
    <t>P001-40935</t>
  </si>
  <si>
    <t>P001-40936</t>
  </si>
  <si>
    <t>P002-30860</t>
  </si>
  <si>
    <t>P002-30861</t>
  </si>
  <si>
    <t>P002-30862</t>
  </si>
  <si>
    <t>P002-30863</t>
  </si>
  <si>
    <t>P002-30864</t>
  </si>
  <si>
    <t>P002-30865</t>
  </si>
  <si>
    <r>
      <t>VENTA DEL FACTURA 1355+3</t>
    </r>
    <r>
      <rPr>
        <strike/>
        <sz val="11"/>
        <color theme="1"/>
        <rFont val="Calibri"/>
        <family val="2"/>
        <scheme val="minor"/>
      </rPr>
      <t>%</t>
    </r>
  </si>
  <si>
    <t xml:space="preserve">LLANCA </t>
  </si>
  <si>
    <t>P001-40937</t>
  </si>
  <si>
    <t>ORLANDO VASQUEZ</t>
  </si>
  <si>
    <t xml:space="preserve">COMBUSTIBLE MOTO ROJA SEMINUEVA </t>
  </si>
  <si>
    <t>P001-40938</t>
  </si>
  <si>
    <t>SOBRANTE DE CAJA</t>
  </si>
  <si>
    <t>JUEVES 26-03-2026- CAJA H&amp;C</t>
  </si>
  <si>
    <t xml:space="preserve">COMPRA DE 1 PEGAMENTO OATEY AZUL /OBRA FREDY ALVA </t>
  </si>
  <si>
    <t xml:space="preserve">PREFORT </t>
  </si>
  <si>
    <t>F001-2843</t>
  </si>
  <si>
    <t>F001-2844</t>
  </si>
  <si>
    <t>F001-2845</t>
  </si>
  <si>
    <t>F001-2846</t>
  </si>
  <si>
    <t xml:space="preserve">DEVOLUCION DE DEPOSITO BBVA - JORDIN </t>
  </si>
  <si>
    <t>DIAZ BARCO MAGDA</t>
  </si>
  <si>
    <t>COMPRA DE 3000 PANDERETA FORTES *0.61</t>
  </si>
  <si>
    <t>P001-40939</t>
  </si>
  <si>
    <t>P001-40940</t>
  </si>
  <si>
    <t>P001-40941</t>
  </si>
  <si>
    <t>P001-40942</t>
  </si>
  <si>
    <t>P001-40943</t>
  </si>
  <si>
    <t>P001-40944</t>
  </si>
  <si>
    <t>P001-40945</t>
  </si>
  <si>
    <t>P001-40946</t>
  </si>
  <si>
    <t>P001-40947</t>
  </si>
  <si>
    <t>P001-40948</t>
  </si>
  <si>
    <t>P001-40949</t>
  </si>
  <si>
    <t>P001-40950</t>
  </si>
  <si>
    <t>P001-40951</t>
  </si>
  <si>
    <t>P001-40952</t>
  </si>
  <si>
    <t>P001-40953</t>
  </si>
  <si>
    <t>P001-40954</t>
  </si>
  <si>
    <t>P001-40955</t>
  </si>
  <si>
    <t>P001-40956</t>
  </si>
  <si>
    <t>P001-40957</t>
  </si>
  <si>
    <t>P001-40958</t>
  </si>
  <si>
    <t>P001-40959</t>
  </si>
  <si>
    <t>P001-40960</t>
  </si>
  <si>
    <t>P001-40961</t>
  </si>
  <si>
    <t>P001-40962</t>
  </si>
  <si>
    <t>P001-40963</t>
  </si>
  <si>
    <t>P001-40964</t>
  </si>
  <si>
    <t>P001-40965</t>
  </si>
  <si>
    <t>P001-40966</t>
  </si>
  <si>
    <t>P001-40967</t>
  </si>
  <si>
    <t>P001-40968</t>
  </si>
  <si>
    <t>P001-40969</t>
  </si>
  <si>
    <t>P001-40970</t>
  </si>
  <si>
    <t xml:space="preserve">RIVERA SANTA CRUZ </t>
  </si>
  <si>
    <t>P002-30866</t>
  </si>
  <si>
    <t>P002-30867</t>
  </si>
  <si>
    <t>P002-30868</t>
  </si>
  <si>
    <t>P002-30869</t>
  </si>
  <si>
    <t>P002-30870</t>
  </si>
  <si>
    <t>P002-30871</t>
  </si>
  <si>
    <t>P002-30872</t>
  </si>
  <si>
    <t>P002-30873</t>
  </si>
  <si>
    <t>P002-30874</t>
  </si>
  <si>
    <t>P002-30875</t>
  </si>
  <si>
    <t>P002-30876</t>
  </si>
  <si>
    <t>P002-30877</t>
  </si>
  <si>
    <t>P002-30878</t>
  </si>
  <si>
    <t>P002-30879</t>
  </si>
  <si>
    <t>ASTONITAS</t>
  </si>
  <si>
    <t xml:space="preserve"> P0020-30352</t>
  </si>
  <si>
    <t xml:space="preserve">COMPRA DE 3 HORMIGON *40 COLLUD </t>
  </si>
  <si>
    <t>COMPRA DE 2 ARENA AMARILLA*45+1ARENA AMARILLA 34</t>
  </si>
  <si>
    <t xml:space="preserve">COMPRA DE PARCHES Y PEGAMENTO </t>
  </si>
  <si>
    <t xml:space="preserve">FLETES DE CARRO JORDIN HERRERA </t>
  </si>
  <si>
    <t xml:space="preserve">FLETE CAIRANI - ARDILES </t>
  </si>
  <si>
    <t xml:space="preserve">ALMUERZO ANGEL MORENO </t>
  </si>
  <si>
    <t>F001-2847</t>
  </si>
  <si>
    <t>P001-40971</t>
  </si>
  <si>
    <t>P001-40972</t>
  </si>
  <si>
    <t>P001-40973</t>
  </si>
  <si>
    <t>P001-40974</t>
  </si>
  <si>
    <t>P001-40975</t>
  </si>
  <si>
    <t>P001-40976</t>
  </si>
  <si>
    <t>P001-40977</t>
  </si>
  <si>
    <t>P001-40978</t>
  </si>
  <si>
    <t>P001-40979</t>
  </si>
  <si>
    <t>P001-40980</t>
  </si>
  <si>
    <t>P001-40981</t>
  </si>
  <si>
    <t>P001-40982</t>
  </si>
  <si>
    <t>P001-40983</t>
  </si>
  <si>
    <t>P001-40984</t>
  </si>
  <si>
    <t>P001-40985</t>
  </si>
  <si>
    <t>P001-40986</t>
  </si>
  <si>
    <t>P001-40987</t>
  </si>
  <si>
    <t>P001-40988</t>
  </si>
  <si>
    <t>P001-40989</t>
  </si>
  <si>
    <t>P001-40990</t>
  </si>
  <si>
    <t>P001-40991</t>
  </si>
  <si>
    <t>P001-40992</t>
  </si>
  <si>
    <t>P001-40993</t>
  </si>
  <si>
    <t>P001-40994</t>
  </si>
  <si>
    <t>P001-40995</t>
  </si>
  <si>
    <t>P001-40996</t>
  </si>
  <si>
    <t>P001-40997</t>
  </si>
  <si>
    <t>P001-40998</t>
  </si>
  <si>
    <t>P001-40999</t>
  </si>
  <si>
    <t>P001-41000</t>
  </si>
  <si>
    <t>P001-41001</t>
  </si>
  <si>
    <t>P001-41002</t>
  </si>
  <si>
    <t>P001-41003</t>
  </si>
  <si>
    <t>P001-41004</t>
  </si>
  <si>
    <t>P001-41005</t>
  </si>
  <si>
    <t>P001-41006</t>
  </si>
  <si>
    <t>P001-41007</t>
  </si>
  <si>
    <t>P001-41008</t>
  </si>
  <si>
    <t>P001-41009</t>
  </si>
  <si>
    <t>P001-41010</t>
  </si>
  <si>
    <t>P001-41011</t>
  </si>
  <si>
    <t>P001-41012</t>
  </si>
  <si>
    <t>P002-30880</t>
  </si>
  <si>
    <t>P002-30881</t>
  </si>
  <si>
    <t>P002-30882</t>
  </si>
  <si>
    <t>P002-30883</t>
  </si>
  <si>
    <t>P002-30884</t>
  </si>
  <si>
    <t>P002-30885</t>
  </si>
  <si>
    <t>P002-30886</t>
  </si>
  <si>
    <t>P002-30887</t>
  </si>
  <si>
    <t>P002-30888</t>
  </si>
  <si>
    <t>P002-30889</t>
  </si>
  <si>
    <t>P002-30890</t>
  </si>
  <si>
    <t>P002-30891</t>
  </si>
  <si>
    <t>P002-30892</t>
  </si>
  <si>
    <t>P002-30893</t>
  </si>
  <si>
    <t xml:space="preserve">JUAPE BECERRA </t>
  </si>
  <si>
    <t xml:space="preserve">CAROLINE MONCADA </t>
  </si>
  <si>
    <t xml:space="preserve">VASQUEZ ROJAS HEBERT </t>
  </si>
  <si>
    <t xml:space="preserve"> P002-30762 </t>
  </si>
  <si>
    <t xml:space="preserve">DEVOLUCION DE YAPE TERRANOVA </t>
  </si>
  <si>
    <t xml:space="preserve">DIFERENCIA DE FLETE FREDY ALVA /ARENA JORDIN </t>
  </si>
  <si>
    <t xml:space="preserve">CAMBIO DE LLANTA FUSO - LUCAS HERRERA </t>
  </si>
  <si>
    <t>COMBUSTIBLE FUSO</t>
  </si>
  <si>
    <t>COMPRA DE REPUESTOS - JBC - POLLO</t>
  </si>
  <si>
    <t>P001-41013</t>
  </si>
  <si>
    <t>P002-30894</t>
  </si>
  <si>
    <t>P002-30895</t>
  </si>
  <si>
    <t xml:space="preserve">IVAN JULCA </t>
  </si>
  <si>
    <t xml:space="preserve">COMPRA DE 2 LLANTAS FUSO </t>
  </si>
  <si>
    <t xml:space="preserve">JULIAN - PASAJE </t>
  </si>
  <si>
    <t xml:space="preserve">COMPRA DE 1 TUBO SAL 4 PLASTICA </t>
  </si>
  <si>
    <t xml:space="preserve">PROMAT </t>
  </si>
  <si>
    <t xml:space="preserve">ELIMINACION DE DESMONTE MORALES </t>
  </si>
  <si>
    <t xml:space="preserve">COMPRA DE 3 M3 ARENA AMARILLA *34 JORDIN </t>
  </si>
  <si>
    <t>P001-41014</t>
  </si>
  <si>
    <t xml:space="preserve">HECTOR DIAZ </t>
  </si>
  <si>
    <t xml:space="preserve">FLETE A LA VICTORIA NILSON </t>
  </si>
  <si>
    <t xml:space="preserve">FLETE A LA CHINCHIPE </t>
  </si>
  <si>
    <t>SABADO 28-03-2026- CAJA H&amp;C</t>
  </si>
  <si>
    <t>VIERNES 27-03-2026- CAJA H&amp;C</t>
  </si>
  <si>
    <t>P001-41015</t>
  </si>
  <si>
    <t>COMPRA DE 2000 LADRILLO PANDERETA SIPAN *0.6</t>
  </si>
  <si>
    <t>FERROCONSTRUCTORA J H</t>
  </si>
  <si>
    <t xml:space="preserve">FERT &amp; RIEGO </t>
  </si>
  <si>
    <t>F001-2848</t>
  </si>
  <si>
    <t>F001-2849</t>
  </si>
  <si>
    <t xml:space="preserve">SANCHEZ RAMON JOSE </t>
  </si>
  <si>
    <t>P001-41016</t>
  </si>
  <si>
    <t>P001-41017</t>
  </si>
  <si>
    <t>P001-41018</t>
  </si>
  <si>
    <t>P001-41019</t>
  </si>
  <si>
    <t>P001-41020</t>
  </si>
  <si>
    <t>P001-41021</t>
  </si>
  <si>
    <t>P001-41022</t>
  </si>
  <si>
    <t>P001-41023</t>
  </si>
  <si>
    <t>P001-41024</t>
  </si>
  <si>
    <t>P001-41025</t>
  </si>
  <si>
    <t>P001-41026</t>
  </si>
  <si>
    <t>P001-41027</t>
  </si>
  <si>
    <t>P001-41028</t>
  </si>
  <si>
    <t>P001-41029</t>
  </si>
  <si>
    <t>P001-41030</t>
  </si>
  <si>
    <t>P001-41031</t>
  </si>
  <si>
    <t>P001-41032</t>
  </si>
  <si>
    <t>P001-41033</t>
  </si>
  <si>
    <t>P001-41034</t>
  </si>
  <si>
    <t>P001-41035</t>
  </si>
  <si>
    <t>P001-41036</t>
  </si>
  <si>
    <t>P001-41037</t>
  </si>
  <si>
    <t>P001-41038</t>
  </si>
  <si>
    <t>P001-41039</t>
  </si>
  <si>
    <t>P001-41040</t>
  </si>
  <si>
    <t>P001-41041</t>
  </si>
  <si>
    <t>P001-41042</t>
  </si>
  <si>
    <t>P001-41043</t>
  </si>
  <si>
    <t>P001-41044</t>
  </si>
  <si>
    <t>P002-30896</t>
  </si>
  <si>
    <t>P002-30897</t>
  </si>
  <si>
    <t>P002-30898</t>
  </si>
  <si>
    <t>P002-30899</t>
  </si>
  <si>
    <t>P002-30900</t>
  </si>
  <si>
    <t>P002-30901</t>
  </si>
  <si>
    <t>P002-30902</t>
  </si>
  <si>
    <t>P002-30903</t>
  </si>
  <si>
    <t>P002-30904</t>
  </si>
  <si>
    <t>P002-30905</t>
  </si>
  <si>
    <t>P002-30906</t>
  </si>
  <si>
    <t>P002-30907</t>
  </si>
  <si>
    <t>P002-30908</t>
  </si>
  <si>
    <t>P002-30909</t>
  </si>
  <si>
    <t>P002-30910</t>
  </si>
  <si>
    <t>P002-30911</t>
  </si>
  <si>
    <t>P002-30912</t>
  </si>
  <si>
    <t>P002-30913</t>
  </si>
  <si>
    <t>P002-30914</t>
  </si>
  <si>
    <t>P002-30915</t>
  </si>
  <si>
    <t>P002-30916</t>
  </si>
  <si>
    <t>DEYVI RIMARACHIN</t>
  </si>
  <si>
    <t xml:space="preserve">DE LA CRUZ CAMACHO </t>
  </si>
  <si>
    <t xml:space="preserve">SANTIAGO REYES </t>
  </si>
  <si>
    <t xml:space="preserve">SANTA CRUZ ARENA </t>
  </si>
  <si>
    <t xml:space="preserve">HECTOR SALAZAR </t>
  </si>
  <si>
    <t xml:space="preserve">MAESTRO LUCERO </t>
  </si>
  <si>
    <t xml:space="preserve">F001-2845 </t>
  </si>
  <si>
    <t xml:space="preserve">ACTIVIDAD TABOADA </t>
  </si>
  <si>
    <t>P001-41045</t>
  </si>
  <si>
    <t>P001-41046</t>
  </si>
  <si>
    <t>P001-41047</t>
  </si>
  <si>
    <t>P001-41048</t>
  </si>
  <si>
    <t>P001-41049</t>
  </si>
  <si>
    <t>P001-41050</t>
  </si>
  <si>
    <t>P001-41051</t>
  </si>
  <si>
    <t>P001-41052</t>
  </si>
  <si>
    <t>P001-41053</t>
  </si>
  <si>
    <t>P001-41054</t>
  </si>
  <si>
    <t xml:space="preserve">CASTAÑEDA </t>
  </si>
  <si>
    <t xml:space="preserve">DEVOLUCION DE AGREGADOS VASQUEZ ROJAS </t>
  </si>
  <si>
    <t>A CUENTA DE LADRILLO TECHO 15</t>
  </si>
  <si>
    <t>LOS SAUCES</t>
  </si>
  <si>
    <t xml:space="preserve">PAGO LUCAS HERRERA </t>
  </si>
  <si>
    <t xml:space="preserve">CUYUMALCA </t>
  </si>
  <si>
    <t>P001-41055</t>
  </si>
  <si>
    <t>P001-41056</t>
  </si>
  <si>
    <t xml:space="preserve">PEREZ ILATOMA </t>
  </si>
  <si>
    <t>P002-30917</t>
  </si>
  <si>
    <t>P002-30918</t>
  </si>
  <si>
    <t>GONZALES CHERRES</t>
  </si>
  <si>
    <t>JAVIER SALAZAR</t>
  </si>
  <si>
    <t>P001-41057</t>
  </si>
  <si>
    <t xml:space="preserve">FLETES CARRO JORDIN HERRERA - CARRO PEQUEÑO </t>
  </si>
  <si>
    <t xml:space="preserve">COMPRA DE 510 LADRILLO CONCRETO - ORLANDO </t>
  </si>
  <si>
    <t xml:space="preserve">JENY RAMOS </t>
  </si>
  <si>
    <t>DOMINGO 29-03-2026- CAJA H&amp;C</t>
  </si>
  <si>
    <t>P001-41058</t>
  </si>
  <si>
    <t>P001-41059</t>
  </si>
  <si>
    <t>P001-41060</t>
  </si>
  <si>
    <t>P001-41061</t>
  </si>
  <si>
    <t>P001-41062</t>
  </si>
  <si>
    <t>P001-41063</t>
  </si>
  <si>
    <t>P001-41064</t>
  </si>
  <si>
    <t>P001-41065</t>
  </si>
  <si>
    <t>P001-41066</t>
  </si>
  <si>
    <t>P001-41067</t>
  </si>
  <si>
    <t>P001-41068</t>
  </si>
  <si>
    <t>P001-41069</t>
  </si>
  <si>
    <t>P001-41070</t>
  </si>
  <si>
    <t>P001-41071</t>
  </si>
  <si>
    <t>P001-41072</t>
  </si>
  <si>
    <t>P001-41073</t>
  </si>
  <si>
    <t>P001-41074</t>
  </si>
  <si>
    <t>P001-41075</t>
  </si>
  <si>
    <t>P001-41076</t>
  </si>
  <si>
    <t>P001-41077</t>
  </si>
  <si>
    <t>P001-41078</t>
  </si>
  <si>
    <t>P001-41079</t>
  </si>
  <si>
    <t>P001-41080</t>
  </si>
  <si>
    <t>P001-41081</t>
  </si>
  <si>
    <t>P001-41082</t>
  </si>
  <si>
    <t>P001-41083</t>
  </si>
  <si>
    <t>P001-41084</t>
  </si>
  <si>
    <t>P001-41085</t>
  </si>
  <si>
    <t>P001-41086</t>
  </si>
  <si>
    <t>P001-41087</t>
  </si>
  <si>
    <t>P001-41088</t>
  </si>
  <si>
    <t>P001-41089</t>
  </si>
  <si>
    <t>P001-41090</t>
  </si>
  <si>
    <t>P001-41091</t>
  </si>
  <si>
    <t>P001-41092</t>
  </si>
  <si>
    <t>P001-41093</t>
  </si>
  <si>
    <t>P001-41094</t>
  </si>
  <si>
    <t>P001-41095</t>
  </si>
  <si>
    <t>P001-41096</t>
  </si>
  <si>
    <t>P001-41097</t>
  </si>
  <si>
    <t>P001-41098</t>
  </si>
  <si>
    <t>P001-41099</t>
  </si>
  <si>
    <t>P001-41100</t>
  </si>
  <si>
    <t>P001-41101</t>
  </si>
  <si>
    <t>P001-41102</t>
  </si>
  <si>
    <t>P001-41103</t>
  </si>
  <si>
    <t>P001-41104</t>
  </si>
  <si>
    <t>P001-41105</t>
  </si>
  <si>
    <t>P001-41106</t>
  </si>
  <si>
    <t>P001-41107</t>
  </si>
  <si>
    <t>P001-41108</t>
  </si>
  <si>
    <t>P001-41109</t>
  </si>
  <si>
    <t xml:space="preserve">ANGEL MORENO- PAGO </t>
  </si>
  <si>
    <t xml:space="preserve">ANGEL MORENO DOMINGO </t>
  </si>
  <si>
    <t xml:space="preserve">MODESTO - PAGO </t>
  </si>
  <si>
    <t>COMPRA DE 2 CUBOS PIEDRA CHANCADA 1/2</t>
  </si>
  <si>
    <t xml:space="preserve">SIXTO BARBOZA </t>
  </si>
  <si>
    <t>CAMPOS MENDOZA RUDECINDO</t>
  </si>
  <si>
    <t xml:space="preserve">REGALADO DELGADO </t>
  </si>
  <si>
    <t>CASTRO GUEVARA</t>
  </si>
  <si>
    <t>PEDRO MILIAN</t>
  </si>
  <si>
    <t>MALUQUIZ TAPIA</t>
  </si>
  <si>
    <t xml:space="preserve">CAJO CAJO </t>
  </si>
  <si>
    <t xml:space="preserve">GUERRERO MINGA </t>
  </si>
  <si>
    <t>LUNES 30-03-2026- CAJA H&amp;C</t>
  </si>
  <si>
    <t>P001-41110</t>
  </si>
  <si>
    <t>F001-2850</t>
  </si>
  <si>
    <t xml:space="preserve">COMPRA DE 2.5 ARENA AMARILLA*65 2.5PIEDRA CH *85- HECTOR SALAZAR </t>
  </si>
  <si>
    <t xml:space="preserve">COMPRA DE 150 RAPIMIX *7.6 - OBRA PRADERA </t>
  </si>
  <si>
    <t>INGENIEROS CONSTRUCTORES</t>
  </si>
  <si>
    <t>F001-2851</t>
  </si>
  <si>
    <t>F001-2852</t>
  </si>
  <si>
    <t>P001-41111</t>
  </si>
  <si>
    <t>P001-41112</t>
  </si>
  <si>
    <t>P001-41113</t>
  </si>
  <si>
    <t>P001-41114</t>
  </si>
  <si>
    <t>P001-41115</t>
  </si>
  <si>
    <t>P001-41116</t>
  </si>
  <si>
    <t>P001-41117</t>
  </si>
  <si>
    <t>P001-41118</t>
  </si>
  <si>
    <t>P001-41119</t>
  </si>
  <si>
    <t>P001-41120</t>
  </si>
  <si>
    <t>P001-41121</t>
  </si>
  <si>
    <t>P001-41122</t>
  </si>
  <si>
    <t>P001-41123</t>
  </si>
  <si>
    <t>P001-41124</t>
  </si>
  <si>
    <t>P001-41125</t>
  </si>
  <si>
    <t>P001-41126</t>
  </si>
  <si>
    <t>P001-41127</t>
  </si>
  <si>
    <t>P001-41128</t>
  </si>
  <si>
    <t>P001-41129</t>
  </si>
  <si>
    <t>P001-41130</t>
  </si>
  <si>
    <t>P001-41131</t>
  </si>
  <si>
    <t>P001-41132</t>
  </si>
  <si>
    <t>P001-41133</t>
  </si>
  <si>
    <t>P001-41134</t>
  </si>
  <si>
    <t>P001-41135</t>
  </si>
  <si>
    <t>P001-41136</t>
  </si>
  <si>
    <t>P001-41137</t>
  </si>
  <si>
    <t>P002-30919</t>
  </si>
  <si>
    <t>P002-30920</t>
  </si>
  <si>
    <t>P002-30921</t>
  </si>
  <si>
    <t>P002-30922</t>
  </si>
  <si>
    <t>P002-30923</t>
  </si>
  <si>
    <t>P002-30924</t>
  </si>
  <si>
    <t>P002-30925</t>
  </si>
  <si>
    <t>P002-30926</t>
  </si>
  <si>
    <t>P002-30927</t>
  </si>
  <si>
    <t>P002-30928</t>
  </si>
  <si>
    <t>P002-30929</t>
  </si>
  <si>
    <t>P002-30930</t>
  </si>
  <si>
    <t>P002-30931</t>
  </si>
  <si>
    <t>P002-30932</t>
  </si>
  <si>
    <t>P002-30933</t>
  </si>
  <si>
    <t>P002-30934</t>
  </si>
  <si>
    <t>P002-30935</t>
  </si>
  <si>
    <t>P002-30936</t>
  </si>
  <si>
    <t>P002-30937</t>
  </si>
  <si>
    <t>P002-30938</t>
  </si>
  <si>
    <t xml:space="preserve">FLORES ZUÑIGA </t>
  </si>
  <si>
    <t xml:space="preserve">VEGA MENA </t>
  </si>
  <si>
    <t>PAICO</t>
  </si>
  <si>
    <t xml:space="preserve">SEMPERTEGUI BARAHONA </t>
  </si>
  <si>
    <t>DAVILA MEDINA MAX</t>
  </si>
  <si>
    <t>CORREA JULCA SANTOS</t>
  </si>
  <si>
    <t>CASANOVA VALDIVIA WILDER</t>
  </si>
  <si>
    <t xml:space="preserve">CRUZ BOBADILLA </t>
  </si>
  <si>
    <t>COMPRA DE 300 LADRILLO CONCRETO *1.5</t>
  </si>
  <si>
    <t xml:space="preserve">1 LLAVE TERMOMAGNETICA STORGER - ORLANDO  </t>
  </si>
  <si>
    <t>P002-30939</t>
  </si>
  <si>
    <t>P002-30940</t>
  </si>
  <si>
    <t xml:space="preserve">CAMPOS MENDOZA RUDECINDO  P001-41103                                                   </t>
  </si>
  <si>
    <t>HECTOR SALAZAR</t>
  </si>
  <si>
    <t xml:space="preserve">RADIADOR Y MANGUERA </t>
  </si>
  <si>
    <t>FLETE A JLO - CARRO NILSO</t>
  </si>
  <si>
    <t xml:space="preserve">COMPRA DE 12 BIDON DE AGUA </t>
  </si>
  <si>
    <t xml:space="preserve">JENY - DOMINGO </t>
  </si>
  <si>
    <t xml:space="preserve">ANAYELY DOMINGO </t>
  </si>
  <si>
    <t xml:space="preserve">FLETE NILSO 1 ETERNIT </t>
  </si>
  <si>
    <t xml:space="preserve">FLETE CARLOS HERRERA </t>
  </si>
  <si>
    <t xml:space="preserve">PAGO JEINER HERRERA </t>
  </si>
  <si>
    <t xml:space="preserve">FLETE LAMBAYEQUE TECNOPOR </t>
  </si>
  <si>
    <t>MARTES 31-03-2026- CAJA H&amp;C</t>
  </si>
  <si>
    <t>COMPRA DE 17 ARENA *34 17 PIEDRA CHANCADA 1/2*57</t>
  </si>
  <si>
    <t>F001-2853</t>
  </si>
  <si>
    <t>P001-41138</t>
  </si>
  <si>
    <t>P001-41139</t>
  </si>
  <si>
    <t>P001-41140</t>
  </si>
  <si>
    <t>P001-41141</t>
  </si>
  <si>
    <t>P001-41142</t>
  </si>
  <si>
    <t>P001-41143</t>
  </si>
  <si>
    <t>P001-41144</t>
  </si>
  <si>
    <t>P001-41145</t>
  </si>
  <si>
    <t>P001-41146</t>
  </si>
  <si>
    <t>P001-41147</t>
  </si>
  <si>
    <t>P001-41148</t>
  </si>
  <si>
    <t>P001-41149</t>
  </si>
  <si>
    <t>P001-41150</t>
  </si>
  <si>
    <t>P001-41151</t>
  </si>
  <si>
    <t>P001-41152</t>
  </si>
  <si>
    <t>P001-41153</t>
  </si>
  <si>
    <t>P001-41154</t>
  </si>
  <si>
    <t>P001-41155</t>
  </si>
  <si>
    <t>P001-41156</t>
  </si>
  <si>
    <t>P001-41157</t>
  </si>
  <si>
    <t>P001-41158</t>
  </si>
  <si>
    <t>P001-41159</t>
  </si>
  <si>
    <t xml:space="preserve">MEOÑO MENDOZA </t>
  </si>
  <si>
    <t xml:space="preserve">PEREZ VILLALOBOS </t>
  </si>
  <si>
    <t>P001-41160</t>
  </si>
  <si>
    <t xml:space="preserve">JAMEZ DIAZ </t>
  </si>
  <si>
    <t>P002-30941</t>
  </si>
  <si>
    <t xml:space="preserve">DILMER RODAS </t>
  </si>
  <si>
    <t>P001-41161</t>
  </si>
  <si>
    <t>P001-41162</t>
  </si>
  <si>
    <t>P002-30942</t>
  </si>
  <si>
    <t>P002-30943</t>
  </si>
  <si>
    <t>P002-30944</t>
  </si>
  <si>
    <t>P002-30945</t>
  </si>
  <si>
    <t>P002-30946</t>
  </si>
  <si>
    <t>P002-30947</t>
  </si>
  <si>
    <t>P002-30948</t>
  </si>
  <si>
    <t>P002-30949</t>
  </si>
  <si>
    <t>P002-30950</t>
  </si>
  <si>
    <t>P002-30951</t>
  </si>
  <si>
    <t>P002-30952</t>
  </si>
  <si>
    <t>P002-30953</t>
  </si>
  <si>
    <t>P002-30954</t>
  </si>
  <si>
    <t>P002-30955</t>
  </si>
  <si>
    <t>P002-30956</t>
  </si>
  <si>
    <t>P002-30957</t>
  </si>
  <si>
    <t>P002-30958</t>
  </si>
  <si>
    <t>P002-30959</t>
  </si>
  <si>
    <t>P001-41163</t>
  </si>
  <si>
    <t>P001-41164</t>
  </si>
  <si>
    <t>ARCE PALOMINO</t>
  </si>
  <si>
    <t>P002-30960</t>
  </si>
  <si>
    <t>P002-30961</t>
  </si>
  <si>
    <t>P002-30962</t>
  </si>
  <si>
    <t xml:space="preserve">VEGA MENA MARIA </t>
  </si>
  <si>
    <t xml:space="preserve">PAGO EDUARDO SALAZAR </t>
  </si>
  <si>
    <t>P002-30963</t>
  </si>
  <si>
    <t>P001-41165</t>
  </si>
  <si>
    <t>P001-41166</t>
  </si>
  <si>
    <t>P001-41167</t>
  </si>
  <si>
    <t xml:space="preserve">ALMUERZO KAREN RUIZ </t>
  </si>
  <si>
    <t>P001-41168</t>
  </si>
  <si>
    <t>MIERCOLES 01-04-2026- CAJA H&amp;C</t>
  </si>
  <si>
    <t>COMPRA DE 17 *35 P BASE, 52 M3 AFIRMADO*25</t>
  </si>
  <si>
    <t>P001-41169</t>
  </si>
  <si>
    <t xml:space="preserve">CORONADO DIAZ KATIXA </t>
  </si>
  <si>
    <t>P001-41170</t>
  </si>
  <si>
    <t>P001-41171</t>
  </si>
  <si>
    <t>P001-41172</t>
  </si>
  <si>
    <t>P001-41173</t>
  </si>
  <si>
    <t>P001-41174</t>
  </si>
  <si>
    <t>P001-41175</t>
  </si>
  <si>
    <t>P001-41176</t>
  </si>
  <si>
    <t>P001-41177</t>
  </si>
  <si>
    <t>P001-41178</t>
  </si>
  <si>
    <t>P001-41179</t>
  </si>
  <si>
    <t>P001-41180</t>
  </si>
  <si>
    <t>P001-41181</t>
  </si>
  <si>
    <t>P001-41182</t>
  </si>
  <si>
    <t>P001-41183</t>
  </si>
  <si>
    <t>P001-41184</t>
  </si>
  <si>
    <t>P001-41185</t>
  </si>
  <si>
    <t>P001-41186</t>
  </si>
  <si>
    <t>P001-41187</t>
  </si>
  <si>
    <t>P001-41188</t>
  </si>
  <si>
    <t>P001-41189</t>
  </si>
  <si>
    <t>P001-41190</t>
  </si>
  <si>
    <t>P001-41191</t>
  </si>
  <si>
    <t>P001-41192</t>
  </si>
  <si>
    <t>P001-41193</t>
  </si>
  <si>
    <t>P001-41194</t>
  </si>
  <si>
    <t>ANGEL/HUBER</t>
  </si>
  <si>
    <t>DIAZ CASTRO</t>
  </si>
  <si>
    <t xml:space="preserve">PARIHUAMAN BARDALES </t>
  </si>
  <si>
    <t xml:space="preserve">COLLANTES </t>
  </si>
  <si>
    <t xml:space="preserve">LUCERO GUERRERO </t>
  </si>
  <si>
    <t>P002-30964</t>
  </si>
  <si>
    <t>P002-30965</t>
  </si>
  <si>
    <t>P002-30966</t>
  </si>
  <si>
    <t>P002-30967</t>
  </si>
  <si>
    <t>P002-30968</t>
  </si>
  <si>
    <t>P002-30969</t>
  </si>
  <si>
    <t>P002-30970</t>
  </si>
  <si>
    <t>P002-30971</t>
  </si>
  <si>
    <t>P002-30972</t>
  </si>
  <si>
    <t>P002-30973</t>
  </si>
  <si>
    <t>P002-30974</t>
  </si>
  <si>
    <t>P002-30975</t>
  </si>
  <si>
    <t>P002-30976</t>
  </si>
  <si>
    <t>P002-30977</t>
  </si>
  <si>
    <t>P002-30978</t>
  </si>
  <si>
    <t>P002-30979</t>
  </si>
  <si>
    <t>P002-30980</t>
  </si>
  <si>
    <t>P002-30981</t>
  </si>
  <si>
    <t>P002-30982</t>
  </si>
  <si>
    <t>P002-30983</t>
  </si>
  <si>
    <t>P002-30984</t>
  </si>
  <si>
    <t xml:space="preserve">ANTICONA </t>
  </si>
  <si>
    <t xml:space="preserve">ARNULFO </t>
  </si>
  <si>
    <t xml:space="preserve">PAPELETA JEINER </t>
  </si>
  <si>
    <t>P001-41195</t>
  </si>
  <si>
    <t>P001-41196</t>
  </si>
  <si>
    <t>P001-41197</t>
  </si>
  <si>
    <t>COMPRADE 486 LADRILLO CONCRETO*1.5</t>
  </si>
  <si>
    <t xml:space="preserve">ADELANTO ORLANDO LADRILLO </t>
  </si>
  <si>
    <t>P001-41198</t>
  </si>
  <si>
    <t xml:space="preserve">JAMES DIAZ - 979621252 P00100041160   </t>
  </si>
  <si>
    <t xml:space="preserve">FLETE AYER Y HOY NILSON </t>
  </si>
  <si>
    <t xml:space="preserve">JEINER HERRERA - FERRETERIA LA UNION P00100041159 </t>
  </si>
  <si>
    <t xml:space="preserve">A CUENTA DEMOLICION </t>
  </si>
  <si>
    <t>SANCHEZ PAREDES (LUCAS)</t>
  </si>
  <si>
    <t xml:space="preserve">CUEVA ESPINAL HAMILTON </t>
  </si>
  <si>
    <t>COMPRA DE 25 KG CLAVO 3</t>
  </si>
  <si>
    <t>JUEVES 02-04-2026- CAJA H&amp;C</t>
  </si>
  <si>
    <t>P001-41199</t>
  </si>
  <si>
    <t>P001-41200</t>
  </si>
  <si>
    <t>P001-41201</t>
  </si>
  <si>
    <t>P001-41202</t>
  </si>
  <si>
    <t>P001-41203</t>
  </si>
  <si>
    <t>P001-41204</t>
  </si>
  <si>
    <t>P001-41205</t>
  </si>
  <si>
    <t>P001-41206</t>
  </si>
  <si>
    <t>P001-41207</t>
  </si>
  <si>
    <t>P001-41208</t>
  </si>
  <si>
    <t>P001-41209</t>
  </si>
  <si>
    <t>P001-41210</t>
  </si>
  <si>
    <t>P001-41211</t>
  </si>
  <si>
    <t>P001-41212</t>
  </si>
  <si>
    <t>P001-41213</t>
  </si>
  <si>
    <t>P001-41214</t>
  </si>
  <si>
    <t>COMPRA 35 ARENA AMARILLA*34</t>
  </si>
  <si>
    <t>COMPRA DE 3000 LADRILLO KK BODOQUE *0.48</t>
  </si>
  <si>
    <t xml:space="preserve">ROSAS RIVAS HENRY ANDERSON </t>
  </si>
  <si>
    <t>P001-41215</t>
  </si>
  <si>
    <t>P001-41216</t>
  </si>
  <si>
    <t>P001-41217</t>
  </si>
  <si>
    <t>P001-41218</t>
  </si>
  <si>
    <t>P001-41219</t>
  </si>
  <si>
    <t>P001-41220</t>
  </si>
  <si>
    <t>P001-41221</t>
  </si>
  <si>
    <t>P001-41222</t>
  </si>
  <si>
    <t>P001-41223</t>
  </si>
  <si>
    <t>P001-41224</t>
  </si>
  <si>
    <t>P001-41225</t>
  </si>
  <si>
    <t xml:space="preserve">VASQUEZ ROJAS CLEVER </t>
  </si>
  <si>
    <t xml:space="preserve">TORRES GONZALES </t>
  </si>
  <si>
    <t xml:space="preserve">CARRANZA LLANOS TEONILA </t>
  </si>
  <si>
    <t xml:space="preserve">YESQUEN CAICEDO </t>
  </si>
  <si>
    <t>P002-30985</t>
  </si>
  <si>
    <t>P002-30986</t>
  </si>
  <si>
    <t>P002-30987</t>
  </si>
  <si>
    <t>P002-30988</t>
  </si>
  <si>
    <t>P002-30989</t>
  </si>
  <si>
    <t>P002-30990</t>
  </si>
  <si>
    <t>P002-30991</t>
  </si>
  <si>
    <t>P002-30992</t>
  </si>
  <si>
    <t>P002-30993</t>
  </si>
  <si>
    <t>P002-30994</t>
  </si>
  <si>
    <t>P002-30995</t>
  </si>
  <si>
    <t>P002-30996</t>
  </si>
  <si>
    <t>P002-30997</t>
  </si>
  <si>
    <t>P002-30998</t>
  </si>
  <si>
    <t>P002-30999</t>
  </si>
  <si>
    <t>P002-31000</t>
  </si>
  <si>
    <t>P002-31001</t>
  </si>
  <si>
    <t>P002-31002</t>
  </si>
  <si>
    <t>P002-31003</t>
  </si>
  <si>
    <t>P002-31004</t>
  </si>
  <si>
    <t>P002-31005</t>
  </si>
  <si>
    <t>P002-31006</t>
  </si>
  <si>
    <t>P002-31007</t>
  </si>
  <si>
    <t>ANULADA / JHON SANCHEZ</t>
  </si>
  <si>
    <t xml:space="preserve">PROGRESO-PATAPO P00200030982                                                                        </t>
  </si>
  <si>
    <t xml:space="preserve">GARCIA CASTILLO MAXIMO P00200030963                                                                 </t>
  </si>
  <si>
    <t>ANTERIOR</t>
  </si>
  <si>
    <t xml:space="preserve">CARGUERA ROJA VIEJITA / DAVID </t>
  </si>
  <si>
    <t>COMPRA DE 5 PIEDRA CHANCADA 1/2</t>
  </si>
  <si>
    <t xml:space="preserve">D MEJIA </t>
  </si>
  <si>
    <t>P001-41226</t>
  </si>
  <si>
    <t>P001-41227</t>
  </si>
  <si>
    <t>P001-41228</t>
  </si>
  <si>
    <t>P001-41229</t>
  </si>
  <si>
    <t>P001-41230</t>
  </si>
  <si>
    <t>P001-41231</t>
  </si>
  <si>
    <t>P001-41232</t>
  </si>
  <si>
    <t>P001-41233</t>
  </si>
  <si>
    <t>P001-41234</t>
  </si>
  <si>
    <t>P002-31008</t>
  </si>
  <si>
    <t>P002-31009</t>
  </si>
  <si>
    <t>P002-31010</t>
  </si>
  <si>
    <t>P002-31011</t>
  </si>
  <si>
    <t>P002-31012</t>
  </si>
  <si>
    <t xml:space="preserve">VASQUEZ GAMONAL </t>
  </si>
  <si>
    <t xml:space="preserve">DEVOLUCION DEMOLICION CASA </t>
  </si>
  <si>
    <t>COMPRA DE 1500 LADRILLO PANDERETA * 0.64</t>
  </si>
  <si>
    <t xml:space="preserve">DEVOLUCION DE DEPOSITO FRANK ALEX - JORDIN </t>
  </si>
  <si>
    <t>P002-31013</t>
  </si>
  <si>
    <t>P002-31014</t>
  </si>
  <si>
    <t xml:space="preserve">BILLETE FALSO- ANGEL </t>
  </si>
  <si>
    <t>FLETE CARRO NILSO</t>
  </si>
  <si>
    <t xml:space="preserve">PAGO A CESAR AYUDANTE </t>
  </si>
  <si>
    <t>CABANILLAS SOLANO</t>
  </si>
  <si>
    <t xml:space="preserve">PERALTA </t>
  </si>
  <si>
    <t>VIERNES 03-04-2026- CAJA H&amp;C</t>
  </si>
  <si>
    <t>P001-41235</t>
  </si>
  <si>
    <t>P001-41236</t>
  </si>
  <si>
    <t>P001-41237</t>
  </si>
  <si>
    <t>P001-41238</t>
  </si>
  <si>
    <t>P001-41239</t>
  </si>
  <si>
    <t>P001-41240</t>
  </si>
  <si>
    <t>P001-41241</t>
  </si>
  <si>
    <t>P001-41242</t>
  </si>
  <si>
    <t>P001-41243</t>
  </si>
  <si>
    <t>P001-41244</t>
  </si>
  <si>
    <t>P001-41245</t>
  </si>
  <si>
    <t>P001-41246</t>
  </si>
  <si>
    <t>P001-41247</t>
  </si>
  <si>
    <t>P001-41248</t>
  </si>
  <si>
    <t>P001-41249</t>
  </si>
  <si>
    <t>P001-41250</t>
  </si>
  <si>
    <t>P001-41251</t>
  </si>
  <si>
    <t>P001-41252</t>
  </si>
  <si>
    <t>P001-41253</t>
  </si>
  <si>
    <t>P001-41254</t>
  </si>
  <si>
    <t>P001-41255</t>
  </si>
  <si>
    <t>P001-41256</t>
  </si>
  <si>
    <t>P001-41257</t>
  </si>
  <si>
    <t>P001-41258</t>
  </si>
  <si>
    <t>P001-41259</t>
  </si>
  <si>
    <t>P001-41260</t>
  </si>
  <si>
    <t xml:space="preserve">TARRILLO CARRASCO </t>
  </si>
  <si>
    <t>YAPEO SEÑOR WALTER P001-41242</t>
  </si>
  <si>
    <t>SABADO 04-04-2026- CAJA H&amp;C</t>
  </si>
  <si>
    <t>COMPRA DE 35 ARENA AMARILLA*34/17PIEDRA CHANCADA 1/2*57</t>
  </si>
  <si>
    <t>B00100001818</t>
  </si>
  <si>
    <t xml:space="preserve">SANTA CRUZ ACOSTA ROBERTO CARLOS                                                                    </t>
  </si>
  <si>
    <t>F00100002855</t>
  </si>
  <si>
    <t>P001-41261</t>
  </si>
  <si>
    <t>P001-41262</t>
  </si>
  <si>
    <t>P001-41263</t>
  </si>
  <si>
    <t>P001-41264</t>
  </si>
  <si>
    <t>P001-41265</t>
  </si>
  <si>
    <t>P001-41266</t>
  </si>
  <si>
    <t>P001-41267</t>
  </si>
  <si>
    <t>P001-41268</t>
  </si>
  <si>
    <t>P001-41269</t>
  </si>
  <si>
    <t>P001-41270</t>
  </si>
  <si>
    <t>P001-41271</t>
  </si>
  <si>
    <t>P001-41272</t>
  </si>
  <si>
    <t>P001-41273</t>
  </si>
  <si>
    <t>P001-41274</t>
  </si>
  <si>
    <t>P001-41275</t>
  </si>
  <si>
    <t>P001-41276</t>
  </si>
  <si>
    <t>P001-41277</t>
  </si>
  <si>
    <t>P001-41278</t>
  </si>
  <si>
    <t>P001-41279</t>
  </si>
  <si>
    <t>P001-41280</t>
  </si>
  <si>
    <t>P002-31015</t>
  </si>
  <si>
    <t>P002-31016</t>
  </si>
  <si>
    <t>P002-31017</t>
  </si>
  <si>
    <t>P002-31018</t>
  </si>
  <si>
    <t>P002-31019</t>
  </si>
  <si>
    <t>P002-31020</t>
  </si>
  <si>
    <t>P002-31021</t>
  </si>
  <si>
    <t>P002-31022</t>
  </si>
  <si>
    <t>P002-31023</t>
  </si>
  <si>
    <t>P002-31024</t>
  </si>
  <si>
    <t>P002-31025</t>
  </si>
  <si>
    <t>P002-31026</t>
  </si>
  <si>
    <t>P002-31027</t>
  </si>
  <si>
    <t>P002-31028</t>
  </si>
  <si>
    <t>P002-31029</t>
  </si>
  <si>
    <t>P002-31030</t>
  </si>
  <si>
    <t>P002-31031</t>
  </si>
  <si>
    <t>P002-31032</t>
  </si>
  <si>
    <t>P002-31033</t>
  </si>
  <si>
    <t>P002-31034</t>
  </si>
  <si>
    <t>P002-31035</t>
  </si>
  <si>
    <t>P002-31036</t>
  </si>
  <si>
    <t>P002-31037</t>
  </si>
  <si>
    <t>P002-31038</t>
  </si>
  <si>
    <t>P001-41281</t>
  </si>
  <si>
    <t>P002-31039</t>
  </si>
  <si>
    <t>P002-31040</t>
  </si>
  <si>
    <t>P002-31041</t>
  </si>
  <si>
    <t>P002-31042</t>
  </si>
  <si>
    <t>P002-31043</t>
  </si>
  <si>
    <t>P002-31044</t>
  </si>
  <si>
    <t>P002-31045</t>
  </si>
  <si>
    <t>P002-31046</t>
  </si>
  <si>
    <t>P002-31047</t>
  </si>
  <si>
    <t>P002-31048</t>
  </si>
  <si>
    <t>P002-31049</t>
  </si>
  <si>
    <t>P002-31050</t>
  </si>
  <si>
    <t>P002-31051</t>
  </si>
  <si>
    <t>P002-31052</t>
  </si>
  <si>
    <t>P002-31053</t>
  </si>
  <si>
    <t>P002-31054</t>
  </si>
  <si>
    <t>P002-31055</t>
  </si>
  <si>
    <t>P002-31056</t>
  </si>
  <si>
    <t>P002-31057</t>
  </si>
  <si>
    <t>P002-31058</t>
  </si>
  <si>
    <t>P002-31059</t>
  </si>
  <si>
    <t>P002-31060</t>
  </si>
  <si>
    <t>P002-31061</t>
  </si>
  <si>
    <t>P002-31062</t>
  </si>
  <si>
    <t>P002-31063</t>
  </si>
  <si>
    <t>P002-31064</t>
  </si>
  <si>
    <t>P002-31065</t>
  </si>
  <si>
    <t xml:space="preserve">SAMAME GUEVARA </t>
  </si>
  <si>
    <t xml:space="preserve">CAMISAN AQUINO </t>
  </si>
  <si>
    <t xml:space="preserve">LLANCA LOPEZ </t>
  </si>
  <si>
    <t xml:space="preserve">WALTER TELLO </t>
  </si>
  <si>
    <t>SANCHEZ PAREDES</t>
  </si>
  <si>
    <t xml:space="preserve">RODRIGUEZ SILVA </t>
  </si>
  <si>
    <t xml:space="preserve">YAMMAR </t>
  </si>
  <si>
    <t xml:space="preserve">EDUARDO SALAZAR </t>
  </si>
  <si>
    <t xml:space="preserve">CESAR AYUDANTE </t>
  </si>
  <si>
    <t xml:space="preserve">PARRILLADA </t>
  </si>
  <si>
    <t xml:space="preserve">FLETE ADELIO </t>
  </si>
  <si>
    <t xml:space="preserve">BRENIS SALAZAR </t>
  </si>
  <si>
    <t xml:space="preserve">1 BALDE DE GRASA </t>
  </si>
  <si>
    <t xml:space="preserve">DEYVI RIMARACHIN </t>
  </si>
  <si>
    <t xml:space="preserve">A CUENTA EFECTIVO </t>
  </si>
  <si>
    <t>P001-41282</t>
  </si>
  <si>
    <t>P001-41283</t>
  </si>
  <si>
    <t>P001-41284</t>
  </si>
  <si>
    <t xml:space="preserve">DEVOLUCION DE SALIDA DE CUENTA BCP - JORDIN HERRERA  </t>
  </si>
  <si>
    <t>P001-41285</t>
  </si>
  <si>
    <t>P001-41286</t>
  </si>
  <si>
    <t>P001-41287</t>
  </si>
  <si>
    <t xml:space="preserve">SAMAME GUEVARA ALCIDES- VUELTO                                                                      </t>
  </si>
  <si>
    <t>P001-41288</t>
  </si>
  <si>
    <t>P001-41289</t>
  </si>
  <si>
    <t xml:space="preserve">VUELTO ZEVALLOS </t>
  </si>
  <si>
    <t>JEINER HERRERA - JAVIER Y MODESTO</t>
  </si>
  <si>
    <t>TAVARINI COMPRA DE 17 PIEDRA BASE *35</t>
  </si>
  <si>
    <t>P001-41290</t>
  </si>
  <si>
    <t>P001-41291</t>
  </si>
  <si>
    <t>P001-41292</t>
  </si>
  <si>
    <t xml:space="preserve">COMPUTADORA NIURKA       </t>
  </si>
  <si>
    <t xml:space="preserve">ANAYELY JIMENEZ </t>
  </si>
  <si>
    <t xml:space="preserve">JEINER HERRERA   - PAGO </t>
  </si>
  <si>
    <t xml:space="preserve">PROVEEDOR </t>
  </si>
  <si>
    <t xml:space="preserve">FECHA </t>
  </si>
  <si>
    <t xml:space="preserve">MONTO </t>
  </si>
  <si>
    <t xml:space="preserve">LA CASA DEL ADITIVO </t>
  </si>
  <si>
    <t>QURMAQ</t>
  </si>
  <si>
    <t>FC03-14376</t>
  </si>
  <si>
    <t xml:space="preserve">CAMBIO OTRA RAZON SOCIAL </t>
  </si>
  <si>
    <t>FT02-140</t>
  </si>
  <si>
    <t xml:space="preserve">CORPORACION PERU SOL SAC </t>
  </si>
  <si>
    <t>FT02-141</t>
  </si>
  <si>
    <t xml:space="preserve">JC IMPORT SAC </t>
  </si>
  <si>
    <t>F101-24088</t>
  </si>
  <si>
    <t>F101-24069</t>
  </si>
  <si>
    <t>F101-24070</t>
  </si>
  <si>
    <t xml:space="preserve">LA CASA DEL ADITIVO SAC </t>
  </si>
  <si>
    <t>FC03-14196</t>
  </si>
  <si>
    <t xml:space="preserve">LADRILLOS TORRE FUERTE SAC </t>
  </si>
  <si>
    <t>E001-3259</t>
  </si>
  <si>
    <t>E001-3260</t>
  </si>
  <si>
    <t xml:space="preserve">FERRETERIA CONSTRUCCIONES MEJIA EIRL </t>
  </si>
  <si>
    <t>E001-3261</t>
  </si>
  <si>
    <t xml:space="preserve">JEINER - KACELI </t>
  </si>
  <si>
    <t>KACELI SCRL</t>
  </si>
  <si>
    <t>E001-3263</t>
  </si>
  <si>
    <t>CAP INGENIERIA Y ARQUITECTURA SAC</t>
  </si>
  <si>
    <t>E001-3264</t>
  </si>
  <si>
    <t>E001-3265</t>
  </si>
  <si>
    <t>E001-3266</t>
  </si>
  <si>
    <t>ALV BUILDING GROUP SAC</t>
  </si>
  <si>
    <t>E001-3274</t>
  </si>
  <si>
    <t>E001-3277</t>
  </si>
  <si>
    <t>E001-3282</t>
  </si>
  <si>
    <t xml:space="preserve">COINSSA PERU SAC </t>
  </si>
  <si>
    <t>E001-3288</t>
  </si>
  <si>
    <t>E001-3290</t>
  </si>
  <si>
    <t>E001-32.9</t>
  </si>
  <si>
    <t>E001-3292</t>
  </si>
  <si>
    <t>DOMINGO 05-04-2026- CAJA H&amp;C</t>
  </si>
  <si>
    <t>P001-41293</t>
  </si>
  <si>
    <t>P002-31066</t>
  </si>
  <si>
    <t>P002-31067</t>
  </si>
  <si>
    <t>P002-31068</t>
  </si>
  <si>
    <t>P002-31069</t>
  </si>
  <si>
    <t>P002-31070</t>
  </si>
  <si>
    <t>P002-31071</t>
  </si>
  <si>
    <t>P002-31072</t>
  </si>
  <si>
    <t>P002-31073</t>
  </si>
  <si>
    <t>P002-31074</t>
  </si>
  <si>
    <t>P002-31075</t>
  </si>
  <si>
    <t>P002-31076</t>
  </si>
  <si>
    <t>P002-31077</t>
  </si>
  <si>
    <t>P002-31078</t>
  </si>
  <si>
    <t>P002-31079</t>
  </si>
  <si>
    <t>P002-31080</t>
  </si>
  <si>
    <t>P002-31081</t>
  </si>
  <si>
    <t>P002-31082</t>
  </si>
  <si>
    <t>P002-31083</t>
  </si>
  <si>
    <t>P002-31084</t>
  </si>
  <si>
    <t>P002-31085</t>
  </si>
  <si>
    <t>P002-31086</t>
  </si>
  <si>
    <t>P002-31087</t>
  </si>
  <si>
    <t>P002-31088</t>
  </si>
  <si>
    <t>P002-31089</t>
  </si>
  <si>
    <t>P002-31090</t>
  </si>
  <si>
    <t>P002-31091</t>
  </si>
  <si>
    <t>P002-31092</t>
  </si>
  <si>
    <t>P002-31093</t>
  </si>
  <si>
    <t>P002-31094</t>
  </si>
  <si>
    <t>P002-31095</t>
  </si>
  <si>
    <t>P002-31096</t>
  </si>
  <si>
    <t xml:space="preserve">PERALTA DIAZ ALCIDIADES </t>
  </si>
  <si>
    <t xml:space="preserve">UCHUFEN </t>
  </si>
  <si>
    <t>SEGUNDO FUENTES</t>
  </si>
  <si>
    <t xml:space="preserve">GALLARDO MEDINA </t>
  </si>
  <si>
    <t xml:space="preserve">CLIENTE VENTA </t>
  </si>
  <si>
    <t>A CUENTA DE HOLCIM ROJO QUE DIO JORDIN EL DIA 26-03</t>
  </si>
  <si>
    <t>P002-31097</t>
  </si>
  <si>
    <t xml:space="preserve">INGRESO DE FACTURAS MEJIA Y KACELI - JORDIN Y JEINER </t>
  </si>
  <si>
    <t>JORDIN HERRERA / HYC 05-04</t>
  </si>
  <si>
    <t>P002-31098</t>
  </si>
  <si>
    <t>P002-31099</t>
  </si>
  <si>
    <t>P002-31100</t>
  </si>
  <si>
    <t>P002-31101</t>
  </si>
  <si>
    <t>P002-31102</t>
  </si>
  <si>
    <t xml:space="preserve">PAGO DE PERSONAL </t>
  </si>
  <si>
    <t>LUNES 06-04-2026- CAJA H&amp;C</t>
  </si>
  <si>
    <t xml:space="preserve">COMPRA DE 6 THINER MARCA PATRON *16 SOLES </t>
  </si>
  <si>
    <t>COMPRA DE 9 FIERRO 3/4 *75</t>
  </si>
  <si>
    <t>F00100002856</t>
  </si>
  <si>
    <t xml:space="preserve">SOLUCIONES INTEGRALES MUÑOZ </t>
  </si>
  <si>
    <t>P001-41294</t>
  </si>
  <si>
    <t>P001-41295</t>
  </si>
  <si>
    <t>P001-41296</t>
  </si>
  <si>
    <t>P001-41297</t>
  </si>
  <si>
    <t>P001-41298</t>
  </si>
  <si>
    <t>P001-41299</t>
  </si>
  <si>
    <t>P001-41300</t>
  </si>
  <si>
    <t>P001-41301</t>
  </si>
  <si>
    <t>P001-41302</t>
  </si>
  <si>
    <t>P001-41303</t>
  </si>
  <si>
    <t>P001-41304</t>
  </si>
  <si>
    <t>P001-41305</t>
  </si>
  <si>
    <t>P001-41306</t>
  </si>
  <si>
    <t>P001-41307</t>
  </si>
  <si>
    <t>P001-41308</t>
  </si>
  <si>
    <t>P001-41309</t>
  </si>
  <si>
    <t>P001-41310</t>
  </si>
  <si>
    <t>P002-31103</t>
  </si>
  <si>
    <t>P002-31104</t>
  </si>
  <si>
    <t>P002-31105</t>
  </si>
  <si>
    <t>P002-31106</t>
  </si>
  <si>
    <t>P002-31107</t>
  </si>
  <si>
    <t>P002-31108</t>
  </si>
  <si>
    <t>P002-31109</t>
  </si>
  <si>
    <t>P002-31110</t>
  </si>
  <si>
    <t>P002-31111</t>
  </si>
  <si>
    <t>P002-31112</t>
  </si>
  <si>
    <t>P002-31113</t>
  </si>
  <si>
    <t>P002-31114</t>
  </si>
  <si>
    <t>P002-31115</t>
  </si>
  <si>
    <t>P002-31116</t>
  </si>
  <si>
    <t>P002-31117</t>
  </si>
  <si>
    <t>P002-31118</t>
  </si>
  <si>
    <t>P002-31119</t>
  </si>
  <si>
    <t>P002-31120</t>
  </si>
  <si>
    <t>P002-31121</t>
  </si>
  <si>
    <t>P002-31122</t>
  </si>
  <si>
    <t>P002-31123</t>
  </si>
  <si>
    <t>P002-31124</t>
  </si>
  <si>
    <t>P002-31125</t>
  </si>
  <si>
    <t>P002-31126</t>
  </si>
  <si>
    <t>P002-31127</t>
  </si>
  <si>
    <t xml:space="preserve">ARSENIO MEJIA P002-31086                                                                          </t>
  </si>
  <si>
    <t xml:space="preserve">PERALTA DIAZ ALCIDIADES  P00200031089                                                 </t>
  </si>
  <si>
    <t xml:space="preserve">SOLUCIONES INTEGRALES </t>
  </si>
  <si>
    <t>RUIZ SALAZAR ANDY</t>
  </si>
  <si>
    <t>P001-41311</t>
  </si>
  <si>
    <t>P001-41312</t>
  </si>
  <si>
    <t>P001-41313</t>
  </si>
  <si>
    <t>P001-41314</t>
  </si>
  <si>
    <t>P001-41315</t>
  </si>
  <si>
    <t>P001-41316</t>
  </si>
  <si>
    <t>P001-41317</t>
  </si>
  <si>
    <t>P001-41318</t>
  </si>
  <si>
    <t>P001-41319</t>
  </si>
  <si>
    <t>P001-41320</t>
  </si>
  <si>
    <t xml:space="preserve">FERNANDEZ CABRERA </t>
  </si>
  <si>
    <t>REINERIO</t>
  </si>
  <si>
    <t xml:space="preserve">FRANKLIN HERNANDEZ </t>
  </si>
  <si>
    <t>COMPRA DE 2 TONELADAS DE FIERRO 1/2*32.28</t>
  </si>
  <si>
    <t xml:space="preserve">COMPRA DE 25 P CHANCADA 1/2 (POZO) - SE REGISTRO LA COMPRA EL DIA 30 SIN CARGO                      </t>
  </si>
  <si>
    <t xml:space="preserve">FLETE PARA EL CENTRO CARLOS HERRERA </t>
  </si>
  <si>
    <t xml:space="preserve">GASOLINA LUCAS HERRERA </t>
  </si>
  <si>
    <t>P002-31128</t>
  </si>
  <si>
    <t xml:space="preserve">COMPRA DE 1000 LADRILLO CONCRETO ORLANDO - RECOJO </t>
  </si>
  <si>
    <t xml:space="preserve">DEVOLUCION PRESTAMO ORLANDO </t>
  </si>
  <si>
    <t>COMPRA DE 35 PIEDRA CHANCADA 1/2*57</t>
  </si>
  <si>
    <t>COMPRA DE 20 M3 ARENILLA *20</t>
  </si>
  <si>
    <t>COMPRA DE 5 P CHANCADA, 5 ARENILLA*20, 1 CONFITILLO*35</t>
  </si>
  <si>
    <t xml:space="preserve">CONSTRUCCIONES INDALO </t>
  </si>
  <si>
    <t>F001-2857</t>
  </si>
  <si>
    <t>MARTES 07-04-2026- CAJA H&amp;C</t>
  </si>
  <si>
    <t>P001-41321</t>
  </si>
  <si>
    <t>P001-41322</t>
  </si>
  <si>
    <t>P001-41323</t>
  </si>
  <si>
    <t>P001-41324</t>
  </si>
  <si>
    <t>P001-41325</t>
  </si>
  <si>
    <t>P001-41326</t>
  </si>
  <si>
    <t>P001-41327</t>
  </si>
  <si>
    <t>P001-41328</t>
  </si>
  <si>
    <t>P001-41329</t>
  </si>
  <si>
    <t>P001-41330</t>
  </si>
  <si>
    <t>P001-41331</t>
  </si>
  <si>
    <t>P001-41332</t>
  </si>
  <si>
    <t>P001-41333</t>
  </si>
  <si>
    <t>P001-41334</t>
  </si>
  <si>
    <t>P001-41335</t>
  </si>
  <si>
    <t>P001-41336</t>
  </si>
  <si>
    <t>P001-41337</t>
  </si>
  <si>
    <t>P001-41338</t>
  </si>
  <si>
    <t>P001-41339</t>
  </si>
  <si>
    <t>P001-41340</t>
  </si>
  <si>
    <t>P001-41341</t>
  </si>
  <si>
    <t>P001-41342</t>
  </si>
  <si>
    <t>P001-41343</t>
  </si>
  <si>
    <t>PERES VILLALOBOS</t>
  </si>
  <si>
    <t xml:space="preserve">JULCA BRAVO CELSO </t>
  </si>
  <si>
    <t xml:space="preserve">CABANILLA SOLANO NOE </t>
  </si>
  <si>
    <t xml:space="preserve">JOSE SAUCEDO </t>
  </si>
  <si>
    <t>P002-31129</t>
  </si>
  <si>
    <t>P002-31130</t>
  </si>
  <si>
    <t>P002-31131</t>
  </si>
  <si>
    <t>P002-31132</t>
  </si>
  <si>
    <t>P002-31133</t>
  </si>
  <si>
    <t>P002-31134</t>
  </si>
  <si>
    <t>P002-31135</t>
  </si>
  <si>
    <t>P002-31136</t>
  </si>
  <si>
    <t>P002-31137</t>
  </si>
  <si>
    <t>P002-31138</t>
  </si>
  <si>
    <t>P002-31139</t>
  </si>
  <si>
    <t>P002-31140</t>
  </si>
  <si>
    <t>P002-31141</t>
  </si>
  <si>
    <t>P002-31142</t>
  </si>
  <si>
    <t>P002-31143</t>
  </si>
  <si>
    <t>P002-31144</t>
  </si>
  <si>
    <t>P002-31145</t>
  </si>
  <si>
    <t>P002-31146</t>
  </si>
  <si>
    <t>P002-31147</t>
  </si>
  <si>
    <t>P002-31148</t>
  </si>
  <si>
    <t>P002-31149</t>
  </si>
  <si>
    <t>P002-31150</t>
  </si>
  <si>
    <t>P002-31151</t>
  </si>
  <si>
    <t>P002-31152</t>
  </si>
  <si>
    <t>P002-31153</t>
  </si>
  <si>
    <t>P002-31154</t>
  </si>
  <si>
    <t>P002-31155</t>
  </si>
  <si>
    <t>P002-31156</t>
  </si>
  <si>
    <t>P002-31157</t>
  </si>
  <si>
    <t xml:space="preserve">HECTOR SALAZAR DIAZ </t>
  </si>
  <si>
    <t xml:space="preserve">VASQUEZ IDROGO REINERIO </t>
  </si>
  <si>
    <t xml:space="preserve">SORIANO CANACHO </t>
  </si>
  <si>
    <t xml:space="preserve">CLENTE VENTAS </t>
  </si>
  <si>
    <t xml:space="preserve">REGALADO SILVA </t>
  </si>
  <si>
    <t>PROGRESO PATAPO</t>
  </si>
  <si>
    <t xml:space="preserve">VIVIAN </t>
  </si>
  <si>
    <t xml:space="preserve">JORDIN HERRERA P00200023580                                                                         </t>
  </si>
  <si>
    <t xml:space="preserve">JORDIN P00200025349                                                                                 </t>
  </si>
  <si>
    <t xml:space="preserve">JORDIN P00200023056                                                                                 </t>
  </si>
  <si>
    <t xml:space="preserve">JORDIN P00200023693                                                                                 </t>
  </si>
  <si>
    <t xml:space="preserve">SANCHEZ PEDRERA CESAR ALFONSO P00200031099                                                          </t>
  </si>
  <si>
    <t xml:space="preserve">JHON SANCHEZ CEL. 915950023 P00200031095                                                            </t>
  </si>
  <si>
    <t xml:space="preserve">JHON SANCHEZ CEL. 915950023 P00200031101                                                            </t>
  </si>
  <si>
    <t xml:space="preserve">DIAZ BARCO MAGDALENA P00200031125                                                                   </t>
  </si>
  <si>
    <t>P001-41344</t>
  </si>
  <si>
    <t>P001-41345</t>
  </si>
  <si>
    <t xml:space="preserve">PAGO ISMAEL </t>
  </si>
  <si>
    <t xml:space="preserve">DEVOLUCION DE YAPE P001-41254  SE EQUIVOCO EN LA LLAVE PASO 1 - JEINER                              </t>
  </si>
  <si>
    <t xml:space="preserve">SE RETIRO EFECTIVO DE CAJA PARA PAGO CEMENTO 400 ROJOS Y 400 AZUL - JORDIN                          </t>
  </si>
  <si>
    <t xml:space="preserve">MULTA ELECTRONORTE   </t>
  </si>
  <si>
    <t xml:space="preserve">DEVOLUCION DE DEPOSITO DEL DIA 28-02 NAPO GUEVARA- JORDIN  </t>
  </si>
  <si>
    <t xml:space="preserve">FLETE LADRILLO PAMPAGRANDE - JORDIN </t>
  </si>
  <si>
    <t>P001-41346</t>
  </si>
  <si>
    <t>MIERCOLES 08-04-2026- CAJA H&amp;C</t>
  </si>
  <si>
    <t>P001-41347</t>
  </si>
  <si>
    <t>P001-41348</t>
  </si>
  <si>
    <t>P001-41349</t>
  </si>
  <si>
    <t>P001-41350</t>
  </si>
  <si>
    <t>P001-41351</t>
  </si>
  <si>
    <t>P001-41352</t>
  </si>
  <si>
    <t>P001-41353</t>
  </si>
  <si>
    <t>P001-41354</t>
  </si>
  <si>
    <t>P001-41355</t>
  </si>
  <si>
    <t>P001-41356</t>
  </si>
  <si>
    <t>P001-41357</t>
  </si>
  <si>
    <t>P001-41358</t>
  </si>
  <si>
    <t>P001-41359</t>
  </si>
  <si>
    <t>P001-41360</t>
  </si>
  <si>
    <t>P001-41361</t>
  </si>
  <si>
    <t>P001-41362</t>
  </si>
  <si>
    <t>P001-41363</t>
  </si>
  <si>
    <t>P001-41364</t>
  </si>
  <si>
    <t>P001-41365</t>
  </si>
  <si>
    <t>P001-41366</t>
  </si>
  <si>
    <t>P001-41367</t>
  </si>
  <si>
    <t>P001-41368</t>
  </si>
  <si>
    <t>P001-41369</t>
  </si>
  <si>
    <t>P001-41370</t>
  </si>
  <si>
    <t>P002-31158</t>
  </si>
  <si>
    <t>P002-31159</t>
  </si>
  <si>
    <t>P002-31160</t>
  </si>
  <si>
    <t>P002-31161</t>
  </si>
  <si>
    <t>P002-31162</t>
  </si>
  <si>
    <t>P002-31163</t>
  </si>
  <si>
    <t>P002-31164</t>
  </si>
  <si>
    <t>P002-31165</t>
  </si>
  <si>
    <t xml:space="preserve">DIAZ LINARES FERNANDO </t>
  </si>
  <si>
    <t xml:space="preserve">ARNULFO DIAZ LINARES </t>
  </si>
  <si>
    <t xml:space="preserve">REQUEJO REQUEJO ERIBERTO </t>
  </si>
  <si>
    <t>RODRIGUEZ SILVA</t>
  </si>
  <si>
    <t>P002-31166</t>
  </si>
  <si>
    <t xml:space="preserve">HECTOR SALAZAR DIAZ P00200031148                                                                    </t>
  </si>
  <si>
    <t xml:space="preserve">REQUEJO REQUEJO ERIBERTO - 901303966 P00100041368                                                   </t>
  </si>
  <si>
    <t xml:space="preserve">PASAJE CAMILA </t>
  </si>
  <si>
    <t xml:space="preserve">DIFERENCIA DE PIEDRA CHANCADA - CALDERON 35*3                                                       </t>
  </si>
  <si>
    <t xml:space="preserve">BAJADA DE CAJA MITSUBISHI - LUCAS - JEINER                                                          </t>
  </si>
  <si>
    <t xml:space="preserve">PARCHE DE LLANTA - FORLAND                                                                          </t>
  </si>
  <si>
    <t xml:space="preserve">ALMUERZO ANGEL MORENO                                                                               </t>
  </si>
  <si>
    <t xml:space="preserve">JORDIN HERRERA - PRESTADO PARA BANCARIZACION                                                        </t>
  </si>
  <si>
    <t xml:space="preserve">COMPRA DE 2 HORMIGON JEINER </t>
  </si>
  <si>
    <t xml:space="preserve">COMPRA DE 17 AFIRMADO *25/ ALMACEN </t>
  </si>
  <si>
    <t xml:space="preserve">GAETANI INGENIERIA Y CONSTRUCCION S.A.C. - GAETANI S.A.C.       </t>
  </si>
  <si>
    <t>P001-41371</t>
  </si>
  <si>
    <t>P001-41372</t>
  </si>
  <si>
    <t>P001-41373</t>
  </si>
  <si>
    <t>P001-41374</t>
  </si>
  <si>
    <t>P001-41375</t>
  </si>
  <si>
    <t>P001-41376</t>
  </si>
  <si>
    <t>P001-41377</t>
  </si>
  <si>
    <t>P001-41378</t>
  </si>
  <si>
    <t>P001-41379</t>
  </si>
  <si>
    <t>ROBERTO RODRIGUEZ</t>
  </si>
  <si>
    <t>P002-31167</t>
  </si>
  <si>
    <t>P002-31168</t>
  </si>
  <si>
    <t>P002-31169</t>
  </si>
  <si>
    <t>P002-31170</t>
  </si>
  <si>
    <t>BACA BURGA ANA YSABEL</t>
  </si>
  <si>
    <t xml:space="preserve">COMBUSTIBLE JBC OMAR </t>
  </si>
  <si>
    <t xml:space="preserve">FLETE COLLIQUE WILMER </t>
  </si>
  <si>
    <t>COMPRA DE 12 TECNOPOR 1</t>
  </si>
  <si>
    <t xml:space="preserve">COMPRA DE 25 FIERRO 3/8 *18.02- MARVID </t>
  </si>
  <si>
    <t>JUEVES 09-04-2026- CAJA H&amp;C</t>
  </si>
  <si>
    <t>P001-41380</t>
  </si>
  <si>
    <t>COMPRA DE 17 M3 ARENA AMARILLA *37</t>
  </si>
  <si>
    <t>P001-41381</t>
  </si>
  <si>
    <t>P001-41382</t>
  </si>
  <si>
    <t>P001-41383</t>
  </si>
  <si>
    <t>P001-41384</t>
  </si>
  <si>
    <t>P001-41385</t>
  </si>
  <si>
    <t>P001-41386</t>
  </si>
  <si>
    <t>P001-41387</t>
  </si>
  <si>
    <t>P001-41388</t>
  </si>
  <si>
    <t>P001-41389</t>
  </si>
  <si>
    <t>P001-41390</t>
  </si>
  <si>
    <t>P001-41391</t>
  </si>
  <si>
    <t>P001-41392</t>
  </si>
  <si>
    <t>P001-41393</t>
  </si>
  <si>
    <t>P001-41394</t>
  </si>
  <si>
    <t>P001-41395</t>
  </si>
  <si>
    <t>P001-41396</t>
  </si>
  <si>
    <t xml:space="preserve">VASQUEZ CAMIZAN JUAN </t>
  </si>
  <si>
    <t>P002-31171</t>
  </si>
  <si>
    <t>P002-31172</t>
  </si>
  <si>
    <t>P002-31173</t>
  </si>
  <si>
    <t>P002-31174</t>
  </si>
  <si>
    <t>P002-31175</t>
  </si>
  <si>
    <t>P002-31176</t>
  </si>
  <si>
    <t>P002-31177</t>
  </si>
  <si>
    <t>P002-31178</t>
  </si>
  <si>
    <t>P002-31179</t>
  </si>
  <si>
    <t>P002-31180</t>
  </si>
  <si>
    <t>P002-31181</t>
  </si>
  <si>
    <t>P002-31182</t>
  </si>
  <si>
    <t>P002-31183</t>
  </si>
  <si>
    <t>BARBOZA VASQUEZ MARCO</t>
  </si>
  <si>
    <t xml:space="preserve">YDROGO GALVEZ YONATAN- EFECTIVO VUELTO    </t>
  </si>
  <si>
    <t>P002-31184</t>
  </si>
  <si>
    <t>P002-31185</t>
  </si>
  <si>
    <t>P001-41397</t>
  </si>
  <si>
    <t>P001-41398</t>
  </si>
  <si>
    <t>P001-41399</t>
  </si>
  <si>
    <t>P001-41400</t>
  </si>
  <si>
    <t>P001-41401</t>
  </si>
  <si>
    <t>P002-31186</t>
  </si>
  <si>
    <t>P002-31187</t>
  </si>
  <si>
    <t>P002-31188</t>
  </si>
  <si>
    <t>P002-31189</t>
  </si>
  <si>
    <t>P002-31190</t>
  </si>
  <si>
    <t>P002-31191</t>
  </si>
  <si>
    <t xml:space="preserve">DIAZ BARCO MAGDALENA P00200031137                                                                   </t>
  </si>
  <si>
    <t xml:space="preserve">DIAZ BARCO MAGDALENA P00100039867                                                                   </t>
  </si>
  <si>
    <t xml:space="preserve">DIAZ BARCO MAGDALENA P00200030265                                                                   </t>
  </si>
  <si>
    <t xml:space="preserve">DIAZ BARCO MAGDALENA P00200031190                                                                   </t>
  </si>
  <si>
    <t xml:space="preserve">DIAZ BARCO MAGDALENA F00100002723                                                                   </t>
  </si>
  <si>
    <t xml:space="preserve">DIAZ BARCO MAGDALENA P00200031141                                                                   </t>
  </si>
  <si>
    <t xml:space="preserve">JULIAN - TRAER CARRO JBC MECANICO    </t>
  </si>
  <si>
    <t xml:space="preserve">COMPRA DE 2000 LADRILLO BODOQUE *0.475- PERALTA </t>
  </si>
  <si>
    <t xml:space="preserve">COMBUSTIBLE MOTO ROJA NUEVA - DARWIN                                                                </t>
  </si>
  <si>
    <t xml:space="preserve">COMPRA DE PAPEL HIGIENICO </t>
  </si>
  <si>
    <t>P002-31192</t>
  </si>
  <si>
    <t>F001-2859</t>
  </si>
  <si>
    <t>P002-31193</t>
  </si>
  <si>
    <t>P002-31194</t>
  </si>
  <si>
    <t xml:space="preserve">COMPRA DE 1 PINTURA BASE AL ACEITE </t>
  </si>
  <si>
    <t xml:space="preserve">ACEROS AREQUIPA </t>
  </si>
  <si>
    <t>JC IMPORT</t>
  </si>
  <si>
    <t>VIERNES 10-04-2026- CAJA H&amp;C</t>
  </si>
  <si>
    <t>P001-41402</t>
  </si>
  <si>
    <t>P001-41403</t>
  </si>
  <si>
    <t>P001-41404</t>
  </si>
  <si>
    <t>P001-41405</t>
  </si>
  <si>
    <t>P001-41406</t>
  </si>
  <si>
    <t>P001-41407</t>
  </si>
  <si>
    <t>P001-41408</t>
  </si>
  <si>
    <t>P001-41409</t>
  </si>
  <si>
    <t>P001-41410</t>
  </si>
  <si>
    <t>P001-41411</t>
  </si>
  <si>
    <t>P001-41412</t>
  </si>
  <si>
    <t>P001-41413</t>
  </si>
  <si>
    <t>P001-41414</t>
  </si>
  <si>
    <t>P001-41415</t>
  </si>
  <si>
    <t>P001-41416</t>
  </si>
  <si>
    <t>P001-41417</t>
  </si>
  <si>
    <t>P001-41418</t>
  </si>
  <si>
    <t>P001-41419</t>
  </si>
  <si>
    <t>P001-41420</t>
  </si>
  <si>
    <t>P001-41421</t>
  </si>
  <si>
    <t>P001-41422</t>
  </si>
  <si>
    <t>P001-41423</t>
  </si>
  <si>
    <t>P001-41424</t>
  </si>
  <si>
    <t>CARRANZA LLANOS TEONILA</t>
  </si>
  <si>
    <t xml:space="preserve">MENDOZA MONDRAGON FLOR ESTELITA </t>
  </si>
  <si>
    <t>P002-31195</t>
  </si>
  <si>
    <t>P002-31196</t>
  </si>
  <si>
    <t>P002-31197</t>
  </si>
  <si>
    <t>P002-31198</t>
  </si>
  <si>
    <t>P002-31199</t>
  </si>
  <si>
    <t>P002-31200</t>
  </si>
  <si>
    <t>P002-31201</t>
  </si>
  <si>
    <t>P002-31202</t>
  </si>
  <si>
    <t>P002-31203</t>
  </si>
  <si>
    <t>P002-31204</t>
  </si>
  <si>
    <t>P002-31205</t>
  </si>
  <si>
    <t>P002-31206</t>
  </si>
  <si>
    <t>P002-31207</t>
  </si>
  <si>
    <t>P002-31208</t>
  </si>
  <si>
    <t>P002-31209</t>
  </si>
  <si>
    <t xml:space="preserve">DIAZ LINAREZ FERNANDO </t>
  </si>
  <si>
    <t xml:space="preserve">BACA BURGA ANA YSABEL </t>
  </si>
  <si>
    <t xml:space="preserve">JORDIN AGUAS </t>
  </si>
  <si>
    <t xml:space="preserve">GASEOSA NILSON - JORDIN </t>
  </si>
  <si>
    <t xml:space="preserve">ADELANTO JAVIER SALAZAR </t>
  </si>
  <si>
    <t xml:space="preserve">COMPRA DE 34 PIEDRA BASE *35 - JORDIN TAVARA </t>
  </si>
  <si>
    <t xml:space="preserve">CARRANZA LLANOS TEONILA  P00100041299                                                    </t>
  </si>
  <si>
    <t xml:space="preserve">DEVOLUCION DE DEPOSITO - JORDIN BBVA                                                                </t>
  </si>
  <si>
    <t>P001-41425</t>
  </si>
  <si>
    <t>P001-41426</t>
  </si>
  <si>
    <t>P001-41427</t>
  </si>
  <si>
    <t>P001-41428</t>
  </si>
  <si>
    <t>P001-41429</t>
  </si>
  <si>
    <t>TAVARA GUERRERO JOSE</t>
  </si>
  <si>
    <t xml:space="preserve">VENEGAS TORRES </t>
  </si>
  <si>
    <t>P002-31210</t>
  </si>
  <si>
    <t>P002-31211</t>
  </si>
  <si>
    <t>P002-31212</t>
  </si>
  <si>
    <t>P002-31213</t>
  </si>
  <si>
    <t>P002-31214</t>
  </si>
  <si>
    <t>P002-31215</t>
  </si>
  <si>
    <t>P002-31216</t>
  </si>
  <si>
    <t>P002-31217</t>
  </si>
  <si>
    <t>P002-31218</t>
  </si>
  <si>
    <t>P002-31219</t>
  </si>
  <si>
    <t>P002-31220</t>
  </si>
  <si>
    <t>CARRASCO SANCHEZ</t>
  </si>
  <si>
    <t>SEMPERTEGUI BARAHOMA</t>
  </si>
  <si>
    <t xml:space="preserve">PROGRESO-PATAPO P00200031134                                                                        </t>
  </si>
  <si>
    <t xml:space="preserve">PROGRESO-PATAPO P00200031187                                                                        </t>
  </si>
  <si>
    <t xml:space="preserve">GRUA - LOCAL HYC </t>
  </si>
  <si>
    <t>LOTE PROPIO SAC</t>
  </si>
  <si>
    <t>F00100002860</t>
  </si>
  <si>
    <t>P001-41430</t>
  </si>
  <si>
    <t xml:space="preserve">DIAZ LINARES FERNANDO P00200031205                                                                  </t>
  </si>
  <si>
    <t xml:space="preserve">DIAZ LINARES FERNANDO P00200031163                                                                  </t>
  </si>
  <si>
    <t>P001-41431</t>
  </si>
  <si>
    <t xml:space="preserve">GESTIONES Y PAGOS PARA RENOVAR DEFENSA CIVIL Y SALUBRIDAD - JOSE AGURTO                             </t>
  </si>
  <si>
    <t>P002-31221</t>
  </si>
  <si>
    <t xml:space="preserve">JEINER RELLENAS </t>
  </si>
  <si>
    <t xml:space="preserve">ALMUERZO JULIAN Y DARWIN </t>
  </si>
  <si>
    <t>SABADO 11-04-2026- CAJA H&amp;C</t>
  </si>
  <si>
    <t>P001-41432</t>
  </si>
  <si>
    <t>P001-41433</t>
  </si>
  <si>
    <t>P001-41434</t>
  </si>
  <si>
    <t>P001-41435</t>
  </si>
  <si>
    <t>P001-41436</t>
  </si>
  <si>
    <t>P001-41437</t>
  </si>
  <si>
    <t>P001-41438</t>
  </si>
  <si>
    <t>P001-41439</t>
  </si>
  <si>
    <t>P001-41440</t>
  </si>
  <si>
    <t>P001-41441</t>
  </si>
  <si>
    <t>P001-41442</t>
  </si>
  <si>
    <t>P001-41443</t>
  </si>
  <si>
    <t>P001-41444</t>
  </si>
  <si>
    <t>P001-41445</t>
  </si>
  <si>
    <t>P001-41446</t>
  </si>
  <si>
    <t>P001-41447</t>
  </si>
  <si>
    <t>P001-41448</t>
  </si>
  <si>
    <t>P001-41449</t>
  </si>
  <si>
    <t>P001-41450</t>
  </si>
  <si>
    <t>P001-41451</t>
  </si>
  <si>
    <t>P001-41452</t>
  </si>
  <si>
    <t>P001-41453</t>
  </si>
  <si>
    <t xml:space="preserve">HAMILTON CUEVA </t>
  </si>
  <si>
    <t>P002-31222</t>
  </si>
  <si>
    <t>P002-31223</t>
  </si>
  <si>
    <t>P002-31224</t>
  </si>
  <si>
    <t>P002-31225</t>
  </si>
  <si>
    <t>P002-31226</t>
  </si>
  <si>
    <t>P002-31227</t>
  </si>
  <si>
    <t>P002-31228</t>
  </si>
  <si>
    <t>P002-31229</t>
  </si>
  <si>
    <t>P002-31230</t>
  </si>
  <si>
    <t>P002-31231</t>
  </si>
  <si>
    <t>P002-31232</t>
  </si>
  <si>
    <t>P002-31233</t>
  </si>
  <si>
    <t xml:space="preserve">HECTOR MEJIA </t>
  </si>
  <si>
    <t xml:space="preserve">KT-A CONSTRUCTORA S.A.C. </t>
  </si>
  <si>
    <t>F001-2862</t>
  </si>
  <si>
    <t xml:space="preserve">KAREN  AQUINO P00200031012  </t>
  </si>
  <si>
    <t xml:space="preserve">KAREN  AQUINO P00200031222        </t>
  </si>
  <si>
    <t xml:space="preserve">VUELTO DE DEPOSITOS - BCP </t>
  </si>
  <si>
    <t xml:space="preserve">KAREN  AQUINO P00200030890   </t>
  </si>
  <si>
    <t xml:space="preserve">MECANICO ESTEBAN </t>
  </si>
  <si>
    <t xml:space="preserve">COMPRA DE 15 BIDON DE AGUA 30-03 AL 11-04                                                           </t>
  </si>
  <si>
    <t xml:space="preserve">DIA TECLE </t>
  </si>
  <si>
    <t xml:space="preserve">PAGO - 59 CAJAS DE CERAMICA  </t>
  </si>
  <si>
    <t xml:space="preserve">COMBUSTIBLE JULIAN </t>
  </si>
  <si>
    <t>P001-41454</t>
  </si>
  <si>
    <t>P001-41455</t>
  </si>
  <si>
    <t>P001-41456</t>
  </si>
  <si>
    <t>P001-41457</t>
  </si>
  <si>
    <t>P002-31234</t>
  </si>
  <si>
    <t>P002-31235</t>
  </si>
  <si>
    <t>P002-31236</t>
  </si>
  <si>
    <t>P002-31237</t>
  </si>
  <si>
    <t>F001-2863</t>
  </si>
  <si>
    <t>DIAZ BARCO MAGDALENA</t>
  </si>
  <si>
    <t>COMPRA DE 17 M3 PIEDRA CHANCADA 1/2</t>
  </si>
  <si>
    <t>COMPRA DE 500 LADRILLO CONCRETO *1.5</t>
  </si>
  <si>
    <t>P001-41458</t>
  </si>
  <si>
    <t>P001-41459</t>
  </si>
  <si>
    <t>P001-41460</t>
  </si>
  <si>
    <t>P001-41461</t>
  </si>
  <si>
    <t>P001-41462</t>
  </si>
  <si>
    <t>P001-41463</t>
  </si>
  <si>
    <t>P001-41464</t>
  </si>
  <si>
    <t>ISAIAS RODRIGUES</t>
  </si>
  <si>
    <t xml:space="preserve">JEINER HERRERA -FERRETERIA LA UNION  </t>
  </si>
  <si>
    <t xml:space="preserve">ORLANDO VASQUEZ P00100041348                                                                        </t>
  </si>
  <si>
    <t>P001-41465</t>
  </si>
  <si>
    <t>P001-41466</t>
  </si>
  <si>
    <t>P001-41467</t>
  </si>
  <si>
    <t>P001-41468</t>
  </si>
  <si>
    <t>P001-41469</t>
  </si>
  <si>
    <t>P001-41470</t>
  </si>
  <si>
    <t>P001-41471</t>
  </si>
  <si>
    <t xml:space="preserve">SEMPERTEGI BARAHONA </t>
  </si>
  <si>
    <t>CUBAS CALDERON</t>
  </si>
  <si>
    <t>P002-31238</t>
  </si>
  <si>
    <t xml:space="preserve">DARWIN </t>
  </si>
  <si>
    <t xml:space="preserve">FLETES CARRO NUEVO JORDIN </t>
  </si>
  <si>
    <t xml:space="preserve">JENNY RAMOS </t>
  </si>
  <si>
    <t xml:space="preserve">BENEDICTO SALAZAR </t>
  </si>
  <si>
    <t>P002-31239</t>
  </si>
  <si>
    <t>P002-31240</t>
  </si>
  <si>
    <t>MARTES 14-04-2026- CAJA H&amp;C</t>
  </si>
  <si>
    <t xml:space="preserve">COMPRA DE 35 DE AFIRMADO *25/ ALMACEN </t>
  </si>
  <si>
    <t xml:space="preserve">COMPRA DE 35 PIEDRA CHANCADA *60/ ALMACEN </t>
  </si>
  <si>
    <t>OBRA / NAYELY</t>
  </si>
  <si>
    <t>F001-2864</t>
  </si>
  <si>
    <t>KT-A CONSTRUCTORA S.A.C.</t>
  </si>
  <si>
    <t>P001-41472</t>
  </si>
  <si>
    <t xml:space="preserve">CUBAS CALDERON HILARIO </t>
  </si>
  <si>
    <t>P001-41473</t>
  </si>
  <si>
    <t>P001-41474</t>
  </si>
  <si>
    <t>P001-41475</t>
  </si>
  <si>
    <t>P001-41476</t>
  </si>
  <si>
    <t>P001-41477</t>
  </si>
  <si>
    <t>P001-41478</t>
  </si>
  <si>
    <t>P001-41479</t>
  </si>
  <si>
    <t>P001-41480</t>
  </si>
  <si>
    <t>P001-41481</t>
  </si>
  <si>
    <t>P001-41482</t>
  </si>
  <si>
    <t>P001-41483</t>
  </si>
  <si>
    <t>P001-41484</t>
  </si>
  <si>
    <t>P001-41485</t>
  </si>
  <si>
    <t>P001-41486</t>
  </si>
  <si>
    <t>P001-41487</t>
  </si>
  <si>
    <t>P001-41488</t>
  </si>
  <si>
    <t>P001-41489</t>
  </si>
  <si>
    <t>P001-41490</t>
  </si>
  <si>
    <t>P001-41491</t>
  </si>
  <si>
    <t>P001-41492</t>
  </si>
  <si>
    <t>P001-41493</t>
  </si>
  <si>
    <t>P001-41494</t>
  </si>
  <si>
    <t>P001-41495</t>
  </si>
  <si>
    <t>P001-41496</t>
  </si>
  <si>
    <t>P001-41497</t>
  </si>
  <si>
    <t>P001-41498</t>
  </si>
  <si>
    <t>P001-41499</t>
  </si>
  <si>
    <t>P001-41500</t>
  </si>
  <si>
    <t>P001-41501</t>
  </si>
  <si>
    <t>P001-41502</t>
  </si>
  <si>
    <t>P001-41503</t>
  </si>
  <si>
    <t>P001-41504</t>
  </si>
  <si>
    <t>P001-41505</t>
  </si>
  <si>
    <t>P001-41506</t>
  </si>
  <si>
    <t>P001-41507</t>
  </si>
  <si>
    <t>P001-41508</t>
  </si>
  <si>
    <t>P001-41509</t>
  </si>
  <si>
    <t>P001-41510</t>
  </si>
  <si>
    <t>P001-41511</t>
  </si>
  <si>
    <t>P001-41512</t>
  </si>
  <si>
    <t>P001-41513</t>
  </si>
  <si>
    <t>P001-41514</t>
  </si>
  <si>
    <t>P001-41515</t>
  </si>
  <si>
    <t>P001-41516</t>
  </si>
  <si>
    <t>P001-41517</t>
  </si>
  <si>
    <t>P001-41518</t>
  </si>
  <si>
    <t>P001-41519</t>
  </si>
  <si>
    <t>P001-41520</t>
  </si>
  <si>
    <t>P001-41521</t>
  </si>
  <si>
    <t>P001-41522</t>
  </si>
  <si>
    <t>P001-41523</t>
  </si>
  <si>
    <t>P001-41524</t>
  </si>
  <si>
    <t>P001-41525</t>
  </si>
  <si>
    <t>P001-41526</t>
  </si>
  <si>
    <t>P001-41527</t>
  </si>
  <si>
    <t>P001-41528</t>
  </si>
  <si>
    <t>P001-41529</t>
  </si>
  <si>
    <t>P001-41530</t>
  </si>
  <si>
    <t>P001-41531</t>
  </si>
  <si>
    <t>P001-41532</t>
  </si>
  <si>
    <t xml:space="preserve">CIPRIANI TELLO SOCORRO </t>
  </si>
  <si>
    <t xml:space="preserve">CRISTHIAN REQUEJO </t>
  </si>
  <si>
    <t xml:space="preserve">JESUS RAMIREZ </t>
  </si>
  <si>
    <t xml:space="preserve">ANDY </t>
  </si>
  <si>
    <t xml:space="preserve">RONALD CASTRO </t>
  </si>
  <si>
    <t>ARMANDO CASAS</t>
  </si>
  <si>
    <t xml:space="preserve">JHON MECHAN </t>
  </si>
  <si>
    <t xml:space="preserve">CHUQUIPOMA CHINCHAY </t>
  </si>
  <si>
    <t xml:space="preserve">CAMISAN </t>
  </si>
  <si>
    <t>P002-31241</t>
  </si>
  <si>
    <t>P002-31242</t>
  </si>
  <si>
    <t>P002-31243</t>
  </si>
  <si>
    <t>P002-31244</t>
  </si>
  <si>
    <t>P002-31245</t>
  </si>
  <si>
    <t>P002-31246</t>
  </si>
  <si>
    <t>P002-31247</t>
  </si>
  <si>
    <t>P002-31248</t>
  </si>
  <si>
    <t>P002-31249</t>
  </si>
  <si>
    <t>P002-31250</t>
  </si>
  <si>
    <t>P002-31251</t>
  </si>
  <si>
    <t>P002-31252</t>
  </si>
  <si>
    <t>P002-31253</t>
  </si>
  <si>
    <t>P002-31254</t>
  </si>
  <si>
    <t>P002-31255</t>
  </si>
  <si>
    <t>P002-31256</t>
  </si>
  <si>
    <t>P002-31257</t>
  </si>
  <si>
    <t>KT-A CONSTRUCTORA S.A.C</t>
  </si>
  <si>
    <t>P002-31258</t>
  </si>
  <si>
    <t>P002-31259</t>
  </si>
  <si>
    <t>P002-31260</t>
  </si>
  <si>
    <t>P002-31261</t>
  </si>
  <si>
    <t>P002-31262</t>
  </si>
  <si>
    <t>P002-31263</t>
  </si>
  <si>
    <t>P002-31264</t>
  </si>
  <si>
    <t>P002-31265</t>
  </si>
  <si>
    <t>P002-31266</t>
  </si>
  <si>
    <t>P002-31267</t>
  </si>
  <si>
    <t>P002-31268</t>
  </si>
  <si>
    <t>P002-31269</t>
  </si>
  <si>
    <t>P002-31270</t>
  </si>
  <si>
    <t>P002-31271</t>
  </si>
  <si>
    <t>P002-31272</t>
  </si>
  <si>
    <t>P002-31273</t>
  </si>
  <si>
    <t>P002-31274</t>
  </si>
  <si>
    <t>P002-31275</t>
  </si>
  <si>
    <t>P002-31276</t>
  </si>
  <si>
    <t xml:space="preserve">BACA BURGA ANA </t>
  </si>
  <si>
    <t xml:space="preserve">JARA ARMIJOS JOSE ARMANDO </t>
  </si>
  <si>
    <t xml:space="preserve">CUEVA VILLEGAS SATURNINO </t>
  </si>
  <si>
    <t>COMPRA DE 110 PEGAMENTOS P/ CERAMICA *7.727</t>
  </si>
  <si>
    <t>ROCA FUERTE</t>
  </si>
  <si>
    <t xml:space="preserve">MILTON MIRES </t>
  </si>
  <si>
    <t xml:space="preserve">GAS BRENIS - DOMINGO </t>
  </si>
  <si>
    <t>COMBUSTIBLE FORLAND /13/04</t>
  </si>
  <si>
    <t xml:space="preserve">DEVOLUCION DE DEPSOITO EBERSON </t>
  </si>
  <si>
    <t xml:space="preserve">JHON ASTONITAS - DOMINGO </t>
  </si>
  <si>
    <t xml:space="preserve">COMBUSTIBLE DARWIN MOTO AZUL                                                                        </t>
  </si>
  <si>
    <t xml:space="preserve">OMAR - DOMINGO </t>
  </si>
  <si>
    <t>COMBUSTIBLE LUCAS 13-04</t>
  </si>
  <si>
    <t>COMBUSTIBLE JBC - JULIAN</t>
  </si>
  <si>
    <t xml:space="preserve">COMBUSTIBLE JBC OMAR  </t>
  </si>
  <si>
    <t>COMPRA DE 35 ARENA AMARILLA *38</t>
  </si>
  <si>
    <t xml:space="preserve">COMPRA DE 4 HORMIGON </t>
  </si>
  <si>
    <t>13/14</t>
  </si>
  <si>
    <t xml:space="preserve">COMPRA DE 850 LADRILLO KK ARTESANAL PEQUEÑO </t>
  </si>
  <si>
    <t xml:space="preserve">COCOLIZO </t>
  </si>
  <si>
    <t>P001-41533</t>
  </si>
  <si>
    <t>P001-41534</t>
  </si>
  <si>
    <t>P001-41535</t>
  </si>
  <si>
    <t>P001-41536</t>
  </si>
  <si>
    <t>P001-41537</t>
  </si>
  <si>
    <t>P001-41538</t>
  </si>
  <si>
    <t>P001-41539</t>
  </si>
  <si>
    <t>P001-41540</t>
  </si>
  <si>
    <t>P001-41541</t>
  </si>
  <si>
    <t>P001-41542</t>
  </si>
  <si>
    <t xml:space="preserve">VIZCONDE SILVA </t>
  </si>
  <si>
    <t xml:space="preserve">WEYNER LEON </t>
  </si>
  <si>
    <t>P002-31277</t>
  </si>
  <si>
    <t>P002-31278</t>
  </si>
  <si>
    <t>P002-31279</t>
  </si>
  <si>
    <t>P002-31280</t>
  </si>
  <si>
    <t>P002-31281</t>
  </si>
  <si>
    <t>P002-31282</t>
  </si>
  <si>
    <t>P002-31283</t>
  </si>
  <si>
    <t xml:space="preserve">ELECTRICISTA ROMEL VASQUEZ </t>
  </si>
  <si>
    <t>COMPRA DE 200 LADRILLO CONCRETO *1.5</t>
  </si>
  <si>
    <t>P001-41543</t>
  </si>
  <si>
    <t xml:space="preserve">COMPRA DE RAPIMIX - JORDIN - DEVOLUCION DE DEPOSITO      </t>
  </si>
  <si>
    <t>F001-2865</t>
  </si>
  <si>
    <t xml:space="preserve">INMOBILIARIA Y CONSTRUCTORA EL MEIJO S.A.C.                                                         </t>
  </si>
  <si>
    <t>Miercoles 15-04-2026- CAJA H&amp;C</t>
  </si>
  <si>
    <t>P001-41544</t>
  </si>
  <si>
    <t>COMPRA DE 17 ARENA AMARILLA *38</t>
  </si>
  <si>
    <t>COMPRA DE 3 TUBOS PVC 3/4 PAVCO *16.5</t>
  </si>
  <si>
    <t>F001-2866</t>
  </si>
  <si>
    <t>F001-2867</t>
  </si>
  <si>
    <t xml:space="preserve">RODRIGUEZ SEQUERA MILEYDIS                             </t>
  </si>
  <si>
    <t>F001-2868</t>
  </si>
  <si>
    <t>F001-2869</t>
  </si>
  <si>
    <t xml:space="preserve">MILTON RODRIGUEZ </t>
  </si>
  <si>
    <t>F001-2870</t>
  </si>
  <si>
    <t>CONSORCIO AMERICA</t>
  </si>
  <si>
    <t>P001-41545</t>
  </si>
  <si>
    <t>P001-41546</t>
  </si>
  <si>
    <t>P001-41547</t>
  </si>
  <si>
    <t>P001-41548</t>
  </si>
  <si>
    <t>P001-41549</t>
  </si>
  <si>
    <t>P001-41550</t>
  </si>
  <si>
    <t>P001-41551</t>
  </si>
  <si>
    <t>P001-41552</t>
  </si>
  <si>
    <t>P001-41553</t>
  </si>
  <si>
    <t>P001-41554</t>
  </si>
  <si>
    <t>P001-41555</t>
  </si>
  <si>
    <t>P001-41556</t>
  </si>
  <si>
    <t>P001-41557</t>
  </si>
  <si>
    <t>P001-41558</t>
  </si>
  <si>
    <t>P001-41559</t>
  </si>
  <si>
    <t>P001-41560</t>
  </si>
  <si>
    <t>P001-41561</t>
  </si>
  <si>
    <t>P001-41562</t>
  </si>
  <si>
    <t>P001-41563</t>
  </si>
  <si>
    <t>P001-41564</t>
  </si>
  <si>
    <t>P001-41565</t>
  </si>
  <si>
    <t>P001-41566</t>
  </si>
  <si>
    <t>P001-41567</t>
  </si>
  <si>
    <t>P001-41568</t>
  </si>
  <si>
    <t>P001-41569</t>
  </si>
  <si>
    <t>P001-41570</t>
  </si>
  <si>
    <t xml:space="preserve">MEDINA ALTAMIRANO </t>
  </si>
  <si>
    <t xml:space="preserve">FLORES FLORES ELVA </t>
  </si>
  <si>
    <t xml:space="preserve">HERRERA SALAZAR JORDIN  </t>
  </si>
  <si>
    <t>P002-31284</t>
  </si>
  <si>
    <t>P002-31285</t>
  </si>
  <si>
    <t>P002-31286</t>
  </si>
  <si>
    <t>P002-31287</t>
  </si>
  <si>
    <t>P002-31288</t>
  </si>
  <si>
    <t>P002-31289</t>
  </si>
  <si>
    <t>P002-31290</t>
  </si>
  <si>
    <t>P002-31291</t>
  </si>
  <si>
    <t xml:space="preserve">PALOMINO ARCE </t>
  </si>
  <si>
    <t>P002-31292</t>
  </si>
  <si>
    <t>P002-31293</t>
  </si>
  <si>
    <t>P002-31294</t>
  </si>
  <si>
    <t>P002-31295</t>
  </si>
  <si>
    <t>P002-31296</t>
  </si>
  <si>
    <t>P002-31297</t>
  </si>
  <si>
    <t xml:space="preserve">3 ALMUERZOS - JORDIN </t>
  </si>
  <si>
    <t xml:space="preserve">MIRES ALTAMIRANO </t>
  </si>
  <si>
    <t xml:space="preserve">DEVOLUCION DE CERAMICA DEL DIA 11/04- JORDIN HERRERA                                                </t>
  </si>
  <si>
    <t>F001-2871</t>
  </si>
  <si>
    <t>F001-2872</t>
  </si>
  <si>
    <t xml:space="preserve">GRISMI </t>
  </si>
  <si>
    <t>P001-41571</t>
  </si>
  <si>
    <t>P001-41572</t>
  </si>
  <si>
    <t>P001-41573</t>
  </si>
  <si>
    <t>P001-41574</t>
  </si>
  <si>
    <t>P001-41575</t>
  </si>
  <si>
    <t>P001-41576</t>
  </si>
  <si>
    <t>P001-41577</t>
  </si>
  <si>
    <t>CHUQUIPOMA CHINCHAY KLEVER</t>
  </si>
  <si>
    <t>TORRES FLORES JOSE ALDUBAR</t>
  </si>
  <si>
    <t>DELGADO MILIAN LILIANA -</t>
  </si>
  <si>
    <t xml:space="preserve">MEDINA GAMBOA LUCIO   </t>
  </si>
  <si>
    <t>P002-31298</t>
  </si>
  <si>
    <t>P002-31299</t>
  </si>
  <si>
    <t>P002-31300</t>
  </si>
  <si>
    <t>P002-31301</t>
  </si>
  <si>
    <t>P002-31302</t>
  </si>
  <si>
    <t>P002-31303</t>
  </si>
  <si>
    <t xml:space="preserve">CARGUIO DESMONTE </t>
  </si>
  <si>
    <t xml:space="preserve">DIFERENCIA DE DEPOSITO - JORDIN </t>
  </si>
  <si>
    <t xml:space="preserve">ADELANTO ANGEL </t>
  </si>
  <si>
    <t>COMPRA DE PRODUCTOS LOPEZ &amp; CIA 10-04</t>
  </si>
  <si>
    <t xml:space="preserve">PAGO ADJ - FIERRO - JORDIN </t>
  </si>
  <si>
    <t>DEPOSITO BCP 15-04</t>
  </si>
  <si>
    <t xml:space="preserve">COMPRA DE CINTA </t>
  </si>
  <si>
    <t xml:space="preserve">CLIENTE DIEGO FERRE </t>
  </si>
  <si>
    <t>Jueves 16-04-2026- CAJA H&amp;C</t>
  </si>
  <si>
    <t>P001-41578</t>
  </si>
  <si>
    <t>SANCHEZ VASQUEZ ELVA</t>
  </si>
  <si>
    <t>B001-1819</t>
  </si>
  <si>
    <t>HUAMAN PURIHUAMAN NELSON</t>
  </si>
  <si>
    <t>F001-2873</t>
  </si>
  <si>
    <t>P001-41579</t>
  </si>
  <si>
    <t>P001-41580</t>
  </si>
  <si>
    <t>P001-41581</t>
  </si>
  <si>
    <t>P001-41582</t>
  </si>
  <si>
    <t>P001-41583</t>
  </si>
  <si>
    <t>P001-41584</t>
  </si>
  <si>
    <t>P001-41585</t>
  </si>
  <si>
    <t>P001-41586</t>
  </si>
  <si>
    <t>P001-41587</t>
  </si>
  <si>
    <t>P001-41588</t>
  </si>
  <si>
    <t>P001-41589</t>
  </si>
  <si>
    <t>P001-41590</t>
  </si>
  <si>
    <t>P001-41591</t>
  </si>
  <si>
    <t>P001-41592</t>
  </si>
  <si>
    <t>P001-41593</t>
  </si>
  <si>
    <t>P001-41594</t>
  </si>
  <si>
    <t>P001-41595</t>
  </si>
  <si>
    <t>P001-41596</t>
  </si>
  <si>
    <t>P001-41597</t>
  </si>
  <si>
    <t>P001-41598</t>
  </si>
  <si>
    <t>P001-41599</t>
  </si>
  <si>
    <t>P001-41600</t>
  </si>
  <si>
    <t>P001-41601</t>
  </si>
  <si>
    <t>P001-41602</t>
  </si>
  <si>
    <t>P001-41603</t>
  </si>
  <si>
    <t>P001-41604</t>
  </si>
  <si>
    <t xml:space="preserve">REYES PEREZ MOISES DAVID </t>
  </si>
  <si>
    <t>MENDOZA MONDRAGON FLOR</t>
  </si>
  <si>
    <t>BAUTISTA CARRASCO ELMER</t>
  </si>
  <si>
    <t xml:space="preserve">VASQUEZ JARAMILLO SINTIA </t>
  </si>
  <si>
    <t xml:space="preserve">CAJO DIAZ WILDER </t>
  </si>
  <si>
    <t>RIMARACHIN CIEZA JHAN</t>
  </si>
  <si>
    <t>MANAYAY GUEVARA JUAN MOISES</t>
  </si>
  <si>
    <t>CASTAÑEDA MONTENEGRO LUIS OSWALDO</t>
  </si>
  <si>
    <t>P002-31304</t>
  </si>
  <si>
    <t>P002-31305</t>
  </si>
  <si>
    <t>P002-31306</t>
  </si>
  <si>
    <t>P002-31307</t>
  </si>
  <si>
    <t>P002-31308</t>
  </si>
  <si>
    <t>P002-31309</t>
  </si>
  <si>
    <t>P002-31310</t>
  </si>
  <si>
    <t>P002-31311</t>
  </si>
  <si>
    <t>P002-31312</t>
  </si>
  <si>
    <t>P002-31313</t>
  </si>
  <si>
    <t>P002-31314</t>
  </si>
  <si>
    <t>P002-31315</t>
  </si>
  <si>
    <t>P002-31316</t>
  </si>
  <si>
    <t>P002-31317</t>
  </si>
  <si>
    <t xml:space="preserve">SEMPERTEGUI BARAHONA RONALD </t>
  </si>
  <si>
    <t xml:space="preserve">RUIZ SALAZAR ANDY D'NILSON  </t>
  </si>
  <si>
    <t xml:space="preserve">COFESEG  </t>
  </si>
  <si>
    <t>JHON SANCHEZ</t>
  </si>
  <si>
    <t>SORIANO CANACHO JAVIER ARMANDO</t>
  </si>
  <si>
    <t xml:space="preserve">CASANOVA VALDIVIA WILDER  P00100041114 </t>
  </si>
  <si>
    <t xml:space="preserve">DEV- YAPE JEINER HERRERA  </t>
  </si>
  <si>
    <t xml:space="preserve">HERRERA SALAZAR JORDIN P00200031282  </t>
  </si>
  <si>
    <t xml:space="preserve">FREDY ALVA P00200031303 </t>
  </si>
  <si>
    <t xml:space="preserve">GARCIA CASTILLO MAXIMO P00200030879   </t>
  </si>
  <si>
    <t xml:space="preserve">JEINER HERRERA - PRESTADITO </t>
  </si>
  <si>
    <t xml:space="preserve">ESTIBADORES FIERRO  </t>
  </si>
  <si>
    <t xml:space="preserve">FLETE WEYNER         </t>
  </si>
  <si>
    <t xml:space="preserve">COMBUSTIBLE JBC -JULIAN   </t>
  </si>
  <si>
    <t xml:space="preserve">PAGO DE SUNAT  </t>
  </si>
  <si>
    <t>13 PEAJE Y 7 POLICIA - JULIAN</t>
  </si>
  <si>
    <t>P001-41605</t>
  </si>
  <si>
    <t>P001-41606</t>
  </si>
  <si>
    <t xml:space="preserve">CASANOVA VALDIVIA WILDER </t>
  </si>
  <si>
    <t>P001-41607</t>
  </si>
  <si>
    <t>P001-41608</t>
  </si>
  <si>
    <t>P002-31318</t>
  </si>
  <si>
    <t xml:space="preserve">DIAZ BARCO MAGDALENA F00100002863  </t>
  </si>
  <si>
    <t xml:space="preserve">COMBUSTIBLE MOTO NUEVA - EDU   </t>
  </si>
  <si>
    <t xml:space="preserve">COMPRA DE PRODUCTOS DE FERRETERIA - PARA SEGUNDO LOCAL  </t>
  </si>
  <si>
    <t>P002-31319</t>
  </si>
  <si>
    <t xml:space="preserve">PLATAFORMA 2DO LOCAL     </t>
  </si>
  <si>
    <t xml:space="preserve">COMBUSTIBLE - MOTO AZUL DARWIN   </t>
  </si>
  <si>
    <t>P001-41609</t>
  </si>
  <si>
    <t>P001-41610</t>
  </si>
  <si>
    <t>P001-41611</t>
  </si>
  <si>
    <t>P001-41612</t>
  </si>
  <si>
    <t>P001-41613</t>
  </si>
  <si>
    <t>P001-41614</t>
  </si>
  <si>
    <t>P001-41615</t>
  </si>
  <si>
    <t>COMPRA DE 1000 LADRILLO PANDERETA SIPAN *0.635</t>
  </si>
  <si>
    <t>JEINER HERRERA - LA UNION ANTERIORES</t>
  </si>
  <si>
    <t>P002-31320</t>
  </si>
  <si>
    <t>P002-31321</t>
  </si>
  <si>
    <t>P002-31322</t>
  </si>
  <si>
    <t>P002-31323</t>
  </si>
  <si>
    <t>P002-31324</t>
  </si>
  <si>
    <t xml:space="preserve">COMPRA DE MEDIO METRO DE FRANELA </t>
  </si>
  <si>
    <t xml:space="preserve">DESCARGADA DE MATERIAL - MAESTRO VEGA </t>
  </si>
  <si>
    <t>COMBUSTIBLE ANGEL MORENO</t>
  </si>
  <si>
    <t>P001-41616</t>
  </si>
  <si>
    <t>COMPRA DE 17 ARENILLA * 20</t>
  </si>
  <si>
    <t>COMPRA DE 17 P BASE *35</t>
  </si>
  <si>
    <t xml:space="preserve">FLORES FLORE ELVA </t>
  </si>
  <si>
    <t>SEGIK INGENIEROS</t>
  </si>
  <si>
    <t>RUBIO DAVILA MELANIO</t>
  </si>
  <si>
    <t>P001-41617</t>
  </si>
  <si>
    <t>P001-41618</t>
  </si>
  <si>
    <t>P001-41619</t>
  </si>
  <si>
    <t>P001-41620</t>
  </si>
  <si>
    <t>P001-41621</t>
  </si>
  <si>
    <t>P001-41622</t>
  </si>
  <si>
    <t>P001-41623</t>
  </si>
  <si>
    <t>P001-41624</t>
  </si>
  <si>
    <t>P001-41625</t>
  </si>
  <si>
    <t>P001-41626</t>
  </si>
  <si>
    <t>P001-41627</t>
  </si>
  <si>
    <t>P002-31325</t>
  </si>
  <si>
    <t>P002-31326</t>
  </si>
  <si>
    <t>P002-31327</t>
  </si>
  <si>
    <t>P002-31328</t>
  </si>
  <si>
    <t>P002-31329</t>
  </si>
  <si>
    <t>P002-31330</t>
  </si>
  <si>
    <t>P002-31331</t>
  </si>
  <si>
    <t>P002-31332</t>
  </si>
  <si>
    <t>P002-31333</t>
  </si>
  <si>
    <t>P002-31334</t>
  </si>
  <si>
    <t>P002-31335</t>
  </si>
  <si>
    <t>P002-31336</t>
  </si>
  <si>
    <t>P002-31337</t>
  </si>
  <si>
    <t>P002-31338</t>
  </si>
  <si>
    <t>P002-31339</t>
  </si>
  <si>
    <t>P002-31340</t>
  </si>
  <si>
    <t xml:space="preserve">ROMERO CHAVEZ HURIEL </t>
  </si>
  <si>
    <t xml:space="preserve">GARCIA CASTILLO MAXIMO  </t>
  </si>
  <si>
    <t>JARA ARMIJOS DANIEL ALCIDES</t>
  </si>
  <si>
    <t>BARBOZA VASQUEZ MARCO ROBERTO</t>
  </si>
  <si>
    <t xml:space="preserve">SANTA CRUZ DIAZ NILTON </t>
  </si>
  <si>
    <t xml:space="preserve">RUIZ SALAZAR ANDY D'NILSON      </t>
  </si>
  <si>
    <t xml:space="preserve">ERNESTO GUEVARA  </t>
  </si>
  <si>
    <t>KAREN  AQUINO P00200031320</t>
  </si>
  <si>
    <t>MAESTRO VEGA P00100041614</t>
  </si>
  <si>
    <t xml:space="preserve">JAVIER Y NILSON ALMUERZO   </t>
  </si>
  <si>
    <t>ARRANCADOR DE PATO</t>
  </si>
  <si>
    <t>COMBUSTIBLE MAQUINA</t>
  </si>
  <si>
    <t xml:space="preserve">MAESTRO VEGA - CORPORACION H. </t>
  </si>
  <si>
    <t>VIERNES 17-04-2026- CAJA H&amp;C</t>
  </si>
  <si>
    <t>COMPRA DE 380 LADRILLO CONCRETO *1.5</t>
  </si>
  <si>
    <t>B001-1820</t>
  </si>
  <si>
    <t>B001-1821</t>
  </si>
  <si>
    <t xml:space="preserve">SANCHEZ VASQUEZ ELVA </t>
  </si>
  <si>
    <t xml:space="preserve">GRISMI E.I.R.L.  </t>
  </si>
  <si>
    <t>F001-2875</t>
  </si>
  <si>
    <t>P001-41628</t>
  </si>
  <si>
    <t>P001-41629</t>
  </si>
  <si>
    <t>P001-41630</t>
  </si>
  <si>
    <t>P001-41631</t>
  </si>
  <si>
    <t>P001-41632</t>
  </si>
  <si>
    <t>P001-41633</t>
  </si>
  <si>
    <t>P001-41634</t>
  </si>
  <si>
    <t>P001-41635</t>
  </si>
  <si>
    <t>P001-41636</t>
  </si>
  <si>
    <t>P001-41637</t>
  </si>
  <si>
    <t>P002-31341</t>
  </si>
  <si>
    <t>P002-31342</t>
  </si>
  <si>
    <t>P002-31343</t>
  </si>
  <si>
    <t>P002-31344</t>
  </si>
  <si>
    <t>P002-31345</t>
  </si>
  <si>
    <t xml:space="preserve">ASENJO GUERRERO JESUS </t>
  </si>
  <si>
    <t xml:space="preserve">WALTER - CASA BLANCA    </t>
  </si>
  <si>
    <t>ROMEL VASQUEZ</t>
  </si>
  <si>
    <t xml:space="preserve">PEDRITO ELECTRICO </t>
  </si>
  <si>
    <t>P001-41638</t>
  </si>
  <si>
    <t>P001-41639</t>
  </si>
  <si>
    <t xml:space="preserve">ING RIMARACHIN    </t>
  </si>
  <si>
    <t>P001-41640</t>
  </si>
  <si>
    <t>P001-41641</t>
  </si>
  <si>
    <t xml:space="preserve">DEVOLUCION DE DESPOSITO NAPO GUEVARA -JORDIN </t>
  </si>
  <si>
    <t xml:space="preserve">PASAJE JULIAN </t>
  </si>
  <si>
    <t>P001-41642</t>
  </si>
  <si>
    <t>P002-31346</t>
  </si>
  <si>
    <t xml:space="preserve">PLATAFORMA 2DO LOCAL   </t>
  </si>
  <si>
    <t xml:space="preserve">PLATAFORMA SEGUNDO LOCAL MATERIALES                                                                 </t>
  </si>
  <si>
    <t>SABADO 18-04-2026- CAJA H&amp;C</t>
  </si>
  <si>
    <t>P001-41643</t>
  </si>
  <si>
    <t xml:space="preserve">COMPRA DE 35*25 AFIRMADO </t>
  </si>
  <si>
    <t xml:space="preserve">SANCHEZ VASQUEZ ELVA MARINA </t>
  </si>
  <si>
    <t>P001-41644</t>
  </si>
  <si>
    <t>P001-41645</t>
  </si>
  <si>
    <t>P001-41646</t>
  </si>
  <si>
    <t>P001-41647</t>
  </si>
  <si>
    <t>P001-41648</t>
  </si>
  <si>
    <t>P001-41649</t>
  </si>
  <si>
    <t>P001-41650</t>
  </si>
  <si>
    <t>P001-41651</t>
  </si>
  <si>
    <t>P001-41652</t>
  </si>
  <si>
    <t>P001-41653</t>
  </si>
  <si>
    <t>P001-41654</t>
  </si>
  <si>
    <t>P001-41655</t>
  </si>
  <si>
    <t>P001-41656</t>
  </si>
  <si>
    <t>P001-41657</t>
  </si>
  <si>
    <t>P001-41658</t>
  </si>
  <si>
    <t>P001-41659</t>
  </si>
  <si>
    <t>JIBAJA BECERRA CERVANDO ISAIAS</t>
  </si>
  <si>
    <t>ROMERO MURILLO DOHENY EDWARD</t>
  </si>
  <si>
    <t>P001-41660</t>
  </si>
  <si>
    <t>P001-41661</t>
  </si>
  <si>
    <t>P001-41662</t>
  </si>
  <si>
    <t>P001-41663</t>
  </si>
  <si>
    <t>AQUINO RAMOS FELIPE -</t>
  </si>
  <si>
    <t>P001-41664</t>
  </si>
  <si>
    <t>QUIROZ LUCERO LUISA -</t>
  </si>
  <si>
    <t>P001-41665</t>
  </si>
  <si>
    <t>P001-41666</t>
  </si>
  <si>
    <t>HERNANDEZ CRUZ CRISTIAN JOSE ANTONIO</t>
  </si>
  <si>
    <t>P002-31347</t>
  </si>
  <si>
    <t xml:space="preserve">JUAREZ CAMPOS LILIANA DEL PILAR     </t>
  </si>
  <si>
    <t xml:space="preserve">SEMPERTEGUI BARAHONA RONALD     </t>
  </si>
  <si>
    <t xml:space="preserve">WALTER - CASA BLANCA         </t>
  </si>
  <si>
    <t xml:space="preserve">JORGE QUEREVALU MARIN (MAESTRO) </t>
  </si>
  <si>
    <t xml:space="preserve">AGIP BUSTAMANTE LUCELINA </t>
  </si>
  <si>
    <t xml:space="preserve">CAMISAN AQUINO ESTHER </t>
  </si>
  <si>
    <t xml:space="preserve">ARCE PALOMINO DAVID ELISER   </t>
  </si>
  <si>
    <t xml:space="preserve">CLIENTE VENTAS          </t>
  </si>
  <si>
    <t xml:space="preserve">HUBERT COLUNCHE         </t>
  </si>
  <si>
    <t xml:space="preserve">VENTAS DEL DIA            </t>
  </si>
  <si>
    <t xml:space="preserve">COMBUSTIBLE LUCAS HERRERA            </t>
  </si>
  <si>
    <t xml:space="preserve">PARCHE DE LLANTA JBC        </t>
  </si>
  <si>
    <t xml:space="preserve">PAGO ROMEL VASQUEZ </t>
  </si>
  <si>
    <t>P002-31348</t>
  </si>
  <si>
    <t>P002-31349</t>
  </si>
  <si>
    <t>P002-31350</t>
  </si>
  <si>
    <t>P002-31351</t>
  </si>
  <si>
    <t>P002-31352</t>
  </si>
  <si>
    <t>P002-31353</t>
  </si>
  <si>
    <t>P002-31354</t>
  </si>
  <si>
    <t>P002-31355</t>
  </si>
  <si>
    <t>P002-31356</t>
  </si>
  <si>
    <t>P002-31357</t>
  </si>
  <si>
    <t>P002-31358</t>
  </si>
  <si>
    <t>P001-41667</t>
  </si>
  <si>
    <t>P001-41668</t>
  </si>
  <si>
    <t>B001-1822</t>
  </si>
  <si>
    <t>B001-1823</t>
  </si>
  <si>
    <t>B001-1824</t>
  </si>
  <si>
    <t xml:space="preserve">TAVARA GUERRERO JOSE </t>
  </si>
  <si>
    <t>P001-41669</t>
  </si>
  <si>
    <t>P001-41670</t>
  </si>
  <si>
    <t>P001-41671</t>
  </si>
  <si>
    <t xml:space="preserve">LLUEN SECLEN JUAN FRANCISCO </t>
  </si>
  <si>
    <t>P001-41672</t>
  </si>
  <si>
    <t>P001-41673</t>
  </si>
  <si>
    <t xml:space="preserve">BRENILDA SALAZAR - PAGO DE ALQUILERES </t>
  </si>
  <si>
    <t>P002-31359</t>
  </si>
  <si>
    <t>P002-31360</t>
  </si>
  <si>
    <t>P002-31361</t>
  </si>
  <si>
    <t>P002-31362</t>
  </si>
  <si>
    <t>P002-31363</t>
  </si>
  <si>
    <t>P002-31364</t>
  </si>
  <si>
    <t xml:space="preserve">ROMEL VASQUEZ - A CUENTA DE TARRAJEO                                                                </t>
  </si>
  <si>
    <t xml:space="preserve">DIAZ LINARES FERNANDO P00200031205   </t>
  </si>
  <si>
    <t xml:space="preserve">DIAZ LINARES FERNANDO P00200031257 </t>
  </si>
  <si>
    <t xml:space="preserve">DIAZ LINARES FERNANDO P00200031290 </t>
  </si>
  <si>
    <t>P001-41674</t>
  </si>
  <si>
    <t>P001-41675</t>
  </si>
  <si>
    <t xml:space="preserve">FLETES NILSON - CARRO JORDIN </t>
  </si>
  <si>
    <t>P001-41676</t>
  </si>
  <si>
    <t>P001-41677</t>
  </si>
  <si>
    <t xml:space="preserve">CHUQUIPOMA CHINCHAY KLEVER </t>
  </si>
  <si>
    <t>VASQUEZ ROJAS HEBERT YEINER</t>
  </si>
  <si>
    <t xml:space="preserve">PLATAFORMA 2DO LOCAL        </t>
  </si>
  <si>
    <t xml:space="preserve">PLATAFORMA 2DO LOCAL MATERIALES </t>
  </si>
  <si>
    <t xml:space="preserve">Z GROUP TRANSCARLE S.A.C    </t>
  </si>
  <si>
    <t>F001-2876</t>
  </si>
  <si>
    <t xml:space="preserve">JEINER HERRERA - FLETE KAREN AQUINO </t>
  </si>
  <si>
    <t>COMPRA DE 10 ARENILLA*28</t>
  </si>
  <si>
    <t xml:space="preserve">JEINER HERRERA-PAGO </t>
  </si>
  <si>
    <t>DOMINGO 19-04-2026- CAJA H&amp;C</t>
  </si>
  <si>
    <t>P002-31365</t>
  </si>
  <si>
    <t xml:space="preserve">GRIFO SEÑOR DE SIPAN E.I.R.L. </t>
  </si>
  <si>
    <t>F0010-2877</t>
  </si>
  <si>
    <t>P002-31366</t>
  </si>
  <si>
    <t>P002-31367</t>
  </si>
  <si>
    <t>P002-31368</t>
  </si>
  <si>
    <t>P002-31369</t>
  </si>
  <si>
    <t>P002-31370</t>
  </si>
  <si>
    <t>P002-31371</t>
  </si>
  <si>
    <t>P002-31372</t>
  </si>
  <si>
    <t>P002-31373</t>
  </si>
  <si>
    <t>P002-31374</t>
  </si>
  <si>
    <t>P002-31375</t>
  </si>
  <si>
    <t>P002-31376</t>
  </si>
  <si>
    <t xml:space="preserve">SILVA CORONEL MARIA ROSA </t>
  </si>
  <si>
    <t xml:space="preserve">MEDINA GAMBOA LUCIO </t>
  </si>
  <si>
    <t xml:space="preserve">GARCIA CASTILLO MAXIMO P00200031338     </t>
  </si>
  <si>
    <t xml:space="preserve">GARCIA CASTILLO MAXIMO P00200031359 </t>
  </si>
  <si>
    <t xml:space="preserve">GARCIA CASTILLO MAXIMO P00200030879  </t>
  </si>
  <si>
    <t xml:space="preserve">MEDINA GAMBOA LUCIO P00200031302    </t>
  </si>
  <si>
    <t>HERMES CEL. 962679688 P00100041670</t>
  </si>
  <si>
    <t>P002-31377</t>
  </si>
  <si>
    <t>P002-31378</t>
  </si>
  <si>
    <t>P002-31379</t>
  </si>
  <si>
    <t>P002-31380</t>
  </si>
  <si>
    <t>P002-31381</t>
  </si>
  <si>
    <t>P002-31382</t>
  </si>
  <si>
    <t>P002-31383</t>
  </si>
  <si>
    <t>P002-31384</t>
  </si>
  <si>
    <t>P002-31385</t>
  </si>
  <si>
    <t>P002-31386</t>
  </si>
  <si>
    <t>P002-31387</t>
  </si>
  <si>
    <t xml:space="preserve">JUAN SALAZAR SALAZAR </t>
  </si>
  <si>
    <t>P002-31388</t>
  </si>
  <si>
    <t>P002-31389</t>
  </si>
  <si>
    <t>P002-31390</t>
  </si>
  <si>
    <t>P002-31391</t>
  </si>
  <si>
    <t>P002-31392</t>
  </si>
  <si>
    <t>P002-31393</t>
  </si>
  <si>
    <t>P002-31394</t>
  </si>
  <si>
    <t xml:space="preserve">ADELIO ANTONITAS </t>
  </si>
  <si>
    <t>ADELANTO ANGEL MORENO</t>
  </si>
  <si>
    <t xml:space="preserve">JHON ASTONITAS SABADO Y DOMINGO </t>
  </si>
  <si>
    <t>COMPRA DE 6 PIEDRA CHANCADA 1/2</t>
  </si>
  <si>
    <t>JH</t>
  </si>
  <si>
    <t>LUNES 20-04-2026- CAJA H&amp;C</t>
  </si>
  <si>
    <t>P001-41678</t>
  </si>
  <si>
    <t>COMPRA DE 35 P CHAN*60+ 18 ARENA AM *38</t>
  </si>
  <si>
    <t>COMPRA DE 35 ARENILLA *20</t>
  </si>
  <si>
    <t>COMPRA DE 2 M3 ARENILLA *25</t>
  </si>
  <si>
    <t>COMPRA DE 1 UNION 3/4 1.8+ 1 SANITARIA 4 18.5</t>
  </si>
  <si>
    <t>B001-1825</t>
  </si>
  <si>
    <t>F001-2878</t>
  </si>
  <si>
    <t>REAL ARQUITECTURA S.A.C.</t>
  </si>
  <si>
    <t>P001-41679</t>
  </si>
  <si>
    <t>P001-41680</t>
  </si>
  <si>
    <t>P001-41681</t>
  </si>
  <si>
    <t>P001-41682</t>
  </si>
  <si>
    <t>P001-41683</t>
  </si>
  <si>
    <t>P001-41684</t>
  </si>
  <si>
    <t>P001-41685</t>
  </si>
  <si>
    <t>P001-41686</t>
  </si>
  <si>
    <t>P001-41687</t>
  </si>
  <si>
    <t>P001-41688</t>
  </si>
  <si>
    <t>P001-41689</t>
  </si>
  <si>
    <t>P001-41690</t>
  </si>
  <si>
    <t>P001-41691</t>
  </si>
  <si>
    <t>P001-41692</t>
  </si>
  <si>
    <t>P001-41693</t>
  </si>
  <si>
    <t>P001-41694</t>
  </si>
  <si>
    <t>P001-41695</t>
  </si>
  <si>
    <t>P001-41696</t>
  </si>
  <si>
    <t>P001-41697</t>
  </si>
  <si>
    <t>P001-41698</t>
  </si>
  <si>
    <t>P001-41699</t>
  </si>
  <si>
    <t>P001-41700</t>
  </si>
  <si>
    <t>P001-41701</t>
  </si>
  <si>
    <t>P001-41702</t>
  </si>
  <si>
    <t>P001-41703</t>
  </si>
  <si>
    <t>P001-41704</t>
  </si>
  <si>
    <t>P001-41705</t>
  </si>
  <si>
    <t>P001-41706</t>
  </si>
  <si>
    <t>P001-41707</t>
  </si>
  <si>
    <t>P001-41708</t>
  </si>
  <si>
    <t>P001-41709</t>
  </si>
  <si>
    <t>P001-41710</t>
  </si>
  <si>
    <t>P001-41711</t>
  </si>
  <si>
    <t>P001-41712</t>
  </si>
  <si>
    <t>P001-41713</t>
  </si>
  <si>
    <t>P001-41714</t>
  </si>
  <si>
    <t>P001-41715</t>
  </si>
  <si>
    <t>P001-41716</t>
  </si>
  <si>
    <t>P001-41717</t>
  </si>
  <si>
    <t>P001-41718</t>
  </si>
  <si>
    <t>P002-31395</t>
  </si>
  <si>
    <t>P002-31396</t>
  </si>
  <si>
    <t>P002-31397</t>
  </si>
  <si>
    <t>P002-31398</t>
  </si>
  <si>
    <t>P002-31399</t>
  </si>
  <si>
    <t>P002-31400</t>
  </si>
  <si>
    <t>P002-31401</t>
  </si>
  <si>
    <t xml:space="preserve">MALUQUIZ TAPIA JOSE ROBERTO  </t>
  </si>
  <si>
    <t>VILCABANA MANAYAY BENITO</t>
  </si>
  <si>
    <t>VIZCONDE SILVA VDA DE SIPIRAN VICTORIA</t>
  </si>
  <si>
    <t xml:space="preserve">MANAYAY LUCERO JAVIER  </t>
  </si>
  <si>
    <t xml:space="preserve">FERROCONSTRUCTORA JH SERVICIOS </t>
  </si>
  <si>
    <t xml:space="preserve">ALARCON LINARES MARINO </t>
  </si>
  <si>
    <t>BARBOZA CUBAS JOHN DEIVI</t>
  </si>
  <si>
    <t>AQUINO RAMOS FELIPE</t>
  </si>
  <si>
    <t>P002-31402</t>
  </si>
  <si>
    <t>P002-31403</t>
  </si>
  <si>
    <t>P002-31404</t>
  </si>
  <si>
    <t>P002-31405</t>
  </si>
  <si>
    <t>P002-31406</t>
  </si>
  <si>
    <t>P002-31407</t>
  </si>
  <si>
    <t>P002-31408</t>
  </si>
  <si>
    <t>P002-31409</t>
  </si>
  <si>
    <t>P002-31410</t>
  </si>
  <si>
    <t>VALDIVIA TERRONES VICTORIA</t>
  </si>
  <si>
    <t xml:space="preserve">ARCARIO QUISPE      </t>
  </si>
  <si>
    <t>DAVILA CAMPOS MARIA DEL CARMEN</t>
  </si>
  <si>
    <t xml:space="preserve">ROMEL VASQUEZ COPIA </t>
  </si>
  <si>
    <t xml:space="preserve">BLANCA TELLO TELLO    </t>
  </si>
  <si>
    <t>P002-31411</t>
  </si>
  <si>
    <t>P002-31412</t>
  </si>
  <si>
    <t xml:space="preserve">COMBUSTIBLE JBC - JULIAN   </t>
  </si>
  <si>
    <t xml:space="preserve">ALMUERZO LUCAS Y AYUDANTE   </t>
  </si>
  <si>
    <t xml:space="preserve">ALMUERZO ANGEL       </t>
  </si>
  <si>
    <t xml:space="preserve">PASAJE CAMILA     </t>
  </si>
  <si>
    <t>COMPRA DE 66 FIERRO 30 PROGRESO + 6 AQUINO</t>
  </si>
  <si>
    <t>P001-41719</t>
  </si>
  <si>
    <t xml:space="preserve">VENTAS DEL DIA     </t>
  </si>
  <si>
    <t>P002-31413</t>
  </si>
  <si>
    <t>P001-41720</t>
  </si>
  <si>
    <t>P001-41721</t>
  </si>
  <si>
    <t>P001-41722</t>
  </si>
  <si>
    <t>P001-41723</t>
  </si>
  <si>
    <t>P001-41724</t>
  </si>
  <si>
    <t>P002-31414</t>
  </si>
  <si>
    <t>P002-31415</t>
  </si>
  <si>
    <t>P002-31416</t>
  </si>
  <si>
    <t xml:space="preserve">PROGRESO-PATAPO     </t>
  </si>
  <si>
    <t>P002-31417</t>
  </si>
  <si>
    <t xml:space="preserve">PLATAFORMA 2DO LOCAL      </t>
  </si>
  <si>
    <t>PROGRESO-PATAPO P00200031195</t>
  </si>
  <si>
    <t xml:space="preserve">PLATAFORMA 2 LOCAL MATERIALES </t>
  </si>
  <si>
    <t xml:space="preserve">VUELTO - ALARCON LINARES MARINO     </t>
  </si>
  <si>
    <t xml:space="preserve">ANULADO/ HAMILTON </t>
  </si>
  <si>
    <t>MARTES 21-04-2026- CAJA H&amp;C</t>
  </si>
  <si>
    <t xml:space="preserve">COMPRA DE 10 FIERRO 6MM *7.5/ FREDY ALVA </t>
  </si>
  <si>
    <t>COMPRA DE 400 LADRILLO PANDERETA *0.64</t>
  </si>
  <si>
    <t>F00100002881</t>
  </si>
  <si>
    <t>P001-41725</t>
  </si>
  <si>
    <t>P001-41726</t>
  </si>
  <si>
    <t>P001-41727</t>
  </si>
  <si>
    <t>P001-41728</t>
  </si>
  <si>
    <t>P001-41729</t>
  </si>
  <si>
    <t>P001-41730</t>
  </si>
  <si>
    <t>P001-41731</t>
  </si>
  <si>
    <t>P001-41732</t>
  </si>
  <si>
    <t>P001-41733</t>
  </si>
  <si>
    <t>P001-41734</t>
  </si>
  <si>
    <t>P001-41735</t>
  </si>
  <si>
    <t>P001-41736</t>
  </si>
  <si>
    <t>P001-41737</t>
  </si>
  <si>
    <t>P001-41738</t>
  </si>
  <si>
    <t>P001-41739</t>
  </si>
  <si>
    <t>P001-41740</t>
  </si>
  <si>
    <t>P001-41741</t>
  </si>
  <si>
    <t>P001-41742</t>
  </si>
  <si>
    <t>P001-41743</t>
  </si>
  <si>
    <t>P001-41744</t>
  </si>
  <si>
    <t>P001-41745</t>
  </si>
  <si>
    <t>P001-41746</t>
  </si>
  <si>
    <t xml:space="preserve">MARREROS GUEVARA OSCAR </t>
  </si>
  <si>
    <t xml:space="preserve">SANCHEZ PAREDES  </t>
  </si>
  <si>
    <t>DIAZ LINARES FERNANDO</t>
  </si>
  <si>
    <t>PEREZ ILATOMA JUAN CARLOS -</t>
  </si>
  <si>
    <t xml:space="preserve">BAUTISTA CARRASCO ELMER </t>
  </si>
  <si>
    <t xml:space="preserve">DIAZ VILLEGAS RONALD </t>
  </si>
  <si>
    <t>P001-41747</t>
  </si>
  <si>
    <t>P002-31418</t>
  </si>
  <si>
    <t xml:space="preserve">WALTER - CASA BLANCA       </t>
  </si>
  <si>
    <t>P002-31419</t>
  </si>
  <si>
    <t>P002-31420</t>
  </si>
  <si>
    <t>P002-31421</t>
  </si>
  <si>
    <t>P002-31422</t>
  </si>
  <si>
    <t>P002-31423</t>
  </si>
  <si>
    <t>P002-31424</t>
  </si>
  <si>
    <t>P002-31425</t>
  </si>
  <si>
    <t>P002-31426</t>
  </si>
  <si>
    <t>P002-31427</t>
  </si>
  <si>
    <t>P002-31428</t>
  </si>
  <si>
    <t>P002-31429</t>
  </si>
  <si>
    <t>P002-31430</t>
  </si>
  <si>
    <t xml:space="preserve">DIAZ BARCO MAGDALENA   </t>
  </si>
  <si>
    <t xml:space="preserve">YDROGO GALVEZ YONATAN      </t>
  </si>
  <si>
    <t xml:space="preserve">ARCE PALOMINO DAVID ELISER         </t>
  </si>
  <si>
    <t>P002-31431</t>
  </si>
  <si>
    <t>P002-31432</t>
  </si>
  <si>
    <t>P002-31433</t>
  </si>
  <si>
    <t>P002-31434</t>
  </si>
  <si>
    <t>P002-31435</t>
  </si>
  <si>
    <t>P002-31436</t>
  </si>
  <si>
    <t>P002-31437</t>
  </si>
  <si>
    <t>P002-31438</t>
  </si>
  <si>
    <t>P002-31439</t>
  </si>
  <si>
    <t>P002-31440</t>
  </si>
  <si>
    <t>P002-31441</t>
  </si>
  <si>
    <t>P002-31442</t>
  </si>
  <si>
    <t>P002-31443</t>
  </si>
  <si>
    <t>P002-31444</t>
  </si>
  <si>
    <t xml:space="preserve">EBERSON CARLOS </t>
  </si>
  <si>
    <t xml:space="preserve">DAVILA CAMPOS MARIA DEL CARMEN  </t>
  </si>
  <si>
    <t>JUAREZ CAMPOS LILIANA DEL PILAR</t>
  </si>
  <si>
    <t>OSCAR ALBERTO</t>
  </si>
  <si>
    <t xml:space="preserve">GARCIA CASTILLO MAXIMO      </t>
  </si>
  <si>
    <t xml:space="preserve">CASTAÑEDA MONTENEGRO LUIS OSWALDO  P00100041685  </t>
  </si>
  <si>
    <t xml:space="preserve">ADELANTO JAVIER  </t>
  </si>
  <si>
    <t>P002-31445</t>
  </si>
  <si>
    <t xml:space="preserve">COMBUSTIBLE MAQUINA                                                                                 </t>
  </si>
  <si>
    <t xml:space="preserve">COMBUSTIBLE MOTO AZUL - DARWIN  </t>
  </si>
  <si>
    <t xml:space="preserve">ANGEL - ALMUERZO       </t>
  </si>
  <si>
    <t xml:space="preserve">PASAJE CAMILA  </t>
  </si>
  <si>
    <t xml:space="preserve">JENNY RAMOS   </t>
  </si>
  <si>
    <t xml:space="preserve">DEVOLUCION DE DEPOSITO DAVILA CAMPOS MARIA </t>
  </si>
  <si>
    <t>P002-31446</t>
  </si>
  <si>
    <t>P001-41748</t>
  </si>
  <si>
    <t>P001-41749</t>
  </si>
  <si>
    <t xml:space="preserve">COTIZACION/ JORDIN </t>
  </si>
  <si>
    <t>P001-41750</t>
  </si>
  <si>
    <t>P001-41751</t>
  </si>
  <si>
    <t>EMPRESA DE TRANSPORTES Y TURISMO GUIAME</t>
  </si>
  <si>
    <t>P002-31447</t>
  </si>
  <si>
    <t>P002-31448</t>
  </si>
  <si>
    <t xml:space="preserve">MECANICO VILLEGAS - CARGUERA AZUL      </t>
  </si>
  <si>
    <t xml:space="preserve">CHANCHITO ARRANQUE              </t>
  </si>
  <si>
    <t xml:space="preserve">AYUDANTE NUEVO  </t>
  </si>
  <si>
    <t xml:space="preserve">ALMUERZO LUCAS - JAVIER - DARWIN       </t>
  </si>
  <si>
    <t xml:space="preserve">COMPRA DE 4 PIEDRA CHANCADA 3/4 </t>
  </si>
  <si>
    <t>COMPRA DE 150 CEMENTO ROJO MOCHICA *29.4</t>
  </si>
  <si>
    <t>PLATAFORMA 2DO LOCAL</t>
  </si>
  <si>
    <t xml:space="preserve">ALVARO - ADELANTO      </t>
  </si>
  <si>
    <t>MIERCOLES 22-04-2026- CAJA H&amp;C</t>
  </si>
  <si>
    <t>P001-41752</t>
  </si>
  <si>
    <t>COMPRA DE 17 M3 ARENA AMARILLA / ALMACEN *38</t>
  </si>
  <si>
    <t>COMPRA DE 2000 LADRILLO KK BODOQUE *0.5</t>
  </si>
  <si>
    <t>F00100002882</t>
  </si>
  <si>
    <t>F00100002883</t>
  </si>
  <si>
    <t xml:space="preserve">ZAMORA CIEZA WALTER  </t>
  </si>
  <si>
    <t>F00100002884</t>
  </si>
  <si>
    <t>F00100002885</t>
  </si>
  <si>
    <t xml:space="preserve">ORKO INGENIEROS S.A.C.   </t>
  </si>
  <si>
    <t xml:space="preserve">CONSORCIO AMERICA  </t>
  </si>
  <si>
    <t>P001-41753</t>
  </si>
  <si>
    <t>P001-41754</t>
  </si>
  <si>
    <t>P001-41755</t>
  </si>
  <si>
    <t>P001-41756</t>
  </si>
  <si>
    <t>P001-41757</t>
  </si>
  <si>
    <t>P001-41758</t>
  </si>
  <si>
    <t>P001-41759</t>
  </si>
  <si>
    <t>P001-41760</t>
  </si>
  <si>
    <t>P001-41761</t>
  </si>
  <si>
    <t>P001-41762</t>
  </si>
  <si>
    <t>P001-41763</t>
  </si>
  <si>
    <t>P001-41764</t>
  </si>
  <si>
    <t>P001-41765</t>
  </si>
  <si>
    <t>P001-41766</t>
  </si>
  <si>
    <t>P001-41767</t>
  </si>
  <si>
    <t>P001-41768</t>
  </si>
  <si>
    <t>P001-41769</t>
  </si>
  <si>
    <t>P001-41770</t>
  </si>
  <si>
    <t>TAPIA VASQUEZ AURELIO ISAIAS</t>
  </si>
  <si>
    <t>P002-31449</t>
  </si>
  <si>
    <t>P002-31450</t>
  </si>
  <si>
    <t>P002-31451</t>
  </si>
  <si>
    <t>P002-31452</t>
  </si>
  <si>
    <t>P002-31453</t>
  </si>
  <si>
    <t>P002-31454</t>
  </si>
  <si>
    <t>P002-31455</t>
  </si>
  <si>
    <t>P002-31456</t>
  </si>
  <si>
    <t>P002-31457</t>
  </si>
  <si>
    <t>P002-31458</t>
  </si>
  <si>
    <t>P002-31459</t>
  </si>
  <si>
    <t>P002-31460</t>
  </si>
  <si>
    <t>P002-31461</t>
  </si>
  <si>
    <t>P002-31462</t>
  </si>
  <si>
    <t>P002-31463</t>
  </si>
  <si>
    <t>P002-31464</t>
  </si>
  <si>
    <t>P002-31465</t>
  </si>
  <si>
    <t>P002-31466</t>
  </si>
  <si>
    <t>P002-31467</t>
  </si>
  <si>
    <t xml:space="preserve">BACA BURGA ANA YSABEL  </t>
  </si>
  <si>
    <t>SEMPERTEGUI BARAHONA RONALD</t>
  </si>
  <si>
    <t>ACUÑA CORONEL WILFREDO</t>
  </si>
  <si>
    <t xml:space="preserve">SANCHEZ PAREDES P00100041403   </t>
  </si>
  <si>
    <t xml:space="preserve">DIAZ LINARES FERNANDO P00100041735 </t>
  </si>
  <si>
    <t xml:space="preserve">PAPEL HIGIENICO       </t>
  </si>
  <si>
    <t xml:space="preserve">COMBUSTIBLE JBC - JULIAN         </t>
  </si>
  <si>
    <t xml:space="preserve">DESAYUNO ANGEL    </t>
  </si>
  <si>
    <t xml:space="preserve">COMIDA DE LA NEGRA       </t>
  </si>
  <si>
    <t xml:space="preserve">CARLOS HERRERA     </t>
  </si>
  <si>
    <t xml:space="preserve">GARCIA CASTILLO MAXIMO P00200031426 </t>
  </si>
  <si>
    <t>P002-31468</t>
  </si>
  <si>
    <t>P002-31469</t>
  </si>
  <si>
    <t>P002-31470</t>
  </si>
  <si>
    <t>P002-31471</t>
  </si>
  <si>
    <t xml:space="preserve">PROGRESO-PATAPO      </t>
  </si>
  <si>
    <t xml:space="preserve">COMBUSTIBLE FUSO     </t>
  </si>
  <si>
    <t>ALMUERZO NILSON Y DARWIN</t>
  </si>
  <si>
    <t>P001-41771</t>
  </si>
  <si>
    <t>P002-31472</t>
  </si>
  <si>
    <t>P002-31473</t>
  </si>
  <si>
    <t>P001-41772</t>
  </si>
  <si>
    <t>P001-41773</t>
  </si>
  <si>
    <t>P001-41774</t>
  </si>
  <si>
    <t>P001-41775</t>
  </si>
  <si>
    <t>P001-41776</t>
  </si>
  <si>
    <t xml:space="preserve">TORRES FLORES JOSE ALDUBAR    </t>
  </si>
  <si>
    <t>TAVARA GUERRERO JOSE ANTONIO</t>
  </si>
  <si>
    <t>P001-41777</t>
  </si>
  <si>
    <t>P001-41778</t>
  </si>
  <si>
    <t>P001-41779</t>
  </si>
  <si>
    <t>RIOJA MONTALVO EDWIN HARRY</t>
  </si>
  <si>
    <t>GRUPO CORPORATIVO HERRERA E.I.R.L.</t>
  </si>
  <si>
    <t>F00100002886</t>
  </si>
  <si>
    <t>P002-31474</t>
  </si>
  <si>
    <t>P002-31475</t>
  </si>
  <si>
    <t xml:space="preserve">BAUTISTA CARRASCO ELMER - 996813790 P00100041728  </t>
  </si>
  <si>
    <t xml:space="preserve">COMPRA DE CEMENTO MARVID / BANC. JEINER </t>
  </si>
  <si>
    <t xml:space="preserve">QURMAQ SOCIEDAD ANONIMA CERRADA  </t>
  </si>
  <si>
    <t>FLETE 500 LADRILLO ARTESANAL - OBRA DE ELMER BAUTISTA</t>
  </si>
  <si>
    <t xml:space="preserve">FLETE NILSON - 500 ARTESANAL BODOQUE   </t>
  </si>
  <si>
    <t>VUELTO JEINER /19000 2127 EFECTIVO -550 DEPOSITO</t>
  </si>
  <si>
    <t>JUEVES 23-04-2026- CAJA H&amp;C</t>
  </si>
  <si>
    <t>P001-41780</t>
  </si>
  <si>
    <t>COMPRA DE 35 M3 ARENA AMARILLA *38</t>
  </si>
  <si>
    <t>COMPRA DE 100 CEMENTO HOLCIM AZUL *31</t>
  </si>
  <si>
    <t>COMPRA 3 ARENA AMARILLA *45+ 5 ARENA *40</t>
  </si>
  <si>
    <t xml:space="preserve">CARLOS Y ADELIO </t>
  </si>
  <si>
    <t>COMPRA 82 LADRILLO TECHO 15 LARK *3</t>
  </si>
  <si>
    <t>F00100002887</t>
  </si>
  <si>
    <t>MAKING SPORTS CIX S.A.C.</t>
  </si>
  <si>
    <t>F00100002888</t>
  </si>
  <si>
    <t>F00100002889</t>
  </si>
  <si>
    <t>F00100002890</t>
  </si>
  <si>
    <t>F00100002891</t>
  </si>
  <si>
    <t>F00100002892</t>
  </si>
  <si>
    <t>F00100002893</t>
  </si>
  <si>
    <t xml:space="preserve">GOLDEN SUMMIT E.I.R.L.   </t>
  </si>
  <si>
    <t xml:space="preserve">ZAMORA CIEZA WALTER     </t>
  </si>
  <si>
    <t>QURMAQ SOCIEDAD ANONIMA</t>
  </si>
  <si>
    <t>EMPRESA DE TRANSPORTES Y TURISMO</t>
  </si>
  <si>
    <t>P001-41781</t>
  </si>
  <si>
    <t>P001-41782</t>
  </si>
  <si>
    <t>P001-41783</t>
  </si>
  <si>
    <t>P001-41784</t>
  </si>
  <si>
    <t>P001-41785</t>
  </si>
  <si>
    <t>P001-41786</t>
  </si>
  <si>
    <t>P001-41787</t>
  </si>
  <si>
    <t>P001-41788</t>
  </si>
  <si>
    <t>P001-41789</t>
  </si>
  <si>
    <t>P001-41790</t>
  </si>
  <si>
    <t>P001-41791</t>
  </si>
  <si>
    <t>P001-41792</t>
  </si>
  <si>
    <t>P001-41793</t>
  </si>
  <si>
    <t xml:space="preserve">MAESTRO MARCOS  </t>
  </si>
  <si>
    <t>DIAZ MONDRAGON MAYKEN</t>
  </si>
  <si>
    <t>CIPRIANI TELLO SOCORRO ISABEL</t>
  </si>
  <si>
    <t>P002-31476</t>
  </si>
  <si>
    <t xml:space="preserve">PLATAFORMA 2DO LOCAL          </t>
  </si>
  <si>
    <t xml:space="preserve">PLATAFORMA - SEGUNDO LOCAL    </t>
  </si>
  <si>
    <t>P002-31477</t>
  </si>
  <si>
    <t>P002-31478</t>
  </si>
  <si>
    <t>P002-31479</t>
  </si>
  <si>
    <t>P002-31480</t>
  </si>
  <si>
    <t>P002-31481</t>
  </si>
  <si>
    <t>P002-31482</t>
  </si>
  <si>
    <t>P002-31483</t>
  </si>
  <si>
    <t>P002-31484</t>
  </si>
  <si>
    <t>P002-31485</t>
  </si>
  <si>
    <t>P002-31486</t>
  </si>
  <si>
    <t>P002-31487</t>
  </si>
  <si>
    <t>P002-31488</t>
  </si>
  <si>
    <t>P002-31489</t>
  </si>
  <si>
    <t>P002-31490</t>
  </si>
  <si>
    <t>P002-31491</t>
  </si>
  <si>
    <t xml:space="preserve">ARSENIO MEJIA P00200031414  </t>
  </si>
  <si>
    <t xml:space="preserve">ARSENIO MEJIA P00200031420      </t>
  </si>
  <si>
    <t xml:space="preserve">SANTA CRUZ DIAZ NILTON P00100041545 </t>
  </si>
  <si>
    <t xml:space="preserve">SANTA CRUZ DIAZ NILTON P00200031330 </t>
  </si>
  <si>
    <t xml:space="preserve">CLIENTE VENTAS       </t>
  </si>
  <si>
    <t xml:space="preserve">CARLOS BARRIOS EBERSON     </t>
  </si>
  <si>
    <t xml:space="preserve">ARSENIO MEJIA  </t>
  </si>
  <si>
    <t xml:space="preserve">CORDOVA MONTAÑO GILBERT LUIS     </t>
  </si>
  <si>
    <t xml:space="preserve">SALAZAR PEÑA MARIA JANNET  </t>
  </si>
  <si>
    <t>ROMEL VASQUEZ COPIA</t>
  </si>
  <si>
    <t xml:space="preserve">BRAVO MONTENEGRO HIDELSO </t>
  </si>
  <si>
    <t xml:space="preserve">AGIP BUSTAMANTE LUCELINA - </t>
  </si>
  <si>
    <t>P001-41794</t>
  </si>
  <si>
    <t>BAUTISTA CARRASCO ELMER -</t>
  </si>
  <si>
    <t xml:space="preserve">ALMUERZO LUCAS - MODESTO         </t>
  </si>
  <si>
    <t>SE DIO EN EFECTIVO A CORPORACION DE 232 FIERRO 1/2 Y 100 H. ROJO / H. AZUL SE DESCONTO EN SIST</t>
  </si>
  <si>
    <t>P001-41795</t>
  </si>
  <si>
    <t>P001-41796</t>
  </si>
  <si>
    <t>P001-41797</t>
  </si>
  <si>
    <t xml:space="preserve">RAMIREZ CORONADO JESUS     </t>
  </si>
  <si>
    <t>P002-31492</t>
  </si>
  <si>
    <t>P002-31493</t>
  </si>
  <si>
    <t>P002-31494</t>
  </si>
  <si>
    <t xml:space="preserve">COMBUSTIBLE MOTO ROJA         </t>
  </si>
  <si>
    <t xml:space="preserve">ARENA PATAPO        </t>
  </si>
  <si>
    <t>P002-31495</t>
  </si>
  <si>
    <t xml:space="preserve">PLATAFORMA 2DO LOCAL/ MATERIALES   </t>
  </si>
  <si>
    <t>P002-31496</t>
  </si>
  <si>
    <t>P002-31497</t>
  </si>
  <si>
    <t xml:space="preserve">GARCIA CASTILLO MAXIMO          </t>
  </si>
  <si>
    <t xml:space="preserve">ALMUERZO ANGEL Y JAVIER    </t>
  </si>
  <si>
    <t>A CUENTA DE FIERRO MARVID - JORDIN - CTA 12500 BCP</t>
  </si>
  <si>
    <t>VIERNES 24-04-2026- CAJA H&amp;C</t>
  </si>
  <si>
    <t>COMPRA 18 PCHA 1/2 *60</t>
  </si>
  <si>
    <t xml:space="preserve">COMPRA DE PINTURAS KOLORCIX </t>
  </si>
  <si>
    <t>F00100002894</t>
  </si>
  <si>
    <t>F00100002895</t>
  </si>
  <si>
    <t>F00100002896</t>
  </si>
  <si>
    <t xml:space="preserve">GEORIEGO S.A.C.   </t>
  </si>
  <si>
    <t>D. MEJIA CONSULTORES Y CONSTRUCTORA</t>
  </si>
  <si>
    <t>CAMOXA SOCIEDAD COMERCIAL</t>
  </si>
  <si>
    <t>P001-41798</t>
  </si>
  <si>
    <t>P001-41799</t>
  </si>
  <si>
    <t>P001-41800</t>
  </si>
  <si>
    <t>P001-41801</t>
  </si>
  <si>
    <t>P001-41802</t>
  </si>
  <si>
    <t>P001-41803</t>
  </si>
  <si>
    <t>P001-41804</t>
  </si>
  <si>
    <t>P001-41805</t>
  </si>
  <si>
    <t>P001-41806</t>
  </si>
  <si>
    <t>P001-41807</t>
  </si>
  <si>
    <t>P001-41808</t>
  </si>
  <si>
    <t>P001-41809</t>
  </si>
  <si>
    <t>P001-41810</t>
  </si>
  <si>
    <t>P001-41811</t>
  </si>
  <si>
    <t>P001-41812</t>
  </si>
  <si>
    <t>P001-41813</t>
  </si>
  <si>
    <t>P001-41814</t>
  </si>
  <si>
    <t>P001-41815</t>
  </si>
  <si>
    <t>P001-41816</t>
  </si>
  <si>
    <t xml:space="preserve">SANCHEZ PAREDES             </t>
  </si>
  <si>
    <t xml:space="preserve">RODRIGUEZ TANTARICO ISAIAS </t>
  </si>
  <si>
    <t>CABRERA CORONEL VALENTIN -</t>
  </si>
  <si>
    <t xml:space="preserve">CARLOS SILVA   </t>
  </si>
  <si>
    <t>P002-31498</t>
  </si>
  <si>
    <t xml:space="preserve">SEMPERTEGUI BARAHONA RONALD      </t>
  </si>
  <si>
    <t xml:space="preserve">SALAZAR PEÑA MARIA JANNET     </t>
  </si>
  <si>
    <t xml:space="preserve">KAREN  AQUINO    </t>
  </si>
  <si>
    <t>P002-31499</t>
  </si>
  <si>
    <t>P002-31500</t>
  </si>
  <si>
    <t>P002-31501</t>
  </si>
  <si>
    <t>P002-31502</t>
  </si>
  <si>
    <t>P002-31503</t>
  </si>
  <si>
    <t>P002-31504</t>
  </si>
  <si>
    <t>P002-31505</t>
  </si>
  <si>
    <t>P002-31506</t>
  </si>
  <si>
    <t>P002-31507</t>
  </si>
  <si>
    <t>P002-31508</t>
  </si>
  <si>
    <t>P002-31509</t>
  </si>
  <si>
    <t>P002-31510</t>
  </si>
  <si>
    <t xml:space="preserve">CARLOS BARRIOS EBERSON   </t>
  </si>
  <si>
    <t>WALTER - CASA BLANCA</t>
  </si>
  <si>
    <t xml:space="preserve">GARCIA CASTILLO MAXIMO P00200031496 </t>
  </si>
  <si>
    <t>GARCIA CASTILLO MAXIMO P00200031497</t>
  </si>
  <si>
    <t xml:space="preserve">SALAZAR PEÑA MARIA JANNET/ VUELTO  </t>
  </si>
  <si>
    <t xml:space="preserve">SALDO DE CAJA 23/04           </t>
  </si>
  <si>
    <t xml:space="preserve">COMBUSTIBLE JBC - JULIAN     </t>
  </si>
  <si>
    <t>FLETE PARA EL CENTRO - CARLOS HERRERA</t>
  </si>
  <si>
    <t xml:space="preserve">JEINER HERRERA      </t>
  </si>
  <si>
    <t>P002-31511</t>
  </si>
  <si>
    <t>P002-31512</t>
  </si>
  <si>
    <t>P002-31513</t>
  </si>
  <si>
    <t>P002-31514</t>
  </si>
  <si>
    <t>P002-31515</t>
  </si>
  <si>
    <t xml:space="preserve">CHAVEZ LOYAGA FERNANDO IVAN </t>
  </si>
  <si>
    <t>B00100001826</t>
  </si>
  <si>
    <t>P001-41817</t>
  </si>
  <si>
    <t>P001-41818</t>
  </si>
  <si>
    <t>P001-41819</t>
  </si>
  <si>
    <t>P001-41820</t>
  </si>
  <si>
    <t>P001-41821</t>
  </si>
  <si>
    <t>P001-41822</t>
  </si>
  <si>
    <t>CORONADO DIAZ ALEJANDRA</t>
  </si>
  <si>
    <t xml:space="preserve">HERRERA SALAZAR JORDIN    </t>
  </si>
  <si>
    <t>AUTO FACIL EN CUOTAS,</t>
  </si>
  <si>
    <t xml:space="preserve">GRUPO CORPORATIVO HERRERA  </t>
  </si>
  <si>
    <t>P001-41823</t>
  </si>
  <si>
    <t>P001-41824</t>
  </si>
  <si>
    <t>P001-41825</t>
  </si>
  <si>
    <t>INVERSIONES &amp; TRANSPORTES JH</t>
  </si>
  <si>
    <t>F00100002897</t>
  </si>
  <si>
    <t>F00100002898</t>
  </si>
  <si>
    <t xml:space="preserve">CONSTRUCTORA FRONTERIZA SAN IGNACIO </t>
  </si>
  <si>
    <t xml:space="preserve">REAL ARQUITECTURA S.A.C.    </t>
  </si>
  <si>
    <t xml:space="preserve">JAHIR PADILLA                 </t>
  </si>
  <si>
    <t>P002-31516</t>
  </si>
  <si>
    <t>P002-31517</t>
  </si>
  <si>
    <t>P002-31518</t>
  </si>
  <si>
    <t xml:space="preserve">ELIMINACION DE DESMONTE - ANGEL </t>
  </si>
  <si>
    <t xml:space="preserve">FLETE CARRO NILSON / KAREN AQUINO  </t>
  </si>
  <si>
    <t xml:space="preserve">JEINER HERRERA - CHORIZO JEINER  </t>
  </si>
  <si>
    <t xml:space="preserve">PLATAFORMA 2DO LOCAL    </t>
  </si>
  <si>
    <t xml:space="preserve">DEV. DEPOSITO BCP - JORDIN HERRERA - SIXTO </t>
  </si>
  <si>
    <t xml:space="preserve">CAMOXA SOCIEDAD COMERCIAL </t>
  </si>
  <si>
    <t>SABADO 25-04-2026- CAJA H&amp;C</t>
  </si>
  <si>
    <t>P002-31519</t>
  </si>
  <si>
    <t>P001-41826</t>
  </si>
  <si>
    <t>COMPRA DE 17 ARENILLA*20, 35 AFIRMADO *25</t>
  </si>
  <si>
    <t xml:space="preserve">COMPRA DE 2047*0.81 BALLENA LADRILLLO </t>
  </si>
  <si>
    <t>COMPR DE 3 FIERRO 3/8 *18.56</t>
  </si>
  <si>
    <t xml:space="preserve">RANCHO PANCHO S.A.C       </t>
  </si>
  <si>
    <t>F00100002899</t>
  </si>
  <si>
    <t>F00100002900</t>
  </si>
  <si>
    <t>P001-41827</t>
  </si>
  <si>
    <t>P001-41828</t>
  </si>
  <si>
    <t>P001-41829</t>
  </si>
  <si>
    <t>P001-41830</t>
  </si>
  <si>
    <t>P001-41831</t>
  </si>
  <si>
    <t>P001-41832</t>
  </si>
  <si>
    <t>P001-41833</t>
  </si>
  <si>
    <t>P001-41834</t>
  </si>
  <si>
    <t>P001-41835</t>
  </si>
  <si>
    <t>P001-41836</t>
  </si>
  <si>
    <t>P001-41837</t>
  </si>
  <si>
    <t>P001-41838</t>
  </si>
  <si>
    <t>P001-41839</t>
  </si>
  <si>
    <t>P001-41840</t>
  </si>
  <si>
    <t>P001-41841</t>
  </si>
  <si>
    <t>P001-41842</t>
  </si>
  <si>
    <t>P001-41843</t>
  </si>
  <si>
    <t>P001-41844</t>
  </si>
  <si>
    <t>P001-41845</t>
  </si>
  <si>
    <t>P001-41846</t>
  </si>
  <si>
    <t>P001-41847</t>
  </si>
  <si>
    <t>P001-41848</t>
  </si>
  <si>
    <t>P001-41849</t>
  </si>
  <si>
    <t>P001-41850</t>
  </si>
  <si>
    <t>P001-41851</t>
  </si>
  <si>
    <t>P001-41852</t>
  </si>
  <si>
    <t>P001-41853</t>
  </si>
  <si>
    <t>FERROCONSTRUCTORA JH SERVICIOS G</t>
  </si>
  <si>
    <t xml:space="preserve">JEINER HERRERA - FERRETERIA LA UNION    </t>
  </si>
  <si>
    <t>AGIP BUSTAMANTE LUCELINA</t>
  </si>
  <si>
    <t>CABANILLAS SOLANO NOE</t>
  </si>
  <si>
    <t>SIPIRAN REAÑO JUAN CARLOS</t>
  </si>
  <si>
    <t xml:space="preserve">SANCHEZ PAREDES   </t>
  </si>
  <si>
    <t xml:space="preserve">VASQUEZ CAMIZAN JUAN CARLOS  </t>
  </si>
  <si>
    <t xml:space="preserve">CLIENTE VENTAS     </t>
  </si>
  <si>
    <t>P002-31520</t>
  </si>
  <si>
    <t>P002-31521</t>
  </si>
  <si>
    <t>P002-31522</t>
  </si>
  <si>
    <t>P002-31523</t>
  </si>
  <si>
    <t>P002-31524</t>
  </si>
  <si>
    <t>P002-31525</t>
  </si>
  <si>
    <t>P002-31526</t>
  </si>
  <si>
    <t>P002-31527</t>
  </si>
  <si>
    <t>P002-31528</t>
  </si>
  <si>
    <t>P002-31529</t>
  </si>
  <si>
    <t>P002-31530</t>
  </si>
  <si>
    <t>P002-31531</t>
  </si>
  <si>
    <t>P002-31532</t>
  </si>
  <si>
    <t>P002-31533</t>
  </si>
  <si>
    <t>P002-31534</t>
  </si>
  <si>
    <t>P002-31535</t>
  </si>
  <si>
    <t>P002-31536</t>
  </si>
  <si>
    <t>P002-31537</t>
  </si>
  <si>
    <t>P002-31538</t>
  </si>
  <si>
    <t xml:space="preserve">QURMAQ SOCIEDAD ANONIMA CERRADA    </t>
  </si>
  <si>
    <t xml:space="preserve">KT-A CONSTRUCTORA S.A.C.   </t>
  </si>
  <si>
    <t xml:space="preserve">RUIZ SALAZAR ANDY D'NILSON </t>
  </si>
  <si>
    <t xml:space="preserve">JULIO RODRIGUEZ     </t>
  </si>
  <si>
    <t xml:space="preserve">GARCIA CASTILLO MAXIMO             </t>
  </si>
  <si>
    <t xml:space="preserve">VEGA MENA MARIA JANET </t>
  </si>
  <si>
    <t>PERALTA DIAZ ALCIDIADES</t>
  </si>
  <si>
    <t xml:space="preserve">TORRES GONZALES MILAGROS JANET </t>
  </si>
  <si>
    <t xml:space="preserve">RUIZ SALAZAR ANDY D'NILSON   </t>
  </si>
  <si>
    <t>DIAZ BARCO MAGDALENA P00200031421</t>
  </si>
  <si>
    <t>INGRESO A CAJA JEINER - PAGO A RAMOS</t>
  </si>
  <si>
    <t xml:space="preserve">VUELTO COMBUSTIBLE JULIAN /24-04   </t>
  </si>
  <si>
    <t xml:space="preserve">DIAZ BARCO MAGDALENA P00200031397    </t>
  </si>
  <si>
    <t xml:space="preserve">DARWIN   </t>
  </si>
  <si>
    <t xml:space="preserve">CARRO FORLAND    / POLLO </t>
  </si>
  <si>
    <t xml:space="preserve">ALEXANDER GAONA    </t>
  </si>
  <si>
    <t xml:space="preserve">KEYLER - JORDIN  </t>
  </si>
  <si>
    <t xml:space="preserve">FLETE CARLOS HERRERA / LEONCIO PRADO      </t>
  </si>
  <si>
    <t xml:space="preserve">JAVIER SALAZAR      </t>
  </si>
  <si>
    <t xml:space="preserve">JEINER HERRERA - FERRETERIA LA UNION P00100041662    </t>
  </si>
  <si>
    <t xml:space="preserve">JEINER HERRERA - FERRETERIA LA UNION P00100041642   </t>
  </si>
  <si>
    <t xml:space="preserve">INVERSIONES &amp; TRANSPORTES JH E.I.R.L.     </t>
  </si>
  <si>
    <t xml:space="preserve">PLATAFORMA 2DO LOCAL </t>
  </si>
  <si>
    <t>P002-31539</t>
  </si>
  <si>
    <t>P002-31540</t>
  </si>
  <si>
    <t>P002-31541</t>
  </si>
  <si>
    <t>P002-31542</t>
  </si>
  <si>
    <t>P001-41854</t>
  </si>
  <si>
    <t xml:space="preserve">ROMEL VASQUEZ COPIA CEL. 979008723 P00200031400 </t>
  </si>
  <si>
    <t xml:space="preserve">ROMEL VASQUEZ COPIA CEL. 979008723 P00200031482  </t>
  </si>
  <si>
    <t xml:space="preserve">ROMEL VASQUEZ COPIA CEL. 979008723 P00100041798    </t>
  </si>
  <si>
    <t xml:space="preserve">ROMEL VASQUEZ P00200031341          </t>
  </si>
  <si>
    <t xml:space="preserve">JULIAN VILLALOBOS              </t>
  </si>
  <si>
    <t xml:space="preserve">CASANOVA VALDIVIA WILDER - 997765917 P00100041602 </t>
  </si>
  <si>
    <t xml:space="preserve">CASANOVA VALDIVIA WILDER - 997765917 P00100041686 </t>
  </si>
  <si>
    <t>P001-41855</t>
  </si>
  <si>
    <t>P001-41856</t>
  </si>
  <si>
    <t xml:space="preserve">SANCHEZ PAREDES P00100041738     </t>
  </si>
  <si>
    <t xml:space="preserve">ALVARO </t>
  </si>
  <si>
    <t xml:space="preserve">ROMEL VASQUEZ - TECHO Y COLUMNAS          </t>
  </si>
  <si>
    <t xml:space="preserve">COMPRA DE 2 ROLLOS DE ALAMBRE 16/ PROMAT </t>
  </si>
  <si>
    <t>GRUPO CORPORATIVO HERRERA E.I.R.L. F00100002886</t>
  </si>
  <si>
    <t>ROMEL VASQUEZ TARRAJEO</t>
  </si>
  <si>
    <t xml:space="preserve">LADRILLERA RAMOS 000100259684    </t>
  </si>
  <si>
    <t xml:space="preserve">DOMINGO 26-04-2026- CAJA H&amp;C </t>
  </si>
  <si>
    <t>P001-41857</t>
  </si>
  <si>
    <t>P001-41858</t>
  </si>
  <si>
    <t>P001-41859</t>
  </si>
  <si>
    <t>P001-41860</t>
  </si>
  <si>
    <t>P001-41861</t>
  </si>
  <si>
    <t>P001-41862</t>
  </si>
  <si>
    <t>P001-41863</t>
  </si>
  <si>
    <t>P001-41864</t>
  </si>
  <si>
    <t>P001-41865</t>
  </si>
  <si>
    <t>P001-41866</t>
  </si>
  <si>
    <t>P001-41867</t>
  </si>
  <si>
    <t>P001-41868</t>
  </si>
  <si>
    <t>P001-41869</t>
  </si>
  <si>
    <t>P001-41870</t>
  </si>
  <si>
    <t>P001-41871</t>
  </si>
  <si>
    <t>P001-41872</t>
  </si>
  <si>
    <t>P001-41873</t>
  </si>
  <si>
    <t>P001-41874</t>
  </si>
  <si>
    <t>P001-41875</t>
  </si>
  <si>
    <t>P001-41876</t>
  </si>
  <si>
    <t>P001-41877</t>
  </si>
  <si>
    <t>P001-41878</t>
  </si>
  <si>
    <t>P001-41879</t>
  </si>
  <si>
    <t>P001-41880</t>
  </si>
  <si>
    <t>P001-41881</t>
  </si>
  <si>
    <t>P001-41882</t>
  </si>
  <si>
    <t>ANAYELY</t>
  </si>
  <si>
    <t>PAGO DE PERSONAL</t>
  </si>
  <si>
    <t xml:space="preserve">ANGHELINA </t>
  </si>
  <si>
    <t>GONZALES ALVAREZ RANDAL</t>
  </si>
  <si>
    <t>CRUZ BOBADILLA ALEXANDER</t>
  </si>
  <si>
    <t xml:space="preserve">LUNES 27-04-2026- CAJA H&amp;C </t>
  </si>
  <si>
    <t xml:space="preserve">1 GALON DE SIKA </t>
  </si>
  <si>
    <t xml:space="preserve">4 CODO 1/2 FIERRO GALVANIZADO </t>
  </si>
  <si>
    <t>COMPRA DE 108 FIERRO 3/8 * 18.72</t>
  </si>
  <si>
    <t xml:space="preserve">WILMER / JH </t>
  </si>
  <si>
    <t xml:space="preserve">COMPRA DE 2 ARENILLA / CARLOS SILVA </t>
  </si>
  <si>
    <t xml:space="preserve">LUCAS </t>
  </si>
  <si>
    <t xml:space="preserve">REAL ARQUITECTURA S.A.C.      </t>
  </si>
  <si>
    <t>F00100002901</t>
  </si>
  <si>
    <t>F00100002902</t>
  </si>
  <si>
    <t xml:space="preserve">ZAMORA CIEZA WALTER                                                                                 </t>
  </si>
  <si>
    <t>F00100002903</t>
  </si>
  <si>
    <t>I.E N° 10040 SANTIAGO CASSINELLI</t>
  </si>
  <si>
    <t>P001-41883</t>
  </si>
  <si>
    <t>P001-41884</t>
  </si>
  <si>
    <t>P001-41885</t>
  </si>
  <si>
    <t>P001-41886</t>
  </si>
  <si>
    <t>P001-41887</t>
  </si>
  <si>
    <t>P001-41888</t>
  </si>
  <si>
    <t>P001-41889</t>
  </si>
  <si>
    <t>P001-41890</t>
  </si>
  <si>
    <t>P001-41891</t>
  </si>
  <si>
    <t>P001-41892</t>
  </si>
  <si>
    <t>P001-41893</t>
  </si>
  <si>
    <t>P001-41894</t>
  </si>
  <si>
    <t>P001-41895</t>
  </si>
  <si>
    <t>P001-41896</t>
  </si>
  <si>
    <t>P001-41897</t>
  </si>
  <si>
    <t>P001-41898</t>
  </si>
  <si>
    <t>P001-41899</t>
  </si>
  <si>
    <t>P001-41900</t>
  </si>
  <si>
    <t>P001-41901</t>
  </si>
  <si>
    <t>P001-41902</t>
  </si>
  <si>
    <t xml:space="preserve">YAJAHUANCA CORREA ALADINA     </t>
  </si>
  <si>
    <t xml:space="preserve">SALAZAR PISCOYA FELICITA VICTORIA  </t>
  </si>
  <si>
    <t>MEOÑO MENDOZA WILMER HIPOLITO</t>
  </si>
  <si>
    <t>CORDOVA MONTAÑO GILBERT LUIS</t>
  </si>
  <si>
    <t xml:space="preserve">CORONADO DIAZ ALEJANDRA KATIXA </t>
  </si>
  <si>
    <t>HERMES</t>
  </si>
  <si>
    <t xml:space="preserve">HUAMANCHUMO LEYTON MARIA CRISTINA </t>
  </si>
  <si>
    <t>P002-31543</t>
  </si>
  <si>
    <t>P002-31544</t>
  </si>
  <si>
    <t>P002-31545</t>
  </si>
  <si>
    <t>P002-31546</t>
  </si>
  <si>
    <t>P002-31547</t>
  </si>
  <si>
    <t>P002-31548</t>
  </si>
  <si>
    <t>P002-31549</t>
  </si>
  <si>
    <t>P002-31550</t>
  </si>
  <si>
    <t>P002-31551</t>
  </si>
  <si>
    <t>P002-31552</t>
  </si>
  <si>
    <t>P002-31553</t>
  </si>
  <si>
    <t>P002-31554</t>
  </si>
  <si>
    <t>P002-31555</t>
  </si>
  <si>
    <t>P002-31556</t>
  </si>
  <si>
    <t>P002-31557</t>
  </si>
  <si>
    <t>P002-31558</t>
  </si>
  <si>
    <t xml:space="preserve">JARA ARMIJOS JOSE ARMANDO         </t>
  </si>
  <si>
    <t>GRUPO CORPORATIVO HERRERA P00100041754</t>
  </si>
  <si>
    <t>REQUEJO REQUEJO ERIBERTO - 901303966 P00100041368</t>
  </si>
  <si>
    <t xml:space="preserve">CORPORACION HERRERA S.A.C. 000100254869    </t>
  </si>
  <si>
    <t xml:space="preserve">COMBUSTIBLE FUSO                                                                                    </t>
  </si>
  <si>
    <t xml:space="preserve">COMBUSTIBLE JBC - ANGEL      </t>
  </si>
  <si>
    <t xml:space="preserve">FLETE ADELIO - PIMENTEL   </t>
  </si>
  <si>
    <t xml:space="preserve">FLETES CARLOS HERRERA                   </t>
  </si>
  <si>
    <t xml:space="preserve">COMPRA DE 18 AGUAS  DEL 11 ABRIL AL 27 ABRIL         </t>
  </si>
  <si>
    <t xml:space="preserve">COMBUSTIBLE MONTACARGA   </t>
  </si>
  <si>
    <t xml:space="preserve">JHON ASTONITAS - PAGO SABADO </t>
  </si>
  <si>
    <t xml:space="preserve">1 DIFERENCIAL 70+ 4 LISTONES *17        </t>
  </si>
  <si>
    <t>P002-31559</t>
  </si>
  <si>
    <t xml:space="preserve">LEO CASTILLO </t>
  </si>
  <si>
    <t>P001-41903</t>
  </si>
  <si>
    <t>P001-41904</t>
  </si>
  <si>
    <t>P001-41905</t>
  </si>
  <si>
    <t>P001-41906</t>
  </si>
  <si>
    <t>P001-41907</t>
  </si>
  <si>
    <t>P001-41908</t>
  </si>
  <si>
    <t xml:space="preserve">ARSENIO MEJIA                </t>
  </si>
  <si>
    <t xml:space="preserve">SONAPO </t>
  </si>
  <si>
    <t xml:space="preserve">CHOROCO LARA HORACIO    </t>
  </si>
  <si>
    <t>P002-31560</t>
  </si>
  <si>
    <t xml:space="preserve">ANULADA / SONAPO </t>
  </si>
  <si>
    <t>P002-31561</t>
  </si>
  <si>
    <t xml:space="preserve">DEVOLUCION DE CEMENTO ROJO HOLCIM - AGIP BUSTAMANTE  </t>
  </si>
  <si>
    <t xml:space="preserve">EXTINTOR - INSTALACION ELECTRICA - SOPORTES - ENCINTAMIENTO DEL LOCAL                               </t>
  </si>
  <si>
    <t xml:space="preserve">RIOJA MONTALVO EDWIN HARRY                                                   </t>
  </si>
  <si>
    <t>P002-31562</t>
  </si>
  <si>
    <t xml:space="preserve">BACA BURGA ANA YSABEL           </t>
  </si>
  <si>
    <t>COMPRA DE 5 M3 PIEDRA CHANCADA  *70</t>
  </si>
  <si>
    <t>COMPRA DE 20 CEMENTO ROJO HOLCIM *27.5</t>
  </si>
  <si>
    <t>COMPRA DE 10 CEMENTO ROJO HOLCIM *27.5/ LUCIO GAMBOA</t>
  </si>
  <si>
    <t xml:space="preserve">CORPORACION HERRERA </t>
  </si>
  <si>
    <t>F00100002904</t>
  </si>
  <si>
    <t>P001-41909</t>
  </si>
  <si>
    <t>P001-41910</t>
  </si>
  <si>
    <t>P001-41911</t>
  </si>
  <si>
    <t>P001-41912</t>
  </si>
  <si>
    <t>P001-41913</t>
  </si>
  <si>
    <t>P001-41914</t>
  </si>
  <si>
    <t>P001-41915</t>
  </si>
  <si>
    <t>P001-41916</t>
  </si>
  <si>
    <t>P001-41917</t>
  </si>
  <si>
    <t>P001-41918</t>
  </si>
  <si>
    <t>P001-41919</t>
  </si>
  <si>
    <t>P001-41920</t>
  </si>
  <si>
    <t>P001-41921</t>
  </si>
  <si>
    <t>P001-41922</t>
  </si>
  <si>
    <t>P001-41923</t>
  </si>
  <si>
    <t>P001-41924</t>
  </si>
  <si>
    <t>P001-41925</t>
  </si>
  <si>
    <t xml:space="preserve">VELA RAMIREZ HITLER </t>
  </si>
  <si>
    <t>P001-41926</t>
  </si>
  <si>
    <t>P002-31563</t>
  </si>
  <si>
    <t>P002-31564</t>
  </si>
  <si>
    <t>P002-31565</t>
  </si>
  <si>
    <t>P002-31566</t>
  </si>
  <si>
    <t>P002-31567</t>
  </si>
  <si>
    <t>P002-31568</t>
  </si>
  <si>
    <t>P002-31569</t>
  </si>
  <si>
    <t>P002-31570</t>
  </si>
  <si>
    <t>P002-31571</t>
  </si>
  <si>
    <t>P002-31572</t>
  </si>
  <si>
    <t>P002-31573</t>
  </si>
  <si>
    <t xml:space="preserve">WILDER  HERRERA    </t>
  </si>
  <si>
    <t xml:space="preserve">JUAN SALAZAR  SALAZAR P00200031386   </t>
  </si>
  <si>
    <t>ARSENIO MEJIA P00200031518</t>
  </si>
  <si>
    <t xml:space="preserve">ARSENIO MEJIA P00100041904 </t>
  </si>
  <si>
    <t xml:space="preserve">JUAN SALAZAR  SALAZAR P00100041510  </t>
  </si>
  <si>
    <t xml:space="preserve">CLAVO         </t>
  </si>
  <si>
    <t xml:space="preserve">FLETES WILMER      </t>
  </si>
  <si>
    <t>REPARACION CARRO ANGEL - PEDRITO</t>
  </si>
  <si>
    <t xml:space="preserve">JEINER HERRERA          </t>
  </si>
  <si>
    <t xml:space="preserve">INSPECCION DEL LOCAL    </t>
  </si>
  <si>
    <t xml:space="preserve">IMPLEMENTOS DEL BOTIQUIN </t>
  </si>
  <si>
    <t>P001-41927</t>
  </si>
  <si>
    <t xml:space="preserve">PASAJE BRENIS               </t>
  </si>
  <si>
    <t>P001-41928</t>
  </si>
  <si>
    <t>P001-41929</t>
  </si>
  <si>
    <t>P001-41930</t>
  </si>
  <si>
    <t>P001-41931</t>
  </si>
  <si>
    <t>P001-41932</t>
  </si>
  <si>
    <t>P001-41933</t>
  </si>
  <si>
    <t xml:space="preserve">FERNANDEZ MEGO JOSE LUIS </t>
  </si>
  <si>
    <t>P002-31574</t>
  </si>
  <si>
    <t>P002-31575</t>
  </si>
  <si>
    <t>P002-31576</t>
  </si>
  <si>
    <t xml:space="preserve">HUAMAN PARIACURI RUBEN </t>
  </si>
  <si>
    <t xml:space="preserve">PLATAFORMA 2DO LOCAL                                                                                </t>
  </si>
  <si>
    <t>REPUESTOS - MECANICO PEDRO</t>
  </si>
  <si>
    <t>BUENAÑO TAPIA MERY EMILIN -</t>
  </si>
  <si>
    <t>F00100002905</t>
  </si>
  <si>
    <t>ALFARERO PROYECTO</t>
  </si>
  <si>
    <t xml:space="preserve">ARSENIO MEJIA P00200031518     </t>
  </si>
  <si>
    <t xml:space="preserve">ARSENIO MEJIA P00200031488    </t>
  </si>
  <si>
    <t>PASAJES - TUMAN - CHICLAYO - PRESTO ARSENIO</t>
  </si>
  <si>
    <t xml:space="preserve">OSCAR ALBERTO </t>
  </si>
  <si>
    <t xml:space="preserve">TECLE </t>
  </si>
  <si>
    <t xml:space="preserve">MIERCOLES 29-04-2026- CAJA H&amp;C </t>
  </si>
  <si>
    <t xml:space="preserve">MARTES 28-04-2026- CAJA H&amp;C </t>
  </si>
  <si>
    <t>P001-41934</t>
  </si>
  <si>
    <t>COMPRA DE 4 CEMENTO ROJO PACASMAYO *30.9</t>
  </si>
  <si>
    <t xml:space="preserve">COMPRA DE 1 PEGAMENTO 1/4 OATEY / MARVID </t>
  </si>
  <si>
    <t>SERVICIOS GENERALES Y PERFORACIONES</t>
  </si>
  <si>
    <t>F00100002907</t>
  </si>
  <si>
    <t>P001-41935</t>
  </si>
  <si>
    <t>P001-41936</t>
  </si>
  <si>
    <t>P001-41937</t>
  </si>
  <si>
    <t>P001-41938</t>
  </si>
  <si>
    <t>P001-41939</t>
  </si>
  <si>
    <t>P001-41940</t>
  </si>
  <si>
    <t>P001-41941</t>
  </si>
  <si>
    <t>P001-41942</t>
  </si>
  <si>
    <t>P001-41943</t>
  </si>
  <si>
    <t>P001-41944</t>
  </si>
  <si>
    <t>P001-41945</t>
  </si>
  <si>
    <t>P001-41946</t>
  </si>
  <si>
    <t>P001-41947</t>
  </si>
  <si>
    <t>P001-41948</t>
  </si>
  <si>
    <t>P001-41949</t>
  </si>
  <si>
    <t>P001-41950</t>
  </si>
  <si>
    <t>P001-41951</t>
  </si>
  <si>
    <t>P001-41952</t>
  </si>
  <si>
    <t>P001-41953</t>
  </si>
  <si>
    <t>P001-41954</t>
  </si>
  <si>
    <t>P001-41955</t>
  </si>
  <si>
    <t>P001-41956</t>
  </si>
  <si>
    <t>P001-41957</t>
  </si>
  <si>
    <t>P001-41958</t>
  </si>
  <si>
    <t>P001-41959</t>
  </si>
  <si>
    <t>VENTAS DEL DIA</t>
  </si>
  <si>
    <t>DE LA CRUZ VASQUEZ SEGUNDO BALTAZAR</t>
  </si>
  <si>
    <t xml:space="preserve">TAVARA GUERRERO JOSE ANTONIO </t>
  </si>
  <si>
    <t>P002-31577</t>
  </si>
  <si>
    <t>P002-31578</t>
  </si>
  <si>
    <t>P002-31579</t>
  </si>
  <si>
    <t>P002-31580</t>
  </si>
  <si>
    <t>P002-31581</t>
  </si>
  <si>
    <t>P002-31582</t>
  </si>
  <si>
    <t>P002-31583</t>
  </si>
  <si>
    <t>P002-31584</t>
  </si>
  <si>
    <t>P002-31585</t>
  </si>
  <si>
    <t>P002-31586</t>
  </si>
  <si>
    <t>P002-31587</t>
  </si>
  <si>
    <t>P002-31588</t>
  </si>
  <si>
    <t>P002-31589</t>
  </si>
  <si>
    <t>P002-31590</t>
  </si>
  <si>
    <t>P002-31591</t>
  </si>
  <si>
    <t>P002-31592</t>
  </si>
  <si>
    <t>P002-31593</t>
  </si>
  <si>
    <t>P002-31594</t>
  </si>
  <si>
    <t>P001-41960</t>
  </si>
  <si>
    <t>P001-41961</t>
  </si>
  <si>
    <t>P001-41962</t>
  </si>
  <si>
    <t>P001-41963</t>
  </si>
  <si>
    <t>P001-41964</t>
  </si>
  <si>
    <t xml:space="preserve">SEMPERTEGUI BARAHONA RONALD   </t>
  </si>
  <si>
    <t xml:space="preserve">KT-A CONSTRUCTORA S.A.C.     </t>
  </si>
  <si>
    <t xml:space="preserve">KT-A CONSTRUCTORA S.A.C.      </t>
  </si>
  <si>
    <t xml:space="preserve">RUIZ SALAZAR ANDY D'NILSON        </t>
  </si>
  <si>
    <t xml:space="preserve">CLIENTE VENTAS             </t>
  </si>
  <si>
    <t xml:space="preserve">CARLOS BARRIOS EBERSON         </t>
  </si>
  <si>
    <t xml:space="preserve">VILCHEZ TARRILLO HERIBERTO       </t>
  </si>
  <si>
    <t>P002-31595</t>
  </si>
  <si>
    <t>P002-31596</t>
  </si>
  <si>
    <t>P002-31597</t>
  </si>
  <si>
    <t>P002-31598</t>
  </si>
  <si>
    <t>P002-31599</t>
  </si>
  <si>
    <t>P002-31600</t>
  </si>
  <si>
    <t>P002-31601</t>
  </si>
  <si>
    <t xml:space="preserve">CARGUIO ZAMORA - 12 CUBOS </t>
  </si>
  <si>
    <t>PASAJE BRENIS</t>
  </si>
  <si>
    <t xml:space="preserve">ACEITE PARA MOTO FURGON      </t>
  </si>
  <si>
    <t>COMBUSTIBLE MOTO ROJA NUEVA - ALVARO</t>
  </si>
  <si>
    <t xml:space="preserve">JORDIN HERRERA/ CORPORACION HERRERA  </t>
  </si>
  <si>
    <t xml:space="preserve">TRANSPORTE DE PRODUCTOS ARDILES    </t>
  </si>
  <si>
    <t xml:space="preserve">ADELIO FLETES  </t>
  </si>
  <si>
    <t xml:space="preserve">TALLER - LUCAS HERRERA / JEINER  </t>
  </si>
  <si>
    <t>COMPRA DE 20 CEMENTO ROJO PACASMAYO *30.9</t>
  </si>
  <si>
    <t xml:space="preserve">YAPAPASCA IPANAQUE HENRY POOL        </t>
  </si>
  <si>
    <t>ALMUERZO ANGEL</t>
  </si>
  <si>
    <t>P001-41965</t>
  </si>
  <si>
    <t>P001-41966</t>
  </si>
  <si>
    <t>P001-41967</t>
  </si>
  <si>
    <t>P001-41968</t>
  </si>
  <si>
    <t xml:space="preserve">JEINER HERRERA - FERRETERIA LA UNION   </t>
  </si>
  <si>
    <t>P001-41969</t>
  </si>
  <si>
    <t>P001-41970</t>
  </si>
  <si>
    <t>P001-41971</t>
  </si>
  <si>
    <t>SEGIK INGENIEROS SOCIEDAD</t>
  </si>
  <si>
    <t>P002-31602</t>
  </si>
  <si>
    <t>P002-31603</t>
  </si>
  <si>
    <t xml:space="preserve">ALMUERZO NILSON         </t>
  </si>
  <si>
    <t xml:space="preserve">FLETES CARLOS HERRERA </t>
  </si>
  <si>
    <t xml:space="preserve">400 BLS </t>
  </si>
  <si>
    <t xml:space="preserve">ANGEL </t>
  </si>
  <si>
    <t xml:space="preserve">ROBERTO RODRIGUEZ </t>
  </si>
  <si>
    <t>P002-31604</t>
  </si>
  <si>
    <t>P002-31605</t>
  </si>
  <si>
    <t>RODRIGUEZ BUSTAMANTE ROBERTO</t>
  </si>
  <si>
    <t xml:space="preserve">QUEDA POR SACAR </t>
  </si>
  <si>
    <t xml:space="preserve">JUEVES 30-04-2026- CAJA H&amp;C </t>
  </si>
  <si>
    <t>F001-2911</t>
  </si>
  <si>
    <t>INSTITUCION EDUCATIVA N°11225</t>
  </si>
  <si>
    <t>P001-41972</t>
  </si>
  <si>
    <t>P001-41973</t>
  </si>
  <si>
    <t>P001-41974</t>
  </si>
  <si>
    <t>P001-41975</t>
  </si>
  <si>
    <t>P001-41976</t>
  </si>
  <si>
    <t>P001-41977</t>
  </si>
  <si>
    <t>P001-41978</t>
  </si>
  <si>
    <t>P001-41979</t>
  </si>
  <si>
    <t>P001-41980</t>
  </si>
  <si>
    <t>P001-41981</t>
  </si>
  <si>
    <t>P001-41982</t>
  </si>
  <si>
    <t>P001-41983</t>
  </si>
  <si>
    <t>P001-41984</t>
  </si>
  <si>
    <t>P001-41985</t>
  </si>
  <si>
    <t>P001-41986</t>
  </si>
  <si>
    <t>P001-41987</t>
  </si>
  <si>
    <t>P001-41988</t>
  </si>
  <si>
    <t>P001-41989</t>
  </si>
  <si>
    <t>P001-41990</t>
  </si>
  <si>
    <t>P002-31606</t>
  </si>
  <si>
    <t>P002-31607</t>
  </si>
  <si>
    <t>P002-31608</t>
  </si>
  <si>
    <t>P002-31609</t>
  </si>
  <si>
    <t>P002-31610</t>
  </si>
  <si>
    <t>P002-31611</t>
  </si>
  <si>
    <t>P002-31612</t>
  </si>
  <si>
    <t>P002-31613</t>
  </si>
  <si>
    <t>P002-31614</t>
  </si>
  <si>
    <t>P002-31615</t>
  </si>
  <si>
    <t>P002-31616</t>
  </si>
  <si>
    <t>P002-31617</t>
  </si>
  <si>
    <t>P002-31618</t>
  </si>
  <si>
    <t>P002-31619</t>
  </si>
  <si>
    <t>P002-31620</t>
  </si>
  <si>
    <t>P002-31621</t>
  </si>
  <si>
    <t>P002-31622</t>
  </si>
  <si>
    <t>P002-31623</t>
  </si>
  <si>
    <t>P002-31624</t>
  </si>
  <si>
    <t>P002-31625</t>
  </si>
  <si>
    <t>P002-31626</t>
  </si>
  <si>
    <t>P002-31627</t>
  </si>
  <si>
    <t>P002-31628</t>
  </si>
  <si>
    <t>P002-31629</t>
  </si>
  <si>
    <t>P002-31630</t>
  </si>
  <si>
    <t>P002-31631</t>
  </si>
  <si>
    <t>P002-31632</t>
  </si>
  <si>
    <t xml:space="preserve">CLIENTE VENTAS        </t>
  </si>
  <si>
    <t xml:space="preserve">MARIA GLADYS PEREZ VASQUEZ   </t>
  </si>
  <si>
    <t xml:space="preserve">KAREN  AQUINO     </t>
  </si>
  <si>
    <t xml:space="preserve">MINOPE GUEVARA WALTHER </t>
  </si>
  <si>
    <t>CAMISAN AQUINO ESTHER</t>
  </si>
  <si>
    <t xml:space="preserve">VASQUEZ IDROGO REINERIO    </t>
  </si>
  <si>
    <t xml:space="preserve">COFESEG                    </t>
  </si>
  <si>
    <t>2 ETERNIT PERFIL 4 (104) Y 5 M3 ARENA AMARILLA / PROGRESO PATAPO SE DESCONTO</t>
  </si>
  <si>
    <t xml:space="preserve">KT-A CONSTRUCTORA S.A.C.    </t>
  </si>
  <si>
    <t>F001-2909</t>
  </si>
  <si>
    <t>F001-2910</t>
  </si>
  <si>
    <t>CORONADO DIAZ ALEJANDRA KATIXA</t>
  </si>
  <si>
    <t xml:space="preserve">PARQUE PEREGRINOS - </t>
  </si>
  <si>
    <t xml:space="preserve">VENTAS DEL DIA         </t>
  </si>
  <si>
    <t xml:space="preserve">CASTAÑEDA MONTENEGRO LUIS OSWALDO - 978434857 P00100041830      </t>
  </si>
  <si>
    <t xml:space="preserve">PROGRESO-PATAPO P00200031416               </t>
  </si>
  <si>
    <t xml:space="preserve">CASANOVA VALDIVIA WILDER - 997765917 P00100041855          </t>
  </si>
  <si>
    <t xml:space="preserve">BRENIS SALAZAR PASAJE   </t>
  </si>
  <si>
    <t xml:space="preserve">JORDIN SE DESCONTO 5400 DE ABONO CORPORACION HERRERA - Y 10100 IRA A LA CUENTA HYC  </t>
  </si>
  <si>
    <t xml:space="preserve">MECANICO AMIRO, 10 LLANTERO Y 10 PASAJE LUCAS           </t>
  </si>
  <si>
    <t xml:space="preserve">COMISION- SR WILDER      </t>
  </si>
  <si>
    <t xml:space="preserve">COMBUSTIBLE JBC- JULIAN  </t>
  </si>
  <si>
    <t xml:space="preserve">YOGURT     </t>
  </si>
  <si>
    <t xml:space="preserve">FERROCONSTRUCTORA JH SERVICIOS GENERALES E.I.R.L. 000100000897    </t>
  </si>
  <si>
    <t>COMPRA DE 440 LADRILLO ARTESANAL PEQUEÑO *0.4</t>
  </si>
  <si>
    <t xml:space="preserve">ALMUERZO ANGEL Y MODESTO </t>
  </si>
  <si>
    <t>P001-41991</t>
  </si>
  <si>
    <t>ANULADA / FERROCONSTRUCTORA</t>
  </si>
  <si>
    <t>P001-41992</t>
  </si>
  <si>
    <t>SILVA VILLANUEVA LUIS</t>
  </si>
  <si>
    <t>P001-41993</t>
  </si>
  <si>
    <t>P001-41994</t>
  </si>
  <si>
    <t>P001-41995</t>
  </si>
  <si>
    <t>P001-41996</t>
  </si>
  <si>
    <t>P001-41997</t>
  </si>
  <si>
    <t>P001-41998</t>
  </si>
  <si>
    <t>P001-41999</t>
  </si>
  <si>
    <t>P001-42000</t>
  </si>
  <si>
    <t>P001-42001</t>
  </si>
  <si>
    <t>P001-42002</t>
  </si>
  <si>
    <t>P001-42003</t>
  </si>
  <si>
    <t>P001-42004</t>
  </si>
  <si>
    <t>P001-42005</t>
  </si>
  <si>
    <t>P002-31633</t>
  </si>
  <si>
    <t xml:space="preserve">WALTER - CASA BLANCA   </t>
  </si>
  <si>
    <t>P002-31634</t>
  </si>
  <si>
    <t>P002-31635</t>
  </si>
  <si>
    <t>P002-31636</t>
  </si>
  <si>
    <t>P002-31637</t>
  </si>
  <si>
    <t xml:space="preserve">CLIENTE VENTAS  </t>
  </si>
  <si>
    <t xml:space="preserve">ANDY - 992771019                                                                                    </t>
  </si>
  <si>
    <t xml:space="preserve">WEYNER LEON - 933573197 </t>
  </si>
  <si>
    <t xml:space="preserve">VENTAS DEL DIA    </t>
  </si>
  <si>
    <t xml:space="preserve">MINOPE GUEVARA WALTHER P00200031627                                                                 </t>
  </si>
  <si>
    <t xml:space="preserve">FLETE WEYNER LEON       </t>
  </si>
  <si>
    <t>P001-42006</t>
  </si>
  <si>
    <t>P001-42007</t>
  </si>
  <si>
    <t xml:space="preserve">FERROCONSTRUCTORA JH SERVICIOS GENERALES / DIFERENCIA DE PIEDRA CHANCADA </t>
  </si>
  <si>
    <t xml:space="preserve">DESAYUNO- ANGEL Y MODESTO   </t>
  </si>
  <si>
    <t>P001-42008</t>
  </si>
  <si>
    <t xml:space="preserve">NUÑEZ TAVARA TOMAS FRANCISCO  </t>
  </si>
  <si>
    <t>F00100002912</t>
  </si>
  <si>
    <t>P002-31638</t>
  </si>
  <si>
    <t xml:space="preserve">VIVIAN   </t>
  </si>
  <si>
    <t xml:space="preserve">ALMUERZO PERSONAL </t>
  </si>
  <si>
    <t xml:space="preserve">VIERNES 01-05-2026- CAJA H&amp;C </t>
  </si>
  <si>
    <t>P001-42009</t>
  </si>
  <si>
    <t>COMPRA DE 4150 LADRILLO PANDERETA FORTES *0.61</t>
  </si>
  <si>
    <t>COMPRA DE 1200 ARTESANAL BODOQUE *0.5</t>
  </si>
  <si>
    <t>F00100002913</t>
  </si>
  <si>
    <t>F00100002914</t>
  </si>
  <si>
    <t>F00100002915</t>
  </si>
  <si>
    <t>MIRATEL SOCIEDAD COMERCIAL</t>
  </si>
  <si>
    <t>P001-42010</t>
  </si>
  <si>
    <t>P001-42011</t>
  </si>
  <si>
    <t>P001-42012</t>
  </si>
  <si>
    <t>P001-42013</t>
  </si>
  <si>
    <t>P001-42014</t>
  </si>
  <si>
    <t>P001-42015</t>
  </si>
  <si>
    <t>P001-42016</t>
  </si>
  <si>
    <t>P001-42017</t>
  </si>
  <si>
    <t>P001-42018</t>
  </si>
  <si>
    <t>P001-42019</t>
  </si>
  <si>
    <t>P001-42020</t>
  </si>
  <si>
    <t>P001-42021</t>
  </si>
  <si>
    <t>P001-42022</t>
  </si>
  <si>
    <t>P001-42023</t>
  </si>
  <si>
    <t>P001-42024</t>
  </si>
  <si>
    <t>P001-42025</t>
  </si>
  <si>
    <t>P001-42026</t>
  </si>
  <si>
    <t>P001-42027</t>
  </si>
  <si>
    <t>P001-42028</t>
  </si>
  <si>
    <t>P001-42029</t>
  </si>
  <si>
    <t>P002-31639</t>
  </si>
  <si>
    <t>P002-31640</t>
  </si>
  <si>
    <t>P002-31641</t>
  </si>
  <si>
    <t>P002-31642</t>
  </si>
  <si>
    <t>P002-31643</t>
  </si>
  <si>
    <t>P002-31644</t>
  </si>
  <si>
    <t>P002-31645</t>
  </si>
  <si>
    <t>P002-31646</t>
  </si>
  <si>
    <t>P002-31647</t>
  </si>
  <si>
    <t>P002-31648</t>
  </si>
  <si>
    <t>P002-31649</t>
  </si>
  <si>
    <t>P002-31650</t>
  </si>
  <si>
    <t>P002-31651</t>
  </si>
  <si>
    <t>P002-31652</t>
  </si>
  <si>
    <t>P002-31653</t>
  </si>
  <si>
    <t>P002-31654</t>
  </si>
  <si>
    <t>P001-42030</t>
  </si>
  <si>
    <t xml:space="preserve">COFESEG      </t>
  </si>
  <si>
    <t>ROBERTO VIDAL</t>
  </si>
  <si>
    <t>VILCHEZ TARRILLO HERIBERTO</t>
  </si>
  <si>
    <t xml:space="preserve">ARSENIO MEJIA      </t>
  </si>
  <si>
    <t>GARCIA PEÑA MARIA MARGARITA</t>
  </si>
  <si>
    <t xml:space="preserve">RACHO RACHO MARIA VICENTA </t>
  </si>
  <si>
    <t xml:space="preserve">SONAPO    </t>
  </si>
  <si>
    <t>VELA RAMIREZ HITLER</t>
  </si>
  <si>
    <t>SANTA CRUZ CORONEL JUAN</t>
  </si>
  <si>
    <t xml:space="preserve">SALAZAR PISCOYA FELICITA VICTORIA </t>
  </si>
  <si>
    <t xml:space="preserve">VENTAS DEL DIA  </t>
  </si>
  <si>
    <t xml:space="preserve">JEINER HERRERA   </t>
  </si>
  <si>
    <t xml:space="preserve">JAVIER SALAZAR                 </t>
  </si>
  <si>
    <t>COMBUSTIBLE CARRO ANGEL FORLAND</t>
  </si>
  <si>
    <t xml:space="preserve">CARNE DE CERDO DONALD   </t>
  </si>
  <si>
    <t>P001-42031</t>
  </si>
  <si>
    <t>P001-42032</t>
  </si>
  <si>
    <t>P001-42033</t>
  </si>
  <si>
    <t>P001-42034</t>
  </si>
  <si>
    <t>P001-42035</t>
  </si>
  <si>
    <t>P001-42036</t>
  </si>
  <si>
    <t>P001-42037</t>
  </si>
  <si>
    <t>P001-42038</t>
  </si>
  <si>
    <t>P001-42039</t>
  </si>
  <si>
    <t>COMPRA DE 38 FIERRO 5/8 *54.5+60 FIERRO 6MM *7.9</t>
  </si>
  <si>
    <t xml:space="preserve">COMPRA DE 1 DISCO - JUAN SALAZAR </t>
  </si>
  <si>
    <t xml:space="preserve">COMPRA DE 34 ARENA AMARILLA*38 DIA 01-02 MAYO </t>
  </si>
  <si>
    <t xml:space="preserve">CORREA JULCA SANTOS </t>
  </si>
  <si>
    <t>P001-42040</t>
  </si>
  <si>
    <t>P001-42041</t>
  </si>
  <si>
    <t>P001-42042</t>
  </si>
  <si>
    <t>P001-42043</t>
  </si>
  <si>
    <t xml:space="preserve">JUAN SALAZAR  SALAZAR  </t>
  </si>
  <si>
    <t xml:space="preserve">SR RUBER POMPA      </t>
  </si>
  <si>
    <t>P002-31655</t>
  </si>
  <si>
    <t>P002-31656</t>
  </si>
  <si>
    <t>P002-31657</t>
  </si>
  <si>
    <t>P002-31658</t>
  </si>
  <si>
    <t>P002-31659</t>
  </si>
  <si>
    <t>P002-31660</t>
  </si>
  <si>
    <t>P002-31661</t>
  </si>
  <si>
    <t>P002-31662</t>
  </si>
  <si>
    <t>P002-31663</t>
  </si>
  <si>
    <t>RUIZ SALAZAR ANDY D'NILSON</t>
  </si>
  <si>
    <t xml:space="preserve">JEINER HERRERA - FERRETERIA LA UNION P00100041983  </t>
  </si>
  <si>
    <t xml:space="preserve">JEINER HERRERA - FERRETERIA LA UNION P00100041964   </t>
  </si>
  <si>
    <t xml:space="preserve">VILCHEZ TARRILLO HERIBERTO P00200031645   </t>
  </si>
  <si>
    <t xml:space="preserve">JUAN SALAZAR  SALAZAR P00100041926    </t>
  </si>
  <si>
    <t xml:space="preserve">ROMEL VASQUEZ COPIA CEL. 979008723 P00200031564           </t>
  </si>
  <si>
    <t xml:space="preserve">VILCHEZ TARRILLO HERIBERTO P00200031588                  </t>
  </si>
  <si>
    <t xml:space="preserve">JEINER HERRERA - FERRETERIA LA UNION P00100042006  </t>
  </si>
  <si>
    <t xml:space="preserve">JULIAN VILLALOBOS        </t>
  </si>
  <si>
    <t xml:space="preserve">ALVARO    </t>
  </si>
  <si>
    <t xml:space="preserve">JHON ASTONITAS      </t>
  </si>
  <si>
    <t xml:space="preserve">LUCAS HERRERA   </t>
  </si>
  <si>
    <t xml:space="preserve">JORDIN FRUGO      </t>
  </si>
  <si>
    <t xml:space="preserve">ALEXANDER GAONA   </t>
  </si>
  <si>
    <t xml:space="preserve">DARWIN BARBOZA     </t>
  </si>
  <si>
    <t xml:space="preserve">PLATAFORMA 2DO LOCAL  </t>
  </si>
  <si>
    <t xml:space="preserve">MARCOS </t>
  </si>
  <si>
    <t>PLATAFORMA SEGUNDO LOCAL</t>
  </si>
  <si>
    <t>P001-42044</t>
  </si>
  <si>
    <t>P001-42045</t>
  </si>
  <si>
    <t xml:space="preserve">GRUPO CORPORATIVO HERRERA    </t>
  </si>
  <si>
    <t xml:space="preserve">ALMACEN /BALLENA </t>
  </si>
  <si>
    <t xml:space="preserve">DOMINGO 03-05-2026- CAJA H&amp;C </t>
  </si>
  <si>
    <t>P002-31664</t>
  </si>
  <si>
    <t>P002-31665</t>
  </si>
  <si>
    <t>P002-31666</t>
  </si>
  <si>
    <t>P002-31667</t>
  </si>
  <si>
    <t>P002-31668</t>
  </si>
  <si>
    <t>P002-31669</t>
  </si>
  <si>
    <t>P002-31670</t>
  </si>
  <si>
    <t>P002-31671</t>
  </si>
  <si>
    <t>P002-31672</t>
  </si>
  <si>
    <t>P002-31673</t>
  </si>
  <si>
    <t>P002-31674</t>
  </si>
  <si>
    <t>P002-31675</t>
  </si>
  <si>
    <t>P002-31676</t>
  </si>
  <si>
    <t>P002-31677</t>
  </si>
  <si>
    <t>P002-31678</t>
  </si>
  <si>
    <t>P002-31679</t>
  </si>
  <si>
    <t>P002-31680</t>
  </si>
  <si>
    <t>P002-31681</t>
  </si>
  <si>
    <t>P002-31682</t>
  </si>
  <si>
    <t>P001-42046</t>
  </si>
  <si>
    <t>DELGADO CENTURION LORENZO ROMULO</t>
  </si>
  <si>
    <t xml:space="preserve">HILDA </t>
  </si>
  <si>
    <t xml:space="preserve">TORRES FLORES JOSE ALDUBAR  </t>
  </si>
  <si>
    <t>GARCIA VILLALOBOS JERALDINE LUCINDA</t>
  </si>
  <si>
    <t>P002-31683</t>
  </si>
  <si>
    <t>P002-31684</t>
  </si>
  <si>
    <t>P002-31685</t>
  </si>
  <si>
    <t>P002-31686</t>
  </si>
  <si>
    <t>P002-31687</t>
  </si>
  <si>
    <t>P002-31688</t>
  </si>
  <si>
    <t>P001-42047</t>
  </si>
  <si>
    <t xml:space="preserve">DISTRIBUCIONES CALLAYUC S.A.C.   </t>
  </si>
  <si>
    <t>F00100002916</t>
  </si>
  <si>
    <t xml:space="preserve">ANULADO / JORDIN </t>
  </si>
  <si>
    <t>P001-42048</t>
  </si>
  <si>
    <t xml:space="preserve">CLIENTE DIEGO FERRE  </t>
  </si>
  <si>
    <t>P002-31689</t>
  </si>
  <si>
    <t>P002-31690</t>
  </si>
  <si>
    <t>P002-31691</t>
  </si>
  <si>
    <t>P002-31692</t>
  </si>
  <si>
    <t>P002-31693</t>
  </si>
  <si>
    <t>P002-31694</t>
  </si>
  <si>
    <t>P002-31695</t>
  </si>
  <si>
    <t>P002-31696</t>
  </si>
  <si>
    <t>P002-31697</t>
  </si>
  <si>
    <t>P002-31698</t>
  </si>
  <si>
    <t xml:space="preserve">DIAZ BARCO MAGDALENA  </t>
  </si>
  <si>
    <t xml:space="preserve">BAZAN VILELA RULLI </t>
  </si>
  <si>
    <t xml:space="preserve">JORDIN HERRERA- SEÑOR EDINSON      </t>
  </si>
  <si>
    <t>P002-31699</t>
  </si>
  <si>
    <t>P002-31700</t>
  </si>
  <si>
    <t>P002-31701</t>
  </si>
  <si>
    <t>P002-31702</t>
  </si>
  <si>
    <t>P002-31703</t>
  </si>
  <si>
    <t>P002-31704</t>
  </si>
  <si>
    <t xml:space="preserve">LUNES 04-05-2026- CAJA H&amp;C </t>
  </si>
  <si>
    <t>P001-42049</t>
  </si>
  <si>
    <t>P001-42050</t>
  </si>
  <si>
    <t>P001-42051</t>
  </si>
  <si>
    <t>P001-42052</t>
  </si>
  <si>
    <t>P001-42053</t>
  </si>
  <si>
    <t>P001-42054</t>
  </si>
  <si>
    <t>P001-42055</t>
  </si>
  <si>
    <t>P001-42056</t>
  </si>
  <si>
    <t>P001-42057</t>
  </si>
  <si>
    <t>P001-42058</t>
  </si>
  <si>
    <t>P001-42059</t>
  </si>
  <si>
    <t>P001-42060</t>
  </si>
  <si>
    <t>P001-42061</t>
  </si>
  <si>
    <t>P001-42062</t>
  </si>
  <si>
    <t>P001-42063</t>
  </si>
  <si>
    <t>P001-42064</t>
  </si>
  <si>
    <t>P001-42065</t>
  </si>
  <si>
    <t>P001-42066</t>
  </si>
  <si>
    <t>P001-42067</t>
  </si>
  <si>
    <t>P001-42068</t>
  </si>
  <si>
    <t>P001-42069</t>
  </si>
  <si>
    <t>P001-42070</t>
  </si>
  <si>
    <t>VENTAS Y SERVICIOS A &amp; G E.I.R.L</t>
  </si>
  <si>
    <t>F001-2917</t>
  </si>
  <si>
    <t>COMPRA DE 1 ARENA 45 Y 1 PIEDRA 65 / JH</t>
  </si>
  <si>
    <t xml:space="preserve">GUSTAVO  GUEVARA </t>
  </si>
  <si>
    <t>P001-42071</t>
  </si>
  <si>
    <t>P001-42072</t>
  </si>
  <si>
    <t>P001-42073</t>
  </si>
  <si>
    <t>RODRIGUEZ TANTARICO ISAIAS</t>
  </si>
  <si>
    <t xml:space="preserve">SANTA CRUZ PEREZ ROSA GRIMALDINA   </t>
  </si>
  <si>
    <t>MAESTRO VEGA</t>
  </si>
  <si>
    <t>RETETE FLORES JORGE LUIS</t>
  </si>
  <si>
    <t>P002-31705</t>
  </si>
  <si>
    <t>P002-31706</t>
  </si>
  <si>
    <t>P002-31707</t>
  </si>
  <si>
    <t>P002-31708</t>
  </si>
  <si>
    <t>P002-31709</t>
  </si>
  <si>
    <t>P002-31710</t>
  </si>
  <si>
    <t>P002-31711</t>
  </si>
  <si>
    <t>P002-31712</t>
  </si>
  <si>
    <t>P002-31713</t>
  </si>
  <si>
    <t>P002-31714</t>
  </si>
  <si>
    <t>P002-31715</t>
  </si>
  <si>
    <t>P002-31716</t>
  </si>
  <si>
    <t>P002-31717</t>
  </si>
  <si>
    <t>P002-31718</t>
  </si>
  <si>
    <t>P002-31719</t>
  </si>
  <si>
    <t>P002-31720</t>
  </si>
  <si>
    <t>P001-42074</t>
  </si>
  <si>
    <t>P002-31721</t>
  </si>
  <si>
    <t>P002-31722</t>
  </si>
  <si>
    <t>P002-31723</t>
  </si>
  <si>
    <t>P002-31724</t>
  </si>
  <si>
    <t>P002-31725</t>
  </si>
  <si>
    <t xml:space="preserve">WALTER - CASA BLANCA </t>
  </si>
  <si>
    <t xml:space="preserve">GIL SALAZAR NELLY                                                                                   </t>
  </si>
  <si>
    <t>BUSTAMANTE CASTILLO RENAN NARCISO</t>
  </si>
  <si>
    <t>GIL SALAZAR NELLY</t>
  </si>
  <si>
    <t>VASQUEZ IDROGO REINERIO</t>
  </si>
  <si>
    <t xml:space="preserve">BACA BURGA ANA YSABEL   </t>
  </si>
  <si>
    <t xml:space="preserve">WALTER - CASA BLANCA  </t>
  </si>
  <si>
    <t xml:space="preserve">CLIENTE VENTAS   </t>
  </si>
  <si>
    <t xml:space="preserve">GUSTAVO  GUEVARA P00200030660      </t>
  </si>
  <si>
    <t xml:space="preserve">GUSTAVO  GUEVARA P00200030483 </t>
  </si>
  <si>
    <t>GUSTAVO  GUEVARA P00200030504</t>
  </si>
  <si>
    <t xml:space="preserve">GUSTAVO  GUEVARA P00200030524  </t>
  </si>
  <si>
    <t xml:space="preserve">GUSTAVO  GUEVARA P00200030565   </t>
  </si>
  <si>
    <t xml:space="preserve">GUSTAVO  GUEVARA P00100040278   </t>
  </si>
  <si>
    <t xml:space="preserve">ARSENIO MEJIA P00200031643     </t>
  </si>
  <si>
    <t xml:space="preserve">ARSENIO MEJIA P00200031488 </t>
  </si>
  <si>
    <t>BAUTISTA CARRASCO ELMER -P00100041995</t>
  </si>
  <si>
    <t>COMBUSTIBLE MOTO ROJA NUEVA</t>
  </si>
  <si>
    <t xml:space="preserve">JEINER HERRERA        </t>
  </si>
  <si>
    <t xml:space="preserve">COMBUSTIBLE JBC   </t>
  </si>
  <si>
    <t xml:space="preserve">COMBUSTIBLE MAQUINA  </t>
  </si>
  <si>
    <t xml:space="preserve">ALMUERZO LUCAS  </t>
  </si>
  <si>
    <t>P001-42075</t>
  </si>
  <si>
    <t>P001-42076</t>
  </si>
  <si>
    <t>P001-42077</t>
  </si>
  <si>
    <t>P001-42078</t>
  </si>
  <si>
    <t xml:space="preserve">SERVICIOS GENERALES ADJ EIRL T00600005755  </t>
  </si>
  <si>
    <t xml:space="preserve">SERVICIOS GENERALES ADJ EIRL GL0200051652  </t>
  </si>
  <si>
    <t>P002-31726</t>
  </si>
  <si>
    <t>P002-31727</t>
  </si>
  <si>
    <t>P002-31728</t>
  </si>
  <si>
    <t xml:space="preserve">RETETE FLORES JORGE LUIS </t>
  </si>
  <si>
    <t>P001-42079</t>
  </si>
  <si>
    <t>P001-42080</t>
  </si>
  <si>
    <t>P001-42081</t>
  </si>
  <si>
    <t>VALDIVIEZO CORDOVA PILAR ESMERALDA -</t>
  </si>
  <si>
    <t xml:space="preserve">FERROCONSTRUCTORA JH SERVICIOS GENERALES </t>
  </si>
  <si>
    <t xml:space="preserve">INVERSIONES Y TRANSPORTE JH </t>
  </si>
  <si>
    <t xml:space="preserve">PASAJE NAYELY     </t>
  </si>
  <si>
    <t xml:space="preserve">MARTES 05-05-2026- CAJA H&amp;C </t>
  </si>
  <si>
    <t xml:space="preserve">COMPRA DE 3115 LADRILLO ESTANDAR 18 HUECOS *0.81 FORTES </t>
  </si>
  <si>
    <t>F001-2918</t>
  </si>
  <si>
    <t xml:space="preserve">CONSORCIO SINERGIA  </t>
  </si>
  <si>
    <t>F001-2919</t>
  </si>
  <si>
    <t>P001-42082</t>
  </si>
  <si>
    <t>P001-42083</t>
  </si>
  <si>
    <t>P001-42084</t>
  </si>
  <si>
    <t>P001-42085</t>
  </si>
  <si>
    <t>P001-42086</t>
  </si>
  <si>
    <t>P001-42087</t>
  </si>
  <si>
    <t>P001-42088</t>
  </si>
  <si>
    <t>P001-42089</t>
  </si>
  <si>
    <t>P001-42090</t>
  </si>
  <si>
    <t>P001-42091</t>
  </si>
  <si>
    <t>P001-42092</t>
  </si>
  <si>
    <t>P001-42093</t>
  </si>
  <si>
    <t>P001-42094</t>
  </si>
  <si>
    <t>P001-42095</t>
  </si>
  <si>
    <t>P001-42096</t>
  </si>
  <si>
    <t>P001-42097</t>
  </si>
  <si>
    <t>P001-42098</t>
  </si>
  <si>
    <t xml:space="preserve">CARLOS SILVA  </t>
  </si>
  <si>
    <t>RODRIGUEZ TANTARICO ISAIAS -</t>
  </si>
  <si>
    <t>P002-31729</t>
  </si>
  <si>
    <t>P002-31730</t>
  </si>
  <si>
    <t>P002-31731</t>
  </si>
  <si>
    <t>P002-31732</t>
  </si>
  <si>
    <t>P002-31733</t>
  </si>
  <si>
    <t>P002-31734</t>
  </si>
  <si>
    <t>P002-31735</t>
  </si>
  <si>
    <t>P002-31736</t>
  </si>
  <si>
    <t>P002-31737</t>
  </si>
  <si>
    <t>P002-31738</t>
  </si>
  <si>
    <t>P002-31739</t>
  </si>
  <si>
    <t>P002-31740</t>
  </si>
  <si>
    <t>P002-31741</t>
  </si>
  <si>
    <t>P002-31742</t>
  </si>
  <si>
    <t>P002-31743</t>
  </si>
  <si>
    <t>P002-31744</t>
  </si>
  <si>
    <t>P002-31745</t>
  </si>
  <si>
    <t>P002-31746</t>
  </si>
  <si>
    <t>CABRERA CORONEL VALENTIN</t>
  </si>
  <si>
    <t xml:space="preserve">COFESEG   </t>
  </si>
  <si>
    <t xml:space="preserve">JEINER HERRERA - PAPEL    </t>
  </si>
  <si>
    <t>P002-31747</t>
  </si>
  <si>
    <t>P002-31748</t>
  </si>
  <si>
    <t>P002-31749</t>
  </si>
  <si>
    <t>P002-31750</t>
  </si>
  <si>
    <t>P002-31751</t>
  </si>
  <si>
    <t xml:space="preserve">ALMUERZO ALVARO </t>
  </si>
  <si>
    <t>F001-2920</t>
  </si>
  <si>
    <t>P001-42099</t>
  </si>
  <si>
    <t>P001-42100</t>
  </si>
  <si>
    <t>P001-42101</t>
  </si>
  <si>
    <t>P001-42102</t>
  </si>
  <si>
    <t>P001-42103</t>
  </si>
  <si>
    <t>P001-42104</t>
  </si>
  <si>
    <t>P002-31752</t>
  </si>
  <si>
    <t>P002-31753</t>
  </si>
  <si>
    <t>P002-31754</t>
  </si>
  <si>
    <t>P002-31755</t>
  </si>
  <si>
    <t>HILDA</t>
  </si>
  <si>
    <t>COMBUSTIBLE CHEMOTO AZUL</t>
  </si>
  <si>
    <t>JEINER HERRERA - FERRETERIA LA UNION P00100042078</t>
  </si>
  <si>
    <t xml:space="preserve">FERROCONSTRUCTORA JH / ANULADA </t>
  </si>
  <si>
    <t xml:space="preserve">JORDIN HERRERA - PAPAS </t>
  </si>
  <si>
    <t xml:space="preserve">MIERCOLES 06-05-2026- CAJA H&amp;C </t>
  </si>
  <si>
    <t>P001-42105</t>
  </si>
  <si>
    <t>F001-2921</t>
  </si>
  <si>
    <t>F001-2922</t>
  </si>
  <si>
    <t>F001-2923</t>
  </si>
  <si>
    <t>F001-2924</t>
  </si>
  <si>
    <t>CARLOS CONDEMARIN INGENIEROS</t>
  </si>
  <si>
    <t xml:space="preserve">GRUPO PRIKA E.I.R.L.  </t>
  </si>
  <si>
    <t xml:space="preserve">KT-A CONSTRUCTORA S.A.C.                                                                            </t>
  </si>
  <si>
    <t>F001-2925</t>
  </si>
  <si>
    <t>F001-2926</t>
  </si>
  <si>
    <t xml:space="preserve">MERA MONTEZA MARIA JULISSA  </t>
  </si>
  <si>
    <t>F001-2927</t>
  </si>
  <si>
    <t>CONSTRUCTORA FRONTERIZA</t>
  </si>
  <si>
    <t>P001-42106</t>
  </si>
  <si>
    <t>P001-42107</t>
  </si>
  <si>
    <t>P001-42108</t>
  </si>
  <si>
    <t>P001-42109</t>
  </si>
  <si>
    <t>P001-42110</t>
  </si>
  <si>
    <t>P001-42111</t>
  </si>
  <si>
    <t>P001-42112</t>
  </si>
  <si>
    <t>P001-42113</t>
  </si>
  <si>
    <t>P001-42114</t>
  </si>
  <si>
    <t>P001-42115</t>
  </si>
  <si>
    <t>P001-42116</t>
  </si>
  <si>
    <t>P001-42117</t>
  </si>
  <si>
    <t>P001-42118</t>
  </si>
  <si>
    <t>P001-42119</t>
  </si>
  <si>
    <t>P002-31756</t>
  </si>
  <si>
    <t>P002-31757</t>
  </si>
  <si>
    <t>P002-31758</t>
  </si>
  <si>
    <t>P002-31759</t>
  </si>
  <si>
    <t>P002-31760</t>
  </si>
  <si>
    <t>P002-31761</t>
  </si>
  <si>
    <t>P002-31762</t>
  </si>
  <si>
    <t>P002-31763</t>
  </si>
  <si>
    <t xml:space="preserve">DE LA CRUZ MEZA LUIS ANTONIO </t>
  </si>
  <si>
    <t xml:space="preserve">COMBUSTIBLE PATO   </t>
  </si>
  <si>
    <t xml:space="preserve">COMBUSTIBLE MAQUINA    </t>
  </si>
  <si>
    <t>ALMUERZO ANGEL Y MODESTO</t>
  </si>
  <si>
    <t>P002-31764</t>
  </si>
  <si>
    <t>P002-31765</t>
  </si>
  <si>
    <t>P001-42120</t>
  </si>
  <si>
    <t>P001-42121</t>
  </si>
  <si>
    <t>P001-42122</t>
  </si>
  <si>
    <t>P001-42123</t>
  </si>
  <si>
    <t>COMPRA DE 1.5 PCHA*40+ 5 ARENILLA *20</t>
  </si>
  <si>
    <t xml:space="preserve">LLAJAS SIPION LUIS ALFREDO </t>
  </si>
  <si>
    <t xml:space="preserve">ALMUERZO LUCAS </t>
  </si>
  <si>
    <t>COMPRA DE 2000 BODOQUES 1500/500*0.5 + 2500 ARTESANAL PEQUEÑO 0.4</t>
  </si>
  <si>
    <t>P001-42124</t>
  </si>
  <si>
    <t>P001-42125</t>
  </si>
  <si>
    <t>P001-42126</t>
  </si>
  <si>
    <t>P002-31766</t>
  </si>
  <si>
    <t>P002-31767</t>
  </si>
  <si>
    <t>P002-31768</t>
  </si>
  <si>
    <t xml:space="preserve">COMPRA DE 10 ARENA AMARILLA+3 PIEDRA BASE +9 PIDRA CHANCADA/ PAMPAGRANDE </t>
  </si>
  <si>
    <t xml:space="preserve">ROMEL VASQUEZ - MARCOS   </t>
  </si>
  <si>
    <t>GRUPO CORPORATIVO HERRERA 3 KG CLAVO / 10 ALAMBRE 4.3</t>
  </si>
  <si>
    <t xml:space="preserve">GRUPO CORPORATIVO HERRERA P00100042104      </t>
  </si>
  <si>
    <t xml:space="preserve">GRUPO CORPORATIVO HERRERA P00100042027  </t>
  </si>
  <si>
    <t xml:space="preserve">GRUPO CORPORATIVO HERRERA P00100042045   </t>
  </si>
  <si>
    <t xml:space="preserve">GRUPO CORPORATIVO HERRERA P00100042096    </t>
  </si>
  <si>
    <t xml:space="preserve">DEVOLUCION DE PRESTAMO JEINER HERRERA 25-04       </t>
  </si>
  <si>
    <t xml:space="preserve">JUEVES 07-05-2026- CAJA H&amp;C </t>
  </si>
  <si>
    <t>COMPRA DE 5 PIEDRA CHANCADA 1/2*60</t>
  </si>
  <si>
    <t xml:space="preserve">FERROCONNSTRUCTORA JH </t>
  </si>
  <si>
    <t>P001-42127</t>
  </si>
  <si>
    <t>P001-42128</t>
  </si>
  <si>
    <t>P001-42129</t>
  </si>
  <si>
    <t>P001-42130</t>
  </si>
  <si>
    <t>P001-42131</t>
  </si>
  <si>
    <t>P001-42132</t>
  </si>
  <si>
    <t>P001-42133</t>
  </si>
  <si>
    <t>P001-42134</t>
  </si>
  <si>
    <t>P001-42135</t>
  </si>
  <si>
    <t>P001-42136</t>
  </si>
  <si>
    <t>P001-42137</t>
  </si>
  <si>
    <t>P001-42138</t>
  </si>
  <si>
    <t>P001-42139</t>
  </si>
  <si>
    <t>P001-42140</t>
  </si>
  <si>
    <t>P001-42141</t>
  </si>
  <si>
    <t>P001-42142</t>
  </si>
  <si>
    <t>F00100002928</t>
  </si>
  <si>
    <t xml:space="preserve">JEINER HERRERA - FERRETERIA LA UNION  </t>
  </si>
  <si>
    <t>DIAZ YMAN JOSE ALBERTO</t>
  </si>
  <si>
    <t xml:space="preserve">JEINER HERRERA - FERRETERIA LA UNION     </t>
  </si>
  <si>
    <t>FERROCONSTRUCTORA JH SERVICIOS GENERALES</t>
  </si>
  <si>
    <t>OSORES QUIROZ JOSE ALONSO</t>
  </si>
  <si>
    <t xml:space="preserve">VILLANUEVA CORONEL JORGE   </t>
  </si>
  <si>
    <t>P002-31769</t>
  </si>
  <si>
    <t>P002-31770</t>
  </si>
  <si>
    <t>P002-31771</t>
  </si>
  <si>
    <t>P002-31772</t>
  </si>
  <si>
    <t>P002-31773</t>
  </si>
  <si>
    <t>P002-31774</t>
  </si>
  <si>
    <t>P002-31775</t>
  </si>
  <si>
    <t>P002-31776</t>
  </si>
  <si>
    <t>P002-31777</t>
  </si>
  <si>
    <t>P002-31778</t>
  </si>
  <si>
    <t>P002-31779</t>
  </si>
  <si>
    <t>P002-31780</t>
  </si>
  <si>
    <t>P002-31781</t>
  </si>
  <si>
    <t>P002-31782</t>
  </si>
  <si>
    <t>P002-31783</t>
  </si>
  <si>
    <t>P002-31784</t>
  </si>
  <si>
    <t xml:space="preserve">AZAÑERO      </t>
  </si>
  <si>
    <t xml:space="preserve">PLATAFORMA 2DO LOCAL             </t>
  </si>
  <si>
    <t>GUSTAVO  GUEVARA</t>
  </si>
  <si>
    <t xml:space="preserve">GARCIA CASTILLO MAXIMO P00200031709    </t>
  </si>
  <si>
    <t xml:space="preserve">ANGEL / ELIMINACION DE DESMONTE                   </t>
  </si>
  <si>
    <t>4 PIEDRA CHANCADA 1/2*60 /5 AFIRMADO*30</t>
  </si>
  <si>
    <t xml:space="preserve">COMPRA DE 35 M3 ARENA AMARILLA *38/ ALMACEN </t>
  </si>
  <si>
    <t>F00100002929</t>
  </si>
  <si>
    <t>CONSTRUCTORA E INMOBILIARIA VINCI</t>
  </si>
  <si>
    <t>F00100002930</t>
  </si>
  <si>
    <t>F00100002931</t>
  </si>
  <si>
    <t>P001-42143</t>
  </si>
  <si>
    <t>P001-42144</t>
  </si>
  <si>
    <t>P001-42145</t>
  </si>
  <si>
    <t>P001-42146</t>
  </si>
  <si>
    <t>P001-42147</t>
  </si>
  <si>
    <t>P001-42148</t>
  </si>
  <si>
    <t>P001-42149</t>
  </si>
  <si>
    <t xml:space="preserve">UCEDA CARRANZA ANTHONY    </t>
  </si>
  <si>
    <t>HAMILTON CUEVA -</t>
  </si>
  <si>
    <t>P002-31785</t>
  </si>
  <si>
    <t>P002-31786</t>
  </si>
  <si>
    <t>P002-31787</t>
  </si>
  <si>
    <t>P002-31788</t>
  </si>
  <si>
    <t>P002-31789</t>
  </si>
  <si>
    <t>P002-31790</t>
  </si>
  <si>
    <t>P002-31791</t>
  </si>
  <si>
    <t>P002-31792</t>
  </si>
  <si>
    <t>P002-31793</t>
  </si>
  <si>
    <t>P002-31794</t>
  </si>
  <si>
    <t>P002-31795</t>
  </si>
  <si>
    <t xml:space="preserve">COMBUSTIBLE MOTO ROJA - ALVARO  </t>
  </si>
  <si>
    <t>P001-42150</t>
  </si>
  <si>
    <t>P001-42151</t>
  </si>
  <si>
    <t>P002-31796</t>
  </si>
  <si>
    <t xml:space="preserve">inversiones y transportes jh </t>
  </si>
  <si>
    <t xml:space="preserve">VIERNES 8-05-2026- CAJA H&amp;C </t>
  </si>
  <si>
    <t>COMPRA DE 3 PIEDRA CHANCADA *60</t>
  </si>
  <si>
    <t>F00100002932</t>
  </si>
  <si>
    <t>F00100002933</t>
  </si>
  <si>
    <t>F00100002934</t>
  </si>
  <si>
    <t xml:space="preserve">CASA MALAMBO EIRL             </t>
  </si>
  <si>
    <t xml:space="preserve">CLUB DE CAZA Y PESCA DEPORTIVA Y TIRO AL VUELO EL HUARANGO  </t>
  </si>
  <si>
    <t>P001-42152</t>
  </si>
  <si>
    <t>P001-42153</t>
  </si>
  <si>
    <t>P001-42154</t>
  </si>
  <si>
    <t>P001-42155</t>
  </si>
  <si>
    <t>P001-42156</t>
  </si>
  <si>
    <t>P001-42157</t>
  </si>
  <si>
    <t>P001-42158</t>
  </si>
  <si>
    <t>P001-42159</t>
  </si>
  <si>
    <t>P001-42160</t>
  </si>
  <si>
    <t>P001-42161</t>
  </si>
  <si>
    <t>P001-42162</t>
  </si>
  <si>
    <t>P001-42163</t>
  </si>
  <si>
    <t>P001-42164</t>
  </si>
  <si>
    <t>P001-42165</t>
  </si>
  <si>
    <t>P001-42166</t>
  </si>
  <si>
    <t>P001-42167</t>
  </si>
  <si>
    <t>P001-42168</t>
  </si>
  <si>
    <t>P001-42169</t>
  </si>
  <si>
    <t xml:space="preserve">BARBOZA HERRERA JHONATTAN </t>
  </si>
  <si>
    <t xml:space="preserve">SANTA CRUZ PEREZ ROSA GRIMALDINA </t>
  </si>
  <si>
    <t xml:space="preserve">CABRERA CORONEL VALENTIN </t>
  </si>
  <si>
    <t>BAZAN CASTILLO DELIA OLGA</t>
  </si>
  <si>
    <t>P002-31797</t>
  </si>
  <si>
    <t>P001-42170</t>
  </si>
  <si>
    <t>P001-42171</t>
  </si>
  <si>
    <t>P001-42172</t>
  </si>
  <si>
    <t>GARCIA VILLALOBOS JERALDINE LUCINDA -</t>
  </si>
  <si>
    <t>P002-31798</t>
  </si>
  <si>
    <t>P002-31799</t>
  </si>
  <si>
    <t>P002-31800</t>
  </si>
  <si>
    <t>P002-31801</t>
  </si>
  <si>
    <t>P002-31802</t>
  </si>
  <si>
    <t>P002-31803</t>
  </si>
  <si>
    <t>P002-31804</t>
  </si>
  <si>
    <t>P002-31805</t>
  </si>
  <si>
    <t>P002-31806</t>
  </si>
  <si>
    <t>P002-31807</t>
  </si>
  <si>
    <t>P002-31808</t>
  </si>
  <si>
    <t>P002-31809</t>
  </si>
  <si>
    <t>P002-31810</t>
  </si>
  <si>
    <t>P002-31811</t>
  </si>
  <si>
    <t>P002-31812</t>
  </si>
  <si>
    <t>P002-31813</t>
  </si>
  <si>
    <t>P002-31814</t>
  </si>
  <si>
    <t>P002-31815</t>
  </si>
  <si>
    <t>P002-31816</t>
  </si>
  <si>
    <t>P002-31817</t>
  </si>
  <si>
    <t xml:space="preserve">FERROCONSTRUCTORA JH SERVICIOS GENERALES E.I.R.L. P00200030673 </t>
  </si>
  <si>
    <t xml:space="preserve">LLAJAS SIPION LUIS ALFREDO - 908594009 P00100042121     </t>
  </si>
  <si>
    <t xml:space="preserve">DEVOLUCION DE DEPOSITO ANTERIOR 2000- 1360 BCP Y 640 EFECTIVO - JH    </t>
  </si>
  <si>
    <t xml:space="preserve">CORPORACION MARVID SOCIEDAD ANONIMA CERRADA 000100235542   </t>
  </si>
  <si>
    <t xml:space="preserve">MODESTO TORRES - EXTRA ANTERIOR           </t>
  </si>
  <si>
    <t xml:space="preserve">COMBUSTIBLE FUSO      </t>
  </si>
  <si>
    <t xml:space="preserve">VIVIAN  </t>
  </si>
  <si>
    <t>JEINER HERRERA</t>
  </si>
  <si>
    <t xml:space="preserve">AZAÑERO     </t>
  </si>
  <si>
    <t xml:space="preserve">FREDY ALVA   </t>
  </si>
  <si>
    <t>COMPRA DE 35 AFIRMADO *25</t>
  </si>
  <si>
    <t>COMPRA DE 17 ARENILLA *34</t>
  </si>
  <si>
    <t xml:space="preserve">COMPRA DE 25 M3 PIEDRA CHANCADA 1/2/ IAN ASENJO </t>
  </si>
  <si>
    <t>P001-42173</t>
  </si>
  <si>
    <t>P001-42174</t>
  </si>
  <si>
    <t>P001-42175</t>
  </si>
  <si>
    <t>P001-42176</t>
  </si>
  <si>
    <t>P001-42177</t>
  </si>
  <si>
    <t>P001-42178</t>
  </si>
  <si>
    <t>P001-42179</t>
  </si>
  <si>
    <t>P001-42180</t>
  </si>
  <si>
    <t>P001-42181</t>
  </si>
  <si>
    <t>P001-42182</t>
  </si>
  <si>
    <t>P001-42183</t>
  </si>
  <si>
    <t xml:space="preserve">RIOJA MONTALVO EDWIN HARRY </t>
  </si>
  <si>
    <t xml:space="preserve">JUAN SALAZAR  SALAZAR    </t>
  </si>
  <si>
    <t>P002-31818</t>
  </si>
  <si>
    <t>P002-31819</t>
  </si>
  <si>
    <t>P002-31820</t>
  </si>
  <si>
    <t xml:space="preserve">JEINER HERRERA    </t>
  </si>
  <si>
    <t xml:space="preserve">JUAN SALAZAR  SALAZAR P00100042037 </t>
  </si>
  <si>
    <t xml:space="preserve">PASAJE CAMILA        </t>
  </si>
  <si>
    <t>F00100002935</t>
  </si>
  <si>
    <t xml:space="preserve">RODRIGUEZ BUSTAMANTE ROBERTO CARLOS    </t>
  </si>
  <si>
    <t>P002-31821</t>
  </si>
  <si>
    <t>P002-31822</t>
  </si>
  <si>
    <t xml:space="preserve">DEVOLUCION DE DEPOSITO WALTER TELLO - JORDIN          </t>
  </si>
  <si>
    <t xml:space="preserve">SABADO 09-05-2026- CAJA H&amp;C </t>
  </si>
  <si>
    <t>P001-42184</t>
  </si>
  <si>
    <t>P001-42185</t>
  </si>
  <si>
    <t>P001-42186</t>
  </si>
  <si>
    <t>P001-42187</t>
  </si>
  <si>
    <t>P001-42188</t>
  </si>
  <si>
    <t>P001-42189</t>
  </si>
  <si>
    <t>P001-42190</t>
  </si>
  <si>
    <t>P001-42191</t>
  </si>
  <si>
    <t>P001-42192</t>
  </si>
  <si>
    <t>P001-42193</t>
  </si>
  <si>
    <t>P001-42194</t>
  </si>
  <si>
    <t>P001-42195</t>
  </si>
  <si>
    <t>P001-42196</t>
  </si>
  <si>
    <t>P001-42197</t>
  </si>
  <si>
    <t xml:space="preserve">UCEDA CARRANZA ANTHONY </t>
  </si>
  <si>
    <t xml:space="preserve">VENTAS DEL DIA   </t>
  </si>
  <si>
    <t>UCEDA CARRANZA ANTHONY</t>
  </si>
  <si>
    <t>LLUEN SECLEN JUAN FRANCISCO</t>
  </si>
  <si>
    <t>P002-31823</t>
  </si>
  <si>
    <t>P002-31824</t>
  </si>
  <si>
    <t>P002-31825</t>
  </si>
  <si>
    <t>P002-31826</t>
  </si>
  <si>
    <t>P002-31827</t>
  </si>
  <si>
    <t>P002-31828</t>
  </si>
  <si>
    <t>P002-31829</t>
  </si>
  <si>
    <t>P002-31830</t>
  </si>
  <si>
    <t>P002-31831</t>
  </si>
  <si>
    <t>P002-31832</t>
  </si>
  <si>
    <t>P002-31833</t>
  </si>
  <si>
    <t>P002-31834</t>
  </si>
  <si>
    <t>P002-31835</t>
  </si>
  <si>
    <t>P002-31836</t>
  </si>
  <si>
    <t>MOORE BARRANTES JULIA</t>
  </si>
  <si>
    <t xml:space="preserve">MIRIAM SALAZAR   </t>
  </si>
  <si>
    <t xml:space="preserve">AZAÑERO       </t>
  </si>
  <si>
    <t xml:space="preserve">DIAZ BARCO MAGDALENA P00200031805  </t>
  </si>
  <si>
    <t xml:space="preserve">DIAZ BARCO MAGDALENA P00200031546    </t>
  </si>
  <si>
    <t xml:space="preserve">DIAZ BARCO MAGDALENA P00200031693    </t>
  </si>
  <si>
    <t xml:space="preserve">DIAZ BARCO MAGDALENA P00200031705     </t>
  </si>
  <si>
    <t xml:space="preserve">INSTALACION DEL TECLE 08/05 </t>
  </si>
  <si>
    <t xml:space="preserve">ALMUERZO ADELIO     </t>
  </si>
  <si>
    <t xml:space="preserve">ALMUERZO - LUCAS - GAONA - DARWIN </t>
  </si>
  <si>
    <t xml:space="preserve">COMBUSTIBLE MAQUINA        </t>
  </si>
  <si>
    <t>COMBUSTIBLE FORLAND</t>
  </si>
  <si>
    <t>UCEDA -DEVOLUCION DE MEDIO METRO DE PIEDRA BASE</t>
  </si>
  <si>
    <t xml:space="preserve">FERNANDEZ CABRERA IRMA </t>
  </si>
  <si>
    <t>P001-42198</t>
  </si>
  <si>
    <t>P002-31837</t>
  </si>
  <si>
    <t xml:space="preserve">ROMEL VASQUEZ   </t>
  </si>
  <si>
    <t xml:space="preserve">ROMEL VASQUEZ - JEINER </t>
  </si>
  <si>
    <t>P001-42199</t>
  </si>
  <si>
    <t>P001-42200</t>
  </si>
  <si>
    <t>P001-42201</t>
  </si>
  <si>
    <t>P001-42202</t>
  </si>
  <si>
    <t>P001-42203</t>
  </si>
  <si>
    <t>P001-42204</t>
  </si>
  <si>
    <t>P001-42205</t>
  </si>
  <si>
    <t>P001-42206</t>
  </si>
  <si>
    <t>P001-42207</t>
  </si>
  <si>
    <t>P001-42208</t>
  </si>
  <si>
    <t>GUEVARA CORONEL HAMERSO</t>
  </si>
  <si>
    <t>P002-31838</t>
  </si>
  <si>
    <t xml:space="preserve">FREDY ALVA P00200031811 </t>
  </si>
  <si>
    <t xml:space="preserve">JEINER HERRERA P00200031818  </t>
  </si>
  <si>
    <t xml:space="preserve">FREDY ALVA P00200031797     </t>
  </si>
  <si>
    <t>FLETES CARRO JORDIN HERRERA - FORLAND</t>
  </si>
  <si>
    <t>P001-42209</t>
  </si>
  <si>
    <t xml:space="preserve">GAONA </t>
  </si>
  <si>
    <t>P001-42210</t>
  </si>
  <si>
    <t>COMPRA DE 11 BIDONES DE AGUA DEL 27 ABRIL AL 9 MAYO</t>
  </si>
  <si>
    <t xml:space="preserve">SE DIO VUELTO A SR YOVERA - VUELTO          </t>
  </si>
  <si>
    <t xml:space="preserve">LUNES 11-05-2026- CAJA H&amp;C </t>
  </si>
  <si>
    <t>ALFARERO PROYECTO INMOBILIARIOS &amp; CONSTRUCCION E.I.R.L.</t>
  </si>
  <si>
    <t>F00100002937</t>
  </si>
  <si>
    <t>F00100002938</t>
  </si>
  <si>
    <t>F00100002939</t>
  </si>
  <si>
    <t xml:space="preserve">DE LA CRUZ MEZA LUIS ANTONIO   </t>
  </si>
  <si>
    <t>P001-42211</t>
  </si>
  <si>
    <t>P001-42212</t>
  </si>
  <si>
    <t>P001-42213</t>
  </si>
  <si>
    <t>P001-42214</t>
  </si>
  <si>
    <t>P001-42215</t>
  </si>
  <si>
    <t>P001-42216</t>
  </si>
  <si>
    <t>P001-42217</t>
  </si>
  <si>
    <t>P001-42218</t>
  </si>
  <si>
    <t>P001-42219</t>
  </si>
  <si>
    <t>P001-42220</t>
  </si>
  <si>
    <t>P001-42221</t>
  </si>
  <si>
    <t>P001-42222</t>
  </si>
  <si>
    <t>P001-42223</t>
  </si>
  <si>
    <t>P001-42224</t>
  </si>
  <si>
    <t>P001-42225</t>
  </si>
  <si>
    <t>P001-42226</t>
  </si>
  <si>
    <t>P001-42227</t>
  </si>
  <si>
    <t>P001-42228</t>
  </si>
  <si>
    <t xml:space="preserve">VASQUEZ VENTURA HUGO FRANKLIN </t>
  </si>
  <si>
    <t xml:space="preserve">VENTAS DEL DIA      </t>
  </si>
  <si>
    <t>CARRASCO SANCHEZ JOSE ADAN</t>
  </si>
  <si>
    <t>P002-31839</t>
  </si>
  <si>
    <t xml:space="preserve">RUIZ SALAZAR ANDY D'NILSON    </t>
  </si>
  <si>
    <t>P002-31840</t>
  </si>
  <si>
    <t>P002-31841</t>
  </si>
  <si>
    <t>P002-31842</t>
  </si>
  <si>
    <t>P002-31843</t>
  </si>
  <si>
    <t>P002-31844</t>
  </si>
  <si>
    <t>P002-31845</t>
  </si>
  <si>
    <t>P002-31846</t>
  </si>
  <si>
    <t>P002-31847</t>
  </si>
  <si>
    <t xml:space="preserve">FREDY ALVA  </t>
  </si>
  <si>
    <t xml:space="preserve">WALTER - CASA BLANCA     </t>
  </si>
  <si>
    <t xml:space="preserve">FLETES PROMAT       </t>
  </si>
  <si>
    <t xml:space="preserve">PASAJE DARWIN   </t>
  </si>
  <si>
    <t xml:space="preserve">PERSONAL DOMINGO </t>
  </si>
  <si>
    <t>P001-42229</t>
  </si>
  <si>
    <t>P001-42230</t>
  </si>
  <si>
    <t>P001-42231</t>
  </si>
  <si>
    <t>P001-42232</t>
  </si>
  <si>
    <t>P001-42233</t>
  </si>
  <si>
    <t>SANCHEZ SANCHEZ JOSE</t>
  </si>
  <si>
    <t>P001-42234</t>
  </si>
  <si>
    <t>P001-42235</t>
  </si>
  <si>
    <t>P001-42236</t>
  </si>
  <si>
    <t>P001-42237</t>
  </si>
  <si>
    <t>P001-42238</t>
  </si>
  <si>
    <t>P001-42239</t>
  </si>
  <si>
    <t>P001-42240</t>
  </si>
  <si>
    <t>P001-42241</t>
  </si>
  <si>
    <t>P001-42242</t>
  </si>
  <si>
    <t>ANGEL MORENO-TRABAJADOR</t>
  </si>
  <si>
    <t>P002-31848</t>
  </si>
  <si>
    <t>P002-31849</t>
  </si>
  <si>
    <t>P002-31850</t>
  </si>
  <si>
    <t>P002-31851</t>
  </si>
  <si>
    <t>P002-31852</t>
  </si>
  <si>
    <t>P002-31853</t>
  </si>
  <si>
    <t>P002-31854</t>
  </si>
  <si>
    <t>P002-31855</t>
  </si>
  <si>
    <t>P002-31856</t>
  </si>
  <si>
    <t>P002-31857</t>
  </si>
  <si>
    <t>P002-31858</t>
  </si>
  <si>
    <t xml:space="preserve">ELIAS MATTOS               </t>
  </si>
  <si>
    <t>CORPORACION HERRERA S.A.C.</t>
  </si>
  <si>
    <t xml:space="preserve">COMPRA DE 35 ARENA AMARILLA / ALMACEN </t>
  </si>
  <si>
    <t xml:space="preserve">MARTES 12-05-2026- CAJA H&amp;C </t>
  </si>
  <si>
    <t>P001-42243</t>
  </si>
  <si>
    <t>COMPRA DE 1 ROLLO ALAMBRE 16 *3.5</t>
  </si>
  <si>
    <t>COMPRA DE 5 ARENA *48+5 P CHANCADA*68</t>
  </si>
  <si>
    <t>F001-2940</t>
  </si>
  <si>
    <t>F001-2941</t>
  </si>
  <si>
    <t>F001-2942</t>
  </si>
  <si>
    <t>CONSTRUCTORA E INMOBILIARIA VINCI S.A.C.</t>
  </si>
  <si>
    <t>P001-42244</t>
  </si>
  <si>
    <t>P001-42245</t>
  </si>
  <si>
    <t>P001-42246</t>
  </si>
  <si>
    <t>P001-42247</t>
  </si>
  <si>
    <t>P001-42248</t>
  </si>
  <si>
    <t>P001-42249</t>
  </si>
  <si>
    <t>P001-42250</t>
  </si>
  <si>
    <t>P001-42251</t>
  </si>
  <si>
    <t>P001-42252</t>
  </si>
  <si>
    <t>P001-42253</t>
  </si>
  <si>
    <t>P001-42254</t>
  </si>
  <si>
    <t>P001-42255</t>
  </si>
  <si>
    <t>P001-42256</t>
  </si>
  <si>
    <t>P001-42257</t>
  </si>
  <si>
    <t>P001-42258</t>
  </si>
  <si>
    <t>P001-42259</t>
  </si>
  <si>
    <t>P001-42260</t>
  </si>
  <si>
    <t>VASQUEZ CALUA DAVID MOISES</t>
  </si>
  <si>
    <t xml:space="preserve">IGLESIA ADVENTISTA LAS LOMAS   </t>
  </si>
  <si>
    <t xml:space="preserve">RODRIGUEZ QUIROZ RICARDO ALDAHIR  </t>
  </si>
  <si>
    <t>P002-31859</t>
  </si>
  <si>
    <t>P002-31860</t>
  </si>
  <si>
    <t xml:space="preserve">FLETE JH      </t>
  </si>
  <si>
    <t xml:space="preserve">COMBUSTIBLE FORLAND                                                                                 </t>
  </si>
  <si>
    <t>P002-31861</t>
  </si>
  <si>
    <t>P002-31862</t>
  </si>
  <si>
    <t>P002-31863</t>
  </si>
  <si>
    <t>P002-31864</t>
  </si>
  <si>
    <t>P002-31865</t>
  </si>
  <si>
    <t>P002-31866</t>
  </si>
  <si>
    <t>P002-31867</t>
  </si>
  <si>
    <t>P002-31868</t>
  </si>
  <si>
    <t>P002-31869</t>
  </si>
  <si>
    <t>P002-31870</t>
  </si>
  <si>
    <t>LLAJAS SIPION LUIS ALFREDO</t>
  </si>
  <si>
    <t>TERRONES FERNANDEZ REYNA</t>
  </si>
  <si>
    <t xml:space="preserve">RUIZ SALAZAR KAREN  </t>
  </si>
  <si>
    <t>P001-42261</t>
  </si>
  <si>
    <t>P001-42262</t>
  </si>
  <si>
    <t>P001-42263</t>
  </si>
  <si>
    <t>P001-42264</t>
  </si>
  <si>
    <t>P001-42265</t>
  </si>
  <si>
    <t>P001-42266</t>
  </si>
  <si>
    <t>P001-42267</t>
  </si>
  <si>
    <t>P001-42268</t>
  </si>
  <si>
    <t>P001-42269</t>
  </si>
  <si>
    <t>P001-42270</t>
  </si>
  <si>
    <t>P001-42271</t>
  </si>
  <si>
    <t>P001-42272</t>
  </si>
  <si>
    <t>VILLA BOBADILLA CRISTHIAN</t>
  </si>
  <si>
    <t>RIOJA MONTALVO EDWIN</t>
  </si>
  <si>
    <t>P002-31871</t>
  </si>
  <si>
    <t>P002-31872</t>
  </si>
  <si>
    <t>P002-31873</t>
  </si>
  <si>
    <t>P002-31874</t>
  </si>
  <si>
    <t>P002-31875</t>
  </si>
  <si>
    <t>P002-31876</t>
  </si>
  <si>
    <t xml:space="preserve">GIL SALAZAR NELLY  </t>
  </si>
  <si>
    <t xml:space="preserve">PASAJE KAREN    </t>
  </si>
  <si>
    <t xml:space="preserve">EDU HERRERA                                                                                         </t>
  </si>
  <si>
    <t xml:space="preserve">SERVICIOS GENERALES ADJ EIRL 000100025145   </t>
  </si>
  <si>
    <t>P002-31877</t>
  </si>
  <si>
    <t xml:space="preserve">MIERCOLES 13-05-2026- CAJA H&amp;C </t>
  </si>
  <si>
    <t>P001-42273</t>
  </si>
  <si>
    <t xml:space="preserve">JIMENEZ YARANGO LESLY </t>
  </si>
  <si>
    <t>P001-42274</t>
  </si>
  <si>
    <t>P001-42275</t>
  </si>
  <si>
    <t>P001-42276</t>
  </si>
  <si>
    <t>P001-42277</t>
  </si>
  <si>
    <t>P001-42278</t>
  </si>
  <si>
    <t>P001-42279</t>
  </si>
  <si>
    <t>P001-42280</t>
  </si>
  <si>
    <t>P001-42281</t>
  </si>
  <si>
    <t>P001-42282</t>
  </si>
  <si>
    <t>P001-42283</t>
  </si>
  <si>
    <t>P001-42284</t>
  </si>
  <si>
    <t>P001-42285</t>
  </si>
  <si>
    <t>P001-42286</t>
  </si>
  <si>
    <t>P001-42287</t>
  </si>
  <si>
    <t>P001-42288</t>
  </si>
  <si>
    <t>P001-42289</t>
  </si>
  <si>
    <t>P001-42290</t>
  </si>
  <si>
    <t>ANDY</t>
  </si>
  <si>
    <t>OLANO HUAMAN MAXIMILA</t>
  </si>
  <si>
    <t xml:space="preserve">VASQUEZ VENTURA HUGO </t>
  </si>
  <si>
    <t>SALAZAR PISCOYA FELICITA</t>
  </si>
  <si>
    <t xml:space="preserve">KAREN  AQUINO  </t>
  </si>
  <si>
    <t>P002-31878</t>
  </si>
  <si>
    <t>P002-31879</t>
  </si>
  <si>
    <t>P002-31880</t>
  </si>
  <si>
    <t>P002-31881</t>
  </si>
  <si>
    <t>P002-31882</t>
  </si>
  <si>
    <t>P002-31883</t>
  </si>
  <si>
    <t>P002-31884</t>
  </si>
  <si>
    <t>P002-31885</t>
  </si>
  <si>
    <t>P002-31886</t>
  </si>
  <si>
    <t>P002-31887</t>
  </si>
  <si>
    <t>P002-31888</t>
  </si>
  <si>
    <t xml:space="preserve">GUSTAVO  GUEVARA  </t>
  </si>
  <si>
    <t xml:space="preserve">FREDY ALVA        </t>
  </si>
  <si>
    <t xml:space="preserve">FLETE CARLOS / DEVOLVIO JEINER    </t>
  </si>
  <si>
    <t xml:space="preserve">BODOQUES - TRABAJADORES   </t>
  </si>
  <si>
    <t xml:space="preserve">PEDRO MECANICO                                                                                      </t>
  </si>
  <si>
    <t>COMBUSTIBLE MOTO ROJA</t>
  </si>
  <si>
    <t xml:space="preserve">ALMUERZO ANGEL Y JAVIER     </t>
  </si>
  <si>
    <t xml:space="preserve">FLETES CARRO PLOMO 11 Y 12 </t>
  </si>
  <si>
    <t xml:space="preserve">ESTIBADORES LADRILLOS      </t>
  </si>
  <si>
    <t xml:space="preserve">COMPRA DE 10 FIERRO DE 3/4 *78.5- COFESEG </t>
  </si>
  <si>
    <t>F001-2943</t>
  </si>
  <si>
    <t xml:space="preserve">ZAMORA CIEZA WALTER    </t>
  </si>
  <si>
    <t>F001-2944</t>
  </si>
  <si>
    <t>P001-42291</t>
  </si>
  <si>
    <t>P001-42292</t>
  </si>
  <si>
    <t>P001-42293</t>
  </si>
  <si>
    <t>P001-42294</t>
  </si>
  <si>
    <t>P001-42295</t>
  </si>
  <si>
    <t>P001-42296</t>
  </si>
  <si>
    <t xml:space="preserve">TORRES FLORES JOSE ALDUBAR </t>
  </si>
  <si>
    <t>P002-31889</t>
  </si>
  <si>
    <t>P002-31890</t>
  </si>
  <si>
    <t>P002-31891</t>
  </si>
  <si>
    <t>P002-31892</t>
  </si>
  <si>
    <t>P002-31893</t>
  </si>
  <si>
    <t>P002-31894</t>
  </si>
  <si>
    <t>P002-31895</t>
  </si>
  <si>
    <t>P002-31896</t>
  </si>
  <si>
    <t>P002-31897</t>
  </si>
  <si>
    <t>P002-31898</t>
  </si>
  <si>
    <t>JULCA CARDOZO JOSE IVAN</t>
  </si>
  <si>
    <t xml:space="preserve">JUNIOR PUYEN GUEVARA </t>
  </si>
  <si>
    <t xml:space="preserve">CLIENTE VENTAS  / JORDIN </t>
  </si>
  <si>
    <t>ZARPAN YARLAQUE ARTURO</t>
  </si>
  <si>
    <t xml:space="preserve">ALMUERZO GUEVARA     </t>
  </si>
  <si>
    <t xml:space="preserve">COMBUSTIBLE FORLAND - ANGEL  </t>
  </si>
  <si>
    <t xml:space="preserve">ALMUERZO LUCAS   </t>
  </si>
  <si>
    <t xml:space="preserve">JEINER HERRERA - FERRETERIA LA UNION P00100042156 </t>
  </si>
  <si>
    <t xml:space="preserve">JEINER HERRERA - FERRETERIA LA UNION P00100042128  </t>
  </si>
  <si>
    <t xml:space="preserve">JEINER HERRERA - FERRETERIA LA UNION P00100042133    </t>
  </si>
  <si>
    <t xml:space="preserve">JEINER HERRERA - FERRETERIA LA UNION P00100042141 </t>
  </si>
  <si>
    <t xml:space="preserve">CHORIZO - JEINER      </t>
  </si>
  <si>
    <t>P001-42297</t>
  </si>
  <si>
    <t>P001-42298</t>
  </si>
  <si>
    <t xml:space="preserve">SEÑORAS ESTIBADORAS   </t>
  </si>
  <si>
    <t xml:space="preserve">JUEVES 14-05-2026- CAJA H&amp;C </t>
  </si>
  <si>
    <t>P001-42299</t>
  </si>
  <si>
    <t xml:space="preserve">COMPRA DE 2.5 PIEDRA CHANCADA 1/2*70 - LUCAS HERRERA </t>
  </si>
  <si>
    <t>SANCHEZ VASQUEZ ELVA MARINA</t>
  </si>
  <si>
    <t>B001-1827</t>
  </si>
  <si>
    <t>FEDECO CONTRATISTAS GENERALES</t>
  </si>
  <si>
    <t>F001-2945</t>
  </si>
  <si>
    <t xml:space="preserve">OLANO HUAMAN MAXIMILA </t>
  </si>
  <si>
    <t>P001-42300</t>
  </si>
  <si>
    <t>P001-42301</t>
  </si>
  <si>
    <t>P001-42302</t>
  </si>
  <si>
    <t>P001-42303</t>
  </si>
  <si>
    <t>P001-42304</t>
  </si>
  <si>
    <t>P001-42305</t>
  </si>
  <si>
    <t>P001-42306</t>
  </si>
  <si>
    <t>P001-42307</t>
  </si>
  <si>
    <t>P001-42308</t>
  </si>
  <si>
    <t>P001-42309</t>
  </si>
  <si>
    <t>P001-42310</t>
  </si>
  <si>
    <t>P001-42311</t>
  </si>
  <si>
    <t>P001-42312</t>
  </si>
  <si>
    <t>P001-42313</t>
  </si>
  <si>
    <t>P001-42314</t>
  </si>
  <si>
    <t>P001-42315</t>
  </si>
  <si>
    <t>P001-42316</t>
  </si>
  <si>
    <t>P001-42317</t>
  </si>
  <si>
    <t>P001-42318</t>
  </si>
  <si>
    <t>P001-42319</t>
  </si>
  <si>
    <t>P001-42320</t>
  </si>
  <si>
    <t>P001-42321</t>
  </si>
  <si>
    <t>P001-42322</t>
  </si>
  <si>
    <t>P001-42323</t>
  </si>
  <si>
    <t>BUENAÑO TAPIA MERY EMILIN</t>
  </si>
  <si>
    <t>P002-31899</t>
  </si>
  <si>
    <t>P002-31900</t>
  </si>
  <si>
    <t>P002-31901</t>
  </si>
  <si>
    <t>P002-31902</t>
  </si>
  <si>
    <t>P002-31903</t>
  </si>
  <si>
    <t>P002-31904</t>
  </si>
  <si>
    <t>P002-31905</t>
  </si>
  <si>
    <t>P002-31906</t>
  </si>
  <si>
    <t>P002-31907</t>
  </si>
  <si>
    <t>P002-31908</t>
  </si>
  <si>
    <t>P002-31909</t>
  </si>
  <si>
    <t>P002-31910</t>
  </si>
  <si>
    <t>P002-31911</t>
  </si>
  <si>
    <t>P002-31912</t>
  </si>
  <si>
    <t>P002-31913</t>
  </si>
  <si>
    <t>P002-31914</t>
  </si>
  <si>
    <t>P002-31915</t>
  </si>
  <si>
    <t>P002-31916</t>
  </si>
  <si>
    <t>P002-31917</t>
  </si>
  <si>
    <t>P002-31918</t>
  </si>
  <si>
    <t>P002-31919</t>
  </si>
  <si>
    <t>P002-31920</t>
  </si>
  <si>
    <t xml:space="preserve">CARLOS BARRIOS EBERSON  </t>
  </si>
  <si>
    <t xml:space="preserve">GUSTAVO  GUEVARA   </t>
  </si>
  <si>
    <t xml:space="preserve">UCEDA     </t>
  </si>
  <si>
    <t>RUIZ GONZALES RAYNULFO</t>
  </si>
  <si>
    <t>FERNANDEZ CABRERA IRMA</t>
  </si>
  <si>
    <t>PEDRO ARAMBULO</t>
  </si>
  <si>
    <t xml:space="preserve">BUENAÑO TAPIA MERY EMILIN </t>
  </si>
  <si>
    <t>FACUNDO GUERRERO KENNEDY</t>
  </si>
  <si>
    <t xml:space="preserve">SANTA CRUZ PEREZ ROSA </t>
  </si>
  <si>
    <t xml:space="preserve">KAREN  AQUINO P00100042275  </t>
  </si>
  <si>
    <t xml:space="preserve">KAREN  AQUINO P00200031222  </t>
  </si>
  <si>
    <t xml:space="preserve">KAREN  AQUINO P00200031628     </t>
  </si>
  <si>
    <t xml:space="preserve">EDWIN HERRERA P00200031791  </t>
  </si>
  <si>
    <t>IGLESIA ADVENTISTA LAS LOMAS P00100042253</t>
  </si>
  <si>
    <t xml:space="preserve">SR RUBER POMPA P00100042036          </t>
  </si>
  <si>
    <t xml:space="preserve">COMBUSTIBLE FUSO - LUCAS   </t>
  </si>
  <si>
    <t xml:space="preserve">COMBUSTIBLE ANGEL   </t>
  </si>
  <si>
    <t>FLETE CARRO PLOMO</t>
  </si>
  <si>
    <t xml:space="preserve">COMBUSTIBLE MONTACARGA     </t>
  </si>
  <si>
    <t xml:space="preserve">GASOLINA MOTO ROJA     </t>
  </si>
  <si>
    <t xml:space="preserve">ESTIBADORES DE LADRILLO       </t>
  </si>
  <si>
    <t>ALMUERZO ANGEL Y JAVIER</t>
  </si>
  <si>
    <t>P002-31921</t>
  </si>
  <si>
    <t xml:space="preserve">PROGRESO-PATAPO </t>
  </si>
  <si>
    <t xml:space="preserve">RODRIGUEZ BUSTAMANTE ROBERTO CARLOS </t>
  </si>
  <si>
    <t xml:space="preserve">DIFERENCIA DE LADRILLO JORDIN HERRERA - DEPOSITO A FAVOR DE JHON SANCHEZ 13-05                      </t>
  </si>
  <si>
    <t xml:space="preserve">JHON SANCHEZ CEL. 915950023 P00200031876    </t>
  </si>
  <si>
    <t xml:space="preserve">VUELTO PEDIDO DE TUMAN - ANGEL     </t>
  </si>
  <si>
    <t>COMPRA DE 1.5 PIEDRA CHANCADA - JEINER *60</t>
  </si>
  <si>
    <t>COMPRA DE 8 PIEDRA CHANCADA - ANAYELY *70</t>
  </si>
  <si>
    <t xml:space="preserve">MEDINA RAMIREZ GERSON  </t>
  </si>
  <si>
    <t>B001-1828</t>
  </si>
  <si>
    <t>F001-2946</t>
  </si>
  <si>
    <t>F001-2947</t>
  </si>
  <si>
    <t>F001-2948</t>
  </si>
  <si>
    <t>P001-42324</t>
  </si>
  <si>
    <t xml:space="preserve">VIERNES 15-05-2026- CAJA H&amp;C </t>
  </si>
  <si>
    <t>P001-42325</t>
  </si>
  <si>
    <t>P001-42326</t>
  </si>
  <si>
    <t>P001-42327</t>
  </si>
  <si>
    <t>P001-42328</t>
  </si>
  <si>
    <t>P001-42329</t>
  </si>
  <si>
    <t>P001-42330</t>
  </si>
  <si>
    <t>P001-42331</t>
  </si>
  <si>
    <t>P001-42332</t>
  </si>
  <si>
    <t>P001-42333</t>
  </si>
  <si>
    <t>P001-42334</t>
  </si>
  <si>
    <t>P001-42335</t>
  </si>
  <si>
    <t>P001-42336</t>
  </si>
  <si>
    <t>P001-42337</t>
  </si>
  <si>
    <t>P001-42338</t>
  </si>
  <si>
    <t>P001-42339</t>
  </si>
  <si>
    <t>P001-42340</t>
  </si>
  <si>
    <t>P001-42341</t>
  </si>
  <si>
    <t>VASQUEZ VENTURA HUGO FRANKLIN</t>
  </si>
  <si>
    <t>BARBOZA REAÑO SEGUNDO ALCOBIADES</t>
  </si>
  <si>
    <t>MUÑOZ QUINTANA WILMER</t>
  </si>
  <si>
    <t>RODRIGUEZ QUIROZ RICARDO ALDAHIR</t>
  </si>
  <si>
    <t>P002-31922</t>
  </si>
  <si>
    <t>P002-31923</t>
  </si>
  <si>
    <t>P002-31924</t>
  </si>
  <si>
    <t>P002-31925</t>
  </si>
  <si>
    <t>P002-31926</t>
  </si>
  <si>
    <t>P002-31927</t>
  </si>
  <si>
    <t>P002-31928</t>
  </si>
  <si>
    <t>P002-31929</t>
  </si>
  <si>
    <t>P002-31930</t>
  </si>
  <si>
    <t>P002-31931</t>
  </si>
  <si>
    <t>P002-31932</t>
  </si>
  <si>
    <t>P002-31933</t>
  </si>
  <si>
    <t>P002-31934</t>
  </si>
  <si>
    <t>P002-31935</t>
  </si>
  <si>
    <t>P002-31936</t>
  </si>
  <si>
    <t>P002-31937</t>
  </si>
  <si>
    <t>P002-31938</t>
  </si>
  <si>
    <t>P002-31939</t>
  </si>
  <si>
    <t>P002-31940</t>
  </si>
  <si>
    <t>P002-31941</t>
  </si>
  <si>
    <t>P002-31942</t>
  </si>
  <si>
    <t>P002-31943</t>
  </si>
  <si>
    <t>JUNIOR PUYEN GUEVARA</t>
  </si>
  <si>
    <t xml:space="preserve">VILCHEZ TARRILLO HERIBERTO  </t>
  </si>
  <si>
    <t xml:space="preserve">GUSTAVO  GUEVARA     </t>
  </si>
  <si>
    <t xml:space="preserve">COFESEG    </t>
  </si>
  <si>
    <t>INGRESO A LA CAJA - DEL LA CUENTA BCP</t>
  </si>
  <si>
    <t xml:space="preserve">PROGRESO-PATAPO P00200031632    </t>
  </si>
  <si>
    <t xml:space="preserve">ALMUERZO JULIAN Y DARWIN   </t>
  </si>
  <si>
    <t xml:space="preserve">ALMUERZO BETO - ALEXANDER    </t>
  </si>
  <si>
    <t xml:space="preserve">DEVOLUCION DE YAPE   </t>
  </si>
  <si>
    <t>COMPRA DE 35 PIEDRA CHANCADA 1/2*60</t>
  </si>
  <si>
    <t>COMPRA DE 5 PIEDRA CHANCADA 1/2*60-JEINER 14-05</t>
  </si>
  <si>
    <t>P001-42342</t>
  </si>
  <si>
    <t>P001-42343</t>
  </si>
  <si>
    <t>P001-42344</t>
  </si>
  <si>
    <t>P001-42345</t>
  </si>
  <si>
    <t>P001-42346</t>
  </si>
  <si>
    <t>P001-42347</t>
  </si>
  <si>
    <t>P001-42348</t>
  </si>
  <si>
    <t xml:space="preserve">CORONADO DIAZ ALEJANDRA KATIXA                                                        </t>
  </si>
  <si>
    <t>P001-42349</t>
  </si>
  <si>
    <t>FERNANDEZ MEGO JOSE LUIS</t>
  </si>
  <si>
    <t xml:space="preserve">DEYVI RIMARACHIN     </t>
  </si>
  <si>
    <t>P002-31944</t>
  </si>
  <si>
    <t>P002-31945</t>
  </si>
  <si>
    <t>P002-31946</t>
  </si>
  <si>
    <t>P002-31947</t>
  </si>
  <si>
    <t>P002-31948</t>
  </si>
  <si>
    <t xml:space="preserve">GUSTAVO  GUEVARA P00200031885          </t>
  </si>
  <si>
    <t xml:space="preserve">VUELTO DEL DIA SABADO - WILDER/YOVERA   </t>
  </si>
  <si>
    <t xml:space="preserve">GUSTAVO  GUEVARA P00100042153  </t>
  </si>
  <si>
    <t>GUSTAVO  GUEVARA P00200031819</t>
  </si>
  <si>
    <t xml:space="preserve">GUSTAVO  GUEVARA P00100042185    </t>
  </si>
  <si>
    <t xml:space="preserve">CASANOVA VALDIVIA WILDER - 997765917 P00100042051         </t>
  </si>
  <si>
    <t xml:space="preserve">GUSTAVO  GUEVARA P00200031884 </t>
  </si>
  <si>
    <t xml:space="preserve">GUSTAVO  GUEVARA P00200031770  </t>
  </si>
  <si>
    <t xml:space="preserve">TITO MECANICO- MONTACARGA       </t>
  </si>
  <si>
    <t xml:space="preserve">JAVIER SALAZAR     </t>
  </si>
  <si>
    <t xml:space="preserve">ANGEL ALMUERZO        </t>
  </si>
  <si>
    <t xml:space="preserve">FACTURAS GRUPO ESPN - JORDIN     </t>
  </si>
  <si>
    <t xml:space="preserve">COMPRA DE 1500 LADRILLO ARTESANAL BODOQUE *0.5 ALMACEN </t>
  </si>
  <si>
    <t xml:space="preserve">FLETES CARRO PLOMO JORDIN </t>
  </si>
  <si>
    <t xml:space="preserve">SABADO 16-05-2026- CAJA H&amp;C </t>
  </si>
  <si>
    <t>P001-42350</t>
  </si>
  <si>
    <t xml:space="preserve">JULCA BRAVO CELSO  </t>
  </si>
  <si>
    <t>F001-2949</t>
  </si>
  <si>
    <t xml:space="preserve">DIAZ BARCO MAGDALENA    </t>
  </si>
  <si>
    <t>FN0100000021</t>
  </si>
  <si>
    <t>P001-42351</t>
  </si>
  <si>
    <t>P001-42352</t>
  </si>
  <si>
    <t>P001-42353</t>
  </si>
  <si>
    <t>P001-42354</t>
  </si>
  <si>
    <t>P001-42355</t>
  </si>
  <si>
    <t>P001-42356</t>
  </si>
  <si>
    <t>P001-42357</t>
  </si>
  <si>
    <t>P001-42358</t>
  </si>
  <si>
    <t>P001-42359</t>
  </si>
  <si>
    <t>P001-42360</t>
  </si>
  <si>
    <t>P001-42361</t>
  </si>
  <si>
    <t>P001-42362</t>
  </si>
  <si>
    <t>P001-42363</t>
  </si>
  <si>
    <t>P001-42364</t>
  </si>
  <si>
    <t>P001-42365</t>
  </si>
  <si>
    <t>P001-42366</t>
  </si>
  <si>
    <t>P001-42367</t>
  </si>
  <si>
    <t>P001-42368</t>
  </si>
  <si>
    <t>P001-42369</t>
  </si>
  <si>
    <t>P001-42370</t>
  </si>
  <si>
    <t>GUEVARA CORONEL HAMERSON</t>
  </si>
  <si>
    <t>GUEVARA CUBAS HUMAR DUBAL</t>
  </si>
  <si>
    <t>SANTA CRUZ PEREZ ROSA GRIMALDINA</t>
  </si>
  <si>
    <t xml:space="preserve">GUSTAVO  GUEVARA    </t>
  </si>
  <si>
    <t xml:space="preserve">VASQUEZ CALUA DAVID MOISES </t>
  </si>
  <si>
    <t>P002-31949</t>
  </si>
  <si>
    <t xml:space="preserve">DIAZ BARCO MAGDALENA F00100002938  / NOTA DE CREDITO SE RESTO </t>
  </si>
  <si>
    <t>DIAZ BARCO MAGDALENA P00200031805</t>
  </si>
  <si>
    <t>VASQUEZ CALUA DAVID MOISES - 941663922 P00100042349</t>
  </si>
  <si>
    <t xml:space="preserve">DESAYUNO - ANGEL   </t>
  </si>
  <si>
    <t xml:space="preserve">GASOLINA MOTO - JEINER        </t>
  </si>
  <si>
    <t>P002-31950</t>
  </si>
  <si>
    <t>P002-31951</t>
  </si>
  <si>
    <t>P002-31952</t>
  </si>
  <si>
    <t>P002-31953</t>
  </si>
  <si>
    <t>P002-31954</t>
  </si>
  <si>
    <t>P002-31955</t>
  </si>
  <si>
    <t>P002-31956</t>
  </si>
  <si>
    <t>P002-31957</t>
  </si>
  <si>
    <t>P002-31958</t>
  </si>
  <si>
    <t>P002-31959</t>
  </si>
  <si>
    <t>P002-31960</t>
  </si>
  <si>
    <t>P002-31961</t>
  </si>
  <si>
    <t>P002-31962</t>
  </si>
  <si>
    <t>P002-31963</t>
  </si>
  <si>
    <t>P002-31964</t>
  </si>
  <si>
    <t>P002-31965</t>
  </si>
  <si>
    <t>P002-31966</t>
  </si>
  <si>
    <t>FERROCONSTRUCTORA JH SERVICIOS GENERALES E.I.R.L</t>
  </si>
  <si>
    <t xml:space="preserve">COMPRA DE 24 ARENA AMARILLA 20 OBRA / 4 ALMACEN EDE DIAZ </t>
  </si>
  <si>
    <t>P001-42371</t>
  </si>
  <si>
    <t>P001-42372</t>
  </si>
  <si>
    <t>P001-42373</t>
  </si>
  <si>
    <t>P001-42374</t>
  </si>
  <si>
    <t>P001-42375</t>
  </si>
  <si>
    <t>P001-42376</t>
  </si>
  <si>
    <t>P001-42377</t>
  </si>
  <si>
    <t>P002-31967</t>
  </si>
  <si>
    <t>P002-31968</t>
  </si>
  <si>
    <t>P002-31969</t>
  </si>
  <si>
    <t>P002-31970</t>
  </si>
  <si>
    <t xml:space="preserve">HILDA  </t>
  </si>
  <si>
    <t xml:space="preserve">KAREN  AQUINO </t>
  </si>
  <si>
    <t xml:space="preserve">COMPRA DE CEMENTO COFESA - TUMAN </t>
  </si>
  <si>
    <t xml:space="preserve">DEPOSITO A CUENTA HYC </t>
  </si>
  <si>
    <t>ORLANDO LADRILLO CONCRETO 650 LADRILLO CONCRETO *1.5</t>
  </si>
  <si>
    <t>P002-31971</t>
  </si>
  <si>
    <t xml:space="preserve">BAUTISTA CARRASCO ELMER - 996813790 P00100042281    </t>
  </si>
  <si>
    <t xml:space="preserve">BAUTISTA CARRASCO ELMER - 996813790 P00100042293   </t>
  </si>
  <si>
    <t xml:space="preserve">FLETES PROMAT                 </t>
  </si>
  <si>
    <t xml:space="preserve">FLETE LAS COLONIAS - VOLQUETE PLOMO           </t>
  </si>
  <si>
    <t xml:space="preserve">COMBUSTIBLE JBC  </t>
  </si>
  <si>
    <t xml:space="preserve">SOBRANTE DE CAJA SEMANA </t>
  </si>
  <si>
    <t xml:space="preserve">KAREN  AQUINO P00200031222   </t>
  </si>
  <si>
    <t xml:space="preserve">JIMENEZ YARANGO LESLY ANAYELY P00100042273       </t>
  </si>
  <si>
    <t xml:space="preserve">KAREN  AQUINO P00200031966  </t>
  </si>
  <si>
    <t xml:space="preserve">JEINER HERRERA - FERRETERIA LA UNION P00100042297    </t>
  </si>
  <si>
    <t xml:space="preserve">JEINER HERRERA - FERRETERIA LA UNION P00100042298  </t>
  </si>
  <si>
    <t xml:space="preserve">KAREN Y ANAYELY </t>
  </si>
  <si>
    <t xml:space="preserve">PERNO MONTACARGA - JORDIN  /OXICORTE Y LLANTERO                    </t>
  </si>
  <si>
    <t xml:space="preserve">DOMINGO 17-05-2026- CAJA H&amp;C </t>
  </si>
  <si>
    <t>P001-42378</t>
  </si>
  <si>
    <t>P001-42379</t>
  </si>
  <si>
    <t>P001-42380</t>
  </si>
  <si>
    <t>P001-42381</t>
  </si>
  <si>
    <t>P001-42382</t>
  </si>
  <si>
    <t>P001-42383</t>
  </si>
  <si>
    <t>P001-42384</t>
  </si>
  <si>
    <t>P001-42385</t>
  </si>
  <si>
    <t>P001-42386</t>
  </si>
  <si>
    <t>P001-42387</t>
  </si>
  <si>
    <t>P001-42388</t>
  </si>
  <si>
    <t>P001-42389</t>
  </si>
  <si>
    <t>P001-42390</t>
  </si>
  <si>
    <t>P001-42391</t>
  </si>
  <si>
    <t>P001-42392</t>
  </si>
  <si>
    <t>P001-42393</t>
  </si>
  <si>
    <t>P001-42394</t>
  </si>
  <si>
    <t>P001-42395</t>
  </si>
  <si>
    <t>P001-42396</t>
  </si>
  <si>
    <t>P001-42397</t>
  </si>
  <si>
    <t>P001-42398</t>
  </si>
  <si>
    <t>P001-42399</t>
  </si>
  <si>
    <t>P001-42400</t>
  </si>
  <si>
    <t>P001-42401</t>
  </si>
  <si>
    <t>P001-42402</t>
  </si>
  <si>
    <t>P001-42403</t>
  </si>
  <si>
    <t>P001-42404</t>
  </si>
  <si>
    <t>P001-42405</t>
  </si>
  <si>
    <t>P001-42406</t>
  </si>
  <si>
    <t>P001-42407</t>
  </si>
  <si>
    <t>P001-42408</t>
  </si>
  <si>
    <t>P001-42409</t>
  </si>
  <si>
    <t>P001-42410</t>
  </si>
  <si>
    <t>LLAJAS SIPION LUIS ALFREDO - 908594009 P00100042317</t>
  </si>
  <si>
    <t xml:space="preserve">JHON ASTONITAS    </t>
  </si>
  <si>
    <t xml:space="preserve">NAYELY    </t>
  </si>
  <si>
    <t xml:space="preserve">GASEOSA - CARGADORES DE CEMENTO  </t>
  </si>
  <si>
    <t xml:space="preserve">CHUQUILIN COLLANTES WILLIAM     </t>
  </si>
  <si>
    <t>P001-42411</t>
  </si>
  <si>
    <t xml:space="preserve">COMPRA DE 17 ARENA AMARILLA *38/ ALMACEN </t>
  </si>
  <si>
    <t>COMPRA DE 2 CONFITILLO *50</t>
  </si>
  <si>
    <t>B00100001829</t>
  </si>
  <si>
    <t>LUCERO MANAYAY SUSANA MARIA ELIZABETH -</t>
  </si>
  <si>
    <t>F00100002950</t>
  </si>
  <si>
    <t>F00100002951</t>
  </si>
  <si>
    <t>P001-42412</t>
  </si>
  <si>
    <t>P001-42413</t>
  </si>
  <si>
    <t>P001-42414</t>
  </si>
  <si>
    <t>P001-42415</t>
  </si>
  <si>
    <t>P001-42416</t>
  </si>
  <si>
    <t>P001-42417</t>
  </si>
  <si>
    <t>P001-42418</t>
  </si>
  <si>
    <t>P001-42419</t>
  </si>
  <si>
    <t>P001-42420</t>
  </si>
  <si>
    <t>P001-42421</t>
  </si>
  <si>
    <t>P001-42422</t>
  </si>
  <si>
    <t>P001-42423</t>
  </si>
  <si>
    <t>P001-42424</t>
  </si>
  <si>
    <t>P001-42425</t>
  </si>
  <si>
    <t>P001-42426</t>
  </si>
  <si>
    <t>P001-42427</t>
  </si>
  <si>
    <t>P001-42428</t>
  </si>
  <si>
    <t>P001-42429</t>
  </si>
  <si>
    <t>P001-42430</t>
  </si>
  <si>
    <t>P001-42431</t>
  </si>
  <si>
    <t>P001-42432</t>
  </si>
  <si>
    <t>P001-42433</t>
  </si>
  <si>
    <t>P002-31972</t>
  </si>
  <si>
    <t>P002-31973</t>
  </si>
  <si>
    <t>P002-31974</t>
  </si>
  <si>
    <t>P002-31975</t>
  </si>
  <si>
    <t>P002-31976</t>
  </si>
  <si>
    <t>P002-31977</t>
  </si>
  <si>
    <t>P002-31978</t>
  </si>
  <si>
    <t>P002-31979</t>
  </si>
  <si>
    <t>P002-31980</t>
  </si>
  <si>
    <t>P002-31981</t>
  </si>
  <si>
    <t>P002-31982</t>
  </si>
  <si>
    <t>P002-31983</t>
  </si>
  <si>
    <t>P002-31984</t>
  </si>
  <si>
    <t>P002-31985</t>
  </si>
  <si>
    <t>P002-31986</t>
  </si>
  <si>
    <t xml:space="preserve">ANULADA / WALTER CASA BLANCA </t>
  </si>
  <si>
    <t xml:space="preserve">CABANILLAS ZAMORA LENIN MICHEL  P00100039262   </t>
  </si>
  <si>
    <t xml:space="preserve">COMPRA DE ACEITE LUCAS        </t>
  </si>
  <si>
    <t xml:space="preserve">COMBUSTIBLE MOTO ROJA- DARWIN  </t>
  </si>
  <si>
    <t>FLETE WILMER</t>
  </si>
  <si>
    <t xml:space="preserve">COMBUSTIBLE FORLAND             </t>
  </si>
  <si>
    <t xml:space="preserve">GASEOSA ESTIBADORES </t>
  </si>
  <si>
    <t>BARBOZA HERRERA JHONATTAN</t>
  </si>
  <si>
    <t>CARLOS BARRIOS EBERSON</t>
  </si>
  <si>
    <t>P001-42434</t>
  </si>
  <si>
    <t>P001-42435</t>
  </si>
  <si>
    <t>ANDY -</t>
  </si>
  <si>
    <t xml:space="preserve">SALAZAR PISCOYA FELICITA VICTORIA   </t>
  </si>
  <si>
    <t>ATOCHE CORONADO FERNANDO RAMOS</t>
  </si>
  <si>
    <t>VASQUEZ CALUA DAVID MOISES -</t>
  </si>
  <si>
    <t>ROGER</t>
  </si>
  <si>
    <t>GARCIA RAMIREZ MARCOS</t>
  </si>
  <si>
    <t>OSORES QUIROZ JOSE ALONSO-</t>
  </si>
  <si>
    <t xml:space="preserve">CARLOS SILVA       </t>
  </si>
  <si>
    <t>COMPRA 3 ARENILLA *25</t>
  </si>
  <si>
    <t>COMPRA DE 4.5 PIEDRA BASE *50</t>
  </si>
  <si>
    <t xml:space="preserve">CORPORACION BIM </t>
  </si>
  <si>
    <t xml:space="preserve">TUBOS DE LUZ </t>
  </si>
  <si>
    <t>ANULADA /LUCERO MANAYAY S</t>
  </si>
  <si>
    <t>P001-42436</t>
  </si>
  <si>
    <t>P001-42437</t>
  </si>
  <si>
    <t>P002-31987</t>
  </si>
  <si>
    <t>P002-31988</t>
  </si>
  <si>
    <t>P002-31989</t>
  </si>
  <si>
    <t>P002-31990</t>
  </si>
  <si>
    <t>P002-31991</t>
  </si>
  <si>
    <t xml:space="preserve">COMPRA DE FILTROS </t>
  </si>
  <si>
    <t xml:space="preserve">FLETE WUEYNER - LEONCIO PRADO </t>
  </si>
  <si>
    <t xml:space="preserve">VOLQUETITO GRIS - FLETES        </t>
  </si>
  <si>
    <t xml:space="preserve">JEINER HERRERA   /PERSONAL </t>
  </si>
  <si>
    <t xml:space="preserve">MARTES 19-05-2026- CAJA H&amp;C </t>
  </si>
  <si>
    <t xml:space="preserve">LUNES 18-05-2026- CAJA H&amp;C </t>
  </si>
  <si>
    <t>COMPRA DE 6 VARILLAS DE 3/4 *78.5</t>
  </si>
  <si>
    <t>B00100001830</t>
  </si>
  <si>
    <t>SAMILLAN PAICO JUAN CARLOS</t>
  </si>
  <si>
    <t xml:space="preserve">EMPRESA AGROINDUSTRIAL POMALCA S.A.A. </t>
  </si>
  <si>
    <t>F00100002952</t>
  </si>
  <si>
    <t xml:space="preserve">KT-A CONSTRUCTORA S.A.C.            </t>
  </si>
  <si>
    <t>F00100002953</t>
  </si>
  <si>
    <t>P001-42438</t>
  </si>
  <si>
    <t>P001-42439</t>
  </si>
  <si>
    <t>P001-42440</t>
  </si>
  <si>
    <t>P001-42441</t>
  </si>
  <si>
    <t>P001-42442</t>
  </si>
  <si>
    <t>P001-42443</t>
  </si>
  <si>
    <t>P001-42444</t>
  </si>
  <si>
    <t>P001-42445</t>
  </si>
  <si>
    <t>P001-42446</t>
  </si>
  <si>
    <t>P001-42447</t>
  </si>
  <si>
    <t>P001-42448</t>
  </si>
  <si>
    <t>P001-42449</t>
  </si>
  <si>
    <t>P001-42450</t>
  </si>
  <si>
    <t>P001-42451</t>
  </si>
  <si>
    <t>P001-42452</t>
  </si>
  <si>
    <t>P001-42453</t>
  </si>
  <si>
    <t>P001-42454</t>
  </si>
  <si>
    <t xml:space="preserve">ALADINO TORRES   </t>
  </si>
  <si>
    <t>CHOMBA GUERRA LUIS ARMANDO</t>
  </si>
  <si>
    <t>P002-31992</t>
  </si>
  <si>
    <t>P002-31993</t>
  </si>
  <si>
    <t>P002-31994</t>
  </si>
  <si>
    <t>P002-31995</t>
  </si>
  <si>
    <t>P002-31996</t>
  </si>
  <si>
    <t>P002-31997</t>
  </si>
  <si>
    <t>P002-31998</t>
  </si>
  <si>
    <t>P002-31999</t>
  </si>
  <si>
    <t>P002-32000</t>
  </si>
  <si>
    <t>P002-32001</t>
  </si>
  <si>
    <t>P002-32002</t>
  </si>
  <si>
    <t>P002-32003</t>
  </si>
  <si>
    <t>P002-32004</t>
  </si>
  <si>
    <t>P002-32005</t>
  </si>
  <si>
    <t>P002-32006</t>
  </si>
  <si>
    <t>P002-32007</t>
  </si>
  <si>
    <t>P002-32008</t>
  </si>
  <si>
    <t>EMPRESA AGROINDUSTRIAL POMALCA S.A.A.</t>
  </si>
  <si>
    <t xml:space="preserve">JUNIOR PUYEN GUEVARA     </t>
  </si>
  <si>
    <t xml:space="preserve">CLIENTE VENTAS    </t>
  </si>
  <si>
    <t xml:space="preserve">BAUTISTA CARRASCO ELMER - 996813790 P00100042435 </t>
  </si>
  <si>
    <t>ROGER - 978103194 P00100042419</t>
  </si>
  <si>
    <t xml:space="preserve">ATOCHE CORONADO FERNANDO RAMOS - 979014723 P00100042429  </t>
  </si>
  <si>
    <t xml:space="preserve">JORDIN HERRERA / PAGO A PROVEEDORES      </t>
  </si>
  <si>
    <t xml:space="preserve">ESTIBADORES LADRILLO JLO    </t>
  </si>
  <si>
    <t xml:space="preserve">JHON ASTONITAS - DOMINGO TARDE                                                                      </t>
  </si>
  <si>
    <t>COMPRA DE 35 PIEDRA CHANCADA 1/2 *60</t>
  </si>
  <si>
    <t>P001-42455</t>
  </si>
  <si>
    <t>P001-42456</t>
  </si>
  <si>
    <t>P001-42457</t>
  </si>
  <si>
    <t>P001-42458</t>
  </si>
  <si>
    <t>P002-32009</t>
  </si>
  <si>
    <t>P002-32010</t>
  </si>
  <si>
    <t>P002-32011</t>
  </si>
  <si>
    <t xml:space="preserve">ARSENIO MEJIA   </t>
  </si>
  <si>
    <t xml:space="preserve">CUEVA PEREZ LUIS ALBERTO </t>
  </si>
  <si>
    <t xml:space="preserve">SALDO DE CAJA 19-05    </t>
  </si>
  <si>
    <t xml:space="preserve">BRENILDA SALAZAR - ALQUILER DE LOCAL </t>
  </si>
  <si>
    <t>P002-32012</t>
  </si>
  <si>
    <t xml:space="preserve">FLETE VOLQUETE DE JORDIN - CUCULI/RIMARACHIN     </t>
  </si>
  <si>
    <t>P001-42459</t>
  </si>
  <si>
    <t xml:space="preserve">MIERCOLES 20-05-2026- CAJA H&amp;C </t>
  </si>
  <si>
    <t xml:space="preserve">CORPORACION FERRETERA CRUZ S.A.C. </t>
  </si>
  <si>
    <t>COMPRA DE 4 FIERRO 3/4 * 78.5</t>
  </si>
  <si>
    <t>F00100002954</t>
  </si>
  <si>
    <t>CONSTRUCTORA FRONTERIZA SAN IGNACIO</t>
  </si>
  <si>
    <t>F00100002955</t>
  </si>
  <si>
    <t xml:space="preserve">SANCHEZ ROJAS ERNESTINA  </t>
  </si>
  <si>
    <t>P001-42460</t>
  </si>
  <si>
    <t xml:space="preserve">CHOMBA GUERRA LUIS ARMANDO </t>
  </si>
  <si>
    <t>P001-42461</t>
  </si>
  <si>
    <t>P001-42462</t>
  </si>
  <si>
    <t>P001-42463</t>
  </si>
  <si>
    <t>P001-42464</t>
  </si>
  <si>
    <t>P001-42465</t>
  </si>
  <si>
    <t>P001-42466</t>
  </si>
  <si>
    <t>P001-42467</t>
  </si>
  <si>
    <t>P001-42468</t>
  </si>
  <si>
    <t>P001-42469</t>
  </si>
  <si>
    <t>P001-42470</t>
  </si>
  <si>
    <t>P001-42471</t>
  </si>
  <si>
    <t>P001-42472</t>
  </si>
  <si>
    <t>P001-42473</t>
  </si>
  <si>
    <t>P001-42474</t>
  </si>
  <si>
    <t>P001-42475</t>
  </si>
  <si>
    <t>P001-42476</t>
  </si>
  <si>
    <t>P001-42477</t>
  </si>
  <si>
    <t>P001-42478</t>
  </si>
  <si>
    <t>ESTRELLA MONTEZA AYRTHON</t>
  </si>
  <si>
    <t>FLORES SILVA RICARDO</t>
  </si>
  <si>
    <t>BONILLA JULCA JESSICA</t>
  </si>
  <si>
    <t>YAJAHUANCA CORREA ALADINA</t>
  </si>
  <si>
    <t>P002-32013</t>
  </si>
  <si>
    <t>P002-32014</t>
  </si>
  <si>
    <t>P002-32015</t>
  </si>
  <si>
    <t>P002-32016</t>
  </si>
  <si>
    <t>P002-32017</t>
  </si>
  <si>
    <t>P002-32018</t>
  </si>
  <si>
    <t>P002-32019</t>
  </si>
  <si>
    <t>P002-32020</t>
  </si>
  <si>
    <t>P002-32021</t>
  </si>
  <si>
    <t>P002-32022</t>
  </si>
  <si>
    <t>P002-32023</t>
  </si>
  <si>
    <t>P002-32024</t>
  </si>
  <si>
    <t>P002-32025</t>
  </si>
  <si>
    <t>P002-32026</t>
  </si>
  <si>
    <t>P002-32027</t>
  </si>
  <si>
    <t xml:space="preserve">UCEDA </t>
  </si>
  <si>
    <t xml:space="preserve">ALMUERZO JULIAN Y JOSE   </t>
  </si>
  <si>
    <t xml:space="preserve">COMBUSTIBLE FORLAND     </t>
  </si>
  <si>
    <t>P002-32028</t>
  </si>
  <si>
    <t>P002-32029</t>
  </si>
  <si>
    <t>P002-32030</t>
  </si>
  <si>
    <t>COMPRA 1.5 ARENILLA*25+2 PIEDRA BASE *35</t>
  </si>
  <si>
    <t>P001-42479</t>
  </si>
  <si>
    <t>P001-42480</t>
  </si>
  <si>
    <t>P001-42481</t>
  </si>
  <si>
    <t>P001-42482</t>
  </si>
  <si>
    <t>P001-42483</t>
  </si>
  <si>
    <t>P001-42484</t>
  </si>
  <si>
    <t>P001-42485</t>
  </si>
  <si>
    <t>P001-42486</t>
  </si>
  <si>
    <t xml:space="preserve">PROGRESO-PATAPO    </t>
  </si>
  <si>
    <t>P002-32031</t>
  </si>
  <si>
    <t>P002-32032</t>
  </si>
  <si>
    <t>P002-32033</t>
  </si>
  <si>
    <t>P002-32034</t>
  </si>
  <si>
    <t xml:space="preserve">JUNIOR PUYEN GUEVARA             </t>
  </si>
  <si>
    <t xml:space="preserve">GUSTAVO  GUEVARA       </t>
  </si>
  <si>
    <t xml:space="preserve">PROGRESO-PATAPO P00100042437  </t>
  </si>
  <si>
    <t xml:space="preserve">PROGRESO-PATAPO P00100042480          </t>
  </si>
  <si>
    <t xml:space="preserve">PROGRESO-PATAPO P00200031921     </t>
  </si>
  <si>
    <t xml:space="preserve">VOLQUETE GRIS                                                                                       </t>
  </si>
  <si>
    <t>INVERSIONES Y TRANSPORTES 19-05</t>
  </si>
  <si>
    <t>INVERSIONES Y TRANSPORTES 20-05</t>
  </si>
  <si>
    <t xml:space="preserve">JUEVES 21-05-2026- CAJA H&amp;C </t>
  </si>
  <si>
    <t>COMPRA DE 17 ARENA AMARILLA*38/ ALAMCEN 20-05</t>
  </si>
  <si>
    <t xml:space="preserve">COMPRA DE 300 LADRILLO CONCRETO *1.5/ ALMACEN </t>
  </si>
  <si>
    <t>COMPRA DE 10 AFIRMADO / PAMPAGRANDE / RENAN BUSTAMANTE *40</t>
  </si>
  <si>
    <t>B00100001831</t>
  </si>
  <si>
    <t>ARMAS CARDENAS LENIN ELIASIB</t>
  </si>
  <si>
    <t>F00100002956</t>
  </si>
  <si>
    <t>F00100002957</t>
  </si>
  <si>
    <t xml:space="preserve">INVERSIONES EL GRAN PODEROSO CAUTIVO E.I.R.L./PLASTICO </t>
  </si>
  <si>
    <t>F00100002958</t>
  </si>
  <si>
    <t xml:space="preserve">CONSTRUCTORA E INMOBILIARIA VINCI S.A.C.  </t>
  </si>
  <si>
    <t>P001-42487</t>
  </si>
  <si>
    <t>P001-42488</t>
  </si>
  <si>
    <t>P001-42489</t>
  </si>
  <si>
    <t>P001-42490</t>
  </si>
  <si>
    <t>P001-42491</t>
  </si>
  <si>
    <t>P001-42492</t>
  </si>
  <si>
    <t>P001-42493</t>
  </si>
  <si>
    <t>P001-42494</t>
  </si>
  <si>
    <t>P001-42495</t>
  </si>
  <si>
    <t>P001-42496</t>
  </si>
  <si>
    <t>P001-42497</t>
  </si>
  <si>
    <t>P001-42498</t>
  </si>
  <si>
    <t>P001-42499</t>
  </si>
  <si>
    <t>P001-42500</t>
  </si>
  <si>
    <t>P001-42501</t>
  </si>
  <si>
    <t>P001-42502</t>
  </si>
  <si>
    <t>P001-42503</t>
  </si>
  <si>
    <t>P001-42504</t>
  </si>
  <si>
    <t xml:space="preserve">HERNANDEZ CRUZ CRISTIAN JOSE ANTONIO </t>
  </si>
  <si>
    <t>P002-32035</t>
  </si>
  <si>
    <t>P002-32036</t>
  </si>
  <si>
    <t>P002-32037</t>
  </si>
  <si>
    <t>P002-32038</t>
  </si>
  <si>
    <t>P002-32039</t>
  </si>
  <si>
    <t>P002-32040</t>
  </si>
  <si>
    <t>P002-32041</t>
  </si>
  <si>
    <t>P002-32042</t>
  </si>
  <si>
    <t>P002-32043</t>
  </si>
  <si>
    <t>P002-32044</t>
  </si>
  <si>
    <t>P002-32045</t>
  </si>
  <si>
    <t>P002-32046</t>
  </si>
  <si>
    <t>P002-32047</t>
  </si>
  <si>
    <t>P002-32048</t>
  </si>
  <si>
    <t>P002-32049</t>
  </si>
  <si>
    <t>P002-32050</t>
  </si>
  <si>
    <t xml:space="preserve">RODRIGUEZ BUSTAMANTE ROBERTO CARLOS  </t>
  </si>
  <si>
    <t xml:space="preserve">SAUCEDO TAFUR JOSE LEONILDO  </t>
  </si>
  <si>
    <t xml:space="preserve">BAUTISTA CARRASCO ELMER - 996813790 P00100042462   </t>
  </si>
  <si>
    <t xml:space="preserve">FLORES SILVA RICARDO P00100042477         </t>
  </si>
  <si>
    <t xml:space="preserve">CHOMBA GUERRA LUIS ARMANDO - 965076122 P00100042460 </t>
  </si>
  <si>
    <t xml:space="preserve">BAUTISTA CARRASCO ELMER - 996813790 P00100042453       </t>
  </si>
  <si>
    <t xml:space="preserve">COMBUSTIBLE MOTO ROJA       </t>
  </si>
  <si>
    <t xml:space="preserve">DEV. YAPE - NO HUBO ARENILLA               </t>
  </si>
  <si>
    <t xml:space="preserve">JORDIN HERRERA / SALIDA    </t>
  </si>
  <si>
    <t xml:space="preserve">KT-A CONSTRUCTORA S.A.C.  </t>
  </si>
  <si>
    <t>F00100002959</t>
  </si>
  <si>
    <t>F00100002960</t>
  </si>
  <si>
    <t xml:space="preserve">TRANSPORTES MARIA ANTONIETA / JHON SANCHEZ </t>
  </si>
  <si>
    <t>P001-42505</t>
  </si>
  <si>
    <t>P001-42506</t>
  </si>
  <si>
    <t>P001-42507</t>
  </si>
  <si>
    <t>P001-42508</t>
  </si>
  <si>
    <t>P001-42509</t>
  </si>
  <si>
    <t>P001-42510</t>
  </si>
  <si>
    <t>P001-42511</t>
  </si>
  <si>
    <t>P002-32051</t>
  </si>
  <si>
    <t>P002-32052</t>
  </si>
  <si>
    <t>P002-32053</t>
  </si>
  <si>
    <t>P002-32054</t>
  </si>
  <si>
    <t>P002-32055</t>
  </si>
  <si>
    <t>P002-32056</t>
  </si>
  <si>
    <t>P002-32057</t>
  </si>
  <si>
    <t>JOSE MEOÑO</t>
  </si>
  <si>
    <t xml:space="preserve">ARSENIO MEJIA P00200032025         </t>
  </si>
  <si>
    <t xml:space="preserve">ARSENIO MEJIA P00200032011    </t>
  </si>
  <si>
    <t xml:space="preserve">FLETE WILSON   </t>
  </si>
  <si>
    <t xml:space="preserve">INVERSIONES &amp; TRANSPORTES JH E.I.R.L.  </t>
  </si>
  <si>
    <t xml:space="preserve">PASAJE NAYELY              </t>
  </si>
  <si>
    <t xml:space="preserve">FLETES - VOLQUETE GRIS         </t>
  </si>
  <si>
    <t xml:space="preserve">DEVOLUCION A JORDIN / PAGO A PROVEEDORES </t>
  </si>
  <si>
    <t xml:space="preserve">VIERNES 22-05-2026- CAJA H&amp;C </t>
  </si>
  <si>
    <t>D. MEJIA CONSULTORES Y CONSTRUCTORA S.R.L.</t>
  </si>
  <si>
    <t>F00100002961</t>
  </si>
  <si>
    <t xml:space="preserve">KT-A CONSTRUCTORA S.A.C.             </t>
  </si>
  <si>
    <t>F00100002962</t>
  </si>
  <si>
    <t>P001-42512</t>
  </si>
  <si>
    <t>P001-42513</t>
  </si>
  <si>
    <t>P001-42514</t>
  </si>
  <si>
    <t>P001-42515</t>
  </si>
  <si>
    <t>P001-42516</t>
  </si>
  <si>
    <t>P001-42517</t>
  </si>
  <si>
    <t>P001-42518</t>
  </si>
  <si>
    <t>P001-42519</t>
  </si>
  <si>
    <t>P001-42520</t>
  </si>
  <si>
    <t>P001-42521</t>
  </si>
  <si>
    <t>P001-42522</t>
  </si>
  <si>
    <t>P001-42523</t>
  </si>
  <si>
    <t xml:space="preserve">ATOCHE CORONADO FERNANDO RAMOS </t>
  </si>
  <si>
    <t xml:space="preserve">TORRES FLORES JOSE ALDUBAR   </t>
  </si>
  <si>
    <t>P002-32058</t>
  </si>
  <si>
    <t>P002-32059</t>
  </si>
  <si>
    <t>P002-32060</t>
  </si>
  <si>
    <t>P002-32061</t>
  </si>
  <si>
    <t>P002-32062</t>
  </si>
  <si>
    <t>P002-32063</t>
  </si>
  <si>
    <t>P002-32064</t>
  </si>
  <si>
    <t>P002-32065</t>
  </si>
  <si>
    <t>P002-32066</t>
  </si>
  <si>
    <t>P002-32067</t>
  </si>
  <si>
    <t>P002-32068</t>
  </si>
  <si>
    <t>P002-32069</t>
  </si>
  <si>
    <t>P002-32070</t>
  </si>
  <si>
    <t>P002-32071</t>
  </si>
  <si>
    <t>P002-32072</t>
  </si>
  <si>
    <t xml:space="preserve">RUIZ SALAZAR ANDY D'NILSON     </t>
  </si>
  <si>
    <t xml:space="preserve">ARAMBULO BARRETO HECTOR FIDEL   </t>
  </si>
  <si>
    <t xml:space="preserve">KAREN  AQUINO         </t>
  </si>
  <si>
    <t xml:space="preserve">TERRONES FERNANDEZ REYNA   </t>
  </si>
  <si>
    <t xml:space="preserve">JUNIOR PUYEN GUEVARA       </t>
  </si>
  <si>
    <t xml:space="preserve">KAREN  AQUINO P00200031966   </t>
  </si>
  <si>
    <t xml:space="preserve">KAREN  AQUINO P00200032054     </t>
  </si>
  <si>
    <t xml:space="preserve">VILCHEZ TARRILLO HERIBERTO P00200032051  </t>
  </si>
  <si>
    <t>CHOMBA GUERRA LUIS ARMANDO - 965076122 P00100042503</t>
  </si>
  <si>
    <t>P002-32073</t>
  </si>
  <si>
    <t xml:space="preserve">LEGION ISRAEL S.A.C.   </t>
  </si>
  <si>
    <t xml:space="preserve">ESCOBILLONES /PAJARRAFIA Y TRAPEADOR </t>
  </si>
  <si>
    <t>COMPRA 3 PIEDRA BASE *50</t>
  </si>
  <si>
    <t xml:space="preserve">COMPRA DE 2 ARENILLA </t>
  </si>
  <si>
    <t>P001-42524</t>
  </si>
  <si>
    <t>P001-42525</t>
  </si>
  <si>
    <t>P001-42526</t>
  </si>
  <si>
    <t>P001-42527</t>
  </si>
  <si>
    <t>P001-42528</t>
  </si>
  <si>
    <t>P001-42529</t>
  </si>
  <si>
    <t>P001-42530</t>
  </si>
  <si>
    <t>P001-42531</t>
  </si>
  <si>
    <t>P001-42532</t>
  </si>
  <si>
    <t>P001-42533</t>
  </si>
  <si>
    <t>P001-42534</t>
  </si>
  <si>
    <t>P001-42535</t>
  </si>
  <si>
    <t>VASQUEZ VENTURA HUGO</t>
  </si>
  <si>
    <t xml:space="preserve">CAMPOS BURGOS SALOMON  </t>
  </si>
  <si>
    <t>P002-32074</t>
  </si>
  <si>
    <t>P002-32075</t>
  </si>
  <si>
    <t>P002-32076</t>
  </si>
  <si>
    <t>P002-32077</t>
  </si>
  <si>
    <t>P002-32078</t>
  </si>
  <si>
    <t>P002-32079</t>
  </si>
  <si>
    <t>P002-32080</t>
  </si>
  <si>
    <t>P002-32081</t>
  </si>
  <si>
    <t>P002-32082</t>
  </si>
  <si>
    <t>P002-32083</t>
  </si>
  <si>
    <t xml:space="preserve">CARLOS BARRIOS EBERSON      </t>
  </si>
  <si>
    <t xml:space="preserve">JUNIOR PUYEN GUEVARA  </t>
  </si>
  <si>
    <t>TIGRE GUERRERO JOSE ALBERTO</t>
  </si>
  <si>
    <t xml:space="preserve">FERNANDEZ MEGO JOSE LUIS - 930860410 P00100042454   </t>
  </si>
  <si>
    <t xml:space="preserve">FLETE CARRITO GRIS                              </t>
  </si>
  <si>
    <t>P002-32084</t>
  </si>
  <si>
    <t>P002-32085</t>
  </si>
  <si>
    <t xml:space="preserve">GIL SALAZAR NELLY   </t>
  </si>
  <si>
    <t xml:space="preserve">SABADO 23-05-2026- CAJA H&amp;C </t>
  </si>
  <si>
    <t>P001-42536</t>
  </si>
  <si>
    <t>P001-42537</t>
  </si>
  <si>
    <t>P001-42538</t>
  </si>
  <si>
    <t>P001-42539</t>
  </si>
  <si>
    <t>P001-42540</t>
  </si>
  <si>
    <t>P001-42541</t>
  </si>
  <si>
    <t>P001-42542</t>
  </si>
  <si>
    <t>P001-42543</t>
  </si>
  <si>
    <t>P001-42544</t>
  </si>
  <si>
    <t>P001-42545</t>
  </si>
  <si>
    <t>P001-42546</t>
  </si>
  <si>
    <t>P001-42547</t>
  </si>
  <si>
    <t>P001-42548</t>
  </si>
  <si>
    <t>P001-42549</t>
  </si>
  <si>
    <t>P001-42550</t>
  </si>
  <si>
    <t>P001-42551</t>
  </si>
  <si>
    <t xml:space="preserve">DIAZ PALMA EDWIN EDIX </t>
  </si>
  <si>
    <t xml:space="preserve">QUISPE HERNANDEZ FANY </t>
  </si>
  <si>
    <t>P002-32086</t>
  </si>
  <si>
    <t>P002-32087</t>
  </si>
  <si>
    <t>P002-32088</t>
  </si>
  <si>
    <t>P002-32089</t>
  </si>
  <si>
    <t>P002-32090</t>
  </si>
  <si>
    <t>P002-32091</t>
  </si>
  <si>
    <t>P002-32092</t>
  </si>
  <si>
    <t>P002-32093</t>
  </si>
  <si>
    <t>P002-32094</t>
  </si>
  <si>
    <t>SANCHEZ PEDRERA CESAR ALFONSO</t>
  </si>
  <si>
    <t>CHOMBA GUERRA LUIS ARMANDO  P00100042532</t>
  </si>
  <si>
    <t xml:space="preserve">CHOMBA GUERRA LUIS ARMANDO -  P00100042527  </t>
  </si>
  <si>
    <t xml:space="preserve">KAREN  AQUINO P00200032067                                                                          </t>
  </si>
  <si>
    <t xml:space="preserve">ATOCHE CORONADO FERNANDO RAMOS  P00100042512  </t>
  </si>
  <si>
    <t>DESAYUNO ANGEL MORENO</t>
  </si>
  <si>
    <t xml:space="preserve">COMBUSTIBLE FORLAND                           </t>
  </si>
  <si>
    <t>P001-42552</t>
  </si>
  <si>
    <t>P001-42553</t>
  </si>
  <si>
    <t>P002-32095</t>
  </si>
  <si>
    <t>P001-42554</t>
  </si>
  <si>
    <t>P002-32096</t>
  </si>
  <si>
    <t xml:space="preserve">COMBUSTIBLE MOTO ROJA            </t>
  </si>
  <si>
    <t>P001-42555</t>
  </si>
  <si>
    <t>P001-42556</t>
  </si>
  <si>
    <t>P002-32097</t>
  </si>
  <si>
    <t>P002-32098</t>
  </si>
  <si>
    <t>P002-32099</t>
  </si>
  <si>
    <t>P001-42557</t>
  </si>
  <si>
    <t>P001-42558</t>
  </si>
  <si>
    <t>P001-42559</t>
  </si>
  <si>
    <t>P001-42560</t>
  </si>
  <si>
    <t>P001-42561</t>
  </si>
  <si>
    <t>P001-42562</t>
  </si>
  <si>
    <t>P001-42563</t>
  </si>
  <si>
    <t xml:space="preserve">UCEDA CARRANZA ANTHONY   </t>
  </si>
  <si>
    <t>P002-32100</t>
  </si>
  <si>
    <t>P002-32101</t>
  </si>
  <si>
    <t>P002-32102</t>
  </si>
  <si>
    <t xml:space="preserve">JEINER HERRERA - FERRETERIA LA UNION P00100042484 </t>
  </si>
  <si>
    <t xml:space="preserve">JEINER HERRERA - FERRETERIA LA UNION P00100042487    </t>
  </si>
  <si>
    <t xml:space="preserve">JEINER HERRERA - FERRETERIA LA UNION P00100042534   </t>
  </si>
  <si>
    <t>CESAR BARBOZA</t>
  </si>
  <si>
    <t>P001-42564</t>
  </si>
  <si>
    <t>P001-42565</t>
  </si>
  <si>
    <t>P001-42566</t>
  </si>
  <si>
    <t>P002-32103</t>
  </si>
  <si>
    <t xml:space="preserve">SEÑOR LUCAS HERRERA P00100039054     </t>
  </si>
  <si>
    <t xml:space="preserve">SALIDA DE CAJA FACTURAS KTA CONSTRUCTORA - JORDIN </t>
  </si>
  <si>
    <t xml:space="preserve">ANGEL MORENO-TRABAJADOR P00100042241     </t>
  </si>
  <si>
    <t xml:space="preserve">ANAYELY Y KAREN </t>
  </si>
  <si>
    <t xml:space="preserve">DOMINGO Y LUNES  24Y25-05-2026- CAJA H&amp;C </t>
  </si>
  <si>
    <t>COMPRA DE 35 M3 AFIRMADO*25</t>
  </si>
  <si>
    <t>F00100002963</t>
  </si>
  <si>
    <t>P001-42567</t>
  </si>
  <si>
    <t>JIMENEZ YARANGO LESLY ANAYELY</t>
  </si>
  <si>
    <t>P001-42568</t>
  </si>
  <si>
    <t>P001-42569</t>
  </si>
  <si>
    <t>P001-42570</t>
  </si>
  <si>
    <t>P001-42571</t>
  </si>
  <si>
    <t>P001-42572</t>
  </si>
  <si>
    <t>P002-32104</t>
  </si>
  <si>
    <t>P002-32105</t>
  </si>
  <si>
    <t>P002-32106</t>
  </si>
  <si>
    <t>P002-32107</t>
  </si>
  <si>
    <t>P002-32108</t>
  </si>
  <si>
    <t>P002-32109</t>
  </si>
  <si>
    <t>P002-32110</t>
  </si>
  <si>
    <t>P002-32111</t>
  </si>
  <si>
    <t>P002-32112</t>
  </si>
  <si>
    <t>P002-32113</t>
  </si>
  <si>
    <t>P002-32114</t>
  </si>
  <si>
    <t>P002-32115</t>
  </si>
  <si>
    <t>P002-32116</t>
  </si>
  <si>
    <t>P002-32117</t>
  </si>
  <si>
    <t>P002-32118</t>
  </si>
  <si>
    <t>P002-32119</t>
  </si>
  <si>
    <t>P002-32120</t>
  </si>
  <si>
    <t>P002-32121</t>
  </si>
  <si>
    <t>P002-32122</t>
  </si>
  <si>
    <t>P002-32123</t>
  </si>
  <si>
    <t>P002-32124</t>
  </si>
  <si>
    <t>P002-32125</t>
  </si>
  <si>
    <t>P002-32126</t>
  </si>
  <si>
    <t>P002-32127</t>
  </si>
  <si>
    <t>P002-32128</t>
  </si>
  <si>
    <t>P002-32129</t>
  </si>
  <si>
    <t>P002-32130</t>
  </si>
  <si>
    <t>P002-32131</t>
  </si>
  <si>
    <t>P002-32132</t>
  </si>
  <si>
    <t>P002-32133</t>
  </si>
  <si>
    <t>P002-32134</t>
  </si>
  <si>
    <t>P002-32135</t>
  </si>
  <si>
    <t xml:space="preserve">JUDITH OBLITAS  </t>
  </si>
  <si>
    <t>ELMER IVAN</t>
  </si>
  <si>
    <t xml:space="preserve">FREDY ALVA P00200031841      </t>
  </si>
  <si>
    <t xml:space="preserve">FREDY ALVA P00200031880   </t>
  </si>
  <si>
    <t>JHON ASTONITAS</t>
  </si>
  <si>
    <t xml:space="preserve">COMBUSTIBLE MONTACARGA      </t>
  </si>
  <si>
    <t xml:space="preserve">JEINER HERRERA       </t>
  </si>
  <si>
    <t xml:space="preserve">JORDIN HERRERA - FILL Y CLAVOS - DOMINGO </t>
  </si>
  <si>
    <t>PERSONAL DOMINGO</t>
  </si>
  <si>
    <t xml:space="preserve">SERVICIOS GENERALES ADJ EIRL GL0200052396    </t>
  </si>
  <si>
    <t>COMPRA DE ESMALTE NEGRO Y CAOBA</t>
  </si>
  <si>
    <t>COMPRA DE 2 HORMIGON 70 Y 2 ARENILLA 50</t>
  </si>
  <si>
    <t>P001-42573</t>
  </si>
  <si>
    <t>P001-42574</t>
  </si>
  <si>
    <t>P001-42575</t>
  </si>
  <si>
    <t>P001-42576</t>
  </si>
  <si>
    <t>P001-42577</t>
  </si>
  <si>
    <t>P001-42578</t>
  </si>
  <si>
    <t>P001-42579</t>
  </si>
  <si>
    <t>P001-42580</t>
  </si>
  <si>
    <t>P001-42581</t>
  </si>
  <si>
    <t>DIAZ SANDOVAL YOBERLINE</t>
  </si>
  <si>
    <t>P002-32136</t>
  </si>
  <si>
    <t>P002-32137</t>
  </si>
  <si>
    <t>P002-32138</t>
  </si>
  <si>
    <t>P002-32139</t>
  </si>
  <si>
    <t>P002-32140</t>
  </si>
  <si>
    <t>P002-32141</t>
  </si>
  <si>
    <t>P002-32142</t>
  </si>
  <si>
    <t>P002-32143</t>
  </si>
  <si>
    <t>P002-32144</t>
  </si>
  <si>
    <t>P002-32145</t>
  </si>
  <si>
    <t>P002-32146</t>
  </si>
  <si>
    <t>P002-32147</t>
  </si>
  <si>
    <t>P002-32148</t>
  </si>
  <si>
    <t xml:space="preserve">ALARCON FLORES JOSE ALVES  </t>
  </si>
  <si>
    <t>P002-32149</t>
  </si>
  <si>
    <t xml:space="preserve">RAMOS ROJAS VALERIO    </t>
  </si>
  <si>
    <t xml:space="preserve">PROGRESO-PATAPO  </t>
  </si>
  <si>
    <t>VILLENA VELARDE MANOLO EMELI</t>
  </si>
  <si>
    <t>COMPRA 4.5PIEDRA CHANCADA 1/2</t>
  </si>
  <si>
    <t>P001-42582</t>
  </si>
  <si>
    <t>P002-32150</t>
  </si>
  <si>
    <t>P002-32151</t>
  </si>
  <si>
    <t xml:space="preserve">LATIN MINERALS CORP SOCIEDAD </t>
  </si>
  <si>
    <t xml:space="preserve">DEVOLUCION DE YAPE JORDIN/ MECANICO CARROS   </t>
  </si>
  <si>
    <t xml:space="preserve">FLETE CARRO PLOMO </t>
  </si>
  <si>
    <t xml:space="preserve">MARTES 26-05-2026- CAJA H&amp;C </t>
  </si>
  <si>
    <t xml:space="preserve">DISERQUIM E.I.R.L      </t>
  </si>
  <si>
    <t xml:space="preserve">COMPRA DE KRESSO Y SODA CAUSTICA </t>
  </si>
  <si>
    <t>B00100001832</t>
  </si>
  <si>
    <t>ZAMORA CIEZA WALTER</t>
  </si>
  <si>
    <t>F00100002964</t>
  </si>
  <si>
    <t>F00100002965</t>
  </si>
  <si>
    <t xml:space="preserve">AUTO FACIL EN CUOTAS, ISABEL E.I.R.L.  </t>
  </si>
  <si>
    <t>P001-42583</t>
  </si>
  <si>
    <t>P001-42584</t>
  </si>
  <si>
    <t>P001-42585</t>
  </si>
  <si>
    <t>P001-42586</t>
  </si>
  <si>
    <t>P001-42587</t>
  </si>
  <si>
    <t>P001-42588</t>
  </si>
  <si>
    <t>P001-42589</t>
  </si>
  <si>
    <t>P001-42590</t>
  </si>
  <si>
    <t>P001-42591</t>
  </si>
  <si>
    <t>P001-42592</t>
  </si>
  <si>
    <t>P001-42593</t>
  </si>
  <si>
    <t>P001-42594</t>
  </si>
  <si>
    <t>P001-42595</t>
  </si>
  <si>
    <t>P001-42596</t>
  </si>
  <si>
    <t>P001-42597</t>
  </si>
  <si>
    <t>P001-42598</t>
  </si>
  <si>
    <t xml:space="preserve">ZARPAN YARLAQUE ARTURO    </t>
  </si>
  <si>
    <t xml:space="preserve">GRUPO CORPORATIVO HERRERA      </t>
  </si>
  <si>
    <t>P002-32152</t>
  </si>
  <si>
    <t>P002-32153</t>
  </si>
  <si>
    <t>P002-32154</t>
  </si>
  <si>
    <t>P002-32155</t>
  </si>
  <si>
    <t>P002-32156</t>
  </si>
  <si>
    <t>P002-32157</t>
  </si>
  <si>
    <t>P002-32158</t>
  </si>
  <si>
    <t>P002-32159</t>
  </si>
  <si>
    <t>P002-32160</t>
  </si>
  <si>
    <t>P002-32161</t>
  </si>
  <si>
    <t>P002-32162</t>
  </si>
  <si>
    <t>P002-32163</t>
  </si>
  <si>
    <t>P002-32164</t>
  </si>
  <si>
    <t>P002-32165</t>
  </si>
  <si>
    <t>P002-32166</t>
  </si>
  <si>
    <t>P002-32167</t>
  </si>
  <si>
    <t>P002-32168</t>
  </si>
  <si>
    <t>P002-32169</t>
  </si>
  <si>
    <t>P002-32170</t>
  </si>
  <si>
    <t>P002-32171</t>
  </si>
  <si>
    <t>P002-32172</t>
  </si>
  <si>
    <t>FERROCONSTRUCTORA JH SERVICIOS GENERAL</t>
  </si>
  <si>
    <t xml:space="preserve">KAREN  AQUINO   </t>
  </si>
  <si>
    <t xml:space="preserve">SOBRANTE DE CAJA   </t>
  </si>
  <si>
    <t xml:space="preserve">DIAZ BARCO MAGDALENA P00200031805   </t>
  </si>
  <si>
    <t xml:space="preserve">DIAZ BARCO MAGDALENA P00200031961   </t>
  </si>
  <si>
    <t xml:space="preserve">KAREN  AQUINO P00200032090     </t>
  </si>
  <si>
    <t xml:space="preserve">CHOMBA GUERRA LUIS ARMANDO - 965076122 P00100042577  </t>
  </si>
  <si>
    <t xml:space="preserve">FERNANDEZ CABRERA IRMA - 958873152 P00100042579    </t>
  </si>
  <si>
    <t xml:space="preserve">STICKERS - PRECIOS          </t>
  </si>
  <si>
    <t xml:space="preserve">JORDIN HERRERA - PARIHUELAS  </t>
  </si>
  <si>
    <t xml:space="preserve">JORDIN HERRERA - BODOQUES         </t>
  </si>
  <si>
    <t xml:space="preserve">COMBUSTIBLE MOTO ROJA ALVARO   </t>
  </si>
  <si>
    <t>COMPRA DE 2 ARENILLA*25/ 2.5 CONFITILLO *40/3.5 PIEDRA BASE *40/5 PIEDRA CHAN3/4</t>
  </si>
  <si>
    <t>INVERSIONES &amp; TRANSPORTES JH E.I.R.L.</t>
  </si>
  <si>
    <t>P001-42599</t>
  </si>
  <si>
    <t xml:space="preserve">MIERCOLES 27-05-2026- CAJA H&amp;C </t>
  </si>
  <si>
    <t>FLETES CARRO PLOMO</t>
  </si>
  <si>
    <t>DEVOLUCION DE PRODUCTOS/CAMBIO  / 3 PIEDRA BASE *50</t>
  </si>
  <si>
    <t>LLAJAS SIPION LUIS ALFREDO -</t>
  </si>
  <si>
    <t>F00100002966</t>
  </si>
  <si>
    <t>F00100002967</t>
  </si>
  <si>
    <t>F00100002968</t>
  </si>
  <si>
    <t>F00100002969</t>
  </si>
  <si>
    <t xml:space="preserve">QUISPE VASQUEZ SARAHI  </t>
  </si>
  <si>
    <t xml:space="preserve">DIAZ BARCO MAGDALENA      </t>
  </si>
  <si>
    <t>P001-42600</t>
  </si>
  <si>
    <t>P001-42601</t>
  </si>
  <si>
    <t>P001-42602</t>
  </si>
  <si>
    <t>P001-42603</t>
  </si>
  <si>
    <t>P001-42604</t>
  </si>
  <si>
    <t>P001-42605</t>
  </si>
  <si>
    <t>P001-42606</t>
  </si>
  <si>
    <t>P001-42607</t>
  </si>
  <si>
    <t>P001-42608</t>
  </si>
  <si>
    <t>P001-42609</t>
  </si>
  <si>
    <t>P001-42610</t>
  </si>
  <si>
    <t>P001-42611</t>
  </si>
  <si>
    <t>P001-42612</t>
  </si>
  <si>
    <t>P001-42613</t>
  </si>
  <si>
    <t>P001-42614</t>
  </si>
  <si>
    <t>P001-42615</t>
  </si>
  <si>
    <t>P001-42616</t>
  </si>
  <si>
    <t>P001-42617</t>
  </si>
  <si>
    <t>P001-42618</t>
  </si>
  <si>
    <t>SANTOS URRUTIA FRANCISCA</t>
  </si>
  <si>
    <t>SARMIENTO OLIVOS JHON KEVIN</t>
  </si>
  <si>
    <t>P002-32173</t>
  </si>
  <si>
    <t>P002-32174</t>
  </si>
  <si>
    <t>P002-32175</t>
  </si>
  <si>
    <t>P002-32176</t>
  </si>
  <si>
    <t>P002-32177</t>
  </si>
  <si>
    <t>P002-32178</t>
  </si>
  <si>
    <t>P002-32179</t>
  </si>
  <si>
    <t>P002-32180</t>
  </si>
  <si>
    <t>P002-32181</t>
  </si>
  <si>
    <t>P002-32182</t>
  </si>
  <si>
    <t>P002-32183</t>
  </si>
  <si>
    <t>P002-32184</t>
  </si>
  <si>
    <t>P002-32185</t>
  </si>
  <si>
    <t>P002-32186</t>
  </si>
  <si>
    <t>P002-32187</t>
  </si>
  <si>
    <t>P002-32188</t>
  </si>
  <si>
    <t xml:space="preserve">IRIGOIN        </t>
  </si>
  <si>
    <t xml:space="preserve">JULIAN VILLALOBOS       </t>
  </si>
  <si>
    <t xml:space="preserve">COFESEG         </t>
  </si>
  <si>
    <t xml:space="preserve">ARAMBULO HERRERA JOSE LUIS     </t>
  </si>
  <si>
    <t>P001-42619</t>
  </si>
  <si>
    <t>P001-42620</t>
  </si>
  <si>
    <t>P001-42621</t>
  </si>
  <si>
    <t>P001-42622</t>
  </si>
  <si>
    <t>P002-32189</t>
  </si>
  <si>
    <t>P002-32190</t>
  </si>
  <si>
    <t xml:space="preserve">CHOMBA GUERRA LUIS ARMANDO - 965076122 P00100042594  </t>
  </si>
  <si>
    <t xml:space="preserve">VILCHEZ TARRILLO HERIBERTO P00200032171     </t>
  </si>
  <si>
    <t xml:space="preserve">VASQUEZ CALUA DAVID MOISES - 941663922 P00100042591 </t>
  </si>
  <si>
    <t xml:space="preserve">ESTIBADORES               </t>
  </si>
  <si>
    <t xml:space="preserve">MANO DE OBRA - CACHACO - JORDIN   </t>
  </si>
  <si>
    <t xml:space="preserve">COMPRA DE 14 BIDONES DE AGUA DEL 9 AL 27 MAYO   </t>
  </si>
  <si>
    <t xml:space="preserve">JOSE BARBOZA - PAGO 2.5 DIAS     </t>
  </si>
  <si>
    <t>P001-42623</t>
  </si>
  <si>
    <t>P001-42624</t>
  </si>
  <si>
    <t>P001-42625</t>
  </si>
  <si>
    <t>P001-42626</t>
  </si>
  <si>
    <t>P001-42627</t>
  </si>
  <si>
    <t>P001-42628</t>
  </si>
  <si>
    <t xml:space="preserve">CARLOS SILVA    </t>
  </si>
  <si>
    <t>P002-32191</t>
  </si>
  <si>
    <t>P002-32192</t>
  </si>
  <si>
    <t>P002-32193</t>
  </si>
  <si>
    <t>P002-32194</t>
  </si>
  <si>
    <t xml:space="preserve">VOLQUETE GRIS - FLETES     </t>
  </si>
  <si>
    <t xml:space="preserve">3 ARENA CARLOS SILVA Y 1.5 IRIGOIN / FERROCONSTRUCTORA JH </t>
  </si>
  <si>
    <t xml:space="preserve">PAGO DE PRESTAMO INVERSIONES JH - JORDIN  </t>
  </si>
  <si>
    <t>P001-42629</t>
  </si>
  <si>
    <t xml:space="preserve">SOLDADURA - PORTON DE ALMACEN        </t>
  </si>
  <si>
    <t xml:space="preserve">JUEVES 28-05-2026- CAJA H&amp;C </t>
  </si>
  <si>
    <t>COMPRA DE 35 M3 ARENA AMARILLA*38</t>
  </si>
  <si>
    <t>F00100002970</t>
  </si>
  <si>
    <t>P001-42630</t>
  </si>
  <si>
    <t>P001-42631</t>
  </si>
  <si>
    <t>P001-42632</t>
  </si>
  <si>
    <t>P001-42633</t>
  </si>
  <si>
    <t>P001-42634</t>
  </si>
  <si>
    <t>P001-42635</t>
  </si>
  <si>
    <t>P001-42636</t>
  </si>
  <si>
    <t>P001-42637</t>
  </si>
  <si>
    <t>P001-42638</t>
  </si>
  <si>
    <t>P001-42639</t>
  </si>
  <si>
    <t>P001-42640</t>
  </si>
  <si>
    <t>P002-32195</t>
  </si>
  <si>
    <t xml:space="preserve">VILCHEZ TARRILLO HERIBERTO    </t>
  </si>
  <si>
    <t>DIAZ CHICOMA MILTON HUGO</t>
  </si>
  <si>
    <t xml:space="preserve">FREDY ALVA              </t>
  </si>
  <si>
    <t>P002-32196</t>
  </si>
  <si>
    <t>P002-32197</t>
  </si>
  <si>
    <t>P002-32198</t>
  </si>
  <si>
    <t>P002-32199</t>
  </si>
  <si>
    <t>P002-32200</t>
  </si>
  <si>
    <t>P002-32201</t>
  </si>
  <si>
    <t>P002-32202</t>
  </si>
  <si>
    <t>P002-32203</t>
  </si>
  <si>
    <t>P002-32204</t>
  </si>
  <si>
    <t>P002-32205</t>
  </si>
  <si>
    <t>P002-32206</t>
  </si>
  <si>
    <t xml:space="preserve">CHOMBA GUERRA LUIS ARMANDO   P00100042605 </t>
  </si>
  <si>
    <t xml:space="preserve">COMBUSTIBLE FUSO - LUCAS            </t>
  </si>
  <si>
    <t>F00100002971</t>
  </si>
  <si>
    <t>CONSTRUCTORA FRONTERIZA SAN IGNACIO S.A.C</t>
  </si>
  <si>
    <t>P001-42641</t>
  </si>
  <si>
    <t>P001-42642</t>
  </si>
  <si>
    <t>P001-42643</t>
  </si>
  <si>
    <t>P001-42644</t>
  </si>
  <si>
    <t>P001-42645</t>
  </si>
  <si>
    <t>P002-32207</t>
  </si>
  <si>
    <t>BAUTISTA CARRASCO ELMER - 996813790 P00100042587</t>
  </si>
  <si>
    <t xml:space="preserve">FLETE CARLOS HERRERA- VINCI     </t>
  </si>
  <si>
    <t>P001-42646</t>
  </si>
  <si>
    <t>P001-42647</t>
  </si>
  <si>
    <t>P001-42648</t>
  </si>
  <si>
    <t xml:space="preserve">GRUPO CORPORATIVO HERRERA P00100042589         </t>
  </si>
  <si>
    <t xml:space="preserve">GRUPO CORPORATIVO HERRERA P00100042485    </t>
  </si>
  <si>
    <t xml:space="preserve">GRUPO CORPORATIVO HERRERA E.I.R.L. P00200032027     </t>
  </si>
  <si>
    <t xml:space="preserve">CARGIO DE 1 CUBO CHANCADA 1/2 - 26/05        </t>
  </si>
  <si>
    <t xml:space="preserve">INVERSIONES &amp; TRANSPORTES JH E.I.R.L.    </t>
  </si>
  <si>
    <t>P001-42649</t>
  </si>
  <si>
    <t>P001-42650</t>
  </si>
  <si>
    <t>P001-42651</t>
  </si>
  <si>
    <t>P001-42652</t>
  </si>
  <si>
    <t>P002-32208</t>
  </si>
  <si>
    <t>P002-32209</t>
  </si>
  <si>
    <t xml:space="preserve">GASOLINA MONTACARGA </t>
  </si>
  <si>
    <t>COMPRA DE 1 ARENILLA *25</t>
  </si>
  <si>
    <t>P002-32210</t>
  </si>
  <si>
    <t>P002-32211</t>
  </si>
  <si>
    <t xml:space="preserve">VIERNES 29-05-2026- CAJA H&amp;C </t>
  </si>
  <si>
    <t xml:space="preserve">COMPRA DE 2.5 ARENILLA * 25 / BENEDICTO Y 6 P CHAN *70 CHOMBA </t>
  </si>
  <si>
    <t xml:space="preserve">SANCHEZ VASQUEZ ELVA MARINA  </t>
  </si>
  <si>
    <t>B00100001833</t>
  </si>
  <si>
    <t>AUTO FACIL EN CUOTAS, ISABEL E.I.R.L.</t>
  </si>
  <si>
    <t>F00100002972</t>
  </si>
  <si>
    <t>F00100002973</t>
  </si>
  <si>
    <t>F00100002974</t>
  </si>
  <si>
    <t>P001-42653</t>
  </si>
  <si>
    <t>P001-42654</t>
  </si>
  <si>
    <t>P001-42655</t>
  </si>
  <si>
    <t>P001-42656</t>
  </si>
  <si>
    <t>P001-42657</t>
  </si>
  <si>
    <t>P001-42658</t>
  </si>
  <si>
    <t>P001-42659</t>
  </si>
  <si>
    <t>P001-42660</t>
  </si>
  <si>
    <t>P001-42661</t>
  </si>
  <si>
    <t>P002-32212</t>
  </si>
  <si>
    <t>P002-32213</t>
  </si>
  <si>
    <t>P002-32214</t>
  </si>
  <si>
    <t>P002-32215</t>
  </si>
  <si>
    <t>P002-32216</t>
  </si>
  <si>
    <t>P002-32217</t>
  </si>
  <si>
    <t>P002-32218</t>
  </si>
  <si>
    <t>P002-32219</t>
  </si>
  <si>
    <t>P002-32220</t>
  </si>
  <si>
    <t>P002-32221</t>
  </si>
  <si>
    <t>P002-32222</t>
  </si>
  <si>
    <t>P002-32223</t>
  </si>
  <si>
    <t>P002-32224</t>
  </si>
  <si>
    <t>P002-32225</t>
  </si>
  <si>
    <t>P002-32226</t>
  </si>
  <si>
    <t>P002-32227</t>
  </si>
  <si>
    <t>P002-32228</t>
  </si>
  <si>
    <t>P002-32229</t>
  </si>
  <si>
    <t>P001-42662</t>
  </si>
  <si>
    <t>P001-42663</t>
  </si>
  <si>
    <t xml:space="preserve">COFESEG            </t>
  </si>
  <si>
    <t xml:space="preserve">RUIZ SALAZAR ANDY D'NILSON       </t>
  </si>
  <si>
    <t xml:space="preserve">BENEDICTO SALAZAR SALAZAR  </t>
  </si>
  <si>
    <t xml:space="preserve">DEVOLUCION DE PRESTAMO INVERSIONES Y TRANSPORTES JH / JORDIN </t>
  </si>
  <si>
    <t xml:space="preserve">CORPORACION MARVID SOCIEDAD ANONIMA CERRADA T15500342732 </t>
  </si>
  <si>
    <t xml:space="preserve">GAS- BRENIS  </t>
  </si>
  <si>
    <t xml:space="preserve">DISTRIBUCIONES SAM/ PRODUCTOS DE FERRETERIA           </t>
  </si>
  <si>
    <t>P001-42664</t>
  </si>
  <si>
    <t>P001-42665</t>
  </si>
  <si>
    <t>P001-42666</t>
  </si>
  <si>
    <t>P001-42667</t>
  </si>
  <si>
    <t>LARIOS BERNAL MANUEL</t>
  </si>
  <si>
    <t>P002-32230</t>
  </si>
  <si>
    <t>P002-32231</t>
  </si>
  <si>
    <t>P002-32232</t>
  </si>
  <si>
    <t>P001-42668</t>
  </si>
  <si>
    <t>P001-42669</t>
  </si>
  <si>
    <t>P001-42670</t>
  </si>
  <si>
    <t>P001-42671</t>
  </si>
  <si>
    <t>P001-42672</t>
  </si>
  <si>
    <t>P001-42673</t>
  </si>
  <si>
    <t>P002-32233</t>
  </si>
  <si>
    <t>P002-32234</t>
  </si>
  <si>
    <t xml:space="preserve">JUDITH OBLITAS   </t>
  </si>
  <si>
    <t>P001-42674</t>
  </si>
  <si>
    <t xml:space="preserve">20 M3 ARENA AMARILLA*38/ LEO </t>
  </si>
  <si>
    <t xml:space="preserve">ANULADO /FERNANDEZ LOPEZ ROIDER </t>
  </si>
  <si>
    <t xml:space="preserve">FLETE VOLQUETE GRIS </t>
  </si>
  <si>
    <t>P002-32235</t>
  </si>
  <si>
    <t>P001-42675</t>
  </si>
  <si>
    <t>COMPRA DE 5 P CHANCADA 1/2*60</t>
  </si>
  <si>
    <t xml:space="preserve">SABADO 30-05-2026- CAJA H&amp;C </t>
  </si>
  <si>
    <t>F00100002975</t>
  </si>
  <si>
    <t>F00100002976</t>
  </si>
  <si>
    <t>F00100002977</t>
  </si>
  <si>
    <t>F00100002978</t>
  </si>
  <si>
    <t>F00100002979</t>
  </si>
  <si>
    <t xml:space="preserve">COMPRA DE 1.5 PIEDRA CHANCADA 1/2/ BETO VILCHEZ </t>
  </si>
  <si>
    <t xml:space="preserve">ZAMORA CIEZA WALTER   </t>
  </si>
  <si>
    <t xml:space="preserve">SOSA SALAZAR FIORELLA     </t>
  </si>
  <si>
    <t>P001-42676</t>
  </si>
  <si>
    <t xml:space="preserve">CARLOS CABRERA ANGEL JORGE. </t>
  </si>
  <si>
    <t>F00100002980</t>
  </si>
  <si>
    <t>P001-42677</t>
  </si>
  <si>
    <t>P001-42678</t>
  </si>
  <si>
    <t>P001-42679</t>
  </si>
  <si>
    <t>P001-42680</t>
  </si>
  <si>
    <t>P001-42681</t>
  </si>
  <si>
    <t>P001-42682</t>
  </si>
  <si>
    <t>P001-42683</t>
  </si>
  <si>
    <t>P001-42684</t>
  </si>
  <si>
    <t>P001-42685</t>
  </si>
  <si>
    <t>P001-42686</t>
  </si>
  <si>
    <t>P001-42687</t>
  </si>
  <si>
    <t>P001-42688</t>
  </si>
  <si>
    <t>P001-42689</t>
  </si>
  <si>
    <t>P001-42690</t>
  </si>
  <si>
    <t>P001-42691</t>
  </si>
  <si>
    <t>P001-42692</t>
  </si>
  <si>
    <t>P001-42693</t>
  </si>
  <si>
    <t>P001-42694</t>
  </si>
  <si>
    <t>P001-42695</t>
  </si>
  <si>
    <t>P001-42696</t>
  </si>
  <si>
    <t>P001-42697</t>
  </si>
  <si>
    <t>P001-42698</t>
  </si>
  <si>
    <t xml:space="preserve">JOSE MEOÑO           </t>
  </si>
  <si>
    <t>FERNANDEZ LOPEZ ROIDER -</t>
  </si>
  <si>
    <t xml:space="preserve">HERNANDEZ CRUZ CRISTIAN JOSE </t>
  </si>
  <si>
    <t xml:space="preserve">COFESEG       </t>
  </si>
  <si>
    <t xml:space="preserve">CAMPOS BURGOS SALOMON    </t>
  </si>
  <si>
    <t xml:space="preserve">DIAZ PALMA EDWIN EDIX  </t>
  </si>
  <si>
    <t xml:space="preserve">SANTOS URRUTIA FRANCISCA </t>
  </si>
  <si>
    <t>FERNANDEZ LOPEZ ROIDER</t>
  </si>
  <si>
    <t xml:space="preserve">AZAÑERO           </t>
  </si>
  <si>
    <t>P001-42699</t>
  </si>
  <si>
    <t>P002-32236</t>
  </si>
  <si>
    <t>P002-32237</t>
  </si>
  <si>
    <t>P002-32238</t>
  </si>
  <si>
    <t>P002-32239</t>
  </si>
  <si>
    <t>P002-32240</t>
  </si>
  <si>
    <t>P002-32241</t>
  </si>
  <si>
    <t>P002-32242</t>
  </si>
  <si>
    <t>P002-32243</t>
  </si>
  <si>
    <t>P002-32244</t>
  </si>
  <si>
    <t>P002-32245</t>
  </si>
  <si>
    <t>P002-32246</t>
  </si>
  <si>
    <t>P002-32247</t>
  </si>
  <si>
    <t>P002-32248</t>
  </si>
  <si>
    <t>P002-32249</t>
  </si>
  <si>
    <t>P002-32250</t>
  </si>
  <si>
    <t>P002-32251</t>
  </si>
  <si>
    <t>P002-32252</t>
  </si>
  <si>
    <t>P002-32253</t>
  </si>
  <si>
    <t>P002-32254</t>
  </si>
  <si>
    <t>P002-32255</t>
  </si>
  <si>
    <t xml:space="preserve">ILAITA AQUINO FELICIANA     </t>
  </si>
  <si>
    <t xml:space="preserve">FREDY ALVA    </t>
  </si>
  <si>
    <t xml:space="preserve">DIAZ BARCO MAGDALENA     </t>
  </si>
  <si>
    <t xml:space="preserve">PIZARRO ZEÑA YSABEL  </t>
  </si>
  <si>
    <t xml:space="preserve">VILCHEZ TARRILLO HERIBERTO     </t>
  </si>
  <si>
    <t>FREDY ALVA</t>
  </si>
  <si>
    <t>P002-32256</t>
  </si>
  <si>
    <t xml:space="preserve">KAREN  AQUINO P00200032242      </t>
  </si>
  <si>
    <t xml:space="preserve">KAREN  AQUINO P00200032179         </t>
  </si>
  <si>
    <t xml:space="preserve">CHOMBA GUERRA LUIS ARMANDO - 965076122 P00100042656 </t>
  </si>
  <si>
    <t xml:space="preserve">COMBUSTIBLE FUSO - LUCAS          </t>
  </si>
  <si>
    <t xml:space="preserve">DEVOLUCION DE YAPE DE ADELANTO DE LADRILLO        </t>
  </si>
  <si>
    <t xml:space="preserve">PAPEL HIGIENICO      </t>
  </si>
  <si>
    <t>COMPRA DE 35 M3 PIEDRA CHAN *60</t>
  </si>
  <si>
    <t>P001-42700</t>
  </si>
  <si>
    <t>P001-42701</t>
  </si>
  <si>
    <t>P002-32257</t>
  </si>
  <si>
    <t xml:space="preserve">ARSENIO MEJIA P00200032011  </t>
  </si>
  <si>
    <t xml:space="preserve">FLETE VOLQUETE GRIS  </t>
  </si>
  <si>
    <t xml:space="preserve">ANGEL MORENO                  </t>
  </si>
  <si>
    <t xml:space="preserve">ALMUERZO MODESTO Y JULIAN       </t>
  </si>
  <si>
    <t xml:space="preserve">ALVARO        </t>
  </si>
  <si>
    <t xml:space="preserve">JHON ASTONITAS     </t>
  </si>
  <si>
    <t xml:space="preserve">MODESTO TORRES   </t>
  </si>
  <si>
    <t xml:space="preserve">SR MARCOS     </t>
  </si>
  <si>
    <t xml:space="preserve">FREDY ALVA P00200031983    </t>
  </si>
  <si>
    <t xml:space="preserve">FREDY ALVA P00200032205 </t>
  </si>
  <si>
    <t>P002-32258</t>
  </si>
  <si>
    <t>P002-32259</t>
  </si>
  <si>
    <t xml:space="preserve">DIAZ BARCO MAGDALENA P00200032244   </t>
  </si>
  <si>
    <t xml:space="preserve">DIAZ BARCO MAGDALENA F00100002969  </t>
  </si>
  <si>
    <t>P002-32260</t>
  </si>
  <si>
    <t xml:space="preserve">CORPORACION MARVID SOCIEDAD ANONIMA CERRADA T15500342732  </t>
  </si>
  <si>
    <t xml:space="preserve">FACTURAS KT / JORDIN </t>
  </si>
  <si>
    <t xml:space="preserve">KAREN Y NAYELY </t>
  </si>
  <si>
    <t>JIMENEZ YARANGO LESLY ANAYELY P00100042572</t>
  </si>
  <si>
    <t xml:space="preserve">FACTURAS KAREN / JORDIN         </t>
  </si>
  <si>
    <t xml:space="preserve">DOMINGO 31-05-2026- CAJA H&amp;C </t>
  </si>
  <si>
    <t>P001-42702</t>
  </si>
  <si>
    <t>P001-42703</t>
  </si>
  <si>
    <t>P001-42704</t>
  </si>
  <si>
    <t>P001-42705</t>
  </si>
  <si>
    <t>P001-42706</t>
  </si>
  <si>
    <t>P001-42707</t>
  </si>
  <si>
    <t>P001-42708</t>
  </si>
  <si>
    <t>P001-42709</t>
  </si>
  <si>
    <t>P001-42710</t>
  </si>
  <si>
    <t>P001-42711</t>
  </si>
  <si>
    <t>P001-42712</t>
  </si>
  <si>
    <t>P001-42713</t>
  </si>
  <si>
    <t>P001-42714</t>
  </si>
  <si>
    <t>P001-42715</t>
  </si>
  <si>
    <t>P001-42716</t>
  </si>
  <si>
    <t>P001-42717</t>
  </si>
  <si>
    <t>P001-42718</t>
  </si>
  <si>
    <t>P001-42719</t>
  </si>
  <si>
    <t>P001-42720</t>
  </si>
  <si>
    <t>P001-42721</t>
  </si>
  <si>
    <t>P001-42722</t>
  </si>
  <si>
    <t>P001-42723</t>
  </si>
  <si>
    <t>P001-42724</t>
  </si>
  <si>
    <t>P001-42725</t>
  </si>
  <si>
    <t>P001-42726</t>
  </si>
  <si>
    <t>P001-42727</t>
  </si>
  <si>
    <t>P001-42728</t>
  </si>
  <si>
    <t>P001-42729</t>
  </si>
  <si>
    <t>P001-42730</t>
  </si>
  <si>
    <t>P001-42731</t>
  </si>
  <si>
    <t>P001-42732</t>
  </si>
  <si>
    <t>P001-42733</t>
  </si>
  <si>
    <t>P001-42734</t>
  </si>
  <si>
    <t>P001-42735</t>
  </si>
  <si>
    <t>P001-42736</t>
  </si>
  <si>
    <t>P001-42737</t>
  </si>
  <si>
    <t>P001-42738</t>
  </si>
  <si>
    <t>P001-42739</t>
  </si>
  <si>
    <t>P001-42740</t>
  </si>
  <si>
    <t>P001-42741</t>
  </si>
  <si>
    <t>P001-42742</t>
  </si>
  <si>
    <t>P001-42743</t>
  </si>
  <si>
    <t>FERRETERIA HERRERA TUMAN</t>
  </si>
  <si>
    <t xml:space="preserve">CHAVEZ AHUMADA SILVIA ROCIO  </t>
  </si>
  <si>
    <t>PURIHUAMAN BERNILLA ALBERTO</t>
  </si>
  <si>
    <t>CARDOZO VASQUEZ ROSA ELSIRA</t>
  </si>
  <si>
    <t xml:space="preserve">LUCAS - DOMINGO AGREGADOS    </t>
  </si>
  <si>
    <t>MODESTO DOMINGO</t>
  </si>
  <si>
    <t>UTILES DE OFICINA</t>
  </si>
  <si>
    <t xml:space="preserve">JHON ASTONITAS  </t>
  </si>
  <si>
    <t xml:space="preserve">GASEOSA ESTIBADORES CEMENTO </t>
  </si>
  <si>
    <t xml:space="preserve">ANGEL DOMINGO  </t>
  </si>
  <si>
    <t xml:space="preserve">VUELTO DE YAPE - P001-42732    </t>
  </si>
  <si>
    <t>NAYELY DOMINGO</t>
  </si>
  <si>
    <t>DESAYUNO ANGEL - MODESTO</t>
  </si>
  <si>
    <t xml:space="preserve">LUNES 01-06-2026- CAJA H&amp;C </t>
  </si>
  <si>
    <t xml:space="preserve">COMPRA DE AGREGADOS - JEINER - PAGO NAYELY </t>
  </si>
  <si>
    <t>F00100002981</t>
  </si>
  <si>
    <t>P001-42744</t>
  </si>
  <si>
    <t>P001-42745</t>
  </si>
  <si>
    <t>P001-42746</t>
  </si>
  <si>
    <t>P001-42747</t>
  </si>
  <si>
    <t>P001-42748</t>
  </si>
  <si>
    <t>P001-42749</t>
  </si>
  <si>
    <t>P001-42750</t>
  </si>
  <si>
    <t>P001-42751</t>
  </si>
  <si>
    <t>P001-42752</t>
  </si>
  <si>
    <t>P001-42753</t>
  </si>
  <si>
    <t>P001-42754</t>
  </si>
  <si>
    <t>P001-42755</t>
  </si>
  <si>
    <t>P001-42756</t>
  </si>
  <si>
    <t>P001-42757</t>
  </si>
  <si>
    <t>P001-42758</t>
  </si>
  <si>
    <t>P001-42759</t>
  </si>
  <si>
    <t>P001-42760</t>
  </si>
  <si>
    <t>P001-42761</t>
  </si>
  <si>
    <t>P001-42762</t>
  </si>
  <si>
    <t>P002-32261</t>
  </si>
  <si>
    <t>P002-32262</t>
  </si>
  <si>
    <t>P002-32263</t>
  </si>
  <si>
    <t>P002-32264</t>
  </si>
  <si>
    <t>P002-32265</t>
  </si>
  <si>
    <t>P002-32266</t>
  </si>
  <si>
    <t>P002-32267</t>
  </si>
  <si>
    <t>P002-32268</t>
  </si>
  <si>
    <t>P002-32269</t>
  </si>
  <si>
    <t>P002-32270</t>
  </si>
  <si>
    <t>P002-32271</t>
  </si>
  <si>
    <t>UCEDA</t>
  </si>
  <si>
    <t>GASTELO AVELLANEDA WAGNER</t>
  </si>
  <si>
    <t xml:space="preserve">SOBRANTE CAJA -DOMINGO </t>
  </si>
  <si>
    <t xml:space="preserve">CHOMBA GUERRA LUIS ARMANDO  P00100042683   </t>
  </si>
  <si>
    <t xml:space="preserve">FREDY ALVA P00200031983   </t>
  </si>
  <si>
    <t>CORPORACION HERRERA S.A.C. 000100022159     FIERRO 3/8 1 TNL -810 YAPE</t>
  </si>
  <si>
    <t>P001-42763</t>
  </si>
  <si>
    <t>P001-42764</t>
  </si>
  <si>
    <t>P001-42765</t>
  </si>
  <si>
    <t>P001-42766</t>
  </si>
  <si>
    <t>P001-42767</t>
  </si>
  <si>
    <t>P001-42768</t>
  </si>
  <si>
    <t>P001-42769</t>
  </si>
  <si>
    <t>P001-42770</t>
  </si>
  <si>
    <t xml:space="preserve">JOSE MEOÑO  </t>
  </si>
  <si>
    <t>FERROCONSTRUCTORA JH SERVICIOS GENERALES E.I.R.L.</t>
  </si>
  <si>
    <t>P002-32272</t>
  </si>
  <si>
    <t>P002-32273</t>
  </si>
  <si>
    <t>P002-32274</t>
  </si>
  <si>
    <t>P001-42771</t>
  </si>
  <si>
    <t xml:space="preserve">BURGOS CABANILLAS SIXTO </t>
  </si>
  <si>
    <t>COMPRA 35 ARENA AMARILLA *38</t>
  </si>
  <si>
    <t>2.5 ARENILLA *20</t>
  </si>
  <si>
    <t xml:space="preserve">INVERSIONES &amp; TRANSPORTES JH E.I.R.L. 000100111425   </t>
  </si>
  <si>
    <t xml:space="preserve">PARCHE DE LLANTA FUSO      </t>
  </si>
  <si>
    <t>P001-42772</t>
  </si>
  <si>
    <t>P001-42773</t>
  </si>
  <si>
    <t>P002-32275</t>
  </si>
  <si>
    <t xml:space="preserve">MARTES 02-06-2026- CAJA H&amp;C </t>
  </si>
  <si>
    <t>P001-42774</t>
  </si>
  <si>
    <t>COMPRA DE 15 M3 P CHANCADA 1/2*60</t>
  </si>
  <si>
    <t>F001-2982</t>
  </si>
  <si>
    <t>CLUB DE CAZA Y PESCA DEPORTIVA Y TIRO AL VUELO</t>
  </si>
  <si>
    <t>P001-42775</t>
  </si>
  <si>
    <t>P001-42776</t>
  </si>
  <si>
    <t>P001-42777</t>
  </si>
  <si>
    <t>P001-42778</t>
  </si>
  <si>
    <t>P001-42779</t>
  </si>
  <si>
    <t>P001-42780</t>
  </si>
  <si>
    <t>P001-42781</t>
  </si>
  <si>
    <t>P001-42782</t>
  </si>
  <si>
    <t>P001-42783</t>
  </si>
  <si>
    <t>P001-42784</t>
  </si>
  <si>
    <t>P001-42785</t>
  </si>
  <si>
    <t>P001-42786</t>
  </si>
  <si>
    <t>P002-32276</t>
  </si>
  <si>
    <t>P002-32277</t>
  </si>
  <si>
    <t>P002-32278</t>
  </si>
  <si>
    <t>P002-32279</t>
  </si>
  <si>
    <t>P002-32280</t>
  </si>
  <si>
    <t>P002-32281</t>
  </si>
  <si>
    <t>P002-32282</t>
  </si>
  <si>
    <t>P002-32283</t>
  </si>
  <si>
    <t>P002-32284</t>
  </si>
  <si>
    <t xml:space="preserve">CHOMBA GUERRA LUIS ARMANDO - 965076122 P00100042761  </t>
  </si>
  <si>
    <t xml:space="preserve">COMBUSTIBLE FORLAND - ANGEL </t>
  </si>
  <si>
    <t>BURGOS CABANILLAS SIXTO AGAPITO</t>
  </si>
  <si>
    <t>P001-42787</t>
  </si>
  <si>
    <t>P001-42788</t>
  </si>
  <si>
    <t>P001-42789</t>
  </si>
  <si>
    <t>P001-42790</t>
  </si>
  <si>
    <t>P001-42791</t>
  </si>
  <si>
    <t>VERA QUINTANA RAFAEL ALEX JAVIER -</t>
  </si>
  <si>
    <t xml:space="preserve">JACOBITA </t>
  </si>
  <si>
    <t>COMBUSTIBLE JBC</t>
  </si>
  <si>
    <t>P002-32285</t>
  </si>
  <si>
    <t>P002-32286</t>
  </si>
  <si>
    <t xml:space="preserve">BRUNO CASTRO </t>
  </si>
  <si>
    <t>P001-42792</t>
  </si>
  <si>
    <t>P001-42793</t>
  </si>
  <si>
    <t>P001-42794</t>
  </si>
  <si>
    <t>P001-42795</t>
  </si>
  <si>
    <t>ESTRELLA MONTEZA AYRTHON AGUSTIN</t>
  </si>
  <si>
    <t>P001-42796</t>
  </si>
  <si>
    <t>P002-32287</t>
  </si>
  <si>
    <t xml:space="preserve">MIERCOLES 03-06-2026- CAJA H&amp;C </t>
  </si>
  <si>
    <t>F00100002983</t>
  </si>
  <si>
    <t>P001-42797</t>
  </si>
  <si>
    <t>P001-42798</t>
  </si>
  <si>
    <t>P001-42799</t>
  </si>
  <si>
    <t>P001-42800</t>
  </si>
  <si>
    <t>P001-42801</t>
  </si>
  <si>
    <t>P001-42802</t>
  </si>
  <si>
    <t>P001-42803</t>
  </si>
  <si>
    <t>P001-42804</t>
  </si>
  <si>
    <t>P001-42805</t>
  </si>
  <si>
    <t>P001-42806</t>
  </si>
  <si>
    <t>P001-42807</t>
  </si>
  <si>
    <t>P001-42808</t>
  </si>
  <si>
    <t>P001-42809</t>
  </si>
  <si>
    <t>P001-42810</t>
  </si>
  <si>
    <t>P001-42811</t>
  </si>
  <si>
    <t>P001-42812</t>
  </si>
  <si>
    <t>P001-42813</t>
  </si>
  <si>
    <t>P001-42814</t>
  </si>
  <si>
    <t>BAUTISTA ROMERO ROSALIN JAQUELINE</t>
  </si>
  <si>
    <t>P002-32288</t>
  </si>
  <si>
    <t>P002-32289</t>
  </si>
  <si>
    <t>P002-32290</t>
  </si>
  <si>
    <t>P002-32291</t>
  </si>
  <si>
    <t>P002-32292</t>
  </si>
  <si>
    <t>P002-32293</t>
  </si>
  <si>
    <t>P002-32294</t>
  </si>
  <si>
    <t>P002-32295</t>
  </si>
  <si>
    <t>P002-32296</t>
  </si>
  <si>
    <t>P002-32297</t>
  </si>
  <si>
    <t>P002-32298</t>
  </si>
  <si>
    <t>P002-32299</t>
  </si>
  <si>
    <t>P002-32300</t>
  </si>
  <si>
    <t>CAMPOS BURGOS SALOMON P00100042651</t>
  </si>
  <si>
    <t xml:space="preserve">UCEDA CEL. 933756048 P00200032268 </t>
  </si>
  <si>
    <t xml:space="preserve">LOPEZ Y CIA S.A.C. F00800011201 </t>
  </si>
  <si>
    <t xml:space="preserve">LOPEZ Y CIA S.A.C. F00900001461 </t>
  </si>
  <si>
    <t xml:space="preserve">CARLOS PEREZ </t>
  </si>
  <si>
    <t xml:space="preserve">QUISPE  </t>
  </si>
  <si>
    <t>CHOMBA GUERRA LUIS ARMANDO - 965076122 P00100042781</t>
  </si>
  <si>
    <t>CHOMBA GUERRA LUIS ARMANDO - 965076122 P00100042790</t>
  </si>
  <si>
    <t>P001-42815</t>
  </si>
  <si>
    <t>P001-42816</t>
  </si>
  <si>
    <t>P001-42817</t>
  </si>
  <si>
    <t>P001-42818</t>
  </si>
  <si>
    <t>P001-42819</t>
  </si>
  <si>
    <t>P001-42820</t>
  </si>
  <si>
    <t>P001-42821</t>
  </si>
  <si>
    <t>P001-42822</t>
  </si>
  <si>
    <t>P001-42823</t>
  </si>
  <si>
    <t>P001-42824</t>
  </si>
  <si>
    <t>P001-42825</t>
  </si>
  <si>
    <t>P001-42826</t>
  </si>
  <si>
    <t>P001-42827</t>
  </si>
  <si>
    <t>P002-32301</t>
  </si>
  <si>
    <t>PROGRESO-PATAPO</t>
  </si>
  <si>
    <t xml:space="preserve">HECTOR MEJIA CEL. 930234446 P00200031230    </t>
  </si>
  <si>
    <t>P001-42828</t>
  </si>
  <si>
    <t>COMPRA DE 1.5 ARENILLA *20</t>
  </si>
  <si>
    <t>P001-42829</t>
  </si>
  <si>
    <t xml:space="preserve">FLETE COLLIQUE / BETO </t>
  </si>
  <si>
    <t xml:space="preserve">JUEVES 04-06-2026- CAJA H&amp;C </t>
  </si>
  <si>
    <t>F00100002984</t>
  </si>
  <si>
    <t>P001-42830</t>
  </si>
  <si>
    <t>P001-42831</t>
  </si>
  <si>
    <t>P001-42832</t>
  </si>
  <si>
    <t>P001-42833</t>
  </si>
  <si>
    <t>P001-42834</t>
  </si>
  <si>
    <t>P001-42835</t>
  </si>
  <si>
    <t>P001-42836</t>
  </si>
  <si>
    <t>P001-42837</t>
  </si>
  <si>
    <t>P001-42838</t>
  </si>
  <si>
    <t>P001-42839</t>
  </si>
  <si>
    <t>P001-42840</t>
  </si>
  <si>
    <t>P001-42841</t>
  </si>
  <si>
    <t>P001-42842</t>
  </si>
  <si>
    <t>P001-42843</t>
  </si>
  <si>
    <t>NEGRON SERNAQUE MARIA ROSA</t>
  </si>
  <si>
    <t>SEGUNDO LLAGUENTO DARIO</t>
  </si>
  <si>
    <t>P002-32302</t>
  </si>
  <si>
    <t>P002-32303</t>
  </si>
  <si>
    <t>P002-32304</t>
  </si>
  <si>
    <t>P002-32305</t>
  </si>
  <si>
    <t>P002-32306</t>
  </si>
  <si>
    <t>P002-32307</t>
  </si>
  <si>
    <t xml:space="preserve">BRENILDA SALAZAR SALAZAR  </t>
  </si>
  <si>
    <t xml:space="preserve">PROGRESO-PATAPO P00200032146    </t>
  </si>
  <si>
    <t xml:space="preserve">PROGRESO-PATAPO P00100042614 </t>
  </si>
  <si>
    <t xml:space="preserve">DARWIN / JORDIN     </t>
  </si>
  <si>
    <t>P001-42844</t>
  </si>
  <si>
    <t>CASTRO CHOQUE JHON CRISTHIAN</t>
  </si>
  <si>
    <t>P001-42845</t>
  </si>
  <si>
    <t>P001-42846</t>
  </si>
  <si>
    <t>P001-42847</t>
  </si>
  <si>
    <t>P001-42848</t>
  </si>
  <si>
    <t>P001-42849</t>
  </si>
  <si>
    <t>P001-42850</t>
  </si>
  <si>
    <t>P001-42851</t>
  </si>
  <si>
    <t>P001-42852</t>
  </si>
  <si>
    <t>F00100002985</t>
  </si>
  <si>
    <t>DIAZ SUAREZ ROCIO SUCI</t>
  </si>
  <si>
    <t>PEÑA GARCIA CESAR</t>
  </si>
  <si>
    <t>P002-32308</t>
  </si>
  <si>
    <t>P002-32309</t>
  </si>
  <si>
    <t>HUAMAN MORI MILDER DEYBI</t>
  </si>
  <si>
    <t xml:space="preserve">DEVOLUCION DE PRESTAMO INVERSIONES JH  </t>
  </si>
  <si>
    <t>P002-32310</t>
  </si>
  <si>
    <t>P002-32311</t>
  </si>
  <si>
    <t xml:space="preserve">JHON SANCHEZ CEL. 915950023 P00200032295   </t>
  </si>
  <si>
    <t>F00100002986</t>
  </si>
  <si>
    <t>F00100002987</t>
  </si>
  <si>
    <t xml:space="preserve">CONSTRUCTORA E INMOBILIARIA VINCI S.A.C. </t>
  </si>
  <si>
    <t>F00100002988</t>
  </si>
  <si>
    <t xml:space="preserve">CONSTRUCTORA FRONTERIZA SAN IGNACIO S.A.C </t>
  </si>
  <si>
    <t>P001-42853</t>
  </si>
  <si>
    <t>F00100002989</t>
  </si>
  <si>
    <t>P001-42854</t>
  </si>
  <si>
    <t>P002-32312</t>
  </si>
  <si>
    <t>P002-32313</t>
  </si>
  <si>
    <t xml:space="preserve">ANULADA / SOLDADURA / FACTURA </t>
  </si>
  <si>
    <t xml:space="preserve">COMBUSTIBLE MONTACARGA           </t>
  </si>
  <si>
    <t xml:space="preserve">FLETE CARRO PLOMO   </t>
  </si>
  <si>
    <t xml:space="preserve">FLETE CARLOS HERRERA - CENTRO VINCI       </t>
  </si>
  <si>
    <t xml:space="preserve">FERRETERIA HERRERA TUMAN - 979441116 P00100042739                                                   </t>
  </si>
  <si>
    <t xml:space="preserve">VIERNES 05-06-2026- CAJA H&amp;C </t>
  </si>
  <si>
    <t>COMPRA DE 5 M3 ARENILLA *25</t>
  </si>
  <si>
    <t>F00100002990</t>
  </si>
  <si>
    <t>F00100002991</t>
  </si>
  <si>
    <t>F00100002992</t>
  </si>
  <si>
    <t>F00100002993</t>
  </si>
  <si>
    <t>CLUB DE CAZA Y PESCA DEPORTIVA</t>
  </si>
  <si>
    <t>P001-42855</t>
  </si>
  <si>
    <t>P001-42856</t>
  </si>
  <si>
    <t>P001-42857</t>
  </si>
  <si>
    <t>P001-42858</t>
  </si>
  <si>
    <t>P001-42859</t>
  </si>
  <si>
    <t>P001-42860</t>
  </si>
  <si>
    <t>P001-42861</t>
  </si>
  <si>
    <t>P001-42862</t>
  </si>
  <si>
    <t>P001-42863</t>
  </si>
  <si>
    <t>P001-42864</t>
  </si>
  <si>
    <t>P001-42865</t>
  </si>
  <si>
    <t>P001-42866</t>
  </si>
  <si>
    <t xml:space="preserve">CAMPOS CASTRO LUIS FERNANDO </t>
  </si>
  <si>
    <t>P002-32314</t>
  </si>
  <si>
    <t xml:space="preserve">ROSALES MAYTA NILDO MIRARDO  </t>
  </si>
  <si>
    <t>P002-32315</t>
  </si>
  <si>
    <t>P002-32316</t>
  </si>
  <si>
    <t>P002-32317</t>
  </si>
  <si>
    <t>P002-32318</t>
  </si>
  <si>
    <t>P002-32319</t>
  </si>
  <si>
    <t>P002-32320</t>
  </si>
  <si>
    <t>P002-32321</t>
  </si>
  <si>
    <t>P002-32322</t>
  </si>
  <si>
    <t>P002-32323</t>
  </si>
  <si>
    <t>MINOPE GUEVARA WALTHER</t>
  </si>
  <si>
    <t>SANCHEZ HURTADO NEYLER</t>
  </si>
  <si>
    <t xml:space="preserve">CHOMBA GUERRA LUIS ARMANDO  P00100042822   </t>
  </si>
  <si>
    <t xml:space="preserve">CHOMBA GUERRA LUIS ARMANDO  P00100042836 </t>
  </si>
  <si>
    <t xml:space="preserve">ANGEL MORENO/ 3 HORAS MAQUINA GUSTAVO 360-30     </t>
  </si>
  <si>
    <t xml:space="preserve">ALMUERZO ANGEL Y GAONA   </t>
  </si>
  <si>
    <t xml:space="preserve">PASAJE CAMILA         </t>
  </si>
  <si>
    <t>P001-42867</t>
  </si>
  <si>
    <t xml:space="preserve">MEDINA GAMBOA LUCIO  </t>
  </si>
  <si>
    <t>P002-32324</t>
  </si>
  <si>
    <t>P002-32325</t>
  </si>
  <si>
    <t>OSCAR ALBERTO CEL. 979736806 P00100042721</t>
  </si>
  <si>
    <t>JORDIN HERRERA - CL OSCAR ALBERTO</t>
  </si>
  <si>
    <t>COMPRA DE 6.5 ARENILLA *25</t>
  </si>
  <si>
    <t>P001-42868</t>
  </si>
  <si>
    <t>P001-42869</t>
  </si>
  <si>
    <t>P001-42870</t>
  </si>
  <si>
    <t>P001-42871</t>
  </si>
  <si>
    <t>P002-32326</t>
  </si>
  <si>
    <t>P002-32327</t>
  </si>
  <si>
    <t>PAGO DE PERSONAL - CEMENTO / JEINER</t>
  </si>
  <si>
    <t>P002-32328</t>
  </si>
  <si>
    <t>VIVIAN</t>
  </si>
  <si>
    <t>P001-42872</t>
  </si>
  <si>
    <t>P001-42873</t>
  </si>
  <si>
    <t>P001-42874</t>
  </si>
  <si>
    <t xml:space="preserve">FLETE CARRO PLOMO    </t>
  </si>
  <si>
    <t xml:space="preserve">SABADO 06-06-2026- CAJA H&amp;C </t>
  </si>
  <si>
    <t>F00100002994</t>
  </si>
  <si>
    <t>F00100002995</t>
  </si>
  <si>
    <t>P001-42875</t>
  </si>
  <si>
    <t>P001-42876</t>
  </si>
  <si>
    <t>P001-42877</t>
  </si>
  <si>
    <t>P001-42878</t>
  </si>
  <si>
    <t>P001-42879</t>
  </si>
  <si>
    <t>P001-42880</t>
  </si>
  <si>
    <t>P001-42881</t>
  </si>
  <si>
    <t>P001-42882</t>
  </si>
  <si>
    <t>P001-42883</t>
  </si>
  <si>
    <t>P001-42884</t>
  </si>
  <si>
    <t>P001-42885</t>
  </si>
  <si>
    <t>P001-42886</t>
  </si>
  <si>
    <t>P001-42887</t>
  </si>
  <si>
    <t>P001-42888</t>
  </si>
  <si>
    <t xml:space="preserve">DIAZ CHICOMA MILTON HUGO </t>
  </si>
  <si>
    <t xml:space="preserve">CAMPOS BURGOS SALOMON       </t>
  </si>
  <si>
    <t>P002-32329</t>
  </si>
  <si>
    <t>P002-32330</t>
  </si>
  <si>
    <t>COMPRA 2.5 ARENILLA*25+1 P CHANCADA 3/4</t>
  </si>
  <si>
    <t>COMPRA DE 20 M3 ARENA AMARILLA*38</t>
  </si>
  <si>
    <t xml:space="preserve">COMPRA DE 50 CEMENTO AZUL PACASMAYO / CAMIZAN </t>
  </si>
  <si>
    <t xml:space="preserve">TRANSPORTES MARIA ANTONIETA S.A.C.   </t>
  </si>
  <si>
    <t>F00100002996</t>
  </si>
  <si>
    <t>F00100002997</t>
  </si>
  <si>
    <t>P002-32331</t>
  </si>
  <si>
    <t>P002-32332</t>
  </si>
  <si>
    <t>P002-32333</t>
  </si>
  <si>
    <t>P002-32334</t>
  </si>
  <si>
    <t>P002-32335</t>
  </si>
  <si>
    <t>P002-32336</t>
  </si>
  <si>
    <t>P002-32337</t>
  </si>
  <si>
    <t>P002-32338</t>
  </si>
  <si>
    <t>P002-32339</t>
  </si>
  <si>
    <t>P002-32340</t>
  </si>
  <si>
    <t>P002-32341</t>
  </si>
  <si>
    <t>P002-32342</t>
  </si>
  <si>
    <t>P002-32343</t>
  </si>
  <si>
    <t>P002-32344</t>
  </si>
  <si>
    <t>P002-32345</t>
  </si>
  <si>
    <t>P002-32346</t>
  </si>
  <si>
    <t>P002-32347</t>
  </si>
  <si>
    <t>P002-32348</t>
  </si>
  <si>
    <t>P002-32349</t>
  </si>
  <si>
    <t>P002-32350</t>
  </si>
  <si>
    <t>P002-32351</t>
  </si>
  <si>
    <t xml:space="preserve">TIGRE GUERRERO JOSE ALBERTO </t>
  </si>
  <si>
    <t xml:space="preserve">ROSALES MAYTA NILDO MIRARDO </t>
  </si>
  <si>
    <t xml:space="preserve">FREDY ALVA     </t>
  </si>
  <si>
    <t>JEINER HERRERA - FERRETERIA LA UNION P00100042873</t>
  </si>
  <si>
    <t xml:space="preserve">LINEA DE CELULAR/ YOVER </t>
  </si>
  <si>
    <t>DIFERENCIA DE CEMENTO SEÑORA CAMISAN AQUIN - ROJO POR AZUL</t>
  </si>
  <si>
    <t xml:space="preserve">JEINER HERRERA - FERRETERIA LA UNION P00100042763  </t>
  </si>
  <si>
    <t xml:space="preserve">P002-32335 DEVOLUCION DE YAPE    </t>
  </si>
  <si>
    <t xml:space="preserve">CARNE DE CERDO / JEINER  </t>
  </si>
  <si>
    <t xml:space="preserve">JULIAN - JBC - COMBUSTIBLE   </t>
  </si>
  <si>
    <t xml:space="preserve">FLETE ARDILES          </t>
  </si>
  <si>
    <t xml:space="preserve">DESAYUNO ANGEL MORENO    </t>
  </si>
  <si>
    <t>P001-42889</t>
  </si>
  <si>
    <t>P001-42890</t>
  </si>
  <si>
    <t>P001-42891</t>
  </si>
  <si>
    <t>P001-42892</t>
  </si>
  <si>
    <t>P002-32352</t>
  </si>
  <si>
    <t>CAMISAN AQUINO / YAPEO 261-200 61 DIFERENCIA</t>
  </si>
  <si>
    <t xml:space="preserve">TERMINALES HEMBRA Y MACHO </t>
  </si>
  <si>
    <t xml:space="preserve">FLETES VOLQUETE GRIS </t>
  </si>
  <si>
    <t>P001-42893</t>
  </si>
  <si>
    <t>P002-32353</t>
  </si>
  <si>
    <t xml:space="preserve">SALDO DE CAJA 05-06 </t>
  </si>
  <si>
    <t xml:space="preserve">DEVOLUCION DE PRESTAMO JORDIN FIERRO PAKATNAMU </t>
  </si>
  <si>
    <t xml:space="preserve">10 MIL DEBERIA </t>
  </si>
  <si>
    <t>SALDO DE CAJA 06-06</t>
  </si>
  <si>
    <t xml:space="preserve">DOMINGO 07-06-2026- CAJA H&amp;C </t>
  </si>
  <si>
    <t>B001-1834</t>
  </si>
  <si>
    <t xml:space="preserve">SOTO SARAVIA VICTOR RAUL </t>
  </si>
  <si>
    <t>P002-32354</t>
  </si>
  <si>
    <t>P002-32355</t>
  </si>
  <si>
    <t>P002-32356</t>
  </si>
  <si>
    <t>P002-32357</t>
  </si>
  <si>
    <t>P002-32358</t>
  </si>
  <si>
    <t>P002-32359</t>
  </si>
  <si>
    <t>P002-32360</t>
  </si>
  <si>
    <t>P002-32361</t>
  </si>
  <si>
    <t>P002-32362</t>
  </si>
  <si>
    <t>P002-32363</t>
  </si>
  <si>
    <t>P002-32364</t>
  </si>
  <si>
    <t>P002-32365</t>
  </si>
  <si>
    <t>P002-32366</t>
  </si>
  <si>
    <t>P002-32367</t>
  </si>
  <si>
    <t>JARA ARMIJOS JOSE ARMANDO</t>
  </si>
  <si>
    <t>GASEOSA ESTIBADORES</t>
  </si>
  <si>
    <t>P002-32368</t>
  </si>
  <si>
    <t>P002-32369</t>
  </si>
  <si>
    <t>P002-32370</t>
  </si>
  <si>
    <t>P002-32371</t>
  </si>
  <si>
    <t xml:space="preserve">JEINER HERRERA - 2 SEMANAS </t>
  </si>
  <si>
    <t>P002-32372</t>
  </si>
  <si>
    <t>P002-32373</t>
  </si>
  <si>
    <t xml:space="preserve">LUNES 08-06-2026- CAJA H&amp;C </t>
  </si>
  <si>
    <t>F001-2998</t>
  </si>
  <si>
    <t>F001-2999</t>
  </si>
  <si>
    <t>P001-42894</t>
  </si>
  <si>
    <t>P001-42895</t>
  </si>
  <si>
    <t>P001-42896</t>
  </si>
  <si>
    <t>P001-42897</t>
  </si>
  <si>
    <t>P001-42898</t>
  </si>
  <si>
    <t>P001-42899</t>
  </si>
  <si>
    <t>P001-42900</t>
  </si>
  <si>
    <t>P001-42901</t>
  </si>
  <si>
    <t>P001-42902</t>
  </si>
  <si>
    <t>P001-42903</t>
  </si>
  <si>
    <t>P001-42904</t>
  </si>
  <si>
    <t>P001-42905</t>
  </si>
  <si>
    <t>P001-42906</t>
  </si>
  <si>
    <t>P001-42907</t>
  </si>
  <si>
    <t>P001-42908</t>
  </si>
  <si>
    <t>P001-42909</t>
  </si>
  <si>
    <t>P001-42910</t>
  </si>
  <si>
    <t>P001-42911</t>
  </si>
  <si>
    <t>CARLOS SILVA</t>
  </si>
  <si>
    <t>SANTIAGO MENDOZA SANTOS</t>
  </si>
  <si>
    <t xml:space="preserve">VENTAS JEINER  </t>
  </si>
  <si>
    <t>P002-32374</t>
  </si>
  <si>
    <t>P002-32375</t>
  </si>
  <si>
    <t>P002-32376</t>
  </si>
  <si>
    <t>P002-32377</t>
  </si>
  <si>
    <t>P002-32378</t>
  </si>
  <si>
    <t>P002-32379</t>
  </si>
  <si>
    <t>P002-32380</t>
  </si>
  <si>
    <t>P002-32381</t>
  </si>
  <si>
    <t>P002-32382</t>
  </si>
  <si>
    <t>P002-32383</t>
  </si>
  <si>
    <t>P002-32384</t>
  </si>
  <si>
    <t>P002-32385</t>
  </si>
  <si>
    <t>P002-32386</t>
  </si>
  <si>
    <t>P002-32387</t>
  </si>
  <si>
    <t>P002-32388</t>
  </si>
  <si>
    <t xml:space="preserve">CLIDER - MIRAFLORES        </t>
  </si>
  <si>
    <t xml:space="preserve">HUAMAN MORI MILDER DEYBI   </t>
  </si>
  <si>
    <t xml:space="preserve">INCIDENTE DEL PORTON </t>
  </si>
  <si>
    <t xml:space="preserve">COMBUSTIBLE FUSO       </t>
  </si>
  <si>
    <t>P002-32389</t>
  </si>
  <si>
    <t xml:space="preserve">COMPRA DE 12 BASE ZINCROMATO *12.5/ ARACELY </t>
  </si>
  <si>
    <t xml:space="preserve">COMPRA DE 5Y 2 PCHANCADA 1/2 Y 3 ARENA AMARILLA / 3 ARENILLA </t>
  </si>
  <si>
    <t>F001-3000</t>
  </si>
  <si>
    <t>P001-42912</t>
  </si>
  <si>
    <t>P001-42913</t>
  </si>
  <si>
    <t>P001-42914</t>
  </si>
  <si>
    <t>P001-42915</t>
  </si>
  <si>
    <t>P001-42916</t>
  </si>
  <si>
    <t>P001-42917</t>
  </si>
  <si>
    <t>P001-42918</t>
  </si>
  <si>
    <t>P001-42919</t>
  </si>
  <si>
    <t>P001-42920</t>
  </si>
  <si>
    <t>JIBAJA NEYRA KEVIN OVET</t>
  </si>
  <si>
    <t>SANCHEZ VASQUEZ FRANKLI JHOEL</t>
  </si>
  <si>
    <t>P002-32390</t>
  </si>
  <si>
    <t>P002-32391</t>
  </si>
  <si>
    <t>P002-32392</t>
  </si>
  <si>
    <t xml:space="preserve">DIAZ BARCO MAGDALENA P00200032244 </t>
  </si>
  <si>
    <t>P001-42921</t>
  </si>
  <si>
    <t>P001-42922</t>
  </si>
  <si>
    <t>P001-42923</t>
  </si>
  <si>
    <t xml:space="preserve">PARCHE DE LLANTA FORLAND   </t>
  </si>
  <si>
    <t xml:space="preserve">ESTIBADORES CEMENTO      </t>
  </si>
  <si>
    <t xml:space="preserve">DEVOLUCION DE YAPE / INVERSIONES Y TRANSPORTES/ JORDIN </t>
  </si>
  <si>
    <t xml:space="preserve">GRUPO CORPORATIVO HERRERA E.I.R.L. / 50 CEMENTO AZUL PACASMAYO </t>
  </si>
  <si>
    <t>VERA QUINTANA RAFAEL ALEX JAVIER - 948784805 P00100042791</t>
  </si>
  <si>
    <t xml:space="preserve">MARTES 09-06-2026- CAJA H&amp;C </t>
  </si>
  <si>
    <t xml:space="preserve">COMPRA DE 20 LADRILLO TECHO 15 LARK *3 COFESEG </t>
  </si>
  <si>
    <t>COMPRA DE 30 CEMENTO ROJO MOCHICA / HENRRY *30</t>
  </si>
  <si>
    <t>B00100001835</t>
  </si>
  <si>
    <t>F00100003001</t>
  </si>
  <si>
    <t>F00100003002</t>
  </si>
  <si>
    <t>P001-42924</t>
  </si>
  <si>
    <t>P001-42925</t>
  </si>
  <si>
    <t>P001-42926</t>
  </si>
  <si>
    <t>P001-42927</t>
  </si>
  <si>
    <t>P001-42928</t>
  </si>
  <si>
    <t>P001-42929</t>
  </si>
  <si>
    <t>P001-42930</t>
  </si>
  <si>
    <t>P001-42931</t>
  </si>
  <si>
    <t>P001-42932</t>
  </si>
  <si>
    <t>P001-42933</t>
  </si>
  <si>
    <t>P001-42934</t>
  </si>
  <si>
    <t>P001-42935</t>
  </si>
  <si>
    <t>P002-32393</t>
  </si>
  <si>
    <t>P002-32394</t>
  </si>
  <si>
    <t>P002-32395</t>
  </si>
  <si>
    <t>P002-32396</t>
  </si>
  <si>
    <t>P002-32397</t>
  </si>
  <si>
    <t>P002-32398</t>
  </si>
  <si>
    <t>P002-32399</t>
  </si>
  <si>
    <t>P002-32400</t>
  </si>
  <si>
    <t>P002-32401</t>
  </si>
  <si>
    <t>P002-32402</t>
  </si>
  <si>
    <t>P002-32403</t>
  </si>
  <si>
    <t xml:space="preserve">QUISPE         </t>
  </si>
  <si>
    <t xml:space="preserve">CHOMBA GUERRA LUIS ARMANDO - 965076122 P00100042917 </t>
  </si>
  <si>
    <t>CHOMBA GUERRA LUIS ARMANDO - 965076122 P00100042923</t>
  </si>
  <si>
    <t xml:space="preserve">CARGUIO ZAMORA 4 CUBOS </t>
  </si>
  <si>
    <t xml:space="preserve">COMPRA DE 1 GLN DE COLA   </t>
  </si>
  <si>
    <t>COMPRA DE PEGAMENTOS 1/32 Y LLAVE DE PASO CON UNIVERSAL 6.00</t>
  </si>
  <si>
    <t xml:space="preserve">COMPRA DE AGREGADOS 4 ARENA, 2 ARENILLA,1 P CHANCADA , 5 PIEDRA BASE </t>
  </si>
  <si>
    <t xml:space="preserve">SEGIK INGENIEROS SOCIEDAD ANONIMA CERRADA </t>
  </si>
  <si>
    <t>F00100003003</t>
  </si>
  <si>
    <t>P001-42936</t>
  </si>
  <si>
    <t>P001-42937</t>
  </si>
  <si>
    <t>P001-42938</t>
  </si>
  <si>
    <t>P001-42939</t>
  </si>
  <si>
    <t>P001-42940</t>
  </si>
  <si>
    <t>P001-42941</t>
  </si>
  <si>
    <t>P001-42942</t>
  </si>
  <si>
    <t xml:space="preserve">HERRERA SALAZAR JORDIN         </t>
  </si>
  <si>
    <t>P002-32404</t>
  </si>
  <si>
    <t>P002-32405</t>
  </si>
  <si>
    <t>P002-32406</t>
  </si>
  <si>
    <t>P002-32407</t>
  </si>
  <si>
    <t>P002-32408</t>
  </si>
  <si>
    <t xml:space="preserve">TORRES HERNANDEZ JOSE FRANKLIN </t>
  </si>
  <si>
    <t xml:space="preserve">FREDY ALVA P00200032285         </t>
  </si>
  <si>
    <t xml:space="preserve">FREDY ALVA P00200032289    </t>
  </si>
  <si>
    <t xml:space="preserve">FREDY ALVA P00200032338  </t>
  </si>
  <si>
    <t xml:space="preserve">FLETES LUCAS Y ANGEL A JH     </t>
  </si>
  <si>
    <t xml:space="preserve">COMBUSTIBLE MONTACARGA NUEVO       </t>
  </si>
  <si>
    <t>DEVOLUCION DE PRESTAMO INVERSIONES Y TRANSPORTES JH / FIERRO PAKATNAMU</t>
  </si>
  <si>
    <t xml:space="preserve">DESCARGAR CEMENTO DOMINGO ANGEL  </t>
  </si>
  <si>
    <t>F00100003004</t>
  </si>
  <si>
    <t xml:space="preserve">ALEJANDRO VASQUEZ P00100039754   </t>
  </si>
  <si>
    <t xml:space="preserve">FLETE VOLQUETE GRIS        </t>
  </si>
  <si>
    <t>B00100001836</t>
  </si>
  <si>
    <t>VEGA ALAMO ELVIS JEFERSON</t>
  </si>
  <si>
    <t>F00100003005</t>
  </si>
  <si>
    <t>F00100003006</t>
  </si>
  <si>
    <t>F00100003007</t>
  </si>
  <si>
    <t xml:space="preserve">VENTAS Y SERVICIOS A &amp; G </t>
  </si>
  <si>
    <t>SERVICIOS GOLDEN STAR</t>
  </si>
  <si>
    <t>P001-42943</t>
  </si>
  <si>
    <t>P001-42944</t>
  </si>
  <si>
    <t>P001-42945</t>
  </si>
  <si>
    <t>P001-42946</t>
  </si>
  <si>
    <t>P001-42947</t>
  </si>
  <si>
    <t>P001-42948</t>
  </si>
  <si>
    <t>P001-42949</t>
  </si>
  <si>
    <t>P001-42950</t>
  </si>
  <si>
    <t>P001-42951</t>
  </si>
  <si>
    <t>P001-42952</t>
  </si>
  <si>
    <t>P001-42953</t>
  </si>
  <si>
    <t>P001-42954</t>
  </si>
  <si>
    <t>P001-42955</t>
  </si>
  <si>
    <t>P001-42956</t>
  </si>
  <si>
    <t>P001-42957</t>
  </si>
  <si>
    <t>P002-32409</t>
  </si>
  <si>
    <t>P002-32410</t>
  </si>
  <si>
    <t>P002-32411</t>
  </si>
  <si>
    <t>P002-32412</t>
  </si>
  <si>
    <t>P002-32413</t>
  </si>
  <si>
    <t>P002-32414</t>
  </si>
  <si>
    <t>P002-32415</t>
  </si>
  <si>
    <t>P002-32416</t>
  </si>
  <si>
    <t>P002-32417</t>
  </si>
  <si>
    <t>P002-32418</t>
  </si>
  <si>
    <t xml:space="preserve">SEGUNDO LLAGUENTO DARIO </t>
  </si>
  <si>
    <t xml:space="preserve">CHIRINOS RIOJAS RONALD </t>
  </si>
  <si>
    <t>SALAZAR PEÑA MARIA JANNET</t>
  </si>
  <si>
    <t xml:space="preserve">TORRES HERNANDEZ JOSE </t>
  </si>
  <si>
    <t xml:space="preserve">FERNANDEZ LOPEZ ROIDER </t>
  </si>
  <si>
    <t>VASQUEZ CALUA DAVID</t>
  </si>
  <si>
    <t>CHOMBA GUERRA LUIS</t>
  </si>
  <si>
    <t>NEGRON SERNAQUE MARIA</t>
  </si>
  <si>
    <t xml:space="preserve">BAUTISTA CARRASCO ELMER - </t>
  </si>
  <si>
    <t xml:space="preserve">LOPEZ AGUILAR OFELIA </t>
  </si>
  <si>
    <t xml:space="preserve">JORGE QUEREVALU MARIN (MAESTRO) P00100016577    </t>
  </si>
  <si>
    <t xml:space="preserve">JORGE QUEREVALU MARIN (MAESTRO) P00100016593  </t>
  </si>
  <si>
    <t xml:space="preserve">JORGE QUEREVALU MARIN (MAESTRO) P00100016876  </t>
  </si>
  <si>
    <t xml:space="preserve">JORGE QUEREVALU MARIN (MAESTRO) P00100016960   </t>
  </si>
  <si>
    <t xml:space="preserve">IGLESIA ADVENTISTA LAS LOMAS P00100042253     </t>
  </si>
  <si>
    <t xml:space="preserve">CARGIO ZAMORA -3 CUBOS   </t>
  </si>
  <si>
    <t xml:space="preserve">JORGUE QUERAVALU - PERDIDA            </t>
  </si>
  <si>
    <t xml:space="preserve">COMBUSTIBLE FORLAND ANGEL  </t>
  </si>
  <si>
    <t xml:space="preserve">COMPRA DE 11 ARENILLA /1.5 PIEDRA BASE </t>
  </si>
  <si>
    <t>P001-42958</t>
  </si>
  <si>
    <t>P002-32419</t>
  </si>
  <si>
    <t>F00100003008</t>
  </si>
  <si>
    <t>P001-42959</t>
  </si>
  <si>
    <t>P001-42960</t>
  </si>
  <si>
    <t>P001-42961</t>
  </si>
  <si>
    <t>P001-42962</t>
  </si>
  <si>
    <t>P001-42963</t>
  </si>
  <si>
    <t>P001-42964</t>
  </si>
  <si>
    <t>P001-42965</t>
  </si>
  <si>
    <t>P001-42966</t>
  </si>
  <si>
    <t>P001-42967</t>
  </si>
  <si>
    <t>P001-42968</t>
  </si>
  <si>
    <t>P001-42969</t>
  </si>
  <si>
    <t>P001-42970</t>
  </si>
  <si>
    <t>P001-42971</t>
  </si>
  <si>
    <t>P001-42972</t>
  </si>
  <si>
    <t>P002-32420</t>
  </si>
  <si>
    <t>P002-32421</t>
  </si>
  <si>
    <t>P002-32422</t>
  </si>
  <si>
    <t>P002-32423</t>
  </si>
  <si>
    <t>P002-32424</t>
  </si>
  <si>
    <t>P002-32425</t>
  </si>
  <si>
    <t>P002-32426</t>
  </si>
  <si>
    <t xml:space="preserve">ORLANDO VASQUEZ    </t>
  </si>
  <si>
    <t xml:space="preserve">KAREN  AQUINO P00200032242 </t>
  </si>
  <si>
    <t xml:space="preserve">TITO MECANICO       </t>
  </si>
  <si>
    <t xml:space="preserve">FILTRO Y ACEITE MAQUINA    </t>
  </si>
  <si>
    <t xml:space="preserve">KAREN  AQUINO P00100042925    </t>
  </si>
  <si>
    <t xml:space="preserve">ALMUERZO MODESTO </t>
  </si>
  <si>
    <t xml:space="preserve">FLETES CARRO PLOMO </t>
  </si>
  <si>
    <t xml:space="preserve">SOLDADURA DE PORTON - MANO DE OBRA </t>
  </si>
  <si>
    <t xml:space="preserve">MIERCOLES 10-06-2026- CAJA H&amp;C </t>
  </si>
  <si>
    <t>INVERSIONES &amp; TRANSPORTES JH E.I.R.L.     09-06</t>
  </si>
  <si>
    <t>INVERSIONES &amp; TRANSPORTES JH E.I.R.L.     10-06</t>
  </si>
  <si>
    <t>COMPRA DE 5 ARENILLA *20+5 ARENA A*38</t>
  </si>
  <si>
    <t xml:space="preserve">FLETE CARLOS HERRERA AGREGADOS ANAYELY </t>
  </si>
  <si>
    <t>P001-42973</t>
  </si>
  <si>
    <t>SEGIK INGENIEROS SOCIEDAD ANONIMA CERRADA</t>
  </si>
  <si>
    <t>F00100003009</t>
  </si>
  <si>
    <t xml:space="preserve">VIERNES 12-06-2026- CAJA H&amp;C </t>
  </si>
  <si>
    <t>COMPRA DE 4 PIEDRA CHANCADA 1/2*70</t>
  </si>
  <si>
    <t>F00100003015</t>
  </si>
  <si>
    <t>P001-43026</t>
  </si>
  <si>
    <t>P001-43027</t>
  </si>
  <si>
    <t>P001-43028</t>
  </si>
  <si>
    <t>P001-43029</t>
  </si>
  <si>
    <t>P001-43030</t>
  </si>
  <si>
    <t>P001-43031</t>
  </si>
  <si>
    <t>P001-43032</t>
  </si>
  <si>
    <t>P001-43033</t>
  </si>
  <si>
    <t>P001-43034</t>
  </si>
  <si>
    <t>P001-43035</t>
  </si>
  <si>
    <t>P001-43036</t>
  </si>
  <si>
    <t>P001-43037</t>
  </si>
  <si>
    <t>P001-43038</t>
  </si>
  <si>
    <t>P001-43039</t>
  </si>
  <si>
    <t>P001-43040</t>
  </si>
  <si>
    <t>P001-43041</t>
  </si>
  <si>
    <t>P001-43042</t>
  </si>
  <si>
    <t>P001-43043</t>
  </si>
  <si>
    <t>P001-43044</t>
  </si>
  <si>
    <t>P001-43045</t>
  </si>
  <si>
    <t>P001-43046</t>
  </si>
  <si>
    <t>MENDEZ LIMAYMANTA JUAN CARLOS</t>
  </si>
  <si>
    <t xml:space="preserve">JULCA BRAVO CELSO   </t>
  </si>
  <si>
    <t>F00100003016</t>
  </si>
  <si>
    <t>F00100003017</t>
  </si>
  <si>
    <t>F00100003018</t>
  </si>
  <si>
    <t>P001-43047</t>
  </si>
  <si>
    <t xml:space="preserve">DEYSI VALDIVIEZO </t>
  </si>
  <si>
    <t xml:space="preserve">HERRERA SALAZAR JORDIN       </t>
  </si>
  <si>
    <t xml:space="preserve">NEGRON SERNAQUE MARIA ROSA </t>
  </si>
  <si>
    <t xml:space="preserve">SANTA CRUZ PEREZ ROSA GRIMALDINA  </t>
  </si>
  <si>
    <t>P002-32433</t>
  </si>
  <si>
    <t>P002-32434</t>
  </si>
  <si>
    <t>P002-32435</t>
  </si>
  <si>
    <t>P002-32436</t>
  </si>
  <si>
    <t>P002-32437</t>
  </si>
  <si>
    <t>P002-32438</t>
  </si>
  <si>
    <t>P002-32439</t>
  </si>
  <si>
    <t>P002-32440</t>
  </si>
  <si>
    <t>P002-32441</t>
  </si>
  <si>
    <t>P002-32442</t>
  </si>
  <si>
    <t>P002-32443</t>
  </si>
  <si>
    <t>P002-32444</t>
  </si>
  <si>
    <t>P002-32445</t>
  </si>
  <si>
    <t>P002-32446</t>
  </si>
  <si>
    <t>P002-32447</t>
  </si>
  <si>
    <t>P002-32448</t>
  </si>
  <si>
    <t>P002-32449</t>
  </si>
  <si>
    <t xml:space="preserve">CALIBRADOR      </t>
  </si>
  <si>
    <t xml:space="preserve">YDROGO GALVEZ YONATAN P00100042989 </t>
  </si>
  <si>
    <t xml:space="preserve">FLETE CARLOS - FIERRO     </t>
  </si>
  <si>
    <t>COMPRA DE 14 BIDONES DE AGUA DEL 27 MAYO AL 12 DE JUNIO</t>
  </si>
  <si>
    <t>COMPRA DE 3.5 PIEDRA CHANCADA 1/2*70</t>
  </si>
  <si>
    <t xml:space="preserve">FLETE CARLOS HERRERA - PIEDRA CHANCADA     </t>
  </si>
  <si>
    <t>P001-43048</t>
  </si>
  <si>
    <t>P001-43049</t>
  </si>
  <si>
    <t>P001-43050</t>
  </si>
  <si>
    <t xml:space="preserve">DIAZ PALMA EDWIN EDIX          </t>
  </si>
  <si>
    <t>P002-32450</t>
  </si>
  <si>
    <t>P002-32451</t>
  </si>
  <si>
    <t>P002-32452</t>
  </si>
  <si>
    <t>P002-32453</t>
  </si>
  <si>
    <t>VEGA MENA MARIA JANET</t>
  </si>
  <si>
    <t>EMPRESA AGROINDUSTRIAl</t>
  </si>
  <si>
    <t>FLETE CALAMINAS</t>
  </si>
  <si>
    <t xml:space="preserve">ADELANTO ANGEL MORENO   </t>
  </si>
  <si>
    <t xml:space="preserve">FLETE VOLQUETE GRIS   </t>
  </si>
  <si>
    <t xml:space="preserve">PASAJE LUCAS  </t>
  </si>
  <si>
    <t xml:space="preserve">SABADO 13-06-2026- CAJA H&amp;C </t>
  </si>
  <si>
    <t>F00100003019</t>
  </si>
  <si>
    <t>F00100003020</t>
  </si>
  <si>
    <t>F00100003021</t>
  </si>
  <si>
    <t>F00100003022</t>
  </si>
  <si>
    <t>DE LA CRUZ ZELADA ABOGADOS CONSULTORES</t>
  </si>
  <si>
    <t>P001-43051</t>
  </si>
  <si>
    <t>P001-43052</t>
  </si>
  <si>
    <t>P001-43053</t>
  </si>
  <si>
    <t>P001-43054</t>
  </si>
  <si>
    <t>P001-43055</t>
  </si>
  <si>
    <t>P001-43056</t>
  </si>
  <si>
    <t>P001-43057</t>
  </si>
  <si>
    <t>P001-43058</t>
  </si>
  <si>
    <t>P001-43059</t>
  </si>
  <si>
    <t>P001-43060</t>
  </si>
  <si>
    <t>P001-43061</t>
  </si>
  <si>
    <t>P001-43062</t>
  </si>
  <si>
    <t>P001-43063</t>
  </si>
  <si>
    <t>P001-43064</t>
  </si>
  <si>
    <t>P001-43065</t>
  </si>
  <si>
    <t>P001-43066</t>
  </si>
  <si>
    <t>P001-43067</t>
  </si>
  <si>
    <t>P001-43068</t>
  </si>
  <si>
    <t>P001-43069</t>
  </si>
  <si>
    <t>P001-43070</t>
  </si>
  <si>
    <t xml:space="preserve">CARLOS SILVA      </t>
  </si>
  <si>
    <t>P002-32454</t>
  </si>
  <si>
    <t>P002-32455</t>
  </si>
  <si>
    <t>P002-32456</t>
  </si>
  <si>
    <t>P002-32457</t>
  </si>
  <si>
    <t>P002-32458</t>
  </si>
  <si>
    <t>P001-43071</t>
  </si>
  <si>
    <t>P002-32459</t>
  </si>
  <si>
    <t xml:space="preserve">SEMPERTEGUI BARAHONA RONALD    </t>
  </si>
  <si>
    <t xml:space="preserve">UCEDA CARRANZA ANTHONY       </t>
  </si>
  <si>
    <t xml:space="preserve">CLIDER - MIRAFLORES     </t>
  </si>
  <si>
    <t>P001-43072</t>
  </si>
  <si>
    <t>LLAJAS SIPION LUIS ALFREDO - 908594009 P00100043050</t>
  </si>
  <si>
    <t xml:space="preserve">CARGUIO ZAMORA - 4 CUBOS        </t>
  </si>
  <si>
    <t>P002-32460</t>
  </si>
  <si>
    <t xml:space="preserve">MIGUEL DELGADO - PAGO              </t>
  </si>
  <si>
    <t xml:space="preserve">COMBUSTIBLE JBC                </t>
  </si>
  <si>
    <t xml:space="preserve">FREDY ALVA P00200032405       </t>
  </si>
  <si>
    <t>COMPRA DE 18 PIEDRA CHANCADA 1/2</t>
  </si>
  <si>
    <t>B00100001838</t>
  </si>
  <si>
    <t xml:space="preserve">SANCHEZ VASQUEZ ELVA MARINA   </t>
  </si>
  <si>
    <t>P001-43073</t>
  </si>
  <si>
    <t>P001-43074</t>
  </si>
  <si>
    <t>P001-43075</t>
  </si>
  <si>
    <t>P001-43076</t>
  </si>
  <si>
    <t xml:space="preserve">WALTER TELLO  </t>
  </si>
  <si>
    <t>P002-32461</t>
  </si>
  <si>
    <t>P002-32462</t>
  </si>
  <si>
    <t>P002-32463</t>
  </si>
  <si>
    <t>P002-32464</t>
  </si>
  <si>
    <t>P002-32465</t>
  </si>
  <si>
    <t>P002-32466</t>
  </si>
  <si>
    <t xml:space="preserve">DIAZ PALMA EDWIN EDIX P00100043049   </t>
  </si>
  <si>
    <t>F00100003023</t>
  </si>
  <si>
    <t>P001-43077</t>
  </si>
  <si>
    <t>P001-43078</t>
  </si>
  <si>
    <t>P001-43079</t>
  </si>
  <si>
    <t>P001-43080</t>
  </si>
  <si>
    <t>P001-43081</t>
  </si>
  <si>
    <t>P001-43082</t>
  </si>
  <si>
    <t>P001-43083</t>
  </si>
  <si>
    <t>P001-43084</t>
  </si>
  <si>
    <t>HERRERA SALAZAR JORDIN</t>
  </si>
  <si>
    <t>P002-32467</t>
  </si>
  <si>
    <t>P002-32468</t>
  </si>
  <si>
    <t>P002-32469</t>
  </si>
  <si>
    <t>P002-32470</t>
  </si>
  <si>
    <t>P002-32471</t>
  </si>
  <si>
    <t>P002-32472</t>
  </si>
  <si>
    <t>P002-32473</t>
  </si>
  <si>
    <t>P002-32474</t>
  </si>
  <si>
    <t>P002-32475</t>
  </si>
  <si>
    <t xml:space="preserve">SOBRANTE DE CAJA 12-06 </t>
  </si>
  <si>
    <t xml:space="preserve">JEINER HERRERA P00100043018 </t>
  </si>
  <si>
    <t xml:space="preserve">COMBUSTIBLE FUSO         </t>
  </si>
  <si>
    <t xml:space="preserve">ANULADO /NIEVES TORRES CIEZA </t>
  </si>
  <si>
    <t xml:space="preserve">BAUTISTA CARRASCO ELMER/ ANULADO </t>
  </si>
  <si>
    <t>INVERSIONES &amp; TRANSPORTES JH E.I.R.L. 13-06</t>
  </si>
  <si>
    <t>INVERSIONES &amp; TRANSPORTES JH E.I.R.L. 12-06</t>
  </si>
  <si>
    <t>COMPRA 2 ARENILLA, 3.5 ARENA AMARILLA, 0.5 P CHANCADA 30</t>
  </si>
  <si>
    <t>SOBRANTE DE CAJA 13-06</t>
  </si>
  <si>
    <t>2 ARENILLA *20</t>
  </si>
  <si>
    <t>P001-43085</t>
  </si>
  <si>
    <t>P001-43086</t>
  </si>
  <si>
    <t>SUYON GARCIA JOSUE GERSON</t>
  </si>
  <si>
    <t>P002-32476</t>
  </si>
  <si>
    <t>P002-32477</t>
  </si>
  <si>
    <t>P002-32478</t>
  </si>
  <si>
    <t xml:space="preserve">DARWIN BARBOZA   </t>
  </si>
  <si>
    <t xml:space="preserve">ALEXANDER GAONA </t>
  </si>
  <si>
    <t xml:space="preserve">SR MARCOS COLABORADOR </t>
  </si>
  <si>
    <t xml:space="preserve">GRUPO YET S.A.C.            </t>
  </si>
  <si>
    <t>F00100003024</t>
  </si>
  <si>
    <t>F00100003025</t>
  </si>
  <si>
    <t xml:space="preserve">EXTRA ANAYELY </t>
  </si>
  <si>
    <t xml:space="preserve">DOMINGO 14-06-2026- CAJA H&amp;C </t>
  </si>
  <si>
    <t>P001-43087</t>
  </si>
  <si>
    <t>F00100003026</t>
  </si>
  <si>
    <t>P001-43088</t>
  </si>
  <si>
    <t>P001-43089</t>
  </si>
  <si>
    <t>P001-43090</t>
  </si>
  <si>
    <t>P001-43091</t>
  </si>
  <si>
    <t>P001-43092</t>
  </si>
  <si>
    <t>P001-43093</t>
  </si>
  <si>
    <t>P001-43094</t>
  </si>
  <si>
    <t>P001-43095</t>
  </si>
  <si>
    <t>P001-43096</t>
  </si>
  <si>
    <t>P001-43097</t>
  </si>
  <si>
    <t>P001-43098</t>
  </si>
  <si>
    <t>P001-43099</t>
  </si>
  <si>
    <t>P001-43100</t>
  </si>
  <si>
    <t>P001-43101</t>
  </si>
  <si>
    <t>P001-43102</t>
  </si>
  <si>
    <t>P001-43103</t>
  </si>
  <si>
    <t>P001-43104</t>
  </si>
  <si>
    <t>P001-43105</t>
  </si>
  <si>
    <t>P001-43106</t>
  </si>
  <si>
    <t>P001-43107</t>
  </si>
  <si>
    <t>P001-43108</t>
  </si>
  <si>
    <t>P001-43109</t>
  </si>
  <si>
    <t>P001-43110</t>
  </si>
  <si>
    <t>P001-43111</t>
  </si>
  <si>
    <t>P001-43112</t>
  </si>
  <si>
    <t>P001-43113</t>
  </si>
  <si>
    <t>P001-43114</t>
  </si>
  <si>
    <t>P001-43115</t>
  </si>
  <si>
    <t>P001-43116</t>
  </si>
  <si>
    <t>P001-43117</t>
  </si>
  <si>
    <t xml:space="preserve">VARGAS NAUCA LUZ DEYNI </t>
  </si>
  <si>
    <t xml:space="preserve">JORDIN HERRERA - OSCAR ALBERTO   </t>
  </si>
  <si>
    <t xml:space="preserve">ANAYELY    </t>
  </si>
  <si>
    <t xml:space="preserve">PEDRO MECANICO  </t>
  </si>
  <si>
    <t>SRA DE LIMPIEZA</t>
  </si>
  <si>
    <t xml:space="preserve">ERNESTO GUEVARA   </t>
  </si>
  <si>
    <t xml:space="preserve">LUNES 15-06-2026- CAJA H&amp;C </t>
  </si>
  <si>
    <t>COMPRA DE 4 ARENILLA *25</t>
  </si>
  <si>
    <t>COMPRA DE 2 ARENILLA *25</t>
  </si>
  <si>
    <t>F00100003027</t>
  </si>
  <si>
    <t>INVERSIONES GIDE S.R.L.</t>
  </si>
  <si>
    <t>F00100003028</t>
  </si>
  <si>
    <t>F00100003029</t>
  </si>
  <si>
    <t>F00100003030</t>
  </si>
  <si>
    <t>F00100003031</t>
  </si>
  <si>
    <t xml:space="preserve">VENTAS Y SERVICIOS A &amp; G E.I.R.L   </t>
  </si>
  <si>
    <t xml:space="preserve">GUERRERO DAVILA FREDY DANIEL         </t>
  </si>
  <si>
    <t xml:space="preserve">ZAMORA CIEZA WALTER         </t>
  </si>
  <si>
    <t>P001-43118</t>
  </si>
  <si>
    <t>P001-43119</t>
  </si>
  <si>
    <t>P001-43120</t>
  </si>
  <si>
    <t>P001-43121</t>
  </si>
  <si>
    <t>P001-43122</t>
  </si>
  <si>
    <t>P001-43123</t>
  </si>
  <si>
    <t>P001-43124</t>
  </si>
  <si>
    <t>P001-43125</t>
  </si>
  <si>
    <t>P001-43126</t>
  </si>
  <si>
    <t>P001-43127</t>
  </si>
  <si>
    <t>P001-43128</t>
  </si>
  <si>
    <t>P001-43129</t>
  </si>
  <si>
    <t>P001-43130</t>
  </si>
  <si>
    <t>P001-43131</t>
  </si>
  <si>
    <t>P001-43132</t>
  </si>
  <si>
    <t>P001-43133</t>
  </si>
  <si>
    <t>P001-43134</t>
  </si>
  <si>
    <t>P001-43135</t>
  </si>
  <si>
    <t>P001-43136</t>
  </si>
  <si>
    <t>P001-43137</t>
  </si>
  <si>
    <t>P001-43138</t>
  </si>
  <si>
    <t>P001-43139</t>
  </si>
  <si>
    <t>P001-43140</t>
  </si>
  <si>
    <t>P001-43141</t>
  </si>
  <si>
    <t>P001-43142</t>
  </si>
  <si>
    <t>P001-43143</t>
  </si>
  <si>
    <t>VARGAS NAUCA LUZ DEYNI</t>
  </si>
  <si>
    <t>CARRASCO UCEDA JUNIOR DANIEL</t>
  </si>
  <si>
    <t xml:space="preserve">REQUEJO CARO ANDRES </t>
  </si>
  <si>
    <t xml:space="preserve">SALAZAR PISCOYA FELICITA VICTORIA      </t>
  </si>
  <si>
    <t xml:space="preserve">ESPINOZA LARA MARCIAL </t>
  </si>
  <si>
    <t>P002-32479</t>
  </si>
  <si>
    <t>P002-32480</t>
  </si>
  <si>
    <t>P002-32481</t>
  </si>
  <si>
    <t>P002-32482</t>
  </si>
  <si>
    <t>P002-32483</t>
  </si>
  <si>
    <t>P002-32484</t>
  </si>
  <si>
    <t>P002-32485</t>
  </si>
  <si>
    <t>P002-32486</t>
  </si>
  <si>
    <t>P002-32487</t>
  </si>
  <si>
    <t>P002-32488</t>
  </si>
  <si>
    <t>P002-32489</t>
  </si>
  <si>
    <t>P002-32490</t>
  </si>
  <si>
    <t>P002-32491</t>
  </si>
  <si>
    <t>P002-32492</t>
  </si>
  <si>
    <t>P002-32493</t>
  </si>
  <si>
    <t>LOPEZ RIMARACHIN EMELINA</t>
  </si>
  <si>
    <t xml:space="preserve">ARSENIO MEJIA P00100043118  </t>
  </si>
  <si>
    <t xml:space="preserve">COMPRA DE 16 M3 ARENILLA *20 </t>
  </si>
  <si>
    <t>F00100003032</t>
  </si>
  <si>
    <t>F00100003033</t>
  </si>
  <si>
    <t>VENTAS Y SERVICIOS A &amp; G</t>
  </si>
  <si>
    <t>P001-43144</t>
  </si>
  <si>
    <t>P001-43145</t>
  </si>
  <si>
    <t>P001-43146</t>
  </si>
  <si>
    <t>P001-43147</t>
  </si>
  <si>
    <t>P001-43148</t>
  </si>
  <si>
    <t>P001-43149</t>
  </si>
  <si>
    <t>P001-43150</t>
  </si>
  <si>
    <t>P001-43151</t>
  </si>
  <si>
    <t>P001-43152</t>
  </si>
  <si>
    <t xml:space="preserve">JUAN SALAZAR  SALAZAR </t>
  </si>
  <si>
    <t xml:space="preserve">VASQUEZ CALUA DAVID </t>
  </si>
  <si>
    <t>DANNY HERRERA -</t>
  </si>
  <si>
    <t>P002-32494</t>
  </si>
  <si>
    <t>P001-43153</t>
  </si>
  <si>
    <t>P001-43154</t>
  </si>
  <si>
    <t>INVERSIONES Y TRANSPORTES JH</t>
  </si>
  <si>
    <t xml:space="preserve">MARTES 16-06-2026- CAJA H&amp;C </t>
  </si>
  <si>
    <t>B00100001839</t>
  </si>
  <si>
    <t>BARBOZA QUEREBALU ALEX ROY</t>
  </si>
  <si>
    <t>F00100003035</t>
  </si>
  <si>
    <t>F00100003036</t>
  </si>
  <si>
    <t>P001-43155</t>
  </si>
  <si>
    <t>P001-43156</t>
  </si>
  <si>
    <t>P001-43157</t>
  </si>
  <si>
    <t>P001-43158</t>
  </si>
  <si>
    <t>P001-43159</t>
  </si>
  <si>
    <t>P001-43160</t>
  </si>
  <si>
    <t>P001-43161</t>
  </si>
  <si>
    <t>P001-43162</t>
  </si>
  <si>
    <t>P001-43163</t>
  </si>
  <si>
    <t>P001-43164</t>
  </si>
  <si>
    <t>P001-43165</t>
  </si>
  <si>
    <t xml:space="preserve">NORIEGA CORDOVA JILMER   </t>
  </si>
  <si>
    <t>P002-32495</t>
  </si>
  <si>
    <t>P002-32496</t>
  </si>
  <si>
    <t>P002-32497</t>
  </si>
  <si>
    <t>P002-32498</t>
  </si>
  <si>
    <t>P002-32499</t>
  </si>
  <si>
    <t>P002-32500</t>
  </si>
  <si>
    <t>P002-32501</t>
  </si>
  <si>
    <t>P002-32502</t>
  </si>
  <si>
    <t>P002-32503</t>
  </si>
  <si>
    <t>P002-32504</t>
  </si>
  <si>
    <t>P002-32505</t>
  </si>
  <si>
    <t>P002-32506</t>
  </si>
  <si>
    <t>P002-32507</t>
  </si>
  <si>
    <t>P002-32508</t>
  </si>
  <si>
    <t>P002-32509</t>
  </si>
  <si>
    <t>P002-32510</t>
  </si>
  <si>
    <t>P002-32511</t>
  </si>
  <si>
    <t>P002-32512</t>
  </si>
  <si>
    <t>P002-32513</t>
  </si>
  <si>
    <t>P002-32514</t>
  </si>
  <si>
    <t>P002-32515</t>
  </si>
  <si>
    <t>P002-32516</t>
  </si>
  <si>
    <t>P002-32517</t>
  </si>
  <si>
    <t xml:space="preserve">BONILLA JULCA JESSICA MILAGROS  </t>
  </si>
  <si>
    <t xml:space="preserve">TARRILLO CALUA WILSON     </t>
  </si>
  <si>
    <t xml:space="preserve">CLIDER - MIRAFLORES    </t>
  </si>
  <si>
    <t xml:space="preserve">CHOMBA GUERRA LUIS ARMANDO - 965076122 P00100043153 </t>
  </si>
  <si>
    <t xml:space="preserve">DESAYUNO MODESTO           </t>
  </si>
  <si>
    <t xml:space="preserve">GASOLINA MOTO ROJA  </t>
  </si>
  <si>
    <t>P001-43166</t>
  </si>
  <si>
    <t>P002-32518</t>
  </si>
  <si>
    <t>P002-32519</t>
  </si>
  <si>
    <t>P002-32520</t>
  </si>
  <si>
    <t>P002-32521</t>
  </si>
  <si>
    <t xml:space="preserve">HERRERA SALAZAR JORDIN   </t>
  </si>
  <si>
    <t xml:space="preserve">FLETE ESTIBADO DE LADRILLO CAMISAN  </t>
  </si>
  <si>
    <t xml:space="preserve">JHON ASTONITAS /SABADO      </t>
  </si>
  <si>
    <t>P001-43167</t>
  </si>
  <si>
    <t>P001-43168</t>
  </si>
  <si>
    <t xml:space="preserve">CUYUMALCA - PATAPO </t>
  </si>
  <si>
    <t>P001-43169</t>
  </si>
  <si>
    <t>P002-32522</t>
  </si>
  <si>
    <t>P002-32523</t>
  </si>
  <si>
    <t>QUISPE</t>
  </si>
  <si>
    <t>P002-32524</t>
  </si>
  <si>
    <t xml:space="preserve">CUYUMALCA - PATAPO  </t>
  </si>
  <si>
    <t>P001-43170</t>
  </si>
  <si>
    <t>P002-32525</t>
  </si>
  <si>
    <t xml:space="preserve">COMBUSTIBLE JBC        </t>
  </si>
  <si>
    <t xml:space="preserve">VENTAS DEL DIA       </t>
  </si>
  <si>
    <t>P001-43171</t>
  </si>
  <si>
    <t xml:space="preserve">JORDIN PRESTADO </t>
  </si>
  <si>
    <t xml:space="preserve">PRODAC </t>
  </si>
  <si>
    <t xml:space="preserve">BCP </t>
  </si>
  <si>
    <t>A CUENTA 16-06</t>
  </si>
  <si>
    <t xml:space="preserve">A CUENTA DE PRESTAMO JH INVERSIONES / ALAMBRE PRODAC    </t>
  </si>
  <si>
    <t xml:space="preserve">COMPRA DE 17 ARENA AMARILLA / ALAMACEN </t>
  </si>
  <si>
    <t>P001-43172</t>
  </si>
  <si>
    <t>P001-43173</t>
  </si>
  <si>
    <t>P001-43174</t>
  </si>
  <si>
    <t>P001-43175</t>
  </si>
  <si>
    <t>P001-43176</t>
  </si>
  <si>
    <t>P002-32526</t>
  </si>
  <si>
    <t>P002-32527</t>
  </si>
  <si>
    <t>P002-32528</t>
  </si>
  <si>
    <t xml:space="preserve">JAHIR PADILLA   </t>
  </si>
  <si>
    <t xml:space="preserve">SOBRANTE DE CAJA 16-06     </t>
  </si>
  <si>
    <t xml:space="preserve">ARSENIO MEJIA P00100043118 </t>
  </si>
  <si>
    <t xml:space="preserve">MIERCOLES 17-06-2026- CAJA H&amp;C </t>
  </si>
  <si>
    <t xml:space="preserve">RANCHO PANCHO S.A.C </t>
  </si>
  <si>
    <t>F001-3037</t>
  </si>
  <si>
    <t>F001-3038</t>
  </si>
  <si>
    <t>P001-43177</t>
  </si>
  <si>
    <t>P001-43178</t>
  </si>
  <si>
    <t>P001-43179</t>
  </si>
  <si>
    <t>P001-43180</t>
  </si>
  <si>
    <t>P001-43181</t>
  </si>
  <si>
    <t>P001-43182</t>
  </si>
  <si>
    <t>P001-43183</t>
  </si>
  <si>
    <t>P001-43184</t>
  </si>
  <si>
    <t>P001-43185</t>
  </si>
  <si>
    <t>P001-43186</t>
  </si>
  <si>
    <t>P001-43187</t>
  </si>
  <si>
    <t>P001-43188</t>
  </si>
  <si>
    <t>P001-43189</t>
  </si>
  <si>
    <t>P001-43190</t>
  </si>
  <si>
    <t>P001-43191</t>
  </si>
  <si>
    <t>KAREN  AQUINO</t>
  </si>
  <si>
    <t xml:space="preserve">DIAZ PALMA EDWIN EDIX   </t>
  </si>
  <si>
    <t>P002-32529</t>
  </si>
  <si>
    <t>P002-32530</t>
  </si>
  <si>
    <t>P002-32531</t>
  </si>
  <si>
    <t>P002-32532</t>
  </si>
  <si>
    <t>P002-32533</t>
  </si>
  <si>
    <t>P002-32534</t>
  </si>
  <si>
    <t>P002-32535</t>
  </si>
  <si>
    <t>P002-32536</t>
  </si>
  <si>
    <t>P002-32537</t>
  </si>
  <si>
    <t>P002-32538</t>
  </si>
  <si>
    <t xml:space="preserve">VIVIAN     </t>
  </si>
  <si>
    <t>GUERRERO PERALES NORVIL MARINO</t>
  </si>
  <si>
    <t xml:space="preserve">MAESTRO VEGA  </t>
  </si>
  <si>
    <t>CHOMBA GUERRA LUIS ARMANDO - 965076122 P00100043156</t>
  </si>
  <si>
    <t>P001-43192</t>
  </si>
  <si>
    <t>P001-43193</t>
  </si>
  <si>
    <t>P001-43194</t>
  </si>
  <si>
    <t>P001-43195</t>
  </si>
  <si>
    <t>P001-43196</t>
  </si>
  <si>
    <t>P001-43197</t>
  </si>
  <si>
    <t>P001-43198</t>
  </si>
  <si>
    <t>P001-43199</t>
  </si>
  <si>
    <t xml:space="preserve">KAREN  AQUINO P00200032425       </t>
  </si>
  <si>
    <t xml:space="preserve">KAREN  AQUINO P00100043025   </t>
  </si>
  <si>
    <t>P002-32539</t>
  </si>
  <si>
    <t>P002-32540</t>
  </si>
  <si>
    <t>P002-32541</t>
  </si>
  <si>
    <t>P002-32542</t>
  </si>
  <si>
    <t>P002-32543</t>
  </si>
  <si>
    <t xml:space="preserve">ELIAS MATTOS </t>
  </si>
  <si>
    <t xml:space="preserve">PRESTAMO PARA BANCARIZACION JEINER   </t>
  </si>
  <si>
    <t>P002-32544</t>
  </si>
  <si>
    <t>P002-32545</t>
  </si>
  <si>
    <t>P002-32546</t>
  </si>
  <si>
    <t xml:space="preserve">JUAN SALAZAR  </t>
  </si>
  <si>
    <t xml:space="preserve">FLETE- SIXTO BURGOS   </t>
  </si>
  <si>
    <t>F001-3039</t>
  </si>
  <si>
    <t>COMPRA 5 ARENA*55+5 AFIRMADO*25+2 ARENILLA*20</t>
  </si>
  <si>
    <t xml:space="preserve">FLEETES JH    </t>
  </si>
  <si>
    <t xml:space="preserve">COMPRA DE 1 CEMENTO ROJO PACASMYO QUE TRAJO JHAIR PADILLA </t>
  </si>
  <si>
    <t xml:space="preserve">JAHIR PADILLA P00200032527    </t>
  </si>
  <si>
    <t xml:space="preserve">FLETE VOLQUETE PLOMO </t>
  </si>
  <si>
    <t xml:space="preserve">JUEVES 18-06-2026- CAJA H&amp;C </t>
  </si>
  <si>
    <t xml:space="preserve">BARBOZA QUEREBALU ALEX ROY </t>
  </si>
  <si>
    <t>B00100001840</t>
  </si>
  <si>
    <t xml:space="preserve">SANCHEZ BERNAL ROBERT'S MICHAEL   </t>
  </si>
  <si>
    <t>F00100003040</t>
  </si>
  <si>
    <t>P001-43200</t>
  </si>
  <si>
    <t>P001-43201</t>
  </si>
  <si>
    <t>P001-43202</t>
  </si>
  <si>
    <t>P001-43203</t>
  </si>
  <si>
    <t>P001-43204</t>
  </si>
  <si>
    <t>P001-43205</t>
  </si>
  <si>
    <t>P001-43206</t>
  </si>
  <si>
    <t>P001-43207</t>
  </si>
  <si>
    <t>P001-43208</t>
  </si>
  <si>
    <t>P001-43209</t>
  </si>
  <si>
    <t>P002-32547</t>
  </si>
  <si>
    <t>P002-32548</t>
  </si>
  <si>
    <t>P002-32549</t>
  </si>
  <si>
    <t>P002-32550</t>
  </si>
  <si>
    <t>P002-32551</t>
  </si>
  <si>
    <t>P002-32552</t>
  </si>
  <si>
    <t>P002-32553</t>
  </si>
  <si>
    <t>P002-32554</t>
  </si>
  <si>
    <t>P002-32555</t>
  </si>
  <si>
    <t>P002-32556</t>
  </si>
  <si>
    <t>LLUEN SECLEN JUAN FRANCISCO - 902107077 P00100042702</t>
  </si>
  <si>
    <t>CHOMBA GUERRA LUIS ARMANDO - 965076122 P00100043196</t>
  </si>
  <si>
    <t>CHOMBA GUERRA LUIS ARMANDO - 965076122 P00100043185</t>
  </si>
  <si>
    <t xml:space="preserve">COMBUSTIBLE FORLAND    </t>
  </si>
  <si>
    <t>P001-43210</t>
  </si>
  <si>
    <t>P001-43211</t>
  </si>
  <si>
    <t>P001-43212</t>
  </si>
  <si>
    <t>LOBATON NUÑEZ DRYDEN MILLER</t>
  </si>
  <si>
    <t>P002-32557</t>
  </si>
  <si>
    <t>P002-32558</t>
  </si>
  <si>
    <t>P002-32559</t>
  </si>
  <si>
    <t xml:space="preserve">CARLOS BARRIOS EBERSON </t>
  </si>
  <si>
    <t xml:space="preserve">COMPRA DE 1 SEMICODO 4 PAVCO </t>
  </si>
  <si>
    <t>P001-43213</t>
  </si>
  <si>
    <t>P001-43214</t>
  </si>
  <si>
    <t>P001-43215</t>
  </si>
  <si>
    <t>P001-43216</t>
  </si>
  <si>
    <t>P001-43217</t>
  </si>
  <si>
    <t>P001-43218</t>
  </si>
  <si>
    <t>P001-43219</t>
  </si>
  <si>
    <t>P001-43220</t>
  </si>
  <si>
    <t>P001-43221</t>
  </si>
  <si>
    <t>P001-43222</t>
  </si>
  <si>
    <t>P001-43223</t>
  </si>
  <si>
    <t>P001-43224</t>
  </si>
  <si>
    <t>P001-43225</t>
  </si>
  <si>
    <t>P001-43226</t>
  </si>
  <si>
    <t>P001-43227</t>
  </si>
  <si>
    <t>SANCHEZ MUGUERZA JAHAN</t>
  </si>
  <si>
    <t xml:space="preserve">SANCHEZ MUGUERZA JAHAN </t>
  </si>
  <si>
    <t>P002-32560</t>
  </si>
  <si>
    <t>P002-32561</t>
  </si>
  <si>
    <t>P002-32562</t>
  </si>
  <si>
    <t>P002-32563</t>
  </si>
  <si>
    <t>P002-32564</t>
  </si>
  <si>
    <t>P002-32565</t>
  </si>
  <si>
    <t>P002-32566</t>
  </si>
  <si>
    <t xml:space="preserve">CRISTHIAN - LA VICTORIA </t>
  </si>
  <si>
    <t xml:space="preserve">AZAÑERO  </t>
  </si>
  <si>
    <t>COMPRA DE 18 AFIRMADO*27</t>
  </si>
  <si>
    <t>COMPRA DE 4.5 PIEDRA BASE *40</t>
  </si>
  <si>
    <t>P001-43228</t>
  </si>
  <si>
    <t>P001-43229</t>
  </si>
  <si>
    <t>P001-43230</t>
  </si>
  <si>
    <t xml:space="preserve">GUERRERO PERALES NORVIL </t>
  </si>
  <si>
    <t xml:space="preserve">RUIZ GONZALES RAYNULFO </t>
  </si>
  <si>
    <t>P002-32567</t>
  </si>
  <si>
    <t xml:space="preserve">VENTA DE FACTURA KACELY </t>
  </si>
  <si>
    <t xml:space="preserve">EDU HERRERA   </t>
  </si>
  <si>
    <t xml:space="preserve">INVERSIONES &amp; TRANSPORTES JH E.I.R.L.   </t>
  </si>
  <si>
    <t xml:space="preserve">DEVOLUCION DE DEPSOITO JORDIN / MAESTRO VEGA </t>
  </si>
  <si>
    <t>WEYNER LEON</t>
  </si>
  <si>
    <t xml:space="preserve">VIERNES 19-06-2026- CAJA H&amp;C </t>
  </si>
  <si>
    <t>COMPRA DE 4 PIEDRA CHANCADA 1/2*60</t>
  </si>
  <si>
    <t>P001-43231</t>
  </si>
  <si>
    <t>P001-43232</t>
  </si>
  <si>
    <t>P001-43233</t>
  </si>
  <si>
    <t>P001-43234</t>
  </si>
  <si>
    <t>P001-43235</t>
  </si>
  <si>
    <t>P001-43236</t>
  </si>
  <si>
    <t>P001-43237</t>
  </si>
  <si>
    <t>P001-43238</t>
  </si>
  <si>
    <t>P001-43239</t>
  </si>
  <si>
    <t>P001-43240</t>
  </si>
  <si>
    <t>P001-43241</t>
  </si>
  <si>
    <t>P001-43242</t>
  </si>
  <si>
    <t>P001-43243</t>
  </si>
  <si>
    <t>P001-43244</t>
  </si>
  <si>
    <t>P001-43245</t>
  </si>
  <si>
    <t>P001-43246</t>
  </si>
  <si>
    <t>P001-43247</t>
  </si>
  <si>
    <t>P001-43248</t>
  </si>
  <si>
    <t>P001-43249</t>
  </si>
  <si>
    <t>P001-43250</t>
  </si>
  <si>
    <t>P001-43251</t>
  </si>
  <si>
    <t xml:space="preserve">MAESTRO JUAN </t>
  </si>
  <si>
    <t xml:space="preserve">SANCHEZ MUGUERZA JAHAN CLIMER     </t>
  </si>
  <si>
    <t xml:space="preserve">SANCHEZ MUGUERZA JAHAN CLIMER  </t>
  </si>
  <si>
    <t>P002-32568</t>
  </si>
  <si>
    <t>P002-32569</t>
  </si>
  <si>
    <t>P002-32570</t>
  </si>
  <si>
    <t>P002-32571</t>
  </si>
  <si>
    <t>P002-32572</t>
  </si>
  <si>
    <t>P002-32573</t>
  </si>
  <si>
    <t>P002-32574</t>
  </si>
  <si>
    <t>P002-32575</t>
  </si>
  <si>
    <t xml:space="preserve">HERRERA SALAZAR JORDIN </t>
  </si>
  <si>
    <t>PRODUCTOS DE FERRETERIA JORDIN</t>
  </si>
  <si>
    <t>VASQUEZ CALUA DAVID MOISES - 941663922 P00100043219</t>
  </si>
  <si>
    <t xml:space="preserve">SE SACO DE CAJA PARA BANCARIZAR FACTURA / JORDIN </t>
  </si>
  <si>
    <t xml:space="preserve">COMBUSTIBLE MOTO ROJA    </t>
  </si>
  <si>
    <t>INVERSIONES &amp; TRANSPORTES JH E.I.R.L. 000101122626</t>
  </si>
  <si>
    <t xml:space="preserve">BODOQUE JORDIN   </t>
  </si>
  <si>
    <t>PASAJE JHON ASTONITAS</t>
  </si>
  <si>
    <t xml:space="preserve">SALDO DE CAJA 2.4+2        </t>
  </si>
  <si>
    <t>P001-43252</t>
  </si>
  <si>
    <t>P001-43253</t>
  </si>
  <si>
    <t>P001-43254</t>
  </si>
  <si>
    <t>P001-43255</t>
  </si>
  <si>
    <t>P001-43256</t>
  </si>
  <si>
    <t>P001-43257</t>
  </si>
  <si>
    <t>P001-43258</t>
  </si>
  <si>
    <t>P001-43259</t>
  </si>
  <si>
    <t>P001-43260</t>
  </si>
  <si>
    <t>P001-43261</t>
  </si>
  <si>
    <t>P001-43262</t>
  </si>
  <si>
    <t>P001-43263</t>
  </si>
  <si>
    <t xml:space="preserve">BARBOZA REAÑO SEGUNDO ALCOBIADES </t>
  </si>
  <si>
    <t xml:space="preserve">ANGEL MORENO-TRABAJADOR      </t>
  </si>
  <si>
    <t>P002-32576</t>
  </si>
  <si>
    <t>P002-32577</t>
  </si>
  <si>
    <t>P002-32578</t>
  </si>
  <si>
    <t>BARBOZA SOSA EDGAR ARMANDO</t>
  </si>
  <si>
    <t>FLETES VOLQUETE GRIS</t>
  </si>
  <si>
    <t xml:space="preserve">MANUEL CORONEL P00100043019    </t>
  </si>
  <si>
    <t>P002-32579</t>
  </si>
  <si>
    <t>P002-32580</t>
  </si>
  <si>
    <t>P002-32581</t>
  </si>
  <si>
    <t>JHON SANCHEZ CEL. 915950023</t>
  </si>
  <si>
    <t>P001-43264</t>
  </si>
  <si>
    <t>P001-43265</t>
  </si>
  <si>
    <t>P001-43266</t>
  </si>
  <si>
    <t>P001-43267</t>
  </si>
  <si>
    <t>P001-43268</t>
  </si>
  <si>
    <t xml:space="preserve">BRENIS SALAZAR ALQUILER </t>
  </si>
  <si>
    <t xml:space="preserve">SABADO 20-06-2026- CAJA H&amp;C </t>
  </si>
  <si>
    <t>NEGOCIOS HERNANDEZ E.I.R.L</t>
  </si>
  <si>
    <t>F00100003042</t>
  </si>
  <si>
    <t>F00100003043</t>
  </si>
  <si>
    <t>F00100003044</t>
  </si>
  <si>
    <t>F00100003045</t>
  </si>
  <si>
    <t>P001-43269</t>
  </si>
  <si>
    <t>P001-43270</t>
  </si>
  <si>
    <t>P001-43271</t>
  </si>
  <si>
    <t>P001-43272</t>
  </si>
  <si>
    <t>P001-43273</t>
  </si>
  <si>
    <t>P001-43274</t>
  </si>
  <si>
    <t>P001-43275</t>
  </si>
  <si>
    <t>P001-43276</t>
  </si>
  <si>
    <t>P001-43277</t>
  </si>
  <si>
    <t>P001-43278</t>
  </si>
  <si>
    <t>P001-43279</t>
  </si>
  <si>
    <t>P001-43280</t>
  </si>
  <si>
    <t>P001-43281</t>
  </si>
  <si>
    <t>P001-43282</t>
  </si>
  <si>
    <t>P001-43283</t>
  </si>
  <si>
    <t>P001-43284</t>
  </si>
  <si>
    <t>P001-43285</t>
  </si>
  <si>
    <t>P001-43286</t>
  </si>
  <si>
    <t>P001-43287</t>
  </si>
  <si>
    <t>P001-43288</t>
  </si>
  <si>
    <t>P001-43289</t>
  </si>
  <si>
    <t>P001-43290</t>
  </si>
  <si>
    <t>P001-43291</t>
  </si>
  <si>
    <t>P001-43292</t>
  </si>
  <si>
    <t>P001-43293</t>
  </si>
  <si>
    <t>P001-43294</t>
  </si>
  <si>
    <t xml:space="preserve">COMPRA DE 20 M3 P CHANCADA 1/2*60/ JH ALMACEN </t>
  </si>
  <si>
    <t>BURGOS CABANILLAS SIXTO</t>
  </si>
  <si>
    <t>P002-32582</t>
  </si>
  <si>
    <t>P002-32583</t>
  </si>
  <si>
    <t>P002-32584</t>
  </si>
  <si>
    <t>P002-32585</t>
  </si>
  <si>
    <t>P002-32586</t>
  </si>
  <si>
    <t>P002-32587</t>
  </si>
  <si>
    <t>P002-32588</t>
  </si>
  <si>
    <t>P002-32589</t>
  </si>
  <si>
    <t>P002-32590</t>
  </si>
  <si>
    <t xml:space="preserve">TARRILLO CALUA WILSON </t>
  </si>
  <si>
    <t xml:space="preserve">DIAZ BARCO MAGDALENA P00200032290 </t>
  </si>
  <si>
    <t xml:space="preserve">DIAZ BARCO MAGDALENA P00200032244  </t>
  </si>
  <si>
    <t xml:space="preserve">TRANSPORTES MARIA ANTONIETA S.A.C. F00100002997 </t>
  </si>
  <si>
    <t xml:space="preserve">TRANSPORTES MARIA ANTONIETA S.A.C. F00100002996 </t>
  </si>
  <si>
    <t xml:space="preserve">VUELTO MARIA ANTONIETA - JOHN SANCHEZ </t>
  </si>
  <si>
    <t xml:space="preserve">JHON SANCHEZ CEL. 915950023 P00200032456   </t>
  </si>
  <si>
    <t>JHON SANCHEZ CEL. 915950023 P00200032581</t>
  </si>
  <si>
    <t xml:space="preserve">WEYNER LEON - 974113111 P00100043238    </t>
  </si>
  <si>
    <t xml:space="preserve">CHOMBA GUERRA LUIS ARMANDO - 965076122 P00200032567 </t>
  </si>
  <si>
    <t xml:space="preserve">CHOMBA GUERRA LUIS ARMANDO - 965076122 P00200032571    </t>
  </si>
  <si>
    <t xml:space="preserve">UCEDA CARRANZA ANTHONY P00200032556  </t>
  </si>
  <si>
    <t xml:space="preserve">ANGEL MORENO-TRABAJADOR P00100043261 </t>
  </si>
  <si>
    <t>BARBOZA REAÑO SEGUNDO ALCOBIADES - 935485455 P00100043260</t>
  </si>
  <si>
    <t xml:space="preserve">CHANCHO DONALD / JEINER     </t>
  </si>
  <si>
    <t xml:space="preserve">COMBUSTIBLE MONTACARGA  </t>
  </si>
  <si>
    <t xml:space="preserve">COMBUSTIBLE JBC JULIAN  </t>
  </si>
  <si>
    <t xml:space="preserve">COMPRA DE 35 ARENA AMARILLA*38/ JH ALMACEN </t>
  </si>
  <si>
    <t xml:space="preserve">MANOLO CAJAS </t>
  </si>
  <si>
    <t>P001-43295</t>
  </si>
  <si>
    <t>P001-43296</t>
  </si>
  <si>
    <t>P001-43297</t>
  </si>
  <si>
    <t>P001-43298</t>
  </si>
  <si>
    <t>P001-43299</t>
  </si>
  <si>
    <t>P002-32591</t>
  </si>
  <si>
    <t>P002-32592</t>
  </si>
  <si>
    <t xml:space="preserve">ALMUERZO CARLOS HERRERA Y 2 AYUDANTES - CEMENTO COIS </t>
  </si>
  <si>
    <t xml:space="preserve">FLETE CARLOS HERRERA - COIS    </t>
  </si>
  <si>
    <t xml:space="preserve">ALMUERZO - LUCAS    </t>
  </si>
  <si>
    <t>P001-43300</t>
  </si>
  <si>
    <t>P001-43301</t>
  </si>
  <si>
    <t>P001-43302</t>
  </si>
  <si>
    <t>P001-43303</t>
  </si>
  <si>
    <t>P002-32593</t>
  </si>
  <si>
    <t>P002-32594</t>
  </si>
  <si>
    <t>P002-32595</t>
  </si>
  <si>
    <t>P002-32596</t>
  </si>
  <si>
    <t>P002-32597</t>
  </si>
  <si>
    <t>P002-32598</t>
  </si>
  <si>
    <t>P002-32599</t>
  </si>
  <si>
    <t>P002-32600</t>
  </si>
  <si>
    <t xml:space="preserve">SEÑOR LUCAS HERRERA </t>
  </si>
  <si>
    <t xml:space="preserve">ANGEL MORENO-TRABAJADOR P00100043152    </t>
  </si>
  <si>
    <t xml:space="preserve">FREDY ALVA P00200032530  </t>
  </si>
  <si>
    <t>FREDY ALVA P00200032554</t>
  </si>
  <si>
    <t xml:space="preserve">FREDY ALVA P00200032568  </t>
  </si>
  <si>
    <t>DIFERENCIA DE CEMENTO ROJO PACASMAYO - ANGEL</t>
  </si>
  <si>
    <t xml:space="preserve">FLETE VOLQUETE PLOMO    </t>
  </si>
  <si>
    <t xml:space="preserve">EDU HERRERA </t>
  </si>
  <si>
    <t xml:space="preserve">MARCOS       </t>
  </si>
  <si>
    <t xml:space="preserve">JULIAN VILLALOBOS   </t>
  </si>
  <si>
    <t>CAMISAN AQUINO ESTHER- CAMBIO 110 BLS CEMENTO ROJO POR AZUL</t>
  </si>
  <si>
    <t xml:space="preserve">DARWIN            </t>
  </si>
  <si>
    <t xml:space="preserve">MODESTO TORRES          </t>
  </si>
  <si>
    <t xml:space="preserve">DEVOLUCION DE YAPE / JORDIN HERRERA / FIERRO 6MM   </t>
  </si>
  <si>
    <t xml:space="preserve">MIGUEL        </t>
  </si>
  <si>
    <t xml:space="preserve">ANGEL MORENO-TRABAJADOR P00100043258    </t>
  </si>
  <si>
    <t xml:space="preserve">SOBRANTE DE CAJA      </t>
  </si>
  <si>
    <t xml:space="preserve">VENTA DE CHATARRA             </t>
  </si>
  <si>
    <t xml:space="preserve">DOMINGO 21-06-2026- CAJA H&amp;C </t>
  </si>
  <si>
    <t>P002-32601</t>
  </si>
  <si>
    <t>P002-32602</t>
  </si>
  <si>
    <t>P002-32603</t>
  </si>
  <si>
    <t>P002-32604</t>
  </si>
  <si>
    <t>P002-32605</t>
  </si>
  <si>
    <t>P002-32606</t>
  </si>
  <si>
    <t>P002-32607</t>
  </si>
  <si>
    <t>P002-32608</t>
  </si>
  <si>
    <t>P002-32609</t>
  </si>
  <si>
    <t>P002-32610</t>
  </si>
  <si>
    <t>P002-32611</t>
  </si>
  <si>
    <t>P002-32612</t>
  </si>
  <si>
    <t>P002-32613</t>
  </si>
  <si>
    <t>P002-32614</t>
  </si>
  <si>
    <t>P002-32615</t>
  </si>
  <si>
    <t>P002-32616</t>
  </si>
  <si>
    <t>P002-32617</t>
  </si>
  <si>
    <t>P002-32618</t>
  </si>
  <si>
    <t>P002-32619</t>
  </si>
  <si>
    <t>CAMISAN AQUINO ESTHER- CAMBIO DE CEMENTO ROJO POR AZUL</t>
  </si>
  <si>
    <t>P002-32620</t>
  </si>
  <si>
    <t>P002-32621</t>
  </si>
  <si>
    <t>P002-32622</t>
  </si>
  <si>
    <t>P002-32623</t>
  </si>
  <si>
    <t xml:space="preserve">LUNES 22-06-2026- CAJA H&amp;C </t>
  </si>
  <si>
    <t>GRUPO CORPORATIVO HERRERA E.I.R.L.     / COMPRA DE 40 AZUL PACASMAYO*33.4</t>
  </si>
  <si>
    <t>P001-43304</t>
  </si>
  <si>
    <t>P001-43305</t>
  </si>
  <si>
    <t>P001-43306</t>
  </si>
  <si>
    <t>P001-43307</t>
  </si>
  <si>
    <t>P001-43308</t>
  </si>
  <si>
    <t>P001-43309</t>
  </si>
  <si>
    <t>P001-43310</t>
  </si>
  <si>
    <t>P001-43311</t>
  </si>
  <si>
    <t>P002-32624</t>
  </si>
  <si>
    <t>P002-32625</t>
  </si>
  <si>
    <t>P002-32626</t>
  </si>
  <si>
    <t>P002-32627</t>
  </si>
  <si>
    <t>P002-32628</t>
  </si>
  <si>
    <t>P002-32629</t>
  </si>
  <si>
    <t>P002-32630</t>
  </si>
  <si>
    <t>P002-32631</t>
  </si>
  <si>
    <t xml:space="preserve">SANTOS GARCIA PLACIDO  </t>
  </si>
  <si>
    <t>RODRIGUEZ SANTISTEBAN HENRY JAVIER</t>
  </si>
  <si>
    <t xml:space="preserve">TUÑOQUE FLORES JORGE LUIS   </t>
  </si>
  <si>
    <t xml:space="preserve">DIAZ PALMA EDWIN EDIX        </t>
  </si>
  <si>
    <t xml:space="preserve">VUELTO DE CEMENTO AZUL  - YAPEO YOVER    </t>
  </si>
  <si>
    <t>P002-32632</t>
  </si>
  <si>
    <t>P002-32633</t>
  </si>
  <si>
    <t>P002-32634</t>
  </si>
  <si>
    <t xml:space="preserve">COMBUSTIBLE FUSO        </t>
  </si>
  <si>
    <t>P002-32635</t>
  </si>
  <si>
    <t>P001-43312</t>
  </si>
  <si>
    <t>P002-32636</t>
  </si>
  <si>
    <t>P002-32637</t>
  </si>
  <si>
    <t>INGRESO A ACAJA JEINER HERRERA/ VUELTO DE RETIRO EN VENTANILLA</t>
  </si>
  <si>
    <t xml:space="preserve">EXTRAS MODESTO - SEMANA PASADA  </t>
  </si>
  <si>
    <t xml:space="preserve">KAREN RUIZ - DOMINGO Y LUNES MEDIO DIA  </t>
  </si>
  <si>
    <t xml:space="preserve">M &amp; A FOOD INVESTMENT S.A.C.  </t>
  </si>
  <si>
    <t>F00100003046</t>
  </si>
  <si>
    <t>P001-43313</t>
  </si>
  <si>
    <t>P001-43314</t>
  </si>
  <si>
    <t>P001-43315</t>
  </si>
  <si>
    <t>P001-43316</t>
  </si>
  <si>
    <t>P001-43317</t>
  </si>
  <si>
    <t>P001-43318</t>
  </si>
  <si>
    <t>P001-43319</t>
  </si>
  <si>
    <t>BUENAÑO TAPIA EMILIN</t>
  </si>
  <si>
    <t>P001-43320</t>
  </si>
  <si>
    <t>P001-43321</t>
  </si>
  <si>
    <t>P001-43322</t>
  </si>
  <si>
    <t>P001-43323</t>
  </si>
  <si>
    <t>P001-43324</t>
  </si>
  <si>
    <t>P001-43325</t>
  </si>
  <si>
    <t>P001-43326</t>
  </si>
  <si>
    <t>P001-43327</t>
  </si>
  <si>
    <t>P001-43328</t>
  </si>
  <si>
    <t>FERROCONSTRUCTORA JH/ COMPRA DE 2 CUBOS DE PIEDRA BASE</t>
  </si>
  <si>
    <t>GRUPO CORPORATIVO HERRERA / COMPRA DE 18 FIERRO 1/2 *32.84</t>
  </si>
  <si>
    <t>FLETE VOLQUETE PLOMO</t>
  </si>
  <si>
    <t>INVERSIONES &amp; TRANSPORTES JH / COMPRA DE LADRILLO</t>
  </si>
  <si>
    <t>P001-43329</t>
  </si>
  <si>
    <t>P001-43330</t>
  </si>
  <si>
    <t>P001-43331</t>
  </si>
  <si>
    <t>INVERSIONES &amp; TRANSPORTES JH A CUENTA - PRESTAMO</t>
  </si>
  <si>
    <t xml:space="preserve">PROGRESO-PATAPO P00100043312                                                                        </t>
  </si>
  <si>
    <t>F00100003047</t>
  </si>
  <si>
    <t>F00100003048</t>
  </si>
  <si>
    <t>P00100043332</t>
  </si>
  <si>
    <t xml:space="preserve">OSORES QUIROZ JOSE ALONSO </t>
  </si>
  <si>
    <t>P00100043333</t>
  </si>
  <si>
    <t>P00100043334</t>
  </si>
  <si>
    <t>P00100043335</t>
  </si>
  <si>
    <t>P00100043336</t>
  </si>
  <si>
    <t>P00100043337</t>
  </si>
  <si>
    <t>P00100043338</t>
  </si>
  <si>
    <t>P00100043339</t>
  </si>
  <si>
    <t>P00100043340</t>
  </si>
  <si>
    <t>F00100003049</t>
  </si>
  <si>
    <t>AUTO FACIL EN CUOTAS</t>
  </si>
  <si>
    <t>P00100043341</t>
  </si>
  <si>
    <t>P00100043342</t>
  </si>
  <si>
    <t>P00100043343</t>
  </si>
  <si>
    <t>P00100043344</t>
  </si>
  <si>
    <t>P00100043345</t>
  </si>
  <si>
    <t>P00100043346</t>
  </si>
  <si>
    <t>ARSENIO MEJIA</t>
  </si>
  <si>
    <t xml:space="preserve">VASQUEZ CALUA MOISES DAVID </t>
  </si>
  <si>
    <t>P00100043347</t>
  </si>
  <si>
    <t>P00100043348</t>
  </si>
  <si>
    <t>P00100043349</t>
  </si>
  <si>
    <t>P00100043350</t>
  </si>
  <si>
    <t>P00100043351</t>
  </si>
  <si>
    <t>P00100043352</t>
  </si>
  <si>
    <t>P00100043353</t>
  </si>
  <si>
    <t>P00200032638</t>
  </si>
  <si>
    <t>P00200032639</t>
  </si>
  <si>
    <t>P00200032640</t>
  </si>
  <si>
    <t>P00200032641</t>
  </si>
  <si>
    <t>P00200032642</t>
  </si>
  <si>
    <t>RUIZ SALAZAR ANDY DNILSON</t>
  </si>
  <si>
    <t>P00200032643</t>
  </si>
  <si>
    <t>COFESEG /COMPRA DE 5 CUBOS DE ARENILLA*27</t>
  </si>
  <si>
    <t>GRUPO CORPORATIVO HERRERA/COMPRA DE 5 FIERRO 1/2 * 32.85</t>
  </si>
  <si>
    <t>EBERSON/COMPRA DE 20 FIERRO 1/2 * 32.7</t>
  </si>
  <si>
    <t>P00200032644</t>
  </si>
  <si>
    <t>P00200032645</t>
  </si>
  <si>
    <t>P00200032646</t>
  </si>
  <si>
    <t>P00200032647</t>
  </si>
  <si>
    <t>P00200032648</t>
  </si>
  <si>
    <t>P00200032649</t>
  </si>
  <si>
    <t>P00100043354</t>
  </si>
  <si>
    <t>P00100043355</t>
  </si>
  <si>
    <t xml:space="preserve">LOBATON NUÑEZ </t>
  </si>
  <si>
    <t>P00100043356</t>
  </si>
  <si>
    <t>P00100043357</t>
  </si>
  <si>
    <t>P00100043358</t>
  </si>
  <si>
    <t>P00100043359</t>
  </si>
  <si>
    <t xml:space="preserve">ESTIBADORES DE FIERRO </t>
  </si>
  <si>
    <t>P00100043360</t>
  </si>
  <si>
    <t xml:space="preserve">PRODUCTOS DE ACERO CASSADO SA PRODAC SA                                                             </t>
  </si>
  <si>
    <t xml:space="preserve">DEVOLUCION DE PRESTAMO - PARA PAGO DE CEMENTO PAKATNAMU                                             </t>
  </si>
  <si>
    <t>P00100043361</t>
  </si>
  <si>
    <t>P00100043362</t>
  </si>
  <si>
    <t xml:space="preserve">JORDIN HERRERA SALAZAR </t>
  </si>
  <si>
    <t>P00100043363</t>
  </si>
  <si>
    <t>P00100043364</t>
  </si>
  <si>
    <t>P00100043365</t>
  </si>
  <si>
    <t>P00100043366</t>
  </si>
  <si>
    <t>P00100043367</t>
  </si>
  <si>
    <t>P00100043368</t>
  </si>
  <si>
    <t>P00100043369</t>
  </si>
  <si>
    <t>P00100043370</t>
  </si>
  <si>
    <t>P00100043371</t>
  </si>
  <si>
    <t>P00100043372</t>
  </si>
  <si>
    <t>P00100043373</t>
  </si>
  <si>
    <t>P00100043374</t>
  </si>
  <si>
    <t>P00100043375</t>
  </si>
  <si>
    <t>P00100043376</t>
  </si>
  <si>
    <t>P00100043377</t>
  </si>
  <si>
    <t>P00100043378</t>
  </si>
  <si>
    <t>P00100043379</t>
  </si>
  <si>
    <t>CHIMOY PAICO ERICK JONEL</t>
  </si>
  <si>
    <t xml:space="preserve">DAVILA - 956139466 </t>
  </si>
  <si>
    <t xml:space="preserve">SANTOS GARCIA PLACIDO </t>
  </si>
  <si>
    <t xml:space="preserve">CLIDER - MIRAFLORES </t>
  </si>
  <si>
    <t>P00100043380</t>
  </si>
  <si>
    <t>VASQUEZ CALUA MOISES</t>
  </si>
  <si>
    <t>P00200032650</t>
  </si>
  <si>
    <t>P00200032651</t>
  </si>
  <si>
    <t>P00200032652</t>
  </si>
  <si>
    <t>P00200032653</t>
  </si>
  <si>
    <t>P00200032654</t>
  </si>
  <si>
    <t>P00200032655</t>
  </si>
  <si>
    <t>P00200032656</t>
  </si>
  <si>
    <t>P00100043381</t>
  </si>
  <si>
    <t>F00100003050</t>
  </si>
  <si>
    <t xml:space="preserve">GUERRERO DAVILA FREDY DANIEL </t>
  </si>
  <si>
    <t>FERROCONSTRUCTORA JH 17 CUBOS DE AFIRMADO *27</t>
  </si>
  <si>
    <t xml:space="preserve">CHOMBA GUERRA LUIS ARMANDO -  P00100043346  </t>
  </si>
  <si>
    <t xml:space="preserve">CHOMBA GUERRA LUIS ARMANDO -  P00100043328 </t>
  </si>
  <si>
    <t xml:space="preserve">ARSENIO MEJIA P00100043345 </t>
  </si>
  <si>
    <t>CHOMBA GUERRA LUIS ARMANDO - P00100043361</t>
  </si>
  <si>
    <t>P00100043382</t>
  </si>
  <si>
    <t xml:space="preserve">CAMPOS IPANAQUE MANUEL </t>
  </si>
  <si>
    <t>P00100043383</t>
  </si>
  <si>
    <t>P00100043384</t>
  </si>
  <si>
    <t>P00100043385</t>
  </si>
  <si>
    <t>P00100043386</t>
  </si>
  <si>
    <t>P00100043387</t>
  </si>
  <si>
    <t>P00100043388</t>
  </si>
  <si>
    <t>P00100043389</t>
  </si>
  <si>
    <t>P00100043390</t>
  </si>
  <si>
    <t>CAMPOS IPANAQUE MANUEL</t>
  </si>
  <si>
    <t xml:space="preserve">LUVMAB CONSTRUCCION &amp; SERVICIOS E.I.R.L.                                                            </t>
  </si>
  <si>
    <t>F00100003051</t>
  </si>
  <si>
    <t>P00100043391</t>
  </si>
  <si>
    <t>P00100043392</t>
  </si>
  <si>
    <t>P00100043393</t>
  </si>
  <si>
    <t>BARBOZA REAÑO SEGUNDO</t>
  </si>
  <si>
    <t>P00100043394</t>
  </si>
  <si>
    <t>P00100043395</t>
  </si>
  <si>
    <t>P00200032657</t>
  </si>
  <si>
    <t xml:space="preserve">INVERSIONES Y TRANSPORTES JH- LADRILLO </t>
  </si>
  <si>
    <t>FLETES VOLQUETE PLOMO</t>
  </si>
  <si>
    <t>FERROCONSTRUCTORA JH-AGREGADOS</t>
  </si>
  <si>
    <t>LOPEZ CARNERO LIZTH FIORELA</t>
  </si>
  <si>
    <t>F00100003052</t>
  </si>
  <si>
    <t>P00100043396</t>
  </si>
  <si>
    <t>P00100043397</t>
  </si>
  <si>
    <t>P00100043398</t>
  </si>
  <si>
    <t>P00100043399</t>
  </si>
  <si>
    <t>P00100043400</t>
  </si>
  <si>
    <t>P00100043401</t>
  </si>
  <si>
    <t>P00100043402</t>
  </si>
  <si>
    <t>P00100043403</t>
  </si>
  <si>
    <t>P00100043404</t>
  </si>
  <si>
    <t>P00100043405</t>
  </si>
  <si>
    <t>P00100043406</t>
  </si>
  <si>
    <t>P00100043407</t>
  </si>
  <si>
    <t>P00100043408</t>
  </si>
  <si>
    <t>P00100043409</t>
  </si>
  <si>
    <t>P00100043410</t>
  </si>
  <si>
    <t>P00100043411</t>
  </si>
  <si>
    <t>P00100043412</t>
  </si>
  <si>
    <t>CARRASCO TINEO DANNEHR</t>
  </si>
  <si>
    <t>DIAZ PALMA EDWIN EDIX</t>
  </si>
  <si>
    <t>SANCHEZ MUGUERZA JAHAN CLIMER</t>
  </si>
  <si>
    <t>P00200032658</t>
  </si>
  <si>
    <t xml:space="preserve">CLIENTA VENTAS DEL DIA </t>
  </si>
  <si>
    <t>P00200032659</t>
  </si>
  <si>
    <t>P00200032660</t>
  </si>
  <si>
    <t>P00200032661</t>
  </si>
  <si>
    <t>P00200032662</t>
  </si>
  <si>
    <t>P00100043413</t>
  </si>
  <si>
    <t>P00100043414</t>
  </si>
  <si>
    <t>P00100043415</t>
  </si>
  <si>
    <t>P00100043416</t>
  </si>
  <si>
    <t>F00100003053</t>
  </si>
  <si>
    <t>PRADO DIAZ SEGUNDO CECILIO</t>
  </si>
  <si>
    <t xml:space="preserve">DEVOLUCION DE PRESTAMO(11060.70) Y DE LADRILLO DEL SR RIMARACHIN(4510) -INVERSIONES JH              </t>
  </si>
  <si>
    <t>ISTALACION DE CAMARAS</t>
  </si>
  <si>
    <t>FERROCONSTRUCTORA JH / 17CUBOS DE ARENA *38</t>
  </si>
  <si>
    <t>P00100043417</t>
  </si>
  <si>
    <t>P00100043418</t>
  </si>
  <si>
    <t>P00100043419</t>
  </si>
  <si>
    <t>P00100043420</t>
  </si>
  <si>
    <t>P00100043421</t>
  </si>
  <si>
    <t>P00100043422</t>
  </si>
  <si>
    <t>P00200032663</t>
  </si>
  <si>
    <t xml:space="preserve">FREDY ALVA P00200032568 </t>
  </si>
  <si>
    <t xml:space="preserve">FREDY ALVA P00100043336 </t>
  </si>
  <si>
    <t>P00100043423</t>
  </si>
  <si>
    <t>P00100043424</t>
  </si>
  <si>
    <t>P00100043425</t>
  </si>
  <si>
    <t xml:space="preserve">HERRERA SALAZAR JORDIN P00100043395                                                                 </t>
  </si>
  <si>
    <t xml:space="preserve">PRODUCTOS ELECTRICOS DE INSTALACION DE CAMARA H&amp;C                                                   </t>
  </si>
  <si>
    <t xml:space="preserve">INVERSIONES &amp; TRANSPORTES JH - LADRILLO </t>
  </si>
  <si>
    <t>P00100043426</t>
  </si>
  <si>
    <t>LUIS COFESEG</t>
  </si>
  <si>
    <t>P00200032664</t>
  </si>
  <si>
    <t>ADELANTO LUCAS</t>
  </si>
  <si>
    <t>F00100003054</t>
  </si>
  <si>
    <t xml:space="preserve">SEGIK INGENIEROS SOCIEDAD ANONIMA CERRADA                                                           </t>
  </si>
  <si>
    <t>P00100043427</t>
  </si>
  <si>
    <t>P00100043428</t>
  </si>
  <si>
    <t>P00100043429</t>
  </si>
  <si>
    <t>P00100043430</t>
  </si>
  <si>
    <t>P00100043431</t>
  </si>
  <si>
    <t>P00100043432</t>
  </si>
  <si>
    <t>P00100043433</t>
  </si>
  <si>
    <t>P00100043434</t>
  </si>
  <si>
    <t>P00100043435</t>
  </si>
  <si>
    <t>P00100043436</t>
  </si>
  <si>
    <t>P00100043437</t>
  </si>
  <si>
    <t>P00100043438</t>
  </si>
  <si>
    <t>P00100043439</t>
  </si>
  <si>
    <t>P00100043440</t>
  </si>
  <si>
    <t>P00100043441</t>
  </si>
  <si>
    <t>P00100043442</t>
  </si>
  <si>
    <t>P00100043443</t>
  </si>
  <si>
    <t>P00100043444</t>
  </si>
  <si>
    <t>P00100043445</t>
  </si>
  <si>
    <t>P00100043446</t>
  </si>
  <si>
    <t xml:space="preserve">HAMILTON CUEVA - 979446199  </t>
  </si>
  <si>
    <t xml:space="preserve">VENTAS JEINER     </t>
  </si>
  <si>
    <t>P00100043447</t>
  </si>
  <si>
    <t>P00100043448</t>
  </si>
  <si>
    <t>P00100043449</t>
  </si>
  <si>
    <t>P00100043450</t>
  </si>
  <si>
    <t>P00100043451</t>
  </si>
  <si>
    <t>SANTIN VASQUEZ VICTOR DANIEL</t>
  </si>
  <si>
    <t>P00200032665</t>
  </si>
  <si>
    <t>P00200032666</t>
  </si>
  <si>
    <t>P00200032667</t>
  </si>
  <si>
    <t>P00200032668</t>
  </si>
  <si>
    <t xml:space="preserve">CHOMBA GUERRA LUIS ARMANDO -  P00100043405                                                 </t>
  </si>
  <si>
    <t xml:space="preserve">CHOMBA GUERRA LUIS ARMANDO -  P00100043416                                                 </t>
  </si>
  <si>
    <t xml:space="preserve">CHOMBA GUERRA LUIS ARMANDO -  P00100043421                                                 </t>
  </si>
  <si>
    <t xml:space="preserve">CHOMBA GUERRA LUIS ARMANDO -  P00200032664                                                 </t>
  </si>
  <si>
    <t>SERPPE PUBLICIDAD S.A.C.</t>
  </si>
  <si>
    <t>GRUPO CORPORATIVO HERRERA E.I.R.L/COMPRA DE 37 FIERRO 5/8 * 51.23</t>
  </si>
  <si>
    <t xml:space="preserve">COMPRA DE 1000 ARTESANAL PEQUEÑO COCOLISO </t>
  </si>
  <si>
    <t xml:space="preserve">AUTO FACIL EN CUOTAS ISABEL </t>
  </si>
  <si>
    <t xml:space="preserve">FLETE CARLOS HERRERA COIS </t>
  </si>
  <si>
    <t>GRUPO CORPORATIVO HERRERA E.I.R.L/COMPRA DE 50 YESOS*3.6</t>
  </si>
  <si>
    <t xml:space="preserve">KOLORCIX </t>
  </si>
  <si>
    <t>INVERSIONES &amp; TRANSPORTES JH - LADRILLO</t>
  </si>
  <si>
    <t>P00100043452</t>
  </si>
  <si>
    <t>P00100043453</t>
  </si>
  <si>
    <t>P00100043454</t>
  </si>
  <si>
    <t>P00100043455</t>
  </si>
  <si>
    <t>P00100043456</t>
  </si>
  <si>
    <t>ESTELA IMAN EDWIN JOHNSON</t>
  </si>
  <si>
    <t>P00200032669</t>
  </si>
  <si>
    <t>P00200032670</t>
  </si>
  <si>
    <t>P00200032671</t>
  </si>
  <si>
    <t xml:space="preserve">H&amp;C PRODUCTOS </t>
  </si>
  <si>
    <t>EDU HERRERA</t>
  </si>
  <si>
    <t xml:space="preserve">MIURKA GUEVARA </t>
  </si>
  <si>
    <t>P00100043457</t>
  </si>
  <si>
    <t>H&amp;C FERROMATERIALES</t>
  </si>
  <si>
    <t>P00200032672</t>
  </si>
  <si>
    <t>P00100043460</t>
  </si>
  <si>
    <t>P00100043461</t>
  </si>
  <si>
    <t>P00100043462</t>
  </si>
  <si>
    <t>P00100043463</t>
  </si>
  <si>
    <t>P00100043464</t>
  </si>
  <si>
    <t>P00100043465</t>
  </si>
  <si>
    <t>P00100043466</t>
  </si>
  <si>
    <t>P00100043467</t>
  </si>
  <si>
    <t>P00100043468</t>
  </si>
  <si>
    <t>P00100043469</t>
  </si>
  <si>
    <t>P00100043470</t>
  </si>
  <si>
    <t>P00100043471</t>
  </si>
  <si>
    <t>P00100043472</t>
  </si>
  <si>
    <t>P00100043473</t>
  </si>
  <si>
    <t>P00100043474</t>
  </si>
  <si>
    <t>P00200032673</t>
  </si>
  <si>
    <t>P00200032674</t>
  </si>
  <si>
    <t>P00200032675</t>
  </si>
  <si>
    <t>P00200032676</t>
  </si>
  <si>
    <t>P00200032677</t>
  </si>
  <si>
    <t>P00200032678</t>
  </si>
  <si>
    <t>P00200032679</t>
  </si>
  <si>
    <t>P00200032680</t>
  </si>
  <si>
    <t>P00100043459</t>
  </si>
  <si>
    <t>P00100043475</t>
  </si>
  <si>
    <t>P00100043476</t>
  </si>
  <si>
    <t>P00100043477</t>
  </si>
  <si>
    <t>P00100043478</t>
  </si>
  <si>
    <t>P00100043479</t>
  </si>
  <si>
    <t>P00100043480</t>
  </si>
  <si>
    <t xml:space="preserve">VENTA FACTURA- KACELI </t>
  </si>
  <si>
    <t xml:space="preserve">COMBUSTIBLE FORLAND   </t>
  </si>
  <si>
    <t xml:space="preserve">AGREGADOS JEINER + FLETE CARLOS (70)  </t>
  </si>
  <si>
    <t xml:space="preserve">FERROCONSTRUCTORA JH SERVICIOS GENERALES E.I.R.L./ COMPRA 18 PIEDRA CHANCADA*60                                                    </t>
  </si>
  <si>
    <t>WALTER TELLO</t>
  </si>
  <si>
    <t xml:space="preserve">PALOMINO LA ROSA DELIA MARIELA </t>
  </si>
  <si>
    <t xml:space="preserve">VILLEGAS GRANDA WILFREDO </t>
  </si>
  <si>
    <t>RUIZ SALAZAR ANDY DENILSON</t>
  </si>
  <si>
    <t xml:space="preserve">CHIMOY PAICO ERICK JONEL </t>
  </si>
  <si>
    <t>HAMILTON CUEVA</t>
  </si>
  <si>
    <t>CLIDER MIRAFLORES</t>
  </si>
  <si>
    <t>P00100043481</t>
  </si>
  <si>
    <t>P00100043482</t>
  </si>
  <si>
    <t>P00100043483</t>
  </si>
  <si>
    <t>P00100043484</t>
  </si>
  <si>
    <t>P00100043485</t>
  </si>
  <si>
    <t>P00100043486</t>
  </si>
  <si>
    <t>P00100043487</t>
  </si>
  <si>
    <t>P00100043488</t>
  </si>
  <si>
    <t>RAMIREZ BANDA JUAN</t>
  </si>
  <si>
    <t>P00100043489</t>
  </si>
  <si>
    <t>P00100043490</t>
  </si>
  <si>
    <t>P00200032681</t>
  </si>
  <si>
    <t>P00200032682</t>
  </si>
  <si>
    <t>P00200032683</t>
  </si>
  <si>
    <t>F00100003058</t>
  </si>
  <si>
    <t xml:space="preserve">AUTOFACIL EN CUOTAS ISABEL </t>
  </si>
  <si>
    <t>F00100003059</t>
  </si>
  <si>
    <t>MARCOS</t>
  </si>
  <si>
    <t xml:space="preserve">MIGUEL DELGADO </t>
  </si>
  <si>
    <t>P00200032684</t>
  </si>
  <si>
    <t xml:space="preserve">HAMILTON CUEVA  P00100043431                                                             </t>
  </si>
  <si>
    <t>P00200032685</t>
  </si>
  <si>
    <t xml:space="preserve">VICTOR SANTIN </t>
  </si>
  <si>
    <t>P00100043491</t>
  </si>
  <si>
    <t>P00100043492</t>
  </si>
  <si>
    <t>JORDIN HERRERA SALAZAR</t>
  </si>
  <si>
    <t>F00100003060</t>
  </si>
  <si>
    <t>F00100003061</t>
  </si>
  <si>
    <t xml:space="preserve">NEGOCIOS HERNANDEZ E.I.R.L.     </t>
  </si>
  <si>
    <t>P00100043493</t>
  </si>
  <si>
    <t>P00100043494</t>
  </si>
  <si>
    <t>P00100043495</t>
  </si>
  <si>
    <t>P00100043496</t>
  </si>
  <si>
    <t>P00100043497</t>
  </si>
  <si>
    <t>P00100043498</t>
  </si>
  <si>
    <t>P00100043499</t>
  </si>
  <si>
    <t>P00100043500</t>
  </si>
  <si>
    <t>P00100043501</t>
  </si>
  <si>
    <t>P00100043502</t>
  </si>
  <si>
    <t>P00100043503</t>
  </si>
  <si>
    <t>P00100043504</t>
  </si>
  <si>
    <t>P00100043505</t>
  </si>
  <si>
    <t>P00100043506</t>
  </si>
  <si>
    <t>P00100043507</t>
  </si>
  <si>
    <t>LLONTOP SOPLAPUCO ASUNCION</t>
  </si>
  <si>
    <t xml:space="preserve">DOMINGO 28-06-2026- CAJA H&amp;C </t>
  </si>
  <si>
    <t xml:space="preserve">SABADO 27-06-2026- CAJA H&amp;C </t>
  </si>
  <si>
    <t xml:space="preserve">VIERNES 26-06-2026- CAJA H&amp;C </t>
  </si>
  <si>
    <t xml:space="preserve">JUEVES 25-06-2026- CAJA H&amp;C </t>
  </si>
  <si>
    <t xml:space="preserve">MIERCOLES 24-06-2026- CAJA H&amp;C </t>
  </si>
  <si>
    <t xml:space="preserve">MARTES 23-06-2026- CAJA H&amp;C </t>
  </si>
  <si>
    <t>P00100043508</t>
  </si>
  <si>
    <t>P00100043509</t>
  </si>
  <si>
    <t>P00100043510</t>
  </si>
  <si>
    <t>P00100043511</t>
  </si>
  <si>
    <t>P00100043512</t>
  </si>
  <si>
    <t>P00100043513</t>
  </si>
  <si>
    <t>P00100043514</t>
  </si>
  <si>
    <t>P00100043515</t>
  </si>
  <si>
    <t>P00100043516</t>
  </si>
  <si>
    <t>P00100043517</t>
  </si>
  <si>
    <t>P00100043518</t>
  </si>
  <si>
    <t>P00100043519</t>
  </si>
  <si>
    <t>CAMPOS IPANAQUE MANUEL ADELMO</t>
  </si>
  <si>
    <t>CHIRINOS RIOJAS RONALD ALEXIS</t>
  </si>
  <si>
    <t>VENTAS JEINER ( MAESTRO FREDY)</t>
  </si>
  <si>
    <t xml:space="preserve">LUNES 29-06-2026- CAJA H&amp;C </t>
  </si>
  <si>
    <t>COMPRA DE 18 M3 ARENA AMARILLA*38</t>
  </si>
  <si>
    <t>COMPRA DE 7 FIERRO 5/8*51.5</t>
  </si>
  <si>
    <t>F001-3062</t>
  </si>
  <si>
    <t>F001-3063</t>
  </si>
  <si>
    <t xml:space="preserve">GARCIA BECERRA SAMUEL </t>
  </si>
  <si>
    <t>P00100043520</t>
  </si>
  <si>
    <t>P001-43520</t>
  </si>
  <si>
    <t>P001-43521</t>
  </si>
  <si>
    <t>P001-43522</t>
  </si>
  <si>
    <t>P001-43523</t>
  </si>
  <si>
    <t>P001-43524</t>
  </si>
  <si>
    <t>P001-43525</t>
  </si>
  <si>
    <t>P001-43526</t>
  </si>
  <si>
    <t>P001-43527</t>
  </si>
  <si>
    <t>P001-43528</t>
  </si>
  <si>
    <t>P001-43529</t>
  </si>
  <si>
    <t>P001-43530</t>
  </si>
  <si>
    <t>P001-43531</t>
  </si>
  <si>
    <t>P001-43532</t>
  </si>
  <si>
    <t>P001-43533</t>
  </si>
  <si>
    <t>P001-43534</t>
  </si>
  <si>
    <t>P001-43535</t>
  </si>
  <si>
    <t>P001-43536</t>
  </si>
  <si>
    <t>P001-43537</t>
  </si>
  <si>
    <t>P001-43538</t>
  </si>
  <si>
    <t>P001-43539</t>
  </si>
  <si>
    <t>P001-43540</t>
  </si>
  <si>
    <t>YAIPEM BAUTISTA JEAN PIERRE ANTONI</t>
  </si>
  <si>
    <t>SANCHEZ QUISPE MANUEL WALTER</t>
  </si>
  <si>
    <t xml:space="preserve">SEÑOR LUCAS HERRERA  </t>
  </si>
  <si>
    <t xml:space="preserve">LLONTOP SOPLAPUCO ASUNCION </t>
  </si>
  <si>
    <t>P00200032686</t>
  </si>
  <si>
    <t>P002-32686</t>
  </si>
  <si>
    <t>P002-32685</t>
  </si>
  <si>
    <t>P002-32687</t>
  </si>
  <si>
    <t>P002-32688</t>
  </si>
  <si>
    <t>P002-32689</t>
  </si>
  <si>
    <t>P002-32690</t>
  </si>
  <si>
    <t>P002-32691</t>
  </si>
  <si>
    <t>P002-32692</t>
  </si>
  <si>
    <t>P002-32693</t>
  </si>
  <si>
    <t>P002-32694</t>
  </si>
  <si>
    <t>P002-32695</t>
  </si>
  <si>
    <t>P002-32696</t>
  </si>
  <si>
    <t>P002-32697</t>
  </si>
  <si>
    <t>ARCE PALOMINO DAVID ELISER</t>
  </si>
  <si>
    <t xml:space="preserve">FERNANDEZ MENDO JUSTINA </t>
  </si>
  <si>
    <t>CHOMBA GUERRA LUIS ARMANDO - 965076122 P00100043455</t>
  </si>
  <si>
    <t xml:space="preserve">CARGUIO DE LADRILLO </t>
  </si>
  <si>
    <t>GASOLINA MOTO ROJA</t>
  </si>
  <si>
    <t>P002-32698</t>
  </si>
  <si>
    <t xml:space="preserve">DIAZ BARCO MAGDALENA P00200032290   </t>
  </si>
  <si>
    <t>P002-32699</t>
  </si>
  <si>
    <t>P002-32700</t>
  </si>
  <si>
    <t>CHIRINOS VELASQUEZ CESAR AUGUSTO</t>
  </si>
  <si>
    <t xml:space="preserve">ALMUERZO - ANGEL   </t>
  </si>
  <si>
    <t>ALMUERZO LUCAS Y MODESTO</t>
  </si>
  <si>
    <t>P001-43541</t>
  </si>
  <si>
    <t>P001-43542</t>
  </si>
  <si>
    <t xml:space="preserve">PROGRESO-PATAPO               </t>
  </si>
  <si>
    <t>P001-43543</t>
  </si>
  <si>
    <t>P001-43544</t>
  </si>
  <si>
    <t>P001-43545</t>
  </si>
  <si>
    <t>P002-32701</t>
  </si>
  <si>
    <t>P002-32702</t>
  </si>
  <si>
    <t>P002-32703</t>
  </si>
  <si>
    <t>P002-32704</t>
  </si>
  <si>
    <t>P002-32705</t>
  </si>
  <si>
    <t>P002-32706</t>
  </si>
  <si>
    <t>P001-43546</t>
  </si>
  <si>
    <t>P001-43547</t>
  </si>
  <si>
    <t xml:space="preserve">MILAGROS HERRERA   </t>
  </si>
  <si>
    <t xml:space="preserve">WEYNER LEON - 974113111     </t>
  </si>
  <si>
    <t xml:space="preserve">A CUENTA ELIMINACION DE DESMONTE - MORALES  </t>
  </si>
  <si>
    <t>ALMUERZO JULIAN- GAONA</t>
  </si>
  <si>
    <t>P001-43548</t>
  </si>
  <si>
    <t>P001-43549</t>
  </si>
  <si>
    <t>P002-32707</t>
  </si>
  <si>
    <t>P001-43550</t>
  </si>
  <si>
    <t>P001-43551</t>
  </si>
  <si>
    <t>P002-32708</t>
  </si>
  <si>
    <t>P002-32709</t>
  </si>
  <si>
    <t xml:space="preserve">FLETE VOLQUETE PLOMO     </t>
  </si>
  <si>
    <t xml:space="preserve">HERRERA SALAZAR JORDIN P00100043457      </t>
  </si>
  <si>
    <t xml:space="preserve">HERRERA SALAZAR JORDIN P00100043492   </t>
  </si>
  <si>
    <t xml:space="preserve">CLIENTE JORDIN  / INVERNILLO </t>
  </si>
  <si>
    <t>P001-43552</t>
  </si>
  <si>
    <t>P001-43553</t>
  </si>
  <si>
    <t>P002-32710</t>
  </si>
  <si>
    <t>P002-32711</t>
  </si>
  <si>
    <t>F00100003064</t>
  </si>
  <si>
    <t>P001-43554</t>
  </si>
  <si>
    <t>P001-43555</t>
  </si>
  <si>
    <t>P001-43556</t>
  </si>
  <si>
    <t>P001-43557</t>
  </si>
  <si>
    <t>P001-43558</t>
  </si>
  <si>
    <t>P001-43559</t>
  </si>
  <si>
    <t>P001-43560</t>
  </si>
  <si>
    <t>P001-43561</t>
  </si>
  <si>
    <t>P001-43562</t>
  </si>
  <si>
    <t>P001-43563</t>
  </si>
  <si>
    <t>P001-43564</t>
  </si>
  <si>
    <t>P001-43565</t>
  </si>
  <si>
    <t>P001-43566</t>
  </si>
  <si>
    <t>P001-43567</t>
  </si>
  <si>
    <t xml:space="preserve">TARRILLO ALARCON EDER    </t>
  </si>
  <si>
    <t>P002-32712</t>
  </si>
  <si>
    <t>P002-32713</t>
  </si>
  <si>
    <t>P002-32714</t>
  </si>
  <si>
    <t>P002-32715</t>
  </si>
  <si>
    <t>P002-32716</t>
  </si>
  <si>
    <t>P002-32717</t>
  </si>
  <si>
    <t>P002-32718</t>
  </si>
  <si>
    <t>P002-32719</t>
  </si>
  <si>
    <t>P002-32720</t>
  </si>
  <si>
    <t>P002-32721</t>
  </si>
  <si>
    <t>P002-32722</t>
  </si>
  <si>
    <t>P002-32723</t>
  </si>
  <si>
    <t>P001-43568</t>
  </si>
  <si>
    <t xml:space="preserve">HERRERA SALAZAR JORDIN     </t>
  </si>
  <si>
    <t>VALENCIA TENORIO LUIS ALBERTO</t>
  </si>
  <si>
    <t>PAZ HOYOS DAVID</t>
  </si>
  <si>
    <t xml:space="preserve">JUNIOR PUYEN GUEVARA    </t>
  </si>
  <si>
    <t xml:space="preserve">COMBUSTIBLE FORLAND  </t>
  </si>
  <si>
    <t xml:space="preserve">VENTAS Y SERVICIOS A &amp; G E.I.R.L </t>
  </si>
  <si>
    <t>F00100003065</t>
  </si>
  <si>
    <t xml:space="preserve">AGREGADOS FERROCONSTRUCTORA JH </t>
  </si>
  <si>
    <t>P001-43569</t>
  </si>
  <si>
    <t>P001-43570</t>
  </si>
  <si>
    <t>P001-43571</t>
  </si>
  <si>
    <t>P001-43572</t>
  </si>
  <si>
    <t>P001-43573</t>
  </si>
  <si>
    <t>P001-43574</t>
  </si>
  <si>
    <t>P001-43575</t>
  </si>
  <si>
    <t>P001-43576</t>
  </si>
  <si>
    <t>P001-43577</t>
  </si>
  <si>
    <t>P002-32724</t>
  </si>
  <si>
    <t>P002-32725</t>
  </si>
  <si>
    <t>P002-32726</t>
  </si>
  <si>
    <t>P002-32727</t>
  </si>
  <si>
    <t>PAICO VALVERDE YSABEL</t>
  </si>
  <si>
    <t>ELIMINACION DE DESMONTE</t>
  </si>
  <si>
    <t>P002-32728</t>
  </si>
  <si>
    <t>P002-32729</t>
  </si>
  <si>
    <t>P002-32730</t>
  </si>
  <si>
    <t>F00100003066</t>
  </si>
  <si>
    <t>2 M3 TIERRA DE CULTIVO *35</t>
  </si>
  <si>
    <t>P001-43578</t>
  </si>
  <si>
    <t>P001-43579</t>
  </si>
  <si>
    <t>P001-43580</t>
  </si>
  <si>
    <t>P001-43581</t>
  </si>
  <si>
    <t>P001-43582</t>
  </si>
  <si>
    <t>P001-43583</t>
  </si>
  <si>
    <t xml:space="preserve">RAMOS ROJAS ROSAS RAFAEL </t>
  </si>
  <si>
    <t xml:space="preserve">FLETE YESO - JORDIN HERRERA     </t>
  </si>
  <si>
    <t xml:space="preserve">RODRIGUEZ BUSTAMANTE ROBERTO CARLOS       </t>
  </si>
  <si>
    <t>P001-43584</t>
  </si>
  <si>
    <t>P002-32731</t>
  </si>
  <si>
    <t>EDUARDO SALAZAR- PAGO</t>
  </si>
  <si>
    <t xml:space="preserve">FLETE CARLOS - CENTRO </t>
  </si>
  <si>
    <t xml:space="preserve">MARTES 30-06-2026- CAJA H&amp;C </t>
  </si>
  <si>
    <t xml:space="preserve">MIERCOLES 01-07-2026- CAJA H&amp;C </t>
  </si>
  <si>
    <t>F00100003068</t>
  </si>
  <si>
    <t>F00100003069</t>
  </si>
  <si>
    <t>P001-43585</t>
  </si>
  <si>
    <t>P001-43586</t>
  </si>
  <si>
    <t>P001-43587</t>
  </si>
  <si>
    <t>P001-43588</t>
  </si>
  <si>
    <t>P001-43589</t>
  </si>
  <si>
    <t>P001-43590</t>
  </si>
  <si>
    <t>P001-43591</t>
  </si>
  <si>
    <t>P001-43592</t>
  </si>
  <si>
    <t>P001-43593</t>
  </si>
  <si>
    <t>P001-43594</t>
  </si>
  <si>
    <t>P001-43595</t>
  </si>
  <si>
    <t>P001-43596</t>
  </si>
  <si>
    <t>P001-43597</t>
  </si>
  <si>
    <t xml:space="preserve">CAMPOS BURGOS SALOMON   </t>
  </si>
  <si>
    <t>P002-32732</t>
  </si>
  <si>
    <t>P002-32733</t>
  </si>
  <si>
    <t>P002-32734</t>
  </si>
  <si>
    <t>P002-32735</t>
  </si>
  <si>
    <t>P002-32736</t>
  </si>
  <si>
    <t>P002-32737</t>
  </si>
  <si>
    <t>P002-32738</t>
  </si>
  <si>
    <t>P002-32739</t>
  </si>
  <si>
    <t>P002-32740</t>
  </si>
  <si>
    <t>P002-32741</t>
  </si>
  <si>
    <t>P001-43598</t>
  </si>
  <si>
    <t xml:space="preserve">CORDOVA RODAS SANDRO </t>
  </si>
  <si>
    <t>P001-43599</t>
  </si>
  <si>
    <t>P001-43600</t>
  </si>
  <si>
    <t>P001-43601</t>
  </si>
  <si>
    <t>CHOMBA GUERRA LUIS ARMANDO - 965076122 P00100043580</t>
  </si>
  <si>
    <t>CHOMBA GUERRA LUIS ARMANDO - 965076122 P00100043557</t>
  </si>
  <si>
    <t>PROGRESO-PATAPO P00200032301</t>
  </si>
  <si>
    <t xml:space="preserve">PROGRESO-PATAPO P00200032728    </t>
  </si>
  <si>
    <t xml:space="preserve">PAGO A PROVEDORES    </t>
  </si>
  <si>
    <t>P001-43602</t>
  </si>
  <si>
    <t>P001-43603</t>
  </si>
  <si>
    <t>P002-32742</t>
  </si>
  <si>
    <t>P002-32743</t>
  </si>
  <si>
    <t>P002-32744</t>
  </si>
  <si>
    <t>COMPRA  18 AFIRMADO*27</t>
  </si>
  <si>
    <t>P001-43604</t>
  </si>
  <si>
    <t>P001-43605</t>
  </si>
  <si>
    <t>P001-43606</t>
  </si>
  <si>
    <t>P001-43607</t>
  </si>
  <si>
    <t>P001-43608</t>
  </si>
  <si>
    <t>P001-43609</t>
  </si>
  <si>
    <t>P002-32745</t>
  </si>
  <si>
    <t>P002-32746</t>
  </si>
  <si>
    <t>P002-32747</t>
  </si>
  <si>
    <t>MECANICO Y FAJAS - FUSO</t>
  </si>
  <si>
    <t>P001-43610</t>
  </si>
  <si>
    <t>P001-43611</t>
  </si>
  <si>
    <t>P001-43612</t>
  </si>
  <si>
    <t>P001-43613</t>
  </si>
  <si>
    <t>WEYNER LEON -</t>
  </si>
  <si>
    <t>P002-32748</t>
  </si>
  <si>
    <t xml:space="preserve">RETIRO DE VTS FACTURA KT CONSTRUCTORA / JORDIN     </t>
  </si>
  <si>
    <t xml:space="preserve">RETIRO DE VTS DE FACTURAS JAMES HERRERA    </t>
  </si>
  <si>
    <t xml:space="preserve">CLIENTE JORDIN P00100043549     </t>
  </si>
  <si>
    <t xml:space="preserve">HERRERA SALAZAR JORDIN P00200032723     </t>
  </si>
  <si>
    <t xml:space="preserve">HERRERA SALAZAR JORDIN P00200032726 </t>
  </si>
  <si>
    <t xml:space="preserve">HERRERA SALAZAR JORDIN P00200032716   </t>
  </si>
  <si>
    <t>P002-32749</t>
  </si>
  <si>
    <t>DEVOLUCION DE YAPE / JORDIN LADRILLO</t>
  </si>
  <si>
    <t xml:space="preserve">DEPOSITO BCP- JHON  </t>
  </si>
  <si>
    <t xml:space="preserve">VUELTO JHON ASTONITAS - PAGO A PROVEEDORES </t>
  </si>
  <si>
    <t xml:space="preserve">JUEVES 02-07-2026- CAJA H&amp;C </t>
  </si>
  <si>
    <t>F00100003070</t>
  </si>
  <si>
    <t>F00100003071</t>
  </si>
  <si>
    <t>F00100003072</t>
  </si>
  <si>
    <t>F00100003073</t>
  </si>
  <si>
    <t>F00100003074</t>
  </si>
  <si>
    <t xml:space="preserve">ESTUDIO CHAVEZ TOVAR S.A.C. </t>
  </si>
  <si>
    <t>SANCHEZ BERNAL ROBERT'S MICHAEL</t>
  </si>
  <si>
    <t>TRANSPORTES MARIA ANTONIETA S.A.C.</t>
  </si>
  <si>
    <t>P001-43614</t>
  </si>
  <si>
    <t>P001-43615</t>
  </si>
  <si>
    <t>P001-43616</t>
  </si>
  <si>
    <t>P001-43617</t>
  </si>
  <si>
    <t>P001-43618</t>
  </si>
  <si>
    <t>P001-43619</t>
  </si>
  <si>
    <t>P001-43620</t>
  </si>
  <si>
    <t>P001-43621</t>
  </si>
  <si>
    <t>P001-43622</t>
  </si>
  <si>
    <t>P001-43623</t>
  </si>
  <si>
    <t>P001-43624</t>
  </si>
  <si>
    <t>P001-43625</t>
  </si>
  <si>
    <t>P001-43626</t>
  </si>
  <si>
    <t>P001-43627</t>
  </si>
  <si>
    <t>P001-43628</t>
  </si>
  <si>
    <t>F00100003075</t>
  </si>
  <si>
    <t>P002-32750</t>
  </si>
  <si>
    <t>P002-32751</t>
  </si>
  <si>
    <t>P002-32752</t>
  </si>
  <si>
    <t>P002-32753</t>
  </si>
  <si>
    <t>P002-32754</t>
  </si>
  <si>
    <t>P002-32755</t>
  </si>
  <si>
    <t>P002-32756</t>
  </si>
  <si>
    <t xml:space="preserve">ARAMBULO BARRETO HECTOR FIDEL    </t>
  </si>
  <si>
    <t xml:space="preserve">CENTURION BAUTISTA DORALIZA    </t>
  </si>
  <si>
    <t>CHOMBA GUERRA LUIS ARMANDO - 965076122 P00100043591</t>
  </si>
  <si>
    <t>VUELTO JHON ASTONITAS</t>
  </si>
  <si>
    <t>CABRERA CORONEL VALENTIN - 929960995 P00100043606</t>
  </si>
  <si>
    <t>P001-43629</t>
  </si>
  <si>
    <t>P002-32757</t>
  </si>
  <si>
    <t>P002-32758</t>
  </si>
  <si>
    <t>P001-43630</t>
  </si>
  <si>
    <t>P001-43631</t>
  </si>
  <si>
    <t>P001-43632</t>
  </si>
  <si>
    <t>P001-43633</t>
  </si>
  <si>
    <t>P001-43634</t>
  </si>
  <si>
    <t xml:space="preserve">PASAJE BRENIS      </t>
  </si>
  <si>
    <t>F00100003076</t>
  </si>
  <si>
    <t xml:space="preserve">VENTAS Y SERVICIOS A &amp; G E.I.R.L  </t>
  </si>
  <si>
    <t>P001-43635</t>
  </si>
  <si>
    <t>P002-32759</t>
  </si>
  <si>
    <t>P002-32760</t>
  </si>
  <si>
    <t xml:space="preserve">AGREGADOS FERROCONSTRUCTORA </t>
  </si>
  <si>
    <t>P002-32761</t>
  </si>
  <si>
    <t>P002-32762</t>
  </si>
  <si>
    <t>P002-32763</t>
  </si>
  <si>
    <t xml:space="preserve">DEV- DEPOSITO JORDIN / CUYUMALCA     </t>
  </si>
  <si>
    <t>P001-43636</t>
  </si>
  <si>
    <t>FACTURA KACELY</t>
  </si>
  <si>
    <t xml:space="preserve">SOBRANTE DE CAJA  </t>
  </si>
  <si>
    <t xml:space="preserve">VIERNES 03-07-2026- CAJA H&amp;C </t>
  </si>
  <si>
    <t>COMPRA 18 ARENA AMARILLA*38</t>
  </si>
  <si>
    <t>1500 LADRILLO BODOQUE COCOLIZO*0.5</t>
  </si>
  <si>
    <t>F00100003077</t>
  </si>
  <si>
    <t xml:space="preserve">SEGIK INGENIEROS SOCIEDAD ANONIMA CERRADA  </t>
  </si>
  <si>
    <t>F00100003078</t>
  </si>
  <si>
    <t>F001-3078</t>
  </si>
  <si>
    <t>F001-3079</t>
  </si>
  <si>
    <t>F001-3080</t>
  </si>
  <si>
    <t>F001-3081</t>
  </si>
  <si>
    <t>F001-3082</t>
  </si>
  <si>
    <t>F001-3083</t>
  </si>
  <si>
    <t xml:space="preserve">OTOYA MH SAC  </t>
  </si>
  <si>
    <t xml:space="preserve">TRANSPORTES MARIA ANTONIETA S.A.C. </t>
  </si>
  <si>
    <t>P001-43637</t>
  </si>
  <si>
    <t>P001-43638</t>
  </si>
  <si>
    <t>F001-3084</t>
  </si>
  <si>
    <t>P001-43639</t>
  </si>
  <si>
    <t>P001-43640</t>
  </si>
  <si>
    <t>P001-43641</t>
  </si>
  <si>
    <t>P001-43642</t>
  </si>
  <si>
    <t>P001-43643</t>
  </si>
  <si>
    <t>P001-43644</t>
  </si>
  <si>
    <t>P001-43645</t>
  </si>
  <si>
    <t>P001-43646</t>
  </si>
  <si>
    <t>P001-43647</t>
  </si>
  <si>
    <t>P001-43648</t>
  </si>
  <si>
    <t>P001-43649</t>
  </si>
  <si>
    <t>P001-43650</t>
  </si>
  <si>
    <t>P001-43651</t>
  </si>
  <si>
    <t>P001-43652</t>
  </si>
  <si>
    <t xml:space="preserve">CAMPOS CASTRO LUIS FERNANDO  </t>
  </si>
  <si>
    <t>BUSTAMANTE GONZALES RIGOBERTO</t>
  </si>
  <si>
    <t>ZELADA ESPINOZA JOSMEL JENNER</t>
  </si>
  <si>
    <t xml:space="preserve">ZELADA ESPINOZA JOSMEL JENNER </t>
  </si>
  <si>
    <t>IMAN VDA DE COTRINA TOMASA -</t>
  </si>
  <si>
    <t>P002-32764</t>
  </si>
  <si>
    <t>P002-32765</t>
  </si>
  <si>
    <t>P002-32766</t>
  </si>
  <si>
    <t>P002-32767</t>
  </si>
  <si>
    <t>P002-32768</t>
  </si>
  <si>
    <t>P002-32769</t>
  </si>
  <si>
    <t>P002-32770</t>
  </si>
  <si>
    <t>P002-32771</t>
  </si>
  <si>
    <t>P002-32772</t>
  </si>
  <si>
    <t>P002-32773</t>
  </si>
  <si>
    <t>P002-32774</t>
  </si>
  <si>
    <t>P002-32775</t>
  </si>
  <si>
    <t>MEDINA MALDONADO FLORENTINO</t>
  </si>
  <si>
    <t xml:space="preserve">CENTURION BAUTISTA DORALIZA     </t>
  </si>
  <si>
    <t xml:space="preserve">EMPRESA AGROINDUSTRIAL POMALCA S.A.A.   </t>
  </si>
  <si>
    <t xml:space="preserve">CHOMBA GUERRA LUIS ARMANDO - 965076122 P00100043636     </t>
  </si>
  <si>
    <t>P002-32776</t>
  </si>
  <si>
    <t>P001-43653</t>
  </si>
  <si>
    <t>P001-43654</t>
  </si>
  <si>
    <t>P001-43655</t>
  </si>
  <si>
    <t>P001-43656</t>
  </si>
  <si>
    <t>P001-43657</t>
  </si>
  <si>
    <t>P001-43658</t>
  </si>
  <si>
    <t>FLORES RAMIREZ GIANCARLO</t>
  </si>
  <si>
    <t>P002-32777</t>
  </si>
  <si>
    <t>P002-32778</t>
  </si>
  <si>
    <t>P002-32779</t>
  </si>
  <si>
    <t>P002-32780</t>
  </si>
  <si>
    <t>P002-32781</t>
  </si>
  <si>
    <t xml:space="preserve">PAGO LUNES ANGEL       </t>
  </si>
  <si>
    <t xml:space="preserve">ADELANTO ANGEL MORENO    </t>
  </si>
  <si>
    <t>PAGO JAVIER SALAZAR</t>
  </si>
  <si>
    <t> 20605499024</t>
  </si>
  <si>
    <t>F001-3085</t>
  </si>
  <si>
    <t>F001-3086</t>
  </si>
  <si>
    <t>GAETANI S.A.C.</t>
  </si>
  <si>
    <t xml:space="preserve">COMPRA DESATORADOR , ESPONJA Y ACIDO </t>
  </si>
  <si>
    <t xml:space="preserve">ISRAEL </t>
  </si>
  <si>
    <t>JORDIN HERRERA - PRESTAMO PARA BANCARIZACIONES</t>
  </si>
  <si>
    <t xml:space="preserve">SALDO DE CAJA TEMPRANO </t>
  </si>
  <si>
    <t>P001-43659</t>
  </si>
  <si>
    <t>P001-43660</t>
  </si>
  <si>
    <t>P001-43661</t>
  </si>
  <si>
    <t>P001-43662</t>
  </si>
  <si>
    <t>P001-43663</t>
  </si>
  <si>
    <t>P002-32782</t>
  </si>
  <si>
    <t>P002-32783</t>
  </si>
  <si>
    <t>P002-32784</t>
  </si>
  <si>
    <t>P002-32785</t>
  </si>
  <si>
    <t>P002-32786</t>
  </si>
  <si>
    <t xml:space="preserve">ANULADA / JORDIN </t>
  </si>
  <si>
    <t xml:space="preserve">EDU HERRERA    </t>
  </si>
  <si>
    <t xml:space="preserve">DEVOLUCION DE YAPE JONATAN FAJAS    </t>
  </si>
  <si>
    <t xml:space="preserve">SABADO 04-07-2026- CAJA H&amp;C </t>
  </si>
  <si>
    <t xml:space="preserve">COMPRA DE AGREGADOS JH /MILAGROS HERRERA </t>
  </si>
  <si>
    <t>F001-3087</t>
  </si>
  <si>
    <t>F001-3088</t>
  </si>
  <si>
    <t>P001-43664</t>
  </si>
  <si>
    <t>P001-43665</t>
  </si>
  <si>
    <t>P001-43666</t>
  </si>
  <si>
    <t>P001-43667</t>
  </si>
  <si>
    <t>P001-43668</t>
  </si>
  <si>
    <t>P001-43669</t>
  </si>
  <si>
    <t>P001-43670</t>
  </si>
  <si>
    <t>P001-43671</t>
  </si>
  <si>
    <t>P001-43672</t>
  </si>
  <si>
    <t>P001-43673</t>
  </si>
  <si>
    <t>P001-43674</t>
  </si>
  <si>
    <t>P001-43675</t>
  </si>
  <si>
    <t>P001-43676</t>
  </si>
  <si>
    <t>P001-43677</t>
  </si>
  <si>
    <t>P001-43678</t>
  </si>
  <si>
    <t>P001-43679</t>
  </si>
  <si>
    <t>P001-43680</t>
  </si>
  <si>
    <t>P001-43681</t>
  </si>
  <si>
    <t>P001-43682</t>
  </si>
  <si>
    <t>P002-32787</t>
  </si>
  <si>
    <t>P002-32788</t>
  </si>
  <si>
    <t>P002-32789</t>
  </si>
  <si>
    <t>P002-32790</t>
  </si>
  <si>
    <t>P002-32791</t>
  </si>
  <si>
    <t>P002-32792</t>
  </si>
  <si>
    <t>P002-32793</t>
  </si>
  <si>
    <t>P002-32794</t>
  </si>
  <si>
    <t>P002-32795</t>
  </si>
  <si>
    <t>P002-32796</t>
  </si>
  <si>
    <t>P002-32797</t>
  </si>
  <si>
    <t>P002-32798</t>
  </si>
  <si>
    <t>P002-32799</t>
  </si>
  <si>
    <t>P002-32800</t>
  </si>
  <si>
    <t>P002-32801</t>
  </si>
  <si>
    <t>P002-32802</t>
  </si>
  <si>
    <t>P002-32803</t>
  </si>
  <si>
    <t>P002-32804</t>
  </si>
  <si>
    <t>P002-32805</t>
  </si>
  <si>
    <t>P002-32806</t>
  </si>
  <si>
    <t>P002-32807</t>
  </si>
  <si>
    <t>P002-32808</t>
  </si>
  <si>
    <t>REQUEJO MERA MARY CARMEN</t>
  </si>
  <si>
    <t xml:space="preserve">GUERRERO DAVILA NORVIL IVAN   </t>
  </si>
  <si>
    <t>SE DEPOSITO DE ADELANTO AGREGADOS LUIS CAMPOS / OBRA MILAGROS HERRERA</t>
  </si>
  <si>
    <t>F001-3089</t>
  </si>
  <si>
    <t>NEGOCIOS HERNANDEZ E.I.R.L.</t>
  </si>
  <si>
    <t>P001-43683</t>
  </si>
  <si>
    <t>P001-43684</t>
  </si>
  <si>
    <t xml:space="preserve">GRUPO CORPORATIVO HERRERA E.I.R.L.   </t>
  </si>
  <si>
    <t>P002-32809</t>
  </si>
  <si>
    <t>P002-32810</t>
  </si>
  <si>
    <t>P002-32811</t>
  </si>
  <si>
    <t>P002-32812</t>
  </si>
  <si>
    <t>P002-32813</t>
  </si>
  <si>
    <t xml:space="preserve">HILDA       </t>
  </si>
  <si>
    <t>JEINER HERRERA - FERRETERIA LA UNION P00100042995</t>
  </si>
  <si>
    <t xml:space="preserve">JEINER HERRERA - FERRETERIA LA UNION P00100043637  </t>
  </si>
  <si>
    <t xml:space="preserve">REPORTE FERRETERIA TUMAN - LILI   </t>
  </si>
  <si>
    <t>INVERSIONES Y TRANSPORTES JH 03-07-2026</t>
  </si>
  <si>
    <t>INVERSIONES Y TRANSPORTES JH 04-07-2026</t>
  </si>
  <si>
    <t>P001-43685</t>
  </si>
  <si>
    <t>P002-32814</t>
  </si>
  <si>
    <t>DEVOLUCION DE DEPOSITO JORDIN 03-07</t>
  </si>
  <si>
    <t xml:space="preserve">HERRERA SALAZAR JORDIN P00200032763   </t>
  </si>
  <si>
    <t>HERRERA SALAZAR JORDIN P00200032767</t>
  </si>
  <si>
    <t xml:space="preserve">HERRERA SALAZAR JORDIN P00200032784     </t>
  </si>
  <si>
    <t xml:space="preserve">MARCOS      </t>
  </si>
  <si>
    <t xml:space="preserve">LUCAS HERRERA    </t>
  </si>
  <si>
    <t xml:space="preserve">JULIAN        </t>
  </si>
  <si>
    <t xml:space="preserve">COMPRA DE 100 PEGAMENTOS JORDIN </t>
  </si>
  <si>
    <t xml:space="preserve">I.E. MATER ADMIRABILIS      </t>
  </si>
  <si>
    <t>F001-3090</t>
  </si>
  <si>
    <t>P001-43686</t>
  </si>
  <si>
    <t>P001-43687</t>
  </si>
  <si>
    <t>PEREZ DIAZ MIGUEL</t>
  </si>
  <si>
    <t>FLETE DESMONTE CHOMBA</t>
  </si>
  <si>
    <t xml:space="preserve">NAYELY Y KAREN    </t>
  </si>
  <si>
    <t xml:space="preserve">ALMUERZO KAREN Y NAYELY </t>
  </si>
  <si>
    <t>AGREGADOS JEINER HERRERA</t>
  </si>
  <si>
    <t xml:space="preserve">DOMINGO 05-07-2026- CAJA H&amp;C </t>
  </si>
  <si>
    <t>P002-32815</t>
  </si>
  <si>
    <t>P002-32816</t>
  </si>
  <si>
    <t>P002-32817</t>
  </si>
  <si>
    <t>P002-32818</t>
  </si>
  <si>
    <t>P002-32819</t>
  </si>
  <si>
    <t>P002-32820</t>
  </si>
  <si>
    <t>P002-32821</t>
  </si>
  <si>
    <t>P002-32822</t>
  </si>
  <si>
    <t>P002-32823</t>
  </si>
  <si>
    <t>P002-32824</t>
  </si>
  <si>
    <t>P002-32825</t>
  </si>
  <si>
    <t>P002-32826</t>
  </si>
  <si>
    <t>P002-32827</t>
  </si>
  <si>
    <t>P002-32828</t>
  </si>
  <si>
    <t>P002-32829</t>
  </si>
  <si>
    <t>P002-32830</t>
  </si>
  <si>
    <t>P002-32831</t>
  </si>
  <si>
    <t>P002-32832</t>
  </si>
  <si>
    <t>P002-32833</t>
  </si>
  <si>
    <t>P002-32834</t>
  </si>
  <si>
    <t>P002-32835</t>
  </si>
  <si>
    <t>P002-32836</t>
  </si>
  <si>
    <t>P002-32837</t>
  </si>
  <si>
    <t>P002-32838</t>
  </si>
  <si>
    <t>P002-32839</t>
  </si>
  <si>
    <t>P002-32840</t>
  </si>
  <si>
    <t>P002-32841</t>
  </si>
  <si>
    <t>P002-32842</t>
  </si>
  <si>
    <t>P002-32843</t>
  </si>
  <si>
    <t>P002-32844</t>
  </si>
  <si>
    <t>P002-32845</t>
  </si>
  <si>
    <t>P002-32846</t>
  </si>
  <si>
    <t xml:space="preserve">DELIA PALOMINO LA ROSA   </t>
  </si>
  <si>
    <t>SEMINARIO SARANGO ELIZABETH</t>
  </si>
  <si>
    <t>GUERRERO ANGASPILCO JOSELITO</t>
  </si>
  <si>
    <t>P002-32847</t>
  </si>
  <si>
    <t>P002-32848</t>
  </si>
  <si>
    <t>P002-32849</t>
  </si>
  <si>
    <t>P002-32850</t>
  </si>
  <si>
    <t>P002-32851</t>
  </si>
  <si>
    <t xml:space="preserve">LUNES 06-07-2026- CAJA H&amp;C </t>
  </si>
  <si>
    <t>COMPRA 17 ARENA AMARILLA*38</t>
  </si>
  <si>
    <t>COMPRA DE 24 FIERRO 5/8*51.05</t>
  </si>
  <si>
    <t>COMPRA DE 2 TECNOPOR TECHO 15</t>
  </si>
  <si>
    <t>F001-3091</t>
  </si>
  <si>
    <t>F001-3092</t>
  </si>
  <si>
    <t xml:space="preserve">TAFUR ESPINOZA JOSE GILBERTO    </t>
  </si>
  <si>
    <t>P001-43688</t>
  </si>
  <si>
    <t>P001-43689</t>
  </si>
  <si>
    <t>P001-43690</t>
  </si>
  <si>
    <t>P001-43691</t>
  </si>
  <si>
    <t>P001-43692</t>
  </si>
  <si>
    <t>P001-43693</t>
  </si>
  <si>
    <t>P001-43694</t>
  </si>
  <si>
    <t>P001-43695</t>
  </si>
  <si>
    <t>P001-43696</t>
  </si>
  <si>
    <t>P001-43697</t>
  </si>
  <si>
    <t>P001-43698</t>
  </si>
  <si>
    <t>P001-43699</t>
  </si>
  <si>
    <t>P001-43700</t>
  </si>
  <si>
    <t>P001-43701</t>
  </si>
  <si>
    <t>P001-43702</t>
  </si>
  <si>
    <t>P001-43703</t>
  </si>
  <si>
    <t>P001-43704</t>
  </si>
  <si>
    <t>P001-43705</t>
  </si>
  <si>
    <t>P001-43706</t>
  </si>
  <si>
    <t>P001-43707</t>
  </si>
  <si>
    <t>P001-43708</t>
  </si>
  <si>
    <t xml:space="preserve">COMPRA DE 1 FRAGUA GRIS PLATA </t>
  </si>
  <si>
    <t xml:space="preserve">MEJIA HERNANDEZ KAREN </t>
  </si>
  <si>
    <t>P002-32852</t>
  </si>
  <si>
    <t>P002-32853</t>
  </si>
  <si>
    <t>P002-32854</t>
  </si>
  <si>
    <t>P002-32855</t>
  </si>
  <si>
    <t>P002-32856</t>
  </si>
  <si>
    <t>P002-32857</t>
  </si>
  <si>
    <t>P002-32858</t>
  </si>
  <si>
    <t>P002-32859</t>
  </si>
  <si>
    <t>P002-32860</t>
  </si>
  <si>
    <t>P002-32861</t>
  </si>
  <si>
    <t>P002-32862</t>
  </si>
  <si>
    <t>P002-32863</t>
  </si>
  <si>
    <t>P002-32864</t>
  </si>
  <si>
    <t>P002-32865</t>
  </si>
  <si>
    <t>P002-32866</t>
  </si>
  <si>
    <t>P002-32867</t>
  </si>
  <si>
    <t>P002-32868</t>
  </si>
  <si>
    <t>P002-32869</t>
  </si>
  <si>
    <t>P002-32870</t>
  </si>
  <si>
    <t>P002-32871</t>
  </si>
  <si>
    <t>P002-32872</t>
  </si>
  <si>
    <t>P002-32873</t>
  </si>
  <si>
    <t>P002-32874</t>
  </si>
  <si>
    <t>P002-32875</t>
  </si>
  <si>
    <t>P002-32876</t>
  </si>
  <si>
    <t xml:space="preserve">VENTA DE PARIHUELAS    </t>
  </si>
  <si>
    <t>CLIDER - MIRAFLORES</t>
  </si>
  <si>
    <t xml:space="preserve">DEV. YAPE P002-32866 </t>
  </si>
  <si>
    <t xml:space="preserve">ALMUERZO LUCAS Y MODESTO </t>
  </si>
  <si>
    <t>P002-32877</t>
  </si>
  <si>
    <t>TUÑOQUE FLORES JORGE LUIS</t>
  </si>
  <si>
    <t>P001-43709</t>
  </si>
  <si>
    <t>P001-43710</t>
  </si>
  <si>
    <t>P001-43711</t>
  </si>
  <si>
    <t>P001-43712</t>
  </si>
  <si>
    <t>P001-43713</t>
  </si>
  <si>
    <t>P002-32878</t>
  </si>
  <si>
    <t>P002-32879</t>
  </si>
  <si>
    <t>F001-3093</t>
  </si>
  <si>
    <t>P001-43714</t>
  </si>
  <si>
    <t xml:space="preserve">MARTES 07-07-2026- CAJA H&amp;C </t>
  </si>
  <si>
    <t>P001-43715</t>
  </si>
  <si>
    <t>P001-43716</t>
  </si>
  <si>
    <t>P001-43717</t>
  </si>
  <si>
    <t>P001-43718</t>
  </si>
  <si>
    <t>P001-43719</t>
  </si>
  <si>
    <t>P001-43720</t>
  </si>
  <si>
    <t>P001-43721</t>
  </si>
  <si>
    <t>P001-43722</t>
  </si>
  <si>
    <t>P001-43723</t>
  </si>
  <si>
    <t>P001-43724</t>
  </si>
  <si>
    <t>P001-43725</t>
  </si>
  <si>
    <t>P001-43726</t>
  </si>
  <si>
    <t>P001-43727</t>
  </si>
  <si>
    <t>P001-43728</t>
  </si>
  <si>
    <t>P001-43729</t>
  </si>
  <si>
    <t>CHIRINOS RIOJAS RONALD</t>
  </si>
  <si>
    <t>PEÑA NORIEGA WILMER</t>
  </si>
  <si>
    <t>P002-32880</t>
  </si>
  <si>
    <t>P002-32881</t>
  </si>
  <si>
    <t>P002-32882</t>
  </si>
  <si>
    <t>P002-32883</t>
  </si>
  <si>
    <t>P002-32884</t>
  </si>
  <si>
    <t>P002-32885</t>
  </si>
  <si>
    <t>P002-32886</t>
  </si>
  <si>
    <t>P002-32887</t>
  </si>
  <si>
    <t>P002-32888</t>
  </si>
  <si>
    <t>P002-32889</t>
  </si>
  <si>
    <t>P002-32890</t>
  </si>
  <si>
    <t>RAMOS ROJAS VALERIO</t>
  </si>
  <si>
    <t>PROGRESO-PATAPO P00200032875</t>
  </si>
  <si>
    <t>PROGRESO-PATAPO P00200032327</t>
  </si>
  <si>
    <t xml:space="preserve">PROGRESO-PATAPO P00200032740  </t>
  </si>
  <si>
    <t>CHOMBA GUERRA LUIS ARMANDO - 965076122 P00100043686</t>
  </si>
  <si>
    <t>ALMUERZO LUCAS HERRERA</t>
  </si>
  <si>
    <t>P001-43730</t>
  </si>
  <si>
    <t>P001-43731</t>
  </si>
  <si>
    <t>P001-43732</t>
  </si>
  <si>
    <t>P001-43733</t>
  </si>
  <si>
    <t>P001-43734</t>
  </si>
  <si>
    <t>P001-43735</t>
  </si>
  <si>
    <t>P001-43736</t>
  </si>
  <si>
    <t>700 LADRILLO PANDERETA *0.64</t>
  </si>
  <si>
    <t>F001-3094</t>
  </si>
  <si>
    <t>J &amp; S INNOVA PERU S.A.C</t>
  </si>
  <si>
    <t xml:space="preserve">RONCAL CANCINO MILAGROS MARISETT   </t>
  </si>
  <si>
    <t xml:space="preserve">RONCAL CANCINO MILAGROS MARISETT  </t>
  </si>
  <si>
    <t>P002-32891</t>
  </si>
  <si>
    <t>P002-32892</t>
  </si>
  <si>
    <t>P001-43737</t>
  </si>
  <si>
    <t>P001-43738</t>
  </si>
  <si>
    <t>P001-43739</t>
  </si>
  <si>
    <t>P002-32893</t>
  </si>
  <si>
    <t>P002-32894</t>
  </si>
  <si>
    <t>P002-32895</t>
  </si>
  <si>
    <t>P002-32896</t>
  </si>
  <si>
    <t xml:space="preserve">FREDY ALVA P00200032777 </t>
  </si>
  <si>
    <t>P002-32897</t>
  </si>
  <si>
    <t>INVERSIONES &amp; TRANSPORTES JH E.I.R.L</t>
  </si>
  <si>
    <t>P001-43740</t>
  </si>
  <si>
    <t xml:space="preserve">DESMONTE SR CAMILO     </t>
  </si>
  <si>
    <t xml:space="preserve">FLETE CHANCADO JEINER </t>
  </si>
  <si>
    <t>PAGO INTERNET</t>
  </si>
  <si>
    <t>P002-32898</t>
  </si>
  <si>
    <t xml:space="preserve">ANULADO/VENTA JORDIN </t>
  </si>
  <si>
    <t xml:space="preserve">MIERCOLES 08-07-2026- CAJA H&amp;C </t>
  </si>
  <si>
    <t>P001-43741</t>
  </si>
  <si>
    <t>COMPRA DE 5Y6 P. OVER Y 3 P BASE</t>
  </si>
  <si>
    <t>F001-3095</t>
  </si>
  <si>
    <t>P001-43742</t>
  </si>
  <si>
    <t>P001-43743</t>
  </si>
  <si>
    <t>P001-43744</t>
  </si>
  <si>
    <t>P001-43745</t>
  </si>
  <si>
    <t>P001-43746</t>
  </si>
  <si>
    <t>P001-43747</t>
  </si>
  <si>
    <t>P001-43748</t>
  </si>
  <si>
    <t>P001-43749</t>
  </si>
  <si>
    <t>P001-43750</t>
  </si>
  <si>
    <t>P001-43751</t>
  </si>
  <si>
    <t>P001-43752</t>
  </si>
  <si>
    <t>P001-43753</t>
  </si>
  <si>
    <t>P001-43754</t>
  </si>
  <si>
    <t>P001-43755</t>
  </si>
  <si>
    <t>ARNULFO DIAZ LINARES</t>
  </si>
  <si>
    <t>GUEVARA VASQUEZ SEGUNDO</t>
  </si>
  <si>
    <t>P002-32899</t>
  </si>
  <si>
    <t>P002-32900</t>
  </si>
  <si>
    <t>P002-32901</t>
  </si>
  <si>
    <t>P002-32902</t>
  </si>
  <si>
    <t>P002-32903</t>
  </si>
  <si>
    <t>P002-32904</t>
  </si>
  <si>
    <t>P002-32905</t>
  </si>
  <si>
    <t>P002-32906</t>
  </si>
  <si>
    <t>P002-32907</t>
  </si>
  <si>
    <t>P002-32908</t>
  </si>
  <si>
    <t>P002-32909</t>
  </si>
  <si>
    <t>P002-32910</t>
  </si>
  <si>
    <t>P002-32911</t>
  </si>
  <si>
    <t>P002-32912</t>
  </si>
  <si>
    <t>BAUTISTA CARRASCO ELMER - 996813790 P00100043731</t>
  </si>
  <si>
    <t>BAUTISTA CARRASCO ELMER - 996813790 P00100043717</t>
  </si>
  <si>
    <t>ARAMBULO HERRERA JOSE LUIS</t>
  </si>
  <si>
    <t>P002-32913</t>
  </si>
  <si>
    <t>P001-43756</t>
  </si>
  <si>
    <t>P001-43757</t>
  </si>
  <si>
    <t>P001-43758</t>
  </si>
  <si>
    <t>P001-43759</t>
  </si>
  <si>
    <t>P001-43760</t>
  </si>
  <si>
    <t>P001-43761</t>
  </si>
  <si>
    <t>CERCADO CAMPOS ELMER</t>
  </si>
  <si>
    <t>P002-32914</t>
  </si>
  <si>
    <t>P002-32915</t>
  </si>
  <si>
    <t>BURGA MALDONADO ALBERTO</t>
  </si>
  <si>
    <t>GARCIA BECERRA SAMUEL</t>
  </si>
  <si>
    <t xml:space="preserve">COMBUSTIBLE MOTOCAR  </t>
  </si>
  <si>
    <t>P001-43762</t>
  </si>
  <si>
    <t>P001-43763</t>
  </si>
  <si>
    <t>P001-43764</t>
  </si>
  <si>
    <t>P001-43765</t>
  </si>
  <si>
    <t>P001-43766</t>
  </si>
  <si>
    <t xml:space="preserve">MORETO ALTAMIRANO ZARELA NOEMI </t>
  </si>
  <si>
    <t>P002-32916</t>
  </si>
  <si>
    <t>P002-32917</t>
  </si>
  <si>
    <t>P002-32918</t>
  </si>
  <si>
    <t xml:space="preserve">DEVOLUCION DE YAPE- GAONA </t>
  </si>
  <si>
    <t xml:space="preserve">REPARACION DE LA MOTO ROJA  </t>
  </si>
  <si>
    <t>ADELANTO DARWIN- ATROPELLO PERRO</t>
  </si>
  <si>
    <t>SOBRANTE DE CJA</t>
  </si>
  <si>
    <t>AGREGADOS JH - 3 CHAN, 2 ARENA, 5 ARENILLA</t>
  </si>
  <si>
    <t xml:space="preserve">FLETE ANGEL </t>
  </si>
  <si>
    <t xml:space="preserve">DEVOLUCION DE DEPOSITOS JORDIN BBVA Y BCP </t>
  </si>
  <si>
    <t xml:space="preserve">DEVOLUCION DE DEPOSITO ALPES BBVA - JORDIN  </t>
  </si>
  <si>
    <t>P001-43767</t>
  </si>
  <si>
    <t>P001-43768</t>
  </si>
  <si>
    <t>P001-43769</t>
  </si>
  <si>
    <t>P001-43770</t>
  </si>
  <si>
    <t>P001-43771</t>
  </si>
  <si>
    <t xml:space="preserve">JUEVES 09-07-2026- CAJA H&amp;C </t>
  </si>
  <si>
    <t>COMPRA 17 ARENA AMARILLA *38</t>
  </si>
  <si>
    <t>F001-3096</t>
  </si>
  <si>
    <t>F001-3097</t>
  </si>
  <si>
    <t>F001-3098</t>
  </si>
  <si>
    <t>F001-3099</t>
  </si>
  <si>
    <t>F001-3100</t>
  </si>
  <si>
    <t>P001-43772</t>
  </si>
  <si>
    <t>P001-43773</t>
  </si>
  <si>
    <t>P001-43774</t>
  </si>
  <si>
    <t>P001-43775</t>
  </si>
  <si>
    <t>P002-32919</t>
  </si>
  <si>
    <t>P002-32920</t>
  </si>
  <si>
    <t>P002-32921</t>
  </si>
  <si>
    <t>P002-32922</t>
  </si>
  <si>
    <t>P002-32923</t>
  </si>
  <si>
    <t>P002-32924</t>
  </si>
  <si>
    <t>P002-32925</t>
  </si>
  <si>
    <t>P002-32926</t>
  </si>
  <si>
    <t>P002-32927</t>
  </si>
  <si>
    <t>P002-32928</t>
  </si>
  <si>
    <t>P002-32929</t>
  </si>
  <si>
    <t>P002-32930</t>
  </si>
  <si>
    <t>P002-32931</t>
  </si>
  <si>
    <t>P002-32932</t>
  </si>
  <si>
    <t>P002-32933</t>
  </si>
  <si>
    <t>ARAMBULO HERRERA JOSE</t>
  </si>
  <si>
    <t xml:space="preserve">QUISPE   </t>
  </si>
  <si>
    <t>CENTURION BAUTISTA DORALIZA</t>
  </si>
  <si>
    <t>ARAMBULO BARRETO HECTOR</t>
  </si>
  <si>
    <t xml:space="preserve">PARCHE DE LLANTA   FUSO </t>
  </si>
  <si>
    <t>P001-43776</t>
  </si>
  <si>
    <t>COMPRA DE 110 PEGAMENTO *7.7272</t>
  </si>
  <si>
    <t>TRANSPORTES MARIA ANTONIETA</t>
  </si>
  <si>
    <t>P001-43777</t>
  </si>
  <si>
    <t>P001-43778</t>
  </si>
  <si>
    <t>P001-43779</t>
  </si>
  <si>
    <t>P001-43780</t>
  </si>
  <si>
    <t>P002-32934</t>
  </si>
  <si>
    <t>P002-32935</t>
  </si>
  <si>
    <t>P002-32936</t>
  </si>
  <si>
    <t>P002-32937</t>
  </si>
  <si>
    <t>P002-32938</t>
  </si>
  <si>
    <t>P002-32939</t>
  </si>
  <si>
    <t>P002-32940</t>
  </si>
  <si>
    <t xml:space="preserve">HUAMAN RODRIGUEZ ENEMECIO  </t>
  </si>
  <si>
    <t xml:space="preserve">RUIZ HU FRANK </t>
  </si>
  <si>
    <t>SILVA CARRERO MARIA JHOVANNY</t>
  </si>
  <si>
    <t xml:space="preserve">CLIDER - MIRAFLORES  </t>
  </si>
  <si>
    <t>P001-43781</t>
  </si>
  <si>
    <t>P001-43782</t>
  </si>
  <si>
    <t>P001-43783</t>
  </si>
  <si>
    <t>P001-43784</t>
  </si>
  <si>
    <t>P001-43785</t>
  </si>
  <si>
    <t>TEJADA VILLANUEVA JOSE</t>
  </si>
  <si>
    <t>P002-32941</t>
  </si>
  <si>
    <t>P002-32942</t>
  </si>
  <si>
    <t>P002-32943</t>
  </si>
  <si>
    <t>P002-32944</t>
  </si>
  <si>
    <t>P002-32945</t>
  </si>
  <si>
    <t>SILVA CARRERO MARIA/ VUELTO</t>
  </si>
  <si>
    <t>P001-43786</t>
  </si>
  <si>
    <t>P002-32946</t>
  </si>
  <si>
    <t>BERMEO CRUZ WILMER</t>
  </si>
  <si>
    <t xml:space="preserve">ALMUERZO LUCAS Y MODESTO  </t>
  </si>
  <si>
    <t xml:space="preserve">INVERSIONES &amp; TRANSPORTES JH </t>
  </si>
  <si>
    <t>5 PCH*65+3 ARENILLA*20+2 P BASE *40</t>
  </si>
  <si>
    <t>P001-43787</t>
  </si>
  <si>
    <t>P001-43788</t>
  </si>
  <si>
    <t>P001-43789</t>
  </si>
  <si>
    <t>P001-43790</t>
  </si>
  <si>
    <t>P002-32947</t>
  </si>
  <si>
    <t>P002-32948</t>
  </si>
  <si>
    <t>P002-32949</t>
  </si>
  <si>
    <t>P002-32950</t>
  </si>
  <si>
    <t>P001-43791</t>
  </si>
  <si>
    <t>DEVOLUCION DE DEPSOITO JORDIN</t>
  </si>
  <si>
    <t xml:space="preserve">PUESTA DE FARO LUCAS  </t>
  </si>
  <si>
    <t xml:space="preserve">VIERNES 10-07-2026- CAJA H&amp;C </t>
  </si>
  <si>
    <t>F001-3101</t>
  </si>
  <si>
    <t>P001-43792</t>
  </si>
  <si>
    <t>P001-43793</t>
  </si>
  <si>
    <t>P001-43794</t>
  </si>
  <si>
    <t>P001-43795</t>
  </si>
  <si>
    <t>P001-43796</t>
  </si>
  <si>
    <t>P001-43797</t>
  </si>
  <si>
    <t>P001-43798</t>
  </si>
  <si>
    <t>P001-43799</t>
  </si>
  <si>
    <t>P002-32951</t>
  </si>
  <si>
    <t>P002-32952</t>
  </si>
  <si>
    <t>SANCHEZ QUISPE MANUEL</t>
  </si>
  <si>
    <t xml:space="preserve">JIBAJA NEYRA KEVIN OVET </t>
  </si>
  <si>
    <t xml:space="preserve">KAREN  AQUINO P00100043025 </t>
  </si>
  <si>
    <t>KAREN  AQUINO P00100043178</t>
  </si>
  <si>
    <t>KAREN  AQUINO P00100043295</t>
  </si>
  <si>
    <t xml:space="preserve">COMBUSTIBLE FUSO    </t>
  </si>
  <si>
    <t>F001-3102</t>
  </si>
  <si>
    <t>F001-3103</t>
  </si>
  <si>
    <t xml:space="preserve">JCC BIENES RAICES Y CONSTRUCCIONES </t>
  </si>
  <si>
    <t>P001-43800</t>
  </si>
  <si>
    <t>P001-43801</t>
  </si>
  <si>
    <t>P001-43802</t>
  </si>
  <si>
    <t>P001-43803</t>
  </si>
  <si>
    <t>P001-43804</t>
  </si>
  <si>
    <t>P001-43805</t>
  </si>
  <si>
    <t>P001-43806</t>
  </si>
  <si>
    <t>P001-43807</t>
  </si>
  <si>
    <t>P001-43808</t>
  </si>
  <si>
    <t>P001-43809</t>
  </si>
  <si>
    <t>P001-43810</t>
  </si>
  <si>
    <t>P001-43811</t>
  </si>
  <si>
    <t>CAMPOS DELGADO JHON ALBERTO</t>
  </si>
  <si>
    <t xml:space="preserve">CAMPOS DELGADO JHON ALBERTO </t>
  </si>
  <si>
    <t>DIAZ CASTRO LUZ MAGALI</t>
  </si>
  <si>
    <t>P002-32953</t>
  </si>
  <si>
    <t>P002-32954</t>
  </si>
  <si>
    <t>P002-32955</t>
  </si>
  <si>
    <t>P002-32956</t>
  </si>
  <si>
    <t>P002-32957</t>
  </si>
  <si>
    <t xml:space="preserve">ANULADO/GUSTAVO GUEVARA </t>
  </si>
  <si>
    <t>P001-43812</t>
  </si>
  <si>
    <t>P002-32958</t>
  </si>
  <si>
    <t>P002-32959</t>
  </si>
  <si>
    <t>P002-32960</t>
  </si>
  <si>
    <t>P002-32961</t>
  </si>
  <si>
    <t>P002-32962</t>
  </si>
  <si>
    <t>P002-32963</t>
  </si>
  <si>
    <t>P002-32964</t>
  </si>
  <si>
    <t>P002-32965</t>
  </si>
  <si>
    <t>P002-32966</t>
  </si>
  <si>
    <t>P002-32967</t>
  </si>
  <si>
    <t>P001-43813</t>
  </si>
  <si>
    <t>P001-43814</t>
  </si>
  <si>
    <t>P001-43815</t>
  </si>
  <si>
    <t>P001-43816</t>
  </si>
  <si>
    <t>P001-43817</t>
  </si>
  <si>
    <t>P001-43818</t>
  </si>
  <si>
    <t xml:space="preserve">FERNANDO LINARES </t>
  </si>
  <si>
    <t xml:space="preserve">PAICO VALVERDE YSABEL  </t>
  </si>
  <si>
    <t xml:space="preserve">DESMONTE SR HERMINIO  </t>
  </si>
  <si>
    <t xml:space="preserve">FREDY ALVA P00200032777     </t>
  </si>
  <si>
    <t>F001-3104</t>
  </si>
  <si>
    <t>COMPRA DE 24 ESMALTE NEGRO 1/4*10.5</t>
  </si>
  <si>
    <t>COMPRA DE 21 M3 ARENA AMARILLA *38</t>
  </si>
  <si>
    <t xml:space="preserve">COMPRA DE 1/2 M3 CONFITILLO </t>
  </si>
  <si>
    <t>COMPRA DE 52 PEGAMENTOS PARA CERAAMICA *7.7</t>
  </si>
  <si>
    <t>COMPRA DE 10 P CHANCADA 1/2*60</t>
  </si>
  <si>
    <t>F001-3105</t>
  </si>
  <si>
    <t>P001-43819</t>
  </si>
  <si>
    <t>P001-43820</t>
  </si>
  <si>
    <t>P001-43821</t>
  </si>
  <si>
    <t xml:space="preserve">VUELTO SEÑORA PAICO- SIPAN </t>
  </si>
  <si>
    <t>P001-43822</t>
  </si>
  <si>
    <t>OJEDA CEOPA CRISTIAN</t>
  </si>
  <si>
    <t xml:space="preserve">ELIMINACION DE DESMONTE / JULINNIO </t>
  </si>
  <si>
    <t xml:space="preserve">VUELTO FREDY ALVA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</si>
</sst>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757575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17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0" xfId="0" applyFont="1" applyAlignment="1">
      <alignment horizontal="left"/>
    </xf>
    <xf numFmtId="16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/>
    <xf numFmtId="16" fontId="4" fillId="7" borderId="19" xfId="0" applyNumberFormat="1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/>
    </xf>
    <xf numFmtId="0" fontId="0" fillId="8" borderId="7" xfId="0" applyFill="1" applyBorder="1" applyAlignment="1">
      <alignment horizontal="center"/>
    </xf>
    <xf numFmtId="16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164" fontId="0" fillId="9" borderId="6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2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9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23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164" fontId="6" fillId="0" borderId="0" xfId="0" applyNumberFormat="1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64" fontId="12" fillId="11" borderId="12" xfId="0" applyNumberFormat="1" applyFont="1" applyFill="1" applyBorder="1" applyAlignment="1">
      <alignment horizontal="center"/>
    </xf>
    <xf numFmtId="164" fontId="13" fillId="11" borderId="12" xfId="0" applyNumberFormat="1" applyFont="1" applyFill="1" applyBorder="1" applyAlignment="1">
      <alignment horizontal="center"/>
    </xf>
    <xf numFmtId="164" fontId="12" fillId="11" borderId="13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5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FFF8-B1B6-4D51-A577-1EE9008C89F2}">
  <sheetPr codeName="Hoja1"/>
  <dimension ref="C2:J136"/>
  <sheetViews>
    <sheetView topLeftCell="A100" workbookViewId="0">
      <selection activeCell="F113" sqref="F113"/>
    </sheetView>
  </sheetViews>
  <sheetFormatPr baseColWidth="10" defaultRowHeight="15" x14ac:dyDescent="0.25"/>
  <cols>
    <col min="3" max="3" width="15.140625" style="1" bestFit="1" customWidth="1"/>
    <col min="4" max="4" width="11.42578125" style="1"/>
    <col min="5" max="5" width="37.42578125" style="1" customWidth="1"/>
    <col min="6" max="6" width="15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10</v>
      </c>
      <c r="D3" s="144"/>
      <c r="E3" s="144"/>
      <c r="F3" s="144"/>
      <c r="G3" s="145"/>
      <c r="H3" s="6" t="s">
        <v>0</v>
      </c>
    </row>
    <row r="4" spans="3:8" ht="15.75" thickBot="1" x14ac:dyDescent="0.3">
      <c r="C4" s="146"/>
      <c r="D4" s="147"/>
      <c r="E4" s="147"/>
      <c r="F4" s="147"/>
      <c r="G4" s="148"/>
      <c r="H4" s="28">
        <v>2656.7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7</v>
      </c>
      <c r="E6" s="2" t="s">
        <v>9</v>
      </c>
      <c r="F6" s="4">
        <v>200</v>
      </c>
      <c r="G6" s="14"/>
      <c r="H6" s="9"/>
    </row>
    <row r="7" spans="3:8" x14ac:dyDescent="0.25">
      <c r="C7" s="8" t="s">
        <v>8</v>
      </c>
      <c r="D7" s="2" t="s">
        <v>11</v>
      </c>
      <c r="E7" s="2" t="s">
        <v>12</v>
      </c>
      <c r="F7" s="4">
        <v>52</v>
      </c>
      <c r="G7" s="14"/>
      <c r="H7" s="9"/>
    </row>
    <row r="8" spans="3:8" x14ac:dyDescent="0.25">
      <c r="C8" s="8" t="s">
        <v>8</v>
      </c>
      <c r="D8" s="2" t="s">
        <v>13</v>
      </c>
      <c r="E8" s="2" t="s">
        <v>35</v>
      </c>
      <c r="F8" s="4"/>
      <c r="G8" s="14">
        <v>150</v>
      </c>
      <c r="H8" s="9"/>
    </row>
    <row r="9" spans="3:8" x14ac:dyDescent="0.25">
      <c r="C9" s="8" t="s">
        <v>8</v>
      </c>
      <c r="D9" s="2" t="s">
        <v>14</v>
      </c>
      <c r="E9" s="2" t="s">
        <v>36</v>
      </c>
      <c r="F9" s="4"/>
      <c r="G9" s="14">
        <v>620</v>
      </c>
      <c r="H9" s="9"/>
    </row>
    <row r="10" spans="3:8" x14ac:dyDescent="0.25">
      <c r="C10" s="8" t="s">
        <v>8</v>
      </c>
      <c r="D10" s="2" t="s">
        <v>15</v>
      </c>
      <c r="E10" s="2" t="s">
        <v>12</v>
      </c>
      <c r="F10" s="4">
        <v>60</v>
      </c>
      <c r="G10" s="14"/>
      <c r="H10" s="9"/>
    </row>
    <row r="11" spans="3:8" x14ac:dyDescent="0.25">
      <c r="C11" s="8" t="s">
        <v>8</v>
      </c>
      <c r="D11" s="2" t="s">
        <v>16</v>
      </c>
      <c r="E11" s="2" t="s">
        <v>12</v>
      </c>
      <c r="F11" s="4">
        <v>2</v>
      </c>
      <c r="G11" s="14"/>
      <c r="H11" s="9"/>
    </row>
    <row r="12" spans="3:8" x14ac:dyDescent="0.25">
      <c r="C12" s="8" t="s">
        <v>8</v>
      </c>
      <c r="D12" s="2" t="s">
        <v>17</v>
      </c>
      <c r="E12" s="2" t="s">
        <v>12</v>
      </c>
      <c r="F12" s="4">
        <v>4.5</v>
      </c>
      <c r="G12" s="14"/>
      <c r="H12" s="9"/>
    </row>
    <row r="13" spans="3:8" x14ac:dyDescent="0.25">
      <c r="C13" s="8" t="s">
        <v>8</v>
      </c>
      <c r="D13" s="2" t="s">
        <v>18</v>
      </c>
      <c r="E13" s="2" t="s">
        <v>50</v>
      </c>
      <c r="F13" s="4"/>
      <c r="G13" s="14">
        <v>295</v>
      </c>
      <c r="H13" s="9"/>
    </row>
    <row r="14" spans="3:8" x14ac:dyDescent="0.25">
      <c r="C14" s="8" t="s">
        <v>8</v>
      </c>
      <c r="D14" s="2" t="s">
        <v>19</v>
      </c>
      <c r="E14" s="2" t="s">
        <v>12</v>
      </c>
      <c r="F14" s="4"/>
      <c r="G14" s="14"/>
      <c r="H14" s="9">
        <v>8</v>
      </c>
    </row>
    <row r="15" spans="3:8" x14ac:dyDescent="0.25">
      <c r="C15" s="8" t="s">
        <v>8</v>
      </c>
      <c r="D15" s="2" t="s">
        <v>20</v>
      </c>
      <c r="E15" s="2" t="s">
        <v>62</v>
      </c>
      <c r="F15" s="4">
        <v>7038</v>
      </c>
      <c r="G15" s="14"/>
      <c r="H15" s="9"/>
    </row>
    <row r="16" spans="3:8" x14ac:dyDescent="0.25">
      <c r="C16" s="8" t="s">
        <v>8</v>
      </c>
      <c r="D16" s="2" t="s">
        <v>21</v>
      </c>
      <c r="E16" s="2" t="s">
        <v>62</v>
      </c>
      <c r="F16" s="4">
        <v>12</v>
      </c>
      <c r="G16" s="14"/>
      <c r="H16" s="9"/>
    </row>
    <row r="17" spans="3:8" x14ac:dyDescent="0.25">
      <c r="C17" s="8" t="s">
        <v>8</v>
      </c>
      <c r="D17" s="2" t="s">
        <v>22</v>
      </c>
      <c r="E17" s="2" t="s">
        <v>63</v>
      </c>
      <c r="F17" s="4"/>
      <c r="G17" s="14">
        <v>120</v>
      </c>
      <c r="H17" s="9"/>
    </row>
    <row r="18" spans="3:8" x14ac:dyDescent="0.25">
      <c r="C18" s="8" t="s">
        <v>8</v>
      </c>
      <c r="D18" s="2" t="s">
        <v>23</v>
      </c>
      <c r="E18" s="2" t="s">
        <v>12</v>
      </c>
      <c r="F18" s="4">
        <v>29</v>
      </c>
      <c r="G18" s="14"/>
      <c r="H18" s="9"/>
    </row>
    <row r="19" spans="3:8" x14ac:dyDescent="0.25">
      <c r="C19" s="8" t="s">
        <v>8</v>
      </c>
      <c r="D19" s="2" t="s">
        <v>24</v>
      </c>
      <c r="E19" s="2" t="s">
        <v>12</v>
      </c>
      <c r="F19" s="4">
        <v>31</v>
      </c>
      <c r="G19" s="14"/>
      <c r="H19" s="9"/>
    </row>
    <row r="20" spans="3:8" x14ac:dyDescent="0.25">
      <c r="C20" s="8" t="s">
        <v>8</v>
      </c>
      <c r="D20" s="2" t="s">
        <v>25</v>
      </c>
      <c r="E20" s="2" t="s">
        <v>12</v>
      </c>
      <c r="F20" s="4">
        <v>29.5</v>
      </c>
      <c r="G20" s="14"/>
      <c r="H20" s="9"/>
    </row>
    <row r="21" spans="3:8" x14ac:dyDescent="0.25">
      <c r="C21" s="8" t="s">
        <v>8</v>
      </c>
      <c r="D21" s="2" t="s">
        <v>26</v>
      </c>
      <c r="E21" s="2" t="s">
        <v>9</v>
      </c>
      <c r="F21" s="4">
        <v>130</v>
      </c>
      <c r="G21" s="14"/>
      <c r="H21" s="9"/>
    </row>
    <row r="22" spans="3:8" x14ac:dyDescent="0.25">
      <c r="C22" s="8" t="s">
        <v>8</v>
      </c>
      <c r="D22" s="2" t="s">
        <v>64</v>
      </c>
      <c r="E22" s="2" t="s">
        <v>136</v>
      </c>
      <c r="F22" s="4"/>
      <c r="G22" s="14">
        <v>728</v>
      </c>
      <c r="H22" s="9"/>
    </row>
    <row r="23" spans="3:8" x14ac:dyDescent="0.25">
      <c r="C23" s="8" t="s">
        <v>8</v>
      </c>
      <c r="D23" s="2" t="s">
        <v>65</v>
      </c>
      <c r="E23" s="2" t="s">
        <v>90</v>
      </c>
      <c r="F23" s="4">
        <v>2450</v>
      </c>
      <c r="G23" s="14"/>
      <c r="H23" s="9"/>
    </row>
    <row r="24" spans="3:8" x14ac:dyDescent="0.25">
      <c r="C24" s="8" t="s">
        <v>8</v>
      </c>
      <c r="D24" s="2" t="s">
        <v>66</v>
      </c>
      <c r="E24" s="2" t="s">
        <v>89</v>
      </c>
      <c r="F24" s="4">
        <v>245</v>
      </c>
      <c r="G24" s="14"/>
      <c r="H24" s="9"/>
    </row>
    <row r="25" spans="3:8" x14ac:dyDescent="0.25">
      <c r="C25" s="8" t="s">
        <v>8</v>
      </c>
      <c r="D25" s="2" t="s">
        <v>67</v>
      </c>
      <c r="E25" s="2" t="s">
        <v>12</v>
      </c>
      <c r="F25" s="4">
        <v>12.5</v>
      </c>
      <c r="G25" s="14"/>
      <c r="H25" s="9"/>
    </row>
    <row r="26" spans="3:8" x14ac:dyDescent="0.25">
      <c r="C26" s="8" t="s">
        <v>8</v>
      </c>
      <c r="D26" s="2" t="s">
        <v>68</v>
      </c>
      <c r="E26" s="2" t="s">
        <v>12</v>
      </c>
      <c r="F26" s="4">
        <v>5.5</v>
      </c>
      <c r="G26" s="14"/>
      <c r="H26" s="9"/>
    </row>
    <row r="27" spans="3:8" x14ac:dyDescent="0.25">
      <c r="C27" s="8" t="s">
        <v>8</v>
      </c>
      <c r="D27" s="2" t="s">
        <v>69</v>
      </c>
      <c r="E27" s="2" t="s">
        <v>105</v>
      </c>
      <c r="F27" s="4">
        <v>84</v>
      </c>
      <c r="G27" s="14"/>
      <c r="H27" s="9"/>
    </row>
    <row r="28" spans="3:8" x14ac:dyDescent="0.25">
      <c r="C28" s="8" t="s">
        <v>8</v>
      </c>
      <c r="D28" s="2" t="s">
        <v>70</v>
      </c>
      <c r="E28" s="2" t="s">
        <v>12</v>
      </c>
      <c r="F28" s="4">
        <v>20</v>
      </c>
      <c r="G28" s="14"/>
      <c r="H28" s="9"/>
    </row>
    <row r="29" spans="3:8" x14ac:dyDescent="0.25">
      <c r="C29" s="8" t="s">
        <v>8</v>
      </c>
      <c r="D29" s="2" t="s">
        <v>96</v>
      </c>
      <c r="E29" s="2" t="s">
        <v>12</v>
      </c>
      <c r="F29" s="4">
        <v>31</v>
      </c>
      <c r="G29" s="14"/>
      <c r="H29" s="9"/>
    </row>
    <row r="30" spans="3:8" x14ac:dyDescent="0.25">
      <c r="C30" s="8" t="s">
        <v>8</v>
      </c>
      <c r="D30" s="2" t="s">
        <v>97</v>
      </c>
      <c r="E30" s="2" t="s">
        <v>104</v>
      </c>
      <c r="F30" s="4"/>
      <c r="G30" s="14">
        <v>674</v>
      </c>
      <c r="H30" s="9"/>
    </row>
    <row r="31" spans="3:8" x14ac:dyDescent="0.25">
      <c r="C31" s="8" t="s">
        <v>8</v>
      </c>
      <c r="D31" s="2" t="s">
        <v>98</v>
      </c>
      <c r="E31" s="2" t="s">
        <v>103</v>
      </c>
      <c r="F31" s="4"/>
      <c r="G31" s="14">
        <v>44</v>
      </c>
      <c r="H31" s="9"/>
    </row>
    <row r="32" spans="3:8" x14ac:dyDescent="0.25">
      <c r="C32" s="8" t="s">
        <v>8</v>
      </c>
      <c r="D32" s="2" t="s">
        <v>99</v>
      </c>
      <c r="E32" s="2" t="s">
        <v>12</v>
      </c>
      <c r="F32" s="4">
        <v>5</v>
      </c>
      <c r="G32" s="14"/>
      <c r="H32" s="9"/>
    </row>
    <row r="33" spans="3:8" x14ac:dyDescent="0.25">
      <c r="C33" s="8" t="s">
        <v>8</v>
      </c>
      <c r="D33" s="2" t="s">
        <v>100</v>
      </c>
      <c r="E33" s="2" t="s">
        <v>12</v>
      </c>
      <c r="F33" s="4">
        <v>11</v>
      </c>
      <c r="G33" s="14"/>
      <c r="H33" s="9"/>
    </row>
    <row r="34" spans="3:8" x14ac:dyDescent="0.25">
      <c r="C34" s="8" t="s">
        <v>8</v>
      </c>
      <c r="D34" s="2" t="s">
        <v>101</v>
      </c>
      <c r="E34" s="2" t="s">
        <v>12</v>
      </c>
      <c r="F34" s="4">
        <v>10</v>
      </c>
      <c r="G34" s="14"/>
      <c r="H34" s="9"/>
    </row>
    <row r="35" spans="3:8" x14ac:dyDescent="0.25">
      <c r="C35" s="8" t="s">
        <v>8</v>
      </c>
      <c r="D35" s="2" t="s">
        <v>102</v>
      </c>
      <c r="E35" s="2" t="s">
        <v>12</v>
      </c>
      <c r="F35" s="4">
        <v>10</v>
      </c>
      <c r="G35" s="14"/>
      <c r="H35" s="9"/>
    </row>
    <row r="36" spans="3:8" x14ac:dyDescent="0.25">
      <c r="C36" s="8" t="s">
        <v>8</v>
      </c>
      <c r="D36" s="2" t="s">
        <v>121</v>
      </c>
      <c r="E36" s="2" t="s">
        <v>12</v>
      </c>
      <c r="F36" s="4">
        <v>4.5</v>
      </c>
      <c r="G36" s="14"/>
      <c r="H36" s="9"/>
    </row>
    <row r="37" spans="3:8" x14ac:dyDescent="0.25">
      <c r="C37" s="8" t="s">
        <v>8</v>
      </c>
      <c r="D37" s="2" t="s">
        <v>122</v>
      </c>
      <c r="E37" s="2" t="s">
        <v>12</v>
      </c>
      <c r="F37" s="4"/>
      <c r="G37" s="14"/>
      <c r="H37" s="9">
        <v>3</v>
      </c>
    </row>
    <row r="38" spans="3:8" x14ac:dyDescent="0.25">
      <c r="C38" s="8" t="s">
        <v>8</v>
      </c>
      <c r="D38" s="2" t="s">
        <v>123</v>
      </c>
      <c r="E38" s="2" t="s">
        <v>12</v>
      </c>
      <c r="F38" s="4">
        <v>8.5</v>
      </c>
      <c r="G38" s="14"/>
      <c r="H38" s="9"/>
    </row>
    <row r="39" spans="3:8" x14ac:dyDescent="0.25">
      <c r="C39" s="8" t="s">
        <v>8</v>
      </c>
      <c r="D39" s="2" t="s">
        <v>124</v>
      </c>
      <c r="E39" s="2" t="s">
        <v>12</v>
      </c>
      <c r="F39" s="4">
        <v>2.5</v>
      </c>
      <c r="G39" s="14"/>
      <c r="H39" s="9"/>
    </row>
    <row r="40" spans="3:8" x14ac:dyDescent="0.25">
      <c r="C40" s="8" t="s">
        <v>8</v>
      </c>
      <c r="D40" s="2" t="s">
        <v>125</v>
      </c>
      <c r="E40" s="2" t="s">
        <v>140</v>
      </c>
      <c r="F40" s="4">
        <v>730</v>
      </c>
      <c r="G40" s="14"/>
      <c r="H40" s="9"/>
    </row>
    <row r="41" spans="3:8" x14ac:dyDescent="0.25">
      <c r="C41" s="8" t="s">
        <v>8</v>
      </c>
      <c r="D41" s="2" t="s">
        <v>126</v>
      </c>
      <c r="E41" s="2" t="s">
        <v>12</v>
      </c>
      <c r="F41" s="4">
        <v>9.5</v>
      </c>
      <c r="G41" s="14"/>
      <c r="H41" s="9"/>
    </row>
    <row r="42" spans="3:8" x14ac:dyDescent="0.25">
      <c r="C42" s="8" t="s">
        <v>8</v>
      </c>
      <c r="D42" s="2" t="s">
        <v>127</v>
      </c>
      <c r="E42" s="2" t="s">
        <v>12</v>
      </c>
      <c r="F42" s="4"/>
      <c r="G42" s="14"/>
      <c r="H42" s="9">
        <v>11</v>
      </c>
    </row>
    <row r="43" spans="3:8" x14ac:dyDescent="0.25">
      <c r="C43" s="8" t="s">
        <v>8</v>
      </c>
      <c r="D43" s="2" t="s">
        <v>128</v>
      </c>
      <c r="E43" s="2" t="s">
        <v>141</v>
      </c>
      <c r="F43" s="4">
        <v>1170</v>
      </c>
      <c r="G43" s="14"/>
      <c r="H43" s="9"/>
    </row>
    <row r="44" spans="3:8" x14ac:dyDescent="0.25">
      <c r="C44" s="8" t="s">
        <v>8</v>
      </c>
      <c r="D44" s="2" t="s">
        <v>129</v>
      </c>
      <c r="E44" s="2" t="s">
        <v>12</v>
      </c>
      <c r="F44" s="4">
        <v>14.5</v>
      </c>
      <c r="G44" s="14"/>
      <c r="H44" s="9"/>
    </row>
    <row r="45" spans="3:8" x14ac:dyDescent="0.25">
      <c r="C45" s="8" t="s">
        <v>8</v>
      </c>
      <c r="D45" s="2" t="s">
        <v>130</v>
      </c>
      <c r="E45" s="2" t="s">
        <v>12</v>
      </c>
      <c r="F45" s="4">
        <v>4</v>
      </c>
      <c r="G45" s="14"/>
      <c r="H45" s="9"/>
    </row>
    <row r="46" spans="3:8" x14ac:dyDescent="0.25">
      <c r="C46" s="8" t="s">
        <v>8</v>
      </c>
      <c r="D46" s="2" t="s">
        <v>131</v>
      </c>
      <c r="E46" s="2" t="s">
        <v>12</v>
      </c>
      <c r="F46" s="4">
        <v>32</v>
      </c>
      <c r="G46" s="14"/>
      <c r="H46" s="9"/>
    </row>
    <row r="47" spans="3:8" x14ac:dyDescent="0.25">
      <c r="C47" s="8" t="s">
        <v>8</v>
      </c>
      <c r="D47" s="2" t="s">
        <v>147</v>
      </c>
      <c r="E47" s="2" t="s">
        <v>12</v>
      </c>
      <c r="F47" s="4">
        <v>7</v>
      </c>
      <c r="G47" s="14"/>
      <c r="H47" s="9"/>
    </row>
    <row r="48" spans="3:8" x14ac:dyDescent="0.25">
      <c r="C48" s="8" t="s">
        <v>8</v>
      </c>
      <c r="D48" s="2" t="s">
        <v>148</v>
      </c>
      <c r="E48" s="2" t="s">
        <v>12</v>
      </c>
      <c r="F48" s="4">
        <v>3</v>
      </c>
      <c r="G48" s="14"/>
      <c r="H48" s="9"/>
    </row>
    <row r="49" spans="3:8" x14ac:dyDescent="0.25">
      <c r="C49" s="8" t="s">
        <v>8</v>
      </c>
      <c r="D49" s="2" t="s">
        <v>149</v>
      </c>
      <c r="E49" s="2" t="s">
        <v>158</v>
      </c>
      <c r="F49" s="4"/>
      <c r="G49" s="14"/>
      <c r="H49" s="9">
        <v>394.24</v>
      </c>
    </row>
    <row r="50" spans="3:8" x14ac:dyDescent="0.25">
      <c r="C50" s="8" t="s">
        <v>8</v>
      </c>
      <c r="D50" s="2" t="s">
        <v>150</v>
      </c>
      <c r="E50" s="2" t="s">
        <v>12</v>
      </c>
      <c r="F50" s="4">
        <v>5</v>
      </c>
      <c r="G50" s="14"/>
      <c r="H50" s="9"/>
    </row>
    <row r="51" spans="3:8" x14ac:dyDescent="0.25">
      <c r="C51" s="8" t="s">
        <v>8</v>
      </c>
      <c r="D51" s="2" t="s">
        <v>151</v>
      </c>
      <c r="E51" s="2" t="s">
        <v>103</v>
      </c>
      <c r="F51" s="4"/>
      <c r="G51" s="14">
        <v>703</v>
      </c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 t="s">
        <v>34</v>
      </c>
      <c r="D55" s="2" t="s">
        <v>27</v>
      </c>
      <c r="E55" s="2" t="s">
        <v>37</v>
      </c>
      <c r="F55" s="4">
        <v>3540</v>
      </c>
      <c r="G55" s="14"/>
      <c r="H55" s="9"/>
    </row>
    <row r="56" spans="3:8" x14ac:dyDescent="0.25">
      <c r="C56" s="8" t="s">
        <v>34</v>
      </c>
      <c r="D56" s="2" t="s">
        <v>28</v>
      </c>
      <c r="E56" s="2" t="s">
        <v>38</v>
      </c>
      <c r="F56" s="4">
        <v>60</v>
      </c>
      <c r="G56" s="14"/>
      <c r="H56" s="9"/>
    </row>
    <row r="57" spans="3:8" x14ac:dyDescent="0.25">
      <c r="C57" s="8" t="s">
        <v>34</v>
      </c>
      <c r="D57" s="2" t="s">
        <v>29</v>
      </c>
      <c r="E57" s="2" t="s">
        <v>48</v>
      </c>
      <c r="F57" s="4"/>
      <c r="G57" s="14"/>
      <c r="H57" s="9">
        <v>14</v>
      </c>
    </row>
    <row r="58" spans="3:8" x14ac:dyDescent="0.25">
      <c r="C58" s="8" t="s">
        <v>34</v>
      </c>
      <c r="D58" s="2" t="s">
        <v>30</v>
      </c>
      <c r="E58" s="2" t="s">
        <v>48</v>
      </c>
      <c r="F58" s="4">
        <v>44</v>
      </c>
      <c r="G58" s="14"/>
      <c r="H58" s="9"/>
    </row>
    <row r="59" spans="3:8" x14ac:dyDescent="0.25">
      <c r="C59" s="8" t="s">
        <v>34</v>
      </c>
      <c r="D59" s="2" t="s">
        <v>31</v>
      </c>
      <c r="E59" s="2" t="s">
        <v>51</v>
      </c>
      <c r="F59" s="4"/>
      <c r="G59" s="14"/>
      <c r="H59" s="9">
        <v>2107.1999999999998</v>
      </c>
    </row>
    <row r="60" spans="3:8" x14ac:dyDescent="0.25">
      <c r="C60" s="8" t="s">
        <v>34</v>
      </c>
      <c r="D60" s="2" t="s">
        <v>32</v>
      </c>
      <c r="E60" s="2" t="s">
        <v>52</v>
      </c>
      <c r="F60" s="4">
        <v>70</v>
      </c>
      <c r="G60" s="14"/>
      <c r="H60" s="9"/>
    </row>
    <row r="61" spans="3:8" x14ac:dyDescent="0.25">
      <c r="C61" s="8" t="s">
        <v>34</v>
      </c>
      <c r="D61" s="2" t="s">
        <v>33</v>
      </c>
      <c r="E61" s="2" t="s">
        <v>53</v>
      </c>
      <c r="F61" s="4"/>
      <c r="G61" s="14"/>
      <c r="H61" s="35">
        <v>206.8</v>
      </c>
    </row>
    <row r="62" spans="3:8" x14ac:dyDescent="0.25">
      <c r="C62" s="8" t="s">
        <v>34</v>
      </c>
      <c r="D62" s="2" t="s">
        <v>54</v>
      </c>
      <c r="E62" s="2" t="s">
        <v>58</v>
      </c>
      <c r="F62" s="4"/>
      <c r="G62" s="14"/>
      <c r="H62" s="9">
        <v>503.7</v>
      </c>
    </row>
    <row r="63" spans="3:8" x14ac:dyDescent="0.25">
      <c r="C63" s="8" t="s">
        <v>34</v>
      </c>
      <c r="D63" s="2" t="s">
        <v>55</v>
      </c>
      <c r="E63" s="2" t="s">
        <v>59</v>
      </c>
      <c r="F63" s="4">
        <v>538</v>
      </c>
      <c r="G63" s="14"/>
      <c r="H63" s="9"/>
    </row>
    <row r="64" spans="3:8" x14ac:dyDescent="0.25">
      <c r="C64" s="8" t="s">
        <v>34</v>
      </c>
      <c r="D64" s="2" t="s">
        <v>56</v>
      </c>
      <c r="E64" s="2" t="s">
        <v>48</v>
      </c>
      <c r="F64" s="4">
        <v>4</v>
      </c>
      <c r="G64" s="14"/>
      <c r="H64" s="9"/>
    </row>
    <row r="65" spans="3:8" x14ac:dyDescent="0.25">
      <c r="C65" s="8" t="s">
        <v>34</v>
      </c>
      <c r="D65" s="2" t="s">
        <v>57</v>
      </c>
      <c r="E65" s="2" t="s">
        <v>48</v>
      </c>
      <c r="F65" s="4">
        <v>7.5</v>
      </c>
      <c r="G65" s="14"/>
      <c r="H65" s="9"/>
    </row>
    <row r="66" spans="3:8" x14ac:dyDescent="0.25">
      <c r="C66" s="8" t="s">
        <v>34</v>
      </c>
      <c r="D66" s="2" t="s">
        <v>75</v>
      </c>
      <c r="E66" s="2" t="s">
        <v>48</v>
      </c>
      <c r="F66" s="4"/>
      <c r="G66" s="14"/>
      <c r="H66" s="9">
        <v>5.5</v>
      </c>
    </row>
    <row r="67" spans="3:8" x14ac:dyDescent="0.25">
      <c r="C67" s="8" t="s">
        <v>34</v>
      </c>
      <c r="D67" s="2" t="s">
        <v>76</v>
      </c>
      <c r="E67" s="2" t="s">
        <v>48</v>
      </c>
      <c r="F67" s="4">
        <v>9</v>
      </c>
      <c r="G67" s="14"/>
      <c r="H67" s="9"/>
    </row>
    <row r="68" spans="3:8" x14ac:dyDescent="0.25">
      <c r="C68" s="8" t="s">
        <v>34</v>
      </c>
      <c r="D68" s="2" t="s">
        <v>77</v>
      </c>
      <c r="E68" s="2" t="s">
        <v>48</v>
      </c>
      <c r="F68" s="4">
        <v>29.6</v>
      </c>
      <c r="G68" s="14"/>
      <c r="H68" s="9"/>
    </row>
    <row r="69" spans="3:8" x14ac:dyDescent="0.25">
      <c r="C69" s="8" t="s">
        <v>34</v>
      </c>
      <c r="D69" s="2" t="s">
        <v>78</v>
      </c>
      <c r="E69" s="2" t="s">
        <v>48</v>
      </c>
      <c r="F69" s="4">
        <v>3</v>
      </c>
      <c r="G69" s="14"/>
      <c r="H69" s="9"/>
    </row>
    <row r="70" spans="3:8" x14ac:dyDescent="0.25">
      <c r="C70" s="8" t="s">
        <v>34</v>
      </c>
      <c r="D70" s="2" t="s">
        <v>79</v>
      </c>
      <c r="E70" s="2" t="s">
        <v>48</v>
      </c>
      <c r="F70" s="4">
        <v>10</v>
      </c>
      <c r="G70" s="14"/>
      <c r="H70" s="9"/>
    </row>
    <row r="71" spans="3:8" x14ac:dyDescent="0.25">
      <c r="C71" s="8" t="s">
        <v>34</v>
      </c>
      <c r="D71" s="2" t="s">
        <v>80</v>
      </c>
      <c r="E71" s="2" t="s">
        <v>48</v>
      </c>
      <c r="F71" s="4">
        <v>9</v>
      </c>
      <c r="G71" s="14"/>
      <c r="H71" s="9"/>
    </row>
    <row r="72" spans="3:8" x14ac:dyDescent="0.25">
      <c r="C72" s="8" t="s">
        <v>34</v>
      </c>
      <c r="D72" s="2" t="s">
        <v>81</v>
      </c>
      <c r="E72" s="2" t="s">
        <v>48</v>
      </c>
      <c r="F72" s="4">
        <v>3</v>
      </c>
      <c r="G72" s="14"/>
      <c r="H72" s="9"/>
    </row>
    <row r="73" spans="3:8" x14ac:dyDescent="0.25">
      <c r="C73" s="8" t="s">
        <v>34</v>
      </c>
      <c r="D73" s="2" t="s">
        <v>82</v>
      </c>
      <c r="E73" s="2" t="s">
        <v>48</v>
      </c>
      <c r="F73" s="4">
        <v>4.5</v>
      </c>
      <c r="G73" s="14"/>
      <c r="H73" s="9"/>
    </row>
    <row r="74" spans="3:8" x14ac:dyDescent="0.25">
      <c r="C74" s="8" t="s">
        <v>34</v>
      </c>
      <c r="D74" s="2" t="s">
        <v>83</v>
      </c>
      <c r="E74" s="2" t="s">
        <v>48</v>
      </c>
      <c r="F74" s="4">
        <v>10</v>
      </c>
      <c r="G74" s="14"/>
      <c r="H74" s="9"/>
    </row>
    <row r="75" spans="3:8" x14ac:dyDescent="0.25">
      <c r="C75" s="8" t="s">
        <v>34</v>
      </c>
      <c r="D75" s="2" t="s">
        <v>84</v>
      </c>
      <c r="E75" s="2" t="s">
        <v>48</v>
      </c>
      <c r="F75" s="4">
        <v>31</v>
      </c>
      <c r="G75" s="14"/>
      <c r="H75" s="9"/>
    </row>
    <row r="76" spans="3:8" x14ac:dyDescent="0.25">
      <c r="C76" s="8" t="s">
        <v>34</v>
      </c>
      <c r="D76" s="2" t="s">
        <v>85</v>
      </c>
      <c r="E76" s="2" t="s">
        <v>108</v>
      </c>
      <c r="F76" s="4">
        <v>280</v>
      </c>
      <c r="G76" s="14"/>
      <c r="H76" s="9"/>
    </row>
    <row r="77" spans="3:8" x14ac:dyDescent="0.25">
      <c r="C77" s="8" t="s">
        <v>34</v>
      </c>
      <c r="D77" s="2" t="s">
        <v>86</v>
      </c>
      <c r="E77" s="2" t="s">
        <v>107</v>
      </c>
      <c r="F77" s="4"/>
      <c r="G77" s="14">
        <v>6356</v>
      </c>
      <c r="H77" s="9"/>
    </row>
    <row r="78" spans="3:8" x14ac:dyDescent="0.25">
      <c r="C78" s="8" t="s">
        <v>34</v>
      </c>
      <c r="D78" s="2" t="s">
        <v>87</v>
      </c>
      <c r="E78" s="2" t="s">
        <v>106</v>
      </c>
      <c r="F78" s="4"/>
      <c r="G78" s="14"/>
      <c r="H78" s="9">
        <v>327</v>
      </c>
    </row>
    <row r="79" spans="3:8" x14ac:dyDescent="0.25">
      <c r="C79" s="8" t="s">
        <v>34</v>
      </c>
      <c r="D79" s="2" t="s">
        <v>109</v>
      </c>
      <c r="E79" s="2" t="s">
        <v>48</v>
      </c>
      <c r="F79" s="4"/>
      <c r="G79" s="14"/>
      <c r="H79" s="9">
        <v>23.5</v>
      </c>
    </row>
    <row r="80" spans="3:8" x14ac:dyDescent="0.25">
      <c r="C80" s="8" t="s">
        <v>34</v>
      </c>
      <c r="D80" s="2" t="s">
        <v>110</v>
      </c>
      <c r="E80" s="2" t="s">
        <v>48</v>
      </c>
      <c r="F80" s="4">
        <v>37.5</v>
      </c>
      <c r="G80" s="14"/>
      <c r="H80" s="9"/>
    </row>
    <row r="81" spans="3:8" x14ac:dyDescent="0.25">
      <c r="C81" s="8" t="s">
        <v>34</v>
      </c>
      <c r="D81" s="2" t="s">
        <v>111</v>
      </c>
      <c r="E81" s="2" t="s">
        <v>48</v>
      </c>
      <c r="F81" s="4">
        <v>8.5</v>
      </c>
      <c r="G81" s="14"/>
      <c r="H81" s="9"/>
    </row>
    <row r="82" spans="3:8" x14ac:dyDescent="0.25">
      <c r="C82" s="8" t="s">
        <v>34</v>
      </c>
      <c r="D82" s="2" t="s">
        <v>112</v>
      </c>
      <c r="E82" s="2" t="s">
        <v>48</v>
      </c>
      <c r="F82" s="4">
        <v>59.2</v>
      </c>
      <c r="G82" s="14"/>
      <c r="H82" s="9"/>
    </row>
    <row r="83" spans="3:8" x14ac:dyDescent="0.25">
      <c r="C83" s="8" t="s">
        <v>34</v>
      </c>
      <c r="D83" s="2" t="s">
        <v>113</v>
      </c>
      <c r="E83" s="2" t="s">
        <v>48</v>
      </c>
      <c r="F83" s="4">
        <v>2.5</v>
      </c>
      <c r="G83" s="14"/>
      <c r="H83" s="9"/>
    </row>
    <row r="84" spans="3:8" x14ac:dyDescent="0.25">
      <c r="C84" s="8" t="s">
        <v>34</v>
      </c>
      <c r="D84" s="2" t="s">
        <v>114</v>
      </c>
      <c r="E84" s="2" t="s">
        <v>116</v>
      </c>
      <c r="F84" s="4"/>
      <c r="G84" s="14"/>
      <c r="H84" s="9">
        <v>28</v>
      </c>
    </row>
    <row r="85" spans="3:8" x14ac:dyDescent="0.25">
      <c r="C85" s="8" t="s">
        <v>34</v>
      </c>
      <c r="D85" s="2" t="s">
        <v>115</v>
      </c>
      <c r="E85" s="2" t="s">
        <v>48</v>
      </c>
      <c r="F85" s="4"/>
      <c r="G85" s="14"/>
      <c r="H85" s="9">
        <v>3</v>
      </c>
    </row>
    <row r="86" spans="3:8" x14ac:dyDescent="0.25">
      <c r="C86" s="8" t="s">
        <v>34</v>
      </c>
      <c r="D86" s="2" t="s">
        <v>117</v>
      </c>
      <c r="E86" s="2" t="s">
        <v>48</v>
      </c>
      <c r="F86" s="4">
        <v>4</v>
      </c>
      <c r="G86" s="14"/>
      <c r="H86" s="9"/>
    </row>
    <row r="87" spans="3:8" x14ac:dyDescent="0.25">
      <c r="C87" s="8" t="s">
        <v>34</v>
      </c>
      <c r="D87" s="2" t="s">
        <v>118</v>
      </c>
      <c r="E87" s="2" t="s">
        <v>135</v>
      </c>
      <c r="F87" s="4"/>
      <c r="G87" s="14"/>
      <c r="H87" s="9">
        <v>308</v>
      </c>
    </row>
    <row r="88" spans="3:8" x14ac:dyDescent="0.25">
      <c r="C88" s="8" t="s">
        <v>34</v>
      </c>
      <c r="D88" s="2" t="s">
        <v>132</v>
      </c>
      <c r="E88" s="2" t="s">
        <v>152</v>
      </c>
      <c r="F88" s="4">
        <v>70</v>
      </c>
      <c r="G88" s="14"/>
      <c r="H88" s="9"/>
    </row>
    <row r="89" spans="3:8" x14ac:dyDescent="0.25">
      <c r="C89" s="8" t="s">
        <v>34</v>
      </c>
      <c r="D89" s="2" t="s">
        <v>133</v>
      </c>
      <c r="E89" s="2" t="s">
        <v>48</v>
      </c>
      <c r="F89" s="4"/>
      <c r="G89" s="14"/>
      <c r="H89" s="9">
        <v>6</v>
      </c>
    </row>
    <row r="90" spans="3:8" x14ac:dyDescent="0.25">
      <c r="C90" s="8" t="s">
        <v>34</v>
      </c>
      <c r="D90" s="2" t="s">
        <v>134</v>
      </c>
      <c r="E90" s="2" t="s">
        <v>159</v>
      </c>
      <c r="F90" s="4"/>
      <c r="G90" s="14">
        <v>500</v>
      </c>
      <c r="H90" s="9">
        <v>434</v>
      </c>
    </row>
    <row r="91" spans="3:8" x14ac:dyDescent="0.25">
      <c r="C91" s="8" t="s">
        <v>34</v>
      </c>
      <c r="D91" s="2" t="s">
        <v>162</v>
      </c>
      <c r="E91" s="2" t="s">
        <v>34</v>
      </c>
      <c r="F91" s="4">
        <v>2</v>
      </c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29"/>
      <c r="D97" s="30"/>
      <c r="E97" s="30" t="s">
        <v>60</v>
      </c>
      <c r="F97" s="31"/>
      <c r="G97" s="32"/>
      <c r="H97" s="33"/>
    </row>
    <row r="98" spans="3:8" x14ac:dyDescent="0.25">
      <c r="C98" s="8"/>
      <c r="D98" s="2" t="s">
        <v>71</v>
      </c>
      <c r="E98" s="2" t="s">
        <v>72</v>
      </c>
      <c r="F98" s="4"/>
      <c r="G98" s="14"/>
      <c r="H98" s="9">
        <v>58</v>
      </c>
    </row>
    <row r="99" spans="3:8" x14ac:dyDescent="0.25">
      <c r="C99" s="8"/>
      <c r="D99" s="2" t="s">
        <v>73</v>
      </c>
      <c r="E99" s="2" t="s">
        <v>74</v>
      </c>
      <c r="F99" s="4"/>
      <c r="G99" s="14"/>
      <c r="H99" s="9">
        <v>16</v>
      </c>
    </row>
    <row r="100" spans="3:8" x14ac:dyDescent="0.25">
      <c r="C100" s="8"/>
      <c r="D100" s="40" t="s">
        <v>92</v>
      </c>
      <c r="E100" s="40" t="s">
        <v>93</v>
      </c>
      <c r="F100" s="35"/>
      <c r="G100" s="14"/>
      <c r="H100" s="9">
        <v>1240</v>
      </c>
    </row>
    <row r="101" spans="3:8" x14ac:dyDescent="0.25">
      <c r="C101" s="8"/>
      <c r="D101" s="2" t="s">
        <v>95</v>
      </c>
      <c r="E101" s="2" t="s">
        <v>94</v>
      </c>
      <c r="F101" s="4"/>
      <c r="G101" s="14"/>
      <c r="H101" s="9">
        <v>38.5</v>
      </c>
    </row>
    <row r="102" spans="3:8" x14ac:dyDescent="0.25">
      <c r="C102" s="8"/>
      <c r="D102" s="2" t="s">
        <v>144</v>
      </c>
      <c r="E102" s="2" t="s">
        <v>146</v>
      </c>
      <c r="F102" s="4"/>
      <c r="G102" s="14"/>
      <c r="H102" s="9">
        <v>157.5</v>
      </c>
    </row>
    <row r="103" spans="3:8" x14ac:dyDescent="0.25">
      <c r="C103" s="8"/>
      <c r="D103" s="2" t="s">
        <v>145</v>
      </c>
      <c r="E103" s="2" t="s">
        <v>146</v>
      </c>
      <c r="F103" s="4"/>
      <c r="G103" s="14"/>
      <c r="H103" s="9">
        <v>212.2</v>
      </c>
    </row>
    <row r="104" spans="3:8" x14ac:dyDescent="0.25">
      <c r="C104" s="8"/>
      <c r="D104" s="2" t="s">
        <v>153</v>
      </c>
      <c r="E104" s="2" t="s">
        <v>94</v>
      </c>
      <c r="F104" s="4"/>
      <c r="G104" s="14"/>
      <c r="H104" s="9">
        <v>1340</v>
      </c>
    </row>
    <row r="105" spans="3:8" x14ac:dyDescent="0.25">
      <c r="C105" s="8"/>
      <c r="D105" s="2" t="s">
        <v>154</v>
      </c>
      <c r="E105" s="2" t="s">
        <v>156</v>
      </c>
      <c r="F105" s="4"/>
      <c r="G105" s="14"/>
      <c r="H105" s="9">
        <v>48</v>
      </c>
    </row>
    <row r="106" spans="3:8" x14ac:dyDescent="0.25">
      <c r="C106" s="8"/>
      <c r="D106" s="2" t="s">
        <v>155</v>
      </c>
      <c r="E106" s="2" t="s">
        <v>157</v>
      </c>
      <c r="F106" s="4"/>
      <c r="G106" s="14"/>
      <c r="H106" s="9">
        <v>7613</v>
      </c>
    </row>
    <row r="107" spans="3:8" x14ac:dyDescent="0.25">
      <c r="C107" s="8"/>
      <c r="D107" s="2"/>
      <c r="E107" s="2"/>
      <c r="F107" s="4"/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x14ac:dyDescent="0.25">
      <c r="C110" s="16"/>
      <c r="D110" s="17"/>
      <c r="E110" s="17" t="s">
        <v>39</v>
      </c>
      <c r="F110" s="5"/>
      <c r="G110" s="18"/>
      <c r="H110" s="7"/>
    </row>
    <row r="111" spans="3:8" x14ac:dyDescent="0.25">
      <c r="C111" s="8" t="s">
        <v>47</v>
      </c>
      <c r="D111" s="2" t="s">
        <v>41</v>
      </c>
      <c r="E111" s="2" t="s">
        <v>40</v>
      </c>
      <c r="F111" s="4">
        <v>408</v>
      </c>
      <c r="G111" s="14"/>
      <c r="H111" s="9"/>
    </row>
    <row r="112" spans="3:8" x14ac:dyDescent="0.25">
      <c r="C112" s="34">
        <v>46075</v>
      </c>
      <c r="D112" s="2"/>
      <c r="E112" s="2" t="s">
        <v>88</v>
      </c>
      <c r="F112" s="4">
        <v>1490</v>
      </c>
      <c r="G112" s="14"/>
      <c r="H112" s="9"/>
    </row>
    <row r="113" spans="3:8" x14ac:dyDescent="0.25">
      <c r="C113" s="8"/>
      <c r="D113" s="2"/>
      <c r="E113" s="2" t="s">
        <v>163</v>
      </c>
      <c r="F113" s="4">
        <v>7745</v>
      </c>
      <c r="G113" s="14"/>
      <c r="H113" s="9"/>
    </row>
    <row r="114" spans="3:8" x14ac:dyDescent="0.25">
      <c r="C114" s="8"/>
      <c r="D114" s="2"/>
      <c r="E114" s="2"/>
      <c r="F114" s="4"/>
      <c r="G114" s="14"/>
      <c r="H114" s="9"/>
    </row>
    <row r="115" spans="3:8" x14ac:dyDescent="0.25">
      <c r="C115" s="8"/>
      <c r="D115" s="2"/>
      <c r="E115" s="2"/>
      <c r="F115" s="4"/>
      <c r="G115" s="14"/>
      <c r="H115" s="9"/>
    </row>
    <row r="116" spans="3:8" x14ac:dyDescent="0.25">
      <c r="C116" s="19"/>
      <c r="D116" s="20"/>
      <c r="E116" s="20" t="s">
        <v>42</v>
      </c>
      <c r="F116" s="21"/>
      <c r="G116" s="22"/>
      <c r="H116" s="23"/>
    </row>
    <row r="117" spans="3:8" x14ac:dyDescent="0.25">
      <c r="C117" s="8"/>
      <c r="D117" s="2"/>
      <c r="E117" s="2" t="s">
        <v>43</v>
      </c>
      <c r="F117" s="14">
        <v>-98.5</v>
      </c>
      <c r="G117" s="14"/>
      <c r="H117" s="9"/>
    </row>
    <row r="118" spans="3:8" x14ac:dyDescent="0.25">
      <c r="C118" s="8" t="s">
        <v>45</v>
      </c>
      <c r="D118" s="2" t="s">
        <v>160</v>
      </c>
      <c r="E118" s="2" t="s">
        <v>61</v>
      </c>
      <c r="F118" s="14">
        <v>-1120</v>
      </c>
      <c r="G118" s="14"/>
      <c r="H118" s="9"/>
    </row>
    <row r="119" spans="3:8" x14ac:dyDescent="0.25">
      <c r="C119" s="8"/>
      <c r="D119" s="2"/>
      <c r="E119" s="2" t="s">
        <v>46</v>
      </c>
      <c r="F119" s="14">
        <v>-240</v>
      </c>
      <c r="G119" s="14"/>
      <c r="H119" s="9"/>
    </row>
    <row r="120" spans="3:8" x14ac:dyDescent="0.25">
      <c r="C120" s="8" t="s">
        <v>45</v>
      </c>
      <c r="D120" s="2" t="s">
        <v>160</v>
      </c>
      <c r="E120" s="2" t="s">
        <v>91</v>
      </c>
      <c r="F120" s="14">
        <v>-884</v>
      </c>
      <c r="G120" s="14"/>
      <c r="H120" s="9"/>
    </row>
    <row r="121" spans="3:8" x14ac:dyDescent="0.25">
      <c r="C121" s="8"/>
      <c r="D121" s="2"/>
      <c r="E121" s="2" t="s">
        <v>119</v>
      </c>
      <c r="F121" s="14">
        <v>-10</v>
      </c>
      <c r="G121" s="14"/>
      <c r="H121" s="9"/>
    </row>
    <row r="122" spans="3:8" x14ac:dyDescent="0.25">
      <c r="C122" s="8"/>
      <c r="D122" s="2"/>
      <c r="E122" s="2" t="s">
        <v>120</v>
      </c>
      <c r="F122" s="14">
        <v>-56</v>
      </c>
      <c r="G122" s="14"/>
      <c r="H122" s="9"/>
    </row>
    <row r="123" spans="3:8" x14ac:dyDescent="0.25">
      <c r="C123" s="8"/>
      <c r="D123" s="2"/>
      <c r="E123" s="2" t="s">
        <v>137</v>
      </c>
      <c r="F123" s="14">
        <v>-10</v>
      </c>
      <c r="G123" s="14"/>
      <c r="H123" s="9"/>
    </row>
    <row r="124" spans="3:8" ht="30" x14ac:dyDescent="0.25">
      <c r="C124" s="8" t="s">
        <v>139</v>
      </c>
      <c r="D124" s="2"/>
      <c r="E124" s="37" t="s">
        <v>138</v>
      </c>
      <c r="F124" s="14">
        <v>-1425</v>
      </c>
      <c r="G124" s="14"/>
      <c r="H124" s="9"/>
    </row>
    <row r="125" spans="3:8" x14ac:dyDescent="0.25">
      <c r="C125" s="8"/>
      <c r="D125" s="2"/>
      <c r="E125" s="2" t="s">
        <v>142</v>
      </c>
      <c r="F125" s="14">
        <v>-10</v>
      </c>
      <c r="G125" s="14"/>
      <c r="H125" s="9"/>
    </row>
    <row r="126" spans="3:8" x14ac:dyDescent="0.25">
      <c r="C126" s="8"/>
      <c r="D126" s="2"/>
      <c r="E126" s="2" t="s">
        <v>143</v>
      </c>
      <c r="F126" s="14">
        <v>-10</v>
      </c>
      <c r="G126" s="14"/>
      <c r="H126" s="9"/>
    </row>
    <row r="127" spans="3:8" x14ac:dyDescent="0.25">
      <c r="C127" s="8" t="s">
        <v>45</v>
      </c>
      <c r="D127" s="2" t="s">
        <v>160</v>
      </c>
      <c r="E127" s="2" t="s">
        <v>91</v>
      </c>
      <c r="F127" s="14">
        <v>-884</v>
      </c>
      <c r="G127" s="14"/>
      <c r="H127" s="9"/>
    </row>
    <row r="128" spans="3:8" x14ac:dyDescent="0.25">
      <c r="C128" s="8"/>
      <c r="D128" s="2"/>
      <c r="E128" s="2" t="s">
        <v>161</v>
      </c>
      <c r="F128" s="14">
        <v>-2</v>
      </c>
      <c r="G128" s="14"/>
      <c r="H128" s="9"/>
    </row>
    <row r="129" spans="3:10" x14ac:dyDescent="0.25">
      <c r="C129" s="8"/>
      <c r="D129" s="2"/>
      <c r="E129" s="2"/>
      <c r="F129" s="4"/>
      <c r="G129" s="14"/>
      <c r="H129" s="9"/>
    </row>
    <row r="130" spans="3:10" ht="15.75" thickBot="1" x14ac:dyDescent="0.3">
      <c r="C130" s="10"/>
      <c r="D130" s="11"/>
      <c r="E130" s="11" t="s">
        <v>44</v>
      </c>
      <c r="F130" s="12">
        <f>SUM(F6:F129)</f>
        <v>22192.3</v>
      </c>
      <c r="G130" s="15">
        <f>SUM(G6:G129)</f>
        <v>10190</v>
      </c>
      <c r="H130" s="13">
        <f>SUM(H6:H129)</f>
        <v>15106.14</v>
      </c>
    </row>
    <row r="133" spans="3:10" ht="18.75" x14ac:dyDescent="0.3">
      <c r="E133" s="38" t="s">
        <v>49</v>
      </c>
      <c r="F133" s="39">
        <f>+H4+F130</f>
        <v>24849</v>
      </c>
    </row>
    <row r="136" spans="3:10" x14ac:dyDescent="0.25">
      <c r="J136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BC81-88C0-4F12-90D8-1711394103E7}">
  <sheetPr codeName="Hoja2"/>
  <dimension ref="C2:J142"/>
  <sheetViews>
    <sheetView topLeftCell="A106" workbookViewId="0">
      <selection activeCell="C3" sqref="C3:G4"/>
    </sheetView>
  </sheetViews>
  <sheetFormatPr baseColWidth="10" defaultRowHeight="15" x14ac:dyDescent="0.25"/>
  <cols>
    <col min="3" max="3" width="15.140625" style="1" bestFit="1" customWidth="1"/>
    <col min="4" max="4" width="20.42578125" style="1" bestFit="1" customWidth="1"/>
    <col min="5" max="5" width="37.42578125" style="1" customWidth="1"/>
    <col min="6" max="6" width="15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944</v>
      </c>
      <c r="D3" s="144"/>
      <c r="E3" s="144"/>
      <c r="F3" s="144"/>
      <c r="G3" s="145"/>
      <c r="H3" s="6" t="s">
        <v>0</v>
      </c>
    </row>
    <row r="4" spans="3:8" ht="15.75" thickBot="1" x14ac:dyDescent="0.3">
      <c r="C4" s="146"/>
      <c r="D4" s="147"/>
      <c r="E4" s="147"/>
      <c r="F4" s="147"/>
      <c r="G4" s="148"/>
      <c r="H4" s="28">
        <v>24849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166</v>
      </c>
      <c r="E6" s="2" t="s">
        <v>164</v>
      </c>
      <c r="F6" s="4">
        <v>2034.2</v>
      </c>
      <c r="G6" s="14"/>
      <c r="H6" s="9"/>
    </row>
    <row r="7" spans="3:8" x14ac:dyDescent="0.25">
      <c r="C7" s="8"/>
      <c r="D7" s="2" t="s">
        <v>167</v>
      </c>
      <c r="E7" s="2" t="s">
        <v>165</v>
      </c>
      <c r="F7" s="4"/>
      <c r="G7" s="14"/>
      <c r="H7" s="9">
        <v>10115</v>
      </c>
    </row>
    <row r="8" spans="3:8" x14ac:dyDescent="0.25">
      <c r="C8" s="8"/>
      <c r="D8" s="2" t="s">
        <v>187</v>
      </c>
      <c r="E8" s="2" t="s">
        <v>196</v>
      </c>
      <c r="F8" s="4"/>
      <c r="G8" s="14"/>
      <c r="H8" s="9">
        <v>37.5</v>
      </c>
    </row>
    <row r="9" spans="3:8" x14ac:dyDescent="0.25">
      <c r="C9" s="8"/>
      <c r="D9" s="2" t="s">
        <v>188</v>
      </c>
      <c r="E9" s="2" t="s">
        <v>12</v>
      </c>
      <c r="F9" s="4"/>
      <c r="G9" s="14"/>
      <c r="H9" s="9">
        <v>15</v>
      </c>
    </row>
    <row r="10" spans="3:8" x14ac:dyDescent="0.25">
      <c r="C10" s="8"/>
      <c r="D10" s="2" t="s">
        <v>189</v>
      </c>
      <c r="E10" s="2" t="s">
        <v>136</v>
      </c>
      <c r="F10" s="4"/>
      <c r="G10" s="14"/>
      <c r="H10" s="9">
        <v>404.6</v>
      </c>
    </row>
    <row r="11" spans="3:8" x14ac:dyDescent="0.25">
      <c r="C11" s="8"/>
      <c r="D11" s="2" t="s">
        <v>190</v>
      </c>
      <c r="E11" s="2" t="s">
        <v>197</v>
      </c>
      <c r="F11" s="4">
        <v>800</v>
      </c>
      <c r="G11" s="14"/>
      <c r="H11" s="9"/>
    </row>
    <row r="12" spans="3:8" x14ac:dyDescent="0.25">
      <c r="C12" s="8"/>
      <c r="D12" s="2" t="s">
        <v>191</v>
      </c>
      <c r="E12" s="2" t="s">
        <v>12</v>
      </c>
      <c r="F12" s="4">
        <v>1</v>
      </c>
      <c r="G12" s="14"/>
      <c r="H12" s="9"/>
    </row>
    <row r="13" spans="3:8" x14ac:dyDescent="0.25">
      <c r="C13" s="8"/>
      <c r="D13" s="2" t="s">
        <v>192</v>
      </c>
      <c r="E13" s="2" t="s">
        <v>12</v>
      </c>
      <c r="F13" s="4"/>
      <c r="G13" s="14"/>
      <c r="H13" s="9">
        <v>20</v>
      </c>
    </row>
    <row r="14" spans="3:8" x14ac:dyDescent="0.25">
      <c r="C14" s="8"/>
      <c r="D14" s="2" t="s">
        <v>193</v>
      </c>
      <c r="E14" s="2" t="s">
        <v>158</v>
      </c>
      <c r="F14" s="4"/>
      <c r="G14" s="14"/>
      <c r="H14" s="9">
        <v>100.8</v>
      </c>
    </row>
    <row r="15" spans="3:8" x14ac:dyDescent="0.25">
      <c r="C15" s="8"/>
      <c r="D15" s="2" t="s">
        <v>194</v>
      </c>
      <c r="E15" s="2" t="s">
        <v>12</v>
      </c>
      <c r="F15" s="4">
        <v>25</v>
      </c>
      <c r="G15" s="14"/>
      <c r="H15" s="9"/>
    </row>
    <row r="16" spans="3:8" x14ac:dyDescent="0.25">
      <c r="C16" s="8"/>
      <c r="D16" s="2" t="s">
        <v>208</v>
      </c>
      <c r="E16" s="2" t="s">
        <v>212</v>
      </c>
      <c r="F16" s="4"/>
      <c r="G16" s="14"/>
      <c r="H16" s="9">
        <v>67.5</v>
      </c>
    </row>
    <row r="17" spans="3:8" x14ac:dyDescent="0.25">
      <c r="C17" s="8"/>
      <c r="D17" s="2" t="s">
        <v>209</v>
      </c>
      <c r="E17" s="2" t="s">
        <v>12</v>
      </c>
      <c r="F17" s="4">
        <v>5</v>
      </c>
      <c r="G17" s="14"/>
      <c r="H17" s="9"/>
    </row>
    <row r="18" spans="3:8" x14ac:dyDescent="0.25">
      <c r="C18" s="8"/>
      <c r="D18" s="2" t="s">
        <v>210</v>
      </c>
      <c r="E18" s="2" t="s">
        <v>12</v>
      </c>
      <c r="F18" s="4">
        <v>1</v>
      </c>
      <c r="G18" s="14"/>
      <c r="H18" s="9"/>
    </row>
    <row r="19" spans="3:8" x14ac:dyDescent="0.25">
      <c r="C19" s="8"/>
      <c r="D19" s="2" t="s">
        <v>211</v>
      </c>
      <c r="E19" s="2" t="s">
        <v>12</v>
      </c>
      <c r="F19" s="4">
        <v>14</v>
      </c>
      <c r="G19" s="14"/>
      <c r="H19" s="9"/>
    </row>
    <row r="20" spans="3:8" x14ac:dyDescent="0.25">
      <c r="C20" s="8"/>
      <c r="D20" s="2" t="s">
        <v>223</v>
      </c>
      <c r="E20" s="2" t="s">
        <v>12</v>
      </c>
      <c r="F20" s="4">
        <v>27.5</v>
      </c>
      <c r="G20" s="14"/>
      <c r="H20" s="9"/>
    </row>
    <row r="21" spans="3:8" x14ac:dyDescent="0.25">
      <c r="C21" s="8"/>
      <c r="D21" s="2" t="s">
        <v>224</v>
      </c>
      <c r="E21" s="2" t="s">
        <v>12</v>
      </c>
      <c r="F21" s="4"/>
      <c r="G21" s="14"/>
      <c r="H21" s="9">
        <v>15</v>
      </c>
    </row>
    <row r="22" spans="3:8" x14ac:dyDescent="0.25">
      <c r="C22" s="8"/>
      <c r="D22" s="2" t="s">
        <v>225</v>
      </c>
      <c r="E22" s="2" t="s">
        <v>12</v>
      </c>
      <c r="F22" s="4">
        <v>8</v>
      </c>
      <c r="G22" s="14"/>
      <c r="H22" s="9"/>
    </row>
    <row r="23" spans="3:8" x14ac:dyDescent="0.25">
      <c r="C23" s="8"/>
      <c r="D23" s="2" t="s">
        <v>226</v>
      </c>
      <c r="E23" s="2" t="s">
        <v>12</v>
      </c>
      <c r="F23" s="4">
        <v>2</v>
      </c>
      <c r="G23" s="14"/>
      <c r="H23" s="9"/>
    </row>
    <row r="24" spans="3:8" x14ac:dyDescent="0.25">
      <c r="C24" s="8"/>
      <c r="D24" s="2" t="s">
        <v>227</v>
      </c>
      <c r="E24" s="2" t="s">
        <v>12</v>
      </c>
      <c r="F24" s="4">
        <v>73.5</v>
      </c>
      <c r="G24" s="14"/>
      <c r="H24" s="9"/>
    </row>
    <row r="25" spans="3:8" x14ac:dyDescent="0.25">
      <c r="C25" s="8"/>
      <c r="D25" s="2" t="s">
        <v>236</v>
      </c>
      <c r="E25" s="2" t="s">
        <v>250</v>
      </c>
      <c r="F25" s="4"/>
      <c r="G25" s="14"/>
      <c r="H25" s="9">
        <v>3787.9</v>
      </c>
    </row>
    <row r="26" spans="3:8" x14ac:dyDescent="0.25">
      <c r="C26" s="8"/>
      <c r="D26" s="2" t="s">
        <v>237</v>
      </c>
      <c r="E26" s="2" t="s">
        <v>250</v>
      </c>
      <c r="F26" s="4"/>
      <c r="G26" s="14"/>
      <c r="H26" s="9">
        <v>1920</v>
      </c>
    </row>
    <row r="27" spans="3:8" x14ac:dyDescent="0.25">
      <c r="C27" s="8"/>
      <c r="D27" s="2" t="s">
        <v>238</v>
      </c>
      <c r="E27" s="2" t="s">
        <v>12</v>
      </c>
      <c r="F27" s="4"/>
      <c r="G27" s="14"/>
      <c r="H27" s="9">
        <v>14</v>
      </c>
    </row>
    <row r="28" spans="3:8" x14ac:dyDescent="0.25">
      <c r="C28" s="8"/>
      <c r="D28" s="2" t="s">
        <v>239</v>
      </c>
      <c r="E28" s="2" t="s">
        <v>250</v>
      </c>
      <c r="F28" s="4"/>
      <c r="G28" s="14"/>
      <c r="H28" s="9">
        <v>68</v>
      </c>
    </row>
    <row r="29" spans="3:8" x14ac:dyDescent="0.25">
      <c r="C29" s="8"/>
      <c r="D29" s="2" t="s">
        <v>240</v>
      </c>
      <c r="E29" s="2" t="s">
        <v>12</v>
      </c>
      <c r="F29" s="4">
        <v>10</v>
      </c>
      <c r="G29" s="14"/>
      <c r="H29" s="9"/>
    </row>
    <row r="30" spans="3:8" x14ac:dyDescent="0.25">
      <c r="C30" s="8"/>
      <c r="D30" s="2" t="s">
        <v>241</v>
      </c>
      <c r="E30" s="2" t="s">
        <v>12</v>
      </c>
      <c r="F30" s="4">
        <v>2.5</v>
      </c>
      <c r="G30" s="14"/>
      <c r="H30" s="9"/>
    </row>
    <row r="31" spans="3:8" x14ac:dyDescent="0.25">
      <c r="C31" s="8"/>
      <c r="D31" s="2" t="s">
        <v>242</v>
      </c>
      <c r="E31" s="2" t="s">
        <v>12</v>
      </c>
      <c r="F31" s="4">
        <v>178.4</v>
      </c>
      <c r="G31" s="14"/>
      <c r="H31" s="9"/>
    </row>
    <row r="32" spans="3:8" x14ac:dyDescent="0.25">
      <c r="C32" s="8"/>
      <c r="D32" s="2" t="s">
        <v>251</v>
      </c>
      <c r="E32" s="2" t="s">
        <v>257</v>
      </c>
      <c r="F32" s="4">
        <v>1090</v>
      </c>
      <c r="G32" s="14"/>
      <c r="H32" s="9"/>
    </row>
    <row r="33" spans="3:8" x14ac:dyDescent="0.25">
      <c r="C33" s="8"/>
      <c r="D33" s="2" t="s">
        <v>252</v>
      </c>
      <c r="E33" s="2" t="s">
        <v>12</v>
      </c>
      <c r="F33" s="4">
        <v>4.5</v>
      </c>
      <c r="G33" s="14"/>
      <c r="H33" s="9"/>
    </row>
    <row r="34" spans="3:8" x14ac:dyDescent="0.25">
      <c r="C34" s="8"/>
      <c r="D34" s="2" t="s">
        <v>253</v>
      </c>
      <c r="E34" s="2" t="s">
        <v>259</v>
      </c>
      <c r="F34" s="4">
        <v>2000</v>
      </c>
      <c r="G34" s="14"/>
      <c r="H34" s="9">
        <v>5583.6</v>
      </c>
    </row>
    <row r="35" spans="3:8" x14ac:dyDescent="0.25">
      <c r="C35" s="8"/>
      <c r="D35" s="2" t="s">
        <v>254</v>
      </c>
      <c r="E35" s="2" t="s">
        <v>212</v>
      </c>
      <c r="F35" s="4"/>
      <c r="G35" s="14">
        <v>67.5</v>
      </c>
      <c r="H35" s="9"/>
    </row>
    <row r="36" spans="3:8" x14ac:dyDescent="0.25">
      <c r="C36" s="8"/>
      <c r="D36" s="2" t="s">
        <v>255</v>
      </c>
      <c r="E36" s="2" t="s">
        <v>12</v>
      </c>
      <c r="F36" s="4"/>
      <c r="G36" s="14"/>
      <c r="H36" s="9">
        <v>8</v>
      </c>
    </row>
    <row r="37" spans="3:8" x14ac:dyDescent="0.25">
      <c r="C37" s="8"/>
      <c r="D37" s="2" t="s">
        <v>256</v>
      </c>
      <c r="E37" s="2" t="s">
        <v>12</v>
      </c>
      <c r="F37" s="4">
        <v>13</v>
      </c>
      <c r="G37" s="14"/>
      <c r="H37" s="9"/>
    </row>
    <row r="38" spans="3:8" x14ac:dyDescent="0.25">
      <c r="C38" s="8"/>
      <c r="D38" s="2" t="s">
        <v>260</v>
      </c>
      <c r="E38" s="2" t="s">
        <v>12</v>
      </c>
      <c r="F38" s="4">
        <v>25</v>
      </c>
      <c r="G38" s="14"/>
      <c r="H38" s="9"/>
    </row>
    <row r="39" spans="3:8" x14ac:dyDescent="0.25">
      <c r="C39" s="8"/>
      <c r="D39" s="2" t="s">
        <v>261</v>
      </c>
      <c r="E39" s="2" t="s">
        <v>266</v>
      </c>
      <c r="F39" s="4">
        <v>960</v>
      </c>
      <c r="G39" s="14"/>
      <c r="H39" s="9"/>
    </row>
    <row r="40" spans="3:8" x14ac:dyDescent="0.25">
      <c r="C40" s="8"/>
      <c r="D40" s="2" t="s">
        <v>262</v>
      </c>
      <c r="E40" s="2" t="s">
        <v>265</v>
      </c>
      <c r="F40" s="4"/>
      <c r="G40" s="14">
        <v>820</v>
      </c>
      <c r="H40" s="9"/>
    </row>
    <row r="41" spans="3:8" x14ac:dyDescent="0.25">
      <c r="C41" s="8"/>
      <c r="D41" s="2" t="s">
        <v>263</v>
      </c>
      <c r="E41" s="2" t="s">
        <v>12</v>
      </c>
      <c r="F41" s="4">
        <v>1</v>
      </c>
      <c r="G41" s="14"/>
      <c r="H41" s="9"/>
    </row>
    <row r="42" spans="3:8" x14ac:dyDescent="0.25">
      <c r="C42" s="8"/>
      <c r="D42" s="2" t="s">
        <v>264</v>
      </c>
      <c r="E42" s="2" t="s">
        <v>12</v>
      </c>
      <c r="F42" s="4">
        <v>19.5</v>
      </c>
      <c r="G42" s="14"/>
      <c r="H42" s="9"/>
    </row>
    <row r="43" spans="3:8" x14ac:dyDescent="0.25">
      <c r="C43" s="8"/>
      <c r="D43" s="2" t="s">
        <v>270</v>
      </c>
      <c r="E43" s="2" t="s">
        <v>12</v>
      </c>
      <c r="F43" s="4">
        <v>15.5</v>
      </c>
      <c r="G43" s="14"/>
      <c r="H43" s="9"/>
    </row>
    <row r="44" spans="3:8" x14ac:dyDescent="0.25">
      <c r="C44" s="8"/>
      <c r="D44" s="2" t="s">
        <v>271</v>
      </c>
      <c r="E44" s="2" t="s">
        <v>12</v>
      </c>
      <c r="F44" s="4"/>
      <c r="G44" s="14"/>
      <c r="H44" s="9">
        <v>8</v>
      </c>
    </row>
    <row r="45" spans="3:8" x14ac:dyDescent="0.25">
      <c r="C45" s="8"/>
      <c r="D45" s="2" t="s">
        <v>272</v>
      </c>
      <c r="E45" s="2" t="s">
        <v>12</v>
      </c>
      <c r="F45" s="4">
        <v>3</v>
      </c>
      <c r="G45" s="14"/>
      <c r="H45" s="9"/>
    </row>
    <row r="46" spans="3:8" x14ac:dyDescent="0.25">
      <c r="C46" s="8"/>
      <c r="D46" s="2" t="s">
        <v>273</v>
      </c>
      <c r="E46" s="2" t="s">
        <v>257</v>
      </c>
      <c r="F46" s="4">
        <v>28</v>
      </c>
      <c r="G46" s="14"/>
      <c r="H46" s="9"/>
    </row>
    <row r="47" spans="3:8" x14ac:dyDescent="0.25">
      <c r="C47" s="8"/>
      <c r="D47" s="2" t="s">
        <v>274</v>
      </c>
      <c r="E47" s="2" t="s">
        <v>158</v>
      </c>
      <c r="F47" s="4"/>
      <c r="G47" s="14"/>
      <c r="H47" s="9">
        <v>30</v>
      </c>
    </row>
    <row r="48" spans="3:8" x14ac:dyDescent="0.25">
      <c r="C48" s="8"/>
      <c r="D48" s="2" t="s">
        <v>275</v>
      </c>
      <c r="E48" s="2" t="s">
        <v>12</v>
      </c>
      <c r="F48" s="4">
        <v>5.5</v>
      </c>
      <c r="G48" s="14"/>
      <c r="H48" s="9"/>
    </row>
    <row r="49" spans="3:8" x14ac:dyDescent="0.25">
      <c r="C49" s="8"/>
      <c r="D49" s="2" t="s">
        <v>276</v>
      </c>
      <c r="E49" s="2" t="s">
        <v>294</v>
      </c>
      <c r="F49" s="4">
        <v>352</v>
      </c>
      <c r="G49" s="14"/>
      <c r="H49" s="9"/>
    </row>
    <row r="50" spans="3:8" x14ac:dyDescent="0.25">
      <c r="C50" s="8"/>
      <c r="D50" s="2" t="s">
        <v>277</v>
      </c>
      <c r="E50" s="2" t="s">
        <v>294</v>
      </c>
      <c r="F50" s="4">
        <v>190.8</v>
      </c>
      <c r="G50" s="14"/>
      <c r="H50" s="9"/>
    </row>
    <row r="51" spans="3:8" x14ac:dyDescent="0.25">
      <c r="C51" s="8"/>
      <c r="D51" s="2" t="s">
        <v>287</v>
      </c>
      <c r="E51" s="2" t="s">
        <v>294</v>
      </c>
      <c r="F51" s="4"/>
      <c r="G51" s="14"/>
      <c r="H51" s="9">
        <v>1155.5</v>
      </c>
    </row>
    <row r="52" spans="3:8" x14ac:dyDescent="0.25">
      <c r="C52" s="8"/>
      <c r="D52" s="2" t="s">
        <v>288</v>
      </c>
      <c r="E52" s="2" t="s">
        <v>295</v>
      </c>
      <c r="F52" s="4"/>
      <c r="G52" s="14">
        <v>214</v>
      </c>
      <c r="H52" s="9"/>
    </row>
    <row r="53" spans="3:8" x14ac:dyDescent="0.25">
      <c r="C53" s="8"/>
      <c r="D53" s="2" t="s">
        <v>289</v>
      </c>
      <c r="E53" s="2" t="s">
        <v>266</v>
      </c>
      <c r="F53" s="4">
        <v>35</v>
      </c>
      <c r="G53" s="14"/>
      <c r="H53" s="9"/>
    </row>
    <row r="54" spans="3:8" x14ac:dyDescent="0.25">
      <c r="C54" s="8"/>
      <c r="D54" s="2" t="s">
        <v>290</v>
      </c>
      <c r="E54" s="2" t="s">
        <v>12</v>
      </c>
      <c r="F54" s="4">
        <v>4</v>
      </c>
      <c r="G54" s="14"/>
      <c r="H54" s="9"/>
    </row>
    <row r="55" spans="3:8" x14ac:dyDescent="0.25">
      <c r="C55" s="8"/>
      <c r="D55" s="2" t="s">
        <v>291</v>
      </c>
      <c r="E55" s="2" t="s">
        <v>12</v>
      </c>
      <c r="F55" s="4">
        <v>30.5</v>
      </c>
      <c r="G55" s="14"/>
      <c r="H55" s="9"/>
    </row>
    <row r="56" spans="3:8" x14ac:dyDescent="0.25">
      <c r="C56" s="8"/>
      <c r="D56" s="2" t="s">
        <v>292</v>
      </c>
      <c r="E56" s="2" t="s">
        <v>300</v>
      </c>
      <c r="F56" s="4"/>
      <c r="G56" s="14">
        <v>180</v>
      </c>
      <c r="H56" s="9"/>
    </row>
    <row r="57" spans="3:8" x14ac:dyDescent="0.25">
      <c r="C57" s="8"/>
      <c r="D57" s="2" t="s">
        <v>293</v>
      </c>
      <c r="E57" s="2" t="s">
        <v>12</v>
      </c>
      <c r="F57" s="4"/>
      <c r="G57" s="14"/>
      <c r="H57" s="9">
        <v>62</v>
      </c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 t="s">
        <v>34</v>
      </c>
      <c r="D60" s="2" t="s">
        <v>168</v>
      </c>
      <c r="E60" s="2" t="s">
        <v>198</v>
      </c>
      <c r="F60" s="4"/>
      <c r="G60" s="14"/>
      <c r="H60" s="9">
        <v>292</v>
      </c>
    </row>
    <row r="61" spans="3:8" x14ac:dyDescent="0.25">
      <c r="C61" s="8"/>
      <c r="D61" s="2" t="s">
        <v>195</v>
      </c>
      <c r="E61" s="2" t="s">
        <v>199</v>
      </c>
      <c r="F61" s="4"/>
      <c r="G61" s="14"/>
      <c r="H61" s="9">
        <v>167.5</v>
      </c>
    </row>
    <row r="62" spans="3:8" x14ac:dyDescent="0.25">
      <c r="C62" s="8"/>
      <c r="D62" s="2" t="s">
        <v>201</v>
      </c>
      <c r="E62" s="2" t="s">
        <v>200</v>
      </c>
      <c r="F62" s="4">
        <v>198</v>
      </c>
      <c r="G62" s="14"/>
      <c r="H62" s="9"/>
    </row>
    <row r="63" spans="3:8" x14ac:dyDescent="0.25">
      <c r="C63" s="8"/>
      <c r="D63" s="2" t="s">
        <v>202</v>
      </c>
      <c r="E63" s="2" t="s">
        <v>213</v>
      </c>
      <c r="F63" s="4">
        <v>6306</v>
      </c>
      <c r="G63" s="14"/>
      <c r="H63" s="9"/>
    </row>
    <row r="64" spans="3:8" x14ac:dyDescent="0.25">
      <c r="C64" s="8"/>
      <c r="D64" s="2" t="s">
        <v>203</v>
      </c>
      <c r="E64" s="2" t="s">
        <v>48</v>
      </c>
      <c r="F64" s="4">
        <v>7.5</v>
      </c>
      <c r="G64" s="14"/>
      <c r="H64" s="9"/>
    </row>
    <row r="65" spans="3:8" x14ac:dyDescent="0.25">
      <c r="C65" s="8"/>
      <c r="D65" s="2" t="s">
        <v>204</v>
      </c>
      <c r="E65" s="2" t="s">
        <v>48</v>
      </c>
      <c r="F65" s="4">
        <v>29.6</v>
      </c>
      <c r="G65" s="14"/>
      <c r="H65" s="9"/>
    </row>
    <row r="66" spans="3:8" x14ac:dyDescent="0.25">
      <c r="C66" s="8"/>
      <c r="D66" s="2" t="s">
        <v>205</v>
      </c>
      <c r="E66" s="2" t="s">
        <v>48</v>
      </c>
      <c r="F66" s="4">
        <v>21</v>
      </c>
      <c r="G66" s="14"/>
      <c r="H66" s="9"/>
    </row>
    <row r="67" spans="3:8" x14ac:dyDescent="0.25">
      <c r="C67" s="8"/>
      <c r="D67" s="2" t="s">
        <v>206</v>
      </c>
      <c r="E67" s="2" t="s">
        <v>106</v>
      </c>
      <c r="F67" s="4"/>
      <c r="G67" s="14"/>
      <c r="H67" s="9">
        <v>139.6</v>
      </c>
    </row>
    <row r="68" spans="3:8" x14ac:dyDescent="0.25">
      <c r="C68" s="8"/>
      <c r="D68" s="2" t="s">
        <v>214</v>
      </c>
      <c r="E68" s="2" t="s">
        <v>48</v>
      </c>
      <c r="F68" s="4">
        <v>6</v>
      </c>
      <c r="G68" s="14"/>
      <c r="H68" s="9"/>
    </row>
    <row r="69" spans="3:8" x14ac:dyDescent="0.25">
      <c r="C69" s="8"/>
      <c r="D69" s="2" t="s">
        <v>215</v>
      </c>
      <c r="E69" s="2" t="s">
        <v>106</v>
      </c>
      <c r="F69" s="4"/>
      <c r="G69" s="14"/>
      <c r="H69" s="9">
        <v>17</v>
      </c>
    </row>
    <row r="70" spans="3:8" x14ac:dyDescent="0.25">
      <c r="C70" s="8"/>
      <c r="D70" s="2" t="s">
        <v>216</v>
      </c>
      <c r="E70" s="2" t="s">
        <v>230</v>
      </c>
      <c r="F70" s="4"/>
      <c r="G70" s="14"/>
      <c r="H70" s="9">
        <v>4745</v>
      </c>
    </row>
    <row r="71" spans="3:8" x14ac:dyDescent="0.25">
      <c r="C71" s="8"/>
      <c r="D71" s="2" t="s">
        <v>231</v>
      </c>
      <c r="E71" s="2" t="s">
        <v>48</v>
      </c>
      <c r="F71" s="4"/>
      <c r="G71" s="14"/>
      <c r="H71" s="9">
        <v>4.5</v>
      </c>
    </row>
    <row r="72" spans="3:8" x14ac:dyDescent="0.25">
      <c r="C72" s="8"/>
      <c r="D72" s="2" t="s">
        <v>232</v>
      </c>
      <c r="E72" s="2" t="s">
        <v>48</v>
      </c>
      <c r="F72" s="4">
        <v>33.700000000000003</v>
      </c>
      <c r="G72" s="14"/>
      <c r="H72" s="9"/>
    </row>
    <row r="73" spans="3:8" x14ac:dyDescent="0.25">
      <c r="C73" s="8"/>
      <c r="D73" s="2" t="s">
        <v>233</v>
      </c>
      <c r="E73" s="2" t="s">
        <v>106</v>
      </c>
      <c r="F73" s="4"/>
      <c r="G73" s="14"/>
      <c r="H73" s="9">
        <v>139.6</v>
      </c>
    </row>
    <row r="74" spans="3:8" x14ac:dyDescent="0.25">
      <c r="C74" s="8"/>
      <c r="D74" s="2" t="s">
        <v>234</v>
      </c>
      <c r="E74" s="2" t="s">
        <v>158</v>
      </c>
      <c r="F74" s="4"/>
      <c r="G74" s="14"/>
      <c r="H74" s="9">
        <v>197.4</v>
      </c>
    </row>
    <row r="75" spans="3:8" x14ac:dyDescent="0.25">
      <c r="C75" s="8"/>
      <c r="D75" s="2" t="s">
        <v>235</v>
      </c>
      <c r="E75" s="2" t="s">
        <v>48</v>
      </c>
      <c r="F75" s="4">
        <v>20</v>
      </c>
      <c r="G75" s="14"/>
      <c r="H75" s="9"/>
    </row>
    <row r="76" spans="3:8" x14ac:dyDescent="0.25">
      <c r="C76" s="8"/>
      <c r="D76" s="2" t="s">
        <v>243</v>
      </c>
      <c r="E76" s="2" t="s">
        <v>48</v>
      </c>
      <c r="F76" s="4">
        <v>5.5</v>
      </c>
      <c r="G76" s="14"/>
      <c r="H76" s="9"/>
    </row>
    <row r="77" spans="3:8" x14ac:dyDescent="0.25">
      <c r="C77" s="8"/>
      <c r="D77" s="2" t="s">
        <v>244</v>
      </c>
      <c r="E77" s="2" t="s">
        <v>48</v>
      </c>
      <c r="F77" s="4">
        <v>5</v>
      </c>
      <c r="G77" s="14"/>
      <c r="H77" s="9"/>
    </row>
    <row r="78" spans="3:8" x14ac:dyDescent="0.25">
      <c r="C78" s="8"/>
      <c r="D78" s="2" t="s">
        <v>245</v>
      </c>
      <c r="E78" s="2" t="s">
        <v>48</v>
      </c>
      <c r="F78" s="4">
        <v>11</v>
      </c>
      <c r="G78" s="14"/>
      <c r="H78" s="9"/>
    </row>
    <row r="79" spans="3:8" x14ac:dyDescent="0.25">
      <c r="C79" s="8"/>
      <c r="D79" s="2" t="s">
        <v>246</v>
      </c>
      <c r="E79" s="2" t="s">
        <v>48</v>
      </c>
      <c r="F79" s="4">
        <v>4.5</v>
      </c>
      <c r="G79" s="14"/>
      <c r="H79" s="9"/>
    </row>
    <row r="80" spans="3:8" x14ac:dyDescent="0.25">
      <c r="C80" s="8"/>
      <c r="D80" s="2" t="s">
        <v>247</v>
      </c>
      <c r="E80" s="2" t="s">
        <v>116</v>
      </c>
      <c r="F80" s="4"/>
      <c r="G80" s="14"/>
      <c r="H80" s="9">
        <v>90</v>
      </c>
    </row>
    <row r="81" spans="3:8" x14ac:dyDescent="0.25">
      <c r="C81" s="8"/>
      <c r="D81" s="2" t="s">
        <v>258</v>
      </c>
      <c r="E81" s="2" t="s">
        <v>48</v>
      </c>
      <c r="F81" s="4">
        <v>17</v>
      </c>
      <c r="G81" s="14"/>
      <c r="H81" s="9"/>
    </row>
    <row r="82" spans="3:8" x14ac:dyDescent="0.25">
      <c r="C82" s="8"/>
      <c r="D82" s="2" t="s">
        <v>268</v>
      </c>
      <c r="E82" s="2" t="s">
        <v>267</v>
      </c>
      <c r="F82" s="4"/>
      <c r="G82" s="14">
        <v>120</v>
      </c>
      <c r="H82" s="9"/>
    </row>
    <row r="83" spans="3:8" x14ac:dyDescent="0.25">
      <c r="C83" s="8"/>
      <c r="D83" s="2" t="s">
        <v>278</v>
      </c>
      <c r="E83" s="2" t="s">
        <v>48</v>
      </c>
      <c r="F83" s="4">
        <v>25</v>
      </c>
      <c r="G83" s="14"/>
      <c r="H83" s="9"/>
    </row>
    <row r="84" spans="3:8" x14ac:dyDescent="0.25">
      <c r="C84" s="8"/>
      <c r="D84" s="2" t="s">
        <v>279</v>
      </c>
      <c r="E84" s="2" t="s">
        <v>48</v>
      </c>
      <c r="F84" s="4">
        <v>11</v>
      </c>
      <c r="G84" s="14"/>
      <c r="H84" s="9"/>
    </row>
    <row r="85" spans="3:8" x14ac:dyDescent="0.25">
      <c r="C85" s="8"/>
      <c r="D85" s="2" t="s">
        <v>280</v>
      </c>
      <c r="E85" s="2" t="s">
        <v>284</v>
      </c>
      <c r="F85" s="4">
        <v>2400</v>
      </c>
      <c r="G85" s="14"/>
      <c r="H85" s="9">
        <v>200</v>
      </c>
    </row>
    <row r="86" spans="3:8" x14ac:dyDescent="0.25">
      <c r="C86" s="8"/>
      <c r="D86" s="2" t="s">
        <v>281</v>
      </c>
      <c r="E86" s="2" t="s">
        <v>285</v>
      </c>
      <c r="F86" s="4"/>
      <c r="G86" s="14">
        <v>447</v>
      </c>
      <c r="H86" s="9"/>
    </row>
    <row r="87" spans="3:8" x14ac:dyDescent="0.25">
      <c r="C87" s="8"/>
      <c r="D87" s="2" t="s">
        <v>282</v>
      </c>
      <c r="E87" s="2" t="s">
        <v>48</v>
      </c>
      <c r="F87" s="4">
        <v>553.5</v>
      </c>
      <c r="G87" s="14"/>
      <c r="H87" s="9"/>
    </row>
    <row r="88" spans="3:8" x14ac:dyDescent="0.25">
      <c r="C88" s="8"/>
      <c r="D88" s="2" t="s">
        <v>283</v>
      </c>
      <c r="E88" s="2" t="s">
        <v>48</v>
      </c>
      <c r="F88" s="4">
        <v>12.5</v>
      </c>
      <c r="G88" s="14"/>
      <c r="H88" s="9"/>
    </row>
    <row r="89" spans="3:8" x14ac:dyDescent="0.25">
      <c r="C89" s="8"/>
      <c r="D89" s="2" t="s">
        <v>296</v>
      </c>
      <c r="E89" s="2" t="s">
        <v>298</v>
      </c>
      <c r="F89" s="4"/>
      <c r="G89" s="14"/>
      <c r="H89" s="9">
        <v>350</v>
      </c>
    </row>
    <row r="90" spans="3:8" x14ac:dyDescent="0.25">
      <c r="C90" s="8"/>
      <c r="D90" s="2" t="s">
        <v>297</v>
      </c>
      <c r="E90" s="2" t="s">
        <v>159</v>
      </c>
      <c r="F90" s="4">
        <v>124</v>
      </c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29"/>
      <c r="D95" s="30"/>
      <c r="E95" s="30" t="s">
        <v>60</v>
      </c>
      <c r="F95" s="31"/>
      <c r="G95" s="32"/>
      <c r="H95" s="33"/>
    </row>
    <row r="96" spans="3:8" x14ac:dyDescent="0.25">
      <c r="C96" s="8"/>
      <c r="D96" s="2" t="s">
        <v>207</v>
      </c>
      <c r="E96" s="2" t="s">
        <v>157</v>
      </c>
      <c r="F96" s="4"/>
      <c r="G96" s="14"/>
      <c r="H96" s="9">
        <v>27</v>
      </c>
    </row>
    <row r="97" spans="3:8" x14ac:dyDescent="0.25">
      <c r="C97" s="8"/>
      <c r="D97" s="2" t="s">
        <v>228</v>
      </c>
      <c r="E97" s="2" t="s">
        <v>229</v>
      </c>
      <c r="F97" s="4"/>
      <c r="G97" s="14"/>
      <c r="H97" s="9">
        <v>1292</v>
      </c>
    </row>
    <row r="98" spans="3:8" x14ac:dyDescent="0.25">
      <c r="C98" s="8"/>
      <c r="D98" s="40"/>
      <c r="E98" s="40"/>
      <c r="F98" s="35"/>
      <c r="G98" s="14"/>
      <c r="H98" s="9"/>
    </row>
    <row r="99" spans="3:8" x14ac:dyDescent="0.25">
      <c r="C99" s="8"/>
      <c r="D99" s="2"/>
      <c r="E99" s="2"/>
      <c r="F99" s="4"/>
      <c r="G99" s="14"/>
      <c r="H99" s="9"/>
    </row>
    <row r="100" spans="3:8" x14ac:dyDescent="0.25">
      <c r="C100" s="16"/>
      <c r="D100" s="17"/>
      <c r="E100" s="17" t="s">
        <v>39</v>
      </c>
      <c r="F100" s="5"/>
      <c r="G100" s="18"/>
      <c r="H100" s="7"/>
    </row>
    <row r="101" spans="3:8" x14ac:dyDescent="0.25">
      <c r="C101" s="8"/>
      <c r="D101" s="2" t="s">
        <v>134</v>
      </c>
      <c r="E101" s="2" t="s">
        <v>159</v>
      </c>
      <c r="F101" s="4">
        <v>500</v>
      </c>
      <c r="G101" s="14"/>
      <c r="H101" s="9"/>
    </row>
    <row r="102" spans="3:8" x14ac:dyDescent="0.25">
      <c r="C102" s="34"/>
      <c r="D102" s="2"/>
      <c r="E102" s="2" t="s">
        <v>217</v>
      </c>
      <c r="F102" s="4">
        <v>109</v>
      </c>
      <c r="G102" s="14"/>
      <c r="H102" s="9"/>
    </row>
    <row r="103" spans="3:8" x14ac:dyDescent="0.25">
      <c r="C103" s="8"/>
      <c r="D103" s="2"/>
      <c r="E103" s="2" t="s">
        <v>248</v>
      </c>
      <c r="F103" s="4"/>
      <c r="G103" s="14"/>
      <c r="H103" s="9">
        <v>28</v>
      </c>
    </row>
    <row r="104" spans="3:8" x14ac:dyDescent="0.25">
      <c r="C104" s="8"/>
      <c r="D104" s="2"/>
      <c r="E104" s="2" t="s">
        <v>50</v>
      </c>
      <c r="F104" s="4">
        <v>295</v>
      </c>
      <c r="G104" s="14"/>
      <c r="H104" s="9"/>
    </row>
    <row r="105" spans="3:8" x14ac:dyDescent="0.25">
      <c r="C105" s="8"/>
      <c r="D105" s="2"/>
      <c r="E105" s="2" t="s">
        <v>103</v>
      </c>
      <c r="F105" s="4">
        <v>703</v>
      </c>
      <c r="G105" s="14"/>
      <c r="H105" s="9"/>
    </row>
    <row r="106" spans="3:8" x14ac:dyDescent="0.25">
      <c r="C106" s="8"/>
      <c r="D106" s="2"/>
      <c r="E106" s="2" t="s">
        <v>301</v>
      </c>
      <c r="F106" s="4">
        <v>400</v>
      </c>
      <c r="G106" s="14"/>
      <c r="H106" s="9"/>
    </row>
    <row r="107" spans="3:8" x14ac:dyDescent="0.25">
      <c r="C107" s="8"/>
      <c r="D107" s="2"/>
      <c r="E107" s="2" t="s">
        <v>103</v>
      </c>
      <c r="F107" s="4">
        <v>44</v>
      </c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x14ac:dyDescent="0.25">
      <c r="C110" s="8"/>
      <c r="D110" s="2"/>
      <c r="E110" s="2"/>
      <c r="F110" s="4"/>
      <c r="G110" s="14"/>
      <c r="H110" s="9"/>
    </row>
    <row r="111" spans="3:8" x14ac:dyDescent="0.25">
      <c r="C111" s="19"/>
      <c r="D111" s="20"/>
      <c r="E111" s="20" t="s">
        <v>42</v>
      </c>
      <c r="F111" s="21"/>
      <c r="G111" s="22"/>
      <c r="H111" s="23"/>
    </row>
    <row r="112" spans="3:8" x14ac:dyDescent="0.25">
      <c r="C112" s="34">
        <v>46076</v>
      </c>
      <c r="D112" s="42" t="s">
        <v>169</v>
      </c>
      <c r="E112" s="2" t="s">
        <v>170</v>
      </c>
      <c r="F112" s="41">
        <v>-489.9</v>
      </c>
      <c r="G112" s="14"/>
      <c r="H112" s="9"/>
    </row>
    <row r="113" spans="3:8" x14ac:dyDescent="0.25">
      <c r="C113" s="34">
        <v>46076</v>
      </c>
      <c r="D113" s="42" t="s">
        <v>176</v>
      </c>
      <c r="E113" s="2" t="s">
        <v>171</v>
      </c>
      <c r="F113" s="41">
        <v>-480</v>
      </c>
      <c r="G113" s="14"/>
      <c r="H113" s="9"/>
    </row>
    <row r="114" spans="3:8" x14ac:dyDescent="0.25">
      <c r="C114" s="34">
        <v>46076</v>
      </c>
      <c r="D114" s="42" t="s">
        <v>177</v>
      </c>
      <c r="E114" s="2" t="s">
        <v>172</v>
      </c>
      <c r="F114" s="41">
        <v>-710</v>
      </c>
      <c r="G114" s="14"/>
      <c r="H114" s="9"/>
    </row>
    <row r="115" spans="3:8" x14ac:dyDescent="0.25">
      <c r="C115" s="34">
        <v>46076</v>
      </c>
      <c r="D115" s="42" t="s">
        <v>88</v>
      </c>
      <c r="E115" s="2" t="s">
        <v>173</v>
      </c>
      <c r="F115" s="41">
        <v>-840</v>
      </c>
      <c r="G115" s="14"/>
      <c r="H115" s="9"/>
    </row>
    <row r="116" spans="3:8" x14ac:dyDescent="0.25">
      <c r="C116" s="34">
        <v>46076</v>
      </c>
      <c r="D116" s="42" t="s">
        <v>178</v>
      </c>
      <c r="E116" s="2" t="s">
        <v>174</v>
      </c>
      <c r="F116" s="41">
        <v>-389.76</v>
      </c>
      <c r="G116" s="14"/>
      <c r="H116" s="9"/>
    </row>
    <row r="117" spans="3:8" x14ac:dyDescent="0.25">
      <c r="C117" s="34">
        <v>46076</v>
      </c>
      <c r="D117" s="42" t="s">
        <v>179</v>
      </c>
      <c r="E117" s="2" t="s">
        <v>175</v>
      </c>
      <c r="F117" s="41">
        <v>-2175</v>
      </c>
      <c r="G117" s="14"/>
      <c r="H117" s="9"/>
    </row>
    <row r="118" spans="3:8" x14ac:dyDescent="0.25">
      <c r="C118" s="34">
        <v>46076</v>
      </c>
      <c r="D118" s="42" t="s">
        <v>184</v>
      </c>
      <c r="E118" s="2" t="s">
        <v>180</v>
      </c>
      <c r="F118" s="14">
        <v>-150</v>
      </c>
      <c r="G118" s="14"/>
      <c r="H118" s="9"/>
    </row>
    <row r="119" spans="3:8" x14ac:dyDescent="0.25">
      <c r="C119" s="34">
        <v>46076</v>
      </c>
      <c r="D119" s="42" t="s">
        <v>185</v>
      </c>
      <c r="E119" s="2" t="s">
        <v>181</v>
      </c>
      <c r="F119" s="14">
        <v>-220</v>
      </c>
      <c r="G119" s="14"/>
      <c r="H119" s="9"/>
    </row>
    <row r="120" spans="3:8" x14ac:dyDescent="0.25">
      <c r="C120" s="34">
        <v>46076</v>
      </c>
      <c r="D120" s="42" t="s">
        <v>107</v>
      </c>
      <c r="E120" s="2" t="s">
        <v>182</v>
      </c>
      <c r="F120" s="14">
        <v>-160</v>
      </c>
      <c r="G120" s="14"/>
      <c r="H120" s="9"/>
    </row>
    <row r="121" spans="3:8" x14ac:dyDescent="0.25">
      <c r="C121" s="34">
        <v>46076</v>
      </c>
      <c r="D121" s="42" t="s">
        <v>186</v>
      </c>
      <c r="E121" s="2" t="s">
        <v>183</v>
      </c>
      <c r="F121" s="14">
        <v>-200</v>
      </c>
      <c r="G121" s="14"/>
      <c r="H121" s="9"/>
    </row>
    <row r="122" spans="3:8" x14ac:dyDescent="0.25">
      <c r="C122" s="34">
        <v>46077</v>
      </c>
      <c r="D122" s="2" t="s">
        <v>220</v>
      </c>
      <c r="E122" s="2" t="s">
        <v>218</v>
      </c>
      <c r="F122" s="14">
        <v>-594</v>
      </c>
      <c r="G122" s="14"/>
      <c r="H122" s="9"/>
    </row>
    <row r="123" spans="3:8" x14ac:dyDescent="0.25">
      <c r="C123" s="34">
        <v>46077</v>
      </c>
      <c r="D123" s="2" t="s">
        <v>220</v>
      </c>
      <c r="E123" s="2" t="s">
        <v>219</v>
      </c>
      <c r="F123" s="14">
        <v>-884</v>
      </c>
      <c r="G123" s="14"/>
      <c r="H123" s="9"/>
    </row>
    <row r="124" spans="3:8" x14ac:dyDescent="0.25">
      <c r="C124" s="34">
        <v>46077</v>
      </c>
      <c r="D124" s="2"/>
      <c r="E124" s="2" t="s">
        <v>221</v>
      </c>
      <c r="F124" s="14">
        <v>-10</v>
      </c>
      <c r="G124" s="14"/>
      <c r="H124" s="9"/>
    </row>
    <row r="125" spans="3:8" x14ac:dyDescent="0.25">
      <c r="C125" s="34">
        <v>46077</v>
      </c>
      <c r="D125" s="2"/>
      <c r="E125" s="2" t="s">
        <v>222</v>
      </c>
      <c r="F125" s="14">
        <v>-18</v>
      </c>
      <c r="G125" s="14"/>
      <c r="H125" s="9"/>
    </row>
    <row r="126" spans="3:8" x14ac:dyDescent="0.25">
      <c r="C126" s="34">
        <v>46077</v>
      </c>
      <c r="D126" s="2"/>
      <c r="E126" s="2" t="s">
        <v>249</v>
      </c>
      <c r="F126" s="14">
        <v>-20</v>
      </c>
      <c r="G126" s="14"/>
      <c r="H126" s="9"/>
    </row>
    <row r="127" spans="3:8" x14ac:dyDescent="0.25">
      <c r="C127" s="34">
        <v>46077</v>
      </c>
      <c r="D127" s="2"/>
      <c r="E127" s="2" t="s">
        <v>269</v>
      </c>
      <c r="F127" s="14">
        <v>-10</v>
      </c>
      <c r="G127" s="14"/>
      <c r="H127" s="9"/>
    </row>
    <row r="128" spans="3:8" x14ac:dyDescent="0.25">
      <c r="C128" s="8" t="s">
        <v>45</v>
      </c>
      <c r="D128" s="2" t="s">
        <v>160</v>
      </c>
      <c r="E128" s="2" t="s">
        <v>286</v>
      </c>
      <c r="F128" s="14">
        <v>-238</v>
      </c>
      <c r="G128" s="14"/>
      <c r="H128" s="9"/>
    </row>
    <row r="129" spans="3:10" x14ac:dyDescent="0.25">
      <c r="C129" s="8"/>
      <c r="D129" s="2"/>
      <c r="E129" s="2" t="s">
        <v>299</v>
      </c>
      <c r="F129" s="14">
        <v>-100</v>
      </c>
      <c r="G129" s="14"/>
      <c r="H129" s="9"/>
    </row>
    <row r="130" spans="3:10" x14ac:dyDescent="0.25">
      <c r="C130" s="8"/>
      <c r="D130" s="2"/>
      <c r="E130" s="2" t="s">
        <v>302</v>
      </c>
      <c r="F130" s="14">
        <v>-55</v>
      </c>
      <c r="G130" s="14"/>
      <c r="H130" s="9"/>
    </row>
    <row r="131" spans="3:10" x14ac:dyDescent="0.25">
      <c r="C131" s="8"/>
      <c r="D131" s="2"/>
      <c r="E131" s="2" t="s">
        <v>303</v>
      </c>
      <c r="F131" s="14">
        <v>-110</v>
      </c>
      <c r="G131" s="14"/>
      <c r="H131" s="9"/>
    </row>
    <row r="132" spans="3:10" x14ac:dyDescent="0.25">
      <c r="C132" s="8"/>
      <c r="D132" s="2"/>
      <c r="E132" s="2" t="s">
        <v>304</v>
      </c>
      <c r="F132" s="14">
        <v>-2</v>
      </c>
      <c r="G132" s="14"/>
      <c r="H132" s="9"/>
    </row>
    <row r="133" spans="3:10" x14ac:dyDescent="0.25">
      <c r="C133" s="8"/>
      <c r="D133" s="2"/>
      <c r="E133" s="2"/>
      <c r="F133" s="14"/>
      <c r="G133" s="14"/>
      <c r="H133" s="9"/>
    </row>
    <row r="134" spans="3:10" x14ac:dyDescent="0.25">
      <c r="C134" s="8"/>
      <c r="D134" s="2"/>
      <c r="E134" s="2"/>
      <c r="F134" s="14"/>
      <c r="G134" s="14"/>
      <c r="H134" s="9"/>
    </row>
    <row r="135" spans="3:10" x14ac:dyDescent="0.25">
      <c r="C135" s="8"/>
      <c r="D135" s="2"/>
      <c r="E135" s="2"/>
      <c r="F135" s="4"/>
      <c r="G135" s="14"/>
      <c r="H135" s="9"/>
    </row>
    <row r="136" spans="3:10" ht="15.75" thickBot="1" x14ac:dyDescent="0.3">
      <c r="C136" s="10"/>
      <c r="D136" s="11"/>
      <c r="E136" s="11" t="s">
        <v>44</v>
      </c>
      <c r="F136" s="12">
        <f>SUM(F6:F135)</f>
        <v>11945.540000000005</v>
      </c>
      <c r="G136" s="15">
        <f>SUM(G6:G135)</f>
        <v>1848.5</v>
      </c>
      <c r="H136" s="13">
        <f>SUM(H6:H135)</f>
        <v>31102</v>
      </c>
    </row>
    <row r="139" spans="3:10" ht="18.75" x14ac:dyDescent="0.3">
      <c r="E139" s="38" t="s">
        <v>49</v>
      </c>
      <c r="F139" s="39">
        <f>+H4+F136</f>
        <v>36794.540000000008</v>
      </c>
    </row>
    <row r="142" spans="3:10" x14ac:dyDescent="0.25">
      <c r="J142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5DD-0FBB-4308-917B-75A408551192}">
  <sheetPr codeName="Hoja3"/>
  <dimension ref="C2:J118"/>
  <sheetViews>
    <sheetView topLeftCell="A79" workbookViewId="0">
      <selection activeCell="C3" sqref="C3:G4"/>
    </sheetView>
  </sheetViews>
  <sheetFormatPr baseColWidth="10" defaultRowHeight="15" x14ac:dyDescent="0.25"/>
  <cols>
    <col min="3" max="3" width="15.140625" style="1" bestFit="1" customWidth="1"/>
    <col min="4" max="4" width="20.42578125" style="1" bestFit="1" customWidth="1"/>
    <col min="5" max="5" width="55.85546875" style="1" bestFit="1" customWidth="1"/>
    <col min="6" max="6" width="15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945</v>
      </c>
      <c r="D3" s="144"/>
      <c r="E3" s="144"/>
      <c r="F3" s="144"/>
      <c r="G3" s="145"/>
      <c r="H3" s="6" t="s">
        <v>0</v>
      </c>
    </row>
    <row r="4" spans="3:8" ht="15.75" thickBot="1" x14ac:dyDescent="0.3">
      <c r="C4" s="146"/>
      <c r="D4" s="147"/>
      <c r="E4" s="147"/>
      <c r="F4" s="147"/>
      <c r="G4" s="148"/>
      <c r="H4" s="28">
        <v>36794.54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305</v>
      </c>
      <c r="E6" s="2" t="s">
        <v>12</v>
      </c>
      <c r="F6" s="4">
        <v>13.5</v>
      </c>
      <c r="G6" s="14"/>
      <c r="H6" s="9"/>
    </row>
    <row r="7" spans="3:8" x14ac:dyDescent="0.25">
      <c r="C7" s="8"/>
      <c r="D7" s="2" t="s">
        <v>306</v>
      </c>
      <c r="E7" s="2" t="s">
        <v>12</v>
      </c>
      <c r="F7" s="4"/>
      <c r="G7" s="14"/>
      <c r="H7" s="9">
        <v>20</v>
      </c>
    </row>
    <row r="8" spans="3:8" x14ac:dyDescent="0.25">
      <c r="C8" s="8"/>
      <c r="D8" s="2" t="s">
        <v>307</v>
      </c>
      <c r="E8" s="2" t="s">
        <v>12</v>
      </c>
      <c r="F8" s="4"/>
      <c r="G8" s="14"/>
      <c r="H8" s="9">
        <v>20</v>
      </c>
    </row>
    <row r="9" spans="3:8" x14ac:dyDescent="0.25">
      <c r="C9" s="8"/>
      <c r="D9" s="2" t="s">
        <v>308</v>
      </c>
      <c r="E9" s="2" t="s">
        <v>12</v>
      </c>
      <c r="F9" s="4">
        <v>6</v>
      </c>
      <c r="G9" s="14"/>
      <c r="H9" s="9"/>
    </row>
    <row r="10" spans="3:8" x14ac:dyDescent="0.25">
      <c r="C10" s="8"/>
      <c r="D10" s="2" t="s">
        <v>309</v>
      </c>
      <c r="E10" s="2" t="s">
        <v>12</v>
      </c>
      <c r="F10" s="4">
        <v>4.5</v>
      </c>
      <c r="G10" s="14"/>
      <c r="H10" s="9"/>
    </row>
    <row r="11" spans="3:8" x14ac:dyDescent="0.25">
      <c r="C11" s="8"/>
      <c r="D11" s="2" t="s">
        <v>310</v>
      </c>
      <c r="E11" s="2" t="s">
        <v>12</v>
      </c>
      <c r="F11" s="4">
        <v>31.5</v>
      </c>
      <c r="G11" s="14"/>
      <c r="H11" s="9"/>
    </row>
    <row r="12" spans="3:8" x14ac:dyDescent="0.25">
      <c r="C12" s="8"/>
      <c r="D12" s="2" t="s">
        <v>311</v>
      </c>
      <c r="E12" s="2" t="s">
        <v>12</v>
      </c>
      <c r="F12" s="4">
        <v>5</v>
      </c>
      <c r="G12" s="14"/>
      <c r="H12" s="9"/>
    </row>
    <row r="13" spans="3:8" x14ac:dyDescent="0.25">
      <c r="C13" s="8"/>
      <c r="D13" s="2" t="s">
        <v>312</v>
      </c>
      <c r="E13" s="2" t="s">
        <v>12</v>
      </c>
      <c r="F13" s="4"/>
      <c r="G13" s="14"/>
      <c r="H13" s="9">
        <v>29.5</v>
      </c>
    </row>
    <row r="14" spans="3:8" x14ac:dyDescent="0.25">
      <c r="C14" s="8"/>
      <c r="D14" s="2" t="s">
        <v>313</v>
      </c>
      <c r="E14" s="2" t="s">
        <v>340</v>
      </c>
      <c r="F14" s="4">
        <v>35</v>
      </c>
      <c r="G14" s="14"/>
      <c r="H14" s="9"/>
    </row>
    <row r="15" spans="3:8" x14ac:dyDescent="0.25">
      <c r="C15" s="8"/>
      <c r="D15" s="2" t="s">
        <v>335</v>
      </c>
      <c r="E15" s="2" t="s">
        <v>12</v>
      </c>
      <c r="F15" s="4">
        <v>80</v>
      </c>
      <c r="G15" s="14"/>
      <c r="H15" s="9"/>
    </row>
    <row r="16" spans="3:8" x14ac:dyDescent="0.25">
      <c r="C16" s="8"/>
      <c r="D16" s="2" t="s">
        <v>336</v>
      </c>
      <c r="E16" s="2" t="s">
        <v>12</v>
      </c>
      <c r="F16" s="4">
        <v>1</v>
      </c>
      <c r="G16" s="14"/>
      <c r="H16" s="9"/>
    </row>
    <row r="17" spans="3:8" x14ac:dyDescent="0.25">
      <c r="C17" s="8"/>
      <c r="D17" s="2" t="s">
        <v>337</v>
      </c>
      <c r="E17" s="2" t="s">
        <v>12</v>
      </c>
      <c r="F17" s="4">
        <v>14</v>
      </c>
      <c r="G17" s="14"/>
      <c r="H17" s="9"/>
    </row>
    <row r="18" spans="3:8" x14ac:dyDescent="0.25">
      <c r="C18" s="8"/>
      <c r="D18" s="2" t="s">
        <v>338</v>
      </c>
      <c r="E18" s="2" t="s">
        <v>12</v>
      </c>
      <c r="F18" s="4"/>
      <c r="G18" s="14"/>
      <c r="H18" s="9">
        <v>3</v>
      </c>
    </row>
    <row r="19" spans="3:8" x14ac:dyDescent="0.25">
      <c r="C19" s="8"/>
      <c r="D19" s="2" t="s">
        <v>339</v>
      </c>
      <c r="E19" s="2" t="s">
        <v>12</v>
      </c>
      <c r="F19" s="4">
        <v>212.5</v>
      </c>
      <c r="G19" s="14"/>
      <c r="H19" s="9"/>
    </row>
    <row r="20" spans="3:8" x14ac:dyDescent="0.25">
      <c r="C20" s="8"/>
      <c r="D20" s="2" t="s">
        <v>341</v>
      </c>
      <c r="E20" s="2" t="s">
        <v>12</v>
      </c>
      <c r="F20" s="4"/>
      <c r="G20" s="14"/>
      <c r="H20" s="9">
        <v>61.5</v>
      </c>
    </row>
    <row r="21" spans="3:8" x14ac:dyDescent="0.25">
      <c r="C21" s="8"/>
      <c r="D21" s="2" t="s">
        <v>342</v>
      </c>
      <c r="E21" s="2" t="s">
        <v>12</v>
      </c>
      <c r="F21" s="4">
        <v>6</v>
      </c>
      <c r="G21" s="14"/>
      <c r="H21" s="9"/>
    </row>
    <row r="22" spans="3:8" x14ac:dyDescent="0.25">
      <c r="C22" s="8"/>
      <c r="D22" s="2" t="s">
        <v>343</v>
      </c>
      <c r="E22" s="2" t="s">
        <v>266</v>
      </c>
      <c r="F22" s="4"/>
      <c r="G22" s="14">
        <v>225</v>
      </c>
      <c r="H22" s="9"/>
    </row>
    <row r="23" spans="3:8" x14ac:dyDescent="0.25">
      <c r="C23" s="8"/>
      <c r="D23" s="2" t="s">
        <v>344</v>
      </c>
      <c r="E23" s="2" t="s">
        <v>12</v>
      </c>
      <c r="F23" s="4"/>
      <c r="G23" s="14"/>
      <c r="H23" s="9">
        <v>10</v>
      </c>
    </row>
    <row r="24" spans="3:8" x14ac:dyDescent="0.25">
      <c r="C24" s="8"/>
      <c r="D24" s="2" t="s">
        <v>345</v>
      </c>
      <c r="E24" s="2" t="s">
        <v>12</v>
      </c>
      <c r="F24" s="4"/>
      <c r="G24" s="14"/>
      <c r="H24" s="9">
        <v>90</v>
      </c>
    </row>
    <row r="25" spans="3:8" x14ac:dyDescent="0.25">
      <c r="C25" s="8"/>
      <c r="D25" s="2" t="s">
        <v>346</v>
      </c>
      <c r="E25" s="2" t="s">
        <v>12</v>
      </c>
      <c r="F25" s="4">
        <v>8</v>
      </c>
      <c r="G25" s="14"/>
      <c r="H25" s="9"/>
    </row>
    <row r="26" spans="3:8" x14ac:dyDescent="0.25">
      <c r="C26" s="8"/>
      <c r="D26" s="2" t="s">
        <v>347</v>
      </c>
      <c r="E26" s="2" t="s">
        <v>12</v>
      </c>
      <c r="F26" s="4">
        <v>30</v>
      </c>
      <c r="G26" s="14"/>
      <c r="H26" s="9"/>
    </row>
    <row r="27" spans="3:8" x14ac:dyDescent="0.25">
      <c r="C27" s="8"/>
      <c r="D27" s="2" t="s">
        <v>348</v>
      </c>
      <c r="E27" s="2" t="s">
        <v>12</v>
      </c>
      <c r="F27" s="4">
        <v>38.5</v>
      </c>
      <c r="G27" s="14"/>
      <c r="H27" s="9"/>
    </row>
    <row r="28" spans="3:8" x14ac:dyDescent="0.25">
      <c r="C28" s="8"/>
      <c r="D28" s="2" t="s">
        <v>349</v>
      </c>
      <c r="E28" s="2" t="s">
        <v>355</v>
      </c>
      <c r="F28" s="4"/>
      <c r="G28" s="14"/>
      <c r="H28" s="9">
        <v>75</v>
      </c>
    </row>
    <row r="29" spans="3:8" x14ac:dyDescent="0.25">
      <c r="C29" s="8"/>
      <c r="D29" s="2" t="s">
        <v>350</v>
      </c>
      <c r="E29" s="2" t="s">
        <v>356</v>
      </c>
      <c r="F29" s="4"/>
      <c r="G29" s="14"/>
      <c r="H29" s="9">
        <v>270</v>
      </c>
    </row>
    <row r="30" spans="3:8" x14ac:dyDescent="0.25">
      <c r="C30" s="8"/>
      <c r="D30" s="2" t="s">
        <v>351</v>
      </c>
      <c r="E30" s="2" t="s">
        <v>374</v>
      </c>
      <c r="F30" s="4">
        <v>284</v>
      </c>
      <c r="G30" s="14"/>
      <c r="H30" s="9"/>
    </row>
    <row r="31" spans="3:8" x14ac:dyDescent="0.25">
      <c r="C31" s="8"/>
      <c r="D31" s="2" t="s">
        <v>352</v>
      </c>
      <c r="E31" s="2" t="s">
        <v>355</v>
      </c>
      <c r="F31" s="4">
        <v>20</v>
      </c>
      <c r="G31" s="14"/>
      <c r="H31" s="9"/>
    </row>
    <row r="32" spans="3:8" x14ac:dyDescent="0.25">
      <c r="C32" s="8"/>
      <c r="D32" s="2" t="s">
        <v>353</v>
      </c>
      <c r="E32" s="2" t="s">
        <v>285</v>
      </c>
      <c r="F32" s="4"/>
      <c r="G32" s="14">
        <v>32</v>
      </c>
      <c r="H32" s="9"/>
    </row>
    <row r="33" spans="3:8" x14ac:dyDescent="0.25">
      <c r="C33" s="8"/>
      <c r="D33" s="2" t="s">
        <v>354</v>
      </c>
      <c r="E33" s="2" t="s">
        <v>12</v>
      </c>
      <c r="F33" s="4"/>
      <c r="G33" s="14"/>
      <c r="H33" s="9">
        <v>59</v>
      </c>
    </row>
    <row r="34" spans="3:8" x14ac:dyDescent="0.25">
      <c r="C34" s="8"/>
      <c r="D34" s="2" t="s">
        <v>368</v>
      </c>
      <c r="E34" s="2" t="s">
        <v>375</v>
      </c>
      <c r="F34" s="4">
        <v>500</v>
      </c>
      <c r="G34" s="14">
        <v>428.1</v>
      </c>
      <c r="H34" s="9"/>
    </row>
    <row r="35" spans="3:8" x14ac:dyDescent="0.25">
      <c r="C35" s="8"/>
      <c r="D35" s="2" t="s">
        <v>369</v>
      </c>
      <c r="E35" s="2" t="s">
        <v>12</v>
      </c>
      <c r="F35" s="4">
        <v>2</v>
      </c>
      <c r="G35" s="14"/>
      <c r="H35" s="9"/>
    </row>
    <row r="36" spans="3:8" x14ac:dyDescent="0.25">
      <c r="C36" s="8"/>
      <c r="D36" s="2" t="s">
        <v>370</v>
      </c>
      <c r="E36" s="2" t="s">
        <v>12</v>
      </c>
      <c r="F36" s="4"/>
      <c r="G36" s="14"/>
      <c r="H36" s="9">
        <v>6.5</v>
      </c>
    </row>
    <row r="37" spans="3:8" x14ac:dyDescent="0.25">
      <c r="C37" s="8"/>
      <c r="D37" s="2" t="s">
        <v>371</v>
      </c>
      <c r="E37" s="2" t="s">
        <v>376</v>
      </c>
      <c r="F37" s="4">
        <v>70</v>
      </c>
      <c r="G37" s="14"/>
      <c r="H37" s="9"/>
    </row>
    <row r="38" spans="3:8" x14ac:dyDescent="0.25">
      <c r="C38" s="8"/>
      <c r="D38" s="2" t="s">
        <v>372</v>
      </c>
      <c r="E38" s="2" t="s">
        <v>12</v>
      </c>
      <c r="F38" s="4"/>
      <c r="G38" s="14"/>
      <c r="H38" s="9">
        <v>4.5</v>
      </c>
    </row>
    <row r="39" spans="3:8" x14ac:dyDescent="0.25">
      <c r="C39" s="8"/>
      <c r="D39" s="2" t="s">
        <v>373</v>
      </c>
      <c r="E39" s="2" t="s">
        <v>12</v>
      </c>
      <c r="F39" s="4">
        <v>4.8</v>
      </c>
      <c r="G39" s="14"/>
      <c r="H39" s="9"/>
    </row>
    <row r="40" spans="3:8" x14ac:dyDescent="0.25">
      <c r="C40" s="8"/>
      <c r="D40" s="2" t="s">
        <v>387</v>
      </c>
      <c r="E40" s="2" t="s">
        <v>12</v>
      </c>
      <c r="F40" s="4">
        <v>3</v>
      </c>
      <c r="G40" s="14"/>
      <c r="H40" s="9"/>
    </row>
    <row r="41" spans="3:8" x14ac:dyDescent="0.25">
      <c r="C41" s="8"/>
      <c r="D41" s="2" t="s">
        <v>388</v>
      </c>
      <c r="E41" s="2" t="s">
        <v>394</v>
      </c>
      <c r="F41" s="4"/>
      <c r="G41" s="14"/>
      <c r="H41" s="9">
        <v>540</v>
      </c>
    </row>
    <row r="42" spans="3:8" x14ac:dyDescent="0.25">
      <c r="C42" s="8"/>
      <c r="D42" s="2" t="s">
        <v>389</v>
      </c>
      <c r="E42" s="2" t="s">
        <v>12</v>
      </c>
      <c r="F42" s="4"/>
      <c r="G42" s="14"/>
      <c r="H42" s="9">
        <v>38</v>
      </c>
    </row>
    <row r="43" spans="3:8" x14ac:dyDescent="0.25">
      <c r="C43" s="8"/>
      <c r="D43" s="2" t="s">
        <v>390</v>
      </c>
      <c r="E43" s="2" t="s">
        <v>104</v>
      </c>
      <c r="F43" s="4"/>
      <c r="G43" s="14"/>
      <c r="H43" s="9">
        <v>22.5</v>
      </c>
    </row>
    <row r="44" spans="3:8" x14ac:dyDescent="0.25">
      <c r="C44" s="8"/>
      <c r="D44" s="2" t="s">
        <v>391</v>
      </c>
      <c r="E44" s="2" t="s">
        <v>12</v>
      </c>
      <c r="F44" s="4">
        <v>12</v>
      </c>
      <c r="G44" s="14"/>
      <c r="H44" s="9"/>
    </row>
    <row r="45" spans="3:8" x14ac:dyDescent="0.25">
      <c r="C45" s="8"/>
      <c r="D45" s="2" t="s">
        <v>392</v>
      </c>
      <c r="E45" s="2" t="s">
        <v>12</v>
      </c>
      <c r="F45" s="4">
        <v>18</v>
      </c>
      <c r="G45" s="14"/>
      <c r="H45" s="9"/>
    </row>
    <row r="46" spans="3:8" x14ac:dyDescent="0.25">
      <c r="C46" s="8"/>
      <c r="D46" s="2" t="s">
        <v>393</v>
      </c>
      <c r="E46" s="2" t="s">
        <v>12</v>
      </c>
      <c r="F46" s="4">
        <v>19</v>
      </c>
      <c r="G46" s="14"/>
      <c r="H46" s="9"/>
    </row>
    <row r="47" spans="3:8" x14ac:dyDescent="0.25">
      <c r="C47" s="8"/>
      <c r="D47" s="2" t="s">
        <v>400</v>
      </c>
      <c r="E47" s="2" t="s">
        <v>196</v>
      </c>
      <c r="F47" s="4"/>
      <c r="G47" s="14">
        <v>3350</v>
      </c>
      <c r="H47" s="9"/>
    </row>
    <row r="48" spans="3:8" x14ac:dyDescent="0.25">
      <c r="C48" s="8"/>
      <c r="D48" s="2" t="s">
        <v>403</v>
      </c>
      <c r="E48" s="2" t="s">
        <v>136</v>
      </c>
      <c r="F48" s="4"/>
      <c r="G48" s="14">
        <v>132</v>
      </c>
      <c r="H48" s="9"/>
    </row>
    <row r="49" spans="3:8" x14ac:dyDescent="0.25">
      <c r="C49" s="8"/>
      <c r="D49" s="2" t="s">
        <v>404</v>
      </c>
      <c r="E49" s="2" t="s">
        <v>12</v>
      </c>
      <c r="F49" s="4">
        <v>40.5</v>
      </c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 t="s">
        <v>314</v>
      </c>
      <c r="E51" s="2" t="s">
        <v>48</v>
      </c>
      <c r="F51" s="4"/>
      <c r="G51" s="14"/>
      <c r="H51" s="9">
        <v>42</v>
      </c>
    </row>
    <row r="52" spans="3:8" x14ac:dyDescent="0.25">
      <c r="C52" s="8"/>
      <c r="D52" s="2" t="s">
        <v>315</v>
      </c>
      <c r="E52" s="2" t="s">
        <v>40</v>
      </c>
      <c r="F52" s="4">
        <v>430</v>
      </c>
      <c r="G52" s="14">
        <v>140</v>
      </c>
      <c r="H52" s="9"/>
    </row>
    <row r="53" spans="3:8" x14ac:dyDescent="0.25">
      <c r="C53" s="8"/>
      <c r="D53" s="2" t="s">
        <v>316</v>
      </c>
      <c r="E53" s="2" t="s">
        <v>327</v>
      </c>
      <c r="F53" s="4">
        <v>200</v>
      </c>
      <c r="G53" s="14"/>
      <c r="H53" s="9"/>
    </row>
    <row r="54" spans="3:8" x14ac:dyDescent="0.25">
      <c r="C54" s="8"/>
      <c r="D54" s="2" t="s">
        <v>317</v>
      </c>
      <c r="E54" s="2" t="s">
        <v>328</v>
      </c>
      <c r="F54" s="4">
        <v>460</v>
      </c>
      <c r="G54" s="14"/>
      <c r="H54" s="9"/>
    </row>
    <row r="55" spans="3:8" x14ac:dyDescent="0.25">
      <c r="C55" s="8"/>
      <c r="D55" s="2" t="s">
        <v>318</v>
      </c>
      <c r="E55" s="2" t="s">
        <v>328</v>
      </c>
      <c r="F55" s="4">
        <v>48</v>
      </c>
      <c r="G55" s="14"/>
      <c r="H55" s="9"/>
    </row>
    <row r="56" spans="3:8" x14ac:dyDescent="0.25">
      <c r="C56" s="8"/>
      <c r="D56" s="2" t="s">
        <v>319</v>
      </c>
      <c r="E56" s="2" t="s">
        <v>48</v>
      </c>
      <c r="F56" s="4"/>
      <c r="G56" s="14"/>
      <c r="H56" s="9">
        <v>7.5</v>
      </c>
    </row>
    <row r="57" spans="3:8" x14ac:dyDescent="0.25">
      <c r="C57" s="8"/>
      <c r="D57" s="2" t="s">
        <v>320</v>
      </c>
      <c r="E57" s="2" t="s">
        <v>359</v>
      </c>
      <c r="F57" s="4">
        <v>360</v>
      </c>
      <c r="G57" s="14"/>
      <c r="H57" s="9"/>
    </row>
    <row r="58" spans="3:8" x14ac:dyDescent="0.25">
      <c r="C58" s="8"/>
      <c r="D58" s="43" t="s">
        <v>321</v>
      </c>
      <c r="E58" s="43" t="s">
        <v>360</v>
      </c>
      <c r="F58" s="4"/>
      <c r="G58" s="14"/>
      <c r="H58" s="9"/>
    </row>
    <row r="59" spans="3:8" x14ac:dyDescent="0.25">
      <c r="C59" s="8"/>
      <c r="D59" s="2" t="s">
        <v>322</v>
      </c>
      <c r="E59" s="2" t="s">
        <v>159</v>
      </c>
      <c r="F59" s="4">
        <v>308</v>
      </c>
      <c r="G59" s="14"/>
      <c r="H59" s="9"/>
    </row>
    <row r="60" spans="3:8" x14ac:dyDescent="0.25">
      <c r="C60" s="8"/>
      <c r="D60" s="2" t="s">
        <v>323</v>
      </c>
      <c r="E60" s="2" t="s">
        <v>48</v>
      </c>
      <c r="F60" s="4"/>
      <c r="G60" s="14"/>
      <c r="H60" s="9">
        <v>20</v>
      </c>
    </row>
    <row r="61" spans="3:8" x14ac:dyDescent="0.25">
      <c r="C61" s="8"/>
      <c r="D61" s="2" t="s">
        <v>324</v>
      </c>
      <c r="E61" s="2" t="s">
        <v>48</v>
      </c>
      <c r="F61" s="4">
        <v>13</v>
      </c>
      <c r="G61" s="14"/>
      <c r="H61" s="9"/>
    </row>
    <row r="62" spans="3:8" x14ac:dyDescent="0.25">
      <c r="C62" s="8"/>
      <c r="D62" s="2" t="s">
        <v>357</v>
      </c>
      <c r="E62" s="2" t="s">
        <v>199</v>
      </c>
      <c r="F62" s="4">
        <v>218</v>
      </c>
      <c r="G62" s="14"/>
      <c r="H62" s="9"/>
    </row>
    <row r="63" spans="3:8" x14ac:dyDescent="0.25">
      <c r="C63" s="8"/>
      <c r="D63" s="2" t="s">
        <v>358</v>
      </c>
      <c r="E63" s="2" t="s">
        <v>48</v>
      </c>
      <c r="F63" s="4">
        <v>38.4</v>
      </c>
      <c r="G63" s="14"/>
      <c r="H63" s="9"/>
    </row>
    <row r="64" spans="3:8" x14ac:dyDescent="0.25">
      <c r="C64" s="8"/>
      <c r="D64" s="2" t="s">
        <v>361</v>
      </c>
      <c r="E64" s="2" t="s">
        <v>48</v>
      </c>
      <c r="F64" s="4">
        <v>33.700000000000003</v>
      </c>
      <c r="G64" s="14"/>
      <c r="H64" s="9"/>
    </row>
    <row r="65" spans="3:8" x14ac:dyDescent="0.25">
      <c r="C65" s="8"/>
      <c r="D65" s="2" t="s">
        <v>362</v>
      </c>
      <c r="E65" s="2" t="s">
        <v>380</v>
      </c>
      <c r="F65" s="4">
        <v>362</v>
      </c>
      <c r="G65" s="14"/>
      <c r="H65" s="9"/>
    </row>
    <row r="66" spans="3:8" x14ac:dyDescent="0.25">
      <c r="C66" s="8"/>
      <c r="D66" s="2" t="s">
        <v>363</v>
      </c>
      <c r="E66" s="2" t="s">
        <v>381</v>
      </c>
      <c r="F66" s="4"/>
      <c r="G66" s="14"/>
      <c r="H66" s="9">
        <v>555.5</v>
      </c>
    </row>
    <row r="67" spans="3:8" x14ac:dyDescent="0.25">
      <c r="C67" s="8"/>
      <c r="D67" s="2" t="s">
        <v>364</v>
      </c>
      <c r="E67" s="2" t="s">
        <v>359</v>
      </c>
      <c r="F67" s="4">
        <v>20</v>
      </c>
      <c r="G67" s="14"/>
      <c r="H67" s="9"/>
    </row>
    <row r="68" spans="3:8" x14ac:dyDescent="0.25">
      <c r="C68" s="8"/>
      <c r="D68" s="2" t="s">
        <v>365</v>
      </c>
      <c r="E68" s="2" t="s">
        <v>48</v>
      </c>
      <c r="F68" s="4">
        <v>13</v>
      </c>
      <c r="G68" s="14"/>
      <c r="H68" s="9"/>
    </row>
    <row r="69" spans="3:8" x14ac:dyDescent="0.25">
      <c r="C69" s="8"/>
      <c r="D69" s="2" t="s">
        <v>377</v>
      </c>
      <c r="E69" s="2" t="s">
        <v>48</v>
      </c>
      <c r="F69" s="4">
        <v>11</v>
      </c>
      <c r="G69" s="14"/>
      <c r="H69" s="9"/>
    </row>
    <row r="70" spans="3:8" x14ac:dyDescent="0.25">
      <c r="C70" s="8"/>
      <c r="D70" s="2" t="s">
        <v>378</v>
      </c>
      <c r="E70" s="2" t="s">
        <v>48</v>
      </c>
      <c r="F70" s="4">
        <v>29.6</v>
      </c>
      <c r="G70" s="14"/>
      <c r="H70" s="9"/>
    </row>
    <row r="71" spans="3:8" x14ac:dyDescent="0.25">
      <c r="C71" s="8"/>
      <c r="D71" s="2" t="s">
        <v>379</v>
      </c>
      <c r="E71" s="2" t="s">
        <v>48</v>
      </c>
      <c r="F71" s="4">
        <v>70</v>
      </c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29"/>
      <c r="D78" s="30"/>
      <c r="E78" s="30" t="s">
        <v>60</v>
      </c>
      <c r="F78" s="31"/>
      <c r="G78" s="32"/>
      <c r="H78" s="33"/>
    </row>
    <row r="79" spans="3:8" x14ac:dyDescent="0.25">
      <c r="C79" s="8"/>
      <c r="D79" s="2" t="s">
        <v>333</v>
      </c>
      <c r="E79" s="2" t="s">
        <v>334</v>
      </c>
      <c r="F79" s="4"/>
      <c r="G79" s="14"/>
      <c r="H79" s="9">
        <v>27</v>
      </c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40"/>
      <c r="E81" s="40"/>
      <c r="F81" s="35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16"/>
      <c r="D83" s="17"/>
      <c r="E83" s="17" t="s">
        <v>39</v>
      </c>
      <c r="F83" s="5"/>
      <c r="G83" s="18"/>
      <c r="H83" s="7"/>
    </row>
    <row r="84" spans="3:8" x14ac:dyDescent="0.25">
      <c r="C84" s="8"/>
      <c r="D84" s="2"/>
      <c r="E84" s="2" t="s">
        <v>326</v>
      </c>
      <c r="F84" s="4">
        <v>1179.5</v>
      </c>
      <c r="G84" s="14"/>
      <c r="H84" s="9"/>
    </row>
    <row r="85" spans="3:8" x14ac:dyDescent="0.25">
      <c r="C85" s="8"/>
      <c r="D85" s="2"/>
      <c r="E85" s="2" t="s">
        <v>382</v>
      </c>
      <c r="F85" s="4">
        <v>460</v>
      </c>
      <c r="G85" s="14"/>
      <c r="H85" s="9"/>
    </row>
    <row r="86" spans="3:8" x14ac:dyDescent="0.25">
      <c r="C86" s="8"/>
      <c r="D86" s="2"/>
      <c r="E86" s="2" t="s">
        <v>396</v>
      </c>
      <c r="F86" s="4">
        <v>10</v>
      </c>
      <c r="G86" s="14"/>
      <c r="H86" s="9"/>
    </row>
    <row r="87" spans="3:8" x14ac:dyDescent="0.25">
      <c r="C87" s="8"/>
      <c r="D87" s="2" t="s">
        <v>292</v>
      </c>
      <c r="E87" s="2" t="s">
        <v>300</v>
      </c>
      <c r="F87" s="4">
        <v>180</v>
      </c>
      <c r="G87" s="14"/>
      <c r="H87" s="9"/>
    </row>
    <row r="88" spans="3:8" x14ac:dyDescent="0.25">
      <c r="C88" s="8"/>
      <c r="D88" s="2"/>
      <c r="E88" s="2" t="s">
        <v>402</v>
      </c>
      <c r="F88" s="4">
        <v>4</v>
      </c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19"/>
      <c r="D93" s="20"/>
      <c r="E93" s="20" t="s">
        <v>42</v>
      </c>
      <c r="F93" s="21"/>
      <c r="G93" s="22"/>
      <c r="H93" s="23"/>
    </row>
    <row r="94" spans="3:8" x14ac:dyDescent="0.25">
      <c r="C94" s="34"/>
      <c r="D94" s="42"/>
      <c r="E94" s="2" t="s">
        <v>385</v>
      </c>
      <c r="F94" s="41">
        <v>-207.7</v>
      </c>
      <c r="G94" s="14"/>
      <c r="H94" s="9"/>
    </row>
    <row r="95" spans="3:8" x14ac:dyDescent="0.25">
      <c r="C95" s="34"/>
      <c r="D95" s="42"/>
      <c r="E95" s="2" t="s">
        <v>325</v>
      </c>
      <c r="F95" s="41">
        <v>-148.6</v>
      </c>
      <c r="G95" s="14"/>
      <c r="H95" s="9"/>
    </row>
    <row r="96" spans="3:8" x14ac:dyDescent="0.25">
      <c r="C96" s="34"/>
      <c r="D96" s="42"/>
      <c r="E96" s="2" t="s">
        <v>329</v>
      </c>
      <c r="F96" s="41">
        <v>-1120</v>
      </c>
      <c r="G96" s="14"/>
      <c r="H96" s="9"/>
    </row>
    <row r="97" spans="3:8" x14ac:dyDescent="0.25">
      <c r="C97" s="34"/>
      <c r="D97" s="42"/>
      <c r="E97" s="2" t="s">
        <v>330</v>
      </c>
      <c r="F97" s="41">
        <v>-50.4</v>
      </c>
      <c r="G97" s="14"/>
      <c r="H97" s="9"/>
    </row>
    <row r="98" spans="3:8" x14ac:dyDescent="0.25">
      <c r="C98" s="34"/>
      <c r="D98" s="42"/>
      <c r="E98" s="2" t="s">
        <v>331</v>
      </c>
      <c r="F98" s="44">
        <v>-15980</v>
      </c>
      <c r="G98" s="14"/>
      <c r="H98" s="9"/>
    </row>
    <row r="99" spans="3:8" x14ac:dyDescent="0.25">
      <c r="C99" s="34"/>
      <c r="D99" s="42"/>
      <c r="E99" s="2" t="s">
        <v>332</v>
      </c>
      <c r="F99" s="44">
        <v>-5.4</v>
      </c>
      <c r="G99" s="14"/>
      <c r="H99" s="9"/>
    </row>
    <row r="100" spans="3:8" x14ac:dyDescent="0.25">
      <c r="C100" s="34"/>
      <c r="D100" s="42"/>
      <c r="E100" s="2" t="s">
        <v>366</v>
      </c>
      <c r="F100" s="44">
        <v>-2080</v>
      </c>
      <c r="G100" s="14"/>
      <c r="H100" s="9"/>
    </row>
    <row r="101" spans="3:8" x14ac:dyDescent="0.25">
      <c r="C101" s="34"/>
      <c r="D101" s="42"/>
      <c r="E101" s="2" t="s">
        <v>367</v>
      </c>
      <c r="F101" s="44">
        <v>-30</v>
      </c>
      <c r="G101" s="14"/>
      <c r="H101" s="9"/>
    </row>
    <row r="102" spans="3:8" x14ac:dyDescent="0.25">
      <c r="C102" s="34"/>
      <c r="D102" s="42"/>
      <c r="E102" s="2" t="s">
        <v>383</v>
      </c>
      <c r="F102" s="44">
        <v>-2000</v>
      </c>
      <c r="G102" s="14"/>
      <c r="H102" s="9"/>
    </row>
    <row r="103" spans="3:8" x14ac:dyDescent="0.25">
      <c r="C103" s="34"/>
      <c r="D103" s="42"/>
      <c r="E103" s="2" t="s">
        <v>384</v>
      </c>
      <c r="F103" s="44">
        <v>-180</v>
      </c>
      <c r="G103" s="14"/>
      <c r="H103" s="9"/>
    </row>
    <row r="104" spans="3:8" x14ac:dyDescent="0.25">
      <c r="C104" s="34"/>
      <c r="D104" s="42"/>
      <c r="E104" s="2" t="s">
        <v>386</v>
      </c>
      <c r="F104" s="44">
        <v>-170</v>
      </c>
      <c r="G104" s="14"/>
      <c r="H104" s="9"/>
    </row>
    <row r="105" spans="3:8" ht="30" x14ac:dyDescent="0.25">
      <c r="C105" s="34"/>
      <c r="D105" s="42"/>
      <c r="E105" s="37" t="s">
        <v>395</v>
      </c>
      <c r="F105" s="44">
        <v>-720</v>
      </c>
      <c r="G105" s="14"/>
      <c r="H105" s="9"/>
    </row>
    <row r="106" spans="3:8" x14ac:dyDescent="0.25">
      <c r="C106" s="34"/>
      <c r="D106" s="42"/>
      <c r="E106" s="2" t="s">
        <v>397</v>
      </c>
      <c r="F106" s="44">
        <v>-936</v>
      </c>
      <c r="G106" s="14"/>
      <c r="H106" s="9"/>
    </row>
    <row r="107" spans="3:8" x14ac:dyDescent="0.25">
      <c r="C107" s="8"/>
      <c r="D107" s="2"/>
      <c r="E107" s="2" t="s">
        <v>398</v>
      </c>
      <c r="F107" s="14">
        <v>-4926</v>
      </c>
      <c r="G107" s="14"/>
      <c r="H107" s="9"/>
    </row>
    <row r="108" spans="3:8" x14ac:dyDescent="0.25">
      <c r="C108" s="8"/>
      <c r="D108" s="2"/>
      <c r="E108" s="2" t="s">
        <v>399</v>
      </c>
      <c r="F108" s="14">
        <v>-80</v>
      </c>
      <c r="G108" s="14"/>
      <c r="H108" s="9"/>
    </row>
    <row r="109" spans="3:8" x14ac:dyDescent="0.25">
      <c r="C109" s="8"/>
      <c r="D109" s="2"/>
      <c r="E109" s="2" t="s">
        <v>401</v>
      </c>
      <c r="F109" s="14">
        <v>-140</v>
      </c>
      <c r="G109" s="14"/>
      <c r="H109" s="9"/>
    </row>
    <row r="110" spans="3:8" x14ac:dyDescent="0.25">
      <c r="C110" s="8"/>
      <c r="D110" s="2"/>
      <c r="E110" s="2"/>
      <c r="F110" s="14"/>
      <c r="G110" s="14"/>
      <c r="H110" s="9"/>
    </row>
    <row r="111" spans="3:8" x14ac:dyDescent="0.25">
      <c r="C111" s="8"/>
      <c r="D111" s="2"/>
      <c r="E111" s="2"/>
      <c r="F111" s="4"/>
      <c r="G111" s="14"/>
      <c r="H111" s="9"/>
    </row>
    <row r="112" spans="3:8" ht="15.75" thickBot="1" x14ac:dyDescent="0.3">
      <c r="C112" s="10"/>
      <c r="D112" s="11"/>
      <c r="E112" s="11" t="s">
        <v>44</v>
      </c>
      <c r="F112" s="12">
        <f>SUM(F6:F111)</f>
        <v>-22867.1</v>
      </c>
      <c r="G112" s="15">
        <f>SUM(G6:G111)</f>
        <v>4307.1000000000004</v>
      </c>
      <c r="H112" s="13">
        <f>SUM(H6:H111)</f>
        <v>1901.5</v>
      </c>
    </row>
    <row r="115" spans="5:10" ht="18.75" x14ac:dyDescent="0.3">
      <c r="E115" s="38" t="s">
        <v>49</v>
      </c>
      <c r="F115" s="39">
        <f>+H4+F112</f>
        <v>13927.440000000002</v>
      </c>
    </row>
    <row r="118" spans="5:10" x14ac:dyDescent="0.25">
      <c r="J118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9E88-7CB7-40B9-9810-216629411088}">
  <sheetPr codeName="Hoja4"/>
  <dimension ref="C2:J115"/>
  <sheetViews>
    <sheetView topLeftCell="A79" workbookViewId="0">
      <selection activeCell="C3" sqref="C3:G4"/>
    </sheetView>
  </sheetViews>
  <sheetFormatPr baseColWidth="10" defaultRowHeight="15" x14ac:dyDescent="0.25"/>
  <cols>
    <col min="3" max="3" width="15.140625" style="1" bestFit="1" customWidth="1"/>
    <col min="4" max="4" width="20.42578125" style="1" bestFit="1" customWidth="1"/>
    <col min="5" max="5" width="81.85546875" style="1" bestFit="1" customWidth="1"/>
    <col min="6" max="6" width="15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946</v>
      </c>
      <c r="D3" s="144"/>
      <c r="E3" s="144"/>
      <c r="F3" s="144"/>
      <c r="G3" s="145"/>
      <c r="H3" s="6" t="s">
        <v>0</v>
      </c>
    </row>
    <row r="4" spans="3:8" ht="15.75" thickBot="1" x14ac:dyDescent="0.3">
      <c r="C4" s="146"/>
      <c r="D4" s="147"/>
      <c r="E4" s="147"/>
      <c r="F4" s="147"/>
      <c r="G4" s="148"/>
      <c r="H4" s="28">
        <v>13927.44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405</v>
      </c>
      <c r="E6" s="2" t="s">
        <v>35</v>
      </c>
      <c r="F6" s="4"/>
      <c r="G6" s="14">
        <v>915</v>
      </c>
      <c r="H6" s="9"/>
    </row>
    <row r="7" spans="3:8" x14ac:dyDescent="0.25">
      <c r="C7" s="8" t="s">
        <v>8</v>
      </c>
      <c r="D7" s="2" t="s">
        <v>406</v>
      </c>
      <c r="E7" s="2" t="s">
        <v>212</v>
      </c>
      <c r="F7" s="4"/>
      <c r="G7" s="14">
        <v>453</v>
      </c>
      <c r="H7" s="9"/>
    </row>
    <row r="8" spans="3:8" x14ac:dyDescent="0.25">
      <c r="C8" s="8" t="s">
        <v>8</v>
      </c>
      <c r="D8" s="2" t="s">
        <v>407</v>
      </c>
      <c r="E8" s="2" t="s">
        <v>158</v>
      </c>
      <c r="F8" s="4"/>
      <c r="G8" s="14"/>
      <c r="H8" s="9">
        <v>391.16</v>
      </c>
    </row>
    <row r="9" spans="3:8" x14ac:dyDescent="0.25">
      <c r="C9" s="8" t="s">
        <v>8</v>
      </c>
      <c r="D9" s="2" t="s">
        <v>408</v>
      </c>
      <c r="E9" s="2" t="s">
        <v>440</v>
      </c>
      <c r="F9" s="4">
        <v>54</v>
      </c>
      <c r="G9" s="14"/>
      <c r="H9" s="9"/>
    </row>
    <row r="10" spans="3:8" x14ac:dyDescent="0.25">
      <c r="C10" s="8"/>
      <c r="D10" s="2" t="s">
        <v>409</v>
      </c>
      <c r="E10" s="2" t="s">
        <v>440</v>
      </c>
      <c r="F10" s="4">
        <v>3</v>
      </c>
      <c r="G10" s="14"/>
      <c r="H10" s="9"/>
    </row>
    <row r="11" spans="3:8" x14ac:dyDescent="0.25">
      <c r="C11" s="8"/>
      <c r="D11" s="2" t="s">
        <v>410</v>
      </c>
      <c r="E11" s="2" t="s">
        <v>441</v>
      </c>
      <c r="F11" s="4">
        <v>1450</v>
      </c>
      <c r="G11" s="14"/>
      <c r="H11" s="9">
        <v>500</v>
      </c>
    </row>
    <row r="12" spans="3:8" x14ac:dyDescent="0.25">
      <c r="C12" s="8"/>
      <c r="D12" s="2" t="s">
        <v>411</v>
      </c>
      <c r="E12" s="2" t="s">
        <v>440</v>
      </c>
      <c r="F12" s="4">
        <v>52.5</v>
      </c>
      <c r="G12" s="14"/>
      <c r="H12" s="9"/>
    </row>
    <row r="13" spans="3:8" x14ac:dyDescent="0.25">
      <c r="C13" s="8"/>
      <c r="D13" s="2" t="s">
        <v>412</v>
      </c>
      <c r="E13" s="2" t="s">
        <v>440</v>
      </c>
      <c r="F13" s="4"/>
      <c r="G13" s="14"/>
      <c r="H13" s="9">
        <v>39</v>
      </c>
    </row>
    <row r="14" spans="3:8" x14ac:dyDescent="0.25">
      <c r="C14" s="8"/>
      <c r="D14" s="2" t="s">
        <v>413</v>
      </c>
      <c r="E14" s="2" t="s">
        <v>440</v>
      </c>
      <c r="F14" s="4">
        <v>3</v>
      </c>
      <c r="G14" s="14"/>
      <c r="H14" s="9"/>
    </row>
    <row r="15" spans="3:8" x14ac:dyDescent="0.25">
      <c r="C15" s="8"/>
      <c r="D15" s="2" t="s">
        <v>414</v>
      </c>
      <c r="E15" s="2" t="s">
        <v>440</v>
      </c>
      <c r="F15" s="4">
        <v>5</v>
      </c>
      <c r="G15" s="14"/>
      <c r="H15" s="9"/>
    </row>
    <row r="16" spans="3:8" x14ac:dyDescent="0.25">
      <c r="C16" s="8"/>
      <c r="D16" s="2" t="s">
        <v>415</v>
      </c>
      <c r="E16" s="2" t="s">
        <v>136</v>
      </c>
      <c r="F16" s="4">
        <v>639</v>
      </c>
      <c r="G16" s="14"/>
      <c r="H16" s="9"/>
    </row>
    <row r="17" spans="3:8" x14ac:dyDescent="0.25">
      <c r="C17" s="8"/>
      <c r="D17" s="2" t="s">
        <v>416</v>
      </c>
      <c r="E17" s="2" t="s">
        <v>136</v>
      </c>
      <c r="F17" s="4">
        <v>213</v>
      </c>
      <c r="G17" s="14"/>
      <c r="H17" s="9"/>
    </row>
    <row r="18" spans="3:8" x14ac:dyDescent="0.25">
      <c r="C18" s="8"/>
      <c r="D18" s="2" t="s">
        <v>442</v>
      </c>
      <c r="E18" s="2" t="s">
        <v>440</v>
      </c>
      <c r="F18" s="4">
        <v>9</v>
      </c>
      <c r="G18" s="14"/>
      <c r="H18" s="9"/>
    </row>
    <row r="19" spans="3:8" x14ac:dyDescent="0.25">
      <c r="C19" s="8"/>
      <c r="D19" s="2" t="s">
        <v>443</v>
      </c>
      <c r="E19" s="2" t="s">
        <v>440</v>
      </c>
      <c r="F19" s="4">
        <v>5</v>
      </c>
      <c r="G19" s="14"/>
      <c r="H19" s="9"/>
    </row>
    <row r="20" spans="3:8" x14ac:dyDescent="0.25">
      <c r="C20" s="8"/>
      <c r="D20" s="2" t="s">
        <v>444</v>
      </c>
      <c r="E20" s="2" t="s">
        <v>440</v>
      </c>
      <c r="F20" s="4">
        <v>5</v>
      </c>
      <c r="G20" s="14"/>
      <c r="H20" s="9"/>
    </row>
    <row r="21" spans="3:8" x14ac:dyDescent="0.25">
      <c r="C21" s="8"/>
      <c r="D21" s="2" t="s">
        <v>445</v>
      </c>
      <c r="E21" s="2" t="s">
        <v>440</v>
      </c>
      <c r="F21" s="4">
        <v>40</v>
      </c>
      <c r="G21" s="14"/>
      <c r="H21" s="9"/>
    </row>
    <row r="22" spans="3:8" x14ac:dyDescent="0.25">
      <c r="C22" s="8"/>
      <c r="D22" s="2" t="s">
        <v>446</v>
      </c>
      <c r="E22" s="2" t="s">
        <v>440</v>
      </c>
      <c r="F22" s="4">
        <v>12.5</v>
      </c>
      <c r="G22" s="14"/>
      <c r="H22" s="9"/>
    </row>
    <row r="23" spans="3:8" x14ac:dyDescent="0.25">
      <c r="C23" s="8"/>
      <c r="D23" s="2" t="s">
        <v>447</v>
      </c>
      <c r="E23" s="2" t="s">
        <v>440</v>
      </c>
      <c r="F23" s="4">
        <v>51.1</v>
      </c>
      <c r="G23" s="14"/>
      <c r="H23" s="9"/>
    </row>
    <row r="24" spans="3:8" x14ac:dyDescent="0.25">
      <c r="C24" s="8"/>
      <c r="D24" s="2" t="s">
        <v>448</v>
      </c>
      <c r="E24" s="2" t="s">
        <v>440</v>
      </c>
      <c r="F24" s="4">
        <v>16.5</v>
      </c>
      <c r="G24" s="14"/>
      <c r="H24" s="9"/>
    </row>
    <row r="25" spans="3:8" x14ac:dyDescent="0.25">
      <c r="C25" s="8"/>
      <c r="D25" s="2" t="s">
        <v>450</v>
      </c>
      <c r="E25" s="2" t="s">
        <v>449</v>
      </c>
      <c r="F25" s="4">
        <v>300</v>
      </c>
      <c r="G25" s="14">
        <v>332.5</v>
      </c>
      <c r="H25" s="9"/>
    </row>
    <row r="26" spans="3:8" x14ac:dyDescent="0.25">
      <c r="C26" s="8"/>
      <c r="D26" s="2" t="s">
        <v>464</v>
      </c>
      <c r="E26" s="2" t="s">
        <v>441</v>
      </c>
      <c r="F26" s="4"/>
      <c r="G26" s="14">
        <v>1625</v>
      </c>
      <c r="H26" s="9"/>
    </row>
    <row r="27" spans="3:8" x14ac:dyDescent="0.25">
      <c r="C27" s="8"/>
      <c r="D27" s="2" t="s">
        <v>465</v>
      </c>
      <c r="E27" s="2" t="s">
        <v>440</v>
      </c>
      <c r="F27" s="4"/>
      <c r="G27" s="14"/>
      <c r="H27" s="9">
        <v>9.5</v>
      </c>
    </row>
    <row r="28" spans="3:8" x14ac:dyDescent="0.25">
      <c r="C28" s="8"/>
      <c r="D28" s="2" t="s">
        <v>466</v>
      </c>
      <c r="E28" s="2" t="s">
        <v>440</v>
      </c>
      <c r="F28" s="4">
        <v>36.5</v>
      </c>
      <c r="G28" s="14"/>
      <c r="H28" s="9"/>
    </row>
    <row r="29" spans="3:8" x14ac:dyDescent="0.25">
      <c r="C29" s="8"/>
      <c r="D29" s="2" t="s">
        <v>467</v>
      </c>
      <c r="E29" s="2" t="s">
        <v>440</v>
      </c>
      <c r="F29" s="4">
        <v>1</v>
      </c>
      <c r="G29" s="14"/>
      <c r="H29" s="9"/>
    </row>
    <row r="30" spans="3:8" x14ac:dyDescent="0.25">
      <c r="C30" s="8"/>
      <c r="D30" s="2" t="s">
        <v>468</v>
      </c>
      <c r="E30" s="2" t="s">
        <v>440</v>
      </c>
      <c r="F30" s="4">
        <v>17</v>
      </c>
      <c r="G30" s="14"/>
      <c r="H30" s="9"/>
    </row>
    <row r="31" spans="3:8" x14ac:dyDescent="0.25">
      <c r="C31" s="8"/>
      <c r="D31" s="2" t="s">
        <v>469</v>
      </c>
      <c r="E31" s="43" t="s">
        <v>496</v>
      </c>
      <c r="F31" s="4"/>
      <c r="G31" s="14"/>
      <c r="H31" s="9"/>
    </row>
    <row r="32" spans="3:8" x14ac:dyDescent="0.25">
      <c r="C32" s="8"/>
      <c r="D32" s="2" t="s">
        <v>470</v>
      </c>
      <c r="E32" s="2" t="s">
        <v>440</v>
      </c>
      <c r="F32" s="4">
        <v>6</v>
      </c>
      <c r="G32" s="14"/>
      <c r="H32" s="9"/>
    </row>
    <row r="33" spans="3:8" x14ac:dyDescent="0.25">
      <c r="C33" s="8"/>
      <c r="D33" s="2" t="s">
        <v>471</v>
      </c>
      <c r="E33" s="2" t="s">
        <v>440</v>
      </c>
      <c r="F33" s="4">
        <v>15</v>
      </c>
      <c r="G33" s="14"/>
      <c r="H33" s="9"/>
    </row>
    <row r="34" spans="3:8" x14ac:dyDescent="0.25">
      <c r="C34" s="8"/>
      <c r="D34" s="2" t="s">
        <v>472</v>
      </c>
      <c r="E34" s="2" t="s">
        <v>440</v>
      </c>
      <c r="F34" s="4">
        <v>9</v>
      </c>
      <c r="G34" s="14"/>
      <c r="H34" s="9"/>
    </row>
    <row r="35" spans="3:8" x14ac:dyDescent="0.25">
      <c r="C35" s="8"/>
      <c r="D35" s="2" t="s">
        <v>473</v>
      </c>
      <c r="E35" s="2" t="s">
        <v>440</v>
      </c>
      <c r="F35" s="4"/>
      <c r="G35" s="14"/>
      <c r="H35" s="9">
        <v>15</v>
      </c>
    </row>
    <row r="36" spans="3:8" x14ac:dyDescent="0.25">
      <c r="C36" s="8"/>
      <c r="D36" s="2" t="s">
        <v>474</v>
      </c>
      <c r="E36" s="2" t="s">
        <v>257</v>
      </c>
      <c r="F36" s="4">
        <v>68</v>
      </c>
      <c r="G36" s="14"/>
      <c r="H36" s="9"/>
    </row>
    <row r="37" spans="3:8" x14ac:dyDescent="0.25">
      <c r="C37" s="8"/>
      <c r="D37" s="2" t="s">
        <v>475</v>
      </c>
      <c r="E37" s="2" t="s">
        <v>440</v>
      </c>
      <c r="F37" s="4">
        <v>6</v>
      </c>
      <c r="G37" s="14"/>
      <c r="H37" s="9"/>
    </row>
    <row r="38" spans="3:8" x14ac:dyDescent="0.25">
      <c r="C38" s="8"/>
      <c r="D38" s="2" t="s">
        <v>476</v>
      </c>
      <c r="E38" s="2" t="s">
        <v>440</v>
      </c>
      <c r="F38" s="4">
        <v>101</v>
      </c>
      <c r="G38" s="14"/>
      <c r="H38" s="9"/>
    </row>
    <row r="39" spans="3:8" x14ac:dyDescent="0.25">
      <c r="C39" s="8"/>
      <c r="D39" s="2" t="s">
        <v>477</v>
      </c>
      <c r="E39" s="2" t="s">
        <v>440</v>
      </c>
      <c r="F39" s="4">
        <v>4</v>
      </c>
      <c r="G39" s="14"/>
      <c r="H39" s="9"/>
    </row>
    <row r="40" spans="3:8" x14ac:dyDescent="0.25">
      <c r="C40" s="8"/>
      <c r="D40" s="2" t="s">
        <v>479</v>
      </c>
      <c r="E40" s="2" t="s">
        <v>478</v>
      </c>
      <c r="F40" s="4"/>
      <c r="G40" s="14">
        <v>56</v>
      </c>
      <c r="H40" s="9"/>
    </row>
    <row r="41" spans="3:8" x14ac:dyDescent="0.25">
      <c r="C41" s="8"/>
      <c r="D41" s="2" t="s">
        <v>480</v>
      </c>
      <c r="E41" s="2" t="s">
        <v>440</v>
      </c>
      <c r="F41" s="4">
        <v>32</v>
      </c>
      <c r="G41" s="14"/>
      <c r="H41" s="9"/>
    </row>
    <row r="42" spans="3:8" x14ac:dyDescent="0.25">
      <c r="C42" s="8"/>
      <c r="D42" s="2" t="s">
        <v>481</v>
      </c>
      <c r="E42" s="2" t="s">
        <v>440</v>
      </c>
      <c r="F42" s="4"/>
      <c r="G42" s="14"/>
      <c r="H42" s="9">
        <v>13</v>
      </c>
    </row>
    <row r="43" spans="3:8" x14ac:dyDescent="0.25">
      <c r="C43" s="8"/>
      <c r="D43" s="2" t="s">
        <v>482</v>
      </c>
      <c r="E43" s="2" t="s">
        <v>440</v>
      </c>
      <c r="F43" s="4">
        <v>2.5</v>
      </c>
      <c r="G43" s="14"/>
      <c r="H43" s="9"/>
    </row>
    <row r="44" spans="3:8" x14ac:dyDescent="0.25">
      <c r="C44" s="8"/>
      <c r="D44" s="2" t="s">
        <v>483</v>
      </c>
      <c r="E44" s="2" t="s">
        <v>440</v>
      </c>
      <c r="F44" s="4"/>
      <c r="G44" s="14"/>
      <c r="H44" s="9">
        <v>3</v>
      </c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8" t="s">
        <v>34</v>
      </c>
      <c r="D49" s="2" t="s">
        <v>417</v>
      </c>
      <c r="E49" s="2" t="s">
        <v>116</v>
      </c>
      <c r="F49" s="4"/>
      <c r="G49" s="14"/>
      <c r="H49" s="9">
        <v>1082</v>
      </c>
    </row>
    <row r="50" spans="3:8" x14ac:dyDescent="0.25">
      <c r="C50" s="8"/>
      <c r="D50" s="2" t="s">
        <v>418</v>
      </c>
      <c r="E50" s="2" t="s">
        <v>48</v>
      </c>
      <c r="F50" s="4"/>
      <c r="G50" s="14"/>
      <c r="H50" s="9">
        <v>26.5</v>
      </c>
    </row>
    <row r="51" spans="3:8" x14ac:dyDescent="0.25">
      <c r="C51" s="8"/>
      <c r="D51" s="2" t="s">
        <v>419</v>
      </c>
      <c r="E51" s="2" t="s">
        <v>48</v>
      </c>
      <c r="F51" s="4"/>
      <c r="G51" s="14"/>
      <c r="H51" s="9">
        <v>44</v>
      </c>
    </row>
    <row r="52" spans="3:8" x14ac:dyDescent="0.25">
      <c r="C52" s="8"/>
      <c r="D52" s="2" t="s">
        <v>420</v>
      </c>
      <c r="E52" s="2" t="s">
        <v>48</v>
      </c>
      <c r="F52" s="4">
        <v>5.5</v>
      </c>
      <c r="G52" s="14"/>
      <c r="H52" s="9"/>
    </row>
    <row r="53" spans="3:8" x14ac:dyDescent="0.25">
      <c r="C53" s="8"/>
      <c r="D53" s="2" t="s">
        <v>421</v>
      </c>
      <c r="E53" s="2" t="s">
        <v>451</v>
      </c>
      <c r="F53" s="4">
        <v>175</v>
      </c>
      <c r="G53" s="14"/>
      <c r="H53" s="9"/>
    </row>
    <row r="54" spans="3:8" x14ac:dyDescent="0.25">
      <c r="C54" s="8"/>
      <c r="D54" s="2" t="s">
        <v>422</v>
      </c>
      <c r="E54" s="2" t="s">
        <v>452</v>
      </c>
      <c r="F54" s="4">
        <v>200</v>
      </c>
      <c r="G54" s="14">
        <v>341.5</v>
      </c>
      <c r="H54" s="9"/>
    </row>
    <row r="55" spans="3:8" x14ac:dyDescent="0.25">
      <c r="C55" s="8"/>
      <c r="D55" s="2" t="s">
        <v>423</v>
      </c>
      <c r="E55" s="2" t="s">
        <v>453</v>
      </c>
      <c r="F55" s="4">
        <v>35</v>
      </c>
      <c r="G55" s="14"/>
      <c r="H55" s="9"/>
    </row>
    <row r="56" spans="3:8" x14ac:dyDescent="0.25">
      <c r="C56" s="8"/>
      <c r="D56" s="2" t="s">
        <v>424</v>
      </c>
      <c r="E56" s="2" t="s">
        <v>454</v>
      </c>
      <c r="F56" s="4">
        <v>224.5</v>
      </c>
      <c r="G56" s="14"/>
      <c r="H56" s="9"/>
    </row>
    <row r="57" spans="3:8" x14ac:dyDescent="0.25">
      <c r="C57" s="8"/>
      <c r="D57" s="2" t="s">
        <v>425</v>
      </c>
      <c r="E57" s="2" t="s">
        <v>455</v>
      </c>
      <c r="F57" s="4">
        <v>71</v>
      </c>
      <c r="G57" s="14"/>
      <c r="H57" s="9"/>
    </row>
    <row r="58" spans="3:8" x14ac:dyDescent="0.25">
      <c r="C58" s="8"/>
      <c r="D58" s="2" t="s">
        <v>426</v>
      </c>
      <c r="E58" s="2" t="s">
        <v>48</v>
      </c>
      <c r="F58" s="4">
        <v>15</v>
      </c>
      <c r="G58" s="14"/>
      <c r="H58" s="9"/>
    </row>
    <row r="59" spans="3:8" x14ac:dyDescent="0.25">
      <c r="C59" s="8"/>
      <c r="D59" s="2" t="s">
        <v>484</v>
      </c>
      <c r="E59" s="2" t="s">
        <v>48</v>
      </c>
      <c r="F59" s="4">
        <v>5</v>
      </c>
      <c r="G59" s="14"/>
      <c r="H59" s="9"/>
    </row>
    <row r="60" spans="3:8" x14ac:dyDescent="0.25">
      <c r="C60" s="8"/>
      <c r="D60" s="2" t="s">
        <v>485</v>
      </c>
      <c r="E60" s="2" t="s">
        <v>38</v>
      </c>
      <c r="F60" s="4">
        <v>395</v>
      </c>
      <c r="G60" s="14"/>
      <c r="H60" s="9"/>
    </row>
    <row r="61" spans="3:8" x14ac:dyDescent="0.25">
      <c r="C61" s="8"/>
      <c r="D61" s="2" t="s">
        <v>486</v>
      </c>
      <c r="E61" s="2" t="s">
        <v>489</v>
      </c>
      <c r="F61" s="4"/>
      <c r="G61" s="14">
        <v>520.5</v>
      </c>
      <c r="H61" s="9"/>
    </row>
    <row r="62" spans="3:8" x14ac:dyDescent="0.25">
      <c r="C62" s="8"/>
      <c r="D62" s="2" t="s">
        <v>487</v>
      </c>
      <c r="E62" s="2" t="s">
        <v>490</v>
      </c>
      <c r="F62" s="4">
        <v>176.5</v>
      </c>
      <c r="G62" s="14"/>
      <c r="H62" s="9"/>
    </row>
    <row r="63" spans="3:8" x14ac:dyDescent="0.25">
      <c r="C63" s="8"/>
      <c r="D63" s="2" t="s">
        <v>488</v>
      </c>
      <c r="E63" s="2" t="s">
        <v>491</v>
      </c>
      <c r="F63" s="4">
        <v>94</v>
      </c>
      <c r="G63" s="14"/>
      <c r="H63" s="9"/>
    </row>
    <row r="64" spans="3:8" x14ac:dyDescent="0.25">
      <c r="C64" s="8"/>
      <c r="D64" s="2" t="s">
        <v>492</v>
      </c>
      <c r="E64" s="2" t="s">
        <v>48</v>
      </c>
      <c r="F64" s="4"/>
      <c r="G64" s="14"/>
      <c r="H64" s="9">
        <v>13</v>
      </c>
    </row>
    <row r="65" spans="3:8" x14ac:dyDescent="0.25">
      <c r="C65" s="8"/>
      <c r="D65" s="2" t="s">
        <v>493</v>
      </c>
      <c r="E65" s="43" t="s">
        <v>495</v>
      </c>
      <c r="F65" s="4"/>
      <c r="G65" s="14"/>
      <c r="H65" s="9"/>
    </row>
    <row r="66" spans="3:8" x14ac:dyDescent="0.25">
      <c r="C66" s="8"/>
      <c r="D66" s="2" t="s">
        <v>494</v>
      </c>
      <c r="E66" s="2" t="s">
        <v>48</v>
      </c>
      <c r="F66" s="4"/>
      <c r="G66" s="14"/>
      <c r="H66" s="9">
        <v>13</v>
      </c>
    </row>
    <row r="67" spans="3:8" x14ac:dyDescent="0.25">
      <c r="C67" s="8"/>
      <c r="D67" s="2" t="s">
        <v>497</v>
      </c>
      <c r="E67" s="2" t="s">
        <v>48</v>
      </c>
      <c r="F67" s="4">
        <v>15</v>
      </c>
      <c r="G67" s="14"/>
      <c r="H67" s="9"/>
    </row>
    <row r="68" spans="3:8" x14ac:dyDescent="0.25">
      <c r="C68" s="8"/>
      <c r="D68" s="2" t="s">
        <v>498</v>
      </c>
      <c r="E68" s="2" t="s">
        <v>452</v>
      </c>
      <c r="F68" s="4"/>
      <c r="G68" s="14">
        <v>25</v>
      </c>
      <c r="H68" s="9"/>
    </row>
    <row r="69" spans="3:8" x14ac:dyDescent="0.25">
      <c r="C69" s="8"/>
      <c r="D69" s="2" t="s">
        <v>499</v>
      </c>
      <c r="E69" s="2" t="s">
        <v>285</v>
      </c>
      <c r="F69" s="4">
        <v>8375</v>
      </c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29"/>
      <c r="D77" s="30"/>
      <c r="E77" s="30" t="s">
        <v>60</v>
      </c>
      <c r="F77" s="31"/>
      <c r="G77" s="32"/>
      <c r="H77" s="33"/>
    </row>
    <row r="78" spans="3:8" x14ac:dyDescent="0.25">
      <c r="C78" s="8"/>
      <c r="D78" s="2" t="s">
        <v>427</v>
      </c>
      <c r="E78" s="2" t="s">
        <v>93</v>
      </c>
      <c r="F78" s="4"/>
      <c r="G78" s="14"/>
      <c r="H78" s="9">
        <v>240</v>
      </c>
    </row>
    <row r="79" spans="3:8" x14ac:dyDescent="0.25">
      <c r="C79" s="8"/>
      <c r="D79" s="2" t="s">
        <v>433</v>
      </c>
      <c r="E79" s="2" t="s">
        <v>434</v>
      </c>
      <c r="F79" s="4">
        <v>22.5</v>
      </c>
      <c r="G79" s="14"/>
      <c r="H79" s="9"/>
    </row>
    <row r="80" spans="3:8" x14ac:dyDescent="0.25">
      <c r="C80" s="8"/>
      <c r="D80" s="2" t="s">
        <v>435</v>
      </c>
      <c r="E80" s="2" t="s">
        <v>94</v>
      </c>
      <c r="F80" s="4"/>
      <c r="G80" s="14"/>
      <c r="H80" s="9">
        <v>42</v>
      </c>
    </row>
    <row r="81" spans="3:8" x14ac:dyDescent="0.25">
      <c r="C81" s="8"/>
      <c r="D81" s="2" t="s">
        <v>436</v>
      </c>
      <c r="E81" s="2" t="s">
        <v>437</v>
      </c>
      <c r="F81" s="4">
        <v>700</v>
      </c>
      <c r="G81" s="14"/>
      <c r="H81" s="9">
        <v>700</v>
      </c>
    </row>
    <row r="82" spans="3:8" x14ac:dyDescent="0.25">
      <c r="C82" s="8"/>
      <c r="D82" s="2" t="s">
        <v>438</v>
      </c>
      <c r="E82" s="2" t="s">
        <v>439</v>
      </c>
      <c r="F82" s="4"/>
      <c r="G82" s="14"/>
      <c r="H82" s="9">
        <v>249.8</v>
      </c>
    </row>
    <row r="83" spans="3:8" x14ac:dyDescent="0.25">
      <c r="C83" s="8"/>
      <c r="D83" s="2" t="s">
        <v>461</v>
      </c>
      <c r="E83" s="2" t="s">
        <v>94</v>
      </c>
      <c r="F83" s="4"/>
      <c r="G83" s="14"/>
      <c r="H83" s="9">
        <v>116</v>
      </c>
    </row>
    <row r="84" spans="3:8" x14ac:dyDescent="0.25">
      <c r="C84" s="8"/>
      <c r="D84" s="2" t="s">
        <v>462</v>
      </c>
      <c r="E84" s="2" t="s">
        <v>463</v>
      </c>
      <c r="F84" s="4"/>
      <c r="G84" s="14"/>
      <c r="H84" s="9">
        <v>192.4</v>
      </c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 t="s">
        <v>429</v>
      </c>
      <c r="E87" s="2" t="s">
        <v>430</v>
      </c>
      <c r="F87" s="4">
        <v>1192</v>
      </c>
      <c r="G87" s="14"/>
      <c r="H87" s="9"/>
    </row>
    <row r="88" spans="3:8" x14ac:dyDescent="0.25">
      <c r="C88" s="8"/>
      <c r="D88" s="2" t="s">
        <v>431</v>
      </c>
      <c r="E88" s="2" t="s">
        <v>430</v>
      </c>
      <c r="F88" s="4">
        <v>30</v>
      </c>
      <c r="G88" s="14"/>
      <c r="H88" s="9"/>
    </row>
    <row r="89" spans="3:8" x14ac:dyDescent="0.25">
      <c r="C89" s="8"/>
      <c r="D89" s="2" t="s">
        <v>432</v>
      </c>
      <c r="E89" s="2" t="s">
        <v>430</v>
      </c>
      <c r="F89" s="4">
        <v>465</v>
      </c>
      <c r="G89" s="14"/>
      <c r="H89" s="9"/>
    </row>
    <row r="90" spans="3:8" x14ac:dyDescent="0.25">
      <c r="C90" s="8"/>
      <c r="D90" s="2" t="s">
        <v>460</v>
      </c>
      <c r="E90" s="2" t="s">
        <v>12</v>
      </c>
      <c r="F90" s="4"/>
      <c r="G90" s="14"/>
      <c r="H90" s="9">
        <v>5</v>
      </c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8"/>
      <c r="D92" s="40"/>
      <c r="E92" s="40"/>
      <c r="F92" s="35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16"/>
      <c r="D94" s="17"/>
      <c r="E94" s="17" t="s">
        <v>39</v>
      </c>
      <c r="F94" s="5"/>
      <c r="G94" s="18"/>
      <c r="H94" s="7"/>
    </row>
    <row r="95" spans="3:8" x14ac:dyDescent="0.25">
      <c r="C95" s="8"/>
      <c r="D95" s="2"/>
      <c r="E95" s="2" t="s">
        <v>501</v>
      </c>
      <c r="F95" s="4">
        <v>75</v>
      </c>
      <c r="G95" s="14"/>
      <c r="H95" s="9"/>
    </row>
    <row r="96" spans="3:8" x14ac:dyDescent="0.25">
      <c r="C96" s="8" t="s">
        <v>503</v>
      </c>
      <c r="D96" s="2"/>
      <c r="E96" s="2" t="s">
        <v>502</v>
      </c>
      <c r="F96" s="4">
        <v>20</v>
      </c>
      <c r="G96" s="14"/>
      <c r="H96" s="9">
        <v>120</v>
      </c>
    </row>
    <row r="97" spans="3:8" x14ac:dyDescent="0.25">
      <c r="C97" s="8"/>
      <c r="D97" s="2"/>
      <c r="E97" s="2"/>
      <c r="F97" s="4"/>
      <c r="G97" s="14"/>
      <c r="H97" s="9"/>
    </row>
    <row r="98" spans="3:8" x14ac:dyDescent="0.25">
      <c r="C98" s="8"/>
      <c r="D98" s="2"/>
      <c r="E98" s="2"/>
      <c r="F98" s="4"/>
      <c r="G98" s="14"/>
      <c r="H98" s="9"/>
    </row>
    <row r="99" spans="3:8" x14ac:dyDescent="0.25">
      <c r="C99" s="19"/>
      <c r="D99" s="20"/>
      <c r="E99" s="20" t="s">
        <v>42</v>
      </c>
      <c r="F99" s="21"/>
      <c r="G99" s="22"/>
      <c r="H99" s="23"/>
    </row>
    <row r="100" spans="3:8" x14ac:dyDescent="0.25">
      <c r="C100" s="34" t="s">
        <v>160</v>
      </c>
      <c r="D100" s="42" t="s">
        <v>45</v>
      </c>
      <c r="E100" s="2" t="s">
        <v>532</v>
      </c>
      <c r="F100" s="14">
        <v>-770</v>
      </c>
      <c r="G100" s="14"/>
      <c r="H100" s="9"/>
    </row>
    <row r="101" spans="3:8" x14ac:dyDescent="0.25">
      <c r="C101" s="34"/>
      <c r="D101" s="42"/>
      <c r="E101" s="2" t="s">
        <v>428</v>
      </c>
      <c r="F101" s="14">
        <v>-1103.3399999999999</v>
      </c>
      <c r="G101" s="14"/>
      <c r="H101" s="9"/>
    </row>
    <row r="102" spans="3:8" x14ac:dyDescent="0.25">
      <c r="C102" s="34"/>
      <c r="D102" s="42"/>
      <c r="E102" s="2" t="s">
        <v>456</v>
      </c>
      <c r="F102" s="14">
        <v>-200</v>
      </c>
      <c r="G102" s="14"/>
      <c r="H102" s="9"/>
    </row>
    <row r="103" spans="3:8" x14ac:dyDescent="0.25">
      <c r="C103" s="34"/>
      <c r="D103" s="42"/>
      <c r="E103" s="2" t="s">
        <v>457</v>
      </c>
      <c r="F103" s="14">
        <v>-48</v>
      </c>
      <c r="G103" s="14"/>
      <c r="H103" s="9"/>
    </row>
    <row r="104" spans="3:8" x14ac:dyDescent="0.25">
      <c r="C104" s="8"/>
      <c r="D104" s="2"/>
      <c r="E104" s="2" t="s">
        <v>458</v>
      </c>
      <c r="F104" s="14">
        <v>-4380</v>
      </c>
      <c r="G104" s="14"/>
      <c r="H104" s="9"/>
    </row>
    <row r="105" spans="3:8" x14ac:dyDescent="0.25">
      <c r="C105" s="8"/>
      <c r="D105" s="2"/>
      <c r="E105" s="2" t="s">
        <v>459</v>
      </c>
      <c r="F105" s="14">
        <v>-150</v>
      </c>
      <c r="G105" s="14"/>
      <c r="H105" s="9"/>
    </row>
    <row r="106" spans="3:8" x14ac:dyDescent="0.25">
      <c r="C106" s="8"/>
      <c r="D106" s="2"/>
      <c r="E106" s="2" t="s">
        <v>504</v>
      </c>
      <c r="F106" s="14">
        <v>-5253.35</v>
      </c>
      <c r="G106" s="14"/>
      <c r="H106" s="9"/>
    </row>
    <row r="107" spans="3:8" x14ac:dyDescent="0.25">
      <c r="C107" s="8"/>
      <c r="D107" s="2"/>
      <c r="E107" s="2"/>
      <c r="F107" s="14"/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ht="15.75" thickBot="1" x14ac:dyDescent="0.3">
      <c r="C109" s="10"/>
      <c r="D109" s="11"/>
      <c r="E109" s="11" t="s">
        <v>44</v>
      </c>
      <c r="F109" s="12">
        <f>SUM(F6:F108)</f>
        <v>3542.91</v>
      </c>
      <c r="G109" s="15">
        <f>SUM(G6:G108)</f>
        <v>4268.5</v>
      </c>
      <c r="H109" s="13">
        <f>SUM(H6:H108)</f>
        <v>3814.36</v>
      </c>
    </row>
    <row r="112" spans="3:8" ht="18.75" x14ac:dyDescent="0.3">
      <c r="E112" s="38" t="s">
        <v>49</v>
      </c>
      <c r="F112" s="39">
        <f>+H4+F109</f>
        <v>17470.349999999999</v>
      </c>
    </row>
    <row r="115" spans="10:10" x14ac:dyDescent="0.25">
      <c r="J115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BE67-471C-444B-BED6-5F5B5CC92BE5}">
  <sheetPr codeName="Hoja5"/>
  <dimension ref="C2:J122"/>
  <sheetViews>
    <sheetView topLeftCell="A88" workbookViewId="0">
      <selection activeCell="C3" sqref="C3:G4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81.85546875" style="1" bestFit="1" customWidth="1"/>
    <col min="6" max="6" width="15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947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17470.349999999999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505</v>
      </c>
      <c r="E6" s="2" t="s">
        <v>506</v>
      </c>
      <c r="F6" s="4">
        <v>246.5</v>
      </c>
      <c r="G6" s="14"/>
      <c r="H6" s="9"/>
    </row>
    <row r="7" spans="3:8" x14ac:dyDescent="0.25">
      <c r="C7" s="8"/>
      <c r="D7" s="2" t="s">
        <v>509</v>
      </c>
      <c r="E7" s="2" t="s">
        <v>158</v>
      </c>
      <c r="F7" s="4"/>
      <c r="G7" s="14"/>
      <c r="H7" s="9">
        <v>281.2</v>
      </c>
    </row>
    <row r="8" spans="3:8" x14ac:dyDescent="0.25">
      <c r="C8" s="8"/>
      <c r="D8" s="2" t="s">
        <v>510</v>
      </c>
      <c r="E8" s="2" t="s">
        <v>507</v>
      </c>
      <c r="F8" s="4">
        <v>169.6</v>
      </c>
      <c r="G8" s="14"/>
      <c r="H8" s="9"/>
    </row>
    <row r="9" spans="3:8" x14ac:dyDescent="0.25">
      <c r="C9" s="8"/>
      <c r="D9" s="2" t="s">
        <v>511</v>
      </c>
      <c r="E9" s="2" t="s">
        <v>257</v>
      </c>
      <c r="F9" s="4">
        <v>119</v>
      </c>
      <c r="G9" s="14"/>
      <c r="H9" s="9"/>
    </row>
    <row r="10" spans="3:8" x14ac:dyDescent="0.25">
      <c r="C10" s="8"/>
      <c r="D10" s="2" t="s">
        <v>512</v>
      </c>
      <c r="E10" s="2" t="s">
        <v>105</v>
      </c>
      <c r="F10" s="4">
        <v>1605.1</v>
      </c>
      <c r="G10" s="14"/>
      <c r="H10" s="9"/>
    </row>
    <row r="11" spans="3:8" x14ac:dyDescent="0.25">
      <c r="C11" s="8"/>
      <c r="D11" s="2" t="s">
        <v>513</v>
      </c>
      <c r="E11" s="2" t="s">
        <v>508</v>
      </c>
      <c r="F11" s="4">
        <v>1140</v>
      </c>
      <c r="G11" s="14"/>
      <c r="H11" s="9"/>
    </row>
    <row r="12" spans="3:8" x14ac:dyDescent="0.25">
      <c r="C12" s="8"/>
      <c r="D12" s="2" t="s">
        <v>514</v>
      </c>
      <c r="E12" s="2" t="s">
        <v>440</v>
      </c>
      <c r="F12" s="4"/>
      <c r="G12" s="14"/>
      <c r="H12" s="9">
        <v>12</v>
      </c>
    </row>
    <row r="13" spans="3:8" x14ac:dyDescent="0.25">
      <c r="C13" s="8"/>
      <c r="D13" s="2" t="s">
        <v>515</v>
      </c>
      <c r="E13" s="2" t="s">
        <v>440</v>
      </c>
      <c r="F13" s="4">
        <v>22.5</v>
      </c>
      <c r="G13" s="14"/>
      <c r="H13" s="9"/>
    </row>
    <row r="14" spans="3:8" x14ac:dyDescent="0.25">
      <c r="C14" s="8"/>
      <c r="D14" s="2" t="s">
        <v>516</v>
      </c>
      <c r="E14" s="2" t="s">
        <v>534</v>
      </c>
      <c r="F14" s="4"/>
      <c r="G14" s="14"/>
      <c r="H14" s="9">
        <v>90</v>
      </c>
    </row>
    <row r="15" spans="3:8" x14ac:dyDescent="0.25">
      <c r="C15" s="8"/>
      <c r="D15" s="2" t="s">
        <v>517</v>
      </c>
      <c r="E15" s="2" t="s">
        <v>440</v>
      </c>
      <c r="F15" s="4">
        <v>1</v>
      </c>
      <c r="G15" s="14"/>
      <c r="H15" s="9"/>
    </row>
    <row r="16" spans="3:8" x14ac:dyDescent="0.25">
      <c r="C16" s="8"/>
      <c r="D16" s="2" t="s">
        <v>518</v>
      </c>
      <c r="E16" s="2" t="s">
        <v>440</v>
      </c>
      <c r="F16" s="4">
        <v>3.5</v>
      </c>
      <c r="G16" s="14"/>
      <c r="H16" s="9"/>
    </row>
    <row r="17" spans="3:8" x14ac:dyDescent="0.25">
      <c r="C17" s="8"/>
      <c r="D17" s="2" t="s">
        <v>535</v>
      </c>
      <c r="E17" s="2" t="s">
        <v>158</v>
      </c>
      <c r="F17" s="4"/>
      <c r="G17" s="14"/>
      <c r="H17" s="9">
        <v>680.78</v>
      </c>
    </row>
    <row r="18" spans="3:8" x14ac:dyDescent="0.25">
      <c r="C18" s="8"/>
      <c r="D18" s="2" t="s">
        <v>536</v>
      </c>
      <c r="E18" s="2" t="s">
        <v>440</v>
      </c>
      <c r="F18" s="4">
        <v>36</v>
      </c>
      <c r="G18" s="14"/>
      <c r="H18" s="9"/>
    </row>
    <row r="19" spans="3:8" x14ac:dyDescent="0.25">
      <c r="C19" s="8"/>
      <c r="D19" s="2" t="s">
        <v>537</v>
      </c>
      <c r="E19" s="2" t="s">
        <v>541</v>
      </c>
      <c r="F19" s="4"/>
      <c r="G19" s="14">
        <v>487.5</v>
      </c>
      <c r="H19" s="9"/>
    </row>
    <row r="20" spans="3:8" x14ac:dyDescent="0.25">
      <c r="C20" s="8"/>
      <c r="D20" s="2" t="s">
        <v>538</v>
      </c>
      <c r="E20" s="2" t="s">
        <v>440</v>
      </c>
      <c r="F20" s="4">
        <v>5</v>
      </c>
      <c r="G20" s="14"/>
      <c r="H20" s="9"/>
    </row>
    <row r="21" spans="3:8" x14ac:dyDescent="0.25">
      <c r="C21" s="8"/>
      <c r="D21" s="2" t="s">
        <v>539</v>
      </c>
      <c r="E21" s="2" t="s">
        <v>549</v>
      </c>
      <c r="F21" s="4">
        <v>1280</v>
      </c>
      <c r="G21" s="14"/>
      <c r="H21" s="9"/>
    </row>
    <row r="22" spans="3:8" x14ac:dyDescent="0.25">
      <c r="C22" s="8"/>
      <c r="D22" s="2" t="s">
        <v>540</v>
      </c>
      <c r="E22" s="2" t="s">
        <v>565</v>
      </c>
      <c r="F22" s="4">
        <v>84</v>
      </c>
      <c r="G22" s="14"/>
      <c r="H22" s="9"/>
    </row>
    <row r="23" spans="3:8" x14ac:dyDescent="0.25">
      <c r="C23" s="8"/>
      <c r="D23" s="2" t="s">
        <v>552</v>
      </c>
      <c r="E23" s="2" t="s">
        <v>266</v>
      </c>
      <c r="F23" s="4">
        <v>638.4</v>
      </c>
      <c r="G23" s="14"/>
      <c r="H23" s="9"/>
    </row>
    <row r="24" spans="3:8" x14ac:dyDescent="0.25">
      <c r="C24" s="8"/>
      <c r="D24" s="2" t="s">
        <v>553</v>
      </c>
      <c r="E24" s="2" t="s">
        <v>266</v>
      </c>
      <c r="F24" s="4">
        <v>563.79999999999995</v>
      </c>
      <c r="G24" s="14"/>
      <c r="H24" s="9"/>
    </row>
    <row r="25" spans="3:8" x14ac:dyDescent="0.25">
      <c r="C25" s="8"/>
      <c r="D25" s="2" t="s">
        <v>554</v>
      </c>
      <c r="E25" s="2" t="s">
        <v>508</v>
      </c>
      <c r="F25" s="4">
        <v>37.5</v>
      </c>
      <c r="G25" s="14"/>
      <c r="H25" s="9"/>
    </row>
    <row r="26" spans="3:8" x14ac:dyDescent="0.25">
      <c r="C26" s="8"/>
      <c r="D26" s="2" t="s">
        <v>555</v>
      </c>
      <c r="E26" s="2" t="s">
        <v>440</v>
      </c>
      <c r="F26" s="4">
        <v>5</v>
      </c>
      <c r="G26" s="14"/>
      <c r="H26" s="9"/>
    </row>
    <row r="27" spans="3:8" x14ac:dyDescent="0.25">
      <c r="C27" s="8"/>
      <c r="D27" s="2" t="s">
        <v>556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557</v>
      </c>
      <c r="E28" s="2" t="s">
        <v>440</v>
      </c>
      <c r="F28" s="4">
        <v>45</v>
      </c>
      <c r="G28" s="14"/>
      <c r="H28" s="9"/>
    </row>
    <row r="29" spans="3:8" x14ac:dyDescent="0.25">
      <c r="C29" s="8"/>
      <c r="D29" s="2" t="s">
        <v>558</v>
      </c>
      <c r="E29" s="2" t="s">
        <v>440</v>
      </c>
      <c r="F29" s="4">
        <v>2.5</v>
      </c>
      <c r="G29" s="14"/>
      <c r="H29" s="9"/>
    </row>
    <row r="30" spans="3:8" x14ac:dyDescent="0.25">
      <c r="C30" s="8"/>
      <c r="D30" s="2" t="s">
        <v>559</v>
      </c>
      <c r="E30" s="2" t="s">
        <v>440</v>
      </c>
      <c r="F30" s="4">
        <v>14</v>
      </c>
      <c r="G30" s="14"/>
      <c r="H30" s="9"/>
    </row>
    <row r="31" spans="3:8" x14ac:dyDescent="0.25">
      <c r="C31" s="8"/>
      <c r="D31" s="2" t="s">
        <v>560</v>
      </c>
      <c r="E31" s="2" t="s">
        <v>566</v>
      </c>
      <c r="F31" s="4"/>
      <c r="G31" s="14">
        <v>302.8</v>
      </c>
      <c r="H31" s="9"/>
    </row>
    <row r="32" spans="3:8" x14ac:dyDescent="0.25">
      <c r="C32" s="8"/>
      <c r="D32" s="2" t="s">
        <v>561</v>
      </c>
      <c r="E32" s="2" t="s">
        <v>440</v>
      </c>
      <c r="F32" s="4">
        <v>3</v>
      </c>
      <c r="G32" s="14"/>
      <c r="H32" s="9"/>
    </row>
    <row r="33" spans="3:8" x14ac:dyDescent="0.25">
      <c r="C33" s="8"/>
      <c r="D33" s="2" t="s">
        <v>567</v>
      </c>
      <c r="E33" s="2" t="s">
        <v>266</v>
      </c>
      <c r="F33" s="4">
        <v>1640</v>
      </c>
      <c r="G33" s="14"/>
      <c r="H33" s="9"/>
    </row>
    <row r="34" spans="3:8" x14ac:dyDescent="0.25">
      <c r="C34" s="8"/>
      <c r="D34" s="2" t="s">
        <v>568</v>
      </c>
      <c r="E34" s="2" t="s">
        <v>440</v>
      </c>
      <c r="F34" s="4">
        <v>10.5</v>
      </c>
      <c r="G34" s="14"/>
      <c r="H34" s="9"/>
    </row>
    <row r="35" spans="3:8" x14ac:dyDescent="0.25">
      <c r="C35" s="8"/>
      <c r="D35" s="2" t="s">
        <v>569</v>
      </c>
      <c r="E35" s="2" t="s">
        <v>574</v>
      </c>
      <c r="F35" s="4">
        <v>719.5</v>
      </c>
      <c r="G35" s="14"/>
      <c r="H35" s="9"/>
    </row>
    <row r="36" spans="3:8" x14ac:dyDescent="0.25">
      <c r="C36" s="8"/>
      <c r="D36" s="2" t="s">
        <v>570</v>
      </c>
      <c r="E36" s="2" t="s">
        <v>440</v>
      </c>
      <c r="F36" s="4">
        <v>1</v>
      </c>
      <c r="G36" s="14"/>
      <c r="H36" s="9"/>
    </row>
    <row r="37" spans="3:8" x14ac:dyDescent="0.25">
      <c r="C37" s="8"/>
      <c r="D37" s="2" t="s">
        <v>571</v>
      </c>
      <c r="E37" s="2" t="s">
        <v>440</v>
      </c>
      <c r="F37" s="4">
        <v>4</v>
      </c>
      <c r="G37" s="14"/>
      <c r="H37" s="9"/>
    </row>
    <row r="38" spans="3:8" x14ac:dyDescent="0.25">
      <c r="C38" s="8"/>
      <c r="D38" s="2" t="s">
        <v>572</v>
      </c>
      <c r="E38" s="2" t="s">
        <v>592</v>
      </c>
      <c r="F38" s="4"/>
      <c r="G38" s="14"/>
      <c r="H38" s="9">
        <v>40</v>
      </c>
    </row>
    <row r="39" spans="3:8" x14ac:dyDescent="0.25">
      <c r="C39" s="8"/>
      <c r="D39" s="2" t="s">
        <v>573</v>
      </c>
      <c r="E39" s="2" t="s">
        <v>440</v>
      </c>
      <c r="F39" s="4">
        <v>37</v>
      </c>
      <c r="G39" s="14"/>
      <c r="H39" s="9"/>
    </row>
    <row r="40" spans="3:8" x14ac:dyDescent="0.25">
      <c r="C40" s="8"/>
      <c r="D40" s="2" t="s">
        <v>585</v>
      </c>
      <c r="E40" s="2" t="s">
        <v>440</v>
      </c>
      <c r="F40" s="4"/>
      <c r="G40" s="14"/>
      <c r="H40" s="9">
        <v>9</v>
      </c>
    </row>
    <row r="41" spans="3:8" x14ac:dyDescent="0.25">
      <c r="C41" s="8"/>
      <c r="D41" s="2" t="s">
        <v>586</v>
      </c>
      <c r="E41" s="2" t="s">
        <v>440</v>
      </c>
      <c r="F41" s="4">
        <v>17.8</v>
      </c>
      <c r="G41" s="14"/>
      <c r="H41" s="9"/>
    </row>
    <row r="42" spans="3:8" x14ac:dyDescent="0.25">
      <c r="C42" s="8"/>
      <c r="D42" s="2" t="s">
        <v>587</v>
      </c>
      <c r="E42" s="2" t="s">
        <v>440</v>
      </c>
      <c r="F42" s="4">
        <v>167.5</v>
      </c>
      <c r="G42" s="14"/>
      <c r="H42" s="9"/>
    </row>
    <row r="43" spans="3:8" x14ac:dyDescent="0.25">
      <c r="C43" s="8"/>
      <c r="D43" s="2" t="s">
        <v>588</v>
      </c>
      <c r="E43" s="2" t="s">
        <v>257</v>
      </c>
      <c r="F43" s="4">
        <v>167.5</v>
      </c>
      <c r="G43" s="14"/>
      <c r="H43" s="9"/>
    </row>
    <row r="44" spans="3:8" x14ac:dyDescent="0.25">
      <c r="C44" s="8"/>
      <c r="D44" s="2" t="s">
        <v>589</v>
      </c>
      <c r="E44" s="2" t="s">
        <v>440</v>
      </c>
      <c r="F44" s="4"/>
      <c r="G44" s="14"/>
      <c r="H44" s="9">
        <v>12</v>
      </c>
    </row>
    <row r="45" spans="3:8" x14ac:dyDescent="0.25">
      <c r="C45" s="8"/>
      <c r="D45" s="2" t="s">
        <v>590</v>
      </c>
      <c r="E45" s="2" t="s">
        <v>105</v>
      </c>
      <c r="F45" s="4"/>
      <c r="G45" s="14">
        <v>1927.8</v>
      </c>
      <c r="H45" s="9"/>
    </row>
    <row r="46" spans="3:8" x14ac:dyDescent="0.25">
      <c r="C46" s="8"/>
      <c r="D46" s="2" t="s">
        <v>591</v>
      </c>
      <c r="E46" s="2" t="s">
        <v>605</v>
      </c>
      <c r="F46" s="4">
        <v>153</v>
      </c>
      <c r="G46" s="14"/>
      <c r="H46" s="9"/>
    </row>
    <row r="47" spans="3:8" x14ac:dyDescent="0.25">
      <c r="C47" s="8"/>
      <c r="D47" s="2" t="s">
        <v>608</v>
      </c>
      <c r="E47" s="2" t="s">
        <v>440</v>
      </c>
      <c r="F47" s="4">
        <v>5</v>
      </c>
      <c r="G47" s="14"/>
      <c r="H47" s="9"/>
    </row>
    <row r="48" spans="3:8" x14ac:dyDescent="0.25">
      <c r="C48" s="8"/>
      <c r="D48" s="2" t="s">
        <v>609</v>
      </c>
      <c r="E48" s="2" t="s">
        <v>449</v>
      </c>
      <c r="F48" s="4"/>
      <c r="G48" s="14">
        <v>540</v>
      </c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 t="s">
        <v>34</v>
      </c>
      <c r="D52" s="2" t="s">
        <v>500</v>
      </c>
      <c r="E52" s="2" t="s">
        <v>48</v>
      </c>
      <c r="F52" s="4">
        <v>9.9</v>
      </c>
      <c r="G52" s="14"/>
      <c r="H52" s="9"/>
    </row>
    <row r="53" spans="3:8" x14ac:dyDescent="0.25">
      <c r="C53" s="8"/>
      <c r="D53" s="2" t="s">
        <v>519</v>
      </c>
      <c r="E53" s="2" t="s">
        <v>489</v>
      </c>
      <c r="F53" s="4"/>
      <c r="G53" s="14"/>
      <c r="H53" s="9">
        <v>90</v>
      </c>
    </row>
    <row r="54" spans="3:8" x14ac:dyDescent="0.25">
      <c r="C54" s="8"/>
      <c r="D54" s="2" t="s">
        <v>520</v>
      </c>
      <c r="E54" s="2" t="s">
        <v>524</v>
      </c>
      <c r="F54" s="4">
        <v>38</v>
      </c>
      <c r="G54" s="14"/>
      <c r="H54" s="9"/>
    </row>
    <row r="55" spans="3:8" x14ac:dyDescent="0.25">
      <c r="C55" s="8"/>
      <c r="D55" s="2" t="s">
        <v>521</v>
      </c>
      <c r="E55" s="2" t="s">
        <v>48</v>
      </c>
      <c r="F55" s="4">
        <v>6</v>
      </c>
      <c r="G55" s="14"/>
      <c r="H55" s="9"/>
    </row>
    <row r="56" spans="3:8" x14ac:dyDescent="0.25">
      <c r="C56" s="8"/>
      <c r="D56" s="2" t="s">
        <v>522</v>
      </c>
      <c r="E56" s="2" t="s">
        <v>525</v>
      </c>
      <c r="F56" s="4"/>
      <c r="G56" s="14"/>
      <c r="H56" s="9">
        <v>25</v>
      </c>
    </row>
    <row r="57" spans="3:8" x14ac:dyDescent="0.25">
      <c r="C57" s="8"/>
      <c r="D57" s="2" t="s">
        <v>523</v>
      </c>
      <c r="E57" s="2" t="s">
        <v>159</v>
      </c>
      <c r="F57" s="4">
        <v>335</v>
      </c>
      <c r="G57" s="14"/>
      <c r="H57" s="9"/>
    </row>
    <row r="58" spans="3:8" x14ac:dyDescent="0.25">
      <c r="C58" s="8"/>
      <c r="D58" s="2" t="s">
        <v>526</v>
      </c>
      <c r="E58" s="2" t="s">
        <v>48</v>
      </c>
      <c r="F58" s="4">
        <v>9</v>
      </c>
      <c r="G58" s="14"/>
      <c r="H58" s="9"/>
    </row>
    <row r="59" spans="3:8" x14ac:dyDescent="0.25">
      <c r="C59" s="8"/>
      <c r="D59" s="2" t="s">
        <v>527</v>
      </c>
      <c r="E59" s="2" t="s">
        <v>48</v>
      </c>
      <c r="F59" s="4">
        <v>28</v>
      </c>
      <c r="G59" s="14"/>
      <c r="H59" s="9"/>
    </row>
    <row r="60" spans="3:8" x14ac:dyDescent="0.25">
      <c r="C60" s="8"/>
      <c r="D60" s="2" t="s">
        <v>528</v>
      </c>
      <c r="E60" s="2" t="s">
        <v>48</v>
      </c>
      <c r="F60" s="4">
        <v>3</v>
      </c>
      <c r="G60" s="14"/>
      <c r="H60" s="9"/>
    </row>
    <row r="61" spans="3:8" x14ac:dyDescent="0.25">
      <c r="C61" s="8"/>
      <c r="D61" s="2" t="s">
        <v>542</v>
      </c>
      <c r="E61" s="2" t="s">
        <v>48</v>
      </c>
      <c r="F61" s="4">
        <v>6</v>
      </c>
      <c r="G61" s="14"/>
      <c r="H61" s="9"/>
    </row>
    <row r="62" spans="3:8" x14ac:dyDescent="0.25">
      <c r="C62" s="8"/>
      <c r="D62" s="2" t="s">
        <v>543</v>
      </c>
      <c r="E62" s="2" t="s">
        <v>48</v>
      </c>
      <c r="F62" s="4"/>
      <c r="G62" s="14"/>
      <c r="H62" s="9">
        <v>22</v>
      </c>
    </row>
    <row r="63" spans="3:8" x14ac:dyDescent="0.25">
      <c r="C63" s="8"/>
      <c r="D63" s="2" t="s">
        <v>544</v>
      </c>
      <c r="E63" s="2" t="s">
        <v>48</v>
      </c>
      <c r="F63" s="4">
        <v>4</v>
      </c>
      <c r="G63" s="14"/>
      <c r="H63" s="9"/>
    </row>
    <row r="64" spans="3:8" x14ac:dyDescent="0.25">
      <c r="C64" s="8"/>
      <c r="D64" s="2" t="s">
        <v>575</v>
      </c>
      <c r="E64" s="2" t="s">
        <v>48</v>
      </c>
      <c r="F64" s="4">
        <v>21.5</v>
      </c>
      <c r="G64" s="14"/>
      <c r="H64" s="9"/>
    </row>
    <row r="65" spans="3:8" x14ac:dyDescent="0.25">
      <c r="C65" s="8"/>
      <c r="D65" s="2" t="s">
        <v>576</v>
      </c>
      <c r="E65" s="2" t="s">
        <v>48</v>
      </c>
      <c r="F65" s="4">
        <v>35</v>
      </c>
      <c r="G65" s="14"/>
      <c r="H65" s="9"/>
    </row>
    <row r="66" spans="3:8" x14ac:dyDescent="0.25">
      <c r="C66" s="8"/>
      <c r="D66" s="2" t="s">
        <v>577</v>
      </c>
      <c r="E66" s="2" t="s">
        <v>48</v>
      </c>
      <c r="F66" s="4"/>
      <c r="G66" s="14"/>
      <c r="H66" s="9">
        <v>8</v>
      </c>
    </row>
    <row r="67" spans="3:8" x14ac:dyDescent="0.25">
      <c r="C67" s="8"/>
      <c r="D67" s="2" t="s">
        <v>578</v>
      </c>
      <c r="E67" s="2" t="s">
        <v>48</v>
      </c>
      <c r="F67" s="4">
        <v>67</v>
      </c>
      <c r="G67" s="14"/>
      <c r="H67" s="9"/>
    </row>
    <row r="68" spans="3:8" x14ac:dyDescent="0.25">
      <c r="C68" s="8"/>
      <c r="D68" s="2" t="s">
        <v>579</v>
      </c>
      <c r="E68" s="2" t="s">
        <v>48</v>
      </c>
      <c r="F68" s="4">
        <v>9</v>
      </c>
      <c r="G68" s="14"/>
      <c r="H68" s="9"/>
    </row>
    <row r="69" spans="3:8" x14ac:dyDescent="0.25">
      <c r="C69" s="8"/>
      <c r="D69" s="2" t="s">
        <v>580</v>
      </c>
      <c r="E69" s="2" t="s">
        <v>48</v>
      </c>
      <c r="F69" s="4">
        <v>27</v>
      </c>
      <c r="G69" s="14"/>
      <c r="H69" s="9"/>
    </row>
    <row r="70" spans="3:8" x14ac:dyDescent="0.25">
      <c r="C70" s="8"/>
      <c r="D70" s="2" t="s">
        <v>581</v>
      </c>
      <c r="E70" s="2" t="s">
        <v>48</v>
      </c>
      <c r="F70" s="4">
        <v>17</v>
      </c>
      <c r="G70" s="14"/>
      <c r="H70" s="9"/>
    </row>
    <row r="71" spans="3:8" x14ac:dyDescent="0.25">
      <c r="C71" s="8"/>
      <c r="D71" s="2" t="s">
        <v>582</v>
      </c>
      <c r="E71" s="2" t="s">
        <v>489</v>
      </c>
      <c r="F71" s="4">
        <v>335</v>
      </c>
      <c r="G71" s="14"/>
      <c r="H71" s="9"/>
    </row>
    <row r="72" spans="3:8" x14ac:dyDescent="0.25">
      <c r="C72" s="8"/>
      <c r="D72" s="2" t="s">
        <v>593</v>
      </c>
      <c r="E72" s="2" t="s">
        <v>490</v>
      </c>
      <c r="F72" s="4">
        <v>33</v>
      </c>
      <c r="G72" s="14"/>
      <c r="H72" s="9"/>
    </row>
    <row r="73" spans="3:8" x14ac:dyDescent="0.25">
      <c r="C73" s="8"/>
      <c r="D73" s="2" t="s">
        <v>594</v>
      </c>
      <c r="E73" s="2" t="s">
        <v>48</v>
      </c>
      <c r="F73" s="4">
        <v>4.5</v>
      </c>
      <c r="G73" s="14"/>
      <c r="H73" s="9"/>
    </row>
    <row r="74" spans="3:8" x14ac:dyDescent="0.25">
      <c r="C74" s="8"/>
      <c r="D74" s="2" t="s">
        <v>595</v>
      </c>
      <c r="E74" s="2" t="s">
        <v>598</v>
      </c>
      <c r="F74" s="4">
        <v>45.7</v>
      </c>
      <c r="G74" s="14"/>
      <c r="H74" s="9"/>
    </row>
    <row r="75" spans="3:8" x14ac:dyDescent="0.25">
      <c r="C75" s="8"/>
      <c r="D75" s="2" t="s">
        <v>596</v>
      </c>
      <c r="E75" s="2" t="s">
        <v>489</v>
      </c>
      <c r="F75" s="4"/>
      <c r="G75" s="14">
        <v>384</v>
      </c>
      <c r="H75" s="9"/>
    </row>
    <row r="76" spans="3:8" x14ac:dyDescent="0.25">
      <c r="C76" s="8"/>
      <c r="D76" s="2" t="s">
        <v>597</v>
      </c>
      <c r="E76" s="2" t="s">
        <v>602</v>
      </c>
      <c r="F76" s="4">
        <v>119</v>
      </c>
      <c r="G76" s="14"/>
      <c r="H76" s="9"/>
    </row>
    <row r="77" spans="3:8" x14ac:dyDescent="0.25">
      <c r="C77" s="8"/>
      <c r="D77" s="2" t="s">
        <v>599</v>
      </c>
      <c r="E77" s="2" t="s">
        <v>603</v>
      </c>
      <c r="F77" s="4">
        <v>209.5</v>
      </c>
      <c r="G77" s="14"/>
      <c r="H77" s="9"/>
    </row>
    <row r="78" spans="3:8" x14ac:dyDescent="0.25">
      <c r="C78" s="8"/>
      <c r="D78" s="2" t="s">
        <v>600</v>
      </c>
      <c r="E78" s="2" t="s">
        <v>48</v>
      </c>
      <c r="F78" s="4">
        <v>37</v>
      </c>
      <c r="G78" s="14"/>
      <c r="H78" s="9"/>
    </row>
    <row r="79" spans="3:8" x14ac:dyDescent="0.25">
      <c r="C79" s="8"/>
      <c r="D79" s="2" t="s">
        <v>601</v>
      </c>
      <c r="E79" s="2" t="s">
        <v>48</v>
      </c>
      <c r="F79" s="4">
        <v>10.8</v>
      </c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43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29"/>
      <c r="D85" s="30"/>
      <c r="E85" s="30" t="s">
        <v>60</v>
      </c>
      <c r="F85" s="4"/>
      <c r="G85" s="14"/>
      <c r="H85" s="9"/>
    </row>
    <row r="86" spans="3:8" x14ac:dyDescent="0.25">
      <c r="C86" s="8"/>
      <c r="D86" s="2" t="s">
        <v>563</v>
      </c>
      <c r="E86" s="2" t="s">
        <v>562</v>
      </c>
      <c r="F86" s="4"/>
      <c r="G86" s="14"/>
      <c r="H86" s="9">
        <v>2272</v>
      </c>
    </row>
    <row r="87" spans="3:8" x14ac:dyDescent="0.25">
      <c r="C87" s="8"/>
      <c r="D87" s="2" t="s">
        <v>564</v>
      </c>
      <c r="E87" s="2" t="s">
        <v>562</v>
      </c>
      <c r="F87" s="4"/>
      <c r="G87" s="14"/>
      <c r="H87" s="9">
        <v>930</v>
      </c>
    </row>
    <row r="88" spans="3:8" x14ac:dyDescent="0.25">
      <c r="C88" s="8"/>
      <c r="D88" s="2" t="s">
        <v>584</v>
      </c>
      <c r="E88" s="2" t="s">
        <v>94</v>
      </c>
      <c r="F88" s="4"/>
      <c r="G88" s="14"/>
      <c r="H88" s="9">
        <v>1386</v>
      </c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40"/>
      <c r="E91" s="40"/>
      <c r="F91" s="35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16"/>
      <c r="D93" s="17"/>
      <c r="E93" s="17" t="s">
        <v>39</v>
      </c>
      <c r="F93" s="4"/>
      <c r="G93" s="14"/>
      <c r="H93" s="9"/>
    </row>
    <row r="94" spans="3:8" x14ac:dyDescent="0.25">
      <c r="C94" s="8" t="s">
        <v>529</v>
      </c>
      <c r="D94" s="45">
        <v>46079</v>
      </c>
      <c r="E94" s="2" t="s">
        <v>452</v>
      </c>
      <c r="F94" s="4">
        <f>341.5+25</f>
        <v>366.5</v>
      </c>
      <c r="G94" s="14"/>
      <c r="H94" s="9"/>
    </row>
    <row r="95" spans="3:8" x14ac:dyDescent="0.25">
      <c r="C95" s="8" t="s">
        <v>47</v>
      </c>
      <c r="D95" s="2" t="s">
        <v>464</v>
      </c>
      <c r="E95" s="2" t="s">
        <v>530</v>
      </c>
      <c r="F95" s="4">
        <v>1625</v>
      </c>
      <c r="G95" s="14"/>
      <c r="H95" s="9"/>
    </row>
    <row r="96" spans="3:8" x14ac:dyDescent="0.25">
      <c r="C96" s="8" t="s">
        <v>47</v>
      </c>
      <c r="D96" s="2" t="s">
        <v>547</v>
      </c>
      <c r="E96" s="2" t="s">
        <v>478</v>
      </c>
      <c r="F96" s="4">
        <v>56</v>
      </c>
      <c r="G96" s="14"/>
      <c r="H96" s="9"/>
    </row>
    <row r="97" spans="3:8" x14ac:dyDescent="0.25">
      <c r="C97" s="8"/>
      <c r="D97" s="2"/>
      <c r="E97" s="2" t="s">
        <v>550</v>
      </c>
      <c r="F97" s="4"/>
      <c r="G97" s="14"/>
      <c r="H97" s="9">
        <v>42</v>
      </c>
    </row>
    <row r="98" spans="3:8" x14ac:dyDescent="0.25">
      <c r="C98" s="8"/>
      <c r="D98" s="2"/>
      <c r="E98" s="2" t="s">
        <v>574</v>
      </c>
      <c r="F98" s="4">
        <v>214</v>
      </c>
      <c r="G98" s="14"/>
      <c r="H98" s="9"/>
    </row>
    <row r="99" spans="3:8" x14ac:dyDescent="0.25">
      <c r="C99" s="8" t="s">
        <v>47</v>
      </c>
      <c r="D99" s="2" t="s">
        <v>450</v>
      </c>
      <c r="E99" s="2" t="s">
        <v>583</v>
      </c>
      <c r="F99" s="4">
        <v>32.5</v>
      </c>
      <c r="G99" s="14"/>
      <c r="H99" s="9"/>
    </row>
    <row r="100" spans="3:8" x14ac:dyDescent="0.25">
      <c r="C100" s="8" t="s">
        <v>47</v>
      </c>
      <c r="D100" s="2" t="s">
        <v>343</v>
      </c>
      <c r="E100" s="2" t="s">
        <v>266</v>
      </c>
      <c r="F100" s="4">
        <v>225</v>
      </c>
      <c r="G100" s="14"/>
      <c r="H100" s="9"/>
    </row>
    <row r="101" spans="3:8" x14ac:dyDescent="0.25">
      <c r="C101" s="8"/>
      <c r="D101" s="2"/>
      <c r="E101" s="2"/>
      <c r="F101" s="4"/>
      <c r="G101" s="14"/>
      <c r="H101" s="9"/>
    </row>
    <row r="102" spans="3:8" x14ac:dyDescent="0.25">
      <c r="C102" s="8"/>
      <c r="D102" s="2"/>
      <c r="E102" s="2"/>
      <c r="F102" s="4"/>
      <c r="G102" s="14"/>
      <c r="H102" s="9"/>
    </row>
    <row r="103" spans="3:8" x14ac:dyDescent="0.25">
      <c r="C103" s="8"/>
      <c r="D103" s="2"/>
      <c r="E103" s="2"/>
      <c r="F103" s="4"/>
      <c r="G103" s="14"/>
      <c r="H103" s="9"/>
    </row>
    <row r="104" spans="3:8" x14ac:dyDescent="0.25">
      <c r="C104" s="19"/>
      <c r="D104" s="20"/>
      <c r="E104" s="20" t="s">
        <v>42</v>
      </c>
      <c r="F104" s="4"/>
      <c r="G104" s="14"/>
      <c r="H104" s="9"/>
    </row>
    <row r="105" spans="3:8" x14ac:dyDescent="0.25">
      <c r="C105" s="34"/>
      <c r="D105" s="42" t="s">
        <v>533</v>
      </c>
      <c r="E105" s="2" t="s">
        <v>531</v>
      </c>
      <c r="F105" s="14">
        <v>-405</v>
      </c>
      <c r="G105" s="14"/>
      <c r="H105" s="9"/>
    </row>
    <row r="106" spans="3:8" x14ac:dyDescent="0.25">
      <c r="C106" s="34"/>
      <c r="D106" s="42" t="s">
        <v>546</v>
      </c>
      <c r="E106" s="2" t="s">
        <v>545</v>
      </c>
      <c r="F106" s="14">
        <v>-8</v>
      </c>
      <c r="G106" s="14"/>
      <c r="H106" s="9"/>
    </row>
    <row r="107" spans="3:8" x14ac:dyDescent="0.25">
      <c r="C107" s="34"/>
      <c r="D107" s="42"/>
      <c r="E107" s="2" t="s">
        <v>548</v>
      </c>
      <c r="F107" s="14">
        <v>-60</v>
      </c>
      <c r="G107" s="14"/>
      <c r="H107" s="9"/>
    </row>
    <row r="108" spans="3:8" x14ac:dyDescent="0.25">
      <c r="C108" s="8" t="s">
        <v>45</v>
      </c>
      <c r="D108" s="2" t="s">
        <v>160</v>
      </c>
      <c r="E108" s="2" t="s">
        <v>61</v>
      </c>
      <c r="F108" s="14">
        <v>-1120</v>
      </c>
      <c r="G108" s="14"/>
      <c r="H108" s="9"/>
    </row>
    <row r="109" spans="3:8" x14ac:dyDescent="0.25">
      <c r="C109" s="8"/>
      <c r="D109" s="2"/>
      <c r="E109" s="2" t="s">
        <v>551</v>
      </c>
      <c r="F109" s="14">
        <v>-156</v>
      </c>
      <c r="G109" s="14"/>
      <c r="H109" s="9"/>
    </row>
    <row r="110" spans="3:8" x14ac:dyDescent="0.25">
      <c r="C110" s="8"/>
      <c r="D110" s="2"/>
      <c r="E110" s="2" t="s">
        <v>604</v>
      </c>
      <c r="F110" s="14">
        <v>-65</v>
      </c>
      <c r="G110" s="14"/>
      <c r="H110" s="9"/>
    </row>
    <row r="111" spans="3:8" x14ac:dyDescent="0.25">
      <c r="C111" s="8"/>
      <c r="D111" s="2"/>
      <c r="E111" s="2" t="s">
        <v>606</v>
      </c>
      <c r="F111" s="14">
        <v>-56</v>
      </c>
      <c r="G111" s="14"/>
      <c r="H111" s="9"/>
    </row>
    <row r="112" spans="3:8" x14ac:dyDescent="0.25">
      <c r="C112" s="8"/>
      <c r="D112" s="2"/>
      <c r="E112" s="2" t="s">
        <v>607</v>
      </c>
      <c r="F112" s="14">
        <v>-800</v>
      </c>
      <c r="G112" s="14"/>
      <c r="H112" s="9"/>
    </row>
    <row r="113" spans="3:10" x14ac:dyDescent="0.25">
      <c r="C113" s="8"/>
      <c r="D113" s="2"/>
      <c r="E113" s="2" t="s">
        <v>610</v>
      </c>
      <c r="F113" s="14">
        <v>-3845</v>
      </c>
      <c r="G113" s="14"/>
      <c r="H113" s="9"/>
    </row>
    <row r="114" spans="3:10" x14ac:dyDescent="0.25">
      <c r="C114" s="8"/>
      <c r="D114" s="2"/>
      <c r="E114" s="2" t="s">
        <v>611</v>
      </c>
      <c r="F114" s="14">
        <v>-25</v>
      </c>
      <c r="G114" s="14"/>
      <c r="H114" s="9"/>
    </row>
    <row r="115" spans="3:10" x14ac:dyDescent="0.25">
      <c r="C115" s="8"/>
      <c r="D115" s="2"/>
      <c r="E115" s="2"/>
      <c r="F115" s="4"/>
      <c r="G115" s="14"/>
      <c r="H115" s="9"/>
    </row>
    <row r="116" spans="3:10" ht="15.75" thickBot="1" x14ac:dyDescent="0.3">
      <c r="C116" s="10"/>
      <c r="D116" s="11"/>
      <c r="E116" s="11" t="s">
        <v>44</v>
      </c>
      <c r="F116" s="12">
        <f>SUM(F6:F115)</f>
        <v>6338.0999999999985</v>
      </c>
      <c r="G116" s="15">
        <f>SUM(G6:G115)</f>
        <v>3642.1</v>
      </c>
      <c r="H116" s="13">
        <f>SUM(H6:H115)</f>
        <v>5899.98</v>
      </c>
    </row>
    <row r="119" spans="3:10" ht="18.75" x14ac:dyDescent="0.3">
      <c r="E119" s="38" t="s">
        <v>49</v>
      </c>
      <c r="F119" s="39">
        <f>+H4+F116</f>
        <v>23808.449999999997</v>
      </c>
    </row>
    <row r="122" spans="3:10" x14ac:dyDescent="0.25">
      <c r="J122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97C0-40EB-4780-A3E5-4CD6A12408DD}">
  <sheetPr codeName="Hoja6"/>
  <dimension ref="C2:J165"/>
  <sheetViews>
    <sheetView topLeftCell="A127" workbookViewId="0">
      <selection activeCell="E137" sqref="E137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81.85546875" style="1" bestFit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948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23808.45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612</v>
      </c>
      <c r="D6" s="2" t="s">
        <v>618</v>
      </c>
      <c r="E6" s="2" t="s">
        <v>619</v>
      </c>
      <c r="F6" s="4"/>
      <c r="G6" s="14"/>
      <c r="H6" s="48">
        <v>726</v>
      </c>
    </row>
    <row r="7" spans="3:8" x14ac:dyDescent="0.25">
      <c r="C7" s="8"/>
      <c r="D7" s="2" t="s">
        <v>620</v>
      </c>
      <c r="E7" s="2" t="s">
        <v>440</v>
      </c>
      <c r="F7" s="49">
        <v>17</v>
      </c>
      <c r="G7" s="14"/>
      <c r="H7" s="9"/>
    </row>
    <row r="8" spans="3:8" x14ac:dyDescent="0.25">
      <c r="C8" s="8"/>
      <c r="D8" s="2" t="s">
        <v>621</v>
      </c>
      <c r="E8" s="2" t="s">
        <v>627</v>
      </c>
      <c r="F8" s="49">
        <v>1285</v>
      </c>
      <c r="G8" s="14"/>
      <c r="H8" s="9"/>
    </row>
    <row r="9" spans="3:8" x14ac:dyDescent="0.25">
      <c r="C9" s="8"/>
      <c r="D9" s="2" t="s">
        <v>622</v>
      </c>
      <c r="E9" s="2" t="s">
        <v>440</v>
      </c>
      <c r="F9" s="49">
        <v>2</v>
      </c>
      <c r="G9" s="14"/>
      <c r="H9" s="9"/>
    </row>
    <row r="10" spans="3:8" x14ac:dyDescent="0.25">
      <c r="C10" s="8"/>
      <c r="D10" s="2" t="s">
        <v>623</v>
      </c>
      <c r="E10" s="2" t="s">
        <v>440</v>
      </c>
      <c r="F10" s="49">
        <v>4</v>
      </c>
      <c r="G10" s="14"/>
      <c r="H10" s="9"/>
    </row>
    <row r="11" spans="3:8" x14ac:dyDescent="0.25">
      <c r="C11" s="8"/>
      <c r="D11" s="2" t="s">
        <v>624</v>
      </c>
      <c r="E11" s="2" t="s">
        <v>628</v>
      </c>
      <c r="F11" s="4"/>
      <c r="G11" s="47">
        <v>705.5</v>
      </c>
      <c r="H11" s="9"/>
    </row>
    <row r="12" spans="3:8" x14ac:dyDescent="0.25">
      <c r="C12" s="8"/>
      <c r="D12" s="2" t="s">
        <v>625</v>
      </c>
      <c r="E12" s="2" t="s">
        <v>541</v>
      </c>
      <c r="F12" s="4"/>
      <c r="G12" s="47">
        <v>60</v>
      </c>
      <c r="H12" s="9"/>
    </row>
    <row r="13" spans="3:8" x14ac:dyDescent="0.25">
      <c r="C13" s="8"/>
      <c r="D13" s="2" t="s">
        <v>626</v>
      </c>
      <c r="E13" s="2" t="s">
        <v>549</v>
      </c>
      <c r="F13" s="49">
        <v>640</v>
      </c>
      <c r="G13" s="14"/>
      <c r="H13" s="9"/>
    </row>
    <row r="14" spans="3:8" x14ac:dyDescent="0.25">
      <c r="C14" s="8"/>
      <c r="D14" s="2" t="s">
        <v>630</v>
      </c>
      <c r="E14" s="2" t="s">
        <v>629</v>
      </c>
      <c r="F14" s="4"/>
      <c r="G14" s="14"/>
      <c r="H14" s="48">
        <v>45.5</v>
      </c>
    </row>
    <row r="15" spans="3:8" x14ac:dyDescent="0.25">
      <c r="C15" s="8"/>
      <c r="D15" s="2" t="s">
        <v>631</v>
      </c>
      <c r="E15" s="2" t="s">
        <v>158</v>
      </c>
      <c r="F15" s="4"/>
      <c r="G15" s="14"/>
      <c r="H15" s="48">
        <v>558.25</v>
      </c>
    </row>
    <row r="16" spans="3:8" x14ac:dyDescent="0.25">
      <c r="C16" s="8"/>
      <c r="D16" s="2" t="s">
        <v>632</v>
      </c>
      <c r="E16" s="2" t="s">
        <v>440</v>
      </c>
      <c r="F16" s="49">
        <v>18</v>
      </c>
      <c r="G16" s="14"/>
      <c r="H16" s="9"/>
    </row>
    <row r="17" spans="3:8" x14ac:dyDescent="0.25">
      <c r="C17" s="8"/>
      <c r="D17" s="2" t="s">
        <v>633</v>
      </c>
      <c r="E17" s="2" t="s">
        <v>440</v>
      </c>
      <c r="F17" s="49">
        <v>57</v>
      </c>
      <c r="G17" s="14"/>
      <c r="H17" s="9"/>
    </row>
    <row r="18" spans="3:8" x14ac:dyDescent="0.25">
      <c r="C18" s="8"/>
      <c r="D18" s="2" t="s">
        <v>634</v>
      </c>
      <c r="E18" s="2" t="s">
        <v>440</v>
      </c>
      <c r="F18" s="49">
        <v>15</v>
      </c>
      <c r="G18" s="14"/>
      <c r="H18" s="9"/>
    </row>
    <row r="19" spans="3:8" x14ac:dyDescent="0.25">
      <c r="C19" s="8"/>
      <c r="D19" s="2" t="s">
        <v>635</v>
      </c>
      <c r="E19" s="2" t="s">
        <v>440</v>
      </c>
      <c r="F19" s="49">
        <v>10</v>
      </c>
      <c r="G19" s="14"/>
      <c r="H19" s="9"/>
    </row>
    <row r="20" spans="3:8" x14ac:dyDescent="0.25">
      <c r="C20" s="8"/>
      <c r="D20" s="2" t="s">
        <v>636</v>
      </c>
      <c r="E20" s="2" t="s">
        <v>440</v>
      </c>
      <c r="F20" s="49">
        <v>15</v>
      </c>
      <c r="G20" s="14"/>
      <c r="H20" s="9"/>
    </row>
    <row r="21" spans="3:8" x14ac:dyDescent="0.25">
      <c r="C21" s="8"/>
      <c r="D21" s="2" t="s">
        <v>637</v>
      </c>
      <c r="E21" s="2" t="s">
        <v>440</v>
      </c>
      <c r="F21" s="4"/>
      <c r="G21" s="14"/>
      <c r="H21" s="48">
        <v>25</v>
      </c>
    </row>
    <row r="22" spans="3:8" x14ac:dyDescent="0.25">
      <c r="C22" s="8"/>
      <c r="D22" s="2" t="s">
        <v>638</v>
      </c>
      <c r="E22" s="2" t="s">
        <v>440</v>
      </c>
      <c r="F22" s="49">
        <v>5</v>
      </c>
      <c r="G22" s="14"/>
      <c r="H22" s="9"/>
    </row>
    <row r="23" spans="3:8" x14ac:dyDescent="0.25">
      <c r="C23" s="8"/>
      <c r="D23" s="2" t="s">
        <v>639</v>
      </c>
      <c r="E23" s="2" t="s">
        <v>651</v>
      </c>
      <c r="F23" s="4"/>
      <c r="G23" s="14"/>
      <c r="H23" s="48">
        <v>150</v>
      </c>
    </row>
    <row r="24" spans="3:8" x14ac:dyDescent="0.25">
      <c r="C24" s="8"/>
      <c r="D24" s="2" t="s">
        <v>640</v>
      </c>
      <c r="E24" s="2" t="s">
        <v>650</v>
      </c>
      <c r="F24" s="4"/>
      <c r="G24" s="14"/>
      <c r="H24" s="48">
        <v>1915</v>
      </c>
    </row>
    <row r="25" spans="3:8" x14ac:dyDescent="0.25">
      <c r="C25" s="8"/>
      <c r="D25" s="2" t="s">
        <v>641</v>
      </c>
      <c r="E25" s="2" t="s">
        <v>440</v>
      </c>
      <c r="F25" s="4">
        <v>81</v>
      </c>
      <c r="G25" s="14"/>
      <c r="H25" s="9"/>
    </row>
    <row r="26" spans="3:8" x14ac:dyDescent="0.25">
      <c r="C26" s="8"/>
      <c r="D26" s="2" t="s">
        <v>642</v>
      </c>
      <c r="E26" s="2" t="s">
        <v>440</v>
      </c>
      <c r="F26" s="4">
        <v>143</v>
      </c>
      <c r="G26" s="14"/>
      <c r="H26" s="9"/>
    </row>
    <row r="27" spans="3:8" x14ac:dyDescent="0.25">
      <c r="C27" s="8"/>
      <c r="D27" s="2" t="s">
        <v>643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644</v>
      </c>
      <c r="E28" s="2" t="s">
        <v>592</v>
      </c>
      <c r="F28" s="4">
        <v>86</v>
      </c>
      <c r="G28" s="14"/>
      <c r="H28" s="9"/>
    </row>
    <row r="29" spans="3:8" x14ac:dyDescent="0.25">
      <c r="C29" s="8"/>
      <c r="D29" s="2" t="s">
        <v>645</v>
      </c>
      <c r="E29" s="2" t="s">
        <v>440</v>
      </c>
      <c r="F29" s="4">
        <v>102</v>
      </c>
      <c r="G29" s="14"/>
      <c r="H29" s="9"/>
    </row>
    <row r="30" spans="3:8" x14ac:dyDescent="0.25">
      <c r="C30" s="8"/>
      <c r="D30" s="2" t="s">
        <v>646</v>
      </c>
      <c r="E30" s="2" t="s">
        <v>652</v>
      </c>
      <c r="F30" s="4">
        <v>861</v>
      </c>
      <c r="G30" s="14"/>
      <c r="H30" s="9"/>
    </row>
    <row r="31" spans="3:8" x14ac:dyDescent="0.25">
      <c r="C31" s="8"/>
      <c r="D31" s="2" t="s">
        <v>647</v>
      </c>
      <c r="E31" s="2" t="s">
        <v>653</v>
      </c>
      <c r="F31" s="4">
        <v>45</v>
      </c>
      <c r="G31" s="14"/>
      <c r="H31" s="9"/>
    </row>
    <row r="32" spans="3:8" x14ac:dyDescent="0.25">
      <c r="C32" s="8"/>
      <c r="D32" s="2" t="s">
        <v>648</v>
      </c>
      <c r="E32" s="2" t="s">
        <v>652</v>
      </c>
      <c r="F32" s="4">
        <v>1049.4000000000001</v>
      </c>
      <c r="G32" s="14"/>
      <c r="H32" s="9"/>
    </row>
    <row r="33" spans="3:8" x14ac:dyDescent="0.25">
      <c r="C33" s="8"/>
      <c r="D33" s="2" t="s">
        <v>649</v>
      </c>
      <c r="E33" s="2" t="s">
        <v>677</v>
      </c>
      <c r="F33" s="4"/>
      <c r="G33" s="14"/>
      <c r="H33" s="9">
        <v>472.5</v>
      </c>
    </row>
    <row r="34" spans="3:8" x14ac:dyDescent="0.25">
      <c r="C34" s="8"/>
      <c r="D34" s="2" t="s">
        <v>679</v>
      </c>
      <c r="E34" s="2" t="s">
        <v>440</v>
      </c>
      <c r="F34" s="4">
        <v>31</v>
      </c>
      <c r="G34" s="14"/>
      <c r="H34" s="9"/>
    </row>
    <row r="35" spans="3:8" x14ac:dyDescent="0.25">
      <c r="C35" s="8"/>
      <c r="D35" s="2" t="s">
        <v>680</v>
      </c>
      <c r="E35" s="2" t="s">
        <v>678</v>
      </c>
      <c r="F35" s="4">
        <v>2880</v>
      </c>
      <c r="G35" s="14"/>
      <c r="H35" s="9"/>
    </row>
    <row r="36" spans="3:8" x14ac:dyDescent="0.25">
      <c r="C36" s="8"/>
      <c r="D36" s="2" t="s">
        <v>693</v>
      </c>
      <c r="E36" s="2" t="s">
        <v>440</v>
      </c>
      <c r="F36" s="4">
        <v>3</v>
      </c>
      <c r="G36" s="14"/>
      <c r="H36" s="9"/>
    </row>
    <row r="37" spans="3:8" x14ac:dyDescent="0.25">
      <c r="C37" s="8"/>
      <c r="D37" s="2" t="s">
        <v>694</v>
      </c>
      <c r="E37" s="2" t="s">
        <v>704</v>
      </c>
      <c r="F37" s="4"/>
      <c r="G37" s="14"/>
      <c r="H37" s="9">
        <v>105</v>
      </c>
    </row>
    <row r="38" spans="3:8" x14ac:dyDescent="0.25">
      <c r="C38" s="8"/>
      <c r="D38" s="2" t="s">
        <v>695</v>
      </c>
      <c r="E38" s="2" t="s">
        <v>440</v>
      </c>
      <c r="F38" s="4">
        <v>110</v>
      </c>
      <c r="G38" s="14"/>
      <c r="H38" s="9"/>
    </row>
    <row r="39" spans="3:8" x14ac:dyDescent="0.25">
      <c r="C39" s="8"/>
      <c r="D39" s="2" t="s">
        <v>696</v>
      </c>
      <c r="E39" s="2" t="s">
        <v>440</v>
      </c>
      <c r="F39" s="4">
        <v>30</v>
      </c>
      <c r="G39" s="14"/>
      <c r="H39" s="9"/>
    </row>
    <row r="40" spans="3:8" x14ac:dyDescent="0.25">
      <c r="C40" s="8"/>
      <c r="D40" s="2" t="s">
        <v>697</v>
      </c>
      <c r="E40" s="2" t="s">
        <v>440</v>
      </c>
      <c r="F40" s="4">
        <v>15</v>
      </c>
      <c r="G40" s="14"/>
      <c r="H40" s="9"/>
    </row>
    <row r="41" spans="3:8" x14ac:dyDescent="0.25">
      <c r="C41" s="8"/>
      <c r="D41" s="2" t="s">
        <v>698</v>
      </c>
      <c r="E41" s="2" t="s">
        <v>440</v>
      </c>
      <c r="F41" s="4">
        <v>2.5</v>
      </c>
      <c r="G41" s="14"/>
      <c r="H41" s="9"/>
    </row>
    <row r="42" spans="3:8" x14ac:dyDescent="0.25">
      <c r="C42" s="8"/>
      <c r="D42" s="2" t="s">
        <v>699</v>
      </c>
      <c r="E42" s="2" t="s">
        <v>440</v>
      </c>
      <c r="F42" s="4">
        <v>39</v>
      </c>
      <c r="G42" s="14"/>
      <c r="H42" s="9"/>
    </row>
    <row r="43" spans="3:8" x14ac:dyDescent="0.25">
      <c r="C43" s="8"/>
      <c r="D43" s="2" t="s">
        <v>700</v>
      </c>
      <c r="E43" s="2" t="s">
        <v>158</v>
      </c>
      <c r="F43" s="4"/>
      <c r="G43" s="14"/>
      <c r="H43" s="9">
        <v>49.21</v>
      </c>
    </row>
    <row r="44" spans="3:8" x14ac:dyDescent="0.25">
      <c r="C44" s="8"/>
      <c r="D44" s="2" t="s">
        <v>701</v>
      </c>
      <c r="E44" s="2" t="s">
        <v>440</v>
      </c>
      <c r="F44" s="4"/>
      <c r="G44" s="14"/>
      <c r="H44" s="9">
        <v>15</v>
      </c>
    </row>
    <row r="45" spans="3:8" x14ac:dyDescent="0.25">
      <c r="C45" s="8"/>
      <c r="D45" s="2" t="s">
        <v>702</v>
      </c>
      <c r="E45" s="2" t="s">
        <v>440</v>
      </c>
      <c r="F45" s="4">
        <v>3</v>
      </c>
      <c r="G45" s="14"/>
      <c r="H45" s="9"/>
    </row>
    <row r="46" spans="3:8" x14ac:dyDescent="0.25">
      <c r="C46" s="8"/>
      <c r="D46" s="2" t="s">
        <v>703</v>
      </c>
      <c r="E46" s="2" t="s">
        <v>705</v>
      </c>
      <c r="F46" s="4"/>
      <c r="G46" s="14"/>
      <c r="H46" s="9">
        <v>116</v>
      </c>
    </row>
    <row r="47" spans="3:8" x14ac:dyDescent="0.25">
      <c r="C47" s="8"/>
      <c r="D47" s="2" t="s">
        <v>709</v>
      </c>
      <c r="E47" s="2" t="s">
        <v>440</v>
      </c>
      <c r="F47" s="4">
        <v>5</v>
      </c>
      <c r="G47" s="14"/>
      <c r="H47" s="9"/>
    </row>
    <row r="48" spans="3:8" x14ac:dyDescent="0.25">
      <c r="C48" s="8"/>
      <c r="D48" s="2" t="s">
        <v>710</v>
      </c>
      <c r="E48" s="2" t="s">
        <v>440</v>
      </c>
      <c r="F48" s="4">
        <v>105</v>
      </c>
      <c r="G48" s="14"/>
      <c r="H48" s="9"/>
    </row>
    <row r="49" spans="3:8" x14ac:dyDescent="0.25">
      <c r="C49" s="8"/>
      <c r="D49" s="2" t="s">
        <v>724</v>
      </c>
      <c r="E49" s="2" t="s">
        <v>440</v>
      </c>
      <c r="F49" s="4">
        <v>59</v>
      </c>
      <c r="G49" s="14"/>
      <c r="H49" s="9"/>
    </row>
    <row r="50" spans="3:8" x14ac:dyDescent="0.25">
      <c r="C50" s="8"/>
      <c r="D50" s="2" t="s">
        <v>725</v>
      </c>
      <c r="E50" s="2" t="s">
        <v>730</v>
      </c>
      <c r="F50" s="4">
        <v>414</v>
      </c>
      <c r="G50" s="14"/>
      <c r="H50" s="9"/>
    </row>
    <row r="51" spans="3:8" x14ac:dyDescent="0.25">
      <c r="C51" s="8"/>
      <c r="D51" s="2" t="s">
        <v>726</v>
      </c>
      <c r="E51" s="2" t="s">
        <v>440</v>
      </c>
      <c r="F51" s="4">
        <v>2</v>
      </c>
      <c r="G51" s="14"/>
      <c r="H51" s="9"/>
    </row>
    <row r="52" spans="3:8" x14ac:dyDescent="0.25">
      <c r="C52" s="8"/>
      <c r="D52" s="2" t="s">
        <v>727</v>
      </c>
      <c r="E52" s="2" t="s">
        <v>440</v>
      </c>
      <c r="F52" s="4">
        <v>6</v>
      </c>
      <c r="G52" s="14"/>
      <c r="H52" s="9"/>
    </row>
    <row r="53" spans="3:8" x14ac:dyDescent="0.25">
      <c r="C53" s="8"/>
      <c r="D53" s="2" t="s">
        <v>728</v>
      </c>
      <c r="E53" s="2" t="s">
        <v>592</v>
      </c>
      <c r="F53" s="4"/>
      <c r="G53" s="14"/>
      <c r="H53" s="9">
        <v>40</v>
      </c>
    </row>
    <row r="54" spans="3:8" x14ac:dyDescent="0.25">
      <c r="C54" s="8"/>
      <c r="D54" s="2" t="s">
        <v>729</v>
      </c>
      <c r="E54" s="2" t="s">
        <v>746</v>
      </c>
      <c r="F54" s="4">
        <v>296</v>
      </c>
      <c r="G54" s="14"/>
      <c r="H54" s="9"/>
    </row>
    <row r="55" spans="3:8" x14ac:dyDescent="0.25">
      <c r="C55" s="8"/>
      <c r="D55" s="2" t="s">
        <v>747</v>
      </c>
      <c r="E55" s="2" t="s">
        <v>440</v>
      </c>
      <c r="F55" s="4">
        <v>40</v>
      </c>
      <c r="G55" s="14"/>
      <c r="H55" s="9"/>
    </row>
    <row r="56" spans="3:8" x14ac:dyDescent="0.25">
      <c r="C56" s="8"/>
      <c r="D56" s="2" t="s">
        <v>748</v>
      </c>
      <c r="E56" s="2" t="s">
        <v>266</v>
      </c>
      <c r="F56" s="4"/>
      <c r="G56" s="14">
        <v>345</v>
      </c>
      <c r="H56" s="9"/>
    </row>
    <row r="57" spans="3:8" x14ac:dyDescent="0.25">
      <c r="C57" s="8"/>
      <c r="D57" s="2" t="s">
        <v>749</v>
      </c>
      <c r="E57" s="2" t="s">
        <v>750</v>
      </c>
      <c r="F57" s="4"/>
      <c r="G57" s="14"/>
      <c r="H57" s="9">
        <v>7</v>
      </c>
    </row>
    <row r="58" spans="3:8" x14ac:dyDescent="0.25">
      <c r="C58" s="8"/>
      <c r="D58" s="2" t="s">
        <v>763</v>
      </c>
      <c r="E58" s="2" t="s">
        <v>440</v>
      </c>
      <c r="F58" s="4">
        <v>6</v>
      </c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 t="s">
        <v>657</v>
      </c>
      <c r="E62" s="2" t="s">
        <v>654</v>
      </c>
      <c r="F62" s="4"/>
      <c r="G62" s="14">
        <v>340</v>
      </c>
      <c r="H62" s="9"/>
    </row>
    <row r="63" spans="3:8" x14ac:dyDescent="0.25">
      <c r="C63" s="8"/>
      <c r="D63" s="2" t="s">
        <v>658</v>
      </c>
      <c r="E63" s="2" t="s">
        <v>655</v>
      </c>
      <c r="F63" s="4"/>
      <c r="G63" s="14"/>
      <c r="H63" s="9">
        <v>1237</v>
      </c>
    </row>
    <row r="64" spans="3:8" x14ac:dyDescent="0.25">
      <c r="C64" s="8"/>
      <c r="D64" s="2" t="s">
        <v>659</v>
      </c>
      <c r="E64" s="2" t="s">
        <v>656</v>
      </c>
      <c r="F64" s="4"/>
      <c r="G64" s="14">
        <v>484.6</v>
      </c>
      <c r="H64" s="9"/>
    </row>
    <row r="65" spans="3:8" x14ac:dyDescent="0.25">
      <c r="C65" s="8"/>
      <c r="D65" s="2" t="s">
        <v>660</v>
      </c>
      <c r="E65" s="2" t="s">
        <v>48</v>
      </c>
      <c r="F65" s="4">
        <v>20</v>
      </c>
      <c r="G65" s="14"/>
      <c r="H65" s="9"/>
    </row>
    <row r="66" spans="3:8" x14ac:dyDescent="0.25">
      <c r="C66" s="8"/>
      <c r="D66" s="2" t="s">
        <v>661</v>
      </c>
      <c r="E66" s="2" t="s">
        <v>159</v>
      </c>
      <c r="F66" s="4">
        <v>300</v>
      </c>
      <c r="G66" s="14"/>
      <c r="H66" s="9">
        <v>8</v>
      </c>
    </row>
    <row r="67" spans="3:8" x14ac:dyDescent="0.25">
      <c r="C67" s="8"/>
      <c r="D67" s="2" t="s">
        <v>662</v>
      </c>
      <c r="E67" s="2" t="s">
        <v>48</v>
      </c>
      <c r="F67" s="4">
        <v>4</v>
      </c>
      <c r="G67" s="14"/>
      <c r="H67" s="9"/>
    </row>
    <row r="68" spans="3:8" x14ac:dyDescent="0.25">
      <c r="C68" s="8"/>
      <c r="D68" s="2" t="s">
        <v>663</v>
      </c>
      <c r="E68" s="2" t="s">
        <v>455</v>
      </c>
      <c r="F68" s="4"/>
      <c r="G68" s="14"/>
      <c r="H68" s="9">
        <v>65</v>
      </c>
    </row>
    <row r="69" spans="3:8" x14ac:dyDescent="0.25">
      <c r="C69" s="8"/>
      <c r="D69" s="2" t="s">
        <v>664</v>
      </c>
      <c r="E69" s="2" t="s">
        <v>48</v>
      </c>
      <c r="F69" s="4"/>
      <c r="G69" s="14"/>
      <c r="H69" s="9">
        <v>45</v>
      </c>
    </row>
    <row r="70" spans="3:8" x14ac:dyDescent="0.25">
      <c r="C70" s="8"/>
      <c r="D70" s="2" t="s">
        <v>665</v>
      </c>
      <c r="E70" s="2" t="s">
        <v>668</v>
      </c>
      <c r="F70" s="4"/>
      <c r="G70" s="14">
        <v>164</v>
      </c>
      <c r="H70" s="9"/>
    </row>
    <row r="71" spans="3:8" x14ac:dyDescent="0.25">
      <c r="C71" s="8"/>
      <c r="D71" s="2" t="s">
        <v>666</v>
      </c>
      <c r="E71" s="2" t="s">
        <v>48</v>
      </c>
      <c r="F71" s="4">
        <v>4.5</v>
      </c>
      <c r="G71" s="14"/>
      <c r="H71" s="9"/>
    </row>
    <row r="72" spans="3:8" x14ac:dyDescent="0.25">
      <c r="C72" s="8"/>
      <c r="D72" s="2" t="s">
        <v>667</v>
      </c>
      <c r="E72" s="2" t="s">
        <v>116</v>
      </c>
      <c r="F72" s="4"/>
      <c r="G72" s="14"/>
      <c r="H72" s="9">
        <v>40</v>
      </c>
    </row>
    <row r="73" spans="3:8" x14ac:dyDescent="0.25">
      <c r="C73" s="8"/>
      <c r="D73" s="2" t="s">
        <v>669</v>
      </c>
      <c r="E73" s="2" t="s">
        <v>48</v>
      </c>
      <c r="F73" s="4">
        <v>4</v>
      </c>
      <c r="G73" s="14"/>
      <c r="H73" s="9"/>
    </row>
    <row r="74" spans="3:8" x14ac:dyDescent="0.25">
      <c r="C74" s="8"/>
      <c r="D74" s="2" t="s">
        <v>670</v>
      </c>
      <c r="E74" s="2" t="s">
        <v>676</v>
      </c>
      <c r="F74" s="4">
        <v>35000</v>
      </c>
      <c r="G74" s="14">
        <v>1690</v>
      </c>
      <c r="H74" s="9"/>
    </row>
    <row r="75" spans="3:8" x14ac:dyDescent="0.25">
      <c r="C75" s="8"/>
      <c r="D75" s="2" t="s">
        <v>671</v>
      </c>
      <c r="E75" s="2" t="s">
        <v>655</v>
      </c>
      <c r="F75" s="4"/>
      <c r="G75" s="14"/>
      <c r="H75" s="9">
        <v>232</v>
      </c>
    </row>
    <row r="76" spans="3:8" x14ac:dyDescent="0.25">
      <c r="C76" s="8"/>
      <c r="D76" s="2" t="s">
        <v>672</v>
      </c>
      <c r="E76" s="2" t="s">
        <v>455</v>
      </c>
      <c r="F76" s="4"/>
      <c r="G76" s="14"/>
      <c r="H76" s="9">
        <v>25</v>
      </c>
    </row>
    <row r="77" spans="3:8" x14ac:dyDescent="0.25">
      <c r="C77" s="8"/>
      <c r="D77" s="2" t="s">
        <v>673</v>
      </c>
      <c r="E77" s="2" t="s">
        <v>58</v>
      </c>
      <c r="F77" s="4"/>
      <c r="G77" s="14"/>
      <c r="H77" s="9">
        <v>10.7</v>
      </c>
    </row>
    <row r="78" spans="3:8" x14ac:dyDescent="0.25">
      <c r="C78" s="8"/>
      <c r="D78" s="2" t="s">
        <v>674</v>
      </c>
      <c r="E78" s="2" t="s">
        <v>48</v>
      </c>
      <c r="F78" s="4">
        <v>1600</v>
      </c>
      <c r="G78" s="14"/>
      <c r="H78" s="9"/>
    </row>
    <row r="79" spans="3:8" x14ac:dyDescent="0.25">
      <c r="C79" s="8"/>
      <c r="D79" s="2" t="s">
        <v>675</v>
      </c>
      <c r="E79" s="2" t="s">
        <v>48</v>
      </c>
      <c r="F79" s="4">
        <v>31</v>
      </c>
      <c r="G79" s="14"/>
      <c r="H79" s="9"/>
    </row>
    <row r="80" spans="3:8" x14ac:dyDescent="0.25">
      <c r="C80" s="8"/>
      <c r="D80" s="2" t="s">
        <v>681</v>
      </c>
      <c r="E80" s="2" t="s">
        <v>48</v>
      </c>
      <c r="F80" s="4"/>
      <c r="G80" s="14"/>
      <c r="H80" s="9">
        <v>14.5</v>
      </c>
    </row>
    <row r="81" spans="3:8" x14ac:dyDescent="0.25">
      <c r="C81" s="8"/>
      <c r="D81" s="2" t="s">
        <v>682</v>
      </c>
      <c r="E81" s="2" t="s">
        <v>48</v>
      </c>
      <c r="F81" s="4">
        <v>1</v>
      </c>
      <c r="G81" s="14"/>
      <c r="H81" s="9"/>
    </row>
    <row r="82" spans="3:8" x14ac:dyDescent="0.25">
      <c r="C82" s="8"/>
      <c r="D82" s="2" t="s">
        <v>683</v>
      </c>
      <c r="E82" s="2" t="s">
        <v>655</v>
      </c>
      <c r="F82" s="4"/>
      <c r="G82" s="14"/>
      <c r="H82" s="9">
        <v>167.5</v>
      </c>
    </row>
    <row r="83" spans="3:8" x14ac:dyDescent="0.25">
      <c r="C83" s="8"/>
      <c r="D83" s="2" t="s">
        <v>684</v>
      </c>
      <c r="E83" s="2" t="s">
        <v>48</v>
      </c>
      <c r="F83" s="4">
        <v>5</v>
      </c>
      <c r="G83" s="14"/>
      <c r="H83" s="9"/>
    </row>
    <row r="84" spans="3:8" x14ac:dyDescent="0.25">
      <c r="C84" s="8"/>
      <c r="D84" s="2" t="s">
        <v>685</v>
      </c>
      <c r="E84" s="2" t="s">
        <v>711</v>
      </c>
      <c r="F84" s="4"/>
      <c r="G84" s="14">
        <v>1641.5</v>
      </c>
      <c r="H84" s="9"/>
    </row>
    <row r="85" spans="3:8" x14ac:dyDescent="0.25">
      <c r="C85" s="8"/>
      <c r="D85" s="2" t="s">
        <v>686</v>
      </c>
      <c r="E85" s="2" t="s">
        <v>48</v>
      </c>
      <c r="F85" s="4">
        <v>13.5</v>
      </c>
      <c r="G85" s="14"/>
      <c r="H85" s="9"/>
    </row>
    <row r="86" spans="3:8" x14ac:dyDescent="0.25">
      <c r="C86" s="8"/>
      <c r="D86" s="2" t="s">
        <v>712</v>
      </c>
      <c r="E86" s="2" t="s">
        <v>48</v>
      </c>
      <c r="F86" s="4"/>
      <c r="G86" s="14"/>
      <c r="H86" s="9">
        <v>26.5</v>
      </c>
    </row>
    <row r="87" spans="3:8" x14ac:dyDescent="0.25">
      <c r="C87" s="8"/>
      <c r="D87" s="2" t="s">
        <v>713</v>
      </c>
      <c r="E87" s="2" t="s">
        <v>48</v>
      </c>
      <c r="F87" s="4">
        <v>36.5</v>
      </c>
      <c r="G87" s="14"/>
      <c r="H87" s="9"/>
    </row>
    <row r="88" spans="3:8" x14ac:dyDescent="0.25">
      <c r="C88" s="8"/>
      <c r="D88" s="2" t="s">
        <v>714</v>
      </c>
      <c r="E88" s="2" t="s">
        <v>48</v>
      </c>
      <c r="F88" s="4">
        <v>7.5</v>
      </c>
      <c r="G88" s="14"/>
      <c r="H88" s="9"/>
    </row>
    <row r="89" spans="3:8" x14ac:dyDescent="0.25">
      <c r="C89" s="8"/>
      <c r="D89" s="2" t="s">
        <v>715</v>
      </c>
      <c r="E89" s="2" t="s">
        <v>48</v>
      </c>
      <c r="F89" s="4"/>
      <c r="G89" s="14"/>
      <c r="H89" s="9">
        <v>2</v>
      </c>
    </row>
    <row r="90" spans="3:8" x14ac:dyDescent="0.25">
      <c r="C90" s="8"/>
      <c r="D90" s="2" t="s">
        <v>716</v>
      </c>
      <c r="E90" s="2" t="s">
        <v>722</v>
      </c>
      <c r="F90" s="4"/>
      <c r="G90" s="14">
        <v>590</v>
      </c>
      <c r="H90" s="9"/>
    </row>
    <row r="91" spans="3:8" x14ac:dyDescent="0.25">
      <c r="C91" s="8"/>
      <c r="D91" s="2" t="s">
        <v>717</v>
      </c>
      <c r="E91" s="2" t="s">
        <v>48</v>
      </c>
      <c r="F91" s="4">
        <v>219</v>
      </c>
      <c r="G91" s="14"/>
      <c r="H91" s="9"/>
    </row>
    <row r="92" spans="3:8" x14ac:dyDescent="0.25">
      <c r="C92" s="8"/>
      <c r="D92" s="2" t="s">
        <v>718</v>
      </c>
      <c r="E92" s="2" t="s">
        <v>48</v>
      </c>
      <c r="F92" s="4"/>
      <c r="G92" s="14"/>
      <c r="H92" s="9">
        <v>40</v>
      </c>
    </row>
    <row r="93" spans="3:8" x14ac:dyDescent="0.25">
      <c r="C93" s="8"/>
      <c r="D93" s="2" t="s">
        <v>719</v>
      </c>
      <c r="E93" s="2" t="s">
        <v>723</v>
      </c>
      <c r="F93" s="4">
        <v>96.5</v>
      </c>
      <c r="G93" s="14"/>
      <c r="H93" s="9">
        <v>823.5</v>
      </c>
    </row>
    <row r="94" spans="3:8" x14ac:dyDescent="0.25">
      <c r="C94" s="8"/>
      <c r="D94" s="2" t="s">
        <v>720</v>
      </c>
      <c r="E94" s="2" t="s">
        <v>731</v>
      </c>
      <c r="F94" s="4"/>
      <c r="G94" s="14"/>
      <c r="H94" s="9">
        <v>145</v>
      </c>
    </row>
    <row r="95" spans="3:8" x14ac:dyDescent="0.25">
      <c r="C95" s="8"/>
      <c r="D95" s="2" t="s">
        <v>721</v>
      </c>
      <c r="E95" s="2" t="s">
        <v>48</v>
      </c>
      <c r="F95" s="4">
        <v>4.5</v>
      </c>
      <c r="G95" s="14"/>
      <c r="H95" s="9"/>
    </row>
    <row r="96" spans="3:8" x14ac:dyDescent="0.25">
      <c r="C96" s="8"/>
      <c r="D96" s="2" t="s">
        <v>736</v>
      </c>
      <c r="E96" s="2" t="s">
        <v>48</v>
      </c>
      <c r="F96" s="4"/>
      <c r="G96" s="14"/>
      <c r="H96" s="9">
        <v>33.700000000000003</v>
      </c>
    </row>
    <row r="97" spans="3:8" x14ac:dyDescent="0.25">
      <c r="C97" s="8"/>
      <c r="D97" s="2" t="s">
        <v>740</v>
      </c>
      <c r="E97" s="2" t="s">
        <v>48</v>
      </c>
      <c r="F97" s="4"/>
      <c r="G97" s="14"/>
      <c r="H97" s="9">
        <v>9</v>
      </c>
    </row>
    <row r="98" spans="3:8" x14ac:dyDescent="0.25">
      <c r="C98" s="8"/>
      <c r="D98" s="2" t="s">
        <v>741</v>
      </c>
      <c r="E98" s="2" t="s">
        <v>48</v>
      </c>
      <c r="F98" s="4"/>
      <c r="G98" s="14"/>
      <c r="H98" s="9">
        <v>11</v>
      </c>
    </row>
    <row r="99" spans="3:8" x14ac:dyDescent="0.25">
      <c r="C99" s="8"/>
      <c r="D99" s="2" t="s">
        <v>742</v>
      </c>
      <c r="E99" s="2" t="s">
        <v>692</v>
      </c>
      <c r="F99" s="4"/>
      <c r="G99" s="14">
        <v>720</v>
      </c>
      <c r="H99" s="9"/>
    </row>
    <row r="100" spans="3:8" x14ac:dyDescent="0.25">
      <c r="C100" s="8"/>
      <c r="D100" s="2" t="s">
        <v>743</v>
      </c>
      <c r="E100" s="2"/>
      <c r="F100" s="4"/>
      <c r="G100" s="14"/>
      <c r="H100" s="9"/>
    </row>
    <row r="101" spans="3:8" x14ac:dyDescent="0.25">
      <c r="C101" s="8"/>
      <c r="D101" s="2" t="s">
        <v>744</v>
      </c>
      <c r="E101" s="2"/>
      <c r="F101" s="4"/>
      <c r="G101" s="14"/>
      <c r="H101" s="9"/>
    </row>
    <row r="102" spans="3:8" x14ac:dyDescent="0.25">
      <c r="C102" s="8"/>
      <c r="D102" s="2"/>
      <c r="E102" s="2"/>
      <c r="F102" s="4"/>
      <c r="G102" s="14"/>
      <c r="H102" s="9"/>
    </row>
    <row r="103" spans="3:8" x14ac:dyDescent="0.25">
      <c r="C103" s="8"/>
      <c r="D103" s="2"/>
      <c r="E103" s="2"/>
      <c r="F103" s="4"/>
      <c r="G103" s="14"/>
      <c r="H103" s="9"/>
    </row>
    <row r="104" spans="3:8" x14ac:dyDescent="0.25">
      <c r="C104" s="8"/>
      <c r="D104" s="2"/>
      <c r="E104" s="2"/>
      <c r="F104" s="4"/>
      <c r="G104" s="14"/>
      <c r="H104" s="9"/>
    </row>
    <row r="105" spans="3:8" x14ac:dyDescent="0.25">
      <c r="C105" s="8"/>
      <c r="D105" s="2"/>
      <c r="E105" s="2"/>
      <c r="F105" s="4"/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x14ac:dyDescent="0.25">
      <c r="C107" s="29"/>
      <c r="D107" s="30"/>
      <c r="E107" s="30" t="s">
        <v>60</v>
      </c>
      <c r="F107" s="4"/>
      <c r="G107" s="14"/>
      <c r="H107" s="9"/>
    </row>
    <row r="108" spans="3:8" x14ac:dyDescent="0.25">
      <c r="C108" s="8"/>
      <c r="D108" s="2" t="s">
        <v>613</v>
      </c>
      <c r="E108" s="2" t="s">
        <v>614</v>
      </c>
      <c r="F108" s="4"/>
      <c r="G108" s="14"/>
      <c r="H108" s="9">
        <v>213</v>
      </c>
    </row>
    <row r="109" spans="3:8" x14ac:dyDescent="0.25">
      <c r="C109" s="8"/>
      <c r="D109" s="2" t="s">
        <v>616</v>
      </c>
      <c r="E109" s="2" t="s">
        <v>615</v>
      </c>
      <c r="F109" s="4"/>
      <c r="G109" s="14"/>
      <c r="H109" s="9">
        <v>20</v>
      </c>
    </row>
    <row r="110" spans="3:8" x14ac:dyDescent="0.25">
      <c r="C110" s="8"/>
      <c r="D110" s="2" t="s">
        <v>687</v>
      </c>
      <c r="E110" s="2" t="s">
        <v>688</v>
      </c>
      <c r="F110" s="4">
        <v>1500</v>
      </c>
      <c r="G110" s="14"/>
      <c r="H110" s="9">
        <v>100</v>
      </c>
    </row>
    <row r="111" spans="3:8" x14ac:dyDescent="0.25">
      <c r="C111" s="8"/>
      <c r="D111" s="2" t="s">
        <v>690</v>
      </c>
      <c r="E111" s="2" t="s">
        <v>689</v>
      </c>
      <c r="F111" s="4"/>
      <c r="G111" s="14"/>
      <c r="H111" s="9">
        <v>29</v>
      </c>
    </row>
    <row r="112" spans="3:8" x14ac:dyDescent="0.25">
      <c r="C112" s="8"/>
      <c r="D112" s="2" t="s">
        <v>691</v>
      </c>
      <c r="E112" s="2" t="s">
        <v>692</v>
      </c>
      <c r="F112" s="4">
        <v>837.5</v>
      </c>
      <c r="G112" s="14"/>
      <c r="H112" s="9"/>
    </row>
    <row r="113" spans="3:8" x14ac:dyDescent="0.25">
      <c r="C113" s="8"/>
      <c r="D113" s="2" t="s">
        <v>706</v>
      </c>
      <c r="E113" s="2" t="s">
        <v>708</v>
      </c>
      <c r="F113" s="4">
        <v>20</v>
      </c>
      <c r="G113" s="14"/>
      <c r="H113" s="9"/>
    </row>
    <row r="114" spans="3:8" x14ac:dyDescent="0.25">
      <c r="C114" s="8"/>
      <c r="D114" s="2" t="s">
        <v>707</v>
      </c>
      <c r="E114" s="2" t="s">
        <v>708</v>
      </c>
      <c r="F114" s="4">
        <v>12</v>
      </c>
      <c r="G114" s="14"/>
      <c r="H114" s="9"/>
    </row>
    <row r="115" spans="3:8" x14ac:dyDescent="0.25">
      <c r="C115" s="8"/>
      <c r="D115" s="2"/>
      <c r="E115" s="2"/>
      <c r="F115" s="4"/>
      <c r="G115" s="14"/>
      <c r="H115" s="9"/>
    </row>
    <row r="116" spans="3:8" x14ac:dyDescent="0.25">
      <c r="C116" s="8"/>
      <c r="D116" s="2"/>
      <c r="E116" s="2"/>
      <c r="F116" s="4"/>
      <c r="G116" s="14"/>
      <c r="H116" s="9"/>
    </row>
    <row r="117" spans="3:8" x14ac:dyDescent="0.25">
      <c r="C117" s="8"/>
      <c r="D117" s="2"/>
      <c r="E117" s="2"/>
      <c r="F117" s="4"/>
      <c r="G117" s="14"/>
      <c r="H117" s="9"/>
    </row>
    <row r="118" spans="3:8" x14ac:dyDescent="0.25">
      <c r="C118" s="8"/>
      <c r="D118" s="40"/>
      <c r="E118" s="40"/>
      <c r="F118" s="35"/>
      <c r="G118" s="14"/>
      <c r="H118" s="9"/>
    </row>
    <row r="119" spans="3:8" x14ac:dyDescent="0.25">
      <c r="C119" s="8"/>
      <c r="D119" s="2"/>
      <c r="E119" s="2"/>
      <c r="F119" s="4"/>
      <c r="G119" s="14"/>
      <c r="H119" s="9"/>
    </row>
    <row r="120" spans="3:8" x14ac:dyDescent="0.25">
      <c r="C120" s="16"/>
      <c r="D120" s="17"/>
      <c r="E120" s="17" t="s">
        <v>39</v>
      </c>
      <c r="F120" s="4"/>
      <c r="G120" s="14"/>
      <c r="H120" s="9"/>
    </row>
    <row r="121" spans="3:8" x14ac:dyDescent="0.25">
      <c r="C121" s="8" t="s">
        <v>733</v>
      </c>
      <c r="D121" s="45"/>
      <c r="E121" s="2" t="s">
        <v>732</v>
      </c>
      <c r="F121" s="4">
        <v>2000</v>
      </c>
      <c r="G121" s="14"/>
      <c r="H121" s="9"/>
    </row>
    <row r="122" spans="3:8" x14ac:dyDescent="0.25">
      <c r="C122" s="8"/>
      <c r="D122" s="2"/>
      <c r="E122" s="2" t="s">
        <v>449</v>
      </c>
      <c r="F122" s="4">
        <v>540</v>
      </c>
      <c r="G122" s="14"/>
      <c r="H122" s="9"/>
    </row>
    <row r="123" spans="3:8" x14ac:dyDescent="0.25">
      <c r="C123" s="8" t="s">
        <v>529</v>
      </c>
      <c r="D123" s="2"/>
      <c r="E123" s="2" t="s">
        <v>738</v>
      </c>
      <c r="F123" s="4">
        <v>115</v>
      </c>
      <c r="G123" s="14"/>
      <c r="H123" s="9"/>
    </row>
    <row r="124" spans="3:8" x14ac:dyDescent="0.25">
      <c r="C124" s="8"/>
      <c r="D124" s="2"/>
      <c r="E124" s="2" t="s">
        <v>761</v>
      </c>
      <c r="F124" s="4">
        <v>428.1</v>
      </c>
      <c r="G124" s="14"/>
      <c r="H124" s="9"/>
    </row>
    <row r="125" spans="3:8" x14ac:dyDescent="0.25">
      <c r="C125" s="8"/>
      <c r="D125" s="2"/>
      <c r="E125" s="2" t="s">
        <v>762</v>
      </c>
      <c r="F125" s="4">
        <v>700</v>
      </c>
      <c r="G125" s="14"/>
      <c r="H125" s="9"/>
    </row>
    <row r="126" spans="3:8" x14ac:dyDescent="0.25">
      <c r="C126" s="8"/>
      <c r="D126" s="2"/>
      <c r="E126" s="2" t="s">
        <v>692</v>
      </c>
      <c r="F126" s="4">
        <v>662.5</v>
      </c>
      <c r="G126" s="14"/>
      <c r="H126" s="9"/>
    </row>
    <row r="127" spans="3:8" x14ac:dyDescent="0.25">
      <c r="C127" s="8"/>
      <c r="D127" s="2"/>
      <c r="E127" s="2" t="s">
        <v>770</v>
      </c>
      <c r="F127" s="4">
        <v>3.9</v>
      </c>
      <c r="G127" s="14"/>
      <c r="H127" s="9"/>
    </row>
    <row r="128" spans="3:8" x14ac:dyDescent="0.25">
      <c r="C128" s="8"/>
      <c r="D128" s="2"/>
      <c r="E128" s="2"/>
      <c r="F128" s="4"/>
      <c r="G128" s="14"/>
      <c r="H128" s="9"/>
    </row>
    <row r="129" spans="3:8" x14ac:dyDescent="0.25">
      <c r="C129" s="8"/>
      <c r="D129" s="2"/>
      <c r="E129" s="2"/>
      <c r="F129" s="4"/>
      <c r="G129" s="14"/>
      <c r="H129" s="9"/>
    </row>
    <row r="130" spans="3:8" x14ac:dyDescent="0.25">
      <c r="C130" s="19"/>
      <c r="D130" s="20"/>
      <c r="E130" s="20" t="s">
        <v>42</v>
      </c>
      <c r="F130" s="4"/>
      <c r="G130" s="14"/>
      <c r="H130" s="9"/>
    </row>
    <row r="131" spans="3:8" x14ac:dyDescent="0.25">
      <c r="C131" s="34"/>
      <c r="D131" s="42"/>
      <c r="E131" s="2" t="s">
        <v>617</v>
      </c>
      <c r="F131" s="47">
        <v>-35962.699999999997</v>
      </c>
      <c r="G131" s="14"/>
      <c r="H131" s="9"/>
    </row>
    <row r="132" spans="3:8" x14ac:dyDescent="0.25">
      <c r="C132" s="8" t="s">
        <v>45</v>
      </c>
      <c r="D132" s="2" t="s">
        <v>160</v>
      </c>
      <c r="E132" s="2" t="s">
        <v>61</v>
      </c>
      <c r="F132" s="47">
        <v>-1120</v>
      </c>
      <c r="G132" s="14"/>
      <c r="H132" s="9"/>
    </row>
    <row r="133" spans="3:8" x14ac:dyDescent="0.25">
      <c r="C133" s="34"/>
      <c r="D133" s="42"/>
      <c r="E133" s="2" t="s">
        <v>734</v>
      </c>
      <c r="F133" s="47">
        <v>-50</v>
      </c>
      <c r="G133" s="14"/>
      <c r="H133" s="9"/>
    </row>
    <row r="134" spans="3:8" x14ac:dyDescent="0.25">
      <c r="C134" s="8"/>
      <c r="D134" s="2"/>
      <c r="E134" s="2" t="s">
        <v>325</v>
      </c>
      <c r="F134" s="47">
        <v>-100</v>
      </c>
      <c r="G134" s="14"/>
      <c r="H134" s="9"/>
    </row>
    <row r="135" spans="3:8" x14ac:dyDescent="0.25">
      <c r="C135" s="8"/>
      <c r="D135" s="2"/>
      <c r="E135" s="2" t="s">
        <v>735</v>
      </c>
      <c r="F135" s="47">
        <v>-147.80000000000001</v>
      </c>
      <c r="G135" s="14"/>
      <c r="H135" s="9"/>
    </row>
    <row r="136" spans="3:8" x14ac:dyDescent="0.25">
      <c r="C136" s="8"/>
      <c r="D136" s="2"/>
      <c r="E136" s="2" t="s">
        <v>737</v>
      </c>
      <c r="F136" s="47">
        <v>-250</v>
      </c>
      <c r="G136" s="14"/>
      <c r="H136" s="9"/>
    </row>
    <row r="137" spans="3:8" x14ac:dyDescent="0.25">
      <c r="C137" s="8"/>
      <c r="D137" s="2"/>
      <c r="E137" s="2" t="s">
        <v>739</v>
      </c>
      <c r="F137" s="47">
        <v>-622.5</v>
      </c>
      <c r="G137" s="14"/>
      <c r="H137" s="9"/>
    </row>
    <row r="138" spans="3:8" x14ac:dyDescent="0.25">
      <c r="C138" s="8"/>
      <c r="D138" s="2"/>
      <c r="E138" s="2" t="s">
        <v>745</v>
      </c>
      <c r="F138" s="47">
        <v>-30</v>
      </c>
      <c r="G138" s="14"/>
      <c r="H138" s="9"/>
    </row>
    <row r="139" spans="3:8" x14ac:dyDescent="0.25">
      <c r="C139" s="8"/>
      <c r="D139" s="2"/>
      <c r="E139" s="2" t="s">
        <v>751</v>
      </c>
      <c r="F139" s="47">
        <v>-130.69999999999999</v>
      </c>
      <c r="G139" s="14"/>
      <c r="H139" s="9"/>
    </row>
    <row r="140" spans="3:8" x14ac:dyDescent="0.25">
      <c r="C140" s="8"/>
      <c r="D140" s="2"/>
      <c r="E140" s="2" t="s">
        <v>752</v>
      </c>
      <c r="F140" s="47">
        <v>-515</v>
      </c>
      <c r="G140" s="14"/>
      <c r="H140" s="9"/>
    </row>
    <row r="141" spans="3:8" x14ac:dyDescent="0.25">
      <c r="C141" s="8"/>
      <c r="D141" s="2"/>
      <c r="E141" s="2" t="s">
        <v>753</v>
      </c>
      <c r="F141" s="47">
        <v>-380</v>
      </c>
      <c r="G141" s="14"/>
      <c r="H141" s="9"/>
    </row>
    <row r="142" spans="3:8" x14ac:dyDescent="0.25">
      <c r="C142" s="8"/>
      <c r="D142" s="2"/>
      <c r="E142" s="2" t="s">
        <v>754</v>
      </c>
      <c r="F142" s="47">
        <v>-340</v>
      </c>
      <c r="G142" s="14"/>
      <c r="H142" s="9"/>
    </row>
    <row r="143" spans="3:8" x14ac:dyDescent="0.25">
      <c r="C143" s="8"/>
      <c r="D143" s="2"/>
      <c r="E143" s="2" t="s">
        <v>755</v>
      </c>
      <c r="F143" s="47">
        <v>-275</v>
      </c>
      <c r="G143" s="14"/>
      <c r="H143" s="9"/>
    </row>
    <row r="144" spans="3:8" x14ac:dyDescent="0.25">
      <c r="C144" s="8"/>
      <c r="D144" s="2"/>
      <c r="E144" s="2" t="s">
        <v>756</v>
      </c>
      <c r="F144" s="47">
        <v>-260</v>
      </c>
      <c r="G144" s="14"/>
      <c r="H144" s="9"/>
    </row>
    <row r="145" spans="3:8" x14ac:dyDescent="0.25">
      <c r="C145" s="8"/>
      <c r="D145" s="2"/>
      <c r="E145" s="2" t="s">
        <v>757</v>
      </c>
      <c r="F145" s="47">
        <v>-160</v>
      </c>
      <c r="G145" s="14"/>
      <c r="H145" s="9"/>
    </row>
    <row r="146" spans="3:8" x14ac:dyDescent="0.25">
      <c r="C146" s="8"/>
      <c r="D146" s="2"/>
      <c r="E146" s="2" t="s">
        <v>758</v>
      </c>
      <c r="F146" s="47">
        <v>-260</v>
      </c>
      <c r="G146" s="14"/>
      <c r="H146" s="9"/>
    </row>
    <row r="147" spans="3:8" x14ac:dyDescent="0.25">
      <c r="C147" s="8"/>
      <c r="D147" s="2"/>
      <c r="E147" s="2" t="s">
        <v>759</v>
      </c>
      <c r="F147" s="47">
        <v>-520</v>
      </c>
      <c r="G147" s="14"/>
      <c r="H147" s="9"/>
    </row>
    <row r="148" spans="3:8" x14ac:dyDescent="0.25">
      <c r="C148" s="8"/>
      <c r="D148" s="2"/>
      <c r="E148" s="2" t="s">
        <v>760</v>
      </c>
      <c r="F148" s="47">
        <v>-360</v>
      </c>
      <c r="G148" s="14"/>
      <c r="H148" s="9"/>
    </row>
    <row r="149" spans="3:8" x14ac:dyDescent="0.25">
      <c r="C149" s="8"/>
      <c r="D149" s="2"/>
      <c r="E149" s="2" t="s">
        <v>34</v>
      </c>
      <c r="F149" s="47">
        <v>-380</v>
      </c>
      <c r="G149" s="14"/>
      <c r="H149" s="9"/>
    </row>
    <row r="150" spans="3:8" x14ac:dyDescent="0.25">
      <c r="C150" s="8"/>
      <c r="D150" s="2"/>
      <c r="E150" s="2" t="s">
        <v>612</v>
      </c>
      <c r="F150" s="47">
        <v>-380</v>
      </c>
      <c r="G150" s="14"/>
      <c r="H150" s="9"/>
    </row>
    <row r="151" spans="3:8" x14ac:dyDescent="0.25">
      <c r="C151" s="8"/>
      <c r="D151" s="2"/>
      <c r="E151" s="2" t="s">
        <v>764</v>
      </c>
      <c r="F151" s="47">
        <v>-4845</v>
      </c>
      <c r="G151" s="14"/>
      <c r="H151" s="9"/>
    </row>
    <row r="152" spans="3:8" x14ac:dyDescent="0.25">
      <c r="C152" s="8"/>
      <c r="D152" s="2"/>
      <c r="E152" s="2" t="s">
        <v>765</v>
      </c>
      <c r="F152" s="47">
        <v>-350</v>
      </c>
      <c r="G152" s="14"/>
      <c r="H152" s="9"/>
    </row>
    <row r="153" spans="3:8" x14ac:dyDescent="0.25">
      <c r="C153" s="8"/>
      <c r="D153" s="2"/>
      <c r="E153" s="2" t="s">
        <v>766</v>
      </c>
      <c r="F153" s="47">
        <v>-300</v>
      </c>
      <c r="G153" s="14"/>
      <c r="H153" s="9"/>
    </row>
    <row r="154" spans="3:8" x14ac:dyDescent="0.25">
      <c r="C154" s="8"/>
      <c r="D154" s="2"/>
      <c r="E154" s="2" t="s">
        <v>767</v>
      </c>
      <c r="F154" s="47">
        <v>-380</v>
      </c>
      <c r="G154" s="14"/>
      <c r="H154" s="9"/>
    </row>
    <row r="155" spans="3:8" x14ac:dyDescent="0.25">
      <c r="C155" s="8"/>
      <c r="D155" s="2"/>
      <c r="E155" s="2" t="s">
        <v>768</v>
      </c>
      <c r="F155" s="47">
        <v>-340</v>
      </c>
      <c r="G155" s="14"/>
      <c r="H155" s="9"/>
    </row>
    <row r="156" spans="3:8" x14ac:dyDescent="0.25">
      <c r="C156" s="8"/>
      <c r="D156" s="2"/>
      <c r="E156" s="2" t="s">
        <v>769</v>
      </c>
      <c r="F156" s="14">
        <v>-120</v>
      </c>
      <c r="G156" s="14"/>
      <c r="H156" s="9"/>
    </row>
    <row r="157" spans="3:8" x14ac:dyDescent="0.25">
      <c r="C157" s="8"/>
      <c r="D157" s="2"/>
      <c r="E157" s="2" t="s">
        <v>771</v>
      </c>
      <c r="F157" s="14">
        <v>-117.8</v>
      </c>
      <c r="G157" s="14"/>
      <c r="H157" s="9"/>
    </row>
    <row r="158" spans="3:8" x14ac:dyDescent="0.25">
      <c r="C158" s="8"/>
      <c r="D158" s="2"/>
      <c r="E158" s="2"/>
      <c r="F158" s="4"/>
      <c r="G158" s="14"/>
      <c r="H158" s="9"/>
    </row>
    <row r="159" spans="3:8" ht="15.75" thickBot="1" x14ac:dyDescent="0.3">
      <c r="C159" s="10"/>
      <c r="D159" s="11"/>
      <c r="E159" s="11" t="s">
        <v>44</v>
      </c>
      <c r="F159" s="12">
        <f>SUM(F6:F158)</f>
        <v>3956.4000000000042</v>
      </c>
      <c r="G159" s="15">
        <f>SUM(G6:G158)</f>
        <v>6740.6</v>
      </c>
      <c r="H159" s="13">
        <f>SUM(H6:H158)</f>
        <v>7521.86</v>
      </c>
    </row>
    <row r="162" spans="5:10" ht="18.75" x14ac:dyDescent="0.3">
      <c r="E162" s="38" t="s">
        <v>49</v>
      </c>
      <c r="F162" s="39">
        <f>+H4+F159</f>
        <v>27764.850000000006</v>
      </c>
    </row>
    <row r="165" spans="5:10" x14ac:dyDescent="0.25">
      <c r="J165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83D4-7F18-46CA-BBBC-F58F573DD7AE}">
  <sheetPr codeName="Hoja7"/>
  <dimension ref="C2:J95"/>
  <sheetViews>
    <sheetView topLeftCell="A67" workbookViewId="0">
      <selection activeCell="E15" sqref="E15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60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949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27764.85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774</v>
      </c>
      <c r="E6" s="2" t="s">
        <v>440</v>
      </c>
      <c r="F6" s="4"/>
      <c r="G6" s="14"/>
      <c r="H6" s="9">
        <v>15</v>
      </c>
    </row>
    <row r="7" spans="3:8" x14ac:dyDescent="0.25">
      <c r="C7" s="8"/>
      <c r="D7" s="2" t="s">
        <v>775</v>
      </c>
      <c r="E7" s="2" t="s">
        <v>440</v>
      </c>
      <c r="F7" s="4"/>
      <c r="G7" s="14"/>
      <c r="H7" s="9">
        <v>51</v>
      </c>
    </row>
    <row r="8" spans="3:8" x14ac:dyDescent="0.25">
      <c r="C8" s="8"/>
      <c r="D8" s="2" t="s">
        <v>776</v>
      </c>
      <c r="E8" s="2" t="s">
        <v>440</v>
      </c>
      <c r="F8" s="4"/>
      <c r="G8" s="14"/>
      <c r="H8" s="9">
        <v>4.5</v>
      </c>
    </row>
    <row r="9" spans="3:8" x14ac:dyDescent="0.25">
      <c r="C9" s="8"/>
      <c r="D9" s="2" t="s">
        <v>777</v>
      </c>
      <c r="E9" s="2" t="s">
        <v>440</v>
      </c>
      <c r="F9" s="4">
        <v>5</v>
      </c>
      <c r="G9" s="14"/>
      <c r="H9" s="9"/>
    </row>
    <row r="10" spans="3:8" x14ac:dyDescent="0.25">
      <c r="C10" s="8"/>
      <c r="D10" s="2" t="s">
        <v>778</v>
      </c>
      <c r="E10" s="2" t="s">
        <v>779</v>
      </c>
      <c r="F10" s="4"/>
      <c r="G10" s="14">
        <v>233.2</v>
      </c>
      <c r="H10" s="9"/>
    </row>
    <row r="11" spans="3:8" x14ac:dyDescent="0.25">
      <c r="C11" s="8"/>
      <c r="D11" s="2" t="s">
        <v>780</v>
      </c>
      <c r="E11" s="2" t="s">
        <v>440</v>
      </c>
      <c r="F11" s="4">
        <v>67</v>
      </c>
      <c r="G11" s="14"/>
      <c r="H11" s="9"/>
    </row>
    <row r="12" spans="3:8" x14ac:dyDescent="0.25">
      <c r="C12" s="8"/>
      <c r="D12" s="2" t="s">
        <v>781</v>
      </c>
      <c r="E12" s="2" t="s">
        <v>440</v>
      </c>
      <c r="F12" s="4">
        <v>4.5</v>
      </c>
      <c r="G12" s="14"/>
      <c r="H12" s="9"/>
    </row>
    <row r="13" spans="3:8" x14ac:dyDescent="0.25">
      <c r="C13" s="8"/>
      <c r="D13" s="2" t="s">
        <v>782</v>
      </c>
      <c r="E13" s="2" t="s">
        <v>440</v>
      </c>
      <c r="F13" s="4">
        <v>260</v>
      </c>
      <c r="G13" s="14"/>
      <c r="H13" s="9"/>
    </row>
    <row r="14" spans="3:8" x14ac:dyDescent="0.25">
      <c r="C14" s="8"/>
      <c r="D14" s="2" t="s">
        <v>783</v>
      </c>
      <c r="E14" s="2" t="s">
        <v>440</v>
      </c>
      <c r="F14" s="4">
        <v>12.5</v>
      </c>
      <c r="G14" s="14"/>
      <c r="H14" s="9"/>
    </row>
    <row r="15" spans="3:8" x14ac:dyDescent="0.25">
      <c r="C15" s="8"/>
      <c r="D15" s="2" t="s">
        <v>784</v>
      </c>
      <c r="E15" s="2" t="s">
        <v>440</v>
      </c>
      <c r="F15" s="4"/>
      <c r="G15" s="14"/>
      <c r="H15" s="9">
        <v>36</v>
      </c>
    </row>
    <row r="16" spans="3:8" x14ac:dyDescent="0.25">
      <c r="C16" s="8"/>
      <c r="D16" s="2" t="s">
        <v>785</v>
      </c>
      <c r="E16" s="2" t="s">
        <v>799</v>
      </c>
      <c r="F16" s="4">
        <v>265</v>
      </c>
      <c r="G16" s="14"/>
      <c r="H16" s="9"/>
    </row>
    <row r="17" spans="3:8" x14ac:dyDescent="0.25">
      <c r="C17" s="8"/>
      <c r="D17" s="2" t="s">
        <v>786</v>
      </c>
      <c r="E17" s="2" t="s">
        <v>440</v>
      </c>
      <c r="F17" s="4">
        <v>93</v>
      </c>
      <c r="G17" s="14"/>
      <c r="H17" s="9"/>
    </row>
    <row r="18" spans="3:8" x14ac:dyDescent="0.25">
      <c r="C18" s="8"/>
      <c r="D18" s="2" t="s">
        <v>787</v>
      </c>
      <c r="E18" s="2" t="s">
        <v>440</v>
      </c>
      <c r="F18" s="4">
        <v>51</v>
      </c>
      <c r="G18" s="14"/>
      <c r="H18" s="9"/>
    </row>
    <row r="19" spans="3:8" x14ac:dyDescent="0.25">
      <c r="C19" s="8"/>
      <c r="D19" s="2" t="s">
        <v>788</v>
      </c>
      <c r="E19" s="2" t="s">
        <v>440</v>
      </c>
      <c r="F19" s="4">
        <v>6</v>
      </c>
      <c r="G19" s="14"/>
      <c r="H19" s="9"/>
    </row>
    <row r="20" spans="3:8" x14ac:dyDescent="0.25">
      <c r="C20" s="8"/>
      <c r="D20" s="2" t="s">
        <v>789</v>
      </c>
      <c r="E20" s="2" t="s">
        <v>440</v>
      </c>
      <c r="F20" s="4">
        <v>78</v>
      </c>
      <c r="G20" s="14"/>
      <c r="H20" s="9"/>
    </row>
    <row r="21" spans="3:8" x14ac:dyDescent="0.25">
      <c r="C21" s="8"/>
      <c r="D21" s="2" t="s">
        <v>790</v>
      </c>
      <c r="E21" s="2" t="s">
        <v>800</v>
      </c>
      <c r="F21" s="4"/>
      <c r="G21" s="14"/>
      <c r="H21" s="9">
        <v>138.5</v>
      </c>
    </row>
    <row r="22" spans="3:8" x14ac:dyDescent="0.25">
      <c r="C22" s="8"/>
      <c r="D22" s="2" t="s">
        <v>791</v>
      </c>
      <c r="E22" s="2" t="s">
        <v>440</v>
      </c>
      <c r="F22" s="4">
        <v>10</v>
      </c>
      <c r="G22" s="14"/>
      <c r="H22" s="9"/>
    </row>
    <row r="23" spans="3:8" x14ac:dyDescent="0.25">
      <c r="C23" s="8"/>
      <c r="D23" s="2" t="s">
        <v>792</v>
      </c>
      <c r="E23" s="2" t="s">
        <v>801</v>
      </c>
      <c r="F23" s="4"/>
      <c r="G23" s="14">
        <v>576</v>
      </c>
      <c r="H23" s="9"/>
    </row>
    <row r="24" spans="3:8" x14ac:dyDescent="0.25">
      <c r="C24" s="8"/>
      <c r="D24" s="2" t="s">
        <v>793</v>
      </c>
      <c r="E24" s="2" t="s">
        <v>440</v>
      </c>
      <c r="F24" s="4">
        <v>17</v>
      </c>
      <c r="G24" s="14"/>
      <c r="H24" s="9"/>
    </row>
    <row r="25" spans="3:8" x14ac:dyDescent="0.25">
      <c r="C25" s="8"/>
      <c r="D25" s="2" t="s">
        <v>794</v>
      </c>
      <c r="E25" s="2" t="s">
        <v>440</v>
      </c>
      <c r="F25" s="4">
        <v>9.5</v>
      </c>
      <c r="G25" s="14"/>
      <c r="H25" s="9"/>
    </row>
    <row r="26" spans="3:8" x14ac:dyDescent="0.25">
      <c r="C26" s="8"/>
      <c r="D26" s="2" t="s">
        <v>795</v>
      </c>
      <c r="E26" s="2" t="s">
        <v>802</v>
      </c>
      <c r="F26" s="4">
        <v>408</v>
      </c>
      <c r="G26" s="14"/>
      <c r="H26" s="9"/>
    </row>
    <row r="27" spans="3:8" x14ac:dyDescent="0.25">
      <c r="C27" s="8"/>
      <c r="D27" s="2" t="s">
        <v>796</v>
      </c>
      <c r="E27" s="2" t="s">
        <v>62</v>
      </c>
      <c r="F27" s="4"/>
      <c r="G27" s="14">
        <v>155</v>
      </c>
      <c r="H27" s="9"/>
    </row>
    <row r="28" spans="3:8" x14ac:dyDescent="0.25">
      <c r="C28" s="8"/>
      <c r="D28" s="2" t="s">
        <v>797</v>
      </c>
      <c r="E28" s="2" t="s">
        <v>810</v>
      </c>
      <c r="F28" s="4"/>
      <c r="G28" s="14"/>
      <c r="H28" s="9">
        <v>70</v>
      </c>
    </row>
    <row r="29" spans="3:8" x14ac:dyDescent="0.25">
      <c r="C29" s="8"/>
      <c r="D29" s="2" t="s">
        <v>798</v>
      </c>
      <c r="E29" s="2" t="s">
        <v>440</v>
      </c>
      <c r="F29" s="4">
        <v>19</v>
      </c>
      <c r="G29" s="14"/>
      <c r="H29" s="9"/>
    </row>
    <row r="30" spans="3:8" x14ac:dyDescent="0.25">
      <c r="C30" s="8"/>
      <c r="D30" s="2" t="s">
        <v>803</v>
      </c>
      <c r="E30" s="2" t="s">
        <v>812</v>
      </c>
      <c r="F30" s="4">
        <v>108</v>
      </c>
      <c r="G30" s="14"/>
      <c r="H30" s="9"/>
    </row>
    <row r="31" spans="3:8" x14ac:dyDescent="0.25">
      <c r="C31" s="8"/>
      <c r="D31" s="2" t="s">
        <v>804</v>
      </c>
      <c r="E31" s="2" t="s">
        <v>811</v>
      </c>
      <c r="F31" s="4">
        <v>120</v>
      </c>
      <c r="G31" s="14"/>
      <c r="H31" s="9"/>
    </row>
    <row r="32" spans="3:8" x14ac:dyDescent="0.25">
      <c r="C32" s="8"/>
      <c r="D32" s="2" t="s">
        <v>805</v>
      </c>
      <c r="E32" s="2" t="s">
        <v>440</v>
      </c>
      <c r="F32" s="4"/>
      <c r="G32" s="14"/>
      <c r="H32" s="9">
        <v>4.5</v>
      </c>
    </row>
    <row r="33" spans="3:8" x14ac:dyDescent="0.25">
      <c r="C33" s="8"/>
      <c r="D33" s="2" t="s">
        <v>806</v>
      </c>
      <c r="E33" s="2" t="s">
        <v>440</v>
      </c>
      <c r="F33" s="4">
        <v>84</v>
      </c>
      <c r="G33" s="14"/>
      <c r="H33" s="9"/>
    </row>
    <row r="34" spans="3:8" x14ac:dyDescent="0.25">
      <c r="C34" s="8"/>
      <c r="D34" s="2" t="s">
        <v>807</v>
      </c>
      <c r="E34" s="2" t="s">
        <v>440</v>
      </c>
      <c r="F34" s="4">
        <v>4</v>
      </c>
      <c r="G34" s="14"/>
      <c r="H34" s="9"/>
    </row>
    <row r="35" spans="3:8" x14ac:dyDescent="0.25">
      <c r="C35" s="8"/>
      <c r="D35" s="2" t="s">
        <v>808</v>
      </c>
      <c r="E35" s="2" t="s">
        <v>812</v>
      </c>
      <c r="F35" s="4">
        <v>6</v>
      </c>
      <c r="G35" s="14"/>
      <c r="H35" s="9"/>
    </row>
    <row r="36" spans="3:8" x14ac:dyDescent="0.25">
      <c r="C36" s="8"/>
      <c r="D36" s="2" t="s">
        <v>809</v>
      </c>
      <c r="E36" s="2" t="s">
        <v>440</v>
      </c>
      <c r="F36" s="4">
        <v>4</v>
      </c>
      <c r="G36" s="14"/>
      <c r="H36" s="9"/>
    </row>
    <row r="37" spans="3:8" x14ac:dyDescent="0.25">
      <c r="C37" s="8"/>
      <c r="D37" s="2" t="s">
        <v>813</v>
      </c>
      <c r="E37" s="2" t="s">
        <v>440</v>
      </c>
      <c r="F37" s="4">
        <v>18</v>
      </c>
      <c r="G37" s="14"/>
      <c r="H37" s="9"/>
    </row>
    <row r="38" spans="3:8" x14ac:dyDescent="0.25">
      <c r="C38" s="8"/>
      <c r="D38" s="2" t="s">
        <v>814</v>
      </c>
      <c r="E38" s="2" t="s">
        <v>440</v>
      </c>
      <c r="F38" s="4">
        <v>4</v>
      </c>
      <c r="G38" s="14"/>
      <c r="H38" s="9"/>
    </row>
    <row r="39" spans="3:8" x14ac:dyDescent="0.25">
      <c r="C39" s="8"/>
      <c r="D39" s="2" t="s">
        <v>815</v>
      </c>
      <c r="E39" s="2" t="s">
        <v>440</v>
      </c>
      <c r="F39" s="4"/>
      <c r="G39" s="14"/>
      <c r="H39" s="9">
        <v>20</v>
      </c>
    </row>
    <row r="40" spans="3:8" x14ac:dyDescent="0.25">
      <c r="C40" s="8"/>
      <c r="D40" s="2" t="s">
        <v>816</v>
      </c>
      <c r="E40" s="2" t="s">
        <v>820</v>
      </c>
      <c r="F40" s="4">
        <v>78</v>
      </c>
      <c r="G40" s="14"/>
      <c r="H40" s="9"/>
    </row>
    <row r="41" spans="3:8" x14ac:dyDescent="0.25">
      <c r="C41" s="8"/>
      <c r="D41" s="2" t="s">
        <v>817</v>
      </c>
      <c r="E41" s="2" t="s">
        <v>440</v>
      </c>
      <c r="F41" s="4">
        <v>81</v>
      </c>
      <c r="G41" s="14"/>
      <c r="H41" s="9"/>
    </row>
    <row r="42" spans="3:8" x14ac:dyDescent="0.25">
      <c r="C42" s="8"/>
      <c r="D42" s="2" t="s">
        <v>818</v>
      </c>
      <c r="E42" s="2" t="s">
        <v>830</v>
      </c>
      <c r="F42" s="4">
        <v>28</v>
      </c>
      <c r="G42" s="14"/>
      <c r="H42" s="9"/>
    </row>
    <row r="43" spans="3:8" x14ac:dyDescent="0.25">
      <c r="C43" s="8"/>
      <c r="D43" s="2" t="s">
        <v>819</v>
      </c>
      <c r="E43" s="2" t="s">
        <v>440</v>
      </c>
      <c r="F43" s="4">
        <v>15</v>
      </c>
      <c r="G43" s="14"/>
      <c r="H43" s="9"/>
    </row>
    <row r="44" spans="3:8" x14ac:dyDescent="0.25">
      <c r="C44" s="8"/>
      <c r="D44" s="2" t="s">
        <v>821</v>
      </c>
      <c r="E44" s="2" t="s">
        <v>440</v>
      </c>
      <c r="F44" s="4"/>
      <c r="G44" s="14"/>
      <c r="H44" s="9">
        <v>21.8</v>
      </c>
    </row>
    <row r="45" spans="3:8" x14ac:dyDescent="0.25">
      <c r="C45" s="8"/>
      <c r="D45" s="2" t="s">
        <v>822</v>
      </c>
      <c r="E45" s="2" t="s">
        <v>440</v>
      </c>
      <c r="F45" s="4"/>
      <c r="G45" s="14"/>
      <c r="H45" s="9">
        <v>30</v>
      </c>
    </row>
    <row r="46" spans="3:8" x14ac:dyDescent="0.25">
      <c r="C46" s="8"/>
      <c r="D46" s="2" t="s">
        <v>823</v>
      </c>
      <c r="E46" s="2" t="s">
        <v>440</v>
      </c>
      <c r="F46" s="4">
        <v>4</v>
      </c>
      <c r="G46" s="14"/>
      <c r="H46" s="9"/>
    </row>
    <row r="47" spans="3:8" x14ac:dyDescent="0.25">
      <c r="C47" s="8"/>
      <c r="D47" s="2" t="s">
        <v>824</v>
      </c>
      <c r="E47" s="2" t="s">
        <v>440</v>
      </c>
      <c r="F47" s="4">
        <v>5</v>
      </c>
      <c r="G47" s="14"/>
      <c r="H47" s="9"/>
    </row>
    <row r="48" spans="3:8" x14ac:dyDescent="0.25">
      <c r="C48" s="8"/>
      <c r="D48" s="2" t="s">
        <v>825</v>
      </c>
      <c r="E48" s="2" t="s">
        <v>440</v>
      </c>
      <c r="F48" s="4">
        <v>5</v>
      </c>
      <c r="G48" s="14"/>
      <c r="H48" s="9"/>
    </row>
    <row r="49" spans="3:8" x14ac:dyDescent="0.25">
      <c r="C49" s="8"/>
      <c r="D49" s="2" t="s">
        <v>826</v>
      </c>
      <c r="E49" s="2" t="s">
        <v>440</v>
      </c>
      <c r="F49" s="4">
        <v>12</v>
      </c>
      <c r="G49" s="14"/>
      <c r="H49" s="9"/>
    </row>
    <row r="50" spans="3:8" x14ac:dyDescent="0.25">
      <c r="C50" s="8"/>
      <c r="D50" s="2" t="s">
        <v>827</v>
      </c>
      <c r="E50" s="2" t="s">
        <v>440</v>
      </c>
      <c r="F50" s="4">
        <v>44</v>
      </c>
      <c r="G50" s="14"/>
      <c r="H50" s="9"/>
    </row>
    <row r="51" spans="3:8" x14ac:dyDescent="0.25">
      <c r="C51" s="8"/>
      <c r="D51" s="2" t="s">
        <v>828</v>
      </c>
      <c r="E51" s="2" t="s">
        <v>440</v>
      </c>
      <c r="F51" s="4"/>
      <c r="G51" s="14"/>
      <c r="H51" s="9">
        <v>27</v>
      </c>
    </row>
    <row r="52" spans="3:8" x14ac:dyDescent="0.25">
      <c r="C52" s="8"/>
      <c r="D52" s="2" t="s">
        <v>829</v>
      </c>
      <c r="E52" s="2" t="s">
        <v>440</v>
      </c>
      <c r="F52" s="4"/>
      <c r="G52" s="14"/>
      <c r="H52" s="9">
        <v>30.9</v>
      </c>
    </row>
    <row r="53" spans="3:8" x14ac:dyDescent="0.25">
      <c r="C53" s="8"/>
      <c r="D53" s="2" t="s">
        <v>831</v>
      </c>
      <c r="E53" s="2" t="s">
        <v>440</v>
      </c>
      <c r="F53" s="4"/>
      <c r="G53" s="14"/>
      <c r="H53" s="9">
        <v>18.5</v>
      </c>
    </row>
    <row r="54" spans="3:8" x14ac:dyDescent="0.25">
      <c r="C54" s="8"/>
      <c r="D54" s="2" t="s">
        <v>832</v>
      </c>
      <c r="E54" s="2" t="s">
        <v>440</v>
      </c>
      <c r="F54" s="4">
        <v>100</v>
      </c>
      <c r="G54" s="14"/>
      <c r="H54" s="9"/>
    </row>
    <row r="55" spans="3:8" x14ac:dyDescent="0.25">
      <c r="C55" s="8"/>
      <c r="D55" s="2" t="s">
        <v>833</v>
      </c>
      <c r="E55" s="2" t="s">
        <v>440</v>
      </c>
      <c r="F55" s="4">
        <v>5</v>
      </c>
      <c r="G55" s="14"/>
      <c r="H55" s="9"/>
    </row>
    <row r="56" spans="3:8" x14ac:dyDescent="0.25">
      <c r="C56" s="8"/>
      <c r="D56" s="2" t="s">
        <v>834</v>
      </c>
      <c r="E56" s="2" t="s">
        <v>440</v>
      </c>
      <c r="F56" s="4">
        <v>9</v>
      </c>
      <c r="G56" s="14"/>
      <c r="H56" s="9"/>
    </row>
    <row r="57" spans="3:8" x14ac:dyDescent="0.25">
      <c r="C57" s="8"/>
      <c r="D57" s="2" t="s">
        <v>835</v>
      </c>
      <c r="E57" s="2" t="s">
        <v>440</v>
      </c>
      <c r="F57" s="4">
        <v>49.5</v>
      </c>
      <c r="G57" s="14"/>
      <c r="H57" s="9"/>
    </row>
    <row r="58" spans="3:8" x14ac:dyDescent="0.25">
      <c r="C58" s="8"/>
      <c r="D58" s="2" t="s">
        <v>836</v>
      </c>
      <c r="E58" s="2" t="s">
        <v>440</v>
      </c>
      <c r="F58" s="4">
        <v>5</v>
      </c>
      <c r="G58" s="14"/>
      <c r="H58" s="9"/>
    </row>
    <row r="59" spans="3:8" x14ac:dyDescent="0.25">
      <c r="C59" s="8"/>
      <c r="D59" s="2" t="s">
        <v>837</v>
      </c>
      <c r="E59" s="2" t="s">
        <v>440</v>
      </c>
      <c r="F59" s="4">
        <v>112</v>
      </c>
      <c r="G59" s="14"/>
      <c r="H59" s="9">
        <v>500</v>
      </c>
    </row>
    <row r="60" spans="3:8" x14ac:dyDescent="0.25">
      <c r="C60" s="8"/>
      <c r="D60" s="2" t="s">
        <v>838</v>
      </c>
      <c r="E60" s="2" t="s">
        <v>440</v>
      </c>
      <c r="F60" s="4">
        <v>3</v>
      </c>
      <c r="G60" s="14"/>
      <c r="H60" s="9"/>
    </row>
    <row r="61" spans="3:8" x14ac:dyDescent="0.25">
      <c r="C61" s="8"/>
      <c r="D61" s="2" t="s">
        <v>839</v>
      </c>
      <c r="E61" s="2" t="s">
        <v>440</v>
      </c>
      <c r="F61" s="4">
        <v>4.5</v>
      </c>
      <c r="G61" s="14"/>
      <c r="H61" s="9"/>
    </row>
    <row r="62" spans="3:8" x14ac:dyDescent="0.25">
      <c r="C62" s="8"/>
      <c r="D62" s="2" t="s">
        <v>743</v>
      </c>
      <c r="E62" s="2" t="s">
        <v>841</v>
      </c>
      <c r="F62" s="4"/>
      <c r="G62" s="14">
        <v>32</v>
      </c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772</v>
      </c>
      <c r="E68" s="2" t="s">
        <v>773</v>
      </c>
      <c r="F68" s="4"/>
      <c r="G68" s="14"/>
      <c r="H68" s="9">
        <v>180</v>
      </c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45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4"/>
      <c r="G76" s="14"/>
      <c r="H76" s="9"/>
    </row>
    <row r="77" spans="3:8" x14ac:dyDescent="0.25">
      <c r="C77" s="34"/>
      <c r="D77" s="42"/>
      <c r="E77" s="2" t="s">
        <v>842</v>
      </c>
      <c r="F77" s="14">
        <v>-5</v>
      </c>
      <c r="G77" s="14"/>
      <c r="H77" s="9"/>
    </row>
    <row r="78" spans="3:8" x14ac:dyDescent="0.25">
      <c r="C78" s="8"/>
      <c r="D78" s="2"/>
      <c r="E78" s="2" t="s">
        <v>843</v>
      </c>
      <c r="F78" s="14">
        <v>-40</v>
      </c>
      <c r="G78" s="14"/>
      <c r="H78" s="9"/>
    </row>
    <row r="79" spans="3:8" x14ac:dyDescent="0.25">
      <c r="C79" s="34"/>
      <c r="D79" s="42"/>
      <c r="E79" s="2" t="s">
        <v>844</v>
      </c>
      <c r="F79" s="14">
        <v>-50</v>
      </c>
      <c r="G79" s="14"/>
      <c r="H79" s="9"/>
    </row>
    <row r="80" spans="3:8" x14ac:dyDescent="0.25">
      <c r="C80" s="8"/>
      <c r="D80" s="2"/>
      <c r="E80" s="2" t="s">
        <v>478</v>
      </c>
      <c r="F80" s="14">
        <v>-40</v>
      </c>
      <c r="G80" s="14"/>
      <c r="H80" s="9"/>
    </row>
    <row r="81" spans="3:10" x14ac:dyDescent="0.25">
      <c r="C81" s="8"/>
      <c r="D81" s="2"/>
      <c r="E81" s="2" t="s">
        <v>845</v>
      </c>
      <c r="F81" s="14">
        <v>-50</v>
      </c>
      <c r="G81" s="14"/>
      <c r="H81" s="9"/>
    </row>
    <row r="82" spans="3:10" x14ac:dyDescent="0.25">
      <c r="C82" s="8"/>
      <c r="D82" s="2"/>
      <c r="E82" s="2" t="s">
        <v>846</v>
      </c>
      <c r="F82" s="14">
        <v>-25</v>
      </c>
      <c r="G82" s="14"/>
      <c r="H82" s="9"/>
    </row>
    <row r="83" spans="3:10" x14ac:dyDescent="0.25">
      <c r="C83" s="8"/>
      <c r="D83" s="2"/>
      <c r="E83" s="2" t="s">
        <v>847</v>
      </c>
      <c r="F83" s="14">
        <v>-10</v>
      </c>
      <c r="G83" s="14"/>
      <c r="H83" s="9"/>
    </row>
    <row r="84" spans="3:10" x14ac:dyDescent="0.25">
      <c r="C84" s="8"/>
      <c r="D84" s="2"/>
      <c r="E84" s="2" t="s">
        <v>848</v>
      </c>
      <c r="F84" s="14">
        <v>-150</v>
      </c>
      <c r="G84" s="14"/>
      <c r="H84" s="9"/>
    </row>
    <row r="85" spans="3:10" x14ac:dyDescent="0.25">
      <c r="C85" s="8"/>
      <c r="D85" s="2"/>
      <c r="E85" s="2" t="s">
        <v>759</v>
      </c>
      <c r="F85" s="14">
        <v>-30</v>
      </c>
      <c r="G85" s="14"/>
      <c r="H85" s="9"/>
    </row>
    <row r="86" spans="3:10" x14ac:dyDescent="0.25">
      <c r="C86" s="8"/>
      <c r="D86" s="2"/>
      <c r="E86" s="2" t="s">
        <v>8</v>
      </c>
      <c r="F86" s="14">
        <v>-45</v>
      </c>
      <c r="G86" s="14"/>
      <c r="H86" s="9"/>
    </row>
    <row r="87" spans="3:10" x14ac:dyDescent="0.25">
      <c r="C87" s="8"/>
      <c r="D87" s="2"/>
      <c r="E87" s="2"/>
      <c r="F87" s="14"/>
      <c r="G87" s="14"/>
      <c r="H87" s="9"/>
    </row>
    <row r="88" spans="3:10" x14ac:dyDescent="0.25">
      <c r="C88" s="8"/>
      <c r="D88" s="2"/>
      <c r="E88" s="2"/>
      <c r="F88" s="4"/>
      <c r="G88" s="14"/>
      <c r="H88" s="9"/>
    </row>
    <row r="89" spans="3:10" ht="15.75" thickBot="1" x14ac:dyDescent="0.3">
      <c r="C89" s="10"/>
      <c r="D89" s="11"/>
      <c r="E89" s="11" t="s">
        <v>44</v>
      </c>
      <c r="F89" s="12">
        <f>SUM(F6:F88)</f>
        <v>1768.5</v>
      </c>
      <c r="G89" s="15">
        <f>SUM(G6:G88)</f>
        <v>996.2</v>
      </c>
      <c r="H89" s="13">
        <f>SUM(H6:H88)</f>
        <v>1147.7</v>
      </c>
    </row>
    <row r="92" spans="3:10" ht="18.75" x14ac:dyDescent="0.3">
      <c r="E92" s="38" t="s">
        <v>49</v>
      </c>
      <c r="F92" s="39">
        <f>+H4+F89</f>
        <v>29533.35</v>
      </c>
    </row>
    <row r="95" spans="3:10" x14ac:dyDescent="0.25">
      <c r="J95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4F31-B5EA-4A87-ADE8-E0F7BF362643}">
  <sheetPr codeName="Hoja8"/>
  <dimension ref="C2:J116"/>
  <sheetViews>
    <sheetView topLeftCell="A73" workbookViewId="0">
      <selection activeCell="C3" sqref="C3:G4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60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1060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29533.35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840</v>
      </c>
      <c r="E6" s="2" t="s">
        <v>440</v>
      </c>
      <c r="F6" s="4">
        <v>9</v>
      </c>
      <c r="G6" s="14"/>
      <c r="H6" s="9"/>
    </row>
    <row r="7" spans="3:8" x14ac:dyDescent="0.25">
      <c r="C7" s="8"/>
      <c r="D7" s="2" t="s">
        <v>852</v>
      </c>
      <c r="E7" s="2" t="s">
        <v>857</v>
      </c>
      <c r="F7" s="4">
        <v>685</v>
      </c>
      <c r="G7" s="14"/>
      <c r="H7" s="9"/>
    </row>
    <row r="8" spans="3:8" x14ac:dyDescent="0.25">
      <c r="C8" s="8"/>
      <c r="D8" s="2" t="s">
        <v>853</v>
      </c>
      <c r="E8" s="2" t="s">
        <v>440</v>
      </c>
      <c r="F8" s="4">
        <v>19</v>
      </c>
      <c r="G8" s="14"/>
      <c r="H8" s="9"/>
    </row>
    <row r="9" spans="3:8" x14ac:dyDescent="0.25">
      <c r="C9" s="8"/>
      <c r="D9" s="2" t="s">
        <v>854</v>
      </c>
      <c r="E9" s="2" t="s">
        <v>508</v>
      </c>
      <c r="F9" s="4">
        <v>412</v>
      </c>
      <c r="G9" s="14"/>
      <c r="H9" s="9">
        <v>500</v>
      </c>
    </row>
    <row r="10" spans="3:8" x14ac:dyDescent="0.25">
      <c r="C10" s="8"/>
      <c r="D10" s="2" t="s">
        <v>855</v>
      </c>
      <c r="E10" s="2" t="s">
        <v>440</v>
      </c>
      <c r="F10" s="4">
        <v>4</v>
      </c>
      <c r="G10" s="14"/>
      <c r="H10" s="9"/>
    </row>
    <row r="11" spans="3:8" x14ac:dyDescent="0.25">
      <c r="C11" s="8"/>
      <c r="D11" s="2" t="s">
        <v>856</v>
      </c>
      <c r="E11" s="2" t="s">
        <v>266</v>
      </c>
      <c r="F11" s="4"/>
      <c r="G11" s="14"/>
      <c r="H11" s="9">
        <v>54.4</v>
      </c>
    </row>
    <row r="12" spans="3:8" x14ac:dyDescent="0.25">
      <c r="C12" s="8"/>
      <c r="D12" s="2" t="s">
        <v>858</v>
      </c>
      <c r="E12" s="2" t="s">
        <v>217</v>
      </c>
      <c r="F12" s="4"/>
      <c r="G12" s="14">
        <v>5</v>
      </c>
      <c r="H12" s="9">
        <v>4.5</v>
      </c>
    </row>
    <row r="13" spans="3:8" x14ac:dyDescent="0.25">
      <c r="C13" s="8"/>
      <c r="D13" s="2" t="s">
        <v>859</v>
      </c>
      <c r="E13" s="2" t="s">
        <v>440</v>
      </c>
      <c r="F13" s="4">
        <v>54.5</v>
      </c>
      <c r="G13" s="14"/>
      <c r="H13" s="9"/>
    </row>
    <row r="14" spans="3:8" x14ac:dyDescent="0.25">
      <c r="C14" s="8"/>
      <c r="D14" s="2" t="s">
        <v>860</v>
      </c>
      <c r="E14" s="2" t="s">
        <v>863</v>
      </c>
      <c r="F14" s="4">
        <v>2112.6</v>
      </c>
      <c r="G14" s="14"/>
      <c r="H14" s="9"/>
    </row>
    <row r="15" spans="3:8" x14ac:dyDescent="0.25">
      <c r="C15" s="8"/>
      <c r="D15" s="2" t="s">
        <v>861</v>
      </c>
      <c r="E15" s="2" t="s">
        <v>440</v>
      </c>
      <c r="F15" s="4"/>
      <c r="G15" s="14"/>
      <c r="H15" s="9">
        <v>78</v>
      </c>
    </row>
    <row r="16" spans="3:8" x14ac:dyDescent="0.25">
      <c r="C16" s="8"/>
      <c r="D16" s="2" t="s">
        <v>862</v>
      </c>
      <c r="E16" s="2" t="s">
        <v>865</v>
      </c>
      <c r="F16" s="4"/>
      <c r="G16" s="14"/>
      <c r="H16" s="9">
        <v>330</v>
      </c>
    </row>
    <row r="17" spans="3:8" x14ac:dyDescent="0.25">
      <c r="C17" s="8"/>
      <c r="D17" s="2" t="s">
        <v>866</v>
      </c>
      <c r="E17" s="2" t="s">
        <v>864</v>
      </c>
      <c r="F17" s="4"/>
      <c r="G17" s="14"/>
      <c r="H17" s="9">
        <v>740</v>
      </c>
    </row>
    <row r="18" spans="3:8" x14ac:dyDescent="0.25">
      <c r="C18" s="8"/>
      <c r="D18" s="2" t="s">
        <v>867</v>
      </c>
      <c r="E18" s="2" t="s">
        <v>105</v>
      </c>
      <c r="F18" s="4">
        <v>767.3</v>
      </c>
      <c r="G18" s="14"/>
      <c r="H18" s="9">
        <v>72.2</v>
      </c>
    </row>
    <row r="19" spans="3:8" x14ac:dyDescent="0.25">
      <c r="C19" s="8"/>
      <c r="D19" s="2" t="s">
        <v>868</v>
      </c>
      <c r="E19" s="2" t="s">
        <v>872</v>
      </c>
      <c r="F19" s="4">
        <v>274.39999999999998</v>
      </c>
      <c r="G19" s="14"/>
      <c r="H19" s="9"/>
    </row>
    <row r="20" spans="3:8" x14ac:dyDescent="0.25">
      <c r="C20" s="8"/>
      <c r="D20" s="2" t="s">
        <v>869</v>
      </c>
      <c r="E20" s="2" t="s">
        <v>440</v>
      </c>
      <c r="F20" s="4">
        <v>25</v>
      </c>
      <c r="G20" s="14"/>
      <c r="H20" s="9"/>
    </row>
    <row r="21" spans="3:8" x14ac:dyDescent="0.25">
      <c r="C21" s="8"/>
      <c r="D21" s="2" t="s">
        <v>870</v>
      </c>
      <c r="E21" s="2" t="s">
        <v>440</v>
      </c>
      <c r="F21" s="4">
        <v>9</v>
      </c>
      <c r="G21" s="14"/>
      <c r="H21" s="9"/>
    </row>
    <row r="22" spans="3:8" x14ac:dyDescent="0.25">
      <c r="C22" s="8"/>
      <c r="D22" s="2" t="s">
        <v>876</v>
      </c>
      <c r="E22" s="2" t="s">
        <v>197</v>
      </c>
      <c r="F22" s="4">
        <v>802.1</v>
      </c>
      <c r="G22" s="14"/>
      <c r="H22" s="9"/>
    </row>
    <row r="23" spans="3:8" x14ac:dyDescent="0.25">
      <c r="C23" s="8"/>
      <c r="D23" s="2" t="s">
        <v>877</v>
      </c>
      <c r="E23" s="2" t="s">
        <v>440</v>
      </c>
      <c r="F23" s="4">
        <v>65</v>
      </c>
      <c r="G23" s="14"/>
      <c r="H23" s="9"/>
    </row>
    <row r="24" spans="3:8" x14ac:dyDescent="0.25">
      <c r="C24" s="8"/>
      <c r="D24" s="2" t="s">
        <v>878</v>
      </c>
      <c r="E24" s="2" t="s">
        <v>872</v>
      </c>
      <c r="F24" s="4">
        <v>40</v>
      </c>
      <c r="G24" s="14"/>
      <c r="H24" s="9"/>
    </row>
    <row r="25" spans="3:8" x14ac:dyDescent="0.25">
      <c r="C25" s="8"/>
      <c r="D25" s="2" t="s">
        <v>879</v>
      </c>
      <c r="E25" s="2" t="s">
        <v>440</v>
      </c>
      <c r="F25" s="4">
        <v>9</v>
      </c>
      <c r="G25" s="14"/>
      <c r="H25" s="9"/>
    </row>
    <row r="26" spans="3:8" x14ac:dyDescent="0.25">
      <c r="C26" s="8"/>
      <c r="D26" s="2" t="s">
        <v>880</v>
      </c>
      <c r="E26" s="2" t="s">
        <v>440</v>
      </c>
      <c r="F26" s="4">
        <v>80</v>
      </c>
      <c r="G26" s="14"/>
      <c r="H26" s="9"/>
    </row>
    <row r="27" spans="3:8" x14ac:dyDescent="0.25">
      <c r="C27" s="8"/>
      <c r="D27" s="2" t="s">
        <v>881</v>
      </c>
      <c r="E27" s="2" t="s">
        <v>440</v>
      </c>
      <c r="F27" s="4">
        <v>10</v>
      </c>
      <c r="G27" s="14"/>
      <c r="H27" s="9"/>
    </row>
    <row r="28" spans="3:8" x14ac:dyDescent="0.25">
      <c r="C28" s="8"/>
      <c r="D28" s="2" t="s">
        <v>882</v>
      </c>
      <c r="E28" s="2" t="s">
        <v>440</v>
      </c>
      <c r="F28" s="4">
        <v>20</v>
      </c>
      <c r="G28" s="14"/>
      <c r="H28" s="9"/>
    </row>
    <row r="29" spans="3:8" x14ac:dyDescent="0.25">
      <c r="C29" s="8"/>
      <c r="D29" s="2" t="s">
        <v>883</v>
      </c>
      <c r="E29" s="2" t="s">
        <v>440</v>
      </c>
      <c r="F29" s="4">
        <v>6</v>
      </c>
      <c r="G29" s="14"/>
      <c r="H29" s="9"/>
    </row>
    <row r="30" spans="3:8" x14ac:dyDescent="0.25">
      <c r="C30" s="8"/>
      <c r="D30" s="2" t="s">
        <v>884</v>
      </c>
      <c r="E30" s="2" t="s">
        <v>440</v>
      </c>
      <c r="F30" s="4">
        <v>2</v>
      </c>
      <c r="G30" s="14"/>
      <c r="H30" s="9"/>
    </row>
    <row r="31" spans="3:8" x14ac:dyDescent="0.25">
      <c r="C31" s="8"/>
      <c r="D31" s="2" t="s">
        <v>885</v>
      </c>
      <c r="E31" s="2" t="s">
        <v>440</v>
      </c>
      <c r="F31" s="4">
        <v>8</v>
      </c>
      <c r="G31" s="14"/>
      <c r="H31" s="9"/>
    </row>
    <row r="32" spans="3:8" x14ac:dyDescent="0.25">
      <c r="C32" s="8"/>
      <c r="D32" s="2" t="s">
        <v>886</v>
      </c>
      <c r="E32" s="2" t="s">
        <v>440</v>
      </c>
      <c r="F32" s="4">
        <v>360</v>
      </c>
      <c r="G32" s="14"/>
      <c r="H32" s="9"/>
    </row>
    <row r="33" spans="3:8" x14ac:dyDescent="0.25">
      <c r="C33" s="8"/>
      <c r="D33" s="2" t="s">
        <v>887</v>
      </c>
      <c r="E33" s="2" t="s">
        <v>440</v>
      </c>
      <c r="F33" s="4">
        <v>2.5</v>
      </c>
      <c r="G33" s="14"/>
      <c r="H33" s="9"/>
    </row>
    <row r="34" spans="3:8" x14ac:dyDescent="0.25">
      <c r="C34" s="8"/>
      <c r="D34" s="2" t="s">
        <v>888</v>
      </c>
      <c r="E34" s="2" t="s">
        <v>874</v>
      </c>
      <c r="F34" s="4"/>
      <c r="G34" s="14">
        <v>210</v>
      </c>
      <c r="H34" s="9"/>
    </row>
    <row r="35" spans="3:8" x14ac:dyDescent="0.25">
      <c r="C35" s="8"/>
      <c r="D35" s="2" t="s">
        <v>889</v>
      </c>
      <c r="E35" s="2" t="s">
        <v>873</v>
      </c>
      <c r="F35" s="4">
        <v>2200</v>
      </c>
      <c r="G35" s="14"/>
      <c r="H35" s="9"/>
    </row>
    <row r="36" spans="3:8" x14ac:dyDescent="0.25">
      <c r="C36" s="8"/>
      <c r="D36" s="2" t="s">
        <v>890</v>
      </c>
      <c r="E36" s="2" t="s">
        <v>440</v>
      </c>
      <c r="F36" s="4">
        <v>20</v>
      </c>
      <c r="G36" s="14"/>
      <c r="H36" s="9"/>
    </row>
    <row r="37" spans="3:8" x14ac:dyDescent="0.25">
      <c r="C37" s="8"/>
      <c r="D37" s="2" t="s">
        <v>891</v>
      </c>
      <c r="E37" s="2" t="s">
        <v>875</v>
      </c>
      <c r="F37" s="4"/>
      <c r="G37" s="14"/>
      <c r="H37" s="9">
        <v>192</v>
      </c>
    </row>
    <row r="38" spans="3:8" x14ac:dyDescent="0.25">
      <c r="C38" s="8"/>
      <c r="D38" s="2" t="s">
        <v>892</v>
      </c>
      <c r="E38" s="2" t="s">
        <v>440</v>
      </c>
      <c r="F38" s="4"/>
      <c r="G38" s="14"/>
      <c r="H38" s="9">
        <v>4</v>
      </c>
    </row>
    <row r="39" spans="3:8" x14ac:dyDescent="0.25">
      <c r="C39" s="8"/>
      <c r="D39" s="2" t="s">
        <v>893</v>
      </c>
      <c r="E39" s="2" t="s">
        <v>440</v>
      </c>
      <c r="F39" s="4">
        <v>7</v>
      </c>
      <c r="G39" s="14"/>
      <c r="H39" s="9"/>
    </row>
    <row r="40" spans="3:8" x14ac:dyDescent="0.25">
      <c r="C40" s="8"/>
      <c r="D40" s="2" t="s">
        <v>894</v>
      </c>
      <c r="E40" s="2" t="s">
        <v>903</v>
      </c>
      <c r="F40" s="4"/>
      <c r="G40" s="14">
        <v>3152</v>
      </c>
      <c r="H40" s="9"/>
    </row>
    <row r="41" spans="3:8" x14ac:dyDescent="0.25">
      <c r="C41" s="8"/>
      <c r="D41" s="2" t="s">
        <v>895</v>
      </c>
      <c r="E41" s="2" t="s">
        <v>266</v>
      </c>
      <c r="F41" s="4"/>
      <c r="G41" s="14"/>
      <c r="H41" s="9">
        <v>350</v>
      </c>
    </row>
    <row r="42" spans="3:8" x14ac:dyDescent="0.25">
      <c r="C42" s="8"/>
      <c r="D42" s="2" t="s">
        <v>896</v>
      </c>
      <c r="E42" s="2" t="s">
        <v>440</v>
      </c>
      <c r="F42" s="4">
        <v>1</v>
      </c>
      <c r="G42" s="14"/>
      <c r="H42" s="9"/>
    </row>
    <row r="43" spans="3:8" x14ac:dyDescent="0.25">
      <c r="C43" s="8"/>
      <c r="D43" s="2" t="s">
        <v>897</v>
      </c>
      <c r="E43" s="2" t="s">
        <v>440</v>
      </c>
      <c r="F43" s="4">
        <v>21</v>
      </c>
      <c r="G43" s="14"/>
      <c r="H43" s="9"/>
    </row>
    <row r="44" spans="3:8" x14ac:dyDescent="0.25">
      <c r="C44" s="8"/>
      <c r="D44" s="2" t="s">
        <v>898</v>
      </c>
      <c r="E44" s="2" t="s">
        <v>932</v>
      </c>
      <c r="F44" s="4"/>
      <c r="G44" s="14">
        <v>1120</v>
      </c>
      <c r="H44" s="9"/>
    </row>
    <row r="45" spans="3:8" x14ac:dyDescent="0.25">
      <c r="C45" s="8"/>
      <c r="D45" s="2" t="s">
        <v>899</v>
      </c>
      <c r="E45" s="2" t="s">
        <v>136</v>
      </c>
      <c r="F45" s="4"/>
      <c r="G45" s="14"/>
      <c r="H45" s="9">
        <v>4200.0200000000004</v>
      </c>
    </row>
    <row r="46" spans="3:8" x14ac:dyDescent="0.25">
      <c r="C46" s="8"/>
      <c r="D46" s="2" t="s">
        <v>900</v>
      </c>
      <c r="E46" s="2" t="s">
        <v>592</v>
      </c>
      <c r="F46" s="4"/>
      <c r="G46" s="14"/>
      <c r="H46" s="9">
        <v>42</v>
      </c>
    </row>
    <row r="47" spans="3:8" x14ac:dyDescent="0.25">
      <c r="C47" s="8"/>
      <c r="D47" s="2" t="s">
        <v>901</v>
      </c>
      <c r="E47" s="2" t="s">
        <v>440</v>
      </c>
      <c r="F47" s="4">
        <v>45</v>
      </c>
      <c r="G47" s="14"/>
      <c r="H47" s="9"/>
    </row>
    <row r="48" spans="3:8" x14ac:dyDescent="0.25">
      <c r="C48" s="8"/>
      <c r="D48" s="2" t="s">
        <v>902</v>
      </c>
      <c r="E48" s="2" t="s">
        <v>440</v>
      </c>
      <c r="F48" s="4">
        <v>15</v>
      </c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 t="s">
        <v>744</v>
      </c>
      <c r="E52" s="2" t="s">
        <v>779</v>
      </c>
      <c r="F52" s="4"/>
      <c r="G52" s="14"/>
      <c r="H52" s="9">
        <v>38</v>
      </c>
    </row>
    <row r="53" spans="3:8" x14ac:dyDescent="0.25">
      <c r="C53" s="8"/>
      <c r="D53" s="2" t="s">
        <v>904</v>
      </c>
      <c r="E53" s="2" t="s">
        <v>779</v>
      </c>
      <c r="F53" s="4"/>
      <c r="G53" s="14"/>
      <c r="H53" s="9">
        <v>50</v>
      </c>
    </row>
    <row r="54" spans="3:8" x14ac:dyDescent="0.25">
      <c r="C54" s="8"/>
      <c r="D54" s="2" t="s">
        <v>905</v>
      </c>
      <c r="E54" s="2" t="s">
        <v>918</v>
      </c>
      <c r="F54" s="4"/>
      <c r="G54" s="14"/>
      <c r="H54" s="9">
        <v>696</v>
      </c>
    </row>
    <row r="55" spans="3:8" x14ac:dyDescent="0.25">
      <c r="C55" s="8"/>
      <c r="D55" s="2" t="s">
        <v>906</v>
      </c>
      <c r="E55" s="2" t="s">
        <v>158</v>
      </c>
      <c r="F55" s="4"/>
      <c r="G55" s="14"/>
      <c r="H55" s="9">
        <v>105</v>
      </c>
    </row>
    <row r="56" spans="3:8" x14ac:dyDescent="0.25">
      <c r="C56" s="8"/>
      <c r="D56" s="2" t="s">
        <v>907</v>
      </c>
      <c r="E56" s="2" t="s">
        <v>908</v>
      </c>
      <c r="F56" s="4"/>
      <c r="G56" s="14">
        <v>390</v>
      </c>
      <c r="H56" s="9"/>
    </row>
    <row r="57" spans="3:8" x14ac:dyDescent="0.25">
      <c r="C57" s="8"/>
      <c r="D57" s="2" t="s">
        <v>909</v>
      </c>
      <c r="E57" s="2" t="s">
        <v>158</v>
      </c>
      <c r="F57" s="4"/>
      <c r="G57" s="14"/>
      <c r="H57" s="9">
        <v>280</v>
      </c>
    </row>
    <row r="58" spans="3:8" x14ac:dyDescent="0.25">
      <c r="C58" s="8"/>
      <c r="D58" s="2" t="s">
        <v>910</v>
      </c>
      <c r="E58" s="2" t="s">
        <v>48</v>
      </c>
      <c r="F58" s="4">
        <v>34</v>
      </c>
      <c r="G58" s="14"/>
      <c r="H58" s="9"/>
    </row>
    <row r="59" spans="3:8" x14ac:dyDescent="0.25">
      <c r="C59" s="8"/>
      <c r="D59" s="2" t="s">
        <v>911</v>
      </c>
      <c r="E59" s="2" t="s">
        <v>158</v>
      </c>
      <c r="F59" s="4"/>
      <c r="G59" s="14"/>
      <c r="H59" s="9">
        <v>15.6</v>
      </c>
    </row>
    <row r="60" spans="3:8" x14ac:dyDescent="0.25">
      <c r="C60" s="8"/>
      <c r="D60" s="2" t="s">
        <v>912</v>
      </c>
      <c r="E60" s="2" t="s">
        <v>920</v>
      </c>
      <c r="F60" s="4">
        <v>1500</v>
      </c>
      <c r="G60" s="14"/>
      <c r="H60" s="9">
        <v>480</v>
      </c>
    </row>
    <row r="61" spans="3:8" x14ac:dyDescent="0.25">
      <c r="C61" s="8"/>
      <c r="D61" s="2" t="s">
        <v>913</v>
      </c>
      <c r="E61" s="2" t="s">
        <v>48</v>
      </c>
      <c r="F61" s="4">
        <v>35</v>
      </c>
      <c r="G61" s="14"/>
      <c r="H61" s="9"/>
    </row>
    <row r="62" spans="3:8" x14ac:dyDescent="0.25">
      <c r="C62" s="8"/>
      <c r="D62" s="2" t="s">
        <v>914</v>
      </c>
      <c r="E62" s="2" t="s">
        <v>48</v>
      </c>
      <c r="F62" s="4">
        <v>13</v>
      </c>
      <c r="G62" s="14"/>
      <c r="H62" s="9"/>
    </row>
    <row r="63" spans="3:8" x14ac:dyDescent="0.25">
      <c r="C63" s="8"/>
      <c r="D63" s="2" t="s">
        <v>915</v>
      </c>
      <c r="E63" s="2" t="s">
        <v>48</v>
      </c>
      <c r="F63" s="4">
        <v>5</v>
      </c>
      <c r="G63" s="14"/>
      <c r="H63" s="9"/>
    </row>
    <row r="64" spans="3:8" x14ac:dyDescent="0.25">
      <c r="C64" s="8"/>
      <c r="D64" s="2" t="s">
        <v>916</v>
      </c>
      <c r="E64" s="2" t="s">
        <v>48</v>
      </c>
      <c r="F64" s="4">
        <v>5.5</v>
      </c>
      <c r="G64" s="14"/>
      <c r="H64" s="9"/>
    </row>
    <row r="65" spans="3:8" x14ac:dyDescent="0.25">
      <c r="C65" s="8"/>
      <c r="D65" s="2" t="s">
        <v>917</v>
      </c>
      <c r="E65" s="2" t="s">
        <v>921</v>
      </c>
      <c r="F65" s="4">
        <v>260.7</v>
      </c>
      <c r="G65" s="14"/>
      <c r="H65" s="9"/>
    </row>
    <row r="66" spans="3:8" x14ac:dyDescent="0.25">
      <c r="C66" s="8"/>
      <c r="D66" s="2" t="s">
        <v>919</v>
      </c>
      <c r="E66" s="2" t="s">
        <v>48</v>
      </c>
      <c r="F66" s="4">
        <v>270</v>
      </c>
      <c r="G66" s="14"/>
      <c r="H66" s="9"/>
    </row>
    <row r="67" spans="3:8" x14ac:dyDescent="0.25">
      <c r="C67" s="8"/>
      <c r="D67" s="2" t="s">
        <v>922</v>
      </c>
      <c r="E67" s="2" t="s">
        <v>48</v>
      </c>
      <c r="F67" s="4">
        <v>135</v>
      </c>
      <c r="G67" s="14"/>
      <c r="H67" s="9"/>
    </row>
    <row r="68" spans="3:8" x14ac:dyDescent="0.25">
      <c r="C68" s="8"/>
      <c r="D68" s="2" t="s">
        <v>923</v>
      </c>
      <c r="E68" s="2" t="s">
        <v>779</v>
      </c>
      <c r="F68" s="4"/>
      <c r="G68" s="14">
        <v>338</v>
      </c>
      <c r="H68" s="9"/>
    </row>
    <row r="69" spans="3:8" x14ac:dyDescent="0.25">
      <c r="C69" s="8"/>
      <c r="D69" s="2" t="s">
        <v>924</v>
      </c>
      <c r="E69" s="2" t="s">
        <v>48</v>
      </c>
      <c r="F69" s="4">
        <v>14</v>
      </c>
      <c r="G69" s="14"/>
      <c r="H69" s="9"/>
    </row>
    <row r="70" spans="3:8" x14ac:dyDescent="0.25">
      <c r="C70" s="8"/>
      <c r="D70" s="2" t="s">
        <v>925</v>
      </c>
      <c r="E70" s="2" t="s">
        <v>730</v>
      </c>
      <c r="F70" s="4"/>
      <c r="G70" s="14">
        <v>340</v>
      </c>
      <c r="H70" s="9"/>
    </row>
    <row r="71" spans="3:8" x14ac:dyDescent="0.25">
      <c r="C71" s="8"/>
      <c r="D71" s="2" t="s">
        <v>926</v>
      </c>
      <c r="E71" s="2" t="s">
        <v>107</v>
      </c>
      <c r="F71" s="4"/>
      <c r="G71" s="14">
        <v>5213</v>
      </c>
      <c r="H71" s="9"/>
    </row>
    <row r="72" spans="3:8" x14ac:dyDescent="0.25">
      <c r="C72" s="8"/>
      <c r="D72" s="2" t="s">
        <v>927</v>
      </c>
      <c r="E72" s="2" t="s">
        <v>48</v>
      </c>
      <c r="F72" s="4">
        <v>3</v>
      </c>
      <c r="G72" s="14"/>
      <c r="H72" s="9"/>
    </row>
    <row r="73" spans="3:8" x14ac:dyDescent="0.25">
      <c r="C73" s="8"/>
      <c r="D73" s="2" t="s">
        <v>928</v>
      </c>
      <c r="E73" s="2" t="s">
        <v>48</v>
      </c>
      <c r="F73" s="4">
        <v>11</v>
      </c>
      <c r="G73" s="14"/>
      <c r="H73" s="9"/>
    </row>
    <row r="74" spans="3:8" x14ac:dyDescent="0.25">
      <c r="C74" s="8"/>
      <c r="D74" s="2" t="s">
        <v>929</v>
      </c>
      <c r="E74" s="2" t="s">
        <v>933</v>
      </c>
      <c r="F74" s="4"/>
      <c r="G74" s="14">
        <v>25</v>
      </c>
      <c r="H74" s="9"/>
    </row>
    <row r="75" spans="3:8" x14ac:dyDescent="0.25">
      <c r="C75" s="8"/>
      <c r="D75" s="2" t="s">
        <v>934</v>
      </c>
      <c r="E75" s="2" t="s">
        <v>48</v>
      </c>
      <c r="F75" s="4">
        <v>1</v>
      </c>
      <c r="G75" s="14"/>
      <c r="H75" s="9"/>
    </row>
    <row r="76" spans="3:8" x14ac:dyDescent="0.25">
      <c r="C76" s="8"/>
      <c r="D76" s="2" t="s">
        <v>935</v>
      </c>
      <c r="E76" s="2" t="s">
        <v>938</v>
      </c>
      <c r="F76" s="4">
        <v>482</v>
      </c>
      <c r="G76" s="14"/>
      <c r="H76" s="9"/>
    </row>
    <row r="77" spans="3:8" x14ac:dyDescent="0.25">
      <c r="C77" s="8"/>
      <c r="D77" s="2" t="s">
        <v>936</v>
      </c>
      <c r="E77" s="2" t="s">
        <v>48</v>
      </c>
      <c r="F77" s="4"/>
      <c r="G77" s="14"/>
      <c r="H77" s="9">
        <v>16</v>
      </c>
    </row>
    <row r="78" spans="3:8" x14ac:dyDescent="0.25">
      <c r="C78" s="8"/>
      <c r="D78" s="2" t="s">
        <v>937</v>
      </c>
      <c r="E78" s="2" t="s">
        <v>939</v>
      </c>
      <c r="F78" s="4">
        <v>850</v>
      </c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29"/>
      <c r="D82" s="30"/>
      <c r="E82" s="30" t="s">
        <v>60</v>
      </c>
      <c r="F82" s="4"/>
      <c r="G82" s="14"/>
      <c r="H82" s="9"/>
    </row>
    <row r="83" spans="3:8" x14ac:dyDescent="0.25">
      <c r="C83" s="8"/>
      <c r="D83" s="2" t="s">
        <v>850</v>
      </c>
      <c r="E83" s="2" t="s">
        <v>229</v>
      </c>
      <c r="F83" s="4"/>
      <c r="G83" s="14"/>
      <c r="H83" s="9">
        <v>320</v>
      </c>
    </row>
    <row r="84" spans="3:8" x14ac:dyDescent="0.25">
      <c r="C84" s="8"/>
      <c r="D84" s="2" t="s">
        <v>851</v>
      </c>
      <c r="E84" s="2" t="s">
        <v>689</v>
      </c>
      <c r="F84" s="4"/>
      <c r="G84" s="14"/>
      <c r="H84" s="9">
        <v>58.5</v>
      </c>
    </row>
    <row r="85" spans="3:8" x14ac:dyDescent="0.25">
      <c r="C85" s="8"/>
      <c r="D85" s="2" t="s">
        <v>871</v>
      </c>
      <c r="E85" s="2" t="s">
        <v>689</v>
      </c>
      <c r="F85" s="4"/>
      <c r="G85" s="14"/>
      <c r="H85" s="9">
        <v>20</v>
      </c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16"/>
      <c r="D90" s="17"/>
      <c r="E90" s="17" t="s">
        <v>39</v>
      </c>
      <c r="F90" s="4"/>
      <c r="G90" s="14"/>
      <c r="H90" s="9"/>
    </row>
    <row r="91" spans="3:8" x14ac:dyDescent="0.25">
      <c r="C91" s="8" t="s">
        <v>47</v>
      </c>
      <c r="D91" s="45"/>
      <c r="E91" s="2" t="s">
        <v>107</v>
      </c>
      <c r="F91" s="4">
        <v>6356</v>
      </c>
      <c r="G91" s="14"/>
      <c r="H91" s="9"/>
    </row>
    <row r="92" spans="3:8" x14ac:dyDescent="0.25">
      <c r="C92" s="8"/>
      <c r="D92" s="45"/>
      <c r="E92" s="2"/>
      <c r="F92" s="4"/>
      <c r="G92" s="14"/>
      <c r="H92" s="9"/>
    </row>
    <row r="93" spans="3:8" x14ac:dyDescent="0.25">
      <c r="C93" s="8"/>
      <c r="D93" s="45"/>
      <c r="E93" s="2"/>
      <c r="F93" s="4"/>
      <c r="G93" s="14"/>
      <c r="H93" s="9"/>
    </row>
    <row r="94" spans="3:8" x14ac:dyDescent="0.25">
      <c r="C94" s="8"/>
      <c r="D94" s="45"/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19"/>
      <c r="D97" s="20"/>
      <c r="E97" s="20" t="s">
        <v>42</v>
      </c>
      <c r="F97" s="4"/>
      <c r="G97" s="14"/>
      <c r="H97" s="9"/>
    </row>
    <row r="98" spans="3:8" x14ac:dyDescent="0.25">
      <c r="C98" s="34"/>
      <c r="D98" s="42"/>
      <c r="E98" s="2" t="s">
        <v>849</v>
      </c>
      <c r="F98" s="14">
        <v>-770</v>
      </c>
      <c r="G98" s="14"/>
      <c r="H98" s="9"/>
    </row>
    <row r="99" spans="3:8" x14ac:dyDescent="0.25">
      <c r="C99" s="8"/>
      <c r="D99" s="2"/>
      <c r="E99" s="2" t="s">
        <v>930</v>
      </c>
      <c r="F99" s="14">
        <v>-98.6</v>
      </c>
      <c r="G99" s="14"/>
      <c r="H99" s="9"/>
    </row>
    <row r="100" spans="3:8" x14ac:dyDescent="0.25">
      <c r="C100" s="34"/>
      <c r="D100" s="42"/>
      <c r="E100" s="2" t="s">
        <v>943</v>
      </c>
      <c r="F100" s="14">
        <v>-401.4</v>
      </c>
      <c r="G100" s="14"/>
      <c r="H100" s="9"/>
    </row>
    <row r="101" spans="3:8" x14ac:dyDescent="0.25">
      <c r="C101" s="8"/>
      <c r="D101" s="2"/>
      <c r="E101" s="2" t="s">
        <v>931</v>
      </c>
      <c r="F101" s="14">
        <v>-5036.5</v>
      </c>
      <c r="G101" s="14"/>
      <c r="H101" s="9"/>
    </row>
    <row r="102" spans="3:8" x14ac:dyDescent="0.25">
      <c r="C102" s="8"/>
      <c r="D102" s="2"/>
      <c r="E102" s="2" t="s">
        <v>940</v>
      </c>
      <c r="F102" s="14">
        <v>-38000</v>
      </c>
      <c r="G102" s="14"/>
      <c r="H102" s="9"/>
    </row>
    <row r="103" spans="3:8" x14ac:dyDescent="0.25">
      <c r="C103" s="8"/>
      <c r="D103" s="2"/>
      <c r="E103" s="2" t="s">
        <v>941</v>
      </c>
      <c r="F103" s="14">
        <v>-40</v>
      </c>
      <c r="G103" s="14"/>
      <c r="H103" s="9"/>
    </row>
    <row r="104" spans="3:8" x14ac:dyDescent="0.25">
      <c r="C104" s="8"/>
      <c r="D104" s="2"/>
      <c r="E104" s="2" t="s">
        <v>942</v>
      </c>
      <c r="F104" s="14">
        <v>-9.4</v>
      </c>
      <c r="G104" s="14"/>
      <c r="H104" s="9"/>
    </row>
    <row r="105" spans="3:8" x14ac:dyDescent="0.25">
      <c r="C105" s="8"/>
      <c r="D105" s="2"/>
      <c r="E105" s="2"/>
      <c r="F105" s="14"/>
      <c r="G105" s="14"/>
      <c r="H105" s="9"/>
    </row>
    <row r="106" spans="3:8" x14ac:dyDescent="0.25">
      <c r="C106" s="8"/>
      <c r="D106" s="2"/>
      <c r="E106" s="2"/>
      <c r="F106" s="14"/>
      <c r="G106" s="14"/>
      <c r="H106" s="9"/>
    </row>
    <row r="107" spans="3:8" x14ac:dyDescent="0.25">
      <c r="C107" s="8"/>
      <c r="D107" s="2"/>
      <c r="E107" s="2"/>
      <c r="F107" s="14"/>
      <c r="G107" s="14"/>
      <c r="H107" s="9"/>
    </row>
    <row r="108" spans="3:8" x14ac:dyDescent="0.25">
      <c r="C108" s="8"/>
      <c r="D108" s="2"/>
      <c r="E108" s="2"/>
      <c r="F108" s="1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ht="15.75" thickBot="1" x14ac:dyDescent="0.3">
      <c r="C110" s="10"/>
      <c r="D110" s="11"/>
      <c r="E110" s="11" t="s">
        <v>44</v>
      </c>
      <c r="F110" s="12">
        <f>SUM(F6:F109)</f>
        <v>-26295.300000000003</v>
      </c>
      <c r="G110" s="15">
        <f>SUM(G6:G109)</f>
        <v>10793</v>
      </c>
      <c r="H110" s="13">
        <f>SUM(H6:H109)</f>
        <v>8646.2200000000012</v>
      </c>
    </row>
    <row r="113" spans="5:10" ht="18.75" x14ac:dyDescent="0.3">
      <c r="E113" s="38" t="s">
        <v>49</v>
      </c>
      <c r="F113" s="39">
        <f>+H4+F110</f>
        <v>3238.0499999999956</v>
      </c>
    </row>
    <row r="116" spans="5:10" x14ac:dyDescent="0.25">
      <c r="J116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3C94-51DC-4EAC-9545-B1B8BDDCAA4C}">
  <sheetPr codeName="Hoja9"/>
  <dimension ref="C2:J136"/>
  <sheetViews>
    <sheetView topLeftCell="A97" workbookViewId="0">
      <selection activeCell="F133" sqref="F133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60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1061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3238.05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956</v>
      </c>
      <c r="E6" s="2" t="s">
        <v>957</v>
      </c>
      <c r="F6" s="4">
        <v>48</v>
      </c>
      <c r="G6" s="14"/>
      <c r="H6" s="9"/>
    </row>
    <row r="7" spans="3:8" x14ac:dyDescent="0.25">
      <c r="C7" s="8"/>
      <c r="D7" s="2" t="s">
        <v>958</v>
      </c>
      <c r="E7" s="2" t="s">
        <v>508</v>
      </c>
      <c r="F7" s="4">
        <v>21</v>
      </c>
      <c r="G7" s="14"/>
      <c r="H7" s="9"/>
    </row>
    <row r="8" spans="3:8" x14ac:dyDescent="0.25">
      <c r="C8" s="8"/>
      <c r="D8" s="2" t="s">
        <v>959</v>
      </c>
      <c r="E8" s="2" t="s">
        <v>217</v>
      </c>
      <c r="F8" s="4"/>
      <c r="G8" s="14">
        <v>140</v>
      </c>
      <c r="H8" s="9"/>
    </row>
    <row r="9" spans="3:8" x14ac:dyDescent="0.25">
      <c r="C9" s="8"/>
      <c r="D9" s="2" t="s">
        <v>960</v>
      </c>
      <c r="E9" s="2" t="s">
        <v>964</v>
      </c>
      <c r="F9" s="4">
        <v>135</v>
      </c>
      <c r="G9" s="14"/>
      <c r="H9" s="9"/>
    </row>
    <row r="10" spans="3:8" x14ac:dyDescent="0.25">
      <c r="C10" s="8"/>
      <c r="D10" s="2" t="s">
        <v>961</v>
      </c>
      <c r="E10" s="2" t="s">
        <v>440</v>
      </c>
      <c r="F10" s="4">
        <v>9</v>
      </c>
      <c r="G10" s="14"/>
      <c r="H10" s="9"/>
    </row>
    <row r="11" spans="3:8" x14ac:dyDescent="0.25">
      <c r="C11" s="8"/>
      <c r="D11" s="2" t="s">
        <v>962</v>
      </c>
      <c r="E11" s="2" t="s">
        <v>975</v>
      </c>
      <c r="F11" s="4">
        <v>78.5</v>
      </c>
      <c r="G11" s="14"/>
      <c r="H11" s="9"/>
    </row>
    <row r="12" spans="3:8" x14ac:dyDescent="0.25">
      <c r="C12" s="8"/>
      <c r="D12" s="2" t="s">
        <v>963</v>
      </c>
      <c r="E12" s="2" t="s">
        <v>440</v>
      </c>
      <c r="F12" s="4">
        <v>4</v>
      </c>
      <c r="G12" s="14"/>
      <c r="H12" s="9"/>
    </row>
    <row r="13" spans="3:8" x14ac:dyDescent="0.25">
      <c r="C13" s="8"/>
      <c r="D13" s="2" t="s">
        <v>965</v>
      </c>
      <c r="E13" s="2" t="s">
        <v>976</v>
      </c>
      <c r="F13" s="4">
        <v>1711.5</v>
      </c>
      <c r="G13" s="14"/>
      <c r="H13" s="9"/>
    </row>
    <row r="14" spans="3:8" x14ac:dyDescent="0.25">
      <c r="C14" s="8"/>
      <c r="D14" s="2" t="s">
        <v>966</v>
      </c>
      <c r="E14" s="2" t="s">
        <v>977</v>
      </c>
      <c r="F14" s="4">
        <v>990</v>
      </c>
      <c r="G14" s="14"/>
      <c r="H14" s="9"/>
    </row>
    <row r="15" spans="3:8" x14ac:dyDescent="0.25">
      <c r="C15" s="8"/>
      <c r="D15" s="2" t="s">
        <v>967</v>
      </c>
      <c r="E15" s="2" t="s">
        <v>440</v>
      </c>
      <c r="F15" s="4"/>
      <c r="G15" s="14"/>
      <c r="H15" s="9">
        <v>35</v>
      </c>
    </row>
    <row r="16" spans="3:8" x14ac:dyDescent="0.25">
      <c r="C16" s="8"/>
      <c r="D16" s="2" t="s">
        <v>968</v>
      </c>
      <c r="E16" s="2" t="s">
        <v>440</v>
      </c>
      <c r="F16" s="4"/>
      <c r="G16" s="14"/>
      <c r="H16" s="9">
        <v>4.5</v>
      </c>
    </row>
    <row r="17" spans="3:8" x14ac:dyDescent="0.25">
      <c r="C17" s="8"/>
      <c r="D17" s="2" t="s">
        <v>969</v>
      </c>
      <c r="E17" s="2" t="s">
        <v>508</v>
      </c>
      <c r="F17" s="4">
        <v>624</v>
      </c>
      <c r="G17" s="14"/>
      <c r="H17" s="9"/>
    </row>
    <row r="18" spans="3:8" x14ac:dyDescent="0.25">
      <c r="C18" s="8"/>
      <c r="D18" s="2" t="s">
        <v>970</v>
      </c>
      <c r="E18" s="2" t="s">
        <v>583</v>
      </c>
      <c r="F18" s="4">
        <v>18</v>
      </c>
      <c r="G18" s="14"/>
      <c r="H18" s="9"/>
    </row>
    <row r="19" spans="3:8" x14ac:dyDescent="0.25">
      <c r="C19" s="8"/>
      <c r="D19" s="2" t="s">
        <v>971</v>
      </c>
      <c r="E19" s="2" t="s">
        <v>440</v>
      </c>
      <c r="F19" s="4">
        <v>7</v>
      </c>
      <c r="G19" s="14"/>
      <c r="H19" s="9"/>
    </row>
    <row r="20" spans="3:8" x14ac:dyDescent="0.25">
      <c r="C20" s="8"/>
      <c r="D20" s="2" t="s">
        <v>972</v>
      </c>
      <c r="E20" s="2" t="s">
        <v>440</v>
      </c>
      <c r="F20" s="4">
        <v>2</v>
      </c>
      <c r="G20" s="14"/>
      <c r="H20" s="9"/>
    </row>
    <row r="21" spans="3:8" x14ac:dyDescent="0.25">
      <c r="C21" s="8"/>
      <c r="D21" s="2" t="s">
        <v>973</v>
      </c>
      <c r="E21" s="2" t="s">
        <v>976</v>
      </c>
      <c r="F21" s="4">
        <v>7.5</v>
      </c>
      <c r="G21" s="14"/>
      <c r="H21" s="9"/>
    </row>
    <row r="22" spans="3:8" x14ac:dyDescent="0.25">
      <c r="C22" s="8"/>
      <c r="D22" s="2" t="s">
        <v>974</v>
      </c>
      <c r="E22" s="2" t="s">
        <v>979</v>
      </c>
      <c r="F22" s="4">
        <v>514.5</v>
      </c>
      <c r="G22" s="14"/>
      <c r="H22" s="9"/>
    </row>
    <row r="23" spans="3:8" x14ac:dyDescent="0.25">
      <c r="C23" s="8"/>
      <c r="D23" s="2" t="s">
        <v>980</v>
      </c>
      <c r="E23" s="2" t="s">
        <v>440</v>
      </c>
      <c r="F23" s="4"/>
      <c r="G23" s="14"/>
      <c r="H23" s="9">
        <v>21</v>
      </c>
    </row>
    <row r="24" spans="3:8" x14ac:dyDescent="0.25">
      <c r="C24" s="8"/>
      <c r="D24" s="2" t="s">
        <v>981</v>
      </c>
      <c r="E24" s="2" t="s">
        <v>440</v>
      </c>
      <c r="F24" s="4">
        <v>4</v>
      </c>
      <c r="G24" s="14"/>
      <c r="H24" s="9"/>
    </row>
    <row r="25" spans="3:8" x14ac:dyDescent="0.25">
      <c r="C25" s="8"/>
      <c r="D25" s="2" t="s">
        <v>982</v>
      </c>
      <c r="E25" s="2" t="s">
        <v>592</v>
      </c>
      <c r="F25" s="4"/>
      <c r="G25" s="14"/>
      <c r="H25" s="9">
        <v>18</v>
      </c>
    </row>
    <row r="26" spans="3:8" x14ac:dyDescent="0.25">
      <c r="C26" s="8"/>
      <c r="D26" s="2" t="s">
        <v>983</v>
      </c>
      <c r="E26" s="2" t="s">
        <v>90</v>
      </c>
      <c r="F26" s="4">
        <v>1560</v>
      </c>
      <c r="G26" s="14"/>
      <c r="H26" s="9"/>
    </row>
    <row r="27" spans="3:8" x14ac:dyDescent="0.25">
      <c r="C27" s="8"/>
      <c r="D27" s="2" t="s">
        <v>984</v>
      </c>
      <c r="E27" s="2" t="s">
        <v>440</v>
      </c>
      <c r="F27" s="4">
        <v>15</v>
      </c>
      <c r="G27" s="14"/>
      <c r="H27" s="9"/>
    </row>
    <row r="28" spans="3:8" x14ac:dyDescent="0.25">
      <c r="C28" s="8"/>
      <c r="D28" s="2" t="s">
        <v>985</v>
      </c>
      <c r="E28" s="2" t="s">
        <v>1006</v>
      </c>
      <c r="F28" s="4"/>
      <c r="G28" s="14"/>
      <c r="H28" s="9">
        <v>180</v>
      </c>
    </row>
    <row r="29" spans="3:8" x14ac:dyDescent="0.25">
      <c r="C29" s="8"/>
      <c r="D29" s="2" t="s">
        <v>986</v>
      </c>
      <c r="E29" s="2" t="s">
        <v>440</v>
      </c>
      <c r="F29" s="4"/>
      <c r="G29" s="14"/>
      <c r="H29" s="9">
        <v>4.5</v>
      </c>
    </row>
    <row r="30" spans="3:8" x14ac:dyDescent="0.25">
      <c r="C30" s="8"/>
      <c r="D30" s="2" t="s">
        <v>987</v>
      </c>
      <c r="E30" s="2" t="s">
        <v>1007</v>
      </c>
      <c r="F30" s="4">
        <v>78.5</v>
      </c>
      <c r="G30" s="14"/>
      <c r="H30" s="9"/>
    </row>
    <row r="31" spans="3:8" x14ac:dyDescent="0.25">
      <c r="C31" s="8"/>
      <c r="D31" s="2" t="s">
        <v>988</v>
      </c>
      <c r="E31" s="2" t="s">
        <v>105</v>
      </c>
      <c r="F31" s="4">
        <v>342</v>
      </c>
      <c r="G31" s="14"/>
      <c r="H31" s="9"/>
    </row>
    <row r="32" spans="3:8" x14ac:dyDescent="0.25">
      <c r="C32" s="8"/>
      <c r="D32" s="2" t="s">
        <v>989</v>
      </c>
      <c r="E32" s="2" t="s">
        <v>213</v>
      </c>
      <c r="F32" s="4"/>
      <c r="G32" s="14">
        <v>940</v>
      </c>
      <c r="H32" s="9"/>
    </row>
    <row r="33" spans="3:8" x14ac:dyDescent="0.25">
      <c r="C33" s="8"/>
      <c r="D33" s="2" t="s">
        <v>990</v>
      </c>
      <c r="E33" s="2" t="s">
        <v>440</v>
      </c>
      <c r="F33" s="4">
        <v>28.5</v>
      </c>
      <c r="G33" s="14"/>
      <c r="H33" s="9"/>
    </row>
    <row r="34" spans="3:8" x14ac:dyDescent="0.25">
      <c r="C34" s="8"/>
      <c r="D34" s="2" t="s">
        <v>991</v>
      </c>
      <c r="E34" s="2" t="s">
        <v>1029</v>
      </c>
      <c r="F34" s="4"/>
      <c r="G34" s="14"/>
      <c r="H34" s="9">
        <v>99</v>
      </c>
    </row>
    <row r="35" spans="3:8" x14ac:dyDescent="0.25">
      <c r="C35" s="8"/>
      <c r="D35" s="2" t="s">
        <v>992</v>
      </c>
      <c r="E35" s="2" t="s">
        <v>440</v>
      </c>
      <c r="F35" s="4"/>
      <c r="G35" s="14"/>
      <c r="H35" s="9">
        <v>13.5</v>
      </c>
    </row>
    <row r="36" spans="3:8" x14ac:dyDescent="0.25">
      <c r="C36" s="8"/>
      <c r="D36" s="2" t="s">
        <v>1022</v>
      </c>
      <c r="E36" s="2" t="s">
        <v>1030</v>
      </c>
      <c r="F36" s="4"/>
      <c r="G36" s="14">
        <v>77</v>
      </c>
      <c r="H36" s="9"/>
    </row>
    <row r="37" spans="3:8" x14ac:dyDescent="0.25">
      <c r="C37" s="8"/>
      <c r="D37" s="2" t="s">
        <v>1023</v>
      </c>
      <c r="E37" s="2" t="s">
        <v>508</v>
      </c>
      <c r="F37" s="4">
        <v>160</v>
      </c>
      <c r="G37" s="14"/>
      <c r="H37" s="9"/>
    </row>
    <row r="38" spans="3:8" x14ac:dyDescent="0.25">
      <c r="C38" s="8"/>
      <c r="D38" s="2" t="s">
        <v>1024</v>
      </c>
      <c r="E38" s="2" t="s">
        <v>1031</v>
      </c>
      <c r="F38" s="4">
        <v>792</v>
      </c>
      <c r="G38" s="14"/>
      <c r="H38" s="9"/>
    </row>
    <row r="39" spans="3:8" x14ac:dyDescent="0.25">
      <c r="C39" s="8"/>
      <c r="D39" s="2" t="s">
        <v>1025</v>
      </c>
      <c r="E39" s="2" t="s">
        <v>1032</v>
      </c>
      <c r="F39" s="4"/>
      <c r="G39" s="14">
        <v>684</v>
      </c>
      <c r="H39" s="9"/>
    </row>
    <row r="40" spans="3:8" x14ac:dyDescent="0.25">
      <c r="C40" s="8"/>
      <c r="D40" s="2" t="s">
        <v>1026</v>
      </c>
      <c r="E40" s="2" t="s">
        <v>440</v>
      </c>
      <c r="F40" s="4">
        <v>74</v>
      </c>
      <c r="G40" s="14"/>
      <c r="H40" s="9"/>
    </row>
    <row r="41" spans="3:8" x14ac:dyDescent="0.25">
      <c r="C41" s="8"/>
      <c r="D41" s="2" t="s">
        <v>1027</v>
      </c>
      <c r="E41" s="2" t="s">
        <v>440</v>
      </c>
      <c r="F41" s="4">
        <v>3</v>
      </c>
      <c r="G41" s="14"/>
      <c r="H41" s="9"/>
    </row>
    <row r="42" spans="3:8" x14ac:dyDescent="0.25">
      <c r="C42" s="8"/>
      <c r="D42" s="2" t="s">
        <v>1028</v>
      </c>
      <c r="E42" s="2" t="s">
        <v>440</v>
      </c>
      <c r="F42" s="4">
        <v>8</v>
      </c>
      <c r="G42" s="14"/>
      <c r="H42" s="9"/>
    </row>
    <row r="43" spans="3:8" x14ac:dyDescent="0.25">
      <c r="C43" s="8"/>
      <c r="D43" s="2" t="s">
        <v>1033</v>
      </c>
      <c r="E43" s="2" t="s">
        <v>440</v>
      </c>
      <c r="F43" s="4"/>
      <c r="G43" s="14"/>
      <c r="H43" s="9">
        <v>5</v>
      </c>
    </row>
    <row r="44" spans="3:8" x14ac:dyDescent="0.25">
      <c r="C44" s="8"/>
      <c r="D44" s="2" t="s">
        <v>1034</v>
      </c>
      <c r="E44" s="2" t="s">
        <v>750</v>
      </c>
      <c r="F44" s="4"/>
      <c r="G44" s="14"/>
      <c r="H44" s="9">
        <v>29</v>
      </c>
    </row>
    <row r="45" spans="3:8" x14ac:dyDescent="0.25">
      <c r="C45" s="8"/>
      <c r="D45" s="2" t="s">
        <v>1035</v>
      </c>
      <c r="E45" s="2" t="s">
        <v>440</v>
      </c>
      <c r="F45" s="4"/>
      <c r="G45" s="14"/>
      <c r="H45" s="9">
        <v>1</v>
      </c>
    </row>
    <row r="46" spans="3:8" x14ac:dyDescent="0.25">
      <c r="C46" s="8"/>
      <c r="D46" s="2" t="s">
        <v>1036</v>
      </c>
      <c r="E46" s="2" t="s">
        <v>440</v>
      </c>
      <c r="F46" s="4">
        <v>4</v>
      </c>
      <c r="G46" s="14"/>
      <c r="H46" s="9"/>
    </row>
    <row r="47" spans="3:8" x14ac:dyDescent="0.25">
      <c r="C47" s="8"/>
      <c r="D47" s="2" t="s">
        <v>1037</v>
      </c>
      <c r="E47" s="2" t="s">
        <v>440</v>
      </c>
      <c r="F47" s="4"/>
      <c r="G47" s="14"/>
      <c r="H47" s="9">
        <v>7</v>
      </c>
    </row>
    <row r="48" spans="3:8" x14ac:dyDescent="0.25">
      <c r="C48" s="8"/>
      <c r="D48" s="2" t="s">
        <v>1038</v>
      </c>
      <c r="E48" s="2" t="s">
        <v>440</v>
      </c>
      <c r="F48" s="4"/>
      <c r="G48" s="14"/>
      <c r="H48" s="9">
        <v>9</v>
      </c>
    </row>
    <row r="49" spans="3:8" x14ac:dyDescent="0.25">
      <c r="C49" s="8"/>
      <c r="D49" s="2" t="s">
        <v>1039</v>
      </c>
      <c r="E49" s="2" t="s">
        <v>440</v>
      </c>
      <c r="F49" s="4">
        <v>1</v>
      </c>
      <c r="G49" s="14"/>
      <c r="H49" s="9"/>
    </row>
    <row r="50" spans="3:8" x14ac:dyDescent="0.25">
      <c r="C50" s="8"/>
      <c r="D50" s="2" t="s">
        <v>1040</v>
      </c>
      <c r="E50" s="2" t="s">
        <v>440</v>
      </c>
      <c r="F50" s="4">
        <v>3.5</v>
      </c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 t="s">
        <v>993</v>
      </c>
      <c r="E57" s="2" t="s">
        <v>994</v>
      </c>
      <c r="F57" s="4">
        <v>3020</v>
      </c>
      <c r="G57" s="14"/>
      <c r="H57" s="9"/>
    </row>
    <row r="58" spans="3:8" x14ac:dyDescent="0.25">
      <c r="C58" s="8"/>
      <c r="D58" s="2" t="s">
        <v>995</v>
      </c>
      <c r="E58" s="2" t="s">
        <v>779</v>
      </c>
      <c r="F58" s="4"/>
      <c r="G58" s="14">
        <v>1389.6</v>
      </c>
      <c r="H58" s="9"/>
    </row>
    <row r="59" spans="3:8" x14ac:dyDescent="0.25">
      <c r="C59" s="8"/>
      <c r="D59" s="2" t="s">
        <v>996</v>
      </c>
      <c r="E59" s="2" t="s">
        <v>48</v>
      </c>
      <c r="F59" s="4">
        <v>10</v>
      </c>
      <c r="G59" s="14"/>
      <c r="H59" s="9"/>
    </row>
    <row r="60" spans="3:8" x14ac:dyDescent="0.25">
      <c r="C60" s="8"/>
      <c r="D60" s="2" t="s">
        <v>997</v>
      </c>
      <c r="E60" s="2" t="s">
        <v>48</v>
      </c>
      <c r="F60" s="4">
        <v>3</v>
      </c>
      <c r="G60" s="14"/>
      <c r="H60" s="9"/>
    </row>
    <row r="61" spans="3:8" x14ac:dyDescent="0.25">
      <c r="C61" s="8"/>
      <c r="D61" s="2" t="s">
        <v>998</v>
      </c>
      <c r="E61" s="2" t="s">
        <v>48</v>
      </c>
      <c r="F61" s="4"/>
      <c r="G61" s="14"/>
      <c r="H61" s="9">
        <v>24</v>
      </c>
    </row>
    <row r="62" spans="3:8" x14ac:dyDescent="0.25">
      <c r="C62" s="8"/>
      <c r="D62" s="2" t="s">
        <v>999</v>
      </c>
      <c r="E62" s="2" t="s">
        <v>1008</v>
      </c>
      <c r="F62" s="4"/>
      <c r="G62" s="14"/>
      <c r="H62" s="9">
        <v>11158.5</v>
      </c>
    </row>
    <row r="63" spans="3:8" x14ac:dyDescent="0.25">
      <c r="C63" s="8"/>
      <c r="D63" s="2" t="s">
        <v>1000</v>
      </c>
      <c r="E63" s="2" t="s">
        <v>48</v>
      </c>
      <c r="F63" s="4">
        <v>18</v>
      </c>
      <c r="G63" s="14"/>
      <c r="H63" s="9"/>
    </row>
    <row r="64" spans="3:8" x14ac:dyDescent="0.25">
      <c r="C64" s="8"/>
      <c r="D64" s="2" t="s">
        <v>1001</v>
      </c>
      <c r="E64" s="2" t="s">
        <v>48</v>
      </c>
      <c r="F64" s="4"/>
      <c r="G64" s="14"/>
      <c r="H64" s="9">
        <v>6</v>
      </c>
    </row>
    <row r="65" spans="3:8" x14ac:dyDescent="0.25">
      <c r="C65" s="8"/>
      <c r="D65" s="2" t="s">
        <v>1002</v>
      </c>
      <c r="E65" s="2" t="s">
        <v>380</v>
      </c>
      <c r="F65" s="4">
        <v>204</v>
      </c>
      <c r="G65" s="14"/>
      <c r="H65" s="9"/>
    </row>
    <row r="66" spans="3:8" x14ac:dyDescent="0.25">
      <c r="C66" s="8"/>
      <c r="D66" s="2" t="s">
        <v>1003</v>
      </c>
      <c r="E66" s="2" t="s">
        <v>48</v>
      </c>
      <c r="F66" s="4">
        <v>10</v>
      </c>
      <c r="G66" s="14"/>
      <c r="H66" s="9"/>
    </row>
    <row r="67" spans="3:8" x14ac:dyDescent="0.25">
      <c r="C67" s="8"/>
      <c r="D67" s="2" t="s">
        <v>1009</v>
      </c>
      <c r="E67" s="2" t="s">
        <v>48</v>
      </c>
      <c r="F67" s="4"/>
      <c r="G67" s="14"/>
      <c r="H67" s="9">
        <v>27</v>
      </c>
    </row>
    <row r="68" spans="3:8" x14ac:dyDescent="0.25">
      <c r="C68" s="8"/>
      <c r="D68" s="2" t="s">
        <v>1010</v>
      </c>
      <c r="E68" s="2" t="s">
        <v>933</v>
      </c>
      <c r="F68" s="4">
        <v>204</v>
      </c>
      <c r="G68" s="14"/>
      <c r="H68" s="9"/>
    </row>
    <row r="69" spans="3:8" x14ac:dyDescent="0.25">
      <c r="C69" s="8"/>
      <c r="D69" s="2" t="s">
        <v>1011</v>
      </c>
      <c r="E69" s="2" t="s">
        <v>380</v>
      </c>
      <c r="F69" s="4">
        <v>4</v>
      </c>
      <c r="G69" s="14"/>
      <c r="H69" s="9"/>
    </row>
    <row r="70" spans="3:8" x14ac:dyDescent="0.25">
      <c r="C70" s="8"/>
      <c r="D70" s="2" t="s">
        <v>1012</v>
      </c>
      <c r="E70" s="2" t="s">
        <v>933</v>
      </c>
      <c r="F70" s="4"/>
      <c r="G70" s="14">
        <v>45</v>
      </c>
      <c r="H70" s="9"/>
    </row>
    <row r="71" spans="3:8" x14ac:dyDescent="0.25">
      <c r="C71" s="8"/>
      <c r="D71" s="2" t="s">
        <v>1013</v>
      </c>
      <c r="E71" s="2" t="s">
        <v>48</v>
      </c>
      <c r="F71" s="4">
        <v>60</v>
      </c>
      <c r="G71" s="14"/>
      <c r="H71" s="9"/>
    </row>
    <row r="72" spans="3:8" x14ac:dyDescent="0.25">
      <c r="C72" s="8"/>
      <c r="D72" s="2" t="s">
        <v>1014</v>
      </c>
      <c r="E72" s="2" t="s">
        <v>48</v>
      </c>
      <c r="F72" s="4">
        <v>8</v>
      </c>
      <c r="G72" s="14"/>
      <c r="H72" s="9"/>
    </row>
    <row r="73" spans="3:8" x14ac:dyDescent="0.25">
      <c r="C73" s="8"/>
      <c r="D73" s="2" t="s">
        <v>1015</v>
      </c>
      <c r="E73" s="2" t="s">
        <v>48</v>
      </c>
      <c r="F73" s="4">
        <v>4</v>
      </c>
      <c r="G73" s="14"/>
      <c r="H73" s="9"/>
    </row>
    <row r="74" spans="3:8" x14ac:dyDescent="0.25">
      <c r="C74" s="8"/>
      <c r="D74" s="2" t="s">
        <v>1016</v>
      </c>
      <c r="E74" s="2" t="s">
        <v>48</v>
      </c>
      <c r="F74" s="4">
        <v>15</v>
      </c>
      <c r="G74" s="14"/>
      <c r="H74" s="9"/>
    </row>
    <row r="75" spans="3:8" x14ac:dyDescent="0.25">
      <c r="C75" s="8"/>
      <c r="D75" s="2" t="s">
        <v>1041</v>
      </c>
      <c r="E75" s="2" t="s">
        <v>380</v>
      </c>
      <c r="F75" s="4">
        <v>15</v>
      </c>
      <c r="G75" s="14"/>
      <c r="H75" s="9"/>
    </row>
    <row r="76" spans="3:8" x14ac:dyDescent="0.25">
      <c r="C76" s="8"/>
      <c r="D76" s="2" t="s">
        <v>1042</v>
      </c>
      <c r="E76" s="2" t="s">
        <v>380</v>
      </c>
      <c r="F76" s="4">
        <v>2765</v>
      </c>
      <c r="G76" s="14"/>
      <c r="H76" s="9"/>
    </row>
    <row r="77" spans="3:8" x14ac:dyDescent="0.25">
      <c r="C77" s="8"/>
      <c r="D77" s="2" t="s">
        <v>1043</v>
      </c>
      <c r="E77" s="2" t="s">
        <v>380</v>
      </c>
      <c r="F77" s="4">
        <v>10</v>
      </c>
      <c r="G77" s="14"/>
      <c r="H77" s="9"/>
    </row>
    <row r="78" spans="3:8" x14ac:dyDescent="0.25">
      <c r="C78" s="8"/>
      <c r="D78" s="2" t="s">
        <v>1044</v>
      </c>
      <c r="E78" s="2" t="s">
        <v>48</v>
      </c>
      <c r="F78" s="4">
        <v>3</v>
      </c>
      <c r="G78" s="14"/>
      <c r="H78" s="9"/>
    </row>
    <row r="79" spans="3:8" x14ac:dyDescent="0.25">
      <c r="C79" s="8"/>
      <c r="D79" s="2" t="s">
        <v>1045</v>
      </c>
      <c r="E79" s="2" t="s">
        <v>48</v>
      </c>
      <c r="F79" s="4">
        <v>9</v>
      </c>
      <c r="G79" s="14"/>
      <c r="H79" s="9"/>
    </row>
    <row r="80" spans="3:8" x14ac:dyDescent="0.25">
      <c r="C80" s="8"/>
      <c r="D80" s="2" t="s">
        <v>1046</v>
      </c>
      <c r="E80" s="2" t="s">
        <v>48</v>
      </c>
      <c r="F80" s="4">
        <v>22.5</v>
      </c>
      <c r="G80" s="14"/>
      <c r="H80" s="9"/>
    </row>
    <row r="81" spans="3:8" x14ac:dyDescent="0.25">
      <c r="C81" s="8"/>
      <c r="D81" s="2" t="s">
        <v>1047</v>
      </c>
      <c r="E81" s="2" t="s">
        <v>48</v>
      </c>
      <c r="F81" s="4"/>
      <c r="G81" s="14"/>
      <c r="H81" s="9">
        <v>3</v>
      </c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ht="15.75" customHeight="1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29"/>
      <c r="D88" s="30"/>
      <c r="E88" s="30" t="s">
        <v>60</v>
      </c>
      <c r="F88" s="4"/>
      <c r="G88" s="14"/>
      <c r="H88" s="9"/>
    </row>
    <row r="89" spans="3:8" x14ac:dyDescent="0.25">
      <c r="C89" s="8"/>
      <c r="D89" s="2" t="s">
        <v>950</v>
      </c>
      <c r="E89" s="2" t="s">
        <v>951</v>
      </c>
      <c r="F89" s="4"/>
      <c r="G89" s="14"/>
      <c r="H89" s="9">
        <v>54.9</v>
      </c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 t="s">
        <v>952</v>
      </c>
      <c r="E91" s="2" t="s">
        <v>953</v>
      </c>
      <c r="F91" s="4"/>
      <c r="G91" s="14">
        <v>81</v>
      </c>
      <c r="H91" s="9"/>
    </row>
    <row r="92" spans="3:8" x14ac:dyDescent="0.25">
      <c r="C92" s="8"/>
      <c r="D92" s="2" t="s">
        <v>954</v>
      </c>
      <c r="E92" s="2" t="s">
        <v>955</v>
      </c>
      <c r="F92" s="4"/>
      <c r="G92" s="14"/>
      <c r="H92" s="9">
        <v>1464</v>
      </c>
    </row>
    <row r="93" spans="3:8" x14ac:dyDescent="0.25">
      <c r="C93" s="8"/>
      <c r="D93" s="2" t="s">
        <v>1004</v>
      </c>
      <c r="E93" s="2" t="s">
        <v>1005</v>
      </c>
      <c r="F93" s="4"/>
      <c r="G93" s="14"/>
      <c r="H93" s="9">
        <v>6000</v>
      </c>
    </row>
    <row r="94" spans="3:8" x14ac:dyDescent="0.25">
      <c r="C94" s="8"/>
      <c r="D94" s="2" t="s">
        <v>1021</v>
      </c>
      <c r="E94" s="2" t="s">
        <v>1005</v>
      </c>
      <c r="F94" s="4"/>
      <c r="G94" s="14"/>
      <c r="H94" s="9">
        <v>686</v>
      </c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8"/>
      <c r="D97" s="2"/>
      <c r="E97" s="2"/>
      <c r="F97" s="4"/>
      <c r="G97" s="14"/>
      <c r="H97" s="9"/>
    </row>
    <row r="98" spans="3:8" x14ac:dyDescent="0.25">
      <c r="C98" s="16"/>
      <c r="D98" s="17"/>
      <c r="E98" s="17" t="s">
        <v>39</v>
      </c>
      <c r="F98" s="4"/>
      <c r="G98" s="14"/>
      <c r="H98" s="9"/>
    </row>
    <row r="99" spans="3:8" x14ac:dyDescent="0.25">
      <c r="C99" s="8"/>
      <c r="D99" s="45"/>
      <c r="E99" s="2" t="s">
        <v>903</v>
      </c>
      <c r="F99" s="4">
        <v>1552</v>
      </c>
      <c r="G99" s="14"/>
      <c r="H99" s="9"/>
    </row>
    <row r="100" spans="3:8" x14ac:dyDescent="0.25">
      <c r="C100" s="8"/>
      <c r="D100" s="45"/>
      <c r="E100" s="2" t="s">
        <v>1049</v>
      </c>
      <c r="F100" s="4">
        <v>10000</v>
      </c>
      <c r="G100" s="14"/>
      <c r="H100" s="9"/>
    </row>
    <row r="101" spans="3:8" x14ac:dyDescent="0.25">
      <c r="C101" s="8"/>
      <c r="D101" s="45"/>
      <c r="E101" s="2" t="s">
        <v>1048</v>
      </c>
      <c r="F101" s="4">
        <v>20000</v>
      </c>
      <c r="G101" s="14"/>
      <c r="H101" s="9"/>
    </row>
    <row r="102" spans="3:8" x14ac:dyDescent="0.25">
      <c r="C102" s="8"/>
      <c r="D102" s="45"/>
      <c r="E102" s="2" t="s">
        <v>1050</v>
      </c>
      <c r="F102" s="4">
        <v>30000</v>
      </c>
      <c r="G102" s="14"/>
      <c r="H102" s="9"/>
    </row>
    <row r="103" spans="3:8" x14ac:dyDescent="0.25">
      <c r="C103" s="8"/>
      <c r="D103" s="45"/>
      <c r="E103" s="2" t="s">
        <v>676</v>
      </c>
      <c r="F103" s="4">
        <v>25</v>
      </c>
      <c r="G103" s="14"/>
      <c r="H103" s="9"/>
    </row>
    <row r="104" spans="3:8" x14ac:dyDescent="0.25">
      <c r="C104" s="8"/>
      <c r="D104" s="45"/>
      <c r="E104" s="2" t="s">
        <v>1051</v>
      </c>
      <c r="F104" s="4">
        <v>10000</v>
      </c>
      <c r="G104" s="14"/>
      <c r="H104" s="9"/>
    </row>
    <row r="105" spans="3:8" x14ac:dyDescent="0.25">
      <c r="C105" s="8"/>
      <c r="D105" s="45"/>
      <c r="E105" s="2" t="s">
        <v>1052</v>
      </c>
      <c r="F105" s="4">
        <v>1000</v>
      </c>
      <c r="G105" s="14"/>
      <c r="H105" s="9"/>
    </row>
    <row r="106" spans="3:8" x14ac:dyDescent="0.25">
      <c r="C106" s="8"/>
      <c r="D106" s="45"/>
      <c r="E106" s="2"/>
      <c r="F106" s="4"/>
      <c r="G106" s="14"/>
      <c r="H106" s="9"/>
    </row>
    <row r="107" spans="3:8" x14ac:dyDescent="0.25">
      <c r="C107" s="8"/>
      <c r="D107" s="45"/>
      <c r="E107" s="2"/>
      <c r="F107" s="4"/>
      <c r="G107" s="14"/>
      <c r="H107" s="9"/>
    </row>
    <row r="108" spans="3:8" x14ac:dyDescent="0.25">
      <c r="C108" s="8"/>
      <c r="D108" s="45"/>
      <c r="E108" s="2"/>
      <c r="F108" s="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x14ac:dyDescent="0.25">
      <c r="C110" s="8"/>
      <c r="D110" s="2"/>
      <c r="E110" s="2"/>
      <c r="F110" s="4"/>
      <c r="G110" s="14"/>
      <c r="H110" s="9"/>
    </row>
    <row r="111" spans="3:8" x14ac:dyDescent="0.25">
      <c r="C111" s="19"/>
      <c r="D111" s="20"/>
      <c r="E111" s="20" t="s">
        <v>42</v>
      </c>
      <c r="F111" s="4"/>
      <c r="G111" s="14"/>
      <c r="H111" s="9"/>
    </row>
    <row r="112" spans="3:8" x14ac:dyDescent="0.25">
      <c r="C112" s="34"/>
      <c r="D112" s="42"/>
      <c r="E112" s="2" t="s">
        <v>978</v>
      </c>
      <c r="F112" s="14">
        <v>-544</v>
      </c>
      <c r="G112" s="14"/>
      <c r="H112" s="9"/>
    </row>
    <row r="113" spans="3:8" x14ac:dyDescent="0.25">
      <c r="C113" s="8"/>
      <c r="D113" s="2"/>
      <c r="E113" s="2" t="s">
        <v>1057</v>
      </c>
      <c r="F113" s="14">
        <v>-25</v>
      </c>
      <c r="G113" s="14"/>
      <c r="H113" s="9"/>
    </row>
    <row r="114" spans="3:8" x14ac:dyDescent="0.25">
      <c r="C114" s="34"/>
      <c r="D114" s="42"/>
      <c r="E114" s="2" t="s">
        <v>1017</v>
      </c>
      <c r="F114" s="14">
        <v>-6000</v>
      </c>
      <c r="G114" s="14"/>
      <c r="H114" s="9"/>
    </row>
    <row r="115" spans="3:8" x14ac:dyDescent="0.25">
      <c r="C115" s="8"/>
      <c r="D115" s="2"/>
      <c r="E115" s="2" t="s">
        <v>1018</v>
      </c>
      <c r="F115" s="14">
        <v>-20</v>
      </c>
      <c r="G115" s="14"/>
      <c r="H115" s="9"/>
    </row>
    <row r="116" spans="3:8" x14ac:dyDescent="0.25">
      <c r="C116" s="8"/>
      <c r="D116" s="2"/>
      <c r="E116" s="2" t="s">
        <v>1019</v>
      </c>
      <c r="F116" s="14">
        <v>-1820</v>
      </c>
      <c r="G116" s="14"/>
      <c r="H116" s="9"/>
    </row>
    <row r="117" spans="3:8" x14ac:dyDescent="0.25">
      <c r="C117" s="8"/>
      <c r="D117" s="2"/>
      <c r="E117" s="2" t="s">
        <v>1020</v>
      </c>
      <c r="F117" s="14">
        <v>-12363</v>
      </c>
      <c r="G117" s="14"/>
      <c r="H117" s="9"/>
    </row>
    <row r="118" spans="3:8" x14ac:dyDescent="0.25">
      <c r="C118" s="8"/>
      <c r="D118" s="2"/>
      <c r="E118" s="2" t="s">
        <v>119</v>
      </c>
      <c r="F118" s="14">
        <v>-10</v>
      </c>
      <c r="G118" s="14"/>
      <c r="H118" s="9"/>
    </row>
    <row r="119" spans="3:8" x14ac:dyDescent="0.25">
      <c r="C119" s="8"/>
      <c r="D119" s="2"/>
      <c r="E119" s="2" t="s">
        <v>120</v>
      </c>
      <c r="F119" s="14">
        <v>-56</v>
      </c>
      <c r="G119" s="14"/>
      <c r="H119" s="9"/>
    </row>
    <row r="120" spans="3:8" x14ac:dyDescent="0.25">
      <c r="C120" s="8"/>
      <c r="D120" s="2"/>
      <c r="E120" s="2" t="s">
        <v>1053</v>
      </c>
      <c r="F120" s="14">
        <v>-8704</v>
      </c>
      <c r="G120" s="14"/>
      <c r="H120" s="9"/>
    </row>
    <row r="121" spans="3:8" x14ac:dyDescent="0.25">
      <c r="C121" s="8"/>
      <c r="D121" s="2"/>
      <c r="E121" s="2" t="s">
        <v>1054</v>
      </c>
      <c r="F121" s="14">
        <v>-23000</v>
      </c>
      <c r="G121" s="14"/>
      <c r="H121" s="9"/>
    </row>
    <row r="122" spans="3:8" x14ac:dyDescent="0.25">
      <c r="C122" s="8"/>
      <c r="D122" s="2"/>
      <c r="E122" s="2" t="s">
        <v>1055</v>
      </c>
      <c r="F122" s="14">
        <v>-60</v>
      </c>
      <c r="G122" s="14"/>
      <c r="H122" s="9"/>
    </row>
    <row r="123" spans="3:8" x14ac:dyDescent="0.25">
      <c r="C123" s="8"/>
      <c r="D123" s="2"/>
      <c r="E123" s="2" t="s">
        <v>610</v>
      </c>
      <c r="F123" s="14">
        <v>-9838.4</v>
      </c>
      <c r="G123" s="14"/>
      <c r="H123" s="9"/>
    </row>
    <row r="124" spans="3:8" x14ac:dyDescent="0.25">
      <c r="C124" s="8"/>
      <c r="D124" s="2"/>
      <c r="E124" s="2" t="s">
        <v>1056</v>
      </c>
      <c r="F124" s="14">
        <v>-120</v>
      </c>
      <c r="G124" s="14"/>
      <c r="H124" s="9"/>
    </row>
    <row r="125" spans="3:8" x14ac:dyDescent="0.25">
      <c r="C125" s="8"/>
      <c r="D125" s="2"/>
      <c r="E125" s="2" t="s">
        <v>1058</v>
      </c>
      <c r="F125" s="14">
        <v>-200</v>
      </c>
      <c r="G125" s="14"/>
      <c r="H125" s="9"/>
    </row>
    <row r="126" spans="3:8" x14ac:dyDescent="0.25">
      <c r="C126" s="8"/>
      <c r="D126" s="2"/>
      <c r="E126" s="2"/>
      <c r="F126" s="14"/>
      <c r="G126" s="14"/>
      <c r="H126" s="9"/>
    </row>
    <row r="127" spans="3:8" x14ac:dyDescent="0.25">
      <c r="C127" s="8"/>
      <c r="D127" s="2"/>
      <c r="E127" s="2"/>
      <c r="F127" s="14"/>
      <c r="G127" s="14"/>
      <c r="H127" s="9"/>
    </row>
    <row r="128" spans="3:8" x14ac:dyDescent="0.25">
      <c r="C128" s="8"/>
      <c r="D128" s="2"/>
      <c r="E128" s="2"/>
      <c r="F128" s="14"/>
      <c r="G128" s="14"/>
      <c r="H128" s="9"/>
    </row>
    <row r="129" spans="3:10" x14ac:dyDescent="0.25">
      <c r="C129" s="8"/>
      <c r="D129" s="2"/>
      <c r="E129" s="2"/>
      <c r="F129" s="4"/>
      <c r="G129" s="14"/>
      <c r="H129" s="9"/>
    </row>
    <row r="130" spans="3:10" ht="15.75" thickBot="1" x14ac:dyDescent="0.3">
      <c r="C130" s="10"/>
      <c r="D130" s="11"/>
      <c r="E130" s="11" t="s">
        <v>44</v>
      </c>
      <c r="F130" s="12">
        <f>SUM(F6:F129)</f>
        <v>23444.6</v>
      </c>
      <c r="G130" s="15">
        <f>SUM(G6:G129)</f>
        <v>3356.6</v>
      </c>
      <c r="H130" s="13">
        <f>SUM(H6:H129)</f>
        <v>19849.900000000001</v>
      </c>
    </row>
    <row r="133" spans="3:10" ht="18.75" x14ac:dyDescent="0.3">
      <c r="E133" s="38" t="s">
        <v>49</v>
      </c>
      <c r="F133" s="39">
        <f>+H4+F130</f>
        <v>26682.649999999998</v>
      </c>
    </row>
    <row r="136" spans="3:10" x14ac:dyDescent="0.25">
      <c r="J136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6ABB-7255-479E-95EC-AFA22FB28DF3}">
  <sheetPr codeName="Hoja10"/>
  <dimension ref="C2:J128"/>
  <sheetViews>
    <sheetView topLeftCell="A93" workbookViewId="0">
      <selection activeCell="A113" sqref="A113:XFD113"/>
    </sheetView>
  </sheetViews>
  <sheetFormatPr baseColWidth="10" defaultRowHeight="15" x14ac:dyDescent="0.25"/>
  <cols>
    <col min="3" max="3" width="15.140625" style="1" bestFit="1" customWidth="1"/>
    <col min="4" max="4" width="24" style="1" bestFit="1" customWidth="1"/>
    <col min="5" max="5" width="60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1059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26682.55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1062</v>
      </c>
      <c r="E6" s="2" t="s">
        <v>440</v>
      </c>
      <c r="F6" s="4"/>
      <c r="G6" s="14"/>
      <c r="H6" s="9">
        <v>63</v>
      </c>
    </row>
    <row r="7" spans="3:8" x14ac:dyDescent="0.25">
      <c r="C7" s="8"/>
      <c r="D7" s="2" t="s">
        <v>1076</v>
      </c>
      <c r="E7" s="2" t="s">
        <v>440</v>
      </c>
      <c r="F7" s="4">
        <v>2</v>
      </c>
      <c r="G7" s="14"/>
      <c r="H7" s="9"/>
    </row>
    <row r="8" spans="3:8" x14ac:dyDescent="0.25">
      <c r="C8" s="8"/>
      <c r="D8" s="2" t="s">
        <v>1077</v>
      </c>
      <c r="E8" s="2" t="s">
        <v>105</v>
      </c>
      <c r="F8" s="4">
        <v>176</v>
      </c>
      <c r="G8" s="14"/>
      <c r="H8" s="9"/>
    </row>
    <row r="9" spans="3:8" x14ac:dyDescent="0.25">
      <c r="C9" s="8"/>
      <c r="D9" s="2" t="s">
        <v>1078</v>
      </c>
      <c r="E9" s="2" t="s">
        <v>440</v>
      </c>
      <c r="F9" s="4">
        <v>5</v>
      </c>
      <c r="G9" s="14"/>
      <c r="H9" s="9"/>
    </row>
    <row r="10" spans="3:8" x14ac:dyDescent="0.25">
      <c r="C10" s="8"/>
      <c r="D10" s="2" t="s">
        <v>1079</v>
      </c>
      <c r="E10" s="2" t="s">
        <v>1086</v>
      </c>
      <c r="F10" s="4">
        <v>470</v>
      </c>
      <c r="G10" s="14"/>
      <c r="H10" s="9"/>
    </row>
    <row r="11" spans="3:8" x14ac:dyDescent="0.25">
      <c r="C11" s="8"/>
      <c r="D11" s="2" t="s">
        <v>1080</v>
      </c>
      <c r="E11" s="2" t="s">
        <v>1085</v>
      </c>
      <c r="F11" s="4">
        <v>4564.3</v>
      </c>
      <c r="G11" s="14"/>
      <c r="H11" s="9"/>
    </row>
    <row r="12" spans="3:8" x14ac:dyDescent="0.25">
      <c r="C12" s="8"/>
      <c r="D12" s="2" t="s">
        <v>1081</v>
      </c>
      <c r="E12" s="2" t="s">
        <v>440</v>
      </c>
      <c r="F12" s="4">
        <v>2.5</v>
      </c>
      <c r="G12" s="14"/>
      <c r="H12" s="9"/>
    </row>
    <row r="13" spans="3:8" x14ac:dyDescent="0.25">
      <c r="C13" s="8"/>
      <c r="D13" s="2" t="s">
        <v>1082</v>
      </c>
      <c r="E13" s="2" t="s">
        <v>976</v>
      </c>
      <c r="F13" s="4">
        <v>210</v>
      </c>
      <c r="G13" s="14"/>
      <c r="H13" s="9"/>
    </row>
    <row r="14" spans="3:8" x14ac:dyDescent="0.25">
      <c r="C14" s="8"/>
      <c r="D14" s="2" t="s">
        <v>1083</v>
      </c>
      <c r="E14" s="2" t="s">
        <v>105</v>
      </c>
      <c r="F14" s="4">
        <v>265.5</v>
      </c>
      <c r="G14" s="14"/>
      <c r="H14" s="9"/>
    </row>
    <row r="15" spans="3:8" x14ac:dyDescent="0.25">
      <c r="C15" s="8"/>
      <c r="D15" s="2" t="s">
        <v>1084</v>
      </c>
      <c r="E15" s="2" t="s">
        <v>1098</v>
      </c>
      <c r="F15" s="4">
        <v>80</v>
      </c>
      <c r="G15" s="14"/>
      <c r="H15" s="9"/>
    </row>
    <row r="16" spans="3:8" x14ac:dyDescent="0.25">
      <c r="C16" s="8"/>
      <c r="D16" s="2" t="s">
        <v>1087</v>
      </c>
      <c r="E16" s="2" t="s">
        <v>440</v>
      </c>
      <c r="F16" s="4">
        <v>5</v>
      </c>
      <c r="G16" s="14"/>
      <c r="H16" s="9"/>
    </row>
    <row r="17" spans="3:8" x14ac:dyDescent="0.25">
      <c r="C17" s="8"/>
      <c r="D17" s="2" t="s">
        <v>1088</v>
      </c>
      <c r="E17" s="2" t="s">
        <v>440</v>
      </c>
      <c r="F17" s="4">
        <v>13</v>
      </c>
      <c r="G17" s="14"/>
      <c r="H17" s="9"/>
    </row>
    <row r="18" spans="3:8" x14ac:dyDescent="0.25">
      <c r="C18" s="8"/>
      <c r="D18" s="2" t="s">
        <v>1089</v>
      </c>
      <c r="E18" s="2" t="s">
        <v>440</v>
      </c>
      <c r="F18" s="4"/>
      <c r="G18" s="14"/>
      <c r="H18" s="9">
        <v>153</v>
      </c>
    </row>
    <row r="19" spans="3:8" x14ac:dyDescent="0.25">
      <c r="C19" s="8"/>
      <c r="D19" s="2" t="s">
        <v>1090</v>
      </c>
      <c r="E19" s="2" t="s">
        <v>440</v>
      </c>
      <c r="F19" s="4">
        <v>34</v>
      </c>
      <c r="G19" s="14"/>
      <c r="H19" s="9"/>
    </row>
    <row r="20" spans="3:8" x14ac:dyDescent="0.25">
      <c r="C20" s="8"/>
      <c r="D20" s="2" t="s">
        <v>1091</v>
      </c>
      <c r="E20" s="2" t="s">
        <v>440</v>
      </c>
      <c r="F20" s="4">
        <v>2</v>
      </c>
      <c r="G20" s="14"/>
      <c r="H20" s="9"/>
    </row>
    <row r="21" spans="3:8" x14ac:dyDescent="0.25">
      <c r="C21" s="8"/>
      <c r="D21" s="2" t="s">
        <v>1092</v>
      </c>
      <c r="E21" s="2" t="s">
        <v>440</v>
      </c>
      <c r="F21" s="4">
        <v>5</v>
      </c>
      <c r="G21" s="14"/>
      <c r="H21" s="9"/>
    </row>
    <row r="22" spans="3:8" x14ac:dyDescent="0.25">
      <c r="C22" s="8"/>
      <c r="D22" s="2" t="s">
        <v>1093</v>
      </c>
      <c r="E22" s="2" t="s">
        <v>440</v>
      </c>
      <c r="F22" s="4">
        <v>5</v>
      </c>
      <c r="G22" s="14"/>
      <c r="H22" s="9"/>
    </row>
    <row r="23" spans="3:8" x14ac:dyDescent="0.25">
      <c r="C23" s="8"/>
      <c r="D23" s="2" t="s">
        <v>1094</v>
      </c>
      <c r="E23" s="2" t="s">
        <v>440</v>
      </c>
      <c r="F23" s="4"/>
      <c r="G23" s="14"/>
      <c r="H23" s="9">
        <v>16</v>
      </c>
    </row>
    <row r="24" spans="3:8" x14ac:dyDescent="0.25">
      <c r="C24" s="8"/>
      <c r="D24" s="2" t="s">
        <v>1095</v>
      </c>
      <c r="E24" s="2" t="s">
        <v>975</v>
      </c>
      <c r="F24" s="4">
        <v>204</v>
      </c>
      <c r="G24" s="14"/>
      <c r="H24" s="9"/>
    </row>
    <row r="25" spans="3:8" x14ac:dyDescent="0.25">
      <c r="C25" s="8"/>
      <c r="D25" s="2" t="s">
        <v>1096</v>
      </c>
      <c r="E25" s="2" t="s">
        <v>440</v>
      </c>
      <c r="F25" s="4">
        <v>24</v>
      </c>
      <c r="G25" s="14"/>
      <c r="H25" s="9"/>
    </row>
    <row r="26" spans="3:8" x14ac:dyDescent="0.25">
      <c r="C26" s="8"/>
      <c r="D26" s="2" t="s">
        <v>1097</v>
      </c>
      <c r="E26" s="2" t="s">
        <v>541</v>
      </c>
      <c r="F26" s="4"/>
      <c r="G26" s="14"/>
      <c r="H26" s="9">
        <v>36</v>
      </c>
    </row>
    <row r="27" spans="3:8" x14ac:dyDescent="0.25">
      <c r="C27" s="8"/>
      <c r="D27" s="2" t="s">
        <v>1099</v>
      </c>
      <c r="E27" s="1" t="s">
        <v>440</v>
      </c>
      <c r="F27" s="4">
        <v>25</v>
      </c>
      <c r="G27" s="14"/>
      <c r="H27" s="9"/>
    </row>
    <row r="28" spans="3:8" x14ac:dyDescent="0.25">
      <c r="C28" s="8"/>
      <c r="D28" s="2" t="s">
        <v>1100</v>
      </c>
      <c r="E28" s="2" t="s">
        <v>440</v>
      </c>
      <c r="F28" s="4">
        <v>18</v>
      </c>
      <c r="G28" s="14"/>
      <c r="H28" s="9"/>
    </row>
    <row r="29" spans="3:8" x14ac:dyDescent="0.25">
      <c r="C29" s="8"/>
      <c r="D29" s="2" t="s">
        <v>1101</v>
      </c>
      <c r="E29" s="2" t="s">
        <v>440</v>
      </c>
      <c r="F29" s="4">
        <v>10</v>
      </c>
      <c r="G29" s="14"/>
      <c r="H29" s="9"/>
    </row>
    <row r="30" spans="3:8" x14ac:dyDescent="0.25">
      <c r="C30" s="8"/>
      <c r="D30" s="2" t="s">
        <v>1102</v>
      </c>
      <c r="E30" s="2" t="s">
        <v>440</v>
      </c>
      <c r="F30" s="4"/>
      <c r="G30" s="14"/>
      <c r="H30" s="9">
        <v>126</v>
      </c>
    </row>
    <row r="31" spans="3:8" x14ac:dyDescent="0.25">
      <c r="C31" s="8"/>
      <c r="D31" s="2" t="s">
        <v>1103</v>
      </c>
      <c r="E31" s="2" t="s">
        <v>592</v>
      </c>
      <c r="F31" s="4"/>
      <c r="G31" s="14"/>
      <c r="H31" s="9">
        <v>28</v>
      </c>
    </row>
    <row r="32" spans="3:8" x14ac:dyDescent="0.25">
      <c r="C32" s="8"/>
      <c r="D32" s="2" t="s">
        <v>1104</v>
      </c>
      <c r="E32" s="2" t="s">
        <v>440</v>
      </c>
      <c r="F32" s="4">
        <v>8</v>
      </c>
      <c r="G32" s="14"/>
      <c r="H32" s="9"/>
    </row>
    <row r="33" spans="3:8" x14ac:dyDescent="0.25">
      <c r="C33" s="8"/>
      <c r="D33" s="2" t="s">
        <v>1105</v>
      </c>
      <c r="E33" s="2" t="s">
        <v>440</v>
      </c>
      <c r="F33" s="4">
        <v>15</v>
      </c>
      <c r="G33" s="14"/>
      <c r="H33" s="9"/>
    </row>
    <row r="34" spans="3:8" x14ac:dyDescent="0.25">
      <c r="C34" s="8"/>
      <c r="D34" s="2" t="s">
        <v>1106</v>
      </c>
      <c r="E34" s="2" t="s">
        <v>440</v>
      </c>
      <c r="F34" s="4">
        <v>6</v>
      </c>
      <c r="G34" s="14"/>
      <c r="H34" s="9"/>
    </row>
    <row r="35" spans="3:8" x14ac:dyDescent="0.25">
      <c r="C35" s="8"/>
      <c r="D35" s="2" t="s">
        <v>1107</v>
      </c>
      <c r="E35" s="2" t="s">
        <v>440</v>
      </c>
      <c r="F35" s="4"/>
      <c r="G35" s="14"/>
      <c r="H35" s="9">
        <v>5</v>
      </c>
    </row>
    <row r="36" spans="3:8" x14ac:dyDescent="0.25">
      <c r="C36" s="8"/>
      <c r="D36" s="2" t="s">
        <v>1108</v>
      </c>
      <c r="E36" s="2" t="s">
        <v>592</v>
      </c>
      <c r="F36" s="4"/>
      <c r="G36" s="14"/>
      <c r="H36" s="9">
        <v>560</v>
      </c>
    </row>
    <row r="37" spans="3:8" x14ac:dyDescent="0.25">
      <c r="C37" s="8"/>
      <c r="D37" s="2" t="s">
        <v>1109</v>
      </c>
      <c r="E37" s="2" t="s">
        <v>158</v>
      </c>
      <c r="F37" s="4"/>
      <c r="G37" s="14"/>
      <c r="H37" s="9">
        <v>2160</v>
      </c>
    </row>
    <row r="38" spans="3:8" x14ac:dyDescent="0.25">
      <c r="C38" s="8"/>
      <c r="D38" s="2" t="s">
        <v>1110</v>
      </c>
      <c r="E38" s="2" t="s">
        <v>592</v>
      </c>
      <c r="F38" s="4"/>
      <c r="G38" s="14"/>
      <c r="H38" s="9">
        <v>247</v>
      </c>
    </row>
    <row r="39" spans="3:8" x14ac:dyDescent="0.25">
      <c r="C39" s="8"/>
      <c r="D39" s="2" t="s">
        <v>1111</v>
      </c>
      <c r="E39" s="2" t="s">
        <v>1116</v>
      </c>
      <c r="F39" s="4"/>
      <c r="G39" s="14">
        <v>1640</v>
      </c>
      <c r="H39" s="9"/>
    </row>
    <row r="40" spans="3:8" x14ac:dyDescent="0.25">
      <c r="C40" s="8"/>
      <c r="D40" s="2" t="s">
        <v>1112</v>
      </c>
      <c r="E40" s="2" t="s">
        <v>158</v>
      </c>
      <c r="F40" s="4"/>
      <c r="G40" s="14">
        <v>444</v>
      </c>
      <c r="H40" s="9"/>
    </row>
    <row r="41" spans="3:8" x14ac:dyDescent="0.25">
      <c r="C41" s="8"/>
      <c r="D41" s="2" t="s">
        <v>1113</v>
      </c>
      <c r="E41" s="2" t="s">
        <v>1098</v>
      </c>
      <c r="F41" s="4"/>
      <c r="G41" s="14">
        <v>252</v>
      </c>
      <c r="H41" s="9"/>
    </row>
    <row r="42" spans="3:8" x14ac:dyDescent="0.25">
      <c r="C42" s="8"/>
      <c r="D42" s="2" t="s">
        <v>1114</v>
      </c>
      <c r="E42" s="2" t="s">
        <v>266</v>
      </c>
      <c r="F42" s="4"/>
      <c r="G42" s="14">
        <v>330</v>
      </c>
      <c r="H42" s="9"/>
    </row>
    <row r="43" spans="3:8" x14ac:dyDescent="0.25">
      <c r="C43" s="8"/>
      <c r="D43" s="2" t="s">
        <v>1115</v>
      </c>
      <c r="E43" s="2" t="s">
        <v>266</v>
      </c>
      <c r="F43" s="4"/>
      <c r="G43" s="14">
        <v>4347.7700000000004</v>
      </c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 t="s">
        <v>1117</v>
      </c>
      <c r="E50" s="2" t="s">
        <v>48</v>
      </c>
      <c r="F50" s="4">
        <v>59.2</v>
      </c>
      <c r="G50" s="14"/>
      <c r="H50" s="9"/>
    </row>
    <row r="51" spans="3:8" x14ac:dyDescent="0.25">
      <c r="C51" s="8"/>
      <c r="D51" s="2" t="s">
        <v>1118</v>
      </c>
      <c r="E51" s="2" t="s">
        <v>48</v>
      </c>
      <c r="F51" s="4">
        <v>5</v>
      </c>
      <c r="G51" s="14"/>
      <c r="H51" s="9"/>
    </row>
    <row r="52" spans="3:8" x14ac:dyDescent="0.25">
      <c r="C52" s="8"/>
      <c r="D52" s="2" t="s">
        <v>1119</v>
      </c>
      <c r="E52" s="2" t="s">
        <v>1124</v>
      </c>
      <c r="F52" s="4"/>
      <c r="G52" s="14"/>
      <c r="H52" s="9">
        <v>750</v>
      </c>
    </row>
    <row r="53" spans="3:8" x14ac:dyDescent="0.25">
      <c r="C53" s="8"/>
      <c r="D53" s="2" t="s">
        <v>1120</v>
      </c>
      <c r="E53" s="2" t="s">
        <v>48</v>
      </c>
      <c r="F53" s="4">
        <v>9</v>
      </c>
      <c r="G53" s="14"/>
      <c r="H53" s="9"/>
    </row>
    <row r="54" spans="3:8" x14ac:dyDescent="0.25">
      <c r="C54" s="8"/>
      <c r="D54" s="2" t="s">
        <v>1121</v>
      </c>
      <c r="E54" s="2" t="s">
        <v>48</v>
      </c>
      <c r="F54" s="4">
        <v>3</v>
      </c>
      <c r="G54" s="14"/>
      <c r="H54" s="9"/>
    </row>
    <row r="55" spans="3:8" x14ac:dyDescent="0.25">
      <c r="C55" s="8"/>
      <c r="D55" s="2" t="s">
        <v>1122</v>
      </c>
      <c r="E55" s="2" t="s">
        <v>380</v>
      </c>
      <c r="F55" s="4">
        <v>100</v>
      </c>
      <c r="G55" s="14"/>
      <c r="H55" s="9"/>
    </row>
    <row r="56" spans="3:8" x14ac:dyDescent="0.25">
      <c r="C56" s="8"/>
      <c r="D56" s="2" t="s">
        <v>1123</v>
      </c>
      <c r="E56" s="2" t="s">
        <v>48</v>
      </c>
      <c r="F56" s="4">
        <v>11</v>
      </c>
      <c r="G56" s="14"/>
      <c r="H56" s="9"/>
    </row>
    <row r="57" spans="3:8" x14ac:dyDescent="0.25">
      <c r="C57" s="8"/>
      <c r="D57" s="2" t="s">
        <v>1125</v>
      </c>
      <c r="E57" s="2" t="s">
        <v>48</v>
      </c>
      <c r="F57" s="4"/>
      <c r="G57" s="14"/>
      <c r="H57" s="9">
        <v>3.5</v>
      </c>
    </row>
    <row r="58" spans="3:8" x14ac:dyDescent="0.25">
      <c r="C58" s="8"/>
      <c r="D58" s="2" t="s">
        <v>1126</v>
      </c>
      <c r="E58" s="2" t="s">
        <v>327</v>
      </c>
      <c r="F58" s="4"/>
      <c r="G58" s="14"/>
      <c r="H58" s="9">
        <v>280</v>
      </c>
    </row>
    <row r="59" spans="3:8" x14ac:dyDescent="0.25">
      <c r="C59" s="8"/>
      <c r="D59" s="2" t="s">
        <v>1127</v>
      </c>
      <c r="E59" s="2" t="s">
        <v>48</v>
      </c>
      <c r="F59" s="4">
        <v>22.5</v>
      </c>
      <c r="G59" s="14"/>
      <c r="H59" s="9"/>
    </row>
    <row r="60" spans="3:8" x14ac:dyDescent="0.25">
      <c r="C60" s="8"/>
      <c r="D60" s="2" t="s">
        <v>1128</v>
      </c>
      <c r="E60" s="2" t="s">
        <v>48</v>
      </c>
      <c r="F60" s="4">
        <v>9.5</v>
      </c>
      <c r="G60" s="14"/>
      <c r="H60" s="9"/>
    </row>
    <row r="61" spans="3:8" x14ac:dyDescent="0.25">
      <c r="C61" s="8"/>
      <c r="D61" s="2" t="s">
        <v>1129</v>
      </c>
      <c r="E61" s="2" t="s">
        <v>756</v>
      </c>
      <c r="F61" s="4"/>
      <c r="G61" s="14">
        <v>5</v>
      </c>
      <c r="H61" s="9"/>
    </row>
    <row r="62" spans="3:8" x14ac:dyDescent="0.25">
      <c r="C62" s="8"/>
      <c r="D62" s="2" t="s">
        <v>1130</v>
      </c>
      <c r="E62" s="2" t="s">
        <v>38</v>
      </c>
      <c r="F62" s="4"/>
      <c r="G62" s="14">
        <v>60</v>
      </c>
      <c r="H62" s="9"/>
    </row>
    <row r="63" spans="3:8" ht="15.75" customHeight="1" x14ac:dyDescent="0.25">
      <c r="C63" s="8"/>
      <c r="D63" s="2" t="s">
        <v>1131</v>
      </c>
      <c r="E63" s="2" t="s">
        <v>48</v>
      </c>
      <c r="F63" s="4">
        <v>5</v>
      </c>
      <c r="G63" s="14"/>
      <c r="H63" s="9"/>
    </row>
    <row r="64" spans="3:8" ht="15.75" customHeight="1" x14ac:dyDescent="0.25">
      <c r="C64" s="8"/>
      <c r="D64" s="2" t="s">
        <v>1132</v>
      </c>
      <c r="E64" s="2" t="s">
        <v>1144</v>
      </c>
      <c r="F64" s="4"/>
      <c r="G64" s="14"/>
      <c r="H64" s="9">
        <v>549</v>
      </c>
    </row>
    <row r="65" spans="3:8" ht="15.75" customHeight="1" x14ac:dyDescent="0.25">
      <c r="C65" s="8"/>
      <c r="D65" s="2" t="s">
        <v>1133</v>
      </c>
      <c r="E65" s="2" t="s">
        <v>48</v>
      </c>
      <c r="F65" s="4">
        <v>7.5</v>
      </c>
      <c r="G65" s="14"/>
      <c r="H65" s="9"/>
    </row>
    <row r="66" spans="3:8" ht="15.75" customHeight="1" x14ac:dyDescent="0.25">
      <c r="C66" s="8"/>
      <c r="D66" s="2" t="s">
        <v>1134</v>
      </c>
      <c r="E66" s="2" t="s">
        <v>48</v>
      </c>
      <c r="F66" s="4"/>
      <c r="G66" s="14"/>
      <c r="H66" s="9">
        <v>11</v>
      </c>
    </row>
    <row r="67" spans="3:8" ht="15.75" customHeight="1" x14ac:dyDescent="0.25">
      <c r="C67" s="8"/>
      <c r="D67" s="2" t="s">
        <v>1135</v>
      </c>
      <c r="E67" s="2" t="s">
        <v>48</v>
      </c>
      <c r="F67" s="4">
        <v>11</v>
      </c>
      <c r="G67" s="14"/>
      <c r="H67" s="9"/>
    </row>
    <row r="68" spans="3:8" ht="15.75" customHeight="1" x14ac:dyDescent="0.25">
      <c r="C68" s="8"/>
      <c r="D68" s="2" t="s">
        <v>1136</v>
      </c>
      <c r="E68" s="2" t="s">
        <v>48</v>
      </c>
      <c r="F68" s="4">
        <v>100</v>
      </c>
      <c r="G68" s="14"/>
      <c r="H68" s="9">
        <v>31.5</v>
      </c>
    </row>
    <row r="69" spans="3:8" ht="15.75" customHeight="1" x14ac:dyDescent="0.25">
      <c r="C69" s="8"/>
      <c r="D69" s="2" t="s">
        <v>1137</v>
      </c>
      <c r="E69" s="2" t="s">
        <v>48</v>
      </c>
      <c r="F69" s="4">
        <v>10</v>
      </c>
      <c r="G69" s="14"/>
      <c r="H69" s="9"/>
    </row>
    <row r="70" spans="3:8" ht="15.75" customHeight="1" x14ac:dyDescent="0.25">
      <c r="C70" s="8"/>
      <c r="D70" s="2" t="s">
        <v>1138</v>
      </c>
      <c r="E70" s="2" t="s">
        <v>48</v>
      </c>
      <c r="F70" s="4">
        <v>3</v>
      </c>
      <c r="G70" s="14"/>
      <c r="H70" s="9"/>
    </row>
    <row r="71" spans="3:8" ht="15.75" customHeight="1" x14ac:dyDescent="0.25">
      <c r="C71" s="8"/>
      <c r="D71" s="2" t="s">
        <v>1139</v>
      </c>
      <c r="E71" s="2" t="s">
        <v>48</v>
      </c>
      <c r="F71" s="4">
        <v>9</v>
      </c>
      <c r="G71" s="14"/>
      <c r="H71" s="9"/>
    </row>
    <row r="72" spans="3:8" ht="15.75" customHeight="1" x14ac:dyDescent="0.25">
      <c r="C72" s="8"/>
      <c r="D72" s="2" t="s">
        <v>1140</v>
      </c>
      <c r="E72" s="2" t="s">
        <v>164</v>
      </c>
      <c r="F72" s="4">
        <v>4393.2</v>
      </c>
      <c r="G72" s="14"/>
      <c r="H72" s="9"/>
    </row>
    <row r="73" spans="3:8" ht="15.75" customHeight="1" x14ac:dyDescent="0.25">
      <c r="C73" s="8"/>
      <c r="D73" s="2" t="s">
        <v>1141</v>
      </c>
      <c r="E73" s="2" t="s">
        <v>48</v>
      </c>
      <c r="F73" s="4"/>
      <c r="G73" s="14"/>
      <c r="H73" s="9">
        <v>5</v>
      </c>
    </row>
    <row r="74" spans="3:8" ht="15.75" customHeight="1" x14ac:dyDescent="0.25">
      <c r="C74" s="8"/>
      <c r="D74" s="2" t="s">
        <v>1142</v>
      </c>
      <c r="E74" s="2" t="s">
        <v>1150</v>
      </c>
      <c r="F74" s="4"/>
      <c r="G74" s="14">
        <v>1155</v>
      </c>
      <c r="H74" s="9"/>
    </row>
    <row r="75" spans="3:8" ht="15.75" customHeight="1" x14ac:dyDescent="0.25">
      <c r="C75" s="8"/>
      <c r="D75" s="2" t="s">
        <v>1143</v>
      </c>
      <c r="E75" s="2" t="s">
        <v>48</v>
      </c>
      <c r="F75" s="4"/>
      <c r="G75" s="14"/>
      <c r="H75" s="9">
        <v>4.5</v>
      </c>
    </row>
    <row r="76" spans="3:8" ht="15.75" customHeight="1" x14ac:dyDescent="0.25">
      <c r="C76" s="8"/>
      <c r="D76" s="2" t="s">
        <v>1145</v>
      </c>
      <c r="E76" s="2" t="s">
        <v>1151</v>
      </c>
      <c r="F76" s="4">
        <v>54</v>
      </c>
      <c r="G76" s="14"/>
      <c r="H76" s="9"/>
    </row>
    <row r="77" spans="3:8" ht="15.75" customHeight="1" x14ac:dyDescent="0.25">
      <c r="C77" s="8"/>
      <c r="D77" s="2" t="s">
        <v>1146</v>
      </c>
      <c r="E77" s="2" t="s">
        <v>48</v>
      </c>
      <c r="F77" s="4">
        <v>81</v>
      </c>
      <c r="G77" s="14"/>
      <c r="H77" s="9"/>
    </row>
    <row r="78" spans="3:8" ht="15.75" customHeight="1" x14ac:dyDescent="0.25">
      <c r="C78" s="8"/>
      <c r="D78" s="2" t="s">
        <v>1147</v>
      </c>
      <c r="E78" s="2" t="s">
        <v>48</v>
      </c>
      <c r="F78" s="4">
        <v>18</v>
      </c>
      <c r="G78" s="14"/>
      <c r="H78" s="9"/>
    </row>
    <row r="79" spans="3:8" ht="15.75" customHeight="1" x14ac:dyDescent="0.25">
      <c r="C79" s="8"/>
      <c r="D79" s="2" t="s">
        <v>1148</v>
      </c>
      <c r="E79" s="2" t="s">
        <v>48</v>
      </c>
      <c r="F79" s="4">
        <v>3</v>
      </c>
      <c r="G79" s="14"/>
      <c r="H79" s="9"/>
    </row>
    <row r="80" spans="3:8" ht="15.75" customHeight="1" x14ac:dyDescent="0.25">
      <c r="C80" s="8"/>
      <c r="D80" s="2" t="s">
        <v>1149</v>
      </c>
      <c r="E80" s="2" t="s">
        <v>1160</v>
      </c>
      <c r="F80" s="4"/>
      <c r="G80" s="14">
        <v>1057.2</v>
      </c>
      <c r="H80" s="9"/>
    </row>
    <row r="81" spans="3:8" ht="15.75" customHeight="1" x14ac:dyDescent="0.25">
      <c r="C81" s="8"/>
      <c r="D81" s="2"/>
      <c r="E81" s="2"/>
      <c r="F81" s="4"/>
      <c r="G81" s="14"/>
      <c r="H81" s="9"/>
    </row>
    <row r="82" spans="3:8" ht="15.75" customHeight="1" x14ac:dyDescent="0.25">
      <c r="C82" s="8"/>
      <c r="D82" s="2"/>
      <c r="E82" s="2"/>
      <c r="F82" s="4"/>
      <c r="G82" s="14"/>
      <c r="H82" s="9"/>
    </row>
    <row r="83" spans="3:8" ht="15.75" customHeight="1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29"/>
      <c r="D86" s="30"/>
      <c r="E86" s="30" t="s">
        <v>60</v>
      </c>
      <c r="F86" s="4"/>
      <c r="G86" s="14"/>
      <c r="H86" s="9"/>
    </row>
    <row r="87" spans="3:8" x14ac:dyDescent="0.25">
      <c r="C87" s="8"/>
      <c r="D87" s="2" t="s">
        <v>1066</v>
      </c>
      <c r="E87" s="2" t="s">
        <v>1068</v>
      </c>
      <c r="F87" s="4">
        <v>5</v>
      </c>
      <c r="G87" s="14"/>
      <c r="H87" s="9"/>
    </row>
    <row r="88" spans="3:8" x14ac:dyDescent="0.25">
      <c r="C88" s="8"/>
      <c r="D88" s="2" t="s">
        <v>1067</v>
      </c>
      <c r="E88" s="2" t="s">
        <v>1068</v>
      </c>
      <c r="F88" s="4">
        <v>14</v>
      </c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 t="s">
        <v>1069</v>
      </c>
      <c r="E90" s="2" t="s">
        <v>955</v>
      </c>
      <c r="F90" s="4"/>
      <c r="G90" s="14"/>
      <c r="H90" s="9">
        <v>67</v>
      </c>
    </row>
    <row r="91" spans="3:8" x14ac:dyDescent="0.25">
      <c r="C91" s="8"/>
      <c r="D91" s="2" t="s">
        <v>1070</v>
      </c>
      <c r="E91" s="2" t="s">
        <v>1073</v>
      </c>
      <c r="F91" s="4"/>
      <c r="G91" s="14"/>
      <c r="H91" s="9"/>
    </row>
    <row r="92" spans="3:8" x14ac:dyDescent="0.25">
      <c r="C92" s="8"/>
      <c r="D92" s="2" t="s">
        <v>1071</v>
      </c>
      <c r="E92" s="2" t="s">
        <v>955</v>
      </c>
      <c r="F92" s="4"/>
      <c r="G92" s="14"/>
      <c r="H92" s="9">
        <v>1940</v>
      </c>
    </row>
    <row r="93" spans="3:8" x14ac:dyDescent="0.25">
      <c r="C93" s="8"/>
      <c r="D93" s="2" t="s">
        <v>1072</v>
      </c>
      <c r="E93" s="2" t="s">
        <v>955</v>
      </c>
      <c r="F93" s="4"/>
      <c r="G93" s="14"/>
      <c r="H93" s="9">
        <v>314</v>
      </c>
    </row>
    <row r="94" spans="3:8" x14ac:dyDescent="0.25">
      <c r="C94" s="8"/>
      <c r="D94" s="2" t="s">
        <v>1074</v>
      </c>
      <c r="E94" s="2" t="s">
        <v>1075</v>
      </c>
      <c r="F94" s="4"/>
      <c r="G94" s="14"/>
      <c r="H94" s="9">
        <v>1775</v>
      </c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8"/>
      <c r="D97" s="2"/>
      <c r="E97" s="2"/>
      <c r="F97" s="4"/>
      <c r="G97" s="14"/>
      <c r="H97" s="9"/>
    </row>
    <row r="98" spans="3:8" x14ac:dyDescent="0.25">
      <c r="C98" s="8"/>
      <c r="D98" s="2"/>
      <c r="E98" s="2"/>
      <c r="F98" s="4"/>
      <c r="G98" s="14"/>
      <c r="H98" s="9"/>
    </row>
    <row r="99" spans="3:8" x14ac:dyDescent="0.25">
      <c r="C99" s="8"/>
      <c r="D99" s="2"/>
      <c r="E99" s="2"/>
      <c r="F99" s="4"/>
      <c r="G99" s="14"/>
      <c r="H99" s="9"/>
    </row>
    <row r="100" spans="3:8" x14ac:dyDescent="0.25">
      <c r="C100" s="16"/>
      <c r="D100" s="17"/>
      <c r="E100" s="17" t="s">
        <v>39</v>
      </c>
      <c r="F100" s="4"/>
      <c r="G100" s="14"/>
      <c r="H100" s="9"/>
    </row>
    <row r="101" spans="3:8" x14ac:dyDescent="0.25">
      <c r="C101" s="8"/>
      <c r="D101" s="45"/>
      <c r="E101" s="2" t="s">
        <v>1152</v>
      </c>
      <c r="F101" s="4">
        <v>77</v>
      </c>
      <c r="G101" s="14"/>
      <c r="H101" s="9"/>
    </row>
    <row r="102" spans="3:8" x14ac:dyDescent="0.25">
      <c r="C102" s="8"/>
      <c r="D102" s="45" t="s">
        <v>792</v>
      </c>
      <c r="E102" s="2" t="s">
        <v>1153</v>
      </c>
      <c r="F102" s="4">
        <v>576</v>
      </c>
      <c r="G102" s="14"/>
      <c r="H102" s="9"/>
    </row>
    <row r="103" spans="3:8" x14ac:dyDescent="0.25">
      <c r="C103" s="8"/>
      <c r="D103" s="45"/>
      <c r="E103" s="2"/>
      <c r="F103" s="4"/>
      <c r="G103" s="14"/>
      <c r="H103" s="9"/>
    </row>
    <row r="104" spans="3:8" x14ac:dyDescent="0.25">
      <c r="C104" s="8"/>
      <c r="D104" s="45"/>
      <c r="E104" s="2"/>
      <c r="F104" s="4"/>
      <c r="G104" s="14"/>
      <c r="H104" s="9"/>
    </row>
    <row r="105" spans="3:8" x14ac:dyDescent="0.25">
      <c r="C105" s="8"/>
      <c r="D105" s="45"/>
      <c r="E105" s="2"/>
      <c r="F105" s="4"/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x14ac:dyDescent="0.25">
      <c r="C107" s="8"/>
      <c r="D107" s="2"/>
      <c r="E107" s="2"/>
      <c r="F107" s="4"/>
      <c r="G107" s="14"/>
      <c r="H107" s="9"/>
    </row>
    <row r="108" spans="3:8" x14ac:dyDescent="0.25">
      <c r="C108" s="19"/>
      <c r="D108" s="20"/>
      <c r="E108" s="20" t="s">
        <v>42</v>
      </c>
      <c r="F108" s="4"/>
      <c r="G108" s="14"/>
      <c r="H108" s="9"/>
    </row>
    <row r="109" spans="3:8" x14ac:dyDescent="0.25">
      <c r="C109" s="34"/>
      <c r="D109" s="42"/>
      <c r="E109" s="2" t="s">
        <v>1063</v>
      </c>
      <c r="F109" s="14">
        <v>-1120</v>
      </c>
      <c r="G109" s="14"/>
      <c r="H109" s="9"/>
    </row>
    <row r="110" spans="3:8" x14ac:dyDescent="0.25">
      <c r="C110" s="8"/>
      <c r="D110" s="2"/>
      <c r="E110" s="2" t="s">
        <v>1064</v>
      </c>
      <c r="F110" s="14">
        <v>-561</v>
      </c>
      <c r="G110" s="14"/>
      <c r="H110" s="9"/>
    </row>
    <row r="111" spans="3:8" x14ac:dyDescent="0.25">
      <c r="C111" s="34"/>
      <c r="D111" s="42"/>
      <c r="E111" s="2" t="s">
        <v>1065</v>
      </c>
      <c r="F111" s="14">
        <v>-50</v>
      </c>
      <c r="G111" s="14"/>
      <c r="H111" s="9"/>
    </row>
    <row r="112" spans="3:8" x14ac:dyDescent="0.25">
      <c r="C112" s="8"/>
      <c r="D112" s="2"/>
      <c r="E112" s="2" t="s">
        <v>1154</v>
      </c>
      <c r="F112" s="14">
        <v>-36</v>
      </c>
      <c r="G112" s="14"/>
      <c r="H112" s="9"/>
    </row>
    <row r="113" spans="3:10" x14ac:dyDescent="0.25">
      <c r="C113" s="8"/>
      <c r="D113" s="2"/>
      <c r="E113" s="2" t="s">
        <v>1155</v>
      </c>
      <c r="F113" s="14">
        <v>-10</v>
      </c>
      <c r="G113" s="14"/>
      <c r="H113" s="9"/>
    </row>
    <row r="114" spans="3:10" x14ac:dyDescent="0.25">
      <c r="C114" s="8"/>
      <c r="D114" s="2"/>
      <c r="E114" s="2" t="s">
        <v>1156</v>
      </c>
      <c r="F114" s="14">
        <v>-2.4</v>
      </c>
      <c r="G114" s="14"/>
      <c r="H114" s="9"/>
    </row>
    <row r="115" spans="3:10" x14ac:dyDescent="0.25">
      <c r="C115" s="8"/>
      <c r="D115" s="2"/>
      <c r="E115" s="2" t="s">
        <v>1157</v>
      </c>
      <c r="F115" s="14">
        <v>-8</v>
      </c>
      <c r="G115" s="14"/>
      <c r="H115" s="9"/>
    </row>
    <row r="116" spans="3:10" x14ac:dyDescent="0.25">
      <c r="C116" s="8"/>
      <c r="D116" s="2"/>
      <c r="E116" s="2" t="s">
        <v>1158</v>
      </c>
      <c r="F116" s="14">
        <v>-24500</v>
      </c>
      <c r="G116" s="14"/>
      <c r="H116" s="9"/>
    </row>
    <row r="117" spans="3:10" x14ac:dyDescent="0.25">
      <c r="C117" s="8"/>
      <c r="D117" s="2"/>
      <c r="E117" s="2" t="s">
        <v>1159</v>
      </c>
      <c r="F117" s="14">
        <v>-20</v>
      </c>
      <c r="G117" s="14"/>
      <c r="H117" s="9"/>
    </row>
    <row r="118" spans="3:10" x14ac:dyDescent="0.25">
      <c r="C118" s="8"/>
      <c r="D118" s="2"/>
      <c r="E118" s="2" t="s">
        <v>1161</v>
      </c>
      <c r="F118" s="14">
        <v>-10000</v>
      </c>
      <c r="G118" s="14"/>
      <c r="H118" s="9"/>
    </row>
    <row r="119" spans="3:10" x14ac:dyDescent="0.25">
      <c r="C119" s="8"/>
      <c r="D119" s="2"/>
      <c r="E119" s="2"/>
      <c r="F119" s="14"/>
      <c r="G119" s="14"/>
      <c r="H119" s="9"/>
    </row>
    <row r="120" spans="3:10" x14ac:dyDescent="0.25">
      <c r="C120" s="8"/>
      <c r="D120" s="2"/>
      <c r="E120" s="2"/>
      <c r="F120" s="14"/>
      <c r="G120" s="14"/>
      <c r="H120" s="9"/>
    </row>
    <row r="121" spans="3:10" x14ac:dyDescent="0.25">
      <c r="C121" s="8"/>
      <c r="D121" s="2"/>
      <c r="E121" s="2"/>
      <c r="F121" s="4"/>
      <c r="G121" s="14"/>
      <c r="H121" s="9"/>
    </row>
    <row r="122" spans="3:10" ht="15.75" thickBot="1" x14ac:dyDescent="0.3">
      <c r="C122" s="10"/>
      <c r="D122" s="11"/>
      <c r="E122" s="11" t="s">
        <v>44</v>
      </c>
      <c r="F122" s="12">
        <f>SUM(F6:F121)</f>
        <v>-24572.199999999997</v>
      </c>
      <c r="G122" s="15">
        <f>SUM(G6:G121)</f>
        <v>9290.9700000000012</v>
      </c>
      <c r="H122" s="13">
        <f>SUM(H6:H121)</f>
        <v>9124.5</v>
      </c>
    </row>
    <row r="125" spans="3:10" ht="18.75" x14ac:dyDescent="0.3">
      <c r="E125" s="38" t="s">
        <v>49</v>
      </c>
      <c r="F125" s="39">
        <f>+H4+F122</f>
        <v>2110.3500000000022</v>
      </c>
    </row>
    <row r="128" spans="3:10" x14ac:dyDescent="0.25">
      <c r="J128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2B33-188D-41D3-85B2-96635579C9CE}">
  <sheetPr codeName="Hoja11"/>
  <dimension ref="C2:J139"/>
  <sheetViews>
    <sheetView topLeftCell="A103" workbookViewId="0">
      <selection activeCell="G49" sqref="G49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70.425781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1162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2110.35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 t="s">
        <v>8</v>
      </c>
      <c r="D6" s="2" t="s">
        <v>1177</v>
      </c>
      <c r="E6" s="2" t="s">
        <v>440</v>
      </c>
      <c r="F6" s="4"/>
      <c r="G6" s="14"/>
      <c r="H6" s="9">
        <v>23.4</v>
      </c>
    </row>
    <row r="7" spans="3:8" x14ac:dyDescent="0.25">
      <c r="C7" s="8"/>
      <c r="D7" s="2" t="s">
        <v>1178</v>
      </c>
      <c r="E7" s="2" t="s">
        <v>440</v>
      </c>
      <c r="F7" s="4"/>
      <c r="G7" s="14"/>
      <c r="H7" s="9">
        <v>46.5</v>
      </c>
    </row>
    <row r="8" spans="3:8" x14ac:dyDescent="0.25">
      <c r="C8" s="8"/>
      <c r="D8" s="2" t="s">
        <v>1179</v>
      </c>
      <c r="E8" s="50" t="s">
        <v>1190</v>
      </c>
      <c r="F8" s="4"/>
      <c r="G8" s="14"/>
      <c r="H8" s="9"/>
    </row>
    <row r="9" spans="3:8" x14ac:dyDescent="0.25">
      <c r="C9" s="8"/>
      <c r="D9" s="2" t="s">
        <v>1180</v>
      </c>
      <c r="E9" s="2" t="s">
        <v>1191</v>
      </c>
      <c r="F9" s="4"/>
      <c r="G9" s="14"/>
      <c r="H9" s="9">
        <v>1579.5</v>
      </c>
    </row>
    <row r="10" spans="3:8" x14ac:dyDescent="0.25">
      <c r="C10" s="8"/>
      <c r="D10" s="2" t="s">
        <v>1181</v>
      </c>
      <c r="E10" s="2" t="s">
        <v>213</v>
      </c>
      <c r="F10" s="4">
        <v>2950</v>
      </c>
      <c r="G10" s="14"/>
      <c r="H10" s="9"/>
    </row>
    <row r="11" spans="3:8" x14ac:dyDescent="0.25">
      <c r="C11" s="8"/>
      <c r="D11" s="2" t="s">
        <v>1182</v>
      </c>
      <c r="E11" s="2" t="s">
        <v>217</v>
      </c>
      <c r="F11" s="4"/>
      <c r="G11" s="14">
        <v>2.5</v>
      </c>
      <c r="H11" s="9"/>
    </row>
    <row r="12" spans="3:8" x14ac:dyDescent="0.25">
      <c r="C12" s="8"/>
      <c r="D12" s="2" t="s">
        <v>1183</v>
      </c>
      <c r="E12" s="2" t="s">
        <v>440</v>
      </c>
      <c r="F12" s="4">
        <v>7</v>
      </c>
      <c r="G12" s="14"/>
      <c r="H12" s="9"/>
    </row>
    <row r="13" spans="3:8" x14ac:dyDescent="0.25">
      <c r="C13" s="8"/>
      <c r="D13" s="2" t="s">
        <v>1184</v>
      </c>
      <c r="E13" s="2" t="s">
        <v>212</v>
      </c>
      <c r="F13" s="4">
        <v>133</v>
      </c>
      <c r="G13" s="14"/>
      <c r="H13" s="9"/>
    </row>
    <row r="14" spans="3:8" x14ac:dyDescent="0.25">
      <c r="C14" s="8"/>
      <c r="D14" s="2" t="s">
        <v>1185</v>
      </c>
      <c r="E14" s="2" t="s">
        <v>440</v>
      </c>
      <c r="F14" s="4">
        <v>7</v>
      </c>
      <c r="G14" s="14"/>
      <c r="H14" s="9"/>
    </row>
    <row r="15" spans="3:8" x14ac:dyDescent="0.25">
      <c r="C15" s="8"/>
      <c r="D15" s="2" t="s">
        <v>1186</v>
      </c>
      <c r="E15" s="2" t="s">
        <v>857</v>
      </c>
      <c r="F15" s="4"/>
      <c r="G15" s="14"/>
      <c r="H15" s="9">
        <v>100</v>
      </c>
    </row>
    <row r="16" spans="3:8" x14ac:dyDescent="0.25">
      <c r="C16" s="8"/>
      <c r="D16" s="2" t="s">
        <v>1187</v>
      </c>
      <c r="E16" s="2" t="s">
        <v>1192</v>
      </c>
      <c r="F16" s="4">
        <v>71</v>
      </c>
      <c r="G16" s="14"/>
      <c r="H16" s="9"/>
    </row>
    <row r="17" spans="3:8" x14ac:dyDescent="0.25">
      <c r="C17" s="8"/>
      <c r="D17" s="2" t="s">
        <v>1188</v>
      </c>
      <c r="E17" s="2" t="s">
        <v>440</v>
      </c>
      <c r="F17" s="4"/>
      <c r="G17" s="14"/>
      <c r="H17" s="9">
        <v>67</v>
      </c>
    </row>
    <row r="18" spans="3:8" x14ac:dyDescent="0.25">
      <c r="C18" s="8"/>
      <c r="D18" s="2" t="s">
        <v>1189</v>
      </c>
      <c r="E18" s="2" t="s">
        <v>440</v>
      </c>
      <c r="F18" s="4"/>
      <c r="G18" s="14"/>
      <c r="H18" s="9">
        <v>42</v>
      </c>
    </row>
    <row r="19" spans="3:8" x14ac:dyDescent="0.25">
      <c r="C19" s="8"/>
      <c r="D19" s="2" t="s">
        <v>1193</v>
      </c>
      <c r="E19" s="2" t="s">
        <v>440</v>
      </c>
      <c r="F19" s="4">
        <v>79</v>
      </c>
      <c r="G19" s="14"/>
      <c r="H19" s="9"/>
    </row>
    <row r="20" spans="3:8" x14ac:dyDescent="0.25">
      <c r="C20" s="8"/>
      <c r="D20" s="2" t="s">
        <v>1194</v>
      </c>
      <c r="E20" s="2" t="s">
        <v>1210</v>
      </c>
      <c r="F20" s="4"/>
      <c r="G20" s="14"/>
      <c r="H20" s="9">
        <v>10</v>
      </c>
    </row>
    <row r="21" spans="3:8" x14ac:dyDescent="0.25">
      <c r="C21" s="8"/>
      <c r="D21" s="2" t="s">
        <v>1195</v>
      </c>
      <c r="E21" s="2" t="s">
        <v>440</v>
      </c>
      <c r="F21" s="4">
        <v>29.5</v>
      </c>
      <c r="G21" s="14"/>
      <c r="H21" s="9"/>
    </row>
    <row r="22" spans="3:8" x14ac:dyDescent="0.25">
      <c r="C22" s="8"/>
      <c r="D22" s="2" t="s">
        <v>1196</v>
      </c>
      <c r="E22" s="2" t="s">
        <v>440</v>
      </c>
      <c r="F22" s="4">
        <v>5</v>
      </c>
      <c r="G22" s="14"/>
      <c r="H22" s="9"/>
    </row>
    <row r="23" spans="3:8" x14ac:dyDescent="0.25">
      <c r="C23" s="8"/>
      <c r="D23" s="2" t="s">
        <v>1197</v>
      </c>
      <c r="E23" s="2" t="s">
        <v>440</v>
      </c>
      <c r="F23" s="4">
        <v>14</v>
      </c>
      <c r="G23" s="14"/>
      <c r="H23" s="9"/>
    </row>
    <row r="24" spans="3:8" x14ac:dyDescent="0.25">
      <c r="C24" s="8"/>
      <c r="D24" s="2" t="s">
        <v>1198</v>
      </c>
      <c r="E24" s="2" t="s">
        <v>440</v>
      </c>
      <c r="F24" s="4">
        <v>53</v>
      </c>
      <c r="G24" s="14"/>
      <c r="H24" s="9"/>
    </row>
    <row r="25" spans="3:8" x14ac:dyDescent="0.25">
      <c r="C25" s="8"/>
      <c r="D25" s="2" t="s">
        <v>1199</v>
      </c>
      <c r="E25" s="2" t="s">
        <v>440</v>
      </c>
      <c r="F25" s="4">
        <v>3</v>
      </c>
      <c r="G25" s="14"/>
      <c r="H25" s="9"/>
    </row>
    <row r="26" spans="3:8" x14ac:dyDescent="0.25">
      <c r="C26" s="8"/>
      <c r="D26" s="2" t="s">
        <v>1200</v>
      </c>
      <c r="E26" s="2" t="s">
        <v>1210</v>
      </c>
      <c r="F26" s="4">
        <v>368</v>
      </c>
      <c r="G26" s="14"/>
      <c r="H26" s="9"/>
    </row>
    <row r="27" spans="3:8" x14ac:dyDescent="0.25">
      <c r="C27" s="8"/>
      <c r="D27" s="2" t="s">
        <v>1201</v>
      </c>
      <c r="E27" s="1" t="s">
        <v>105</v>
      </c>
      <c r="F27" s="4">
        <v>175</v>
      </c>
      <c r="G27" s="14"/>
      <c r="H27" s="9"/>
    </row>
    <row r="28" spans="3:8" x14ac:dyDescent="0.25">
      <c r="C28" s="8"/>
      <c r="D28" s="2" t="s">
        <v>1202</v>
      </c>
      <c r="E28" s="2" t="s">
        <v>440</v>
      </c>
      <c r="F28" s="4"/>
      <c r="G28" s="14"/>
      <c r="H28" s="9">
        <v>20</v>
      </c>
    </row>
    <row r="29" spans="3:8" x14ac:dyDescent="0.25">
      <c r="C29" s="8"/>
      <c r="D29" s="2" t="s">
        <v>1203</v>
      </c>
      <c r="E29" s="2" t="s">
        <v>650</v>
      </c>
      <c r="F29" s="4"/>
      <c r="G29" s="14"/>
      <c r="H29" s="9">
        <v>425</v>
      </c>
    </row>
    <row r="30" spans="3:8" x14ac:dyDescent="0.25">
      <c r="C30" s="8"/>
      <c r="D30" s="2" t="s">
        <v>1204</v>
      </c>
      <c r="E30" s="2" t="s">
        <v>440</v>
      </c>
      <c r="F30" s="4"/>
      <c r="G30" s="14"/>
      <c r="H30" s="9">
        <v>8.5</v>
      </c>
    </row>
    <row r="31" spans="3:8" x14ac:dyDescent="0.25">
      <c r="C31" s="8"/>
      <c r="D31" s="2" t="s">
        <v>1205</v>
      </c>
      <c r="E31" s="2" t="s">
        <v>213</v>
      </c>
      <c r="F31" s="4">
        <v>405</v>
      </c>
      <c r="G31" s="14"/>
      <c r="H31" s="9"/>
    </row>
    <row r="32" spans="3:8" x14ac:dyDescent="0.25">
      <c r="C32" s="8"/>
      <c r="D32" s="2" t="s">
        <v>1206</v>
      </c>
      <c r="E32" s="2" t="s">
        <v>440</v>
      </c>
      <c r="F32" s="4">
        <v>2</v>
      </c>
      <c r="G32" s="14"/>
      <c r="H32" s="9"/>
    </row>
    <row r="33" spans="3:8" x14ac:dyDescent="0.25">
      <c r="C33" s="8"/>
      <c r="D33" s="2" t="s">
        <v>1207</v>
      </c>
      <c r="E33" s="2" t="s">
        <v>1211</v>
      </c>
      <c r="F33" s="4"/>
      <c r="G33" s="14">
        <v>225</v>
      </c>
      <c r="H33" s="9"/>
    </row>
    <row r="34" spans="3:8" x14ac:dyDescent="0.25">
      <c r="C34" s="8"/>
      <c r="D34" s="2" t="s">
        <v>1208</v>
      </c>
      <c r="E34" s="2" t="s">
        <v>440</v>
      </c>
      <c r="F34" s="4">
        <v>5</v>
      </c>
      <c r="G34" s="14"/>
      <c r="H34" s="9"/>
    </row>
    <row r="35" spans="3:8" x14ac:dyDescent="0.25">
      <c r="C35" s="8"/>
      <c r="D35" s="2" t="s">
        <v>1209</v>
      </c>
      <c r="E35" s="43" t="s">
        <v>1259</v>
      </c>
      <c r="F35" s="4"/>
      <c r="G35" s="14"/>
      <c r="H35" s="9"/>
    </row>
    <row r="36" spans="3:8" x14ac:dyDescent="0.25">
      <c r="C36" s="8"/>
      <c r="D36" s="2" t="s">
        <v>1213</v>
      </c>
      <c r="E36" s="2" t="s">
        <v>1212</v>
      </c>
      <c r="F36" s="4"/>
      <c r="G36" s="14">
        <v>1516</v>
      </c>
      <c r="H36" s="9"/>
    </row>
    <row r="37" spans="3:8" x14ac:dyDescent="0.25">
      <c r="C37" s="8"/>
      <c r="D37" s="2" t="s">
        <v>1214</v>
      </c>
      <c r="E37" s="2" t="s">
        <v>356</v>
      </c>
      <c r="F37" s="4"/>
      <c r="G37" s="14"/>
      <c r="H37" s="9">
        <v>310</v>
      </c>
    </row>
    <row r="38" spans="3:8" x14ac:dyDescent="0.25">
      <c r="C38" s="8"/>
      <c r="D38" s="2" t="s">
        <v>1215</v>
      </c>
      <c r="E38" s="2" t="s">
        <v>440</v>
      </c>
      <c r="F38" s="4">
        <v>19</v>
      </c>
      <c r="G38" s="14"/>
      <c r="H38" s="9"/>
    </row>
    <row r="39" spans="3:8" x14ac:dyDescent="0.25">
      <c r="C39" s="8"/>
      <c r="D39" s="2" t="s">
        <v>1216</v>
      </c>
      <c r="E39" s="2" t="s">
        <v>440</v>
      </c>
      <c r="F39" s="4">
        <v>9.5</v>
      </c>
      <c r="G39" s="14"/>
      <c r="H39" s="9"/>
    </row>
    <row r="40" spans="3:8" x14ac:dyDescent="0.25">
      <c r="C40" s="8"/>
      <c r="D40" s="2" t="s">
        <v>1260</v>
      </c>
      <c r="E40" s="2" t="s">
        <v>440</v>
      </c>
      <c r="F40" s="4"/>
      <c r="G40" s="14"/>
      <c r="H40" s="9">
        <v>212</v>
      </c>
    </row>
    <row r="41" spans="3:8" x14ac:dyDescent="0.25">
      <c r="C41" s="8"/>
      <c r="D41" s="2" t="s">
        <v>1261</v>
      </c>
      <c r="E41" s="2" t="s">
        <v>1262</v>
      </c>
      <c r="F41" s="4"/>
      <c r="G41" s="14"/>
      <c r="H41" s="9">
        <v>1400</v>
      </c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 t="s">
        <v>1217</v>
      </c>
      <c r="E46" s="2" t="s">
        <v>732</v>
      </c>
      <c r="F46" s="4"/>
      <c r="G46" s="14">
        <v>831.6</v>
      </c>
      <c r="H46" s="9"/>
    </row>
    <row r="47" spans="3:8" x14ac:dyDescent="0.25">
      <c r="C47" s="8"/>
      <c r="D47" s="2" t="s">
        <v>1218</v>
      </c>
      <c r="E47" s="2" t="s">
        <v>159</v>
      </c>
      <c r="F47" s="4"/>
      <c r="G47" s="14"/>
      <c r="H47" s="9">
        <v>29</v>
      </c>
    </row>
    <row r="48" spans="3:8" x14ac:dyDescent="0.25">
      <c r="C48" s="8"/>
      <c r="D48" s="2" t="s">
        <v>1219</v>
      </c>
      <c r="E48" s="2" t="s">
        <v>1230</v>
      </c>
      <c r="F48" s="4"/>
      <c r="G48" s="14">
        <v>2189</v>
      </c>
      <c r="H48" s="9"/>
    </row>
    <row r="49" spans="3:8" x14ac:dyDescent="0.25">
      <c r="C49" s="8"/>
      <c r="D49" s="2" t="s">
        <v>1220</v>
      </c>
      <c r="E49" s="2" t="s">
        <v>106</v>
      </c>
      <c r="F49" s="4"/>
      <c r="G49" s="14"/>
      <c r="H49" s="9">
        <v>120.87</v>
      </c>
    </row>
    <row r="50" spans="3:8" x14ac:dyDescent="0.25">
      <c r="C50" s="8"/>
      <c r="D50" s="2" t="s">
        <v>1221</v>
      </c>
      <c r="E50" s="2" t="s">
        <v>48</v>
      </c>
      <c r="F50" s="4">
        <v>18</v>
      </c>
      <c r="G50" s="14"/>
      <c r="H50" s="9"/>
    </row>
    <row r="51" spans="3:8" x14ac:dyDescent="0.25">
      <c r="C51" s="8"/>
      <c r="D51" s="2" t="s">
        <v>1222</v>
      </c>
      <c r="E51" s="2" t="s">
        <v>1231</v>
      </c>
      <c r="F51" s="4">
        <v>620</v>
      </c>
      <c r="G51" s="14"/>
      <c r="H51" s="9"/>
    </row>
    <row r="52" spans="3:8" x14ac:dyDescent="0.25">
      <c r="C52" s="8"/>
      <c r="D52" s="2" t="s">
        <v>1223</v>
      </c>
      <c r="E52" s="2" t="s">
        <v>38</v>
      </c>
      <c r="F52" s="4">
        <v>7165</v>
      </c>
      <c r="G52" s="14"/>
      <c r="H52" s="9"/>
    </row>
    <row r="53" spans="3:8" x14ac:dyDescent="0.25">
      <c r="C53" s="8"/>
      <c r="D53" s="2" t="s">
        <v>1224</v>
      </c>
      <c r="E53" s="2" t="s">
        <v>48</v>
      </c>
      <c r="F53" s="4">
        <v>120</v>
      </c>
      <c r="G53" s="14"/>
      <c r="H53" s="9"/>
    </row>
    <row r="54" spans="3:8" x14ac:dyDescent="0.25">
      <c r="C54" s="8"/>
      <c r="D54" s="2" t="s">
        <v>1225</v>
      </c>
      <c r="E54" s="2" t="s">
        <v>48</v>
      </c>
      <c r="F54" s="4">
        <v>5</v>
      </c>
      <c r="G54" s="14"/>
      <c r="H54" s="9"/>
    </row>
    <row r="55" spans="3:8" x14ac:dyDescent="0.25">
      <c r="C55" s="8"/>
      <c r="D55" s="2" t="s">
        <v>1226</v>
      </c>
      <c r="E55" s="2" t="s">
        <v>1232</v>
      </c>
      <c r="F55" s="4"/>
      <c r="G55" s="14"/>
      <c r="H55" s="9">
        <v>629</v>
      </c>
    </row>
    <row r="56" spans="3:8" x14ac:dyDescent="0.25">
      <c r="C56" s="8"/>
      <c r="D56" s="2" t="s">
        <v>1227</v>
      </c>
      <c r="E56" s="2" t="s">
        <v>48</v>
      </c>
      <c r="F56" s="4">
        <v>10</v>
      </c>
      <c r="G56" s="14"/>
      <c r="H56" s="9"/>
    </row>
    <row r="57" spans="3:8" x14ac:dyDescent="0.25">
      <c r="C57" s="8"/>
      <c r="D57" s="2" t="s">
        <v>1228</v>
      </c>
      <c r="E57" s="2" t="s">
        <v>48</v>
      </c>
      <c r="F57" s="4">
        <v>93.5</v>
      </c>
      <c r="G57" s="14"/>
      <c r="H57" s="9"/>
    </row>
    <row r="58" spans="3:8" x14ac:dyDescent="0.25">
      <c r="C58" s="8"/>
      <c r="D58" s="2" t="s">
        <v>1229</v>
      </c>
      <c r="E58" s="2" t="s">
        <v>106</v>
      </c>
      <c r="F58" s="4"/>
      <c r="G58" s="14"/>
      <c r="H58" s="9">
        <v>319.95</v>
      </c>
    </row>
    <row r="59" spans="3:8" x14ac:dyDescent="0.25">
      <c r="C59" s="8"/>
      <c r="D59" s="2" t="s">
        <v>1233</v>
      </c>
      <c r="E59" s="2" t="s">
        <v>164</v>
      </c>
      <c r="F59" s="4">
        <v>145</v>
      </c>
      <c r="G59" s="14"/>
      <c r="H59" s="9"/>
    </row>
    <row r="60" spans="3:8" x14ac:dyDescent="0.25">
      <c r="C60" s="8"/>
      <c r="D60" s="2" t="s">
        <v>1234</v>
      </c>
      <c r="E60" s="2" t="s">
        <v>48</v>
      </c>
      <c r="F60" s="4"/>
      <c r="G60" s="14"/>
      <c r="H60" s="9">
        <v>5.5</v>
      </c>
    </row>
    <row r="61" spans="3:8" x14ac:dyDescent="0.25">
      <c r="C61" s="8"/>
      <c r="D61" s="2" t="s">
        <v>1235</v>
      </c>
      <c r="E61" s="2" t="s">
        <v>1244</v>
      </c>
      <c r="F61" s="4">
        <v>275</v>
      </c>
      <c r="G61" s="14"/>
      <c r="H61" s="9"/>
    </row>
    <row r="62" spans="3:8" x14ac:dyDescent="0.25">
      <c r="C62" s="8"/>
      <c r="D62" s="2" t="s">
        <v>1236</v>
      </c>
      <c r="E62" s="2" t="s">
        <v>48</v>
      </c>
      <c r="F62" s="4">
        <v>4.2</v>
      </c>
      <c r="G62" s="14"/>
      <c r="H62" s="9"/>
    </row>
    <row r="63" spans="3:8" x14ac:dyDescent="0.25">
      <c r="C63" s="8"/>
      <c r="D63" s="2" t="s">
        <v>1237</v>
      </c>
      <c r="E63" s="2" t="s">
        <v>48</v>
      </c>
      <c r="F63" s="4">
        <v>3</v>
      </c>
      <c r="G63" s="14"/>
      <c r="H63" s="9"/>
    </row>
    <row r="64" spans="3:8" x14ac:dyDescent="0.25">
      <c r="C64" s="8"/>
      <c r="D64" s="2" t="s">
        <v>1238</v>
      </c>
      <c r="E64" s="2" t="s">
        <v>48</v>
      </c>
      <c r="F64" s="4">
        <v>20</v>
      </c>
      <c r="G64" s="14"/>
      <c r="H64" s="9"/>
    </row>
    <row r="65" spans="3:8" x14ac:dyDescent="0.25">
      <c r="C65" s="8"/>
      <c r="D65" s="2" t="s">
        <v>1239</v>
      </c>
      <c r="E65" s="2" t="s">
        <v>1243</v>
      </c>
      <c r="F65" s="4">
        <v>638</v>
      </c>
      <c r="G65" s="14"/>
      <c r="H65" s="9"/>
    </row>
    <row r="66" spans="3:8" x14ac:dyDescent="0.25">
      <c r="C66" s="8"/>
      <c r="D66" s="2" t="s">
        <v>1240</v>
      </c>
      <c r="E66" s="2" t="s">
        <v>48</v>
      </c>
      <c r="F66" s="4">
        <v>4.5</v>
      </c>
      <c r="G66" s="14"/>
      <c r="H66" s="9"/>
    </row>
    <row r="67" spans="3:8" x14ac:dyDescent="0.25">
      <c r="C67" s="8"/>
      <c r="D67" s="2" t="s">
        <v>1241</v>
      </c>
      <c r="E67" s="2" t="s">
        <v>951</v>
      </c>
      <c r="F67" s="4"/>
      <c r="G67" s="14"/>
      <c r="H67" s="9">
        <v>48</v>
      </c>
    </row>
    <row r="68" spans="3:8" x14ac:dyDescent="0.25">
      <c r="C68" s="8"/>
      <c r="D68" s="2" t="s">
        <v>1242</v>
      </c>
      <c r="E68" s="2" t="s">
        <v>48</v>
      </c>
      <c r="F68" s="4">
        <v>20</v>
      </c>
      <c r="G68" s="14"/>
      <c r="H68" s="9"/>
    </row>
    <row r="69" spans="3:8" x14ac:dyDescent="0.25">
      <c r="C69" s="8"/>
      <c r="D69" s="2" t="s">
        <v>1245</v>
      </c>
      <c r="E69" s="2" t="s">
        <v>48</v>
      </c>
      <c r="F69" s="4">
        <v>4.5</v>
      </c>
      <c r="G69" s="14"/>
      <c r="H69" s="9"/>
    </row>
    <row r="70" spans="3:8" x14ac:dyDescent="0.25">
      <c r="C70" s="8"/>
      <c r="D70" s="2" t="s">
        <v>1246</v>
      </c>
      <c r="E70" s="2" t="s">
        <v>1263</v>
      </c>
      <c r="F70" s="4">
        <v>561.5</v>
      </c>
      <c r="G70" s="14"/>
      <c r="H70" s="9"/>
    </row>
    <row r="71" spans="3:8" x14ac:dyDescent="0.25">
      <c r="C71" s="8"/>
      <c r="D71" s="2" t="s">
        <v>1247</v>
      </c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ht="15.75" customHeight="1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29"/>
      <c r="D77" s="30"/>
      <c r="E77" s="30" t="s">
        <v>60</v>
      </c>
      <c r="F77" s="4"/>
      <c r="G77" s="14"/>
      <c r="H77" s="9"/>
    </row>
    <row r="78" spans="3:8" x14ac:dyDescent="0.25">
      <c r="C78" s="8"/>
      <c r="D78" s="2" t="s">
        <v>1168</v>
      </c>
      <c r="E78" s="2" t="s">
        <v>773</v>
      </c>
      <c r="F78" s="4">
        <v>33.700000000000003</v>
      </c>
      <c r="G78" s="14"/>
      <c r="H78" s="9"/>
    </row>
    <row r="79" spans="3:8" x14ac:dyDescent="0.25">
      <c r="C79" s="8"/>
      <c r="D79" s="2" t="s">
        <v>1169</v>
      </c>
      <c r="E79" s="2" t="s">
        <v>94</v>
      </c>
      <c r="F79" s="4"/>
      <c r="G79" s="14"/>
      <c r="H79" s="9">
        <v>40</v>
      </c>
    </row>
    <row r="80" spans="3:8" x14ac:dyDescent="0.25">
      <c r="C80" s="8"/>
      <c r="D80" s="2" t="s">
        <v>1170</v>
      </c>
      <c r="E80" s="2" t="s">
        <v>1176</v>
      </c>
      <c r="F80" s="4">
        <v>1096</v>
      </c>
      <c r="G80" s="14"/>
      <c r="H80" s="9"/>
    </row>
    <row r="81" spans="3:8" x14ac:dyDescent="0.25">
      <c r="C81" s="8"/>
      <c r="D81" s="2" t="s">
        <v>1171</v>
      </c>
      <c r="E81" s="2" t="s">
        <v>1175</v>
      </c>
      <c r="F81" s="4"/>
      <c r="G81" s="14"/>
      <c r="H81" s="9">
        <v>45</v>
      </c>
    </row>
    <row r="82" spans="3:8" x14ac:dyDescent="0.25">
      <c r="C82" s="8"/>
      <c r="D82" s="2" t="s">
        <v>1172</v>
      </c>
      <c r="E82" s="2" t="s">
        <v>1175</v>
      </c>
      <c r="F82" s="4"/>
      <c r="G82" s="14"/>
      <c r="H82" s="9">
        <v>22.5</v>
      </c>
    </row>
    <row r="83" spans="3:8" x14ac:dyDescent="0.25">
      <c r="C83" s="8"/>
      <c r="D83" s="2" t="s">
        <v>1173</v>
      </c>
      <c r="E83" s="2" t="s">
        <v>1175</v>
      </c>
      <c r="F83" s="4"/>
      <c r="G83" s="14"/>
      <c r="H83" s="9">
        <v>21</v>
      </c>
    </row>
    <row r="84" spans="3:8" x14ac:dyDescent="0.25">
      <c r="C84" s="8"/>
      <c r="D84" s="2" t="s">
        <v>1174</v>
      </c>
      <c r="E84" s="2" t="s">
        <v>229</v>
      </c>
      <c r="F84" s="4"/>
      <c r="G84" s="14"/>
      <c r="H84" s="9">
        <v>717</v>
      </c>
    </row>
    <row r="85" spans="3:8" x14ac:dyDescent="0.25">
      <c r="C85" s="8"/>
      <c r="D85" s="2" t="s">
        <v>1256</v>
      </c>
      <c r="E85" s="2" t="s">
        <v>1257</v>
      </c>
      <c r="F85" s="4">
        <v>46</v>
      </c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16"/>
      <c r="D91" s="17"/>
      <c r="E91" s="17" t="s">
        <v>39</v>
      </c>
      <c r="F91" s="4"/>
      <c r="G91" s="14"/>
      <c r="H91" s="9"/>
    </row>
    <row r="92" spans="3:8" x14ac:dyDescent="0.25">
      <c r="C92" s="8"/>
      <c r="D92" s="45"/>
      <c r="E92" s="2" t="s">
        <v>508</v>
      </c>
      <c r="F92" s="4">
        <v>252</v>
      </c>
      <c r="G92" s="14"/>
      <c r="H92" s="9"/>
    </row>
    <row r="93" spans="3:8" x14ac:dyDescent="0.25">
      <c r="C93" s="8"/>
      <c r="D93" s="45"/>
      <c r="E93" s="2" t="s">
        <v>38</v>
      </c>
      <c r="F93" s="4">
        <v>60</v>
      </c>
      <c r="G93" s="14"/>
      <c r="H93" s="9"/>
    </row>
    <row r="94" spans="3:8" x14ac:dyDescent="0.25">
      <c r="C94" s="8"/>
      <c r="D94" s="45"/>
      <c r="E94" s="2" t="s">
        <v>213</v>
      </c>
      <c r="F94" s="4">
        <v>940</v>
      </c>
      <c r="G94" s="14"/>
      <c r="H94" s="9"/>
    </row>
    <row r="95" spans="3:8" x14ac:dyDescent="0.25">
      <c r="C95" s="8"/>
      <c r="D95" s="45"/>
      <c r="E95" s="2" t="s">
        <v>1248</v>
      </c>
      <c r="F95" s="4">
        <v>50000</v>
      </c>
      <c r="G95" s="14"/>
      <c r="H95" s="9"/>
    </row>
    <row r="96" spans="3:8" x14ac:dyDescent="0.25">
      <c r="C96" s="8"/>
      <c r="D96" s="45"/>
      <c r="E96" s="2" t="s">
        <v>266</v>
      </c>
      <c r="F96" s="4">
        <v>4347.7700000000004</v>
      </c>
      <c r="G96" s="14"/>
      <c r="H96" s="9"/>
    </row>
    <row r="97" spans="3:8" x14ac:dyDescent="0.25">
      <c r="C97" s="8"/>
      <c r="D97" s="45"/>
      <c r="E97" s="2" t="s">
        <v>402</v>
      </c>
      <c r="F97" s="4">
        <v>10</v>
      </c>
      <c r="G97" s="14"/>
      <c r="H97" s="9"/>
    </row>
    <row r="98" spans="3:8" x14ac:dyDescent="0.25">
      <c r="C98" s="8"/>
      <c r="D98" s="45"/>
      <c r="E98" s="2" t="s">
        <v>1264</v>
      </c>
      <c r="F98" s="4">
        <v>4000</v>
      </c>
      <c r="G98" s="14"/>
      <c r="H98" s="9"/>
    </row>
    <row r="99" spans="3:8" x14ac:dyDescent="0.25">
      <c r="C99" s="8"/>
      <c r="D99" s="45"/>
      <c r="E99" s="2" t="s">
        <v>1265</v>
      </c>
      <c r="F99" s="4">
        <v>24500</v>
      </c>
      <c r="G99" s="14"/>
      <c r="H99" s="9"/>
    </row>
    <row r="100" spans="3:8" x14ac:dyDescent="0.25">
      <c r="C100" s="8"/>
      <c r="D100" s="45"/>
      <c r="E100" s="2" t="s">
        <v>1266</v>
      </c>
      <c r="F100" s="4">
        <v>10000</v>
      </c>
      <c r="G100" s="14"/>
      <c r="H100" s="9"/>
    </row>
    <row r="101" spans="3:8" x14ac:dyDescent="0.25">
      <c r="C101" s="8"/>
      <c r="D101" s="45"/>
      <c r="E101" s="2" t="s">
        <v>1267</v>
      </c>
      <c r="F101" s="4">
        <v>116</v>
      </c>
      <c r="G101" s="14"/>
      <c r="H101" s="9"/>
    </row>
    <row r="102" spans="3:8" x14ac:dyDescent="0.25">
      <c r="C102" s="8"/>
      <c r="D102" s="45"/>
      <c r="E102" s="2" t="s">
        <v>266</v>
      </c>
      <c r="F102" s="4">
        <v>330</v>
      </c>
      <c r="G102" s="14"/>
      <c r="H102" s="9"/>
    </row>
    <row r="103" spans="3:8" x14ac:dyDescent="0.25">
      <c r="C103" s="8"/>
      <c r="D103" s="45"/>
      <c r="E103" s="2" t="s">
        <v>1268</v>
      </c>
      <c r="F103" s="4">
        <v>1540</v>
      </c>
      <c r="G103" s="14"/>
      <c r="H103" s="9"/>
    </row>
    <row r="104" spans="3:8" x14ac:dyDescent="0.25">
      <c r="C104" s="8"/>
      <c r="D104" s="45"/>
      <c r="E104" s="2"/>
      <c r="F104" s="4"/>
      <c r="G104" s="14"/>
      <c r="H104" s="9"/>
    </row>
    <row r="105" spans="3:8" x14ac:dyDescent="0.25">
      <c r="C105" s="8"/>
      <c r="D105" s="45"/>
      <c r="E105" s="2"/>
      <c r="F105" s="4"/>
      <c r="G105" s="14"/>
      <c r="H105" s="9"/>
    </row>
    <row r="106" spans="3:8" x14ac:dyDescent="0.25">
      <c r="C106" s="8"/>
      <c r="D106" s="45"/>
      <c r="E106" s="2"/>
      <c r="F106" s="4"/>
      <c r="G106" s="14"/>
      <c r="H106" s="9"/>
    </row>
    <row r="107" spans="3:8" x14ac:dyDescent="0.25">
      <c r="C107" s="8"/>
      <c r="D107" s="45"/>
      <c r="E107" s="2"/>
      <c r="F107" s="4"/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x14ac:dyDescent="0.25">
      <c r="C110" s="19"/>
      <c r="D110" s="20"/>
      <c r="E110" s="20" t="s">
        <v>42</v>
      </c>
      <c r="F110" s="4"/>
      <c r="G110" s="14"/>
      <c r="H110" s="9"/>
    </row>
    <row r="111" spans="3:8" x14ac:dyDescent="0.25">
      <c r="C111" s="34" t="s">
        <v>1164</v>
      </c>
      <c r="D111" s="42"/>
      <c r="E111" s="2" t="s">
        <v>1163</v>
      </c>
      <c r="F111" s="14">
        <v>-550</v>
      </c>
      <c r="G111" s="14"/>
      <c r="H111" s="9"/>
    </row>
    <row r="112" spans="3:8" x14ac:dyDescent="0.25">
      <c r="C112" s="34" t="s">
        <v>1164</v>
      </c>
      <c r="D112" s="2"/>
      <c r="E112" s="2" t="s">
        <v>1165</v>
      </c>
      <c r="F112" s="14">
        <v>-1120</v>
      </c>
      <c r="G112" s="14"/>
      <c r="H112" s="9"/>
    </row>
    <row r="113" spans="3:8" x14ac:dyDescent="0.25">
      <c r="C113" s="34"/>
      <c r="D113" s="42"/>
      <c r="E113" s="2" t="s">
        <v>1166</v>
      </c>
      <c r="F113" s="14">
        <v>-200</v>
      </c>
      <c r="G113" s="14"/>
      <c r="H113" s="9"/>
    </row>
    <row r="114" spans="3:8" x14ac:dyDescent="0.25">
      <c r="C114" s="8" t="s">
        <v>160</v>
      </c>
      <c r="D114" s="2"/>
      <c r="E114" s="2" t="s">
        <v>1167</v>
      </c>
      <c r="F114" s="14">
        <v>-1404</v>
      </c>
      <c r="G114" s="14"/>
      <c r="H114" s="9"/>
    </row>
    <row r="115" spans="3:8" x14ac:dyDescent="0.25">
      <c r="C115" s="8"/>
      <c r="D115" s="2"/>
      <c r="E115" s="2" t="s">
        <v>1249</v>
      </c>
      <c r="F115" s="14">
        <v>-12</v>
      </c>
      <c r="G115" s="14"/>
      <c r="H115" s="9"/>
    </row>
    <row r="116" spans="3:8" x14ac:dyDescent="0.25">
      <c r="C116" s="8"/>
      <c r="D116" s="2"/>
      <c r="E116" s="2" t="s">
        <v>1250</v>
      </c>
      <c r="F116" s="14">
        <v>-15</v>
      </c>
      <c r="G116" s="14"/>
      <c r="H116" s="9"/>
    </row>
    <row r="117" spans="3:8" x14ac:dyDescent="0.25">
      <c r="C117" s="8"/>
      <c r="D117" s="2"/>
      <c r="E117" s="2" t="s">
        <v>1251</v>
      </c>
      <c r="F117" s="14">
        <v>-20</v>
      </c>
      <c r="G117" s="14"/>
      <c r="H117" s="9"/>
    </row>
    <row r="118" spans="3:8" x14ac:dyDescent="0.25">
      <c r="C118" s="8"/>
      <c r="D118" s="2"/>
      <c r="E118" s="2" t="s">
        <v>844</v>
      </c>
      <c r="F118" s="14">
        <v>-5</v>
      </c>
      <c r="G118" s="14"/>
      <c r="H118" s="9"/>
    </row>
    <row r="119" spans="3:8" x14ac:dyDescent="0.25">
      <c r="C119" s="8"/>
      <c r="D119" s="2"/>
      <c r="E119" s="2" t="s">
        <v>1252</v>
      </c>
      <c r="F119" s="14">
        <v>-50</v>
      </c>
      <c r="G119" s="14"/>
      <c r="H119" s="9"/>
    </row>
    <row r="120" spans="3:8" x14ac:dyDescent="0.25">
      <c r="C120" s="8"/>
      <c r="D120" s="2"/>
      <c r="E120" s="2" t="s">
        <v>1253</v>
      </c>
      <c r="F120" s="14">
        <v>-1155</v>
      </c>
      <c r="G120" s="14"/>
      <c r="H120" s="9"/>
    </row>
    <row r="121" spans="3:8" x14ac:dyDescent="0.25">
      <c r="C121" s="8"/>
      <c r="D121" s="2"/>
      <c r="E121" s="2" t="s">
        <v>1254</v>
      </c>
      <c r="F121" s="14">
        <v>-12322.25</v>
      </c>
      <c r="G121" s="14"/>
      <c r="H121" s="9"/>
    </row>
    <row r="122" spans="3:8" x14ac:dyDescent="0.25">
      <c r="C122" s="8"/>
      <c r="D122" s="2"/>
      <c r="E122" s="2" t="s">
        <v>1255</v>
      </c>
      <c r="F122" s="14">
        <v>-2807.5</v>
      </c>
      <c r="G122" s="14"/>
      <c r="H122" s="9"/>
    </row>
    <row r="123" spans="3:8" x14ac:dyDescent="0.25">
      <c r="C123" s="8"/>
      <c r="D123" s="2"/>
      <c r="E123" s="2" t="s">
        <v>1258</v>
      </c>
      <c r="F123" s="14">
        <v>-50452.6</v>
      </c>
      <c r="G123" s="14"/>
      <c r="H123" s="9"/>
    </row>
    <row r="124" spans="3:8" x14ac:dyDescent="0.25">
      <c r="C124" s="8"/>
      <c r="D124" s="2"/>
      <c r="E124" s="2" t="s">
        <v>1269</v>
      </c>
      <c r="F124" s="14">
        <v>-2060</v>
      </c>
      <c r="G124" s="14"/>
      <c r="H124" s="9"/>
    </row>
    <row r="125" spans="3:8" x14ac:dyDescent="0.25">
      <c r="C125" s="8"/>
      <c r="D125" s="2"/>
      <c r="E125" s="2" t="s">
        <v>1270</v>
      </c>
      <c r="F125" s="14">
        <v>-561.5</v>
      </c>
      <c r="G125" s="14"/>
      <c r="H125" s="9"/>
    </row>
    <row r="126" spans="3:8" x14ac:dyDescent="0.25">
      <c r="C126" s="8"/>
      <c r="D126" s="2"/>
      <c r="E126" s="2" t="s">
        <v>1271</v>
      </c>
      <c r="F126" s="14">
        <v>-29047.4</v>
      </c>
      <c r="G126" s="14"/>
      <c r="H126" s="9"/>
    </row>
    <row r="127" spans="3:8" x14ac:dyDescent="0.25">
      <c r="C127" s="8"/>
      <c r="D127" s="2"/>
      <c r="E127" s="2" t="s">
        <v>1272</v>
      </c>
      <c r="F127" s="14">
        <v>-30</v>
      </c>
      <c r="G127" s="14"/>
      <c r="H127" s="9"/>
    </row>
    <row r="128" spans="3:8" x14ac:dyDescent="0.25">
      <c r="C128" s="8"/>
      <c r="D128" s="2"/>
      <c r="E128" s="2" t="s">
        <v>1273</v>
      </c>
      <c r="F128" s="14">
        <v>-2000</v>
      </c>
      <c r="G128" s="14"/>
      <c r="H128" s="9"/>
    </row>
    <row r="129" spans="3:10" x14ac:dyDescent="0.25">
      <c r="C129" s="8"/>
      <c r="D129" s="2"/>
      <c r="E129" s="2" t="s">
        <v>1274</v>
      </c>
      <c r="F129" s="14">
        <v>-1380</v>
      </c>
      <c r="G129" s="14"/>
      <c r="H129" s="9"/>
    </row>
    <row r="130" spans="3:10" x14ac:dyDescent="0.25">
      <c r="C130" s="8"/>
      <c r="D130" s="2"/>
      <c r="E130" s="2"/>
      <c r="F130" s="14"/>
      <c r="G130" s="14"/>
      <c r="H130" s="9"/>
    </row>
    <row r="131" spans="3:10" x14ac:dyDescent="0.25">
      <c r="C131" s="8"/>
      <c r="D131" s="2"/>
      <c r="E131" s="2"/>
      <c r="F131" s="14"/>
      <c r="G131" s="14"/>
      <c r="H131" s="9"/>
    </row>
    <row r="132" spans="3:10" x14ac:dyDescent="0.25">
      <c r="C132" s="8"/>
      <c r="D132" s="2"/>
      <c r="E132" s="2"/>
      <c r="F132" s="4"/>
      <c r="G132" s="14"/>
      <c r="H132" s="9"/>
    </row>
    <row r="133" spans="3:10" ht="15.75" thickBot="1" x14ac:dyDescent="0.3">
      <c r="C133" s="10"/>
      <c r="D133" s="11"/>
      <c r="E133" s="11" t="s">
        <v>44</v>
      </c>
      <c r="F133" s="12">
        <f>SUM(F6:F132)</f>
        <v>6121.4199999999983</v>
      </c>
      <c r="G133" s="15">
        <f>SUM(G6:G132)</f>
        <v>4764.1000000000004</v>
      </c>
      <c r="H133" s="13">
        <f>SUM(H6:H132)</f>
        <v>6241.7199999999993</v>
      </c>
    </row>
    <row r="136" spans="3:10" ht="18.75" x14ac:dyDescent="0.3">
      <c r="E136" s="38" t="s">
        <v>49</v>
      </c>
      <c r="F136" s="39"/>
    </row>
    <row r="139" spans="3:10" x14ac:dyDescent="0.25">
      <c r="J139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A119-FE97-4A8D-AC65-66A714284B63}">
  <sheetPr codeName="Hoja12"/>
  <dimension ref="C2:J128"/>
  <sheetViews>
    <sheetView topLeftCell="A67" workbookViewId="0">
      <selection activeCell="E48" sqref="E48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70.425781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1275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8231.77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1290</v>
      </c>
      <c r="E6" s="2" t="s">
        <v>1291</v>
      </c>
      <c r="F6" s="4"/>
      <c r="G6" s="14">
        <v>135</v>
      </c>
      <c r="H6" s="9"/>
    </row>
    <row r="7" spans="3:8" x14ac:dyDescent="0.25">
      <c r="C7" s="8"/>
      <c r="D7" s="2" t="s">
        <v>1292</v>
      </c>
      <c r="E7" s="2" t="s">
        <v>1006</v>
      </c>
      <c r="F7" s="4"/>
      <c r="G7" s="14"/>
      <c r="H7" s="9">
        <v>501</v>
      </c>
    </row>
    <row r="8" spans="3:8" x14ac:dyDescent="0.25">
      <c r="C8" s="8"/>
      <c r="D8" s="2" t="s">
        <v>1293</v>
      </c>
      <c r="E8" s="2" t="s">
        <v>440</v>
      </c>
      <c r="F8" s="4"/>
      <c r="G8" s="14"/>
      <c r="H8" s="9">
        <v>26</v>
      </c>
    </row>
    <row r="9" spans="3:8" x14ac:dyDescent="0.25">
      <c r="C9" s="8"/>
      <c r="D9" s="2" t="s">
        <v>1294</v>
      </c>
      <c r="E9" s="2" t="s">
        <v>440</v>
      </c>
      <c r="F9" s="4">
        <v>17</v>
      </c>
      <c r="G9" s="14"/>
      <c r="H9" s="9"/>
    </row>
    <row r="10" spans="3:8" x14ac:dyDescent="0.25">
      <c r="C10" s="8"/>
      <c r="D10" s="2" t="s">
        <v>1295</v>
      </c>
      <c r="E10" s="2" t="s">
        <v>440</v>
      </c>
      <c r="F10" s="4">
        <v>396</v>
      </c>
      <c r="G10" s="14"/>
      <c r="H10" s="9"/>
    </row>
    <row r="11" spans="3:8" x14ac:dyDescent="0.25">
      <c r="C11" s="8"/>
      <c r="D11" s="2" t="s">
        <v>1296</v>
      </c>
      <c r="E11" s="2" t="s">
        <v>440</v>
      </c>
      <c r="F11" s="4">
        <v>4</v>
      </c>
      <c r="G11" s="14"/>
      <c r="H11" s="9"/>
    </row>
    <row r="12" spans="3:8" x14ac:dyDescent="0.25">
      <c r="C12" s="8"/>
      <c r="D12" s="2" t="s">
        <v>1297</v>
      </c>
      <c r="E12" s="2" t="s">
        <v>440</v>
      </c>
      <c r="F12" s="4">
        <v>7</v>
      </c>
      <c r="G12" s="14"/>
      <c r="H12" s="9"/>
    </row>
    <row r="13" spans="3:8" x14ac:dyDescent="0.25">
      <c r="C13" s="8"/>
      <c r="D13" s="2" t="s">
        <v>1298</v>
      </c>
      <c r="E13" s="2" t="s">
        <v>440</v>
      </c>
      <c r="F13" s="4"/>
      <c r="G13" s="14"/>
      <c r="H13" s="9">
        <v>10</v>
      </c>
    </row>
    <row r="14" spans="3:8" x14ac:dyDescent="0.25">
      <c r="C14" s="8"/>
      <c r="D14" s="2" t="s">
        <v>1299</v>
      </c>
      <c r="E14" s="2" t="s">
        <v>440</v>
      </c>
      <c r="F14" s="4"/>
      <c r="G14" s="14"/>
      <c r="H14" s="9">
        <v>4.5</v>
      </c>
    </row>
    <row r="15" spans="3:8" x14ac:dyDescent="0.25">
      <c r="C15" s="8"/>
      <c r="D15" s="2" t="s">
        <v>1300</v>
      </c>
      <c r="E15" s="2" t="s">
        <v>440</v>
      </c>
      <c r="F15" s="4">
        <v>3</v>
      </c>
      <c r="G15" s="14"/>
      <c r="H15" s="9"/>
    </row>
    <row r="16" spans="3:8" x14ac:dyDescent="0.25">
      <c r="C16" s="8"/>
      <c r="D16" s="2" t="s">
        <v>1301</v>
      </c>
      <c r="E16" s="2" t="s">
        <v>1324</v>
      </c>
      <c r="F16" s="4"/>
      <c r="G16" s="14">
        <v>22.8</v>
      </c>
      <c r="H16" s="9"/>
    </row>
    <row r="17" spans="3:8" x14ac:dyDescent="0.25">
      <c r="C17" s="8"/>
      <c r="D17" s="2" t="s">
        <v>1302</v>
      </c>
      <c r="E17" s="2" t="s">
        <v>440</v>
      </c>
      <c r="F17" s="4">
        <v>3</v>
      </c>
      <c r="G17" s="14"/>
      <c r="H17" s="9"/>
    </row>
    <row r="18" spans="3:8" x14ac:dyDescent="0.25">
      <c r="C18" s="8"/>
      <c r="D18" s="2" t="s">
        <v>1303</v>
      </c>
      <c r="E18" s="2" t="s">
        <v>440</v>
      </c>
      <c r="F18" s="4"/>
      <c r="G18" s="14"/>
      <c r="H18" s="9">
        <v>45</v>
      </c>
    </row>
    <row r="19" spans="3:8" x14ac:dyDescent="0.25">
      <c r="C19" s="8"/>
      <c r="D19" s="2" t="s">
        <v>1304</v>
      </c>
      <c r="E19" s="2" t="s">
        <v>440</v>
      </c>
      <c r="F19" s="4">
        <v>6</v>
      </c>
      <c r="G19" s="14"/>
      <c r="H19" s="9"/>
    </row>
    <row r="20" spans="3:8" x14ac:dyDescent="0.25">
      <c r="C20" s="8"/>
      <c r="D20" s="2" t="s">
        <v>1305</v>
      </c>
      <c r="E20" s="2" t="s">
        <v>1325</v>
      </c>
      <c r="F20" s="4"/>
      <c r="G20" s="14">
        <v>10239</v>
      </c>
      <c r="H20" s="9"/>
    </row>
    <row r="21" spans="3:8" x14ac:dyDescent="0.25">
      <c r="C21" s="8"/>
      <c r="D21" s="2" t="s">
        <v>1306</v>
      </c>
      <c r="E21" s="2" t="s">
        <v>440</v>
      </c>
      <c r="F21" s="4">
        <v>3</v>
      </c>
      <c r="G21" s="14"/>
      <c r="H21" s="9"/>
    </row>
    <row r="22" spans="3:8" ht="15.75" customHeight="1" x14ac:dyDescent="0.25">
      <c r="C22" s="8"/>
      <c r="D22" s="2" t="s">
        <v>1307</v>
      </c>
      <c r="E22" s="2" t="s">
        <v>440</v>
      </c>
      <c r="F22" s="4">
        <v>80</v>
      </c>
      <c r="G22" s="14"/>
      <c r="H22" s="9"/>
    </row>
    <row r="23" spans="3:8" ht="15.75" customHeight="1" x14ac:dyDescent="0.25">
      <c r="C23" s="8"/>
      <c r="D23" s="2" t="s">
        <v>1308</v>
      </c>
      <c r="E23" s="2" t="s">
        <v>1006</v>
      </c>
      <c r="F23" s="4"/>
      <c r="G23" s="14">
        <v>39.5</v>
      </c>
      <c r="H23" s="9"/>
    </row>
    <row r="24" spans="3:8" ht="15.75" customHeight="1" x14ac:dyDescent="0.25">
      <c r="C24" s="8"/>
      <c r="D24" s="2" t="s">
        <v>1309</v>
      </c>
      <c r="E24" s="2" t="s">
        <v>1006</v>
      </c>
      <c r="F24" s="4"/>
      <c r="G24" s="14">
        <v>5</v>
      </c>
      <c r="H24" s="9"/>
    </row>
    <row r="25" spans="3:8" ht="15.75" customHeight="1" x14ac:dyDescent="0.25">
      <c r="C25" s="8"/>
      <c r="D25" s="2" t="s">
        <v>1310</v>
      </c>
      <c r="E25" s="2" t="s">
        <v>440</v>
      </c>
      <c r="F25" s="4">
        <v>6</v>
      </c>
      <c r="G25" s="14"/>
      <c r="H25" s="9"/>
    </row>
    <row r="26" spans="3:8" ht="15.75" customHeight="1" x14ac:dyDescent="0.25">
      <c r="C26" s="8"/>
      <c r="D26" s="2" t="s">
        <v>1311</v>
      </c>
      <c r="E26" s="2" t="s">
        <v>440</v>
      </c>
      <c r="F26" s="4"/>
      <c r="G26" s="14"/>
      <c r="H26" s="9">
        <v>83.5</v>
      </c>
    </row>
    <row r="27" spans="3:8" ht="15.75" customHeight="1" x14ac:dyDescent="0.25">
      <c r="C27" s="8"/>
      <c r="D27" s="2" t="s">
        <v>1312</v>
      </c>
      <c r="E27" s="2" t="s">
        <v>440</v>
      </c>
      <c r="F27" s="4">
        <v>1</v>
      </c>
      <c r="G27" s="14"/>
      <c r="H27" s="9"/>
    </row>
    <row r="28" spans="3:8" ht="15.75" customHeight="1" x14ac:dyDescent="0.25">
      <c r="C28" s="8"/>
      <c r="D28" s="2" t="s">
        <v>1313</v>
      </c>
      <c r="E28" s="2" t="s">
        <v>440</v>
      </c>
      <c r="F28" s="4">
        <v>3.5</v>
      </c>
      <c r="G28" s="14"/>
      <c r="H28" s="9"/>
    </row>
    <row r="29" spans="3:8" ht="15.75" customHeight="1" x14ac:dyDescent="0.25">
      <c r="C29" s="8"/>
      <c r="D29" s="2" t="s">
        <v>1314</v>
      </c>
      <c r="E29" s="2" t="s">
        <v>440</v>
      </c>
      <c r="F29" s="4">
        <v>12.5</v>
      </c>
      <c r="G29" s="14"/>
      <c r="H29" s="9"/>
    </row>
    <row r="30" spans="3:8" ht="15.75" customHeight="1" x14ac:dyDescent="0.25">
      <c r="C30" s="8"/>
      <c r="D30" s="2" t="s">
        <v>1315</v>
      </c>
      <c r="E30" s="2" t="s">
        <v>440</v>
      </c>
      <c r="F30" s="4"/>
      <c r="G30" s="14"/>
      <c r="H30" s="9">
        <v>28</v>
      </c>
    </row>
    <row r="31" spans="3:8" ht="15.75" customHeight="1" x14ac:dyDescent="0.25">
      <c r="C31" s="8"/>
      <c r="D31" s="2" t="s">
        <v>1316</v>
      </c>
      <c r="E31" s="2" t="s">
        <v>440</v>
      </c>
      <c r="F31" s="4">
        <v>18</v>
      </c>
      <c r="G31" s="14"/>
      <c r="H31" s="9"/>
    </row>
    <row r="32" spans="3:8" x14ac:dyDescent="0.25">
      <c r="C32" s="8"/>
      <c r="D32" s="2" t="s">
        <v>1317</v>
      </c>
      <c r="E32" s="2" t="s">
        <v>440</v>
      </c>
      <c r="F32" s="4">
        <v>4.5</v>
      </c>
      <c r="G32" s="14"/>
      <c r="H32" s="9"/>
    </row>
    <row r="33" spans="3:8" x14ac:dyDescent="0.25">
      <c r="C33" s="8"/>
      <c r="D33" s="2" t="s">
        <v>1318</v>
      </c>
      <c r="E33" s="2" t="s">
        <v>1030</v>
      </c>
      <c r="F33" s="4"/>
      <c r="G33" s="14">
        <v>88</v>
      </c>
      <c r="H33" s="9"/>
    </row>
    <row r="34" spans="3:8" x14ac:dyDescent="0.25">
      <c r="C34" s="8"/>
      <c r="D34" s="2" t="s">
        <v>1319</v>
      </c>
      <c r="E34" s="2" t="s">
        <v>1337</v>
      </c>
      <c r="F34" s="4">
        <v>110</v>
      </c>
      <c r="G34" s="14"/>
      <c r="H34" s="9"/>
    </row>
    <row r="35" spans="3:8" x14ac:dyDescent="0.25">
      <c r="C35" s="8"/>
      <c r="D35" s="2" t="s">
        <v>1320</v>
      </c>
      <c r="E35" s="2" t="s">
        <v>158</v>
      </c>
      <c r="F35" s="4"/>
      <c r="G35" s="14"/>
      <c r="H35" s="9">
        <v>10</v>
      </c>
    </row>
    <row r="36" spans="3:8" x14ac:dyDescent="0.25">
      <c r="C36" s="8"/>
      <c r="D36" s="2" t="s">
        <v>1321</v>
      </c>
      <c r="E36" s="2" t="s">
        <v>440</v>
      </c>
      <c r="F36" s="4"/>
      <c r="G36" s="14"/>
      <c r="H36" s="9">
        <v>14</v>
      </c>
    </row>
    <row r="37" spans="3:8" x14ac:dyDescent="0.25">
      <c r="C37" s="8"/>
      <c r="D37" s="2" t="s">
        <v>1322</v>
      </c>
      <c r="E37" s="2" t="s">
        <v>440</v>
      </c>
      <c r="F37" s="4">
        <v>4</v>
      </c>
      <c r="G37" s="14"/>
      <c r="H37" s="9"/>
    </row>
    <row r="38" spans="3:8" x14ac:dyDescent="0.25">
      <c r="C38" s="8"/>
      <c r="D38" s="2" t="s">
        <v>1323</v>
      </c>
      <c r="E38" s="2" t="s">
        <v>440</v>
      </c>
      <c r="F38" s="4"/>
      <c r="G38" s="14"/>
      <c r="H38" s="9">
        <v>4</v>
      </c>
    </row>
    <row r="39" spans="3:8" x14ac:dyDescent="0.25">
      <c r="C39" s="8"/>
      <c r="D39" s="2" t="s">
        <v>1326</v>
      </c>
      <c r="E39" s="2" t="s">
        <v>440</v>
      </c>
      <c r="F39" s="4"/>
      <c r="G39" s="14"/>
      <c r="H39" s="9">
        <v>3</v>
      </c>
    </row>
    <row r="40" spans="3:8" x14ac:dyDescent="0.25">
      <c r="C40" s="8"/>
      <c r="D40" s="2" t="s">
        <v>1327</v>
      </c>
      <c r="E40" s="2" t="s">
        <v>508</v>
      </c>
      <c r="F40" s="4"/>
      <c r="G40" s="14"/>
      <c r="H40" s="9">
        <v>252</v>
      </c>
    </row>
    <row r="41" spans="3:8" x14ac:dyDescent="0.25">
      <c r="C41" s="8"/>
      <c r="D41" s="2" t="s">
        <v>1328</v>
      </c>
      <c r="E41" s="2" t="s">
        <v>213</v>
      </c>
      <c r="F41" s="4"/>
      <c r="G41" s="14">
        <v>239</v>
      </c>
      <c r="H41" s="9"/>
    </row>
    <row r="42" spans="3:8" x14ac:dyDescent="0.25">
      <c r="C42" s="8"/>
      <c r="D42" s="2" t="s">
        <v>1329</v>
      </c>
      <c r="E42" s="2" t="s">
        <v>440</v>
      </c>
      <c r="F42" s="4">
        <v>2</v>
      </c>
      <c r="G42" s="14"/>
      <c r="H42" s="9"/>
    </row>
    <row r="43" spans="3:8" x14ac:dyDescent="0.25">
      <c r="C43" s="8"/>
      <c r="D43" s="2" t="s">
        <v>1330</v>
      </c>
      <c r="E43" s="2" t="s">
        <v>1338</v>
      </c>
      <c r="F43" s="4"/>
      <c r="G43" s="14">
        <v>360</v>
      </c>
      <c r="H43" s="9"/>
    </row>
    <row r="44" spans="3:8" x14ac:dyDescent="0.25">
      <c r="C44" s="8"/>
      <c r="D44" s="2" t="s">
        <v>1331</v>
      </c>
      <c r="E44" s="2" t="s">
        <v>440</v>
      </c>
      <c r="F44" s="4">
        <v>4</v>
      </c>
      <c r="G44" s="14"/>
      <c r="H44" s="9"/>
    </row>
    <row r="45" spans="3:8" x14ac:dyDescent="0.25">
      <c r="C45" s="8"/>
      <c r="D45" s="2" t="s">
        <v>1332</v>
      </c>
      <c r="E45" s="2" t="s">
        <v>440</v>
      </c>
      <c r="F45" s="4">
        <v>3</v>
      </c>
      <c r="G45" s="14"/>
      <c r="H45" s="9"/>
    </row>
    <row r="46" spans="3:8" x14ac:dyDescent="0.25">
      <c r="C46" s="8"/>
      <c r="D46" s="2" t="s">
        <v>1333</v>
      </c>
      <c r="E46" s="2" t="s">
        <v>779</v>
      </c>
      <c r="F46" s="4"/>
      <c r="G46" s="14">
        <v>80</v>
      </c>
      <c r="H46" s="9"/>
    </row>
    <row r="47" spans="3:8" x14ac:dyDescent="0.25">
      <c r="C47" s="8"/>
      <c r="D47" s="2" t="s">
        <v>1334</v>
      </c>
      <c r="E47" s="2" t="s">
        <v>213</v>
      </c>
      <c r="F47" s="4"/>
      <c r="G47" s="14">
        <v>716</v>
      </c>
      <c r="H47" s="9"/>
    </row>
    <row r="48" spans="3:8" x14ac:dyDescent="0.25">
      <c r="C48" s="8"/>
      <c r="D48" s="2" t="s">
        <v>1335</v>
      </c>
      <c r="E48" s="2" t="s">
        <v>440</v>
      </c>
      <c r="F48" s="4">
        <v>62</v>
      </c>
      <c r="G48" s="14"/>
      <c r="H48" s="9"/>
    </row>
    <row r="49" spans="3:8" x14ac:dyDescent="0.25">
      <c r="C49" s="8"/>
      <c r="D49" s="2" t="s">
        <v>1336</v>
      </c>
      <c r="E49" s="2" t="s">
        <v>440</v>
      </c>
      <c r="F49" s="4">
        <v>31</v>
      </c>
      <c r="G49" s="14"/>
      <c r="H49" s="9"/>
    </row>
    <row r="50" spans="3:8" x14ac:dyDescent="0.25">
      <c r="C50" s="8"/>
      <c r="D50" s="2" t="s">
        <v>1367</v>
      </c>
      <c r="E50" s="2" t="s">
        <v>440</v>
      </c>
      <c r="F50" s="4">
        <v>1</v>
      </c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 t="s">
        <v>1339</v>
      </c>
      <c r="E52" s="2" t="s">
        <v>1340</v>
      </c>
      <c r="F52" s="4"/>
      <c r="G52" s="14">
        <v>551</v>
      </c>
      <c r="H52" s="9"/>
    </row>
    <row r="53" spans="3:8" x14ac:dyDescent="0.25">
      <c r="C53" s="8"/>
      <c r="D53" s="2" t="s">
        <v>1341</v>
      </c>
      <c r="E53" s="2" t="s">
        <v>164</v>
      </c>
      <c r="F53" s="4">
        <v>2780</v>
      </c>
      <c r="G53" s="14"/>
      <c r="H53" s="9"/>
    </row>
    <row r="54" spans="3:8" x14ac:dyDescent="0.25">
      <c r="C54" s="8"/>
      <c r="D54" s="2" t="s">
        <v>1342</v>
      </c>
      <c r="E54" s="2" t="s">
        <v>957</v>
      </c>
      <c r="F54" s="4">
        <v>48</v>
      </c>
      <c r="G54" s="14"/>
      <c r="H54" s="9"/>
    </row>
    <row r="55" spans="3:8" x14ac:dyDescent="0.25">
      <c r="C55" s="8"/>
      <c r="D55" s="2" t="s">
        <v>1343</v>
      </c>
      <c r="E55" s="2" t="s">
        <v>722</v>
      </c>
      <c r="F55" s="4"/>
      <c r="G55" s="14">
        <v>646.5</v>
      </c>
      <c r="H55" s="9"/>
    </row>
    <row r="56" spans="3:8" x14ac:dyDescent="0.25">
      <c r="C56" s="8"/>
      <c r="D56" s="2" t="s">
        <v>1344</v>
      </c>
      <c r="E56" s="2" t="s">
        <v>1144</v>
      </c>
      <c r="F56" s="4"/>
      <c r="G56" s="14"/>
      <c r="H56" s="9">
        <v>431.2</v>
      </c>
    </row>
    <row r="57" spans="3:8" x14ac:dyDescent="0.25">
      <c r="C57" s="8"/>
      <c r="D57" s="2" t="s">
        <v>1345</v>
      </c>
      <c r="E57" s="2" t="s">
        <v>48</v>
      </c>
      <c r="F57" s="4">
        <v>9</v>
      </c>
      <c r="G57" s="14"/>
      <c r="H57" s="9"/>
    </row>
    <row r="58" spans="3:8" x14ac:dyDescent="0.25">
      <c r="C58" s="8"/>
      <c r="D58" s="2" t="s">
        <v>1346</v>
      </c>
      <c r="E58" s="2" t="s">
        <v>1348</v>
      </c>
      <c r="F58" s="4">
        <v>698.5</v>
      </c>
      <c r="G58" s="14"/>
      <c r="H58" s="9"/>
    </row>
    <row r="59" spans="3:8" x14ac:dyDescent="0.25">
      <c r="C59" s="8"/>
      <c r="D59" s="2" t="s">
        <v>1347</v>
      </c>
      <c r="E59" s="2" t="s">
        <v>951</v>
      </c>
      <c r="F59" s="4"/>
      <c r="G59" s="14"/>
      <c r="H59" s="9">
        <v>59</v>
      </c>
    </row>
    <row r="60" spans="3:8" x14ac:dyDescent="0.25">
      <c r="C60" s="8"/>
      <c r="D60" s="2" t="s">
        <v>1350</v>
      </c>
      <c r="E60" s="2" t="s">
        <v>48</v>
      </c>
      <c r="F60" s="4">
        <v>10</v>
      </c>
      <c r="G60" s="14"/>
      <c r="H60" s="9"/>
    </row>
    <row r="61" spans="3:8" x14ac:dyDescent="0.25">
      <c r="C61" s="8"/>
      <c r="D61" s="2" t="s">
        <v>1351</v>
      </c>
      <c r="E61" s="2" t="s">
        <v>1349</v>
      </c>
      <c r="F61" s="4">
        <v>51</v>
      </c>
      <c r="G61" s="14"/>
      <c r="H61" s="9"/>
    </row>
    <row r="62" spans="3:8" x14ac:dyDescent="0.25">
      <c r="C62" s="8"/>
      <c r="D62" s="2" t="s">
        <v>1352</v>
      </c>
      <c r="E62" s="2" t="s">
        <v>48</v>
      </c>
      <c r="F62" s="4">
        <v>5.5</v>
      </c>
      <c r="G62" s="14"/>
      <c r="H62" s="9"/>
    </row>
    <row r="63" spans="3:8" x14ac:dyDescent="0.25">
      <c r="C63" s="8"/>
      <c r="D63" s="2" t="s">
        <v>1353</v>
      </c>
      <c r="E63" s="2" t="s">
        <v>159</v>
      </c>
      <c r="F63" s="4"/>
      <c r="G63" s="14"/>
      <c r="H63" s="9">
        <v>500.5</v>
      </c>
    </row>
    <row r="64" spans="3:8" x14ac:dyDescent="0.25">
      <c r="C64" s="8"/>
      <c r="D64" s="2" t="s">
        <v>1354</v>
      </c>
      <c r="E64" s="2" t="s">
        <v>48</v>
      </c>
      <c r="F64" s="4">
        <v>4.5</v>
      </c>
      <c r="G64" s="14"/>
      <c r="H64" s="9"/>
    </row>
    <row r="65" spans="3:8" x14ac:dyDescent="0.25">
      <c r="C65" s="8"/>
      <c r="D65" s="2" t="s">
        <v>1355</v>
      </c>
      <c r="E65" s="2" t="s">
        <v>164</v>
      </c>
      <c r="F65" s="4">
        <v>6960</v>
      </c>
      <c r="G65" s="14"/>
      <c r="H65" s="9"/>
    </row>
    <row r="66" spans="3:8" x14ac:dyDescent="0.25">
      <c r="C66" s="8"/>
      <c r="D66" s="2" t="s">
        <v>1356</v>
      </c>
      <c r="E66" s="2" t="s">
        <v>48</v>
      </c>
      <c r="F66" s="4">
        <v>11</v>
      </c>
      <c r="G66" s="14"/>
      <c r="H66" s="9"/>
    </row>
    <row r="67" spans="3:8" x14ac:dyDescent="0.25">
      <c r="C67" s="8"/>
      <c r="D67" s="2" t="s">
        <v>1357</v>
      </c>
      <c r="E67" s="2" t="s">
        <v>48</v>
      </c>
      <c r="F67" s="4"/>
      <c r="G67" s="14"/>
      <c r="H67" s="9">
        <v>80</v>
      </c>
    </row>
    <row r="68" spans="3:8" x14ac:dyDescent="0.25">
      <c r="C68" s="8"/>
      <c r="D68" s="2" t="s">
        <v>1358</v>
      </c>
      <c r="E68" s="2" t="s">
        <v>1359</v>
      </c>
      <c r="F68" s="4">
        <v>129</v>
      </c>
      <c r="G68" s="14"/>
      <c r="H68" s="9"/>
    </row>
    <row r="69" spans="3:8" x14ac:dyDescent="0.25">
      <c r="C69" s="8"/>
      <c r="D69" s="2" t="s">
        <v>1368</v>
      </c>
      <c r="E69" s="2" t="s">
        <v>1373</v>
      </c>
      <c r="F69" s="4"/>
      <c r="G69" s="14">
        <v>1764</v>
      </c>
      <c r="H69" s="9"/>
    </row>
    <row r="70" spans="3:8" x14ac:dyDescent="0.25">
      <c r="C70" s="8"/>
      <c r="D70" s="2" t="s">
        <v>1369</v>
      </c>
      <c r="E70" s="2" t="s">
        <v>1374</v>
      </c>
      <c r="F70" s="4"/>
      <c r="G70" s="14">
        <v>37</v>
      </c>
      <c r="H70" s="9"/>
    </row>
    <row r="71" spans="3:8" x14ac:dyDescent="0.25">
      <c r="C71" s="8"/>
      <c r="D71" s="2" t="s">
        <v>1371</v>
      </c>
      <c r="E71" s="2" t="s">
        <v>107</v>
      </c>
      <c r="F71" s="4"/>
      <c r="G71" s="14">
        <v>5698</v>
      </c>
      <c r="H71" s="9"/>
    </row>
    <row r="72" spans="3:8" x14ac:dyDescent="0.25">
      <c r="C72" s="8"/>
      <c r="D72" s="2" t="s">
        <v>1372</v>
      </c>
      <c r="E72" s="2" t="s">
        <v>1370</v>
      </c>
      <c r="F72" s="4"/>
      <c r="G72" s="14"/>
      <c r="H72" s="9">
        <v>1125</v>
      </c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29"/>
      <c r="D77" s="30"/>
      <c r="E77" s="30" t="s">
        <v>60</v>
      </c>
      <c r="F77" s="4"/>
      <c r="G77" s="14"/>
      <c r="H77" s="9"/>
    </row>
    <row r="78" spans="3:8" x14ac:dyDescent="0.25">
      <c r="C78" s="8"/>
      <c r="D78" s="2" t="s">
        <v>1280</v>
      </c>
      <c r="E78" s="2" t="s">
        <v>1282</v>
      </c>
      <c r="F78" s="4"/>
      <c r="G78" s="14"/>
      <c r="H78" s="9">
        <v>27</v>
      </c>
    </row>
    <row r="79" spans="3:8" x14ac:dyDescent="0.25">
      <c r="C79" s="8"/>
      <c r="D79" s="2" t="s">
        <v>1281</v>
      </c>
      <c r="E79" s="2" t="s">
        <v>1283</v>
      </c>
      <c r="F79" s="4"/>
      <c r="G79" s="14"/>
      <c r="H79" s="9">
        <v>3</v>
      </c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8"/>
      <c r="D82" s="2" t="s">
        <v>1284</v>
      </c>
      <c r="E82" s="2" t="s">
        <v>955</v>
      </c>
      <c r="F82" s="4"/>
      <c r="G82" s="14"/>
      <c r="H82" s="9">
        <v>2498</v>
      </c>
    </row>
    <row r="83" spans="3:8" x14ac:dyDescent="0.25">
      <c r="C83" s="8"/>
      <c r="D83" s="2" t="s">
        <v>1286</v>
      </c>
      <c r="E83" s="2" t="s">
        <v>1285</v>
      </c>
      <c r="F83" s="4"/>
      <c r="G83" s="14"/>
      <c r="H83" s="9">
        <v>83.5</v>
      </c>
    </row>
    <row r="84" spans="3:8" x14ac:dyDescent="0.25">
      <c r="C84" s="8"/>
      <c r="D84" s="2" t="s">
        <v>1287</v>
      </c>
      <c r="E84" s="2" t="s">
        <v>1285</v>
      </c>
      <c r="F84" s="4"/>
      <c r="G84" s="14"/>
      <c r="H84" s="9">
        <v>10</v>
      </c>
    </row>
    <row r="85" spans="3:8" x14ac:dyDescent="0.25">
      <c r="C85" s="8"/>
      <c r="D85" s="2" t="s">
        <v>1288</v>
      </c>
      <c r="E85" s="2" t="s">
        <v>229</v>
      </c>
      <c r="F85" s="4"/>
      <c r="G85" s="14"/>
      <c r="H85" s="9">
        <v>22.5</v>
      </c>
    </row>
    <row r="86" spans="3:8" x14ac:dyDescent="0.25">
      <c r="C86" s="8"/>
      <c r="D86" s="2" t="s">
        <v>1289</v>
      </c>
      <c r="E86" s="2" t="s">
        <v>93</v>
      </c>
      <c r="F86" s="4"/>
      <c r="G86" s="14"/>
      <c r="H86" s="9">
        <v>1257</v>
      </c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16"/>
      <c r="D91" s="17"/>
      <c r="E91" s="17" t="s">
        <v>39</v>
      </c>
      <c r="F91" s="4"/>
      <c r="G91" s="14"/>
      <c r="H91" s="9"/>
    </row>
    <row r="92" spans="3:8" x14ac:dyDescent="0.25">
      <c r="C92" s="8"/>
      <c r="D92" s="45"/>
      <c r="E92" s="2" t="s">
        <v>217</v>
      </c>
      <c r="F92" s="4">
        <v>147.5</v>
      </c>
      <c r="G92" s="14"/>
      <c r="H92" s="9"/>
    </row>
    <row r="93" spans="3:8" x14ac:dyDescent="0.25">
      <c r="C93" s="8"/>
      <c r="D93" s="45"/>
      <c r="E93" s="2" t="s">
        <v>1291</v>
      </c>
      <c r="F93" s="4">
        <v>155</v>
      </c>
      <c r="G93" s="14"/>
      <c r="H93" s="9"/>
    </row>
    <row r="94" spans="3:8" x14ac:dyDescent="0.25">
      <c r="C94" s="8"/>
      <c r="D94" s="45"/>
      <c r="E94" s="2" t="s">
        <v>1360</v>
      </c>
      <c r="F94" s="4">
        <v>8.1999999999999993</v>
      </c>
      <c r="G94" s="14"/>
      <c r="H94" s="9"/>
    </row>
    <row r="95" spans="3:8" x14ac:dyDescent="0.25">
      <c r="C95" s="8"/>
      <c r="D95" s="45"/>
      <c r="E95" s="2" t="s">
        <v>402</v>
      </c>
      <c r="F95" s="4">
        <v>7</v>
      </c>
      <c r="G95" s="14"/>
      <c r="H95" s="9"/>
    </row>
    <row r="96" spans="3:8" x14ac:dyDescent="0.25">
      <c r="C96" s="8"/>
      <c r="D96" s="45"/>
      <c r="E96" s="2"/>
      <c r="F96" s="4"/>
      <c r="G96" s="14"/>
      <c r="H96" s="9"/>
    </row>
    <row r="97" spans="3:8" x14ac:dyDescent="0.25">
      <c r="C97" s="8"/>
      <c r="D97" s="45"/>
      <c r="E97" s="2"/>
      <c r="F97" s="4"/>
      <c r="G97" s="14"/>
      <c r="H97" s="9"/>
    </row>
    <row r="98" spans="3:8" x14ac:dyDescent="0.25">
      <c r="C98" s="8"/>
      <c r="D98" s="45"/>
      <c r="E98" s="2"/>
      <c r="F98" s="4"/>
      <c r="G98" s="14"/>
      <c r="H98" s="9"/>
    </row>
    <row r="99" spans="3:8" x14ac:dyDescent="0.25">
      <c r="C99" s="8"/>
      <c r="D99" s="45"/>
      <c r="E99" s="2"/>
      <c r="F99" s="4"/>
      <c r="G99" s="14"/>
      <c r="H99" s="9"/>
    </row>
    <row r="100" spans="3:8" x14ac:dyDescent="0.25">
      <c r="C100" s="8"/>
      <c r="D100" s="2"/>
      <c r="E100" s="2"/>
      <c r="F100" s="4"/>
      <c r="G100" s="14"/>
      <c r="H100" s="9"/>
    </row>
    <row r="101" spans="3:8" x14ac:dyDescent="0.25">
      <c r="C101" s="8"/>
      <c r="D101" s="2"/>
      <c r="E101" s="2"/>
      <c r="F101" s="4"/>
      <c r="G101" s="14"/>
      <c r="H101" s="9"/>
    </row>
    <row r="102" spans="3:8" x14ac:dyDescent="0.25">
      <c r="C102" s="19"/>
      <c r="D102" s="20"/>
      <c r="E102" s="20" t="s">
        <v>42</v>
      </c>
      <c r="F102" s="4"/>
      <c r="G102" s="14"/>
      <c r="H102" s="9"/>
    </row>
    <row r="103" spans="3:8" x14ac:dyDescent="0.25">
      <c r="C103" s="34"/>
      <c r="D103" s="42"/>
      <c r="E103" s="2" t="s">
        <v>1276</v>
      </c>
      <c r="F103" s="14">
        <v>-75</v>
      </c>
      <c r="G103" s="14"/>
      <c r="H103" s="9"/>
    </row>
    <row r="104" spans="3:8" x14ac:dyDescent="0.25">
      <c r="C104" s="34"/>
      <c r="D104" s="2"/>
      <c r="E104" s="2" t="s">
        <v>1277</v>
      </c>
      <c r="F104" s="14">
        <v>-270</v>
      </c>
      <c r="G104" s="14"/>
      <c r="H104" s="9"/>
    </row>
    <row r="105" spans="3:8" x14ac:dyDescent="0.25">
      <c r="C105" s="34"/>
      <c r="D105" s="42"/>
      <c r="E105" s="2" t="s">
        <v>1278</v>
      </c>
      <c r="F105" s="14">
        <v>-1820</v>
      </c>
      <c r="G105" s="14"/>
      <c r="H105" s="9"/>
    </row>
    <row r="106" spans="3:8" x14ac:dyDescent="0.25">
      <c r="C106" s="8"/>
      <c r="D106" s="2"/>
      <c r="E106" s="2" t="s">
        <v>1279</v>
      </c>
      <c r="F106" s="14">
        <v>-92.5</v>
      </c>
      <c r="G106" s="14"/>
      <c r="H106" s="9"/>
    </row>
    <row r="107" spans="3:8" x14ac:dyDescent="0.25">
      <c r="C107" s="8"/>
      <c r="D107" s="2"/>
      <c r="E107" s="2" t="s">
        <v>1361</v>
      </c>
      <c r="F107" s="14">
        <v>-20</v>
      </c>
      <c r="G107" s="14"/>
      <c r="H107" s="9"/>
    </row>
    <row r="108" spans="3:8" x14ac:dyDescent="0.25">
      <c r="C108" s="8"/>
      <c r="D108" s="2"/>
      <c r="E108" s="2" t="s">
        <v>735</v>
      </c>
      <c r="F108" s="14">
        <v>-100</v>
      </c>
      <c r="G108" s="14"/>
      <c r="H108" s="9"/>
    </row>
    <row r="109" spans="3:8" x14ac:dyDescent="0.25">
      <c r="C109" s="8"/>
      <c r="D109" s="2"/>
      <c r="E109" s="2" t="s">
        <v>385</v>
      </c>
      <c r="F109" s="14">
        <v>-200</v>
      </c>
      <c r="G109" s="14"/>
      <c r="H109" s="9"/>
    </row>
    <row r="110" spans="3:8" x14ac:dyDescent="0.25">
      <c r="C110" s="8"/>
      <c r="D110" s="2"/>
      <c r="E110" s="2" t="s">
        <v>1362</v>
      </c>
      <c r="F110" s="14">
        <v>-50</v>
      </c>
      <c r="G110" s="14"/>
      <c r="H110" s="9"/>
    </row>
    <row r="111" spans="3:8" x14ac:dyDescent="0.25">
      <c r="C111" s="8"/>
      <c r="D111" s="2"/>
      <c r="E111" s="2" t="s">
        <v>1363</v>
      </c>
      <c r="F111" s="14">
        <v>-50</v>
      </c>
      <c r="G111" s="14"/>
      <c r="H111" s="9"/>
    </row>
    <row r="112" spans="3:8" x14ac:dyDescent="0.25">
      <c r="C112" s="8"/>
      <c r="D112" s="2"/>
      <c r="E112" s="2" t="s">
        <v>1364</v>
      </c>
      <c r="F112" s="14">
        <v>-39</v>
      </c>
      <c r="G112" s="14"/>
      <c r="H112" s="9"/>
    </row>
    <row r="113" spans="3:10" x14ac:dyDescent="0.25">
      <c r="C113" s="8"/>
      <c r="D113" s="2"/>
      <c r="E113" s="2" t="s">
        <v>1365</v>
      </c>
      <c r="F113" s="14">
        <v>-100</v>
      </c>
      <c r="G113" s="14"/>
      <c r="H113" s="9"/>
    </row>
    <row r="114" spans="3:10" x14ac:dyDescent="0.25">
      <c r="C114" s="8"/>
      <c r="D114" s="2"/>
      <c r="E114" s="2" t="s">
        <v>1366</v>
      </c>
      <c r="F114" s="14">
        <v>-20</v>
      </c>
      <c r="G114" s="14"/>
      <c r="H114" s="9"/>
    </row>
    <row r="115" spans="3:10" x14ac:dyDescent="0.25">
      <c r="C115" s="8"/>
      <c r="D115" s="2"/>
      <c r="E115" s="2" t="s">
        <v>1375</v>
      </c>
      <c r="F115" s="14">
        <v>-15</v>
      </c>
      <c r="G115" s="14"/>
      <c r="H115" s="9"/>
    </row>
    <row r="116" spans="3:10" x14ac:dyDescent="0.25">
      <c r="C116" s="8"/>
      <c r="D116" s="2"/>
      <c r="E116" s="2" t="s">
        <v>1376</v>
      </c>
      <c r="F116" s="14">
        <v>-263.5</v>
      </c>
      <c r="G116" s="14"/>
      <c r="H116" s="9"/>
    </row>
    <row r="117" spans="3:10" x14ac:dyDescent="0.25">
      <c r="C117" s="8"/>
      <c r="D117" s="2"/>
      <c r="E117" s="2" t="s">
        <v>1377</v>
      </c>
      <c r="F117" s="14">
        <v>-30</v>
      </c>
      <c r="G117" s="14"/>
      <c r="H117" s="9"/>
    </row>
    <row r="118" spans="3:10" x14ac:dyDescent="0.25">
      <c r="C118" s="8"/>
      <c r="D118" s="2"/>
      <c r="E118" s="2" t="s">
        <v>1378</v>
      </c>
      <c r="F118" s="14">
        <v>-130</v>
      </c>
      <c r="G118" s="14"/>
      <c r="H118" s="9"/>
    </row>
    <row r="119" spans="3:10" x14ac:dyDescent="0.25">
      <c r="C119" s="8"/>
      <c r="D119" s="2"/>
      <c r="E119" s="2" t="s">
        <v>1379</v>
      </c>
      <c r="F119" s="14">
        <v>-380</v>
      </c>
      <c r="G119" s="14"/>
      <c r="H119" s="9"/>
    </row>
    <row r="120" spans="3:10" x14ac:dyDescent="0.25">
      <c r="C120" s="8"/>
      <c r="D120" s="2"/>
      <c r="E120" s="2" t="s">
        <v>1379</v>
      </c>
      <c r="F120" s="14">
        <v>-1715</v>
      </c>
      <c r="G120" s="14"/>
      <c r="H120" s="9"/>
    </row>
    <row r="121" spans="3:10" x14ac:dyDescent="0.25">
      <c r="C121" s="8"/>
      <c r="D121" s="2"/>
      <c r="E121" s="2"/>
      <c r="F121" s="4"/>
      <c r="G121" s="14"/>
      <c r="H121" s="9"/>
    </row>
    <row r="122" spans="3:10" ht="15.75" thickBot="1" x14ac:dyDescent="0.3">
      <c r="C122" s="10"/>
      <c r="D122" s="11"/>
      <c r="E122" s="11" t="s">
        <v>44</v>
      </c>
      <c r="F122" s="12">
        <f>SUM(F6:F121)</f>
        <v>6435.7000000000007</v>
      </c>
      <c r="G122" s="15">
        <f>SUM(G6:G121)</f>
        <v>20620.8</v>
      </c>
      <c r="H122" s="13">
        <f>SUM(H6:H121)</f>
        <v>7077.7</v>
      </c>
    </row>
    <row r="125" spans="3:10" ht="18.75" x14ac:dyDescent="0.3">
      <c r="E125" s="38" t="s">
        <v>49</v>
      </c>
      <c r="F125" s="39">
        <f>+H4+F122</f>
        <v>14667.470000000001</v>
      </c>
    </row>
    <row r="128" spans="3:10" x14ac:dyDescent="0.25">
      <c r="J128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E788-257C-4FF4-BA29-3A39B1D16959}">
  <sheetPr codeName="Hoja13"/>
  <dimension ref="C2:L134"/>
  <sheetViews>
    <sheetView topLeftCell="A97" workbookViewId="0">
      <selection activeCell="E108" sqref="E108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70.425781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1380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14667.47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50" t="s">
        <v>1381</v>
      </c>
      <c r="E6" s="50" t="s">
        <v>1482</v>
      </c>
      <c r="F6" s="4"/>
      <c r="G6" s="14"/>
      <c r="H6" s="9"/>
    </row>
    <row r="7" spans="3:8" x14ac:dyDescent="0.25">
      <c r="C7" s="8"/>
      <c r="D7" s="2" t="s">
        <v>1391</v>
      </c>
      <c r="E7" s="2" t="s">
        <v>508</v>
      </c>
      <c r="F7" s="4">
        <v>372</v>
      </c>
      <c r="G7" s="14"/>
      <c r="H7" s="9"/>
    </row>
    <row r="8" spans="3:8" x14ac:dyDescent="0.25">
      <c r="C8" s="8"/>
      <c r="D8" s="2" t="s">
        <v>1392</v>
      </c>
      <c r="E8" s="2" t="s">
        <v>440</v>
      </c>
      <c r="F8" s="4">
        <v>189</v>
      </c>
      <c r="G8" s="14"/>
      <c r="H8" s="9"/>
    </row>
    <row r="9" spans="3:8" x14ac:dyDescent="0.25">
      <c r="C9" s="8"/>
      <c r="D9" s="2" t="s">
        <v>1393</v>
      </c>
      <c r="E9" s="2" t="s">
        <v>1396</v>
      </c>
      <c r="F9" s="4">
        <v>682</v>
      </c>
      <c r="G9" s="14"/>
      <c r="H9" s="9"/>
    </row>
    <row r="10" spans="3:8" x14ac:dyDescent="0.25">
      <c r="C10" s="8"/>
      <c r="D10" s="2" t="s">
        <v>1394</v>
      </c>
      <c r="E10" s="2" t="s">
        <v>50</v>
      </c>
      <c r="F10" s="4">
        <v>219</v>
      </c>
      <c r="G10" s="14"/>
      <c r="H10" s="9"/>
    </row>
    <row r="11" spans="3:8" x14ac:dyDescent="0.25">
      <c r="C11" s="8"/>
      <c r="D11" s="2" t="s">
        <v>1395</v>
      </c>
      <c r="E11" s="2" t="s">
        <v>440</v>
      </c>
      <c r="F11" s="4">
        <v>1</v>
      </c>
      <c r="G11" s="14"/>
      <c r="H11" s="9"/>
    </row>
    <row r="12" spans="3:8" x14ac:dyDescent="0.25">
      <c r="C12" s="8"/>
      <c r="D12" s="2" t="s">
        <v>1397</v>
      </c>
      <c r="E12" s="2" t="s">
        <v>440</v>
      </c>
      <c r="F12" s="4">
        <v>42</v>
      </c>
      <c r="G12" s="14"/>
      <c r="H12" s="9"/>
    </row>
    <row r="13" spans="3:8" x14ac:dyDescent="0.25">
      <c r="C13" s="8"/>
      <c r="D13" s="2" t="s">
        <v>1398</v>
      </c>
      <c r="E13" s="2" t="s">
        <v>440</v>
      </c>
      <c r="F13" s="4">
        <v>5.5</v>
      </c>
      <c r="G13" s="14"/>
      <c r="H13" s="9"/>
    </row>
    <row r="14" spans="3:8" x14ac:dyDescent="0.25">
      <c r="C14" s="8"/>
      <c r="D14" s="2" t="s">
        <v>1399</v>
      </c>
      <c r="E14" s="2" t="s">
        <v>1421</v>
      </c>
      <c r="F14" s="4">
        <v>2960</v>
      </c>
      <c r="G14" s="14"/>
      <c r="H14" s="9"/>
    </row>
    <row r="15" spans="3:8" x14ac:dyDescent="0.25">
      <c r="C15" s="8"/>
      <c r="D15" s="2" t="s">
        <v>1400</v>
      </c>
      <c r="E15" s="2" t="s">
        <v>1420</v>
      </c>
      <c r="F15" s="4">
        <v>500</v>
      </c>
      <c r="G15" s="14"/>
      <c r="H15" s="9"/>
    </row>
    <row r="16" spans="3:8" x14ac:dyDescent="0.25">
      <c r="C16" s="8"/>
      <c r="D16" s="2" t="s">
        <v>1401</v>
      </c>
      <c r="E16" s="2" t="s">
        <v>440</v>
      </c>
      <c r="F16" s="4">
        <v>10</v>
      </c>
      <c r="G16" s="14"/>
      <c r="H16" s="9"/>
    </row>
    <row r="17" spans="3:8" x14ac:dyDescent="0.25">
      <c r="C17" s="8"/>
      <c r="D17" s="2" t="s">
        <v>1402</v>
      </c>
      <c r="E17" s="2" t="s">
        <v>440</v>
      </c>
      <c r="F17" s="4">
        <v>83</v>
      </c>
      <c r="G17" s="14"/>
      <c r="H17" s="9"/>
    </row>
    <row r="18" spans="3:8" x14ac:dyDescent="0.25">
      <c r="C18" s="8"/>
      <c r="D18" s="2" t="s">
        <v>1403</v>
      </c>
      <c r="E18" s="2" t="s">
        <v>440</v>
      </c>
      <c r="F18" s="4">
        <v>10</v>
      </c>
      <c r="G18" s="14"/>
      <c r="H18" s="9"/>
    </row>
    <row r="19" spans="3:8" x14ac:dyDescent="0.25">
      <c r="C19" s="8"/>
      <c r="D19" s="2" t="s">
        <v>1404</v>
      </c>
      <c r="E19" s="2" t="s">
        <v>440</v>
      </c>
      <c r="F19" s="4"/>
      <c r="G19" s="14"/>
      <c r="H19" s="9">
        <v>8</v>
      </c>
    </row>
    <row r="20" spans="3:8" x14ac:dyDescent="0.25">
      <c r="C20" s="8"/>
      <c r="D20" s="2" t="s">
        <v>1405</v>
      </c>
      <c r="E20" s="2" t="s">
        <v>440</v>
      </c>
      <c r="F20" s="4">
        <v>12.5</v>
      </c>
      <c r="G20" s="14"/>
      <c r="H20" s="9"/>
    </row>
    <row r="21" spans="3:8" x14ac:dyDescent="0.25">
      <c r="C21" s="8"/>
      <c r="D21" s="2" t="s">
        <v>1406</v>
      </c>
      <c r="E21" s="2" t="s">
        <v>35</v>
      </c>
      <c r="F21" s="4"/>
      <c r="G21" s="14">
        <v>105</v>
      </c>
      <c r="H21" s="9"/>
    </row>
    <row r="22" spans="3:8" x14ac:dyDescent="0.25">
      <c r="C22" s="8"/>
      <c r="D22" s="2" t="s">
        <v>1407</v>
      </c>
      <c r="E22" s="2" t="s">
        <v>449</v>
      </c>
      <c r="F22" s="4">
        <v>130</v>
      </c>
      <c r="G22" s="14"/>
      <c r="H22" s="9"/>
    </row>
    <row r="23" spans="3:8" x14ac:dyDescent="0.25">
      <c r="C23" s="8"/>
      <c r="D23" s="2" t="s">
        <v>1408</v>
      </c>
      <c r="E23" s="2" t="s">
        <v>1419</v>
      </c>
      <c r="F23" s="4"/>
      <c r="G23" s="14"/>
      <c r="H23" s="9">
        <v>183.5</v>
      </c>
    </row>
    <row r="24" spans="3:8" x14ac:dyDescent="0.25">
      <c r="C24" s="8"/>
      <c r="D24" s="2" t="s">
        <v>1409</v>
      </c>
      <c r="E24" s="2" t="s">
        <v>440</v>
      </c>
      <c r="F24" s="4">
        <v>18</v>
      </c>
      <c r="G24" s="14"/>
      <c r="H24" s="9"/>
    </row>
    <row r="25" spans="3:8" x14ac:dyDescent="0.25">
      <c r="C25" s="8"/>
      <c r="D25" s="2" t="s">
        <v>1410</v>
      </c>
      <c r="E25" s="2" t="s">
        <v>440</v>
      </c>
      <c r="F25" s="4">
        <v>33</v>
      </c>
      <c r="G25" s="14"/>
      <c r="H25" s="9"/>
    </row>
    <row r="26" spans="3:8" x14ac:dyDescent="0.25">
      <c r="C26" s="8"/>
      <c r="D26" s="2" t="s">
        <v>1411</v>
      </c>
      <c r="E26" s="2" t="s">
        <v>440</v>
      </c>
      <c r="F26" s="4">
        <v>3</v>
      </c>
      <c r="G26" s="14"/>
      <c r="H26" s="9"/>
    </row>
    <row r="27" spans="3:8" x14ac:dyDescent="0.25">
      <c r="C27" s="8"/>
      <c r="D27" s="2" t="s">
        <v>1412</v>
      </c>
      <c r="E27" s="2" t="s">
        <v>1418</v>
      </c>
      <c r="F27" s="4">
        <v>2850</v>
      </c>
      <c r="G27" s="14"/>
      <c r="H27" s="9"/>
    </row>
    <row r="28" spans="3:8" x14ac:dyDescent="0.25">
      <c r="C28" s="8"/>
      <c r="D28" s="2" t="s">
        <v>1413</v>
      </c>
      <c r="E28" s="2" t="s">
        <v>440</v>
      </c>
      <c r="F28" s="4">
        <v>106</v>
      </c>
      <c r="G28" s="14"/>
      <c r="H28" s="9"/>
    </row>
    <row r="29" spans="3:8" x14ac:dyDescent="0.25">
      <c r="C29" s="8"/>
      <c r="D29" s="2" t="s">
        <v>1414</v>
      </c>
      <c r="E29" s="2" t="s">
        <v>440</v>
      </c>
      <c r="F29" s="4">
        <v>12</v>
      </c>
      <c r="G29" s="14"/>
      <c r="H29" s="9"/>
    </row>
    <row r="30" spans="3:8" x14ac:dyDescent="0.25">
      <c r="C30" s="8"/>
      <c r="D30" s="2" t="s">
        <v>1415</v>
      </c>
      <c r="E30" s="2" t="s">
        <v>1462</v>
      </c>
      <c r="F30" s="4">
        <v>130</v>
      </c>
      <c r="G30" s="14"/>
      <c r="H30" s="9">
        <v>270</v>
      </c>
    </row>
    <row r="31" spans="3:8" x14ac:dyDescent="0.25">
      <c r="C31" s="8"/>
      <c r="D31" s="2" t="s">
        <v>1416</v>
      </c>
      <c r="E31" s="2" t="s">
        <v>440</v>
      </c>
      <c r="F31" s="4">
        <v>13</v>
      </c>
      <c r="G31" s="14"/>
      <c r="H31" s="9"/>
    </row>
    <row r="32" spans="3:8" x14ac:dyDescent="0.25">
      <c r="C32" s="8"/>
      <c r="D32" s="2" t="s">
        <v>1417</v>
      </c>
      <c r="E32" s="2" t="s">
        <v>440</v>
      </c>
      <c r="F32" s="4">
        <v>77.5</v>
      </c>
      <c r="G32" s="14"/>
      <c r="H32" s="9"/>
    </row>
    <row r="33" spans="3:8" x14ac:dyDescent="0.25">
      <c r="C33" s="8"/>
      <c r="D33" s="2" t="s">
        <v>1469</v>
      </c>
      <c r="E33" s="2" t="s">
        <v>1477</v>
      </c>
      <c r="F33" s="4">
        <v>3050.25</v>
      </c>
      <c r="G33" s="14"/>
      <c r="H33" s="9"/>
    </row>
    <row r="34" spans="3:8" x14ac:dyDescent="0.25">
      <c r="C34" s="8"/>
      <c r="D34" s="2" t="s">
        <v>1470</v>
      </c>
      <c r="E34" s="2" t="s">
        <v>440</v>
      </c>
      <c r="F34" s="4">
        <v>97</v>
      </c>
      <c r="G34" s="14"/>
      <c r="H34" s="9"/>
    </row>
    <row r="35" spans="3:8" x14ac:dyDescent="0.25">
      <c r="C35" s="8"/>
      <c r="D35" s="2" t="s">
        <v>1471</v>
      </c>
      <c r="E35" s="2" t="s">
        <v>440</v>
      </c>
      <c r="F35" s="4">
        <v>3</v>
      </c>
      <c r="G35" s="14"/>
      <c r="H35" s="9"/>
    </row>
    <row r="36" spans="3:8" x14ac:dyDescent="0.25">
      <c r="C36" s="8"/>
      <c r="D36" s="2" t="s">
        <v>1472</v>
      </c>
      <c r="E36" s="2" t="s">
        <v>1476</v>
      </c>
      <c r="F36" s="4">
        <v>211</v>
      </c>
      <c r="G36" s="14"/>
      <c r="H36" s="9"/>
    </row>
    <row r="37" spans="3:8" x14ac:dyDescent="0.25">
      <c r="C37" s="8"/>
      <c r="D37" s="2" t="s">
        <v>1473</v>
      </c>
      <c r="E37" s="2" t="s">
        <v>440</v>
      </c>
      <c r="F37" s="4"/>
      <c r="G37" s="14"/>
      <c r="H37" s="9">
        <v>22</v>
      </c>
    </row>
    <row r="38" spans="3:8" x14ac:dyDescent="0.25">
      <c r="C38" s="8"/>
      <c r="D38" s="2" t="s">
        <v>1474</v>
      </c>
      <c r="E38" s="2" t="s">
        <v>440</v>
      </c>
      <c r="F38" s="4">
        <v>10</v>
      </c>
      <c r="G38" s="14"/>
      <c r="H38" s="9"/>
    </row>
    <row r="39" spans="3:8" x14ac:dyDescent="0.25">
      <c r="C39" s="8"/>
      <c r="D39" s="2" t="s">
        <v>1475</v>
      </c>
      <c r="E39" s="2" t="s">
        <v>440</v>
      </c>
      <c r="F39" s="4"/>
      <c r="G39" s="14"/>
      <c r="H39" s="9">
        <v>57</v>
      </c>
    </row>
    <row r="40" spans="3:8" x14ac:dyDescent="0.25">
      <c r="C40" s="8"/>
      <c r="D40" s="2" t="s">
        <v>1489</v>
      </c>
      <c r="E40" s="2" t="s">
        <v>440</v>
      </c>
      <c r="F40" s="4">
        <v>4.5</v>
      </c>
      <c r="G40" s="14"/>
      <c r="H40" s="9"/>
    </row>
    <row r="41" spans="3:8" x14ac:dyDescent="0.25">
      <c r="C41" s="8"/>
      <c r="D41" s="2" t="s">
        <v>1490</v>
      </c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 t="s">
        <v>1422</v>
      </c>
      <c r="E45" s="2" t="s">
        <v>1423</v>
      </c>
      <c r="F45" s="4"/>
      <c r="G45" s="14"/>
      <c r="H45" s="9">
        <v>109.2</v>
      </c>
    </row>
    <row r="46" spans="3:8" x14ac:dyDescent="0.25">
      <c r="C46" s="8"/>
      <c r="D46" s="2" t="s">
        <v>1424</v>
      </c>
      <c r="E46" s="2" t="s">
        <v>1461</v>
      </c>
      <c r="F46" s="4">
        <v>48</v>
      </c>
      <c r="G46" s="14"/>
      <c r="H46" s="9"/>
    </row>
    <row r="47" spans="3:8" x14ac:dyDescent="0.25">
      <c r="C47" s="8"/>
      <c r="D47" s="2" t="s">
        <v>1425</v>
      </c>
      <c r="E47" s="2" t="s">
        <v>48</v>
      </c>
      <c r="F47" s="4">
        <v>24</v>
      </c>
      <c r="G47" s="14"/>
      <c r="H47" s="9"/>
    </row>
    <row r="48" spans="3:8" x14ac:dyDescent="0.25">
      <c r="C48" s="8"/>
      <c r="D48" s="2" t="s">
        <v>1426</v>
      </c>
      <c r="E48" s="2" t="s">
        <v>1460</v>
      </c>
      <c r="F48" s="4"/>
      <c r="G48" s="14"/>
      <c r="H48" s="9">
        <v>269</v>
      </c>
    </row>
    <row r="49" spans="3:8" x14ac:dyDescent="0.25">
      <c r="C49" s="8"/>
      <c r="D49" s="2" t="s">
        <v>1427</v>
      </c>
      <c r="E49" s="2" t="s">
        <v>1459</v>
      </c>
      <c r="F49" s="4">
        <v>500</v>
      </c>
      <c r="G49" s="14"/>
      <c r="H49" s="9">
        <v>65</v>
      </c>
    </row>
    <row r="50" spans="3:8" x14ac:dyDescent="0.25">
      <c r="C50" s="8"/>
      <c r="D50" s="2" t="s">
        <v>1428</v>
      </c>
      <c r="E50" s="2" t="s">
        <v>48</v>
      </c>
      <c r="F50" s="4">
        <v>10</v>
      </c>
      <c r="G50" s="14"/>
      <c r="H50" s="9"/>
    </row>
    <row r="51" spans="3:8" x14ac:dyDescent="0.25">
      <c r="C51" s="8"/>
      <c r="D51" s="2" t="s">
        <v>1429</v>
      </c>
      <c r="E51" s="2" t="s">
        <v>48</v>
      </c>
      <c r="F51" s="4">
        <v>43.5</v>
      </c>
      <c r="G51" s="14"/>
      <c r="H51" s="9"/>
    </row>
    <row r="52" spans="3:8" x14ac:dyDescent="0.25">
      <c r="C52" s="8"/>
      <c r="D52" s="2" t="s">
        <v>1430</v>
      </c>
      <c r="E52" s="2" t="s">
        <v>48</v>
      </c>
      <c r="F52" s="4">
        <v>6</v>
      </c>
      <c r="G52" s="14"/>
      <c r="H52" s="9"/>
    </row>
    <row r="53" spans="3:8" x14ac:dyDescent="0.25">
      <c r="C53" s="8"/>
      <c r="D53" s="2" t="s">
        <v>1431</v>
      </c>
      <c r="E53" s="2" t="s">
        <v>48</v>
      </c>
      <c r="F53" s="4"/>
      <c r="G53" s="14"/>
      <c r="H53" s="9">
        <v>173</v>
      </c>
    </row>
    <row r="54" spans="3:8" x14ac:dyDescent="0.25">
      <c r="C54" s="8"/>
      <c r="D54" s="2" t="s">
        <v>1432</v>
      </c>
      <c r="E54" s="2" t="s">
        <v>1458</v>
      </c>
      <c r="F54" s="4">
        <v>140</v>
      </c>
      <c r="G54" s="14"/>
      <c r="H54" s="9"/>
    </row>
    <row r="55" spans="3:8" x14ac:dyDescent="0.25">
      <c r="C55" s="8"/>
      <c r="D55" s="2" t="s">
        <v>1433</v>
      </c>
      <c r="E55" s="2" t="s">
        <v>48</v>
      </c>
      <c r="F55" s="4"/>
      <c r="G55" s="14"/>
      <c r="H55" s="9">
        <v>7</v>
      </c>
    </row>
    <row r="56" spans="3:8" x14ac:dyDescent="0.25">
      <c r="C56" s="8"/>
      <c r="D56" s="2" t="s">
        <v>1434</v>
      </c>
      <c r="E56" s="2" t="s">
        <v>722</v>
      </c>
      <c r="F56" s="4"/>
      <c r="G56" s="14">
        <v>360</v>
      </c>
      <c r="H56" s="9"/>
    </row>
    <row r="57" spans="3:8" x14ac:dyDescent="0.25">
      <c r="C57" s="8"/>
      <c r="D57" s="2" t="s">
        <v>1435</v>
      </c>
      <c r="E57" s="2" t="s">
        <v>48</v>
      </c>
      <c r="F57" s="4">
        <v>27</v>
      </c>
      <c r="G57" s="14"/>
      <c r="H57" s="9"/>
    </row>
    <row r="58" spans="3:8" x14ac:dyDescent="0.25">
      <c r="C58" s="8"/>
      <c r="D58" s="2" t="s">
        <v>1436</v>
      </c>
      <c r="E58" s="2" t="s">
        <v>1457</v>
      </c>
      <c r="F58" s="4"/>
      <c r="G58" s="14"/>
      <c r="H58" s="9">
        <v>18346</v>
      </c>
    </row>
    <row r="59" spans="3:8" x14ac:dyDescent="0.25">
      <c r="C59" s="8"/>
      <c r="D59" s="2" t="s">
        <v>1437</v>
      </c>
      <c r="E59" s="2" t="s">
        <v>1456</v>
      </c>
      <c r="F59" s="4">
        <v>652</v>
      </c>
      <c r="G59" s="14"/>
      <c r="H59" s="9"/>
    </row>
    <row r="60" spans="3:8" x14ac:dyDescent="0.25">
      <c r="C60" s="8"/>
      <c r="D60" s="2" t="s">
        <v>1438</v>
      </c>
      <c r="E60" s="2" t="s">
        <v>48</v>
      </c>
      <c r="F60" s="4"/>
      <c r="G60" s="14"/>
      <c r="H60" s="9">
        <v>50</v>
      </c>
    </row>
    <row r="61" spans="3:8" x14ac:dyDescent="0.25">
      <c r="C61" s="8"/>
      <c r="D61" s="2" t="s">
        <v>1439</v>
      </c>
      <c r="E61" s="2" t="s">
        <v>48</v>
      </c>
      <c r="F61" s="4"/>
      <c r="G61" s="14"/>
      <c r="H61" s="9">
        <v>18</v>
      </c>
    </row>
    <row r="62" spans="3:8" x14ac:dyDescent="0.25">
      <c r="C62" s="8"/>
      <c r="D62" s="2" t="s">
        <v>1440</v>
      </c>
      <c r="E62" s="2" t="s">
        <v>48</v>
      </c>
      <c r="F62" s="4"/>
      <c r="G62" s="14"/>
      <c r="H62" s="9">
        <v>5</v>
      </c>
    </row>
    <row r="63" spans="3:8" x14ac:dyDescent="0.25">
      <c r="C63" s="8"/>
      <c r="D63" s="2" t="s">
        <v>1441</v>
      </c>
      <c r="E63" s="2" t="s">
        <v>1455</v>
      </c>
      <c r="F63" s="4">
        <v>688.5</v>
      </c>
      <c r="G63" s="14"/>
      <c r="H63" s="9"/>
    </row>
    <row r="64" spans="3:8" x14ac:dyDescent="0.25">
      <c r="C64" s="8"/>
      <c r="D64" s="2" t="s">
        <v>1442</v>
      </c>
      <c r="E64" s="2" t="s">
        <v>48</v>
      </c>
      <c r="F64" s="4">
        <v>4.5</v>
      </c>
      <c r="G64" s="14"/>
      <c r="H64" s="9"/>
    </row>
    <row r="65" spans="3:8" x14ac:dyDescent="0.25">
      <c r="C65" s="8"/>
      <c r="D65" s="2" t="s">
        <v>1443</v>
      </c>
      <c r="E65" s="2" t="s">
        <v>48</v>
      </c>
      <c r="F65" s="4">
        <v>12</v>
      </c>
      <c r="G65" s="14"/>
      <c r="H65" s="9"/>
    </row>
    <row r="66" spans="3:8" x14ac:dyDescent="0.25">
      <c r="C66" s="8"/>
      <c r="D66" s="2" t="s">
        <v>1444</v>
      </c>
      <c r="E66" s="2" t="s">
        <v>327</v>
      </c>
      <c r="F66" s="4"/>
      <c r="G66" s="14"/>
      <c r="H66" s="9">
        <v>2060</v>
      </c>
    </row>
    <row r="67" spans="3:8" x14ac:dyDescent="0.25">
      <c r="C67" s="8"/>
      <c r="D67" s="2" t="s">
        <v>1445</v>
      </c>
      <c r="E67" s="2" t="s">
        <v>327</v>
      </c>
      <c r="F67" s="4"/>
      <c r="G67" s="14"/>
      <c r="H67" s="9">
        <v>5073.6000000000004</v>
      </c>
    </row>
    <row r="68" spans="3:8" x14ac:dyDescent="0.25">
      <c r="C68" s="8"/>
      <c r="D68" s="2" t="s">
        <v>1446</v>
      </c>
      <c r="E68" s="2" t="s">
        <v>48</v>
      </c>
      <c r="F68" s="4">
        <v>16</v>
      </c>
      <c r="G68" s="14"/>
      <c r="H68" s="9"/>
    </row>
    <row r="69" spans="3:8" x14ac:dyDescent="0.25">
      <c r="C69" s="8"/>
      <c r="D69" s="2" t="s">
        <v>1447</v>
      </c>
      <c r="E69" s="2" t="s">
        <v>48</v>
      </c>
      <c r="F69" s="4">
        <v>3</v>
      </c>
      <c r="G69" s="14"/>
      <c r="H69" s="9"/>
    </row>
    <row r="70" spans="3:8" x14ac:dyDescent="0.25">
      <c r="C70" s="8"/>
      <c r="D70" s="2" t="s">
        <v>1448</v>
      </c>
      <c r="E70" s="2" t="s">
        <v>1455</v>
      </c>
      <c r="F70" s="4">
        <v>2740</v>
      </c>
      <c r="G70" s="14"/>
      <c r="H70" s="9"/>
    </row>
    <row r="71" spans="3:8" x14ac:dyDescent="0.25">
      <c r="C71" s="8"/>
      <c r="D71" s="2" t="s">
        <v>1449</v>
      </c>
      <c r="E71" s="2" t="s">
        <v>106</v>
      </c>
      <c r="F71" s="4"/>
      <c r="G71" s="14"/>
      <c r="H71" s="9">
        <v>375</v>
      </c>
    </row>
    <row r="72" spans="3:8" x14ac:dyDescent="0.25">
      <c r="C72" s="8"/>
      <c r="D72" s="2" t="s">
        <v>1450</v>
      </c>
      <c r="E72" s="2" t="s">
        <v>722</v>
      </c>
      <c r="F72" s="4"/>
      <c r="G72" s="14">
        <v>295</v>
      </c>
      <c r="H72" s="9"/>
    </row>
    <row r="73" spans="3:8" x14ac:dyDescent="0.25">
      <c r="C73" s="8"/>
      <c r="D73" s="2" t="s">
        <v>1451</v>
      </c>
      <c r="E73" s="2" t="s">
        <v>48</v>
      </c>
      <c r="F73" s="4">
        <v>20</v>
      </c>
      <c r="G73" s="14"/>
      <c r="H73" s="9"/>
    </row>
    <row r="74" spans="3:8" x14ac:dyDescent="0.25">
      <c r="C74" s="8"/>
      <c r="D74" s="2" t="s">
        <v>1452</v>
      </c>
      <c r="E74" s="2" t="s">
        <v>106</v>
      </c>
      <c r="F74" s="4"/>
      <c r="G74" s="14"/>
      <c r="H74" s="9">
        <v>7.24</v>
      </c>
    </row>
    <row r="75" spans="3:8" x14ac:dyDescent="0.25">
      <c r="C75" s="8"/>
      <c r="D75" s="2" t="s">
        <v>1453</v>
      </c>
      <c r="E75" s="2" t="s">
        <v>48</v>
      </c>
      <c r="F75" s="4">
        <v>16</v>
      </c>
      <c r="G75" s="14"/>
      <c r="H75" s="9"/>
    </row>
    <row r="76" spans="3:8" x14ac:dyDescent="0.25">
      <c r="C76" s="8"/>
      <c r="D76" s="2" t="s">
        <v>1454</v>
      </c>
      <c r="E76" s="2" t="s">
        <v>478</v>
      </c>
      <c r="F76" s="4">
        <v>56</v>
      </c>
      <c r="G76" s="14"/>
      <c r="H76" s="9"/>
    </row>
    <row r="77" spans="3:8" x14ac:dyDescent="0.25">
      <c r="C77" s="8"/>
      <c r="D77" s="2" t="s">
        <v>1483</v>
      </c>
      <c r="E77" s="2" t="s">
        <v>48</v>
      </c>
      <c r="F77" s="4">
        <v>3</v>
      </c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29"/>
      <c r="D81" s="30"/>
      <c r="E81" s="30" t="s">
        <v>60</v>
      </c>
      <c r="F81" s="4"/>
      <c r="G81" s="14"/>
      <c r="H81" s="9"/>
    </row>
    <row r="82" spans="3:8" x14ac:dyDescent="0.25">
      <c r="C82" s="8"/>
      <c r="D82" s="2" t="s">
        <v>1385</v>
      </c>
      <c r="E82" s="2" t="s">
        <v>1386</v>
      </c>
      <c r="F82" s="4"/>
      <c r="G82" s="14"/>
      <c r="H82" s="9">
        <v>16</v>
      </c>
    </row>
    <row r="83" spans="3:8" x14ac:dyDescent="0.25">
      <c r="C83" s="8"/>
      <c r="D83" s="2" t="s">
        <v>1388</v>
      </c>
      <c r="E83" s="2" t="s">
        <v>1387</v>
      </c>
      <c r="F83" s="4"/>
      <c r="G83" s="14"/>
      <c r="H83" s="9">
        <v>350</v>
      </c>
    </row>
    <row r="84" spans="3:8" x14ac:dyDescent="0.25">
      <c r="C84" s="8"/>
      <c r="D84" s="2" t="s">
        <v>1389</v>
      </c>
      <c r="E84" s="2" t="s">
        <v>1390</v>
      </c>
      <c r="F84" s="4"/>
      <c r="G84" s="14"/>
      <c r="H84" s="9">
        <v>2776</v>
      </c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16"/>
      <c r="D92" s="17"/>
      <c r="E92" s="17" t="s">
        <v>39</v>
      </c>
      <c r="F92" s="4"/>
      <c r="G92" s="14"/>
      <c r="H92" s="9"/>
    </row>
    <row r="93" spans="3:8" x14ac:dyDescent="0.25">
      <c r="C93" s="8"/>
      <c r="D93" s="45"/>
      <c r="E93" s="2" t="s">
        <v>107</v>
      </c>
      <c r="F93" s="4">
        <v>5698</v>
      </c>
      <c r="G93" s="14"/>
      <c r="H93" s="9"/>
    </row>
    <row r="94" spans="3:8" x14ac:dyDescent="0.25">
      <c r="C94" s="8"/>
      <c r="D94" s="45"/>
      <c r="E94" s="2" t="s">
        <v>213</v>
      </c>
      <c r="F94" s="4">
        <f>239+716</f>
        <v>955</v>
      </c>
      <c r="G94" s="14"/>
      <c r="H94" s="9"/>
    </row>
    <row r="95" spans="3:8" x14ac:dyDescent="0.25">
      <c r="C95" s="8"/>
      <c r="D95" s="45"/>
      <c r="E95" s="2" t="s">
        <v>1466</v>
      </c>
      <c r="F95" s="4">
        <v>5</v>
      </c>
      <c r="G95" s="14"/>
      <c r="H95" s="9"/>
    </row>
    <row r="96" spans="3:8" x14ac:dyDescent="0.25">
      <c r="C96" s="8"/>
      <c r="D96" s="45"/>
      <c r="E96" s="2" t="s">
        <v>752</v>
      </c>
      <c r="F96" s="4">
        <v>16</v>
      </c>
      <c r="G96" s="14"/>
      <c r="H96" s="9"/>
    </row>
    <row r="97" spans="3:12" x14ac:dyDescent="0.25">
      <c r="C97" s="8"/>
      <c r="D97" s="45"/>
      <c r="E97" s="2"/>
      <c r="F97" s="4"/>
      <c r="G97" s="14"/>
      <c r="H97" s="9"/>
    </row>
    <row r="98" spans="3:12" x14ac:dyDescent="0.25">
      <c r="C98" s="8"/>
      <c r="D98" s="45"/>
      <c r="E98" s="2"/>
      <c r="F98" s="4"/>
      <c r="G98" s="14"/>
      <c r="H98" s="9"/>
    </row>
    <row r="99" spans="3:12" x14ac:dyDescent="0.25">
      <c r="C99" s="8"/>
      <c r="D99" s="2"/>
      <c r="E99" s="2"/>
      <c r="F99" s="4"/>
      <c r="G99" s="14"/>
      <c r="H99" s="9"/>
    </row>
    <row r="100" spans="3:12" x14ac:dyDescent="0.25">
      <c r="C100" s="8"/>
      <c r="D100" s="2"/>
      <c r="E100" s="2"/>
      <c r="F100" s="4"/>
      <c r="G100" s="14"/>
      <c r="H100" s="9"/>
    </row>
    <row r="101" spans="3:12" x14ac:dyDescent="0.25">
      <c r="C101" s="19"/>
      <c r="D101" s="20"/>
      <c r="E101" s="20" t="s">
        <v>42</v>
      </c>
      <c r="F101" s="4"/>
      <c r="G101" s="14"/>
      <c r="H101" s="9"/>
    </row>
    <row r="102" spans="3:12" x14ac:dyDescent="0.25">
      <c r="C102" s="34"/>
      <c r="D102" s="42"/>
      <c r="E102" s="2" t="s">
        <v>1382</v>
      </c>
      <c r="F102" s="14">
        <v>-1617</v>
      </c>
      <c r="G102" s="14"/>
      <c r="H102" s="9"/>
    </row>
    <row r="103" spans="3:12" x14ac:dyDescent="0.25">
      <c r="C103" s="34" t="s">
        <v>1384</v>
      </c>
      <c r="D103" s="2" t="s">
        <v>160</v>
      </c>
      <c r="E103" s="2" t="s">
        <v>1383</v>
      </c>
      <c r="F103" s="14">
        <v>-255</v>
      </c>
      <c r="G103" s="14"/>
      <c r="H103" s="9"/>
    </row>
    <row r="104" spans="3:12" x14ac:dyDescent="0.25">
      <c r="C104" s="34"/>
      <c r="D104" s="42"/>
      <c r="E104" s="2" t="s">
        <v>1463</v>
      </c>
      <c r="F104" s="14">
        <v>-20</v>
      </c>
      <c r="G104" s="14"/>
      <c r="H104" s="9"/>
    </row>
    <row r="105" spans="3:12" x14ac:dyDescent="0.25">
      <c r="C105" s="8"/>
      <c r="D105" s="2"/>
      <c r="E105" s="2" t="s">
        <v>1464</v>
      </c>
      <c r="F105" s="14">
        <v>-388</v>
      </c>
      <c r="G105" s="14"/>
      <c r="H105" s="9"/>
    </row>
    <row r="106" spans="3:12" x14ac:dyDescent="0.25">
      <c r="C106" s="8"/>
      <c r="D106" s="2"/>
      <c r="E106" s="2" t="s">
        <v>756</v>
      </c>
      <c r="F106" s="14">
        <v>-277</v>
      </c>
      <c r="G106" s="14"/>
      <c r="H106" s="9"/>
    </row>
    <row r="107" spans="3:12" x14ac:dyDescent="0.25">
      <c r="C107" s="8"/>
      <c r="D107" s="2"/>
      <c r="E107" s="2" t="s">
        <v>754</v>
      </c>
      <c r="F107" s="14">
        <v>-325</v>
      </c>
      <c r="G107" s="14"/>
      <c r="H107" s="9"/>
    </row>
    <row r="108" spans="3:12" x14ac:dyDescent="0.25">
      <c r="C108" s="8"/>
      <c r="D108" s="2"/>
      <c r="E108" s="2" t="s">
        <v>1465</v>
      </c>
      <c r="F108" s="14">
        <v>-85</v>
      </c>
      <c r="G108" s="14"/>
      <c r="H108" s="9"/>
    </row>
    <row r="109" spans="3:12" x14ac:dyDescent="0.25">
      <c r="C109" s="8"/>
      <c r="D109" s="2"/>
      <c r="E109" s="2" t="s">
        <v>1467</v>
      </c>
      <c r="F109" s="14">
        <v>-100</v>
      </c>
      <c r="G109" s="14"/>
      <c r="H109" s="9"/>
    </row>
    <row r="110" spans="3:12" x14ac:dyDescent="0.25">
      <c r="C110" s="8"/>
      <c r="D110" s="2"/>
      <c r="E110" s="2" t="s">
        <v>1468</v>
      </c>
      <c r="F110" s="14">
        <v>-153</v>
      </c>
      <c r="G110" s="14"/>
      <c r="H110" s="9"/>
      <c r="L110">
        <f>490*3.3</f>
        <v>1617</v>
      </c>
    </row>
    <row r="111" spans="3:12" x14ac:dyDescent="0.25">
      <c r="C111" s="8"/>
      <c r="D111" s="2"/>
      <c r="E111" s="2" t="s">
        <v>1478</v>
      </c>
      <c r="F111" s="14">
        <v>-9712.98</v>
      </c>
      <c r="G111" s="14"/>
      <c r="H111" s="9"/>
    </row>
    <row r="112" spans="3:12" x14ac:dyDescent="0.25">
      <c r="C112" s="8"/>
      <c r="D112" s="2"/>
      <c r="E112" s="2" t="s">
        <v>1479</v>
      </c>
      <c r="F112" s="14">
        <v>-380</v>
      </c>
      <c r="G112" s="14"/>
      <c r="H112" s="9"/>
    </row>
    <row r="113" spans="3:8" x14ac:dyDescent="0.25">
      <c r="C113" s="8"/>
      <c r="D113" s="2"/>
      <c r="E113" s="2" t="s">
        <v>1481</v>
      </c>
      <c r="F113" s="14">
        <v>-380</v>
      </c>
      <c r="G113" s="14"/>
      <c r="H113" s="9"/>
    </row>
    <row r="114" spans="3:8" x14ac:dyDescent="0.25">
      <c r="C114" s="8"/>
      <c r="D114" s="2"/>
      <c r="E114" s="2" t="s">
        <v>1480</v>
      </c>
      <c r="F114" s="14">
        <v>-100</v>
      </c>
      <c r="G114" s="14"/>
      <c r="H114" s="9"/>
    </row>
    <row r="115" spans="3:8" x14ac:dyDescent="0.25">
      <c r="C115" s="8"/>
      <c r="D115" s="2"/>
      <c r="E115" s="2" t="s">
        <v>143</v>
      </c>
      <c r="F115" s="14">
        <v>-10</v>
      </c>
      <c r="G115" s="14"/>
      <c r="H115" s="9"/>
    </row>
    <row r="116" spans="3:8" x14ac:dyDescent="0.25">
      <c r="C116" s="8"/>
      <c r="D116" s="2"/>
      <c r="E116" s="2" t="s">
        <v>755</v>
      </c>
      <c r="F116" s="14">
        <v>-290</v>
      </c>
      <c r="G116" s="14"/>
      <c r="H116" s="9"/>
    </row>
    <row r="117" spans="3:8" x14ac:dyDescent="0.25">
      <c r="C117" s="8"/>
      <c r="D117" s="2"/>
      <c r="E117" s="2" t="s">
        <v>759</v>
      </c>
      <c r="F117" s="14">
        <v>-500</v>
      </c>
      <c r="G117" s="14"/>
      <c r="H117" s="9"/>
    </row>
    <row r="118" spans="3:8" x14ac:dyDescent="0.25">
      <c r="C118" s="8"/>
      <c r="D118" s="2"/>
      <c r="E118" s="2" t="s">
        <v>1484</v>
      </c>
      <c r="F118" s="14">
        <v>-12500</v>
      </c>
      <c r="G118" s="14"/>
      <c r="H118" s="9"/>
    </row>
    <row r="119" spans="3:8" x14ac:dyDescent="0.25">
      <c r="C119" s="8"/>
      <c r="D119" s="2"/>
      <c r="E119" s="2" t="s">
        <v>758</v>
      </c>
      <c r="F119" s="14">
        <v>-240</v>
      </c>
      <c r="G119" s="14"/>
      <c r="H119" s="9"/>
    </row>
    <row r="120" spans="3:8" x14ac:dyDescent="0.25">
      <c r="C120" s="8"/>
      <c r="D120" s="2"/>
      <c r="E120" s="2" t="s">
        <v>1485</v>
      </c>
      <c r="F120" s="14">
        <v>-175</v>
      </c>
      <c r="G120" s="14"/>
      <c r="H120" s="9"/>
    </row>
    <row r="121" spans="3:8" x14ac:dyDescent="0.25">
      <c r="C121" s="8"/>
      <c r="D121" s="2"/>
      <c r="E121" s="2" t="s">
        <v>1486</v>
      </c>
      <c r="F121" s="14">
        <v>-485</v>
      </c>
      <c r="G121" s="14"/>
      <c r="H121" s="9"/>
    </row>
    <row r="122" spans="3:8" x14ac:dyDescent="0.25">
      <c r="C122" s="8"/>
      <c r="D122" s="2"/>
      <c r="E122" s="2" t="s">
        <v>1488</v>
      </c>
      <c r="F122" s="14">
        <v>-450</v>
      </c>
      <c r="G122" s="14"/>
      <c r="H122" s="9"/>
    </row>
    <row r="123" spans="3:8" x14ac:dyDescent="0.25">
      <c r="C123" s="8"/>
      <c r="D123" s="2"/>
      <c r="E123" s="2" t="s">
        <v>1487</v>
      </c>
      <c r="F123" s="14">
        <v>-450</v>
      </c>
      <c r="G123" s="14"/>
      <c r="H123" s="9"/>
    </row>
    <row r="124" spans="3:8" x14ac:dyDescent="0.25">
      <c r="C124" s="8"/>
      <c r="D124" s="2"/>
      <c r="E124" s="2" t="s">
        <v>1491</v>
      </c>
      <c r="F124" s="14">
        <v>-350</v>
      </c>
      <c r="G124" s="14"/>
      <c r="H124" s="9"/>
    </row>
    <row r="125" spans="3:8" x14ac:dyDescent="0.25">
      <c r="C125" s="8"/>
      <c r="D125" s="2"/>
      <c r="E125" s="2"/>
      <c r="F125" s="14"/>
      <c r="G125" s="14"/>
      <c r="H125" s="9"/>
    </row>
    <row r="126" spans="3:8" x14ac:dyDescent="0.25">
      <c r="C126" s="8"/>
      <c r="D126" s="2"/>
      <c r="E126" s="2"/>
      <c r="F126" s="14"/>
      <c r="G126" s="14"/>
      <c r="H126" s="9"/>
    </row>
    <row r="127" spans="3:8" x14ac:dyDescent="0.25">
      <c r="C127" s="8"/>
      <c r="D127" s="2"/>
      <c r="E127" s="2"/>
      <c r="F127" s="4"/>
      <c r="G127" s="14"/>
      <c r="H127" s="9"/>
    </row>
    <row r="128" spans="3:8" ht="15.75" thickBot="1" x14ac:dyDescent="0.3">
      <c r="C128" s="10"/>
      <c r="D128" s="11"/>
      <c r="E128" s="11" t="s">
        <v>44</v>
      </c>
      <c r="F128" s="12">
        <f>SUM(F6:F127)</f>
        <v>-5725.23</v>
      </c>
      <c r="G128" s="15">
        <f>SUM(G6:G127)</f>
        <v>760</v>
      </c>
      <c r="H128" s="13">
        <f>SUM(H6:H127)</f>
        <v>30240.540000000005</v>
      </c>
    </row>
    <row r="131" spans="5:10" ht="18.75" x14ac:dyDescent="0.3">
      <c r="E131" s="38" t="s">
        <v>49</v>
      </c>
      <c r="F131" s="39">
        <f>+H4+F128</f>
        <v>8942.24</v>
      </c>
    </row>
    <row r="134" spans="5:10" x14ac:dyDescent="0.25">
      <c r="J134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8FD6-29E5-435A-A5D3-FB793DCD7988}">
  <sheetPr codeName="Hoja14"/>
  <dimension ref="C2:J89"/>
  <sheetViews>
    <sheetView topLeftCell="A55" workbookViewId="0">
      <selection activeCell="H12" sqref="H12:H14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1492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8942.24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1493</v>
      </c>
      <c r="E6" s="40" t="s">
        <v>48</v>
      </c>
      <c r="F6" s="4">
        <v>147.5</v>
      </c>
      <c r="G6" s="14"/>
      <c r="H6" s="9"/>
    </row>
    <row r="7" spans="3:8" x14ac:dyDescent="0.25">
      <c r="C7" s="8"/>
      <c r="D7" s="2" t="s">
        <v>1494</v>
      </c>
      <c r="E7" s="2" t="s">
        <v>1539</v>
      </c>
      <c r="F7" s="4">
        <v>930</v>
      </c>
      <c r="G7" s="14"/>
      <c r="H7" s="9"/>
    </row>
    <row r="8" spans="3:8" x14ac:dyDescent="0.25">
      <c r="C8" s="8"/>
      <c r="D8" s="2" t="s">
        <v>1495</v>
      </c>
      <c r="E8" s="2" t="s">
        <v>48</v>
      </c>
      <c r="F8" s="4"/>
      <c r="G8" s="14"/>
      <c r="H8" s="9">
        <v>4</v>
      </c>
    </row>
    <row r="9" spans="3:8" x14ac:dyDescent="0.25">
      <c r="C9" s="8"/>
      <c r="D9" s="2" t="s">
        <v>1496</v>
      </c>
      <c r="E9" s="2" t="s">
        <v>48</v>
      </c>
      <c r="F9" s="4">
        <v>22.5</v>
      </c>
      <c r="G9" s="14"/>
      <c r="H9" s="9"/>
    </row>
    <row r="10" spans="3:8" x14ac:dyDescent="0.25">
      <c r="C10" s="8"/>
      <c r="D10" s="2" t="s">
        <v>1497</v>
      </c>
      <c r="E10" s="2" t="s">
        <v>48</v>
      </c>
      <c r="F10" s="4">
        <v>7</v>
      </c>
      <c r="G10" s="14"/>
      <c r="H10" s="9"/>
    </row>
    <row r="11" spans="3:8" x14ac:dyDescent="0.25">
      <c r="C11" s="8"/>
      <c r="D11" s="2" t="s">
        <v>1498</v>
      </c>
      <c r="E11" s="2" t="s">
        <v>48</v>
      </c>
      <c r="F11" s="4"/>
      <c r="G11" s="14"/>
      <c r="H11" s="9">
        <v>58</v>
      </c>
    </row>
    <row r="12" spans="3:8" x14ac:dyDescent="0.25">
      <c r="C12" s="8"/>
      <c r="D12" s="2" t="s">
        <v>1499</v>
      </c>
      <c r="E12" s="2" t="s">
        <v>48</v>
      </c>
      <c r="F12" s="4">
        <v>19</v>
      </c>
      <c r="G12" s="14"/>
      <c r="H12" s="9"/>
    </row>
    <row r="13" spans="3:8" x14ac:dyDescent="0.25">
      <c r="C13" s="8"/>
      <c r="D13" s="2" t="s">
        <v>1500</v>
      </c>
      <c r="E13" s="2" t="s">
        <v>48</v>
      </c>
      <c r="F13" s="4">
        <v>5</v>
      </c>
      <c r="G13" s="14"/>
      <c r="H13" s="9"/>
    </row>
    <row r="14" spans="3:8" x14ac:dyDescent="0.25">
      <c r="C14" s="8"/>
      <c r="D14" s="2" t="s">
        <v>1501</v>
      </c>
      <c r="E14" s="2" t="s">
        <v>48</v>
      </c>
      <c r="F14" s="4">
        <v>5.5</v>
      </c>
      <c r="G14" s="14"/>
      <c r="H14" s="9"/>
    </row>
    <row r="15" spans="3:8" x14ac:dyDescent="0.25">
      <c r="C15" s="8"/>
      <c r="D15" s="2" t="s">
        <v>1502</v>
      </c>
      <c r="E15" s="2" t="s">
        <v>48</v>
      </c>
      <c r="F15" s="4">
        <v>5.5</v>
      </c>
      <c r="G15" s="14"/>
      <c r="H15" s="9"/>
    </row>
    <row r="16" spans="3:8" x14ac:dyDescent="0.25">
      <c r="C16" s="8"/>
      <c r="D16" s="2" t="s">
        <v>1503</v>
      </c>
      <c r="E16" s="2" t="s">
        <v>48</v>
      </c>
      <c r="F16" s="4">
        <v>1</v>
      </c>
      <c r="G16" s="14"/>
      <c r="H16" s="9"/>
    </row>
    <row r="17" spans="3:8" x14ac:dyDescent="0.25">
      <c r="C17" s="8"/>
      <c r="D17" s="2" t="s">
        <v>1504</v>
      </c>
      <c r="E17" s="2" t="s">
        <v>1540</v>
      </c>
      <c r="F17" s="4">
        <v>972.5</v>
      </c>
      <c r="G17" s="14"/>
      <c r="H17" s="9"/>
    </row>
    <row r="18" spans="3:8" x14ac:dyDescent="0.25">
      <c r="C18" s="8"/>
      <c r="D18" s="2" t="s">
        <v>1505</v>
      </c>
      <c r="E18" s="2" t="s">
        <v>48</v>
      </c>
      <c r="F18" s="4">
        <v>11</v>
      </c>
      <c r="G18" s="14"/>
      <c r="H18" s="9"/>
    </row>
    <row r="19" spans="3:8" x14ac:dyDescent="0.25">
      <c r="C19" s="8"/>
      <c r="D19" s="2" t="s">
        <v>1506</v>
      </c>
      <c r="E19" s="2" t="s">
        <v>1541</v>
      </c>
      <c r="F19" s="4"/>
      <c r="G19" s="14">
        <v>26</v>
      </c>
      <c r="H19" s="9"/>
    </row>
    <row r="20" spans="3:8" x14ac:dyDescent="0.25">
      <c r="C20" s="8"/>
      <c r="D20" s="2" t="s">
        <v>1507</v>
      </c>
      <c r="E20" s="2" t="s">
        <v>48</v>
      </c>
      <c r="F20" s="4">
        <v>38</v>
      </c>
      <c r="G20" s="14"/>
      <c r="H20" s="9"/>
    </row>
    <row r="21" spans="3:8" x14ac:dyDescent="0.25">
      <c r="C21" s="8"/>
      <c r="D21" s="2" t="s">
        <v>1508</v>
      </c>
      <c r="E21" s="2" t="s">
        <v>48</v>
      </c>
      <c r="F21" s="4">
        <v>10</v>
      </c>
      <c r="G21" s="14"/>
      <c r="H21" s="9"/>
    </row>
    <row r="22" spans="3:8" x14ac:dyDescent="0.25">
      <c r="C22" s="8"/>
      <c r="D22" s="2" t="s">
        <v>1509</v>
      </c>
      <c r="E22" s="2" t="s">
        <v>48</v>
      </c>
      <c r="F22" s="4">
        <v>11</v>
      </c>
      <c r="G22" s="14"/>
      <c r="H22" s="9"/>
    </row>
    <row r="23" spans="3:8" x14ac:dyDescent="0.25">
      <c r="C23" s="8"/>
      <c r="D23" s="2" t="s">
        <v>1510</v>
      </c>
      <c r="E23" s="2" t="s">
        <v>48</v>
      </c>
      <c r="F23" s="4">
        <v>15.5</v>
      </c>
      <c r="G23" s="14"/>
      <c r="H23" s="9"/>
    </row>
    <row r="24" spans="3:8" x14ac:dyDescent="0.25">
      <c r="C24" s="8"/>
      <c r="D24" s="2" t="s">
        <v>1511</v>
      </c>
      <c r="E24" s="2" t="s">
        <v>48</v>
      </c>
      <c r="F24" s="4">
        <v>5</v>
      </c>
      <c r="G24" s="14"/>
      <c r="H24" s="9"/>
    </row>
    <row r="25" spans="3:8" x14ac:dyDescent="0.25">
      <c r="C25" s="8"/>
      <c r="D25" s="2" t="s">
        <v>1512</v>
      </c>
      <c r="E25" s="2" t="s">
        <v>48</v>
      </c>
      <c r="F25" s="4">
        <v>18</v>
      </c>
      <c r="G25" s="14"/>
      <c r="H25" s="9"/>
    </row>
    <row r="26" spans="3:8" x14ac:dyDescent="0.25">
      <c r="C26" s="8"/>
      <c r="D26" s="2" t="s">
        <v>1513</v>
      </c>
      <c r="E26" s="2" t="s">
        <v>48</v>
      </c>
      <c r="F26" s="4">
        <v>1</v>
      </c>
      <c r="G26" s="14"/>
      <c r="H26" s="9"/>
    </row>
    <row r="27" spans="3:8" x14ac:dyDescent="0.25">
      <c r="C27" s="8"/>
      <c r="D27" s="2" t="s">
        <v>1514</v>
      </c>
      <c r="E27" s="2" t="s">
        <v>48</v>
      </c>
      <c r="F27" s="4"/>
      <c r="G27" s="14"/>
      <c r="H27" s="9">
        <v>110.5</v>
      </c>
    </row>
    <row r="28" spans="3:8" x14ac:dyDescent="0.25">
      <c r="C28" s="8"/>
      <c r="D28" s="2" t="s">
        <v>1515</v>
      </c>
      <c r="E28" s="2" t="s">
        <v>48</v>
      </c>
      <c r="F28" s="4"/>
      <c r="G28" s="14"/>
      <c r="H28" s="9">
        <v>24</v>
      </c>
    </row>
    <row r="29" spans="3:8" x14ac:dyDescent="0.25">
      <c r="C29" s="8"/>
      <c r="D29" s="2" t="s">
        <v>1516</v>
      </c>
      <c r="E29" s="2" t="s">
        <v>48</v>
      </c>
      <c r="F29" s="4"/>
      <c r="G29" s="14"/>
      <c r="H29" s="9">
        <v>20.5</v>
      </c>
    </row>
    <row r="30" spans="3:8" x14ac:dyDescent="0.25">
      <c r="C30" s="8"/>
      <c r="D30" s="2" t="s">
        <v>1517</v>
      </c>
      <c r="E30" s="2" t="s">
        <v>48</v>
      </c>
      <c r="F30" s="4"/>
      <c r="G30" s="14"/>
      <c r="H30" s="9">
        <v>8.5</v>
      </c>
    </row>
    <row r="31" spans="3:8" x14ac:dyDescent="0.25">
      <c r="C31" s="8"/>
      <c r="D31" s="2" t="s">
        <v>1518</v>
      </c>
      <c r="E31" s="2" t="s">
        <v>48</v>
      </c>
      <c r="F31" s="4">
        <v>21</v>
      </c>
      <c r="G31" s="14"/>
      <c r="H31" s="9"/>
    </row>
    <row r="32" spans="3:8" x14ac:dyDescent="0.25">
      <c r="C32" s="8"/>
      <c r="D32" s="2" t="s">
        <v>1519</v>
      </c>
      <c r="E32" s="2" t="s">
        <v>48</v>
      </c>
      <c r="F32" s="4">
        <v>34</v>
      </c>
      <c r="G32" s="14"/>
      <c r="H32" s="9"/>
    </row>
    <row r="33" spans="3:8" x14ac:dyDescent="0.25">
      <c r="C33" s="8"/>
      <c r="D33" s="2" t="s">
        <v>1520</v>
      </c>
      <c r="E33" s="2" t="s">
        <v>48</v>
      </c>
      <c r="F33" s="4">
        <v>96</v>
      </c>
      <c r="G33" s="14"/>
      <c r="H33" s="9"/>
    </row>
    <row r="34" spans="3:8" x14ac:dyDescent="0.25">
      <c r="C34" s="8"/>
      <c r="D34" s="2" t="s">
        <v>1521</v>
      </c>
      <c r="E34" s="2" t="s">
        <v>48</v>
      </c>
      <c r="F34" s="4">
        <v>13</v>
      </c>
      <c r="G34" s="14"/>
      <c r="H34" s="9"/>
    </row>
    <row r="35" spans="3:8" x14ac:dyDescent="0.25">
      <c r="C35" s="8"/>
      <c r="D35" s="2" t="s">
        <v>1522</v>
      </c>
      <c r="E35" s="2" t="s">
        <v>48</v>
      </c>
      <c r="F35" s="4">
        <v>3</v>
      </c>
      <c r="G35" s="14"/>
      <c r="H35" s="9"/>
    </row>
    <row r="36" spans="3:8" x14ac:dyDescent="0.25">
      <c r="C36" s="8"/>
      <c r="D36" s="2" t="s">
        <v>1523</v>
      </c>
      <c r="E36" s="2" t="s">
        <v>48</v>
      </c>
      <c r="F36" s="4">
        <v>2.5</v>
      </c>
      <c r="G36" s="14"/>
      <c r="H36" s="9"/>
    </row>
    <row r="37" spans="3:8" x14ac:dyDescent="0.25">
      <c r="C37" s="8"/>
      <c r="D37" s="2" t="s">
        <v>1524</v>
      </c>
      <c r="E37" s="2" t="s">
        <v>48</v>
      </c>
      <c r="F37" s="4">
        <v>7</v>
      </c>
      <c r="G37" s="14"/>
      <c r="H37" s="9"/>
    </row>
    <row r="38" spans="3:8" x14ac:dyDescent="0.25">
      <c r="C38" s="8"/>
      <c r="D38" s="2" t="s">
        <v>1525</v>
      </c>
      <c r="E38" s="2" t="s">
        <v>48</v>
      </c>
      <c r="F38" s="4">
        <v>13</v>
      </c>
      <c r="G38" s="14"/>
      <c r="H38" s="9"/>
    </row>
    <row r="39" spans="3:8" x14ac:dyDescent="0.25">
      <c r="C39" s="8"/>
      <c r="D39" s="2" t="s">
        <v>1526</v>
      </c>
      <c r="E39" s="2" t="s">
        <v>48</v>
      </c>
      <c r="F39" s="4">
        <v>11</v>
      </c>
      <c r="G39" s="14"/>
      <c r="H39" s="9"/>
    </row>
    <row r="40" spans="3:8" x14ac:dyDescent="0.25">
      <c r="C40" s="8"/>
      <c r="D40" s="2" t="s">
        <v>1527</v>
      </c>
      <c r="E40" s="2" t="s">
        <v>48</v>
      </c>
      <c r="F40" s="4">
        <v>28</v>
      </c>
      <c r="G40" s="14"/>
      <c r="H40" s="9">
        <v>6.5</v>
      </c>
    </row>
    <row r="41" spans="3:8" x14ac:dyDescent="0.25">
      <c r="C41" s="8"/>
      <c r="D41" s="2" t="s">
        <v>1528</v>
      </c>
      <c r="E41" s="2" t="s">
        <v>48</v>
      </c>
      <c r="F41" s="4">
        <v>507</v>
      </c>
      <c r="G41" s="14"/>
      <c r="H41" s="9"/>
    </row>
    <row r="42" spans="3:8" x14ac:dyDescent="0.25">
      <c r="C42" s="8"/>
      <c r="D42" s="2" t="s">
        <v>1529</v>
      </c>
      <c r="E42" s="2" t="s">
        <v>48</v>
      </c>
      <c r="F42" s="4">
        <v>8</v>
      </c>
      <c r="G42" s="14"/>
      <c r="H42" s="9"/>
    </row>
    <row r="43" spans="3:8" x14ac:dyDescent="0.25">
      <c r="C43" s="8"/>
      <c r="D43" s="2" t="s">
        <v>1530</v>
      </c>
      <c r="E43" s="2" t="s">
        <v>48</v>
      </c>
      <c r="F43" s="4">
        <v>30</v>
      </c>
      <c r="G43" s="14"/>
      <c r="H43" s="9">
        <v>11.5</v>
      </c>
    </row>
    <row r="44" spans="3:8" x14ac:dyDescent="0.25">
      <c r="C44" s="8"/>
      <c r="D44" s="2" t="s">
        <v>1531</v>
      </c>
      <c r="E44" s="2" t="s">
        <v>48</v>
      </c>
      <c r="F44" s="4">
        <v>3</v>
      </c>
      <c r="G44" s="14"/>
      <c r="H44" s="9"/>
    </row>
    <row r="45" spans="3:8" x14ac:dyDescent="0.25">
      <c r="C45" s="8"/>
      <c r="D45" s="2" t="s">
        <v>1532</v>
      </c>
      <c r="E45" s="2" t="s">
        <v>48</v>
      </c>
      <c r="F45" s="4"/>
      <c r="G45" s="14"/>
      <c r="H45" s="9">
        <v>40</v>
      </c>
    </row>
    <row r="46" spans="3:8" x14ac:dyDescent="0.25">
      <c r="C46" s="8"/>
      <c r="D46" s="2" t="s">
        <v>1533</v>
      </c>
      <c r="E46" s="2" t="s">
        <v>48</v>
      </c>
      <c r="F46" s="4">
        <v>9</v>
      </c>
      <c r="G46" s="14"/>
      <c r="H46" s="9"/>
    </row>
    <row r="47" spans="3:8" x14ac:dyDescent="0.25">
      <c r="C47" s="8"/>
      <c r="D47" s="2" t="s">
        <v>1534</v>
      </c>
      <c r="E47" s="2" t="s">
        <v>48</v>
      </c>
      <c r="F47" s="4">
        <v>116</v>
      </c>
      <c r="G47" s="14"/>
      <c r="H47" s="9"/>
    </row>
    <row r="48" spans="3:8" x14ac:dyDescent="0.25">
      <c r="C48" s="8"/>
      <c r="D48" s="2" t="s">
        <v>1535</v>
      </c>
      <c r="E48" s="2" t="s">
        <v>48</v>
      </c>
      <c r="F48" s="4">
        <v>20</v>
      </c>
      <c r="G48" s="14"/>
      <c r="H48" s="9"/>
    </row>
    <row r="49" spans="3:8" x14ac:dyDescent="0.25">
      <c r="C49" s="8"/>
      <c r="D49" s="2" t="s">
        <v>1536</v>
      </c>
      <c r="E49" s="2" t="s">
        <v>48</v>
      </c>
      <c r="F49" s="4">
        <v>27</v>
      </c>
      <c r="G49" s="14"/>
      <c r="H49" s="9"/>
    </row>
    <row r="50" spans="3:8" x14ac:dyDescent="0.25">
      <c r="C50" s="8"/>
      <c r="D50" s="2" t="s">
        <v>1537</v>
      </c>
      <c r="E50" s="2" t="s">
        <v>1542</v>
      </c>
      <c r="F50" s="4">
        <v>560</v>
      </c>
      <c r="G50" s="14"/>
      <c r="H50" s="9"/>
    </row>
    <row r="51" spans="3:8" x14ac:dyDescent="0.25">
      <c r="C51" s="8"/>
      <c r="D51" s="2" t="s">
        <v>1538</v>
      </c>
      <c r="E51" s="2" t="s">
        <v>48</v>
      </c>
      <c r="F51" s="4">
        <v>10</v>
      </c>
      <c r="G51" s="14"/>
      <c r="H51" s="9"/>
    </row>
    <row r="52" spans="3:8" x14ac:dyDescent="0.25">
      <c r="C52" s="8"/>
      <c r="D52" s="2" t="s">
        <v>1545</v>
      </c>
      <c r="E52" s="2" t="s">
        <v>48</v>
      </c>
      <c r="F52" s="4">
        <v>21</v>
      </c>
      <c r="G52" s="14"/>
      <c r="H52" s="9"/>
    </row>
    <row r="53" spans="3:8" x14ac:dyDescent="0.25">
      <c r="C53" s="8"/>
      <c r="D53" s="2" t="s">
        <v>1546</v>
      </c>
      <c r="E53" s="2" t="s">
        <v>48</v>
      </c>
      <c r="F53" s="4">
        <v>49.5</v>
      </c>
      <c r="G53" s="14"/>
      <c r="H53" s="9"/>
    </row>
    <row r="54" spans="3:8" x14ac:dyDescent="0.25">
      <c r="C54" s="8"/>
      <c r="D54" s="2" t="s">
        <v>1547</v>
      </c>
      <c r="E54" s="2" t="s">
        <v>1552</v>
      </c>
      <c r="F54" s="4"/>
      <c r="G54" s="14">
        <v>376</v>
      </c>
      <c r="H54" s="9">
        <v>700</v>
      </c>
    </row>
    <row r="55" spans="3:8" x14ac:dyDescent="0.25">
      <c r="C55" s="8"/>
      <c r="D55" s="2" t="s">
        <v>1548</v>
      </c>
      <c r="E55" s="2" t="s">
        <v>48</v>
      </c>
      <c r="F55" s="4">
        <v>3</v>
      </c>
      <c r="G55" s="14"/>
      <c r="H55" s="9"/>
    </row>
    <row r="56" spans="3:8" x14ac:dyDescent="0.25">
      <c r="C56" s="8"/>
      <c r="D56" s="2" t="s">
        <v>1549</v>
      </c>
      <c r="E56" s="2" t="s">
        <v>48</v>
      </c>
      <c r="F56" s="4">
        <v>4.5</v>
      </c>
      <c r="G56" s="14"/>
      <c r="H56" s="9"/>
    </row>
    <row r="57" spans="3:8" x14ac:dyDescent="0.25">
      <c r="C57" s="8"/>
      <c r="D57" s="2" t="s">
        <v>1550</v>
      </c>
      <c r="E57" s="2" t="s">
        <v>48</v>
      </c>
      <c r="F57" s="4">
        <v>9</v>
      </c>
      <c r="G57" s="14"/>
      <c r="H57" s="9"/>
    </row>
    <row r="58" spans="3:8" x14ac:dyDescent="0.25">
      <c r="C58" s="8"/>
      <c r="D58" s="2" t="s">
        <v>1551</v>
      </c>
      <c r="E58" s="2" t="s">
        <v>48</v>
      </c>
      <c r="F58" s="4">
        <v>4.5</v>
      </c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45"/>
      <c r="E73" s="2" t="s">
        <v>1543</v>
      </c>
      <c r="F73" s="4">
        <v>5</v>
      </c>
      <c r="G73" s="14"/>
      <c r="H73" s="9"/>
    </row>
    <row r="74" spans="3:8" x14ac:dyDescent="0.25">
      <c r="C74" s="8"/>
      <c r="D74" s="45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19"/>
      <c r="D77" s="20"/>
      <c r="E77" s="20" t="s">
        <v>42</v>
      </c>
      <c r="F77" s="4"/>
      <c r="G77" s="14"/>
      <c r="H77" s="9"/>
    </row>
    <row r="78" spans="3:8" x14ac:dyDescent="0.25">
      <c r="C78" s="34"/>
      <c r="D78" s="42"/>
      <c r="E78" s="2" t="s">
        <v>1544</v>
      </c>
      <c r="F78" s="14">
        <v>-70</v>
      </c>
      <c r="G78" s="14"/>
      <c r="H78" s="9"/>
    </row>
    <row r="79" spans="3:8" x14ac:dyDescent="0.25">
      <c r="C79" s="34"/>
      <c r="D79" s="2"/>
      <c r="E79" s="2" t="s">
        <v>758</v>
      </c>
      <c r="F79" s="14">
        <v>-25</v>
      </c>
      <c r="G79" s="14"/>
      <c r="H79" s="9"/>
    </row>
    <row r="80" spans="3:8" x14ac:dyDescent="0.25">
      <c r="C80" s="34"/>
      <c r="D80" s="42"/>
      <c r="E80" s="2" t="s">
        <v>1553</v>
      </c>
      <c r="F80" s="14">
        <v>-45</v>
      </c>
      <c r="G80" s="14"/>
      <c r="H80" s="9"/>
    </row>
    <row r="81" spans="3:10" x14ac:dyDescent="0.25">
      <c r="C81" s="8"/>
      <c r="D81" s="2"/>
      <c r="E81" s="2" t="s">
        <v>1554</v>
      </c>
      <c r="F81" s="14">
        <v>-50</v>
      </c>
      <c r="G81" s="14"/>
      <c r="H81" s="9"/>
    </row>
    <row r="82" spans="3:10" x14ac:dyDescent="0.25">
      <c r="C82" s="8"/>
      <c r="D82" s="2"/>
      <c r="E82" s="2"/>
      <c r="F82" s="4"/>
      <c r="G82" s="14"/>
      <c r="H82" s="9"/>
    </row>
    <row r="83" spans="3:10" ht="15.75" thickBot="1" x14ac:dyDescent="0.3">
      <c r="C83" s="10"/>
      <c r="D83" s="11"/>
      <c r="E83" s="11" t="s">
        <v>44</v>
      </c>
      <c r="F83" s="12">
        <f>SUM(F6:F82)</f>
        <v>3650</v>
      </c>
      <c r="G83" s="15">
        <f>SUM(G6:G82)</f>
        <v>402</v>
      </c>
      <c r="H83" s="13">
        <f>SUM(H6:H82)</f>
        <v>983.5</v>
      </c>
    </row>
    <row r="86" spans="3:10" ht="18.75" x14ac:dyDescent="0.3">
      <c r="E86" s="38" t="s">
        <v>49</v>
      </c>
      <c r="F86" s="39">
        <f>+H4+F83</f>
        <v>12592.24</v>
      </c>
    </row>
    <row r="89" spans="3:10" x14ac:dyDescent="0.25">
      <c r="J89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C23C-2790-428E-8614-3E4531082543}">
  <sheetPr codeName="Hoja15"/>
  <dimension ref="C2:J117"/>
  <sheetViews>
    <sheetView topLeftCell="A76" workbookViewId="0">
      <selection activeCell="G26" sqref="G26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1555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12592.24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1490</v>
      </c>
      <c r="E6" s="40" t="s">
        <v>440</v>
      </c>
      <c r="F6" s="4">
        <v>6</v>
      </c>
      <c r="G6" s="14"/>
      <c r="H6" s="9"/>
    </row>
    <row r="7" spans="3:8" x14ac:dyDescent="0.25">
      <c r="C7" s="8"/>
      <c r="D7" s="2" t="s">
        <v>1565</v>
      </c>
      <c r="E7" s="2" t="s">
        <v>1564</v>
      </c>
      <c r="F7" s="4">
        <v>165</v>
      </c>
      <c r="G7" s="14"/>
      <c r="H7" s="9"/>
    </row>
    <row r="8" spans="3:8" x14ac:dyDescent="0.25">
      <c r="C8" s="8"/>
      <c r="D8" s="2" t="s">
        <v>1566</v>
      </c>
      <c r="E8" s="2" t="s">
        <v>1152</v>
      </c>
      <c r="F8" s="4">
        <v>55</v>
      </c>
      <c r="G8" s="14"/>
      <c r="H8" s="9"/>
    </row>
    <row r="9" spans="3:8" x14ac:dyDescent="0.25">
      <c r="C9" s="8"/>
      <c r="D9" s="2" t="s">
        <v>1567</v>
      </c>
      <c r="E9" s="2" t="s">
        <v>1006</v>
      </c>
      <c r="F9" s="4"/>
      <c r="G9" s="14"/>
      <c r="H9" s="9">
        <v>544</v>
      </c>
    </row>
    <row r="10" spans="3:8" x14ac:dyDescent="0.25">
      <c r="C10" s="8"/>
      <c r="D10" s="2" t="s">
        <v>1568</v>
      </c>
      <c r="E10" s="2" t="s">
        <v>440</v>
      </c>
      <c r="F10" s="4"/>
      <c r="G10" s="14"/>
      <c r="H10" s="9">
        <v>163.5</v>
      </c>
    </row>
    <row r="11" spans="3:8" x14ac:dyDescent="0.25">
      <c r="C11" s="8"/>
      <c r="D11" s="2" t="s">
        <v>1569</v>
      </c>
      <c r="E11" s="2" t="s">
        <v>1564</v>
      </c>
      <c r="F11" s="4">
        <v>440</v>
      </c>
      <c r="G11" s="14"/>
      <c r="H11" s="9"/>
    </row>
    <row r="12" spans="3:8" x14ac:dyDescent="0.25">
      <c r="C12" s="8"/>
      <c r="D12" s="2" t="s">
        <v>1570</v>
      </c>
      <c r="E12" s="2" t="s">
        <v>440</v>
      </c>
      <c r="F12" s="4"/>
      <c r="G12" s="14"/>
      <c r="H12" s="9">
        <v>29.5</v>
      </c>
    </row>
    <row r="13" spans="3:8" x14ac:dyDescent="0.25">
      <c r="C13" s="8"/>
      <c r="D13" s="2" t="s">
        <v>1571</v>
      </c>
      <c r="E13" s="2" t="s">
        <v>750</v>
      </c>
      <c r="F13" s="4"/>
      <c r="G13" s="14"/>
      <c r="H13" s="9">
        <v>10</v>
      </c>
    </row>
    <row r="14" spans="3:8" x14ac:dyDescent="0.25">
      <c r="C14" s="8"/>
      <c r="D14" s="2" t="s">
        <v>1572</v>
      </c>
      <c r="E14" s="2" t="s">
        <v>440</v>
      </c>
      <c r="F14" s="4"/>
      <c r="G14" s="14"/>
      <c r="H14" s="9">
        <v>8</v>
      </c>
    </row>
    <row r="15" spans="3:8" x14ac:dyDescent="0.25">
      <c r="C15" s="8"/>
      <c r="D15" s="2" t="s">
        <v>1573</v>
      </c>
      <c r="E15" s="2" t="s">
        <v>975</v>
      </c>
      <c r="F15" s="4">
        <v>152</v>
      </c>
      <c r="G15" s="14"/>
      <c r="H15" s="9"/>
    </row>
    <row r="16" spans="3:8" x14ac:dyDescent="0.25">
      <c r="C16" s="8"/>
      <c r="D16" s="2" t="s">
        <v>1574</v>
      </c>
      <c r="E16" s="2" t="s">
        <v>164</v>
      </c>
      <c r="F16" s="4">
        <v>4785</v>
      </c>
      <c r="G16" s="14"/>
      <c r="H16" s="9"/>
    </row>
    <row r="17" spans="3:8" x14ac:dyDescent="0.25">
      <c r="C17" s="8"/>
      <c r="D17" s="2" t="s">
        <v>1575</v>
      </c>
      <c r="E17" s="2" t="s">
        <v>1596</v>
      </c>
      <c r="F17" s="4">
        <v>148.5</v>
      </c>
      <c r="G17" s="14"/>
      <c r="H17" s="9"/>
    </row>
    <row r="18" spans="3:8" x14ac:dyDescent="0.25">
      <c r="C18" s="8"/>
      <c r="D18" s="2" t="s">
        <v>1576</v>
      </c>
      <c r="E18" s="2" t="s">
        <v>440</v>
      </c>
      <c r="F18" s="4">
        <v>64.5</v>
      </c>
      <c r="G18" s="14"/>
      <c r="H18" s="9"/>
    </row>
    <row r="19" spans="3:8" x14ac:dyDescent="0.25">
      <c r="C19" s="8"/>
      <c r="D19" s="2" t="s">
        <v>1577</v>
      </c>
      <c r="E19" s="2" t="s">
        <v>440</v>
      </c>
      <c r="F19" s="4">
        <v>6.5</v>
      </c>
      <c r="G19" s="14"/>
      <c r="H19" s="9"/>
    </row>
    <row r="20" spans="3:8" x14ac:dyDescent="0.25">
      <c r="C20" s="8"/>
      <c r="D20" s="2" t="s">
        <v>1578</v>
      </c>
      <c r="E20" s="2" t="s">
        <v>440</v>
      </c>
      <c r="F20" s="4">
        <v>1</v>
      </c>
      <c r="G20" s="14"/>
      <c r="H20" s="9"/>
    </row>
    <row r="21" spans="3:8" x14ac:dyDescent="0.25">
      <c r="C21" s="8"/>
      <c r="D21" s="2" t="s">
        <v>1579</v>
      </c>
      <c r="E21" s="2" t="s">
        <v>266</v>
      </c>
      <c r="F21" s="4"/>
      <c r="G21" s="14">
        <v>322</v>
      </c>
      <c r="H21" s="9"/>
    </row>
    <row r="22" spans="3:8" x14ac:dyDescent="0.25">
      <c r="C22" s="8"/>
      <c r="D22" s="2" t="s">
        <v>1580</v>
      </c>
      <c r="E22" s="2" t="s">
        <v>440</v>
      </c>
      <c r="F22" s="4">
        <v>12</v>
      </c>
      <c r="G22" s="14"/>
      <c r="H22" s="9"/>
    </row>
    <row r="23" spans="3:8" x14ac:dyDescent="0.25">
      <c r="C23" s="8"/>
      <c r="D23" s="2" t="s">
        <v>1581</v>
      </c>
      <c r="E23" s="2" t="s">
        <v>440</v>
      </c>
      <c r="F23" s="4">
        <v>3</v>
      </c>
      <c r="G23" s="14"/>
      <c r="H23" s="9"/>
    </row>
    <row r="24" spans="3:8" x14ac:dyDescent="0.25">
      <c r="C24" s="8"/>
      <c r="D24" s="2" t="s">
        <v>1582</v>
      </c>
      <c r="E24" s="2" t="s">
        <v>440</v>
      </c>
      <c r="F24" s="4">
        <v>5</v>
      </c>
      <c r="G24" s="14"/>
      <c r="H24" s="9"/>
    </row>
    <row r="25" spans="3:8" x14ac:dyDescent="0.25">
      <c r="C25" s="8"/>
      <c r="D25" s="2" t="s">
        <v>1583</v>
      </c>
      <c r="E25" s="2" t="s">
        <v>440</v>
      </c>
      <c r="F25" s="4">
        <v>6</v>
      </c>
      <c r="G25" s="14"/>
      <c r="H25" s="9"/>
    </row>
    <row r="26" spans="3:8" x14ac:dyDescent="0.25">
      <c r="C26" s="8"/>
      <c r="D26" s="2" t="s">
        <v>1584</v>
      </c>
      <c r="E26" s="2" t="s">
        <v>541</v>
      </c>
      <c r="F26" s="4"/>
      <c r="G26" s="14">
        <v>3706</v>
      </c>
      <c r="H26" s="9"/>
    </row>
    <row r="27" spans="3:8" x14ac:dyDescent="0.25">
      <c r="C27" s="8"/>
      <c r="D27" s="2" t="s">
        <v>1585</v>
      </c>
      <c r="E27" s="2" t="s">
        <v>1598</v>
      </c>
      <c r="F27" s="4">
        <v>100</v>
      </c>
      <c r="G27" s="14"/>
      <c r="H27" s="9">
        <v>824</v>
      </c>
    </row>
    <row r="28" spans="3:8" x14ac:dyDescent="0.25">
      <c r="C28" s="8"/>
      <c r="D28" s="2" t="s">
        <v>1586</v>
      </c>
      <c r="E28" s="2" t="s">
        <v>1597</v>
      </c>
      <c r="F28" s="4"/>
      <c r="G28" s="14"/>
      <c r="H28" s="9">
        <v>298</v>
      </c>
    </row>
    <row r="29" spans="3:8" x14ac:dyDescent="0.25">
      <c r="C29" s="8"/>
      <c r="D29" s="2" t="s">
        <v>1587</v>
      </c>
      <c r="E29" s="2" t="s">
        <v>62</v>
      </c>
      <c r="F29" s="4"/>
      <c r="G29" s="14">
        <v>139</v>
      </c>
      <c r="H29" s="9"/>
    </row>
    <row r="30" spans="3:8" x14ac:dyDescent="0.25">
      <c r="C30" s="8"/>
      <c r="D30" s="2" t="s">
        <v>1588</v>
      </c>
      <c r="E30" s="2" t="s">
        <v>1116</v>
      </c>
      <c r="F30" s="4"/>
      <c r="G30" s="14"/>
      <c r="H30" s="9">
        <v>1680</v>
      </c>
    </row>
    <row r="31" spans="3:8" x14ac:dyDescent="0.25">
      <c r="C31" s="8"/>
      <c r="D31" s="2" t="s">
        <v>1589</v>
      </c>
      <c r="E31" s="2" t="s">
        <v>440</v>
      </c>
      <c r="F31" s="4">
        <v>5</v>
      </c>
      <c r="G31" s="14"/>
      <c r="H31" s="9"/>
    </row>
    <row r="32" spans="3:8" x14ac:dyDescent="0.25">
      <c r="C32" s="8"/>
      <c r="D32" s="2" t="s">
        <v>1590</v>
      </c>
      <c r="E32" s="2" t="s">
        <v>440</v>
      </c>
      <c r="F32" s="4">
        <v>63</v>
      </c>
      <c r="G32" s="14"/>
      <c r="H32" s="9"/>
    </row>
    <row r="33" spans="3:8" x14ac:dyDescent="0.25">
      <c r="C33" s="8"/>
      <c r="D33" s="2" t="s">
        <v>1591</v>
      </c>
      <c r="E33" s="2" t="s">
        <v>1599</v>
      </c>
      <c r="F33" s="4"/>
      <c r="G33" s="14"/>
      <c r="H33" s="9">
        <v>366.1</v>
      </c>
    </row>
    <row r="34" spans="3:8" x14ac:dyDescent="0.25">
      <c r="C34" s="8"/>
      <c r="D34" s="2" t="s">
        <v>1592</v>
      </c>
      <c r="E34" s="2" t="s">
        <v>1153</v>
      </c>
      <c r="F34" s="4"/>
      <c r="G34" s="14">
        <v>159</v>
      </c>
      <c r="H34" s="9"/>
    </row>
    <row r="35" spans="3:8" x14ac:dyDescent="0.25">
      <c r="C35" s="8"/>
      <c r="D35" s="2" t="s">
        <v>1593</v>
      </c>
      <c r="E35" s="2" t="s">
        <v>1564</v>
      </c>
      <c r="F35" s="4">
        <v>35</v>
      </c>
      <c r="G35" s="14"/>
      <c r="H35" s="9"/>
    </row>
    <row r="36" spans="3:8" x14ac:dyDescent="0.25">
      <c r="C36" s="8"/>
      <c r="D36" s="2" t="s">
        <v>1594</v>
      </c>
      <c r="E36" s="2" t="s">
        <v>440</v>
      </c>
      <c r="F36" s="4">
        <v>2</v>
      </c>
      <c r="G36" s="14"/>
      <c r="H36" s="9"/>
    </row>
    <row r="37" spans="3:8" x14ac:dyDescent="0.25">
      <c r="C37" s="8"/>
      <c r="D37" s="2" t="s">
        <v>1595</v>
      </c>
      <c r="E37" s="2" t="s">
        <v>441</v>
      </c>
      <c r="F37" s="4">
        <v>7732.8</v>
      </c>
      <c r="G37" s="14"/>
      <c r="H37" s="9"/>
    </row>
    <row r="38" spans="3:8" x14ac:dyDescent="0.25">
      <c r="C38" s="8"/>
      <c r="D38" s="2" t="s">
        <v>1635</v>
      </c>
      <c r="E38" s="2" t="s">
        <v>440</v>
      </c>
      <c r="F38" s="4"/>
      <c r="G38" s="14"/>
      <c r="H38" s="9">
        <v>60.5</v>
      </c>
    </row>
    <row r="39" spans="3:8" x14ac:dyDescent="0.25">
      <c r="C39" s="8"/>
      <c r="D39" s="2" t="s">
        <v>1640</v>
      </c>
      <c r="E39" s="2" t="s">
        <v>1645</v>
      </c>
      <c r="F39" s="4"/>
      <c r="G39" s="14">
        <v>10</v>
      </c>
      <c r="H39" s="9"/>
    </row>
    <row r="40" spans="3:8" x14ac:dyDescent="0.25">
      <c r="C40" s="8"/>
      <c r="D40" s="2" t="s">
        <v>1641</v>
      </c>
      <c r="E40" s="2" t="s">
        <v>440</v>
      </c>
      <c r="F40" s="4">
        <v>129</v>
      </c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 t="s">
        <v>1600</v>
      </c>
      <c r="E44" s="2" t="s">
        <v>779</v>
      </c>
      <c r="F44" s="4"/>
      <c r="G44" s="14">
        <v>288.39999999999998</v>
      </c>
      <c r="H44" s="9"/>
    </row>
    <row r="45" spans="3:8" x14ac:dyDescent="0.25">
      <c r="C45" s="8"/>
      <c r="D45" s="2" t="s">
        <v>1601</v>
      </c>
      <c r="E45" s="2" t="s">
        <v>1631</v>
      </c>
      <c r="F45" s="4">
        <v>5.6</v>
      </c>
      <c r="G45" s="14"/>
      <c r="H45" s="9"/>
    </row>
    <row r="46" spans="3:8" x14ac:dyDescent="0.25">
      <c r="C46" s="8"/>
      <c r="D46" s="2" t="s">
        <v>1602</v>
      </c>
      <c r="E46" s="2" t="s">
        <v>1631</v>
      </c>
      <c r="F46" s="4">
        <v>140</v>
      </c>
      <c r="G46" s="14"/>
      <c r="H46" s="9"/>
    </row>
    <row r="47" spans="3:8" x14ac:dyDescent="0.25">
      <c r="C47" s="8"/>
      <c r="D47" s="2" t="s">
        <v>1603</v>
      </c>
      <c r="E47" s="2" t="s">
        <v>1631</v>
      </c>
      <c r="F47" s="4"/>
      <c r="G47" s="14"/>
      <c r="H47" s="9">
        <v>3</v>
      </c>
    </row>
    <row r="48" spans="3:8" x14ac:dyDescent="0.25">
      <c r="C48" s="8"/>
      <c r="D48" s="2" t="s">
        <v>1604</v>
      </c>
      <c r="E48" s="2" t="s">
        <v>1631</v>
      </c>
      <c r="F48" s="4">
        <v>5.5</v>
      </c>
      <c r="G48" s="14"/>
      <c r="H48" s="9"/>
    </row>
    <row r="49" spans="3:8" x14ac:dyDescent="0.25">
      <c r="C49" s="8"/>
      <c r="D49" s="2" t="s">
        <v>1605</v>
      </c>
      <c r="E49" s="2" t="s">
        <v>1632</v>
      </c>
      <c r="F49" s="4"/>
      <c r="G49" s="14">
        <v>1</v>
      </c>
      <c r="H49" s="9"/>
    </row>
    <row r="50" spans="3:8" x14ac:dyDescent="0.25">
      <c r="C50" s="8"/>
      <c r="D50" s="2" t="s">
        <v>1606</v>
      </c>
      <c r="E50" s="2" t="s">
        <v>1631</v>
      </c>
      <c r="F50" s="4"/>
      <c r="G50" s="14"/>
      <c r="H50" s="9">
        <v>13</v>
      </c>
    </row>
    <row r="51" spans="3:8" x14ac:dyDescent="0.25">
      <c r="C51" s="8"/>
      <c r="D51" s="2" t="s">
        <v>1607</v>
      </c>
      <c r="E51" s="2" t="s">
        <v>1633</v>
      </c>
      <c r="F51" s="4">
        <v>47</v>
      </c>
      <c r="G51" s="14"/>
      <c r="H51" s="9"/>
    </row>
    <row r="52" spans="3:8" x14ac:dyDescent="0.25">
      <c r="C52" s="8"/>
      <c r="D52" s="2" t="s">
        <v>1608</v>
      </c>
      <c r="E52" s="2" t="s">
        <v>1631</v>
      </c>
      <c r="F52" s="4">
        <v>12</v>
      </c>
      <c r="G52" s="14"/>
      <c r="H52" s="9"/>
    </row>
    <row r="53" spans="3:8" x14ac:dyDescent="0.25">
      <c r="C53" s="8"/>
      <c r="D53" s="2" t="s">
        <v>1609</v>
      </c>
      <c r="E53" s="2" t="s">
        <v>1479</v>
      </c>
      <c r="F53" s="4">
        <v>510</v>
      </c>
      <c r="G53" s="14"/>
      <c r="H53" s="9"/>
    </row>
    <row r="54" spans="3:8" x14ac:dyDescent="0.25">
      <c r="C54" s="8"/>
      <c r="D54" s="2" t="s">
        <v>1610</v>
      </c>
      <c r="E54" s="2" t="s">
        <v>1456</v>
      </c>
      <c r="F54" s="4">
        <v>7</v>
      </c>
      <c r="G54" s="14"/>
      <c r="H54" s="9"/>
    </row>
    <row r="55" spans="3:8" x14ac:dyDescent="0.25">
      <c r="C55" s="8"/>
      <c r="D55" s="2" t="s">
        <v>1611</v>
      </c>
      <c r="E55" s="2" t="s">
        <v>1631</v>
      </c>
      <c r="F55" s="4">
        <v>1</v>
      </c>
      <c r="G55" s="14"/>
      <c r="H55" s="9"/>
    </row>
    <row r="56" spans="3:8" x14ac:dyDescent="0.25">
      <c r="C56" s="8"/>
      <c r="D56" s="2" t="s">
        <v>1612</v>
      </c>
      <c r="E56" s="2" t="s">
        <v>1631</v>
      </c>
      <c r="F56" s="4">
        <v>175</v>
      </c>
      <c r="G56" s="14"/>
      <c r="H56" s="9"/>
    </row>
    <row r="57" spans="3:8" x14ac:dyDescent="0.25">
      <c r="C57" s="8"/>
      <c r="D57" s="2" t="s">
        <v>1613</v>
      </c>
      <c r="E57" s="2" t="s">
        <v>1631</v>
      </c>
      <c r="F57" s="4">
        <v>1</v>
      </c>
      <c r="G57" s="14"/>
      <c r="H57" s="9"/>
    </row>
    <row r="58" spans="3:8" x14ac:dyDescent="0.25">
      <c r="C58" s="8"/>
      <c r="D58" s="2" t="s">
        <v>1614</v>
      </c>
      <c r="E58" s="2" t="s">
        <v>1631</v>
      </c>
      <c r="F58" s="4">
        <v>4</v>
      </c>
      <c r="G58" s="14"/>
      <c r="H58" s="9"/>
    </row>
    <row r="59" spans="3:8" x14ac:dyDescent="0.25">
      <c r="C59" s="8"/>
      <c r="D59" s="2" t="s">
        <v>1615</v>
      </c>
      <c r="E59" s="2" t="s">
        <v>1631</v>
      </c>
      <c r="F59" s="4">
        <v>32</v>
      </c>
      <c r="G59" s="14"/>
      <c r="H59" s="9"/>
    </row>
    <row r="60" spans="3:8" x14ac:dyDescent="0.25">
      <c r="C60" s="8"/>
      <c r="D60" s="2" t="s">
        <v>1616</v>
      </c>
      <c r="E60" s="2" t="s">
        <v>1631</v>
      </c>
      <c r="F60" s="4">
        <v>22.5</v>
      </c>
      <c r="G60" s="14"/>
      <c r="H60" s="9"/>
    </row>
    <row r="61" spans="3:8" x14ac:dyDescent="0.25">
      <c r="C61" s="8"/>
      <c r="D61" s="2" t="s">
        <v>1617</v>
      </c>
      <c r="E61" s="2" t="s">
        <v>1631</v>
      </c>
      <c r="F61" s="4">
        <v>17</v>
      </c>
      <c r="G61" s="14"/>
      <c r="H61" s="9"/>
    </row>
    <row r="62" spans="3:8" x14ac:dyDescent="0.25">
      <c r="C62" s="8"/>
      <c r="D62" s="2" t="s">
        <v>1618</v>
      </c>
      <c r="E62" s="2" t="s">
        <v>1631</v>
      </c>
      <c r="F62" s="4">
        <v>19.5</v>
      </c>
      <c r="G62" s="14"/>
      <c r="H62" s="9"/>
    </row>
    <row r="63" spans="3:8" x14ac:dyDescent="0.25">
      <c r="C63" s="8"/>
      <c r="D63" s="2" t="s">
        <v>1619</v>
      </c>
      <c r="E63" s="2" t="s">
        <v>1631</v>
      </c>
      <c r="F63" s="4">
        <v>40.5</v>
      </c>
      <c r="G63" s="14"/>
      <c r="H63" s="9"/>
    </row>
    <row r="64" spans="3:8" x14ac:dyDescent="0.25">
      <c r="C64" s="8"/>
      <c r="D64" s="2" t="s">
        <v>1620</v>
      </c>
      <c r="E64" s="2" t="s">
        <v>1631</v>
      </c>
      <c r="F64" s="4">
        <v>3</v>
      </c>
      <c r="G64" s="14"/>
      <c r="H64" s="9"/>
    </row>
    <row r="65" spans="3:8" x14ac:dyDescent="0.25">
      <c r="C65" s="8"/>
      <c r="D65" s="2" t="s">
        <v>1621</v>
      </c>
      <c r="E65" s="2" t="s">
        <v>779</v>
      </c>
      <c r="F65" s="4"/>
      <c r="G65" s="14">
        <v>94</v>
      </c>
      <c r="H65" s="9"/>
    </row>
    <row r="66" spans="3:8" x14ac:dyDescent="0.25">
      <c r="C66" s="8"/>
      <c r="D66" s="2" t="s">
        <v>1622</v>
      </c>
      <c r="E66" s="2" t="s">
        <v>1631</v>
      </c>
      <c r="F66" s="4">
        <v>2</v>
      </c>
      <c r="G66" s="14"/>
      <c r="H66" s="9"/>
    </row>
    <row r="67" spans="3:8" x14ac:dyDescent="0.25">
      <c r="C67" s="8"/>
      <c r="D67" s="2" t="s">
        <v>1623</v>
      </c>
      <c r="E67" s="2" t="s">
        <v>1631</v>
      </c>
      <c r="F67" s="4"/>
      <c r="G67" s="14"/>
      <c r="H67" s="9">
        <v>81</v>
      </c>
    </row>
    <row r="68" spans="3:8" x14ac:dyDescent="0.25">
      <c r="C68" s="8"/>
      <c r="D68" s="2" t="s">
        <v>1624</v>
      </c>
      <c r="E68" s="2" t="s">
        <v>1631</v>
      </c>
      <c r="F68" s="4"/>
      <c r="G68" s="14"/>
      <c r="H68" s="9">
        <v>3</v>
      </c>
    </row>
    <row r="69" spans="3:8" x14ac:dyDescent="0.25">
      <c r="C69" s="8"/>
      <c r="D69" s="2" t="s">
        <v>1625</v>
      </c>
      <c r="E69" s="2" t="s">
        <v>1631</v>
      </c>
      <c r="F69" s="4">
        <v>10</v>
      </c>
      <c r="G69" s="14"/>
      <c r="H69" s="9"/>
    </row>
    <row r="70" spans="3:8" x14ac:dyDescent="0.25">
      <c r="C70" s="8"/>
      <c r="D70" s="2" t="s">
        <v>1626</v>
      </c>
      <c r="E70" s="2" t="s">
        <v>1631</v>
      </c>
      <c r="F70" s="4"/>
      <c r="G70" s="14"/>
      <c r="H70" s="9">
        <v>400</v>
      </c>
    </row>
    <row r="71" spans="3:8" x14ac:dyDescent="0.25">
      <c r="C71" s="8"/>
      <c r="D71" s="2" t="s">
        <v>1627</v>
      </c>
      <c r="E71" s="2" t="s">
        <v>1631</v>
      </c>
      <c r="F71" s="4">
        <v>14</v>
      </c>
      <c r="G71" s="14"/>
      <c r="H71" s="9"/>
    </row>
    <row r="72" spans="3:8" x14ac:dyDescent="0.25">
      <c r="C72" s="8"/>
      <c r="D72" s="2" t="s">
        <v>1628</v>
      </c>
      <c r="E72" s="2" t="s">
        <v>1631</v>
      </c>
      <c r="F72" s="4">
        <v>17</v>
      </c>
      <c r="G72" s="14"/>
      <c r="H72" s="9"/>
    </row>
    <row r="73" spans="3:8" x14ac:dyDescent="0.25">
      <c r="C73" s="8"/>
      <c r="D73" s="2" t="s">
        <v>1629</v>
      </c>
      <c r="E73" s="2" t="s">
        <v>58</v>
      </c>
      <c r="F73" s="4"/>
      <c r="G73" s="14"/>
      <c r="H73" s="9">
        <v>149.5</v>
      </c>
    </row>
    <row r="74" spans="3:8" x14ac:dyDescent="0.25">
      <c r="C74" s="8"/>
      <c r="D74" s="2" t="s">
        <v>1630</v>
      </c>
      <c r="E74" s="2" t="s">
        <v>1634</v>
      </c>
      <c r="F74" s="4"/>
      <c r="G74" s="14">
        <v>862</v>
      </c>
      <c r="H74" s="9"/>
    </row>
    <row r="75" spans="3:8" x14ac:dyDescent="0.25">
      <c r="C75" s="8"/>
      <c r="D75" s="2" t="s">
        <v>1637</v>
      </c>
      <c r="E75" s="2" t="s">
        <v>1631</v>
      </c>
      <c r="F75" s="4"/>
      <c r="G75" s="14"/>
      <c r="H75" s="9">
        <v>6.5</v>
      </c>
    </row>
    <row r="76" spans="3:8" x14ac:dyDescent="0.25">
      <c r="C76" s="8"/>
      <c r="D76" s="2" t="s">
        <v>1638</v>
      </c>
      <c r="E76" s="2" t="s">
        <v>655</v>
      </c>
      <c r="F76" s="4">
        <v>135</v>
      </c>
      <c r="G76" s="14"/>
      <c r="H76" s="9"/>
    </row>
    <row r="77" spans="3:8" x14ac:dyDescent="0.25">
      <c r="C77" s="8"/>
      <c r="D77" s="2" t="s">
        <v>1642</v>
      </c>
      <c r="E77" s="2" t="s">
        <v>1631</v>
      </c>
      <c r="F77" s="4">
        <v>46.5</v>
      </c>
      <c r="G77" s="14"/>
      <c r="H77" s="9"/>
    </row>
    <row r="78" spans="3:8" x14ac:dyDescent="0.25">
      <c r="C78" s="8"/>
      <c r="D78" s="2" t="s">
        <v>1643</v>
      </c>
      <c r="E78" s="2" t="s">
        <v>1644</v>
      </c>
      <c r="F78" s="4"/>
      <c r="G78" s="14">
        <v>3940</v>
      </c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29"/>
      <c r="D85" s="30"/>
      <c r="E85" s="30" t="s">
        <v>60</v>
      </c>
      <c r="F85" s="4"/>
      <c r="G85" s="14"/>
      <c r="H85" s="9"/>
    </row>
    <row r="86" spans="3:8" x14ac:dyDescent="0.25">
      <c r="C86" s="8"/>
      <c r="D86" s="2" t="s">
        <v>1559</v>
      </c>
      <c r="E86" s="2" t="s">
        <v>1560</v>
      </c>
      <c r="F86" s="4"/>
      <c r="G86" s="14"/>
      <c r="H86" s="9">
        <v>56</v>
      </c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 t="s">
        <v>1561</v>
      </c>
      <c r="E88" s="2" t="s">
        <v>94</v>
      </c>
      <c r="F88" s="4"/>
      <c r="G88" s="14"/>
      <c r="H88" s="9">
        <v>183</v>
      </c>
    </row>
    <row r="89" spans="3:8" x14ac:dyDescent="0.25">
      <c r="C89" s="8"/>
      <c r="D89" s="2" t="s">
        <v>1562</v>
      </c>
      <c r="E89" s="2" t="s">
        <v>94</v>
      </c>
      <c r="F89" s="4"/>
      <c r="G89" s="14"/>
      <c r="H89" s="9">
        <v>80</v>
      </c>
    </row>
    <row r="90" spans="3:8" x14ac:dyDescent="0.25">
      <c r="C90" s="8"/>
      <c r="D90" s="2" t="s">
        <v>1563</v>
      </c>
      <c r="E90" s="2" t="s">
        <v>94</v>
      </c>
      <c r="F90" s="4"/>
      <c r="G90" s="14"/>
      <c r="H90" s="9">
        <v>17</v>
      </c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16"/>
      <c r="D95" s="17"/>
      <c r="E95" s="17" t="s">
        <v>39</v>
      </c>
      <c r="F95" s="4"/>
      <c r="G95" s="14"/>
      <c r="H95" s="9"/>
    </row>
    <row r="96" spans="3:8" x14ac:dyDescent="0.25">
      <c r="C96" s="8"/>
      <c r="D96" s="45"/>
      <c r="E96" s="2" t="s">
        <v>1152</v>
      </c>
      <c r="F96" s="4">
        <v>88</v>
      </c>
      <c r="G96" s="14"/>
      <c r="H96" s="9"/>
    </row>
    <row r="97" spans="3:8" x14ac:dyDescent="0.25">
      <c r="C97" s="8"/>
      <c r="D97" s="45"/>
      <c r="E97" s="2" t="s">
        <v>1636</v>
      </c>
      <c r="F97" s="4">
        <v>1580</v>
      </c>
      <c r="G97" s="14"/>
      <c r="H97" s="9"/>
    </row>
    <row r="98" spans="3:8" x14ac:dyDescent="0.25">
      <c r="C98" s="8"/>
      <c r="D98" s="2"/>
      <c r="E98" s="2" t="s">
        <v>402</v>
      </c>
      <c r="F98" s="4">
        <v>3.9</v>
      </c>
      <c r="G98" s="14"/>
      <c r="H98" s="9"/>
    </row>
    <row r="99" spans="3:8" x14ac:dyDescent="0.25">
      <c r="C99" s="8"/>
      <c r="D99" s="2"/>
      <c r="E99" s="2"/>
      <c r="F99" s="4"/>
      <c r="G99" s="14"/>
      <c r="H99" s="9"/>
    </row>
    <row r="100" spans="3:8" x14ac:dyDescent="0.25">
      <c r="C100" s="19"/>
      <c r="D100" s="20"/>
      <c r="E100" s="20" t="s">
        <v>42</v>
      </c>
      <c r="F100" s="4"/>
      <c r="G100" s="14"/>
      <c r="H100" s="9"/>
    </row>
    <row r="101" spans="3:8" x14ac:dyDescent="0.25">
      <c r="C101" s="34"/>
      <c r="D101" s="42"/>
      <c r="E101" s="2" t="s">
        <v>1556</v>
      </c>
      <c r="F101" s="14">
        <v>-1155</v>
      </c>
      <c r="G101" s="14"/>
      <c r="H101" s="9"/>
    </row>
    <row r="102" spans="3:8" x14ac:dyDescent="0.25">
      <c r="C102" s="34"/>
      <c r="D102" s="2"/>
      <c r="E102" s="2" t="s">
        <v>1557</v>
      </c>
      <c r="F102" s="14">
        <v>-2280</v>
      </c>
      <c r="G102" s="14"/>
      <c r="H102" s="9"/>
    </row>
    <row r="103" spans="3:8" x14ac:dyDescent="0.25">
      <c r="C103" s="34"/>
      <c r="D103" s="42"/>
      <c r="E103" s="2" t="s">
        <v>1558</v>
      </c>
      <c r="F103" s="14">
        <v>-2400</v>
      </c>
      <c r="G103" s="14"/>
      <c r="H103" s="9"/>
    </row>
    <row r="104" spans="3:8" x14ac:dyDescent="0.25">
      <c r="C104" s="34"/>
      <c r="D104" s="42"/>
      <c r="E104" s="2" t="s">
        <v>766</v>
      </c>
      <c r="F104" s="14">
        <v>-420</v>
      </c>
      <c r="G104" s="14"/>
      <c r="H104" s="9"/>
    </row>
    <row r="105" spans="3:8" x14ac:dyDescent="0.25">
      <c r="C105" s="34"/>
      <c r="D105" s="42"/>
      <c r="E105" s="2" t="s">
        <v>1639</v>
      </c>
      <c r="F105" s="14">
        <v>-1533.3</v>
      </c>
      <c r="G105" s="14"/>
      <c r="H105" s="9"/>
    </row>
    <row r="106" spans="3:8" x14ac:dyDescent="0.25">
      <c r="C106" s="34"/>
      <c r="D106" s="42"/>
      <c r="E106" s="2" t="s">
        <v>1646</v>
      </c>
      <c r="F106" s="14">
        <v>-30</v>
      </c>
      <c r="G106" s="14"/>
      <c r="H106" s="9"/>
    </row>
    <row r="107" spans="3:8" x14ac:dyDescent="0.25">
      <c r="C107" s="34"/>
      <c r="D107" s="42"/>
      <c r="E107" s="2"/>
      <c r="F107" s="14"/>
      <c r="G107" s="14"/>
      <c r="H107" s="9"/>
    </row>
    <row r="108" spans="3:8" x14ac:dyDescent="0.25">
      <c r="C108" s="34"/>
      <c r="D108" s="42"/>
      <c r="E108" s="2"/>
      <c r="F108" s="14"/>
      <c r="G108" s="14"/>
      <c r="H108" s="9"/>
    </row>
    <row r="109" spans="3:8" x14ac:dyDescent="0.25">
      <c r="C109" s="8"/>
      <c r="D109" s="2"/>
      <c r="E109" s="2"/>
      <c r="F109" s="14"/>
      <c r="G109" s="14"/>
      <c r="H109" s="9"/>
    </row>
    <row r="110" spans="3:8" x14ac:dyDescent="0.25">
      <c r="C110" s="8"/>
      <c r="D110" s="2"/>
      <c r="E110" s="2"/>
      <c r="F110" s="4"/>
      <c r="G110" s="14"/>
      <c r="H110" s="9"/>
    </row>
    <row r="111" spans="3:8" ht="15.75" thickBot="1" x14ac:dyDescent="0.3">
      <c r="C111" s="10"/>
      <c r="D111" s="11"/>
      <c r="E111" s="11" t="s">
        <v>44</v>
      </c>
      <c r="F111" s="12">
        <f>SUM(F6:F110)</f>
        <v>9037.0000000000036</v>
      </c>
      <c r="G111" s="15">
        <f>SUM(G6:G110)</f>
        <v>9521.4</v>
      </c>
      <c r="H111" s="13">
        <f>SUM(H6:H110)</f>
        <v>4975.6000000000004</v>
      </c>
    </row>
    <row r="114" spans="5:10" ht="18.75" x14ac:dyDescent="0.3">
      <c r="E114" s="38" t="s">
        <v>49</v>
      </c>
      <c r="F114" s="39">
        <f>+H4+F111</f>
        <v>21629.240000000005</v>
      </c>
    </row>
    <row r="117" spans="5:10" x14ac:dyDescent="0.25">
      <c r="J117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663C-11BD-4AF7-93F2-FF75A0278343}">
  <sheetPr codeName="Hoja16"/>
  <dimension ref="C2:J139"/>
  <sheetViews>
    <sheetView topLeftCell="A100" workbookViewId="0">
      <selection activeCell="D92" sqref="D92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1647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21629.24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1648</v>
      </c>
      <c r="E6" s="40" t="s">
        <v>1652</v>
      </c>
      <c r="F6" s="4"/>
      <c r="G6" s="14">
        <v>240</v>
      </c>
      <c r="H6" s="9"/>
    </row>
    <row r="7" spans="3:8" x14ac:dyDescent="0.25">
      <c r="C7" s="8"/>
      <c r="D7" s="2" t="s">
        <v>1653</v>
      </c>
      <c r="E7" s="2" t="s">
        <v>440</v>
      </c>
      <c r="F7" s="4">
        <v>2</v>
      </c>
      <c r="G7" s="14"/>
      <c r="H7" s="9"/>
    </row>
    <row r="8" spans="3:8" x14ac:dyDescent="0.25">
      <c r="C8" s="8"/>
      <c r="D8" s="2" t="s">
        <v>1654</v>
      </c>
      <c r="E8" s="2" t="s">
        <v>1006</v>
      </c>
      <c r="F8" s="4"/>
      <c r="G8" s="14"/>
      <c r="H8" s="9">
        <v>365.5</v>
      </c>
    </row>
    <row r="9" spans="3:8" x14ac:dyDescent="0.25">
      <c r="C9" s="8"/>
      <c r="D9" s="2" t="s">
        <v>1655</v>
      </c>
      <c r="E9" s="2" t="s">
        <v>440</v>
      </c>
      <c r="F9" s="4">
        <v>36</v>
      </c>
      <c r="G9" s="14"/>
      <c r="H9" s="9"/>
    </row>
    <row r="10" spans="3:8" x14ac:dyDescent="0.25">
      <c r="C10" s="8"/>
      <c r="D10" s="2" t="s">
        <v>1656</v>
      </c>
      <c r="E10" s="2" t="s">
        <v>508</v>
      </c>
      <c r="F10" s="4"/>
      <c r="G10" s="14">
        <v>624</v>
      </c>
      <c r="H10" s="9"/>
    </row>
    <row r="11" spans="3:8" x14ac:dyDescent="0.25">
      <c r="C11" s="8"/>
      <c r="D11" s="2" t="s">
        <v>1657</v>
      </c>
      <c r="E11" s="2" t="s">
        <v>1678</v>
      </c>
      <c r="F11" s="4">
        <v>117</v>
      </c>
      <c r="G11" s="14"/>
      <c r="H11" s="9"/>
    </row>
    <row r="12" spans="3:8" x14ac:dyDescent="0.25">
      <c r="C12" s="8"/>
      <c r="D12" s="2" t="s">
        <v>1658</v>
      </c>
      <c r="E12" s="2" t="s">
        <v>440</v>
      </c>
      <c r="F12" s="4">
        <v>4.5</v>
      </c>
      <c r="G12" s="14"/>
      <c r="H12" s="9"/>
    </row>
    <row r="13" spans="3:8" x14ac:dyDescent="0.25">
      <c r="C13" s="8"/>
      <c r="D13" s="2" t="s">
        <v>1659</v>
      </c>
      <c r="E13" s="2" t="s">
        <v>1679</v>
      </c>
      <c r="F13" s="4"/>
      <c r="G13" s="14">
        <v>60</v>
      </c>
      <c r="H13" s="9"/>
    </row>
    <row r="14" spans="3:8" x14ac:dyDescent="0.25">
      <c r="C14" s="8"/>
      <c r="D14" s="2" t="s">
        <v>1660</v>
      </c>
      <c r="E14" s="2" t="s">
        <v>440</v>
      </c>
      <c r="F14" s="4">
        <v>6</v>
      </c>
      <c r="G14" s="14"/>
      <c r="H14" s="9"/>
    </row>
    <row r="15" spans="3:8" x14ac:dyDescent="0.25">
      <c r="C15" s="8"/>
      <c r="D15" s="2" t="s">
        <v>1661</v>
      </c>
      <c r="E15" s="2" t="s">
        <v>440</v>
      </c>
      <c r="F15" s="4"/>
      <c r="G15" s="14"/>
      <c r="H15" s="9">
        <v>24</v>
      </c>
    </row>
    <row r="16" spans="3:8" x14ac:dyDescent="0.25">
      <c r="C16" s="8"/>
      <c r="D16" s="2" t="s">
        <v>1662</v>
      </c>
      <c r="E16" s="2" t="s">
        <v>1479</v>
      </c>
      <c r="F16" s="4">
        <v>117.5</v>
      </c>
      <c r="G16" s="14"/>
      <c r="H16" s="9"/>
    </row>
    <row r="17" spans="3:8" x14ac:dyDescent="0.25">
      <c r="C17" s="8"/>
      <c r="D17" s="2" t="s">
        <v>1663</v>
      </c>
      <c r="E17" s="2" t="s">
        <v>440</v>
      </c>
      <c r="F17" s="4">
        <v>93</v>
      </c>
      <c r="G17" s="14"/>
      <c r="H17" s="9"/>
    </row>
    <row r="18" spans="3:8" x14ac:dyDescent="0.25">
      <c r="C18" s="8"/>
      <c r="D18" s="2" t="s">
        <v>1664</v>
      </c>
      <c r="E18" s="2" t="s">
        <v>440</v>
      </c>
      <c r="F18" s="4">
        <v>4.5</v>
      </c>
      <c r="G18" s="14"/>
      <c r="H18" s="9"/>
    </row>
    <row r="19" spans="3:8" x14ac:dyDescent="0.25">
      <c r="C19" s="8"/>
      <c r="D19" s="2" t="s">
        <v>1665</v>
      </c>
      <c r="E19" s="2" t="s">
        <v>440</v>
      </c>
      <c r="F19" s="4">
        <v>6.5</v>
      </c>
      <c r="G19" s="14"/>
      <c r="H19" s="9"/>
    </row>
    <row r="20" spans="3:8" x14ac:dyDescent="0.25">
      <c r="C20" s="8"/>
      <c r="D20" s="2" t="s">
        <v>1666</v>
      </c>
      <c r="E20" s="2" t="s">
        <v>440</v>
      </c>
      <c r="F20" s="4">
        <v>6</v>
      </c>
      <c r="G20" s="14"/>
      <c r="H20" s="9"/>
    </row>
    <row r="21" spans="3:8" x14ac:dyDescent="0.25">
      <c r="C21" s="8"/>
      <c r="D21" s="2" t="s">
        <v>1667</v>
      </c>
      <c r="E21" s="2" t="s">
        <v>508</v>
      </c>
      <c r="F21" s="4">
        <v>1670</v>
      </c>
      <c r="G21" s="14"/>
      <c r="H21" s="9"/>
    </row>
    <row r="22" spans="3:8" x14ac:dyDescent="0.25">
      <c r="C22" s="8"/>
      <c r="D22" s="2" t="s">
        <v>1668</v>
      </c>
      <c r="E22" s="2" t="s">
        <v>1257</v>
      </c>
      <c r="F22" s="4">
        <v>100</v>
      </c>
      <c r="G22" s="14"/>
      <c r="H22" s="9"/>
    </row>
    <row r="23" spans="3:8" x14ac:dyDescent="0.25">
      <c r="C23" s="8"/>
      <c r="D23" s="2" t="s">
        <v>1669</v>
      </c>
      <c r="E23" s="2" t="s">
        <v>1390</v>
      </c>
      <c r="F23" s="4"/>
      <c r="G23" s="14"/>
      <c r="H23" s="9">
        <v>362.5</v>
      </c>
    </row>
    <row r="24" spans="3:8" x14ac:dyDescent="0.25">
      <c r="C24" s="8"/>
      <c r="D24" s="2" t="s">
        <v>1670</v>
      </c>
      <c r="E24" s="2" t="s">
        <v>440</v>
      </c>
      <c r="F24" s="4">
        <v>12</v>
      </c>
      <c r="G24" s="14"/>
      <c r="H24" s="9"/>
    </row>
    <row r="25" spans="3:8" x14ac:dyDescent="0.25">
      <c r="C25" s="8"/>
      <c r="D25" s="2" t="s">
        <v>1671</v>
      </c>
      <c r="E25" s="2" t="s">
        <v>440</v>
      </c>
      <c r="F25" s="4">
        <v>10</v>
      </c>
      <c r="G25" s="14"/>
      <c r="H25" s="9"/>
    </row>
    <row r="26" spans="3:8" x14ac:dyDescent="0.25">
      <c r="C26" s="8"/>
      <c r="D26" s="2" t="s">
        <v>1672</v>
      </c>
      <c r="E26" s="2" t="s">
        <v>440</v>
      </c>
      <c r="F26" s="4">
        <v>4.5</v>
      </c>
      <c r="G26" s="14"/>
      <c r="H26" s="9"/>
    </row>
    <row r="27" spans="3:8" x14ac:dyDescent="0.25">
      <c r="C27" s="8"/>
      <c r="D27" s="2" t="s">
        <v>1673</v>
      </c>
      <c r="E27" s="2" t="s">
        <v>440</v>
      </c>
      <c r="F27" s="4">
        <v>8</v>
      </c>
      <c r="G27" s="14"/>
      <c r="H27" s="9"/>
    </row>
    <row r="28" spans="3:8" x14ac:dyDescent="0.25">
      <c r="C28" s="8"/>
      <c r="D28" s="2" t="s">
        <v>1674</v>
      </c>
      <c r="E28" s="2" t="s">
        <v>440</v>
      </c>
      <c r="F28" s="4">
        <v>16</v>
      </c>
      <c r="G28" s="14"/>
      <c r="H28" s="9"/>
    </row>
    <row r="29" spans="3:8" x14ac:dyDescent="0.25">
      <c r="C29" s="8"/>
      <c r="D29" s="2" t="s">
        <v>1675</v>
      </c>
      <c r="E29" s="2" t="s">
        <v>440</v>
      </c>
      <c r="F29" s="4">
        <v>14</v>
      </c>
      <c r="G29" s="14"/>
      <c r="H29" s="9"/>
    </row>
    <row r="30" spans="3:8" x14ac:dyDescent="0.25">
      <c r="C30" s="8"/>
      <c r="D30" s="2" t="s">
        <v>1676</v>
      </c>
      <c r="E30" s="2" t="s">
        <v>440</v>
      </c>
      <c r="F30" s="4">
        <v>93</v>
      </c>
      <c r="G30" s="14"/>
      <c r="H30" s="9"/>
    </row>
    <row r="31" spans="3:8" x14ac:dyDescent="0.25">
      <c r="C31" s="8"/>
      <c r="D31" s="2" t="s">
        <v>1677</v>
      </c>
      <c r="E31" s="2" t="s">
        <v>62</v>
      </c>
      <c r="F31" s="4"/>
      <c r="G31" s="14">
        <v>532</v>
      </c>
      <c r="H31" s="9"/>
    </row>
    <row r="32" spans="3:8" x14ac:dyDescent="0.25">
      <c r="C32" s="8"/>
      <c r="D32" s="2" t="s">
        <v>1681</v>
      </c>
      <c r="E32" s="2" t="s">
        <v>107</v>
      </c>
      <c r="F32" s="4"/>
      <c r="G32" s="14">
        <v>6276</v>
      </c>
      <c r="H32" s="9"/>
    </row>
    <row r="33" spans="3:8" x14ac:dyDescent="0.25">
      <c r="C33" s="8"/>
      <c r="D33" s="2" t="s">
        <v>1682</v>
      </c>
      <c r="E33" s="2" t="s">
        <v>440</v>
      </c>
      <c r="F33" s="4">
        <v>2</v>
      </c>
      <c r="G33" s="14"/>
      <c r="H33" s="9"/>
    </row>
    <row r="34" spans="3:8" x14ac:dyDescent="0.25">
      <c r="C34" s="8"/>
      <c r="D34" s="2" t="s">
        <v>1683</v>
      </c>
      <c r="E34" s="2" t="s">
        <v>1693</v>
      </c>
      <c r="F34" s="4">
        <v>165.6</v>
      </c>
      <c r="G34" s="14"/>
      <c r="H34" s="9"/>
    </row>
    <row r="35" spans="3:8" x14ac:dyDescent="0.25">
      <c r="C35" s="8"/>
      <c r="D35" s="2" t="s">
        <v>1684</v>
      </c>
      <c r="E35" s="2" t="s">
        <v>1694</v>
      </c>
      <c r="F35" s="4">
        <v>4245</v>
      </c>
      <c r="G35" s="14"/>
      <c r="H35" s="9"/>
    </row>
    <row r="36" spans="3:8" x14ac:dyDescent="0.25">
      <c r="C36" s="8"/>
      <c r="D36" s="2" t="s">
        <v>1685</v>
      </c>
      <c r="E36" s="2" t="s">
        <v>440</v>
      </c>
      <c r="F36" s="4">
        <v>9.1999999999999993</v>
      </c>
      <c r="G36" s="14"/>
      <c r="H36" s="9"/>
    </row>
    <row r="37" spans="3:8" x14ac:dyDescent="0.25">
      <c r="C37" s="8"/>
      <c r="D37" s="2" t="s">
        <v>1686</v>
      </c>
      <c r="E37" s="2" t="s">
        <v>1678</v>
      </c>
      <c r="F37" s="4"/>
      <c r="G37" s="14"/>
      <c r="H37" s="9">
        <v>42</v>
      </c>
    </row>
    <row r="38" spans="3:8" x14ac:dyDescent="0.25">
      <c r="C38" s="8"/>
      <c r="D38" s="2" t="s">
        <v>1687</v>
      </c>
      <c r="E38" s="2" t="s">
        <v>1678</v>
      </c>
      <c r="F38" s="4">
        <v>9</v>
      </c>
      <c r="G38" s="14"/>
      <c r="H38" s="9"/>
    </row>
    <row r="39" spans="3:8" x14ac:dyDescent="0.25">
      <c r="C39" s="8"/>
      <c r="D39" s="2" t="s">
        <v>1688</v>
      </c>
      <c r="E39" s="2" t="s">
        <v>440</v>
      </c>
      <c r="F39" s="4">
        <v>17.399999999999999</v>
      </c>
      <c r="G39" s="14"/>
      <c r="H39" s="9"/>
    </row>
    <row r="40" spans="3:8" x14ac:dyDescent="0.25">
      <c r="C40" s="8"/>
      <c r="D40" s="2" t="s">
        <v>1689</v>
      </c>
      <c r="E40" s="2" t="s">
        <v>440</v>
      </c>
      <c r="F40" s="4">
        <v>20</v>
      </c>
      <c r="G40" s="14"/>
      <c r="H40" s="9"/>
    </row>
    <row r="41" spans="3:8" x14ac:dyDescent="0.25">
      <c r="C41" s="8"/>
      <c r="D41" s="2" t="s">
        <v>1690</v>
      </c>
      <c r="E41" s="2" t="s">
        <v>1695</v>
      </c>
      <c r="F41" s="4"/>
      <c r="G41" s="14"/>
      <c r="H41" s="9">
        <v>147.5</v>
      </c>
    </row>
    <row r="42" spans="3:8" x14ac:dyDescent="0.25">
      <c r="C42" s="8"/>
      <c r="D42" s="2" t="s">
        <v>1691</v>
      </c>
      <c r="E42" s="2" t="s">
        <v>440</v>
      </c>
      <c r="F42" s="4">
        <v>2</v>
      </c>
      <c r="G42" s="14"/>
      <c r="H42" s="9"/>
    </row>
    <row r="43" spans="3:8" x14ac:dyDescent="0.25">
      <c r="C43" s="8"/>
      <c r="D43" s="2" t="s">
        <v>1692</v>
      </c>
      <c r="E43" s="2" t="s">
        <v>440</v>
      </c>
      <c r="F43" s="4">
        <v>9</v>
      </c>
      <c r="G43" s="14"/>
      <c r="H43" s="9"/>
    </row>
    <row r="44" spans="3:8" x14ac:dyDescent="0.25">
      <c r="C44" s="8"/>
      <c r="D44" s="2" t="s">
        <v>1721</v>
      </c>
      <c r="E44" s="2" t="s">
        <v>1679</v>
      </c>
      <c r="F44" s="4"/>
      <c r="G44" s="14">
        <v>249.3</v>
      </c>
      <c r="H44" s="9"/>
    </row>
    <row r="45" spans="3:8" x14ac:dyDescent="0.25">
      <c r="C45" s="8"/>
      <c r="D45" s="2" t="s">
        <v>1722</v>
      </c>
      <c r="E45" s="2" t="s">
        <v>440</v>
      </c>
      <c r="F45" s="4">
        <v>5.5</v>
      </c>
      <c r="G45" s="14"/>
      <c r="H45" s="9"/>
    </row>
    <row r="46" spans="3:8" x14ac:dyDescent="0.25">
      <c r="C46" s="8"/>
      <c r="D46" s="2" t="s">
        <v>1723</v>
      </c>
      <c r="E46" s="2" t="s">
        <v>678</v>
      </c>
      <c r="F46" s="4">
        <v>3090</v>
      </c>
      <c r="G46" s="14"/>
      <c r="H46" s="9"/>
    </row>
    <row r="47" spans="3:8" x14ac:dyDescent="0.25">
      <c r="C47" s="8"/>
      <c r="D47" s="2" t="s">
        <v>1725</v>
      </c>
      <c r="E47" s="2" t="s">
        <v>583</v>
      </c>
      <c r="F47" s="4">
        <v>900</v>
      </c>
      <c r="G47" s="14"/>
      <c r="H47" s="9"/>
    </row>
    <row r="48" spans="3:8" x14ac:dyDescent="0.25">
      <c r="C48" s="8"/>
      <c r="D48" s="2" t="s">
        <v>1730</v>
      </c>
      <c r="E48" s="2" t="s">
        <v>508</v>
      </c>
      <c r="F48" s="4"/>
      <c r="G48" s="14">
        <v>99</v>
      </c>
      <c r="H48" s="9"/>
    </row>
    <row r="49" spans="3:8" x14ac:dyDescent="0.25">
      <c r="C49" s="8"/>
      <c r="D49" s="2" t="s">
        <v>1739</v>
      </c>
      <c r="E49" s="2" t="s">
        <v>440</v>
      </c>
      <c r="F49" s="4"/>
      <c r="G49" s="14"/>
      <c r="H49" s="9">
        <v>22.5</v>
      </c>
    </row>
    <row r="50" spans="3:8" x14ac:dyDescent="0.25">
      <c r="C50" s="8"/>
      <c r="D50" s="2" t="s">
        <v>1740</v>
      </c>
      <c r="E50" s="2" t="s">
        <v>440</v>
      </c>
      <c r="F50" s="4">
        <v>12.6</v>
      </c>
      <c r="G50" s="14"/>
      <c r="H50" s="51"/>
    </row>
    <row r="51" spans="3:8" x14ac:dyDescent="0.25">
      <c r="C51" s="8"/>
      <c r="D51" s="2" t="s">
        <v>1741</v>
      </c>
      <c r="E51" s="2" t="s">
        <v>1750</v>
      </c>
      <c r="F51" s="4"/>
      <c r="G51" s="14"/>
      <c r="H51" s="35">
        <v>1100</v>
      </c>
    </row>
    <row r="52" spans="3:8" x14ac:dyDescent="0.25">
      <c r="C52" s="8"/>
      <c r="D52" s="2" t="s">
        <v>1742</v>
      </c>
      <c r="E52" s="2" t="s">
        <v>1749</v>
      </c>
      <c r="F52" s="4"/>
      <c r="G52" s="14"/>
      <c r="H52" s="35">
        <v>1215</v>
      </c>
    </row>
    <row r="53" spans="3:8" x14ac:dyDescent="0.25">
      <c r="C53" s="8"/>
      <c r="D53" s="2" t="s">
        <v>1743</v>
      </c>
      <c r="E53" s="2" t="s">
        <v>1748</v>
      </c>
      <c r="F53" s="4"/>
      <c r="G53" s="14">
        <v>7455.9</v>
      </c>
      <c r="H53" s="51"/>
    </row>
    <row r="54" spans="3:8" x14ac:dyDescent="0.25">
      <c r="C54" s="8"/>
      <c r="D54" s="2" t="s">
        <v>1744</v>
      </c>
      <c r="E54" s="2" t="s">
        <v>440</v>
      </c>
      <c r="F54" s="4">
        <v>10</v>
      </c>
      <c r="G54" s="14"/>
      <c r="H54" s="51"/>
    </row>
    <row r="55" spans="3:8" x14ac:dyDescent="0.25">
      <c r="C55" s="8"/>
      <c r="D55" s="2" t="s">
        <v>1745</v>
      </c>
      <c r="E55" s="2" t="s">
        <v>440</v>
      </c>
      <c r="F55" s="4">
        <v>35.5</v>
      </c>
      <c r="G55" s="14"/>
      <c r="H55" s="9"/>
    </row>
    <row r="56" spans="3:8" x14ac:dyDescent="0.25">
      <c r="C56" s="8"/>
      <c r="D56" s="2" t="s">
        <v>1746</v>
      </c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 t="s">
        <v>1680</v>
      </c>
      <c r="E63" s="2" t="s">
        <v>1230</v>
      </c>
      <c r="F63" s="4">
        <v>5000</v>
      </c>
      <c r="G63" s="14"/>
      <c r="H63" s="9">
        <v>1149</v>
      </c>
    </row>
    <row r="64" spans="3:8" x14ac:dyDescent="0.25">
      <c r="C64" s="8"/>
      <c r="D64" s="2" t="s">
        <v>1696</v>
      </c>
      <c r="E64" s="2" t="s">
        <v>1631</v>
      </c>
      <c r="F64" s="4"/>
      <c r="G64" s="14"/>
      <c r="H64" s="9">
        <v>9.5</v>
      </c>
    </row>
    <row r="65" spans="3:8" x14ac:dyDescent="0.25">
      <c r="C65" s="8"/>
      <c r="D65" s="2" t="s">
        <v>1697</v>
      </c>
      <c r="E65" s="2" t="s">
        <v>1631</v>
      </c>
      <c r="F65" s="4"/>
      <c r="G65" s="14"/>
      <c r="H65" s="9">
        <v>7.5</v>
      </c>
    </row>
    <row r="66" spans="3:8" x14ac:dyDescent="0.25">
      <c r="C66" s="8"/>
      <c r="D66" s="2" t="s">
        <v>1698</v>
      </c>
      <c r="E66" s="2" t="s">
        <v>1631</v>
      </c>
      <c r="F66" s="4">
        <v>25.5</v>
      </c>
      <c r="G66" s="14"/>
      <c r="H66" s="9"/>
    </row>
    <row r="67" spans="3:8" x14ac:dyDescent="0.25">
      <c r="C67" s="8"/>
      <c r="D67" s="2" t="s">
        <v>1699</v>
      </c>
      <c r="E67" s="2" t="s">
        <v>1631</v>
      </c>
      <c r="F67" s="4">
        <v>48.5</v>
      </c>
      <c r="G67" s="14"/>
      <c r="H67" s="9"/>
    </row>
    <row r="68" spans="3:8" x14ac:dyDescent="0.25">
      <c r="C68" s="8"/>
      <c r="D68" s="2" t="s">
        <v>1700</v>
      </c>
      <c r="E68" s="2" t="s">
        <v>766</v>
      </c>
      <c r="F68" s="4"/>
      <c r="G68" s="14">
        <v>98.3</v>
      </c>
      <c r="H68" s="9"/>
    </row>
    <row r="69" spans="3:8" x14ac:dyDescent="0.25">
      <c r="C69" s="8"/>
      <c r="D69" s="2" t="s">
        <v>1701</v>
      </c>
      <c r="E69" s="2" t="s">
        <v>779</v>
      </c>
      <c r="F69" s="4"/>
      <c r="G69" s="14">
        <v>42</v>
      </c>
      <c r="H69" s="9"/>
    </row>
    <row r="70" spans="3:8" x14ac:dyDescent="0.25">
      <c r="C70" s="8"/>
      <c r="D70" s="2" t="s">
        <v>1702</v>
      </c>
      <c r="E70" s="2" t="s">
        <v>58</v>
      </c>
      <c r="F70" s="4"/>
      <c r="G70" s="14"/>
      <c r="H70" s="9">
        <v>89.3</v>
      </c>
    </row>
    <row r="71" spans="3:8" x14ac:dyDescent="0.25">
      <c r="C71" s="8"/>
      <c r="D71" s="2" t="s">
        <v>1703</v>
      </c>
      <c r="E71" s="2" t="s">
        <v>1631</v>
      </c>
      <c r="F71" s="4">
        <v>5</v>
      </c>
      <c r="G71" s="14"/>
      <c r="H71" s="9"/>
    </row>
    <row r="72" spans="3:8" x14ac:dyDescent="0.25">
      <c r="C72" s="8"/>
      <c r="D72" s="2" t="s">
        <v>1704</v>
      </c>
      <c r="E72" s="2" t="s">
        <v>1631</v>
      </c>
      <c r="F72" s="4"/>
      <c r="G72" s="14"/>
      <c r="H72" s="9">
        <v>108.7</v>
      </c>
    </row>
    <row r="73" spans="3:8" x14ac:dyDescent="0.25">
      <c r="C73" s="8"/>
      <c r="D73" s="2" t="s">
        <v>1705</v>
      </c>
      <c r="E73" s="2" t="s">
        <v>106</v>
      </c>
      <c r="F73" s="4"/>
      <c r="G73" s="14"/>
      <c r="H73" s="9">
        <v>38</v>
      </c>
    </row>
    <row r="74" spans="3:8" x14ac:dyDescent="0.25">
      <c r="C74" s="8"/>
      <c r="D74" s="2" t="s">
        <v>1706</v>
      </c>
      <c r="E74" s="2" t="s">
        <v>1631</v>
      </c>
      <c r="F74" s="4">
        <v>7</v>
      </c>
      <c r="G74" s="14"/>
      <c r="H74" s="9"/>
    </row>
    <row r="75" spans="3:8" x14ac:dyDescent="0.25">
      <c r="C75" s="8"/>
      <c r="D75" s="2" t="s">
        <v>1707</v>
      </c>
      <c r="E75" s="2" t="s">
        <v>1631</v>
      </c>
      <c r="F75" s="4">
        <v>27</v>
      </c>
      <c r="G75" s="14"/>
      <c r="H75" s="9"/>
    </row>
    <row r="76" spans="3:8" x14ac:dyDescent="0.25">
      <c r="C76" s="8"/>
      <c r="D76" s="2" t="s">
        <v>1708</v>
      </c>
      <c r="E76" s="2" t="s">
        <v>1631</v>
      </c>
      <c r="F76" s="4">
        <v>7</v>
      </c>
      <c r="G76" s="14"/>
      <c r="H76" s="9"/>
    </row>
    <row r="77" spans="3:8" x14ac:dyDescent="0.25">
      <c r="C77" s="8"/>
      <c r="D77" s="2" t="s">
        <v>1709</v>
      </c>
      <c r="E77" s="2" t="s">
        <v>1631</v>
      </c>
      <c r="F77" s="4">
        <v>25</v>
      </c>
      <c r="G77" s="14"/>
      <c r="H77" s="9"/>
    </row>
    <row r="78" spans="3:8" x14ac:dyDescent="0.25">
      <c r="C78" s="8"/>
      <c r="D78" s="2" t="s">
        <v>1710</v>
      </c>
      <c r="E78" s="2" t="s">
        <v>1720</v>
      </c>
      <c r="F78" s="4">
        <v>155</v>
      </c>
      <c r="G78" s="14"/>
      <c r="H78" s="9"/>
    </row>
    <row r="79" spans="3:8" x14ac:dyDescent="0.25">
      <c r="C79" s="8"/>
      <c r="D79" s="2" t="s">
        <v>1711</v>
      </c>
      <c r="E79" s="2" t="s">
        <v>1631</v>
      </c>
      <c r="F79" s="4">
        <v>31</v>
      </c>
      <c r="G79" s="14"/>
      <c r="H79" s="9"/>
    </row>
    <row r="80" spans="3:8" x14ac:dyDescent="0.25">
      <c r="C80" s="8"/>
      <c r="D80" s="2" t="s">
        <v>1712</v>
      </c>
      <c r="E80" s="2" t="s">
        <v>676</v>
      </c>
      <c r="F80" s="4">
        <v>6180</v>
      </c>
      <c r="G80" s="14"/>
      <c r="H80" s="9"/>
    </row>
    <row r="81" spans="3:8" x14ac:dyDescent="0.25">
      <c r="C81" s="8"/>
      <c r="D81" s="2" t="s">
        <v>1713</v>
      </c>
      <c r="E81" s="2" t="s">
        <v>1631</v>
      </c>
      <c r="F81" s="4"/>
      <c r="G81" s="14"/>
      <c r="H81" s="9">
        <v>48</v>
      </c>
    </row>
    <row r="82" spans="3:8" x14ac:dyDescent="0.25">
      <c r="C82" s="8"/>
      <c r="D82" s="2" t="s">
        <v>1714</v>
      </c>
      <c r="E82" s="2" t="s">
        <v>1631</v>
      </c>
      <c r="F82" s="4">
        <v>5</v>
      </c>
      <c r="G82" s="14"/>
      <c r="H82" s="9"/>
    </row>
    <row r="83" spans="3:8" x14ac:dyDescent="0.25">
      <c r="C83" s="8"/>
      <c r="D83" s="2" t="s">
        <v>1715</v>
      </c>
      <c r="E83" s="2" t="s">
        <v>1631</v>
      </c>
      <c r="F83" s="4">
        <v>11.4</v>
      </c>
      <c r="G83" s="14"/>
      <c r="H83" s="9"/>
    </row>
    <row r="84" spans="3:8" x14ac:dyDescent="0.25">
      <c r="C84" s="8"/>
      <c r="D84" s="2" t="s">
        <v>1716</v>
      </c>
      <c r="E84" s="2" t="s">
        <v>1631</v>
      </c>
      <c r="F84" s="4">
        <v>2</v>
      </c>
      <c r="G84" s="14"/>
      <c r="H84" s="9"/>
    </row>
    <row r="85" spans="3:8" x14ac:dyDescent="0.25">
      <c r="C85" s="8"/>
      <c r="D85" s="2" t="s">
        <v>1717</v>
      </c>
      <c r="E85" s="2" t="s">
        <v>1631</v>
      </c>
      <c r="F85" s="4">
        <v>48</v>
      </c>
      <c r="G85" s="14"/>
      <c r="H85" s="9"/>
    </row>
    <row r="86" spans="3:8" x14ac:dyDescent="0.25">
      <c r="C86" s="8"/>
      <c r="D86" s="2" t="s">
        <v>1718</v>
      </c>
      <c r="E86" s="2" t="s">
        <v>1631</v>
      </c>
      <c r="F86" s="4">
        <v>4.5</v>
      </c>
      <c r="G86" s="14"/>
      <c r="H86" s="9"/>
    </row>
    <row r="87" spans="3:8" x14ac:dyDescent="0.25">
      <c r="C87" s="8"/>
      <c r="D87" s="2" t="s">
        <v>1719</v>
      </c>
      <c r="E87" s="2" t="s">
        <v>106</v>
      </c>
      <c r="F87" s="4"/>
      <c r="G87" s="14"/>
      <c r="H87" s="9">
        <v>100.5</v>
      </c>
    </row>
    <row r="88" spans="3:8" x14ac:dyDescent="0.25">
      <c r="C88" s="8"/>
      <c r="D88" s="2" t="s">
        <v>1751</v>
      </c>
      <c r="E88" s="2" t="s">
        <v>1631</v>
      </c>
      <c r="F88" s="4">
        <v>240</v>
      </c>
      <c r="G88" s="14"/>
      <c r="H88" s="9"/>
    </row>
    <row r="89" spans="3:8" x14ac:dyDescent="0.25">
      <c r="C89" s="8"/>
      <c r="D89" s="2" t="s">
        <v>1752</v>
      </c>
      <c r="E89" s="2" t="s">
        <v>1631</v>
      </c>
      <c r="F89" s="4">
        <v>6.5</v>
      </c>
      <c r="G89" s="14"/>
      <c r="H89" s="9"/>
    </row>
    <row r="90" spans="3:8" x14ac:dyDescent="0.25">
      <c r="C90" s="8"/>
      <c r="D90" s="2" t="s">
        <v>1753</v>
      </c>
      <c r="E90" s="2" t="s">
        <v>1755</v>
      </c>
      <c r="F90" s="4"/>
      <c r="G90" s="14">
        <v>5389</v>
      </c>
      <c r="H90" s="9"/>
    </row>
    <row r="91" spans="3:8" x14ac:dyDescent="0.25">
      <c r="C91" s="8"/>
      <c r="D91" s="2" t="s">
        <v>1754</v>
      </c>
      <c r="E91" s="2" t="s">
        <v>1631</v>
      </c>
      <c r="F91" s="4">
        <v>9</v>
      </c>
      <c r="G91" s="14"/>
      <c r="H91" s="9"/>
    </row>
    <row r="92" spans="3:8" x14ac:dyDescent="0.25">
      <c r="C92" s="8"/>
      <c r="D92" s="2" t="s">
        <v>1804</v>
      </c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29"/>
      <c r="D97" s="30"/>
      <c r="E97" s="30" t="s">
        <v>60</v>
      </c>
      <c r="F97" s="4"/>
      <c r="G97" s="14"/>
      <c r="H97" s="9"/>
    </row>
    <row r="98" spans="3:8" x14ac:dyDescent="0.25">
      <c r="C98" s="8"/>
      <c r="D98" s="2" t="s">
        <v>1731</v>
      </c>
      <c r="E98" s="2" t="s">
        <v>229</v>
      </c>
      <c r="F98" s="4"/>
      <c r="G98" s="14"/>
      <c r="H98" s="9">
        <v>45</v>
      </c>
    </row>
    <row r="99" spans="3:8" x14ac:dyDescent="0.25">
      <c r="C99" s="8"/>
      <c r="D99" s="2" t="s">
        <v>1732</v>
      </c>
      <c r="E99" s="2" t="s">
        <v>1075</v>
      </c>
      <c r="F99" s="4"/>
      <c r="G99" s="14"/>
      <c r="H99" s="9">
        <v>1775</v>
      </c>
    </row>
    <row r="100" spans="3:8" x14ac:dyDescent="0.25">
      <c r="C100" s="8"/>
      <c r="D100" s="2" t="s">
        <v>1733</v>
      </c>
      <c r="E100" s="2" t="s">
        <v>1651</v>
      </c>
      <c r="F100" s="4">
        <v>5019.3</v>
      </c>
      <c r="G100" s="14"/>
      <c r="H100" s="9"/>
    </row>
    <row r="101" spans="3:8" x14ac:dyDescent="0.25">
      <c r="C101" s="8"/>
      <c r="D101" s="2" t="s">
        <v>1734</v>
      </c>
      <c r="E101" s="2" t="s">
        <v>94</v>
      </c>
      <c r="F101" s="4"/>
      <c r="G101" s="14"/>
      <c r="H101" s="9">
        <v>2158.5</v>
      </c>
    </row>
    <row r="102" spans="3:8" x14ac:dyDescent="0.25">
      <c r="C102" s="8"/>
      <c r="D102" s="2" t="s">
        <v>1738</v>
      </c>
      <c r="E102" s="2" t="s">
        <v>1737</v>
      </c>
      <c r="F102" s="4"/>
      <c r="G102" s="14"/>
      <c r="H102" s="9">
        <v>2245</v>
      </c>
    </row>
    <row r="103" spans="3:8" x14ac:dyDescent="0.25">
      <c r="C103" s="8"/>
      <c r="D103" s="2"/>
      <c r="E103" s="2"/>
      <c r="F103" s="4"/>
      <c r="G103" s="14"/>
      <c r="H103" s="9"/>
    </row>
    <row r="104" spans="3:8" x14ac:dyDescent="0.25">
      <c r="C104" s="8"/>
      <c r="D104" s="2"/>
      <c r="E104" s="2"/>
      <c r="F104" s="4"/>
      <c r="G104" s="14"/>
      <c r="H104" s="9"/>
    </row>
    <row r="105" spans="3:8" x14ac:dyDescent="0.25">
      <c r="C105" s="8"/>
      <c r="D105" s="2"/>
      <c r="E105" s="2"/>
      <c r="F105" s="4"/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x14ac:dyDescent="0.25">
      <c r="C107" s="16"/>
      <c r="D107" s="17"/>
      <c r="E107" s="17" t="s">
        <v>39</v>
      </c>
      <c r="F107" s="4"/>
      <c r="G107" s="14"/>
      <c r="H107" s="9"/>
    </row>
    <row r="108" spans="3:8" x14ac:dyDescent="0.25">
      <c r="C108" s="8"/>
      <c r="D108" s="45"/>
      <c r="E108" s="2" t="s">
        <v>1632</v>
      </c>
      <c r="F108" s="4">
        <v>1</v>
      </c>
      <c r="G108" s="14"/>
      <c r="H108" s="9"/>
    </row>
    <row r="109" spans="3:8" x14ac:dyDescent="0.25">
      <c r="C109" s="8"/>
      <c r="D109" s="45"/>
      <c r="E109" s="2" t="s">
        <v>508</v>
      </c>
      <c r="F109" s="4">
        <v>330</v>
      </c>
      <c r="G109" s="14"/>
      <c r="H109" s="9"/>
    </row>
    <row r="110" spans="3:8" x14ac:dyDescent="0.25">
      <c r="C110" s="8"/>
      <c r="D110" s="2"/>
      <c r="E110" s="2" t="s">
        <v>1724</v>
      </c>
      <c r="F110" s="4">
        <v>14</v>
      </c>
      <c r="G110" s="14"/>
      <c r="H110" s="9"/>
    </row>
    <row r="111" spans="3:8" x14ac:dyDescent="0.25">
      <c r="C111" s="8"/>
      <c r="D111" s="2"/>
      <c r="E111" s="2" t="s">
        <v>1153</v>
      </c>
      <c r="F111" s="4">
        <v>159</v>
      </c>
      <c r="G111" s="14"/>
      <c r="H111" s="9"/>
    </row>
    <row r="112" spans="3:8" x14ac:dyDescent="0.25">
      <c r="C112" s="8"/>
      <c r="D112" s="2"/>
      <c r="E112" s="2" t="s">
        <v>1291</v>
      </c>
      <c r="F112" s="4">
        <f>135+139</f>
        <v>274</v>
      </c>
      <c r="G112" s="14"/>
      <c r="H112" s="9"/>
    </row>
    <row r="113" spans="3:8" x14ac:dyDescent="0.25">
      <c r="C113" s="8"/>
      <c r="D113" s="2"/>
      <c r="E113" s="2" t="s">
        <v>1757</v>
      </c>
      <c r="F113" s="4">
        <v>380</v>
      </c>
      <c r="G113" s="14"/>
      <c r="H113" s="9"/>
    </row>
    <row r="114" spans="3:8" x14ac:dyDescent="0.25">
      <c r="C114" s="8"/>
      <c r="D114" s="2"/>
      <c r="E114" s="2"/>
      <c r="F114" s="4"/>
      <c r="G114" s="14"/>
      <c r="H114" s="9"/>
    </row>
    <row r="115" spans="3:8" x14ac:dyDescent="0.25">
      <c r="C115" s="8"/>
      <c r="D115" s="2"/>
      <c r="E115" s="2"/>
      <c r="F115" s="4"/>
      <c r="G115" s="14"/>
      <c r="H115" s="9"/>
    </row>
    <row r="116" spans="3:8" x14ac:dyDescent="0.25">
      <c r="C116" s="8"/>
      <c r="D116" s="2"/>
      <c r="E116" s="2"/>
      <c r="F116" s="4"/>
      <c r="G116" s="14"/>
      <c r="H116" s="9"/>
    </row>
    <row r="117" spans="3:8" x14ac:dyDescent="0.25">
      <c r="C117" s="19"/>
      <c r="D117" s="20"/>
      <c r="E117" s="20" t="s">
        <v>42</v>
      </c>
      <c r="F117" s="4"/>
      <c r="G117" s="14"/>
      <c r="H117" s="9"/>
    </row>
    <row r="118" spans="3:8" x14ac:dyDescent="0.25">
      <c r="C118" s="34"/>
      <c r="D118" s="42"/>
      <c r="E118" s="2" t="s">
        <v>1649</v>
      </c>
      <c r="F118" s="14">
        <v>-918</v>
      </c>
      <c r="G118" s="14"/>
      <c r="H118" s="9"/>
    </row>
    <row r="119" spans="3:8" x14ac:dyDescent="0.25">
      <c r="C119" s="34"/>
      <c r="D119" s="2"/>
      <c r="E119" s="2" t="s">
        <v>1650</v>
      </c>
      <c r="F119" s="14">
        <v>-4825</v>
      </c>
      <c r="G119" s="14"/>
      <c r="H119" s="9"/>
    </row>
    <row r="120" spans="3:8" x14ac:dyDescent="0.25">
      <c r="C120" s="34"/>
      <c r="D120" s="42"/>
      <c r="E120" s="2" t="s">
        <v>1726</v>
      </c>
      <c r="F120" s="14">
        <v>-100</v>
      </c>
      <c r="G120" s="14"/>
      <c r="H120" s="9"/>
    </row>
    <row r="121" spans="3:8" x14ac:dyDescent="0.25">
      <c r="C121" s="34"/>
      <c r="D121" s="42"/>
      <c r="E121" s="2" t="s">
        <v>1155</v>
      </c>
      <c r="F121" s="14">
        <v>-12</v>
      </c>
      <c r="G121" s="14"/>
      <c r="H121" s="9"/>
    </row>
    <row r="122" spans="3:8" x14ac:dyDescent="0.25">
      <c r="C122" s="34"/>
      <c r="D122" s="42"/>
      <c r="E122" s="2" t="s">
        <v>1727</v>
      </c>
      <c r="F122" s="14">
        <v>-613.1</v>
      </c>
      <c r="G122" s="14"/>
      <c r="H122" s="9"/>
    </row>
    <row r="123" spans="3:8" x14ac:dyDescent="0.25">
      <c r="C123" s="34"/>
      <c r="D123" s="42"/>
      <c r="E123" s="2" t="s">
        <v>1728</v>
      </c>
      <c r="F123" s="14">
        <v>-40</v>
      </c>
      <c r="G123" s="14"/>
      <c r="H123" s="9"/>
    </row>
    <row r="124" spans="3:8" x14ac:dyDescent="0.25">
      <c r="C124" s="34"/>
      <c r="D124" s="42"/>
      <c r="E124" s="2" t="s">
        <v>1729</v>
      </c>
      <c r="F124" s="14">
        <v>-10</v>
      </c>
      <c r="G124" s="14"/>
      <c r="H124" s="9"/>
    </row>
    <row r="125" spans="3:8" x14ac:dyDescent="0.25">
      <c r="C125" s="34"/>
      <c r="D125" s="42"/>
      <c r="E125" s="2" t="s">
        <v>1735</v>
      </c>
      <c r="F125" s="14">
        <v>-296</v>
      </c>
      <c r="G125" s="14"/>
      <c r="H125" s="9"/>
    </row>
    <row r="126" spans="3:8" x14ac:dyDescent="0.25">
      <c r="C126" s="34"/>
      <c r="D126" s="42"/>
      <c r="E126" s="2" t="s">
        <v>1736</v>
      </c>
      <c r="F126" s="14">
        <v>-222</v>
      </c>
      <c r="G126" s="14"/>
      <c r="H126" s="9"/>
    </row>
    <row r="127" spans="3:8" x14ac:dyDescent="0.25">
      <c r="C127" s="34"/>
      <c r="D127" s="42"/>
      <c r="E127" s="2" t="s">
        <v>1274</v>
      </c>
      <c r="F127" s="14">
        <v>-16246.5</v>
      </c>
      <c r="G127" s="14"/>
      <c r="H127" s="9"/>
    </row>
    <row r="128" spans="3:8" x14ac:dyDescent="0.25">
      <c r="C128" s="34"/>
      <c r="D128" s="42"/>
      <c r="E128" s="2" t="s">
        <v>1756</v>
      </c>
      <c r="F128" s="14">
        <v>-15</v>
      </c>
      <c r="G128" s="14"/>
      <c r="H128" s="9"/>
    </row>
    <row r="129" spans="3:10" x14ac:dyDescent="0.25">
      <c r="C129" s="8"/>
      <c r="D129" s="2"/>
      <c r="E129" s="2" t="s">
        <v>1758</v>
      </c>
      <c r="F129" s="14">
        <v>-10</v>
      </c>
      <c r="G129" s="14"/>
      <c r="H129" s="9"/>
    </row>
    <row r="130" spans="3:10" x14ac:dyDescent="0.25">
      <c r="C130" s="8"/>
      <c r="D130" s="2"/>
      <c r="E130" s="2" t="s">
        <v>1759</v>
      </c>
      <c r="F130" s="14">
        <v>-13</v>
      </c>
      <c r="G130" s="14"/>
      <c r="H130" s="9"/>
    </row>
    <row r="131" spans="3:10" x14ac:dyDescent="0.25">
      <c r="C131" s="8"/>
      <c r="D131" s="2"/>
      <c r="E131" s="2"/>
      <c r="F131" s="14"/>
      <c r="G131" s="14"/>
      <c r="H131" s="9"/>
    </row>
    <row r="132" spans="3:10" x14ac:dyDescent="0.25">
      <c r="C132" s="8"/>
      <c r="D132" s="2"/>
      <c r="E132" s="2"/>
      <c r="F132" s="4"/>
      <c r="G132" s="14"/>
      <c r="H132" s="9"/>
    </row>
    <row r="133" spans="3:10" ht="15.75" thickBot="1" x14ac:dyDescent="0.3">
      <c r="C133" s="10"/>
      <c r="D133" s="11"/>
      <c r="E133" s="11" t="s">
        <v>44</v>
      </c>
      <c r="F133" s="12">
        <f>SUM(F6:F132)</f>
        <v>5547.4000000000051</v>
      </c>
      <c r="G133" s="15">
        <f>SUM(G6:G132)</f>
        <v>21065.5</v>
      </c>
      <c r="H133" s="13">
        <f>SUM(H6:H132)</f>
        <v>11053</v>
      </c>
    </row>
    <row r="136" spans="3:10" ht="18.75" x14ac:dyDescent="0.3">
      <c r="E136" s="38" t="s">
        <v>49</v>
      </c>
      <c r="F136" s="39">
        <f>+H4+F133</f>
        <v>27176.640000000007</v>
      </c>
    </row>
    <row r="139" spans="3:10" x14ac:dyDescent="0.25">
      <c r="J139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CBFA-75C6-4DB7-B76F-CDA1585C148E}">
  <sheetPr codeName="Hoja17"/>
  <dimension ref="C2:J132"/>
  <sheetViews>
    <sheetView topLeftCell="A99" workbookViewId="0">
      <selection activeCell="J129" sqref="J129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1869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27176.639999999999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1746</v>
      </c>
      <c r="E6" s="2" t="s">
        <v>619</v>
      </c>
      <c r="F6" s="4"/>
      <c r="G6" s="14"/>
      <c r="H6" s="9">
        <v>334</v>
      </c>
    </row>
    <row r="7" spans="3:8" x14ac:dyDescent="0.25">
      <c r="C7" s="8"/>
      <c r="D7" s="2" t="s">
        <v>1747</v>
      </c>
      <c r="E7" s="2" t="s">
        <v>857</v>
      </c>
      <c r="F7" s="4"/>
      <c r="G7" s="14"/>
      <c r="H7" s="9">
        <v>96</v>
      </c>
    </row>
    <row r="8" spans="3:8" x14ac:dyDescent="0.25">
      <c r="C8" s="8"/>
      <c r="D8" s="2" t="s">
        <v>1768</v>
      </c>
      <c r="E8" s="2" t="s">
        <v>1849</v>
      </c>
      <c r="F8" s="4">
        <v>100</v>
      </c>
      <c r="G8" s="14"/>
      <c r="H8" s="9">
        <v>140</v>
      </c>
    </row>
    <row r="9" spans="3:8" x14ac:dyDescent="0.25">
      <c r="C9" s="8"/>
      <c r="D9" s="2" t="s">
        <v>1769</v>
      </c>
      <c r="E9" s="2" t="s">
        <v>1850</v>
      </c>
      <c r="F9" s="4"/>
      <c r="G9" s="14"/>
      <c r="H9" s="9">
        <v>4.5</v>
      </c>
    </row>
    <row r="10" spans="3:8" x14ac:dyDescent="0.25">
      <c r="C10" s="8"/>
      <c r="D10" s="2" t="s">
        <v>1770</v>
      </c>
      <c r="E10" s="2" t="s">
        <v>35</v>
      </c>
      <c r="F10" s="4"/>
      <c r="G10" s="14">
        <v>960</v>
      </c>
      <c r="H10" s="9"/>
    </row>
    <row r="11" spans="3:8" x14ac:dyDescent="0.25">
      <c r="C11" s="8"/>
      <c r="D11" s="2" t="s">
        <v>1771</v>
      </c>
      <c r="E11" s="2" t="s">
        <v>1803</v>
      </c>
      <c r="F11" s="4">
        <v>283.5</v>
      </c>
      <c r="G11" s="14"/>
      <c r="H11" s="9"/>
    </row>
    <row r="12" spans="3:8" x14ac:dyDescent="0.25">
      <c r="C12" s="8"/>
      <c r="D12" s="2" t="s">
        <v>1772</v>
      </c>
      <c r="E12" s="2" t="s">
        <v>440</v>
      </c>
      <c r="F12" s="4"/>
      <c r="G12" s="14"/>
      <c r="H12" s="9">
        <v>5.5</v>
      </c>
    </row>
    <row r="13" spans="3:8" x14ac:dyDescent="0.25">
      <c r="C13" s="8"/>
      <c r="D13" s="2" t="s">
        <v>1773</v>
      </c>
      <c r="E13" s="2" t="s">
        <v>723</v>
      </c>
      <c r="F13" s="4"/>
      <c r="G13" s="14"/>
      <c r="H13" s="9">
        <v>1920</v>
      </c>
    </row>
    <row r="14" spans="3:8" x14ac:dyDescent="0.25">
      <c r="C14" s="8"/>
      <c r="D14" s="2" t="s">
        <v>1774</v>
      </c>
      <c r="E14" s="2" t="s">
        <v>440</v>
      </c>
      <c r="F14" s="4"/>
      <c r="G14" s="14"/>
      <c r="H14" s="9">
        <v>11</v>
      </c>
    </row>
    <row r="15" spans="3:8" x14ac:dyDescent="0.25">
      <c r="C15" s="8"/>
      <c r="D15" s="2" t="s">
        <v>1775</v>
      </c>
      <c r="E15" s="2" t="s">
        <v>1564</v>
      </c>
      <c r="F15" s="4">
        <v>369.6</v>
      </c>
      <c r="G15" s="14"/>
      <c r="H15" s="9"/>
    </row>
    <row r="16" spans="3:8" x14ac:dyDescent="0.25">
      <c r="C16" s="8"/>
      <c r="D16" s="2" t="s">
        <v>1776</v>
      </c>
      <c r="E16" s="2" t="s">
        <v>678</v>
      </c>
      <c r="F16" s="4">
        <v>415</v>
      </c>
      <c r="G16" s="14"/>
      <c r="H16" s="9"/>
    </row>
    <row r="17" spans="3:8" x14ac:dyDescent="0.25">
      <c r="C17" s="8"/>
      <c r="D17" s="2" t="s">
        <v>1777</v>
      </c>
      <c r="E17" s="2" t="s">
        <v>440</v>
      </c>
      <c r="F17" s="4">
        <v>10</v>
      </c>
      <c r="G17" s="14"/>
      <c r="H17" s="9"/>
    </row>
    <row r="18" spans="3:8" x14ac:dyDescent="0.25">
      <c r="C18" s="8"/>
      <c r="D18" s="2" t="s">
        <v>1778</v>
      </c>
      <c r="E18" s="2" t="s">
        <v>440</v>
      </c>
      <c r="F18" s="4">
        <v>9</v>
      </c>
      <c r="G18" s="14"/>
      <c r="H18" s="9"/>
    </row>
    <row r="19" spans="3:8" x14ac:dyDescent="0.25">
      <c r="C19" s="8"/>
      <c r="D19" s="2" t="s">
        <v>1779</v>
      </c>
      <c r="E19" s="2" t="s">
        <v>440</v>
      </c>
      <c r="F19" s="4">
        <v>9.5</v>
      </c>
      <c r="G19" s="14"/>
      <c r="H19" s="9"/>
    </row>
    <row r="20" spans="3:8" x14ac:dyDescent="0.25">
      <c r="C20" s="8"/>
      <c r="D20" s="2" t="s">
        <v>1780</v>
      </c>
      <c r="E20" s="2" t="s">
        <v>217</v>
      </c>
      <c r="F20" s="4"/>
      <c r="G20" s="14">
        <v>25</v>
      </c>
      <c r="H20" s="9"/>
    </row>
    <row r="21" spans="3:8" x14ac:dyDescent="0.25">
      <c r="C21" s="8"/>
      <c r="D21" s="2" t="s">
        <v>1781</v>
      </c>
      <c r="E21" s="2" t="s">
        <v>440</v>
      </c>
      <c r="F21" s="4">
        <v>25</v>
      </c>
      <c r="G21" s="14"/>
      <c r="H21" s="9"/>
    </row>
    <row r="22" spans="3:8" x14ac:dyDescent="0.25">
      <c r="C22" s="8"/>
      <c r="D22" s="2" t="s">
        <v>1782</v>
      </c>
      <c r="E22" s="2" t="s">
        <v>1291</v>
      </c>
      <c r="F22" s="4"/>
      <c r="G22" s="14">
        <v>2654.8</v>
      </c>
      <c r="H22" s="9"/>
    </row>
    <row r="23" spans="3:8" x14ac:dyDescent="0.25">
      <c r="C23" s="8"/>
      <c r="D23" s="2" t="s">
        <v>1783</v>
      </c>
      <c r="E23" s="2" t="s">
        <v>1802</v>
      </c>
      <c r="F23" s="4"/>
      <c r="G23" s="14"/>
      <c r="H23" s="9">
        <v>822.5</v>
      </c>
    </row>
    <row r="24" spans="3:8" x14ac:dyDescent="0.25">
      <c r="C24" s="8"/>
      <c r="D24" s="2" t="s">
        <v>1784</v>
      </c>
      <c r="E24" s="2" t="s">
        <v>723</v>
      </c>
      <c r="F24" s="4"/>
      <c r="G24" s="14"/>
      <c r="H24" s="9">
        <v>320</v>
      </c>
    </row>
    <row r="25" spans="3:8" x14ac:dyDescent="0.25">
      <c r="C25" s="8"/>
      <c r="D25" s="2" t="s">
        <v>1785</v>
      </c>
      <c r="E25" s="2" t="s">
        <v>1801</v>
      </c>
      <c r="F25" s="4">
        <v>538</v>
      </c>
      <c r="G25" s="14"/>
      <c r="H25" s="9"/>
    </row>
    <row r="26" spans="3:8" x14ac:dyDescent="0.25">
      <c r="C26" s="8"/>
      <c r="D26" s="2" t="s">
        <v>1786</v>
      </c>
      <c r="E26" s="2" t="s">
        <v>440</v>
      </c>
      <c r="F26" s="4">
        <v>4</v>
      </c>
      <c r="G26" s="14"/>
      <c r="H26" s="9"/>
    </row>
    <row r="27" spans="3:8" x14ac:dyDescent="0.25">
      <c r="C27" s="8"/>
      <c r="D27" s="2" t="s">
        <v>1787</v>
      </c>
      <c r="E27" s="2" t="s">
        <v>440</v>
      </c>
      <c r="F27" s="4"/>
      <c r="G27" s="14"/>
      <c r="H27" s="9">
        <v>13</v>
      </c>
    </row>
    <row r="28" spans="3:8" x14ac:dyDescent="0.25">
      <c r="C28" s="8"/>
      <c r="D28" s="2" t="s">
        <v>1788</v>
      </c>
      <c r="E28" s="2" t="s">
        <v>1800</v>
      </c>
      <c r="F28" s="4">
        <v>1940</v>
      </c>
      <c r="G28" s="14"/>
      <c r="H28" s="9"/>
    </row>
    <row r="29" spans="3:8" x14ac:dyDescent="0.25">
      <c r="C29" s="8"/>
      <c r="D29" s="2" t="s">
        <v>1789</v>
      </c>
      <c r="E29" s="2" t="s">
        <v>103</v>
      </c>
      <c r="F29" s="4"/>
      <c r="G29" s="14">
        <v>47</v>
      </c>
      <c r="H29" s="9"/>
    </row>
    <row r="30" spans="3:8" x14ac:dyDescent="0.25">
      <c r="C30" s="8"/>
      <c r="D30" s="2" t="s">
        <v>1790</v>
      </c>
      <c r="E30" s="2" t="s">
        <v>440</v>
      </c>
      <c r="F30" s="4">
        <v>18</v>
      </c>
      <c r="G30" s="14"/>
      <c r="H30" s="9"/>
    </row>
    <row r="31" spans="3:8" x14ac:dyDescent="0.25">
      <c r="C31" s="8"/>
      <c r="D31" s="2" t="s">
        <v>1791</v>
      </c>
      <c r="E31" s="2" t="s">
        <v>1799</v>
      </c>
      <c r="F31" s="4">
        <v>500</v>
      </c>
      <c r="G31" s="14">
        <v>17.100000000000001</v>
      </c>
      <c r="H31" s="9"/>
    </row>
    <row r="32" spans="3:8" x14ac:dyDescent="0.25">
      <c r="C32" s="8"/>
      <c r="D32" s="2" t="s">
        <v>1792</v>
      </c>
      <c r="E32" s="2" t="s">
        <v>440</v>
      </c>
      <c r="F32" s="4">
        <v>5.5</v>
      </c>
      <c r="G32" s="14"/>
      <c r="H32" s="9"/>
    </row>
    <row r="33" spans="3:8" x14ac:dyDescent="0.25">
      <c r="C33" s="8"/>
      <c r="D33" s="2" t="s">
        <v>1793</v>
      </c>
      <c r="E33" s="2" t="s">
        <v>440</v>
      </c>
      <c r="F33" s="4"/>
      <c r="G33" s="14"/>
      <c r="H33" s="9">
        <v>12</v>
      </c>
    </row>
    <row r="34" spans="3:8" x14ac:dyDescent="0.25">
      <c r="C34" s="8"/>
      <c r="D34" s="2" t="s">
        <v>1794</v>
      </c>
      <c r="E34" s="2" t="s">
        <v>440</v>
      </c>
      <c r="F34" s="4"/>
      <c r="G34" s="14"/>
      <c r="H34" s="9">
        <v>5</v>
      </c>
    </row>
    <row r="35" spans="3:8" x14ac:dyDescent="0.25">
      <c r="C35" s="8"/>
      <c r="D35" s="2" t="s">
        <v>1795</v>
      </c>
      <c r="E35" s="2" t="s">
        <v>440</v>
      </c>
      <c r="F35" s="4">
        <v>100</v>
      </c>
      <c r="G35" s="14"/>
      <c r="H35" s="9"/>
    </row>
    <row r="36" spans="3:8" x14ac:dyDescent="0.25">
      <c r="C36" s="8"/>
      <c r="D36" s="2" t="s">
        <v>1796</v>
      </c>
      <c r="E36" s="2" t="s">
        <v>440</v>
      </c>
      <c r="F36" s="4">
        <v>2</v>
      </c>
      <c r="G36" s="14"/>
      <c r="H36" s="9"/>
    </row>
    <row r="37" spans="3:8" x14ac:dyDescent="0.25">
      <c r="C37" s="8"/>
      <c r="D37" s="2" t="s">
        <v>1797</v>
      </c>
      <c r="E37" s="2" t="s">
        <v>440</v>
      </c>
      <c r="F37" s="4">
        <v>6</v>
      </c>
      <c r="G37" s="14"/>
      <c r="H37" s="9"/>
    </row>
    <row r="38" spans="3:8" x14ac:dyDescent="0.25">
      <c r="C38" s="8"/>
      <c r="D38" s="2" t="s">
        <v>1798</v>
      </c>
      <c r="E38" s="2" t="s">
        <v>440</v>
      </c>
      <c r="F38" s="4">
        <v>4.5</v>
      </c>
      <c r="G38" s="14"/>
      <c r="H38" s="9"/>
    </row>
    <row r="39" spans="3:8" x14ac:dyDescent="0.25">
      <c r="C39" s="8"/>
      <c r="D39" s="2" t="s">
        <v>1851</v>
      </c>
      <c r="E39" s="2" t="s">
        <v>440</v>
      </c>
      <c r="F39" s="4">
        <v>24</v>
      </c>
      <c r="G39" s="14"/>
      <c r="H39" s="9"/>
    </row>
    <row r="40" spans="3:8" x14ac:dyDescent="0.25">
      <c r="C40" s="8"/>
      <c r="D40" s="2" t="s">
        <v>1852</v>
      </c>
      <c r="E40" s="2" t="s">
        <v>1098</v>
      </c>
      <c r="F40" s="4"/>
      <c r="G40" s="14">
        <v>375</v>
      </c>
      <c r="H40" s="9"/>
    </row>
    <row r="41" spans="3:8" x14ac:dyDescent="0.25">
      <c r="C41" s="8"/>
      <c r="D41" s="2" t="s">
        <v>1853</v>
      </c>
      <c r="E41" s="2" t="s">
        <v>440</v>
      </c>
      <c r="F41" s="4">
        <v>0.5</v>
      </c>
      <c r="G41" s="14"/>
      <c r="H41" s="9"/>
    </row>
    <row r="42" spans="3:8" x14ac:dyDescent="0.25">
      <c r="C42" s="8"/>
      <c r="D42" s="2" t="s">
        <v>1860</v>
      </c>
      <c r="E42" s="2" t="s">
        <v>440</v>
      </c>
      <c r="F42" s="4"/>
      <c r="G42" s="14"/>
      <c r="H42" s="9">
        <v>4</v>
      </c>
    </row>
    <row r="43" spans="3:8" x14ac:dyDescent="0.25">
      <c r="C43" s="8"/>
      <c r="D43" s="2" t="s">
        <v>1871</v>
      </c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 t="s">
        <v>1804</v>
      </c>
      <c r="E46" s="2" t="s">
        <v>164</v>
      </c>
      <c r="F46" s="4">
        <v>2975</v>
      </c>
      <c r="G46" s="14"/>
      <c r="H46" s="9"/>
    </row>
    <row r="47" spans="3:8" x14ac:dyDescent="0.25">
      <c r="C47" s="8"/>
      <c r="D47" s="2" t="s">
        <v>1805</v>
      </c>
      <c r="E47" s="2" t="s">
        <v>48</v>
      </c>
      <c r="F47" s="4"/>
      <c r="G47" s="14"/>
      <c r="H47" s="9">
        <v>3</v>
      </c>
    </row>
    <row r="48" spans="3:8" x14ac:dyDescent="0.25">
      <c r="C48" s="8"/>
      <c r="D48" s="2" t="s">
        <v>1806</v>
      </c>
      <c r="E48" s="2" t="s">
        <v>48</v>
      </c>
      <c r="F48" s="4"/>
      <c r="G48" s="14"/>
      <c r="H48" s="9">
        <v>32</v>
      </c>
    </row>
    <row r="49" spans="3:8" x14ac:dyDescent="0.25">
      <c r="C49" s="8"/>
      <c r="D49" s="2" t="s">
        <v>1807</v>
      </c>
      <c r="E49" s="2" t="s">
        <v>48</v>
      </c>
      <c r="F49" s="4">
        <v>6</v>
      </c>
      <c r="G49" s="14"/>
      <c r="H49" s="9"/>
    </row>
    <row r="50" spans="3:8" x14ac:dyDescent="0.25">
      <c r="C50" s="8"/>
      <c r="D50" s="2" t="s">
        <v>1808</v>
      </c>
      <c r="E50" s="2" t="s">
        <v>1847</v>
      </c>
      <c r="F50" s="4">
        <v>550</v>
      </c>
      <c r="G50" s="14"/>
      <c r="H50" s="9">
        <v>136</v>
      </c>
    </row>
    <row r="51" spans="3:8" x14ac:dyDescent="0.25">
      <c r="C51" s="8"/>
      <c r="D51" s="2" t="s">
        <v>1809</v>
      </c>
      <c r="E51" s="2" t="s">
        <v>1847</v>
      </c>
      <c r="F51" s="4"/>
      <c r="G51" s="14"/>
      <c r="H51" s="9">
        <v>546</v>
      </c>
    </row>
    <row r="52" spans="3:8" x14ac:dyDescent="0.25">
      <c r="C52" s="8"/>
      <c r="D52" s="2" t="s">
        <v>1810</v>
      </c>
      <c r="E52" s="2" t="s">
        <v>48</v>
      </c>
      <c r="F52" s="4">
        <v>18.5</v>
      </c>
      <c r="G52" s="14"/>
      <c r="H52" s="9"/>
    </row>
    <row r="53" spans="3:8" x14ac:dyDescent="0.25">
      <c r="C53" s="8"/>
      <c r="D53" s="2" t="s">
        <v>1811</v>
      </c>
      <c r="E53" s="2" t="s">
        <v>920</v>
      </c>
      <c r="F53" s="4"/>
      <c r="G53" s="14"/>
      <c r="H53" s="9">
        <v>907.5</v>
      </c>
    </row>
    <row r="54" spans="3:8" x14ac:dyDescent="0.25">
      <c r="C54" s="8"/>
      <c r="D54" s="2" t="s">
        <v>1812</v>
      </c>
      <c r="E54" s="2" t="s">
        <v>58</v>
      </c>
      <c r="F54" s="4"/>
      <c r="G54" s="14"/>
      <c r="H54" s="9">
        <v>40</v>
      </c>
    </row>
    <row r="55" spans="3:8" x14ac:dyDescent="0.25">
      <c r="C55" s="8"/>
      <c r="D55" s="2" t="s">
        <v>1813</v>
      </c>
      <c r="E55" s="2" t="s">
        <v>48</v>
      </c>
      <c r="F55" s="4">
        <v>10</v>
      </c>
      <c r="G55" s="14"/>
      <c r="H55" s="9"/>
    </row>
    <row r="56" spans="3:8" x14ac:dyDescent="0.25">
      <c r="C56" s="8"/>
      <c r="D56" s="2" t="s">
        <v>1814</v>
      </c>
      <c r="E56" s="2" t="s">
        <v>48</v>
      </c>
      <c r="F56" s="4">
        <v>53.3</v>
      </c>
      <c r="G56" s="14"/>
      <c r="H56" s="9">
        <v>250</v>
      </c>
    </row>
    <row r="57" spans="3:8" x14ac:dyDescent="0.25">
      <c r="C57" s="8"/>
      <c r="D57" s="2" t="s">
        <v>1815</v>
      </c>
      <c r="E57" s="2" t="s">
        <v>1816</v>
      </c>
      <c r="F57" s="4">
        <v>182</v>
      </c>
      <c r="G57" s="14"/>
      <c r="H57" s="9"/>
    </row>
    <row r="58" spans="3:8" x14ac:dyDescent="0.25">
      <c r="C58" s="8"/>
      <c r="D58" s="2" t="s">
        <v>1817</v>
      </c>
      <c r="E58" s="2" t="s">
        <v>779</v>
      </c>
      <c r="F58" s="4"/>
      <c r="G58" s="14">
        <v>972</v>
      </c>
      <c r="H58" s="9"/>
    </row>
    <row r="59" spans="3:8" x14ac:dyDescent="0.25">
      <c r="C59" s="8"/>
      <c r="D59" s="2" t="s">
        <v>1818</v>
      </c>
      <c r="E59" s="2" t="s">
        <v>1846</v>
      </c>
      <c r="F59" s="4"/>
      <c r="G59" s="14"/>
      <c r="H59" s="9">
        <v>21.5</v>
      </c>
    </row>
    <row r="60" spans="3:8" x14ac:dyDescent="0.25">
      <c r="C60" s="8"/>
      <c r="D60" s="2" t="s">
        <v>1819</v>
      </c>
      <c r="E60" s="2" t="s">
        <v>1720</v>
      </c>
      <c r="F60" s="4"/>
      <c r="G60" s="14"/>
      <c r="H60" s="9">
        <v>35</v>
      </c>
    </row>
    <row r="61" spans="3:8" x14ac:dyDescent="0.25">
      <c r="C61" s="8"/>
      <c r="D61" s="2" t="s">
        <v>1820</v>
      </c>
      <c r="E61" s="2" t="s">
        <v>48</v>
      </c>
      <c r="F61" s="4">
        <v>25.5</v>
      </c>
      <c r="G61" s="14"/>
      <c r="H61" s="9"/>
    </row>
    <row r="62" spans="3:8" x14ac:dyDescent="0.25">
      <c r="C62" s="8"/>
      <c r="D62" s="2" t="s">
        <v>1821</v>
      </c>
      <c r="E62" s="2" t="s">
        <v>48</v>
      </c>
      <c r="F62" s="4">
        <v>3</v>
      </c>
      <c r="G62" s="14"/>
      <c r="H62" s="9"/>
    </row>
    <row r="63" spans="3:8" x14ac:dyDescent="0.25">
      <c r="C63" s="8"/>
      <c r="D63" s="2" t="s">
        <v>1822</v>
      </c>
      <c r="E63" s="2" t="s">
        <v>48</v>
      </c>
      <c r="F63" s="4"/>
      <c r="G63" s="14"/>
      <c r="H63" s="9">
        <v>5.5</v>
      </c>
    </row>
    <row r="64" spans="3:8" x14ac:dyDescent="0.25">
      <c r="C64" s="8"/>
      <c r="D64" s="2" t="s">
        <v>1823</v>
      </c>
      <c r="E64" s="2" t="s">
        <v>779</v>
      </c>
      <c r="F64" s="4"/>
      <c r="G64" s="14">
        <v>670</v>
      </c>
      <c r="H64" s="9"/>
    </row>
    <row r="65" spans="3:8" x14ac:dyDescent="0.25">
      <c r="C65" s="8"/>
      <c r="D65" s="2" t="s">
        <v>1824</v>
      </c>
      <c r="E65" s="2" t="s">
        <v>1845</v>
      </c>
      <c r="F65" s="4">
        <v>500</v>
      </c>
      <c r="G65" s="14"/>
      <c r="H65" s="9">
        <v>68</v>
      </c>
    </row>
    <row r="66" spans="3:8" x14ac:dyDescent="0.25">
      <c r="C66" s="8"/>
      <c r="D66" s="2" t="s">
        <v>1825</v>
      </c>
      <c r="E66" s="2" t="s">
        <v>48</v>
      </c>
      <c r="F66" s="4">
        <v>25</v>
      </c>
      <c r="G66" s="14"/>
      <c r="H66" s="9"/>
    </row>
    <row r="67" spans="3:8" x14ac:dyDescent="0.25">
      <c r="C67" s="8"/>
      <c r="D67" s="2" t="s">
        <v>1826</v>
      </c>
      <c r="E67" s="2" t="s">
        <v>284</v>
      </c>
      <c r="F67" s="4"/>
      <c r="G67" s="14"/>
      <c r="H67" s="9">
        <v>470</v>
      </c>
    </row>
    <row r="68" spans="3:8" x14ac:dyDescent="0.25">
      <c r="C68" s="8"/>
      <c r="D68" s="2" t="s">
        <v>1827</v>
      </c>
      <c r="E68" s="2" t="s">
        <v>48</v>
      </c>
      <c r="F68" s="4">
        <v>3</v>
      </c>
      <c r="G68" s="14"/>
      <c r="H68" s="9"/>
    </row>
    <row r="69" spans="3:8" x14ac:dyDescent="0.25">
      <c r="C69" s="8"/>
      <c r="D69" s="2" t="s">
        <v>1828</v>
      </c>
      <c r="E69" s="2" t="s">
        <v>48</v>
      </c>
      <c r="F69" s="4"/>
      <c r="G69" s="14"/>
      <c r="H69" s="9">
        <v>34</v>
      </c>
    </row>
    <row r="70" spans="3:8" x14ac:dyDescent="0.25">
      <c r="C70" s="8"/>
      <c r="D70" s="2" t="s">
        <v>1829</v>
      </c>
      <c r="E70" s="2" t="s">
        <v>48</v>
      </c>
      <c r="F70" s="4">
        <v>4.5</v>
      </c>
      <c r="G70" s="14"/>
      <c r="H70" s="9"/>
    </row>
    <row r="71" spans="3:8" x14ac:dyDescent="0.25">
      <c r="C71" s="8"/>
      <c r="D71" s="2" t="s">
        <v>1830</v>
      </c>
      <c r="E71" s="2" t="s">
        <v>48</v>
      </c>
      <c r="F71" s="4">
        <v>4.5</v>
      </c>
      <c r="G71" s="14"/>
      <c r="H71" s="9"/>
    </row>
    <row r="72" spans="3:8" x14ac:dyDescent="0.25">
      <c r="C72" s="8"/>
      <c r="D72" s="2" t="s">
        <v>1831</v>
      </c>
      <c r="E72" s="2" t="s">
        <v>48</v>
      </c>
      <c r="F72" s="4"/>
      <c r="G72" s="14"/>
      <c r="H72" s="9">
        <v>10</v>
      </c>
    </row>
    <row r="73" spans="3:8" x14ac:dyDescent="0.25">
      <c r="C73" s="8"/>
      <c r="D73" s="2" t="s">
        <v>1832</v>
      </c>
      <c r="E73" s="2" t="s">
        <v>1844</v>
      </c>
      <c r="F73" s="4">
        <v>210</v>
      </c>
      <c r="G73" s="14"/>
      <c r="H73" s="9">
        <v>410</v>
      </c>
    </row>
    <row r="74" spans="3:8" x14ac:dyDescent="0.25">
      <c r="C74" s="8"/>
      <c r="D74" s="2" t="s">
        <v>1833</v>
      </c>
      <c r="E74" s="2" t="s">
        <v>48</v>
      </c>
      <c r="F74" s="4">
        <v>4</v>
      </c>
      <c r="G74" s="14"/>
      <c r="H74" s="9"/>
    </row>
    <row r="75" spans="3:8" x14ac:dyDescent="0.25">
      <c r="C75" s="8"/>
      <c r="D75" s="2" t="s">
        <v>1834</v>
      </c>
      <c r="E75" s="2" t="s">
        <v>48</v>
      </c>
      <c r="F75" s="4">
        <v>29.5</v>
      </c>
      <c r="G75" s="14"/>
      <c r="H75" s="9"/>
    </row>
    <row r="76" spans="3:8" x14ac:dyDescent="0.25">
      <c r="C76" s="8"/>
      <c r="D76" s="2" t="s">
        <v>1835</v>
      </c>
      <c r="E76" s="2" t="s">
        <v>164</v>
      </c>
      <c r="F76" s="4"/>
      <c r="G76" s="14">
        <v>3728</v>
      </c>
      <c r="H76" s="9"/>
    </row>
    <row r="77" spans="3:8" x14ac:dyDescent="0.25">
      <c r="C77" s="8"/>
      <c r="D77" s="2" t="s">
        <v>1836</v>
      </c>
      <c r="E77" s="2" t="s">
        <v>48</v>
      </c>
      <c r="F77" s="4"/>
      <c r="G77" s="14"/>
      <c r="H77" s="9">
        <v>5</v>
      </c>
    </row>
    <row r="78" spans="3:8" x14ac:dyDescent="0.25">
      <c r="C78" s="8"/>
      <c r="D78" s="2" t="s">
        <v>1837</v>
      </c>
      <c r="E78" s="2" t="s">
        <v>1843</v>
      </c>
      <c r="F78" s="4">
        <v>281.39999999999998</v>
      </c>
      <c r="G78" s="14"/>
      <c r="H78" s="9"/>
    </row>
    <row r="79" spans="3:8" x14ac:dyDescent="0.25">
      <c r="C79" s="8"/>
      <c r="D79" s="2" t="s">
        <v>1838</v>
      </c>
      <c r="E79" s="2" t="s">
        <v>48</v>
      </c>
      <c r="F79" s="4">
        <v>12.5</v>
      </c>
      <c r="G79" s="14"/>
      <c r="H79" s="9"/>
    </row>
    <row r="80" spans="3:8" x14ac:dyDescent="0.25">
      <c r="C80" s="8"/>
      <c r="D80" s="2" t="s">
        <v>1839</v>
      </c>
      <c r="E80" s="2" t="s">
        <v>730</v>
      </c>
      <c r="F80" s="4"/>
      <c r="G80" s="14">
        <v>48.5</v>
      </c>
      <c r="H80" s="9"/>
    </row>
    <row r="81" spans="3:8" x14ac:dyDescent="0.25">
      <c r="C81" s="8"/>
      <c r="D81" s="2" t="s">
        <v>1840</v>
      </c>
      <c r="E81" s="2" t="s">
        <v>48</v>
      </c>
      <c r="F81" s="4">
        <v>3</v>
      </c>
      <c r="G81" s="14"/>
      <c r="H81" s="9"/>
    </row>
    <row r="82" spans="3:8" x14ac:dyDescent="0.25">
      <c r="C82" s="8"/>
      <c r="D82" s="2" t="s">
        <v>1841</v>
      </c>
      <c r="E82" s="2" t="s">
        <v>48</v>
      </c>
      <c r="F82" s="4">
        <v>6</v>
      </c>
      <c r="G82" s="14"/>
      <c r="H82" s="9"/>
    </row>
    <row r="83" spans="3:8" x14ac:dyDescent="0.25">
      <c r="C83" s="8"/>
      <c r="D83" s="2" t="s">
        <v>1842</v>
      </c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29"/>
      <c r="D87" s="30"/>
      <c r="E87" s="30" t="s">
        <v>60</v>
      </c>
      <c r="F87" s="4"/>
      <c r="G87" s="14"/>
      <c r="H87" s="9"/>
    </row>
    <row r="88" spans="3:8" x14ac:dyDescent="0.25">
      <c r="C88" s="8"/>
      <c r="D88" s="2" t="s">
        <v>1763</v>
      </c>
      <c r="E88" s="2" t="s">
        <v>955</v>
      </c>
      <c r="F88" s="4"/>
      <c r="G88" s="14"/>
      <c r="H88" s="9">
        <v>120</v>
      </c>
    </row>
    <row r="89" spans="3:8" x14ac:dyDescent="0.25">
      <c r="C89" s="8"/>
      <c r="D89" s="2" t="s">
        <v>1764</v>
      </c>
      <c r="E89" s="2" t="s">
        <v>955</v>
      </c>
      <c r="F89" s="4"/>
      <c r="G89" s="14"/>
      <c r="H89" s="9">
        <v>3400</v>
      </c>
    </row>
    <row r="90" spans="3:8" x14ac:dyDescent="0.25">
      <c r="C90" s="8"/>
      <c r="D90" s="2" t="s">
        <v>1765</v>
      </c>
      <c r="E90" s="2" t="s">
        <v>955</v>
      </c>
      <c r="F90" s="4"/>
      <c r="G90" s="14"/>
      <c r="H90" s="9">
        <v>413</v>
      </c>
    </row>
    <row r="91" spans="3:8" x14ac:dyDescent="0.25">
      <c r="C91" s="8"/>
      <c r="D91" s="2" t="s">
        <v>1766</v>
      </c>
      <c r="E91" s="2" t="s">
        <v>1767</v>
      </c>
      <c r="F91" s="4"/>
      <c r="G91" s="14"/>
      <c r="H91" s="9">
        <v>30</v>
      </c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16"/>
      <c r="D97" s="17"/>
      <c r="E97" s="17" t="s">
        <v>39</v>
      </c>
      <c r="F97" s="4"/>
      <c r="G97" s="14"/>
      <c r="H97" s="9"/>
    </row>
    <row r="98" spans="3:8" x14ac:dyDescent="0.25">
      <c r="C98" s="8"/>
      <c r="D98" s="45"/>
      <c r="E98" s="2" t="s">
        <v>1848</v>
      </c>
      <c r="F98" s="4">
        <v>5300</v>
      </c>
      <c r="G98" s="14"/>
      <c r="H98" s="9"/>
    </row>
    <row r="99" spans="3:8" x14ac:dyDescent="0.25">
      <c r="C99" s="8"/>
      <c r="D99" s="45"/>
      <c r="E99" s="2" t="s">
        <v>1855</v>
      </c>
      <c r="F99" s="4">
        <f>2468+532</f>
        <v>3000</v>
      </c>
      <c r="G99" s="14"/>
      <c r="H99" s="9"/>
    </row>
    <row r="100" spans="3:8" x14ac:dyDescent="0.25">
      <c r="C100" s="8"/>
      <c r="D100" s="2" t="s">
        <v>733</v>
      </c>
      <c r="E100" s="2" t="s">
        <v>766</v>
      </c>
      <c r="F100" s="4">
        <f>26+98.3</f>
        <v>124.3</v>
      </c>
      <c r="G100" s="14"/>
      <c r="H100" s="9"/>
    </row>
    <row r="101" spans="3:8" x14ac:dyDescent="0.25">
      <c r="C101" s="8"/>
      <c r="D101" s="2"/>
      <c r="E101" s="2" t="s">
        <v>107</v>
      </c>
      <c r="F101" s="4">
        <f>4203+485</f>
        <v>4688</v>
      </c>
      <c r="G101" s="14"/>
      <c r="H101" s="9"/>
    </row>
    <row r="102" spans="3:8" x14ac:dyDescent="0.25">
      <c r="C102" s="8"/>
      <c r="D102" s="2"/>
      <c r="E102" s="2" t="s">
        <v>1856</v>
      </c>
      <c r="F102" s="4">
        <v>10</v>
      </c>
      <c r="G102" s="14"/>
      <c r="H102" s="9"/>
    </row>
    <row r="103" spans="3:8" x14ac:dyDescent="0.25">
      <c r="C103" s="8"/>
      <c r="D103" s="2"/>
      <c r="E103" s="2" t="s">
        <v>1867</v>
      </c>
      <c r="F103" s="4">
        <v>42</v>
      </c>
      <c r="G103" s="14"/>
      <c r="H103" s="9"/>
    </row>
    <row r="104" spans="3:8" x14ac:dyDescent="0.25">
      <c r="C104" s="8"/>
      <c r="D104" s="2"/>
      <c r="E104" s="2" t="s">
        <v>1098</v>
      </c>
      <c r="F104" s="4">
        <v>99</v>
      </c>
      <c r="G104" s="14"/>
      <c r="H104" s="9"/>
    </row>
    <row r="105" spans="3:8" x14ac:dyDescent="0.25">
      <c r="C105" s="8"/>
      <c r="D105" s="2"/>
      <c r="E105" s="2" t="s">
        <v>402</v>
      </c>
      <c r="F105" s="4">
        <v>6.8</v>
      </c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x14ac:dyDescent="0.25">
      <c r="C107" s="19"/>
      <c r="D107" s="20"/>
      <c r="E107" s="20" t="s">
        <v>42</v>
      </c>
      <c r="F107" s="4"/>
      <c r="G107" s="14"/>
      <c r="H107" s="9"/>
    </row>
    <row r="108" spans="3:8" x14ac:dyDescent="0.25">
      <c r="C108" s="34" t="s">
        <v>160</v>
      </c>
      <c r="D108" s="42"/>
      <c r="E108" s="2" t="s">
        <v>1760</v>
      </c>
      <c r="F108" s="14">
        <v>-1190</v>
      </c>
      <c r="G108" s="14"/>
      <c r="H108" s="9"/>
    </row>
    <row r="109" spans="3:8" x14ac:dyDescent="0.25">
      <c r="C109" s="34" t="s">
        <v>160</v>
      </c>
      <c r="D109" s="2"/>
      <c r="E109" s="2" t="s">
        <v>1761</v>
      </c>
      <c r="F109" s="14">
        <v>-595</v>
      </c>
      <c r="G109" s="14"/>
      <c r="H109" s="9"/>
    </row>
    <row r="110" spans="3:8" x14ac:dyDescent="0.25">
      <c r="C110" s="34"/>
      <c r="D110" s="42"/>
      <c r="E110" s="2" t="s">
        <v>1762</v>
      </c>
      <c r="F110" s="14">
        <v>-1760</v>
      </c>
      <c r="G110" s="14"/>
      <c r="H110" s="9"/>
    </row>
    <row r="111" spans="3:8" x14ac:dyDescent="0.25">
      <c r="C111" s="34"/>
      <c r="D111" s="42"/>
      <c r="E111" s="64" t="s">
        <v>1854</v>
      </c>
      <c r="F111" s="54">
        <v>-1600</v>
      </c>
      <c r="G111" s="14"/>
      <c r="H111" s="9"/>
    </row>
    <row r="112" spans="3:8" x14ac:dyDescent="0.25">
      <c r="C112" s="34"/>
      <c r="D112" s="42"/>
      <c r="E112" s="2" t="s">
        <v>1857</v>
      </c>
      <c r="F112" s="14">
        <v>-24</v>
      </c>
      <c r="G112" s="14"/>
      <c r="H112" s="9"/>
    </row>
    <row r="113" spans="3:8" x14ac:dyDescent="0.25">
      <c r="C113" s="34"/>
      <c r="D113" s="42"/>
      <c r="E113" s="2" t="s">
        <v>1858</v>
      </c>
      <c r="F113" s="14">
        <v>-20000</v>
      </c>
      <c r="G113" s="14"/>
      <c r="H113" s="9"/>
    </row>
    <row r="114" spans="3:8" x14ac:dyDescent="0.25">
      <c r="C114" s="34"/>
      <c r="D114" s="42"/>
      <c r="E114" s="2" t="s">
        <v>1859</v>
      </c>
      <c r="F114" s="14">
        <v>-72</v>
      </c>
      <c r="G114" s="14"/>
      <c r="H114" s="9"/>
    </row>
    <row r="115" spans="3:8" x14ac:dyDescent="0.25">
      <c r="C115" s="34"/>
      <c r="D115" s="42"/>
      <c r="E115" s="2" t="s">
        <v>1861</v>
      </c>
      <c r="F115" s="14">
        <v>-40</v>
      </c>
      <c r="G115" s="14"/>
      <c r="H115" s="9"/>
    </row>
    <row r="116" spans="3:8" x14ac:dyDescent="0.25">
      <c r="C116" s="34"/>
      <c r="D116" s="42"/>
      <c r="E116" s="2" t="s">
        <v>1632</v>
      </c>
      <c r="F116" s="14">
        <v>-20</v>
      </c>
      <c r="G116" s="14"/>
      <c r="H116" s="9"/>
    </row>
    <row r="117" spans="3:8" x14ac:dyDescent="0.25">
      <c r="C117" s="34"/>
      <c r="D117" s="42"/>
      <c r="E117" s="2" t="s">
        <v>1862</v>
      </c>
      <c r="F117" s="14">
        <v>-30</v>
      </c>
      <c r="G117" s="14"/>
      <c r="H117" s="9"/>
    </row>
    <row r="118" spans="3:8" x14ac:dyDescent="0.25">
      <c r="C118" s="8"/>
      <c r="D118" s="2"/>
      <c r="E118" s="2" t="s">
        <v>1863</v>
      </c>
      <c r="F118" s="14">
        <v>-10710</v>
      </c>
      <c r="G118" s="14"/>
      <c r="H118" s="9"/>
    </row>
    <row r="119" spans="3:8" x14ac:dyDescent="0.25">
      <c r="C119" s="8"/>
      <c r="D119" s="2"/>
      <c r="E119" s="2" t="s">
        <v>1864</v>
      </c>
      <c r="F119" s="14">
        <v>-15</v>
      </c>
      <c r="G119" s="14"/>
      <c r="H119" s="9"/>
    </row>
    <row r="120" spans="3:8" x14ac:dyDescent="0.25">
      <c r="C120" s="8"/>
      <c r="D120" s="2"/>
      <c r="E120" s="2" t="s">
        <v>1865</v>
      </c>
      <c r="F120" s="14">
        <v>-80</v>
      </c>
      <c r="G120" s="14"/>
      <c r="H120" s="9"/>
    </row>
    <row r="121" spans="3:8" x14ac:dyDescent="0.25">
      <c r="C121" s="8"/>
      <c r="D121" s="2"/>
      <c r="E121" s="2" t="s">
        <v>1866</v>
      </c>
      <c r="F121" s="14">
        <v>-578</v>
      </c>
      <c r="G121" s="14"/>
      <c r="H121" s="9"/>
    </row>
    <row r="122" spans="3:8" x14ac:dyDescent="0.25">
      <c r="C122" s="8"/>
      <c r="D122" s="2"/>
      <c r="E122" s="2" t="s">
        <v>1868</v>
      </c>
      <c r="F122" s="14">
        <v>-7706.59</v>
      </c>
      <c r="G122" s="14"/>
      <c r="H122" s="9"/>
    </row>
    <row r="123" spans="3:8" x14ac:dyDescent="0.25">
      <c r="C123" s="8"/>
      <c r="D123" s="2"/>
      <c r="E123" s="2"/>
      <c r="F123" s="14"/>
      <c r="G123" s="14"/>
      <c r="H123" s="9"/>
    </row>
    <row r="124" spans="3:8" x14ac:dyDescent="0.25">
      <c r="C124" s="8"/>
      <c r="D124" s="2"/>
      <c r="E124" s="2"/>
      <c r="F124" s="14"/>
      <c r="G124" s="14"/>
      <c r="H124" s="9"/>
    </row>
    <row r="125" spans="3:8" x14ac:dyDescent="0.25">
      <c r="C125" s="8"/>
      <c r="D125" s="2"/>
      <c r="E125" s="2"/>
      <c r="F125" s="4"/>
      <c r="G125" s="14"/>
      <c r="H125" s="9"/>
    </row>
    <row r="126" spans="3:8" ht="15.75" thickBot="1" x14ac:dyDescent="0.3">
      <c r="C126" s="10"/>
      <c r="D126" s="11"/>
      <c r="E126" s="11" t="s">
        <v>44</v>
      </c>
      <c r="F126" s="12">
        <f>SUM(F6:F125)</f>
        <v>-21879.69</v>
      </c>
      <c r="G126" s="15">
        <f>SUM(G6:G125)</f>
        <v>9497.4</v>
      </c>
      <c r="H126" s="13">
        <f>SUM(H6:H125)</f>
        <v>10624</v>
      </c>
    </row>
    <row r="129" spans="5:10" ht="18.75" x14ac:dyDescent="0.3">
      <c r="E129" s="38" t="s">
        <v>49</v>
      </c>
      <c r="F129" s="39">
        <f>+H4+F126</f>
        <v>5296.9500000000007</v>
      </c>
    </row>
    <row r="132" spans="5:10" x14ac:dyDescent="0.25">
      <c r="J132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875A-0369-40F8-B57C-9BD24120089F}">
  <sheetPr codeName="Hoja18"/>
  <dimension ref="C2:J135"/>
  <sheetViews>
    <sheetView topLeftCell="A109" workbookViewId="0">
      <selection activeCell="E115" sqref="E115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1870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5296.95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1871</v>
      </c>
      <c r="E6" s="2" t="s">
        <v>1876</v>
      </c>
      <c r="F6" s="4"/>
      <c r="G6" s="14">
        <v>1338.5</v>
      </c>
      <c r="H6" s="9"/>
    </row>
    <row r="7" spans="3:8" x14ac:dyDescent="0.25">
      <c r="C7" s="8"/>
      <c r="D7" s="2" t="s">
        <v>1878</v>
      </c>
      <c r="E7" s="2" t="s">
        <v>1877</v>
      </c>
      <c r="F7" s="4">
        <v>1020</v>
      </c>
      <c r="G7" s="14"/>
      <c r="H7" s="9"/>
    </row>
    <row r="8" spans="3:8" x14ac:dyDescent="0.25">
      <c r="C8" s="8"/>
      <c r="D8" s="2" t="s">
        <v>1879</v>
      </c>
      <c r="E8" s="2" t="s">
        <v>1913</v>
      </c>
      <c r="F8" s="4">
        <v>177</v>
      </c>
      <c r="G8" s="14"/>
      <c r="H8" s="9"/>
    </row>
    <row r="9" spans="3:8" x14ac:dyDescent="0.25">
      <c r="C9" s="8"/>
      <c r="D9" s="2" t="s">
        <v>1880</v>
      </c>
      <c r="E9" s="2" t="s">
        <v>1911</v>
      </c>
      <c r="F9" s="4">
        <v>8</v>
      </c>
      <c r="G9" s="14"/>
      <c r="H9" s="9"/>
    </row>
    <row r="10" spans="3:8" x14ac:dyDescent="0.25">
      <c r="C10" s="8"/>
      <c r="D10" s="2" t="s">
        <v>1881</v>
      </c>
      <c r="E10" s="2" t="s">
        <v>1911</v>
      </c>
      <c r="F10" s="4">
        <v>4.5</v>
      </c>
      <c r="G10" s="14"/>
      <c r="H10" s="9"/>
    </row>
    <row r="11" spans="3:8" x14ac:dyDescent="0.25">
      <c r="C11" s="8"/>
      <c r="D11" s="2" t="s">
        <v>1882</v>
      </c>
      <c r="E11" s="2" t="s">
        <v>1911</v>
      </c>
      <c r="F11" s="4">
        <v>3</v>
      </c>
      <c r="G11" s="14"/>
      <c r="H11" s="9"/>
    </row>
    <row r="12" spans="3:8" x14ac:dyDescent="0.25">
      <c r="C12" s="8"/>
      <c r="D12" s="2" t="s">
        <v>1883</v>
      </c>
      <c r="E12" s="2" t="s">
        <v>1911</v>
      </c>
      <c r="F12" s="4"/>
      <c r="G12" s="14"/>
      <c r="H12" s="9">
        <v>171.5</v>
      </c>
    </row>
    <row r="13" spans="3:8" x14ac:dyDescent="0.25">
      <c r="C13" s="8"/>
      <c r="D13" s="2" t="s">
        <v>1884</v>
      </c>
      <c r="E13" s="2" t="s">
        <v>1911</v>
      </c>
      <c r="F13" s="4"/>
      <c r="G13" s="14"/>
      <c r="H13" s="9">
        <v>1</v>
      </c>
    </row>
    <row r="14" spans="3:8" x14ac:dyDescent="0.25">
      <c r="C14" s="8"/>
      <c r="D14" s="2" t="s">
        <v>1885</v>
      </c>
      <c r="E14" s="2" t="s">
        <v>1911</v>
      </c>
      <c r="F14" s="4">
        <v>5</v>
      </c>
      <c r="G14" s="14"/>
      <c r="H14" s="9"/>
    </row>
    <row r="15" spans="3:8" x14ac:dyDescent="0.25">
      <c r="C15" s="8"/>
      <c r="D15" s="2" t="s">
        <v>1886</v>
      </c>
      <c r="E15" s="2" t="s">
        <v>1911</v>
      </c>
      <c r="F15" s="4"/>
      <c r="G15" s="14"/>
      <c r="H15" s="9">
        <v>9</v>
      </c>
    </row>
    <row r="16" spans="3:8" x14ac:dyDescent="0.25">
      <c r="C16" s="8"/>
      <c r="D16" s="2" t="s">
        <v>1887</v>
      </c>
      <c r="E16" s="2" t="s">
        <v>1911</v>
      </c>
      <c r="F16" s="4">
        <v>5</v>
      </c>
      <c r="G16" s="14"/>
      <c r="H16" s="9"/>
    </row>
    <row r="17" spans="3:8" x14ac:dyDescent="0.25">
      <c r="C17" s="8"/>
      <c r="D17" s="2" t="s">
        <v>1888</v>
      </c>
      <c r="E17" s="2" t="s">
        <v>1911</v>
      </c>
      <c r="F17" s="4">
        <v>8</v>
      </c>
      <c r="G17" s="14"/>
      <c r="H17" s="9"/>
    </row>
    <row r="18" spans="3:8" x14ac:dyDescent="0.25">
      <c r="C18" s="8"/>
      <c r="D18" s="2" t="s">
        <v>1889</v>
      </c>
      <c r="E18" s="2" t="s">
        <v>1911</v>
      </c>
      <c r="F18" s="4">
        <v>6</v>
      </c>
      <c r="G18" s="14"/>
      <c r="H18" s="9"/>
    </row>
    <row r="19" spans="3:8" x14ac:dyDescent="0.25">
      <c r="C19" s="8"/>
      <c r="D19" s="2" t="s">
        <v>1890</v>
      </c>
      <c r="E19" s="2" t="s">
        <v>1911</v>
      </c>
      <c r="F19" s="4">
        <v>2</v>
      </c>
      <c r="G19" s="14"/>
      <c r="H19" s="9"/>
    </row>
    <row r="20" spans="3:8" x14ac:dyDescent="0.25">
      <c r="C20" s="8"/>
      <c r="D20" s="2" t="s">
        <v>1891</v>
      </c>
      <c r="E20" s="2" t="s">
        <v>1598</v>
      </c>
      <c r="F20" s="4"/>
      <c r="G20" s="14"/>
      <c r="H20" s="9">
        <v>135.19999999999999</v>
      </c>
    </row>
    <row r="21" spans="3:8" x14ac:dyDescent="0.25">
      <c r="C21" s="8"/>
      <c r="D21" s="2" t="s">
        <v>1892</v>
      </c>
      <c r="E21" s="2" t="s">
        <v>1911</v>
      </c>
      <c r="F21" s="4">
        <v>48</v>
      </c>
      <c r="G21" s="14"/>
      <c r="H21" s="9"/>
    </row>
    <row r="22" spans="3:8" x14ac:dyDescent="0.25">
      <c r="C22" s="8"/>
      <c r="D22" s="2" t="s">
        <v>1893</v>
      </c>
      <c r="E22" s="2" t="s">
        <v>1911</v>
      </c>
      <c r="F22" s="4">
        <v>4</v>
      </c>
      <c r="G22" s="14"/>
      <c r="H22" s="9"/>
    </row>
    <row r="23" spans="3:8" x14ac:dyDescent="0.25">
      <c r="C23" s="8"/>
      <c r="D23" s="2" t="s">
        <v>1894</v>
      </c>
      <c r="E23" s="2" t="s">
        <v>1912</v>
      </c>
      <c r="F23" s="4">
        <v>20</v>
      </c>
      <c r="G23" s="14"/>
      <c r="H23" s="9"/>
    </row>
    <row r="24" spans="3:8" x14ac:dyDescent="0.25">
      <c r="C24" s="8"/>
      <c r="D24" s="2" t="s">
        <v>1895</v>
      </c>
      <c r="E24" s="2" t="s">
        <v>1911</v>
      </c>
      <c r="F24" s="4">
        <v>21</v>
      </c>
      <c r="G24" s="14"/>
      <c r="H24" s="9"/>
    </row>
    <row r="25" spans="3:8" x14ac:dyDescent="0.25">
      <c r="C25" s="8"/>
      <c r="D25" s="2" t="s">
        <v>1896</v>
      </c>
      <c r="E25" s="2" t="s">
        <v>1911</v>
      </c>
      <c r="F25" s="4">
        <v>10</v>
      </c>
      <c r="G25" s="14"/>
      <c r="H25" s="9"/>
    </row>
    <row r="26" spans="3:8" x14ac:dyDescent="0.25">
      <c r="C26" s="8"/>
      <c r="D26" s="2" t="s">
        <v>1897</v>
      </c>
      <c r="E26" s="2" t="s">
        <v>1911</v>
      </c>
      <c r="F26" s="4">
        <v>11</v>
      </c>
      <c r="G26" s="14"/>
      <c r="H26" s="9"/>
    </row>
    <row r="27" spans="3:8" x14ac:dyDescent="0.25">
      <c r="C27" s="8"/>
      <c r="D27" s="2" t="s">
        <v>1898</v>
      </c>
      <c r="E27" s="2" t="s">
        <v>1911</v>
      </c>
      <c r="F27" s="4">
        <v>8</v>
      </c>
      <c r="G27" s="14"/>
      <c r="H27" s="9"/>
    </row>
    <row r="28" spans="3:8" x14ac:dyDescent="0.25">
      <c r="C28" s="8"/>
      <c r="D28" s="2" t="s">
        <v>1899</v>
      </c>
      <c r="E28" s="2" t="s">
        <v>1910</v>
      </c>
      <c r="F28" s="4">
        <v>280.10000000000002</v>
      </c>
      <c r="G28" s="14"/>
      <c r="H28" s="9"/>
    </row>
    <row r="29" spans="3:8" x14ac:dyDescent="0.25">
      <c r="C29" s="8"/>
      <c r="D29" s="2" t="s">
        <v>1900</v>
      </c>
      <c r="E29" s="2" t="s">
        <v>1075</v>
      </c>
      <c r="F29" s="4"/>
      <c r="G29" s="14"/>
      <c r="H29" s="9">
        <v>350</v>
      </c>
    </row>
    <row r="30" spans="3:8" x14ac:dyDescent="0.25">
      <c r="C30" s="8"/>
      <c r="D30" s="2" t="s">
        <v>1901</v>
      </c>
      <c r="E30" s="2" t="s">
        <v>1564</v>
      </c>
      <c r="F30" s="4">
        <v>124</v>
      </c>
      <c r="G30" s="14"/>
      <c r="H30" s="9"/>
    </row>
    <row r="31" spans="3:8" x14ac:dyDescent="0.25">
      <c r="C31" s="8"/>
      <c r="D31" s="2" t="s">
        <v>1902</v>
      </c>
      <c r="E31" s="2" t="s">
        <v>1006</v>
      </c>
      <c r="F31" s="4"/>
      <c r="G31" s="14"/>
      <c r="H31" s="9">
        <v>555</v>
      </c>
    </row>
    <row r="32" spans="3:8" x14ac:dyDescent="0.25">
      <c r="C32" s="8"/>
      <c r="D32" s="2" t="s">
        <v>1903</v>
      </c>
      <c r="E32" s="2" t="s">
        <v>1911</v>
      </c>
      <c r="F32" s="4"/>
      <c r="G32" s="14"/>
      <c r="H32" s="9">
        <v>4.5</v>
      </c>
    </row>
    <row r="33" spans="3:8" x14ac:dyDescent="0.25">
      <c r="C33" s="8"/>
      <c r="D33" s="2" t="s">
        <v>1904</v>
      </c>
      <c r="E33" s="2" t="s">
        <v>1476</v>
      </c>
      <c r="F33" s="4"/>
      <c r="G33" s="14"/>
      <c r="H33" s="9">
        <v>310</v>
      </c>
    </row>
    <row r="34" spans="3:8" x14ac:dyDescent="0.25">
      <c r="C34" s="8"/>
      <c r="D34" s="2" t="s">
        <v>1905</v>
      </c>
      <c r="E34" s="2" t="s">
        <v>1955</v>
      </c>
      <c r="F34" s="4">
        <v>5270</v>
      </c>
      <c r="G34" s="14"/>
      <c r="H34" s="9"/>
    </row>
    <row r="35" spans="3:8" x14ac:dyDescent="0.25">
      <c r="C35" s="8"/>
      <c r="D35" s="2" t="s">
        <v>1944</v>
      </c>
      <c r="E35" s="2" t="s">
        <v>1006</v>
      </c>
      <c r="F35" s="4"/>
      <c r="G35" s="14"/>
      <c r="H35" s="9">
        <v>308</v>
      </c>
    </row>
    <row r="36" spans="3:8" x14ac:dyDescent="0.25">
      <c r="C36" s="8"/>
      <c r="D36" s="2" t="s">
        <v>1945</v>
      </c>
      <c r="E36" s="2" t="s">
        <v>1911</v>
      </c>
      <c r="F36" s="4"/>
      <c r="G36" s="14"/>
      <c r="H36" s="9">
        <v>6</v>
      </c>
    </row>
    <row r="37" spans="3:8" x14ac:dyDescent="0.25">
      <c r="C37" s="8"/>
      <c r="D37" s="2" t="s">
        <v>1946</v>
      </c>
      <c r="E37" s="2" t="s">
        <v>1911</v>
      </c>
      <c r="F37" s="4">
        <v>10</v>
      </c>
      <c r="G37" s="14"/>
      <c r="H37" s="9"/>
    </row>
    <row r="38" spans="3:8" x14ac:dyDescent="0.25">
      <c r="C38" s="8"/>
      <c r="D38" s="2" t="s">
        <v>1947</v>
      </c>
      <c r="E38" s="2" t="s">
        <v>1006</v>
      </c>
      <c r="F38" s="4"/>
      <c r="G38" s="14"/>
      <c r="H38" s="9">
        <v>68</v>
      </c>
    </row>
    <row r="39" spans="3:8" x14ac:dyDescent="0.25">
      <c r="C39" s="8"/>
      <c r="D39" s="2" t="s">
        <v>1948</v>
      </c>
      <c r="E39" s="2" t="s">
        <v>1911</v>
      </c>
      <c r="F39" s="4">
        <v>10</v>
      </c>
      <c r="G39" s="14"/>
      <c r="H39" s="9"/>
    </row>
    <row r="40" spans="3:8" x14ac:dyDescent="0.25">
      <c r="C40" s="8"/>
      <c r="D40" s="2" t="s">
        <v>1949</v>
      </c>
      <c r="E40" s="2" t="s">
        <v>1911</v>
      </c>
      <c r="F40" s="4">
        <v>11</v>
      </c>
      <c r="G40" s="14"/>
      <c r="H40" s="9"/>
    </row>
    <row r="41" spans="3:8" x14ac:dyDescent="0.25">
      <c r="C41" s="8"/>
      <c r="D41" s="2" t="s">
        <v>1950</v>
      </c>
      <c r="E41" s="2" t="s">
        <v>1911</v>
      </c>
      <c r="F41" s="4">
        <v>4.5</v>
      </c>
      <c r="G41" s="14"/>
      <c r="H41" s="9"/>
    </row>
    <row r="42" spans="3:8" x14ac:dyDescent="0.25">
      <c r="C42" s="8"/>
      <c r="D42" s="2" t="s">
        <v>1951</v>
      </c>
      <c r="E42" s="2" t="s">
        <v>1911</v>
      </c>
      <c r="F42" s="4">
        <v>3</v>
      </c>
      <c r="G42" s="14"/>
      <c r="H42" s="9">
        <v>38.5</v>
      </c>
    </row>
    <row r="43" spans="3:8" x14ac:dyDescent="0.25">
      <c r="C43" s="8"/>
      <c r="D43" s="2" t="s">
        <v>1952</v>
      </c>
      <c r="E43" s="2" t="s">
        <v>1911</v>
      </c>
      <c r="F43" s="4">
        <v>2</v>
      </c>
      <c r="G43" s="14"/>
      <c r="H43" s="9"/>
    </row>
    <row r="44" spans="3:8" x14ac:dyDescent="0.25">
      <c r="C44" s="8"/>
      <c r="D44" s="2" t="s">
        <v>1953</v>
      </c>
      <c r="E44" s="2" t="s">
        <v>508</v>
      </c>
      <c r="F44" s="4">
        <v>213.5</v>
      </c>
      <c r="G44" s="14"/>
      <c r="H44" s="9"/>
    </row>
    <row r="45" spans="3:8" x14ac:dyDescent="0.25">
      <c r="C45" s="8"/>
      <c r="D45" s="2" t="s">
        <v>1954</v>
      </c>
      <c r="E45" s="2" t="s">
        <v>1876</v>
      </c>
      <c r="F45" s="4"/>
      <c r="G45" s="14">
        <v>372</v>
      </c>
      <c r="H45" s="9"/>
    </row>
    <row r="46" spans="3:8" x14ac:dyDescent="0.25">
      <c r="C46" s="8"/>
      <c r="D46" s="2" t="s">
        <v>1958</v>
      </c>
      <c r="E46" s="2" t="s">
        <v>1911</v>
      </c>
      <c r="F46" s="4">
        <v>5</v>
      </c>
      <c r="G46" s="14"/>
      <c r="H46" s="9"/>
    </row>
    <row r="47" spans="3:8" x14ac:dyDescent="0.25">
      <c r="C47" s="8"/>
      <c r="D47" s="2" t="s">
        <v>1959</v>
      </c>
      <c r="E47" s="2" t="s">
        <v>1153</v>
      </c>
      <c r="F47" s="4"/>
      <c r="G47" s="14">
        <v>1005</v>
      </c>
      <c r="H47" s="9"/>
    </row>
    <row r="48" spans="3:8" x14ac:dyDescent="0.25">
      <c r="C48" s="8"/>
      <c r="D48" s="2" t="s">
        <v>1960</v>
      </c>
      <c r="E48" s="2" t="s">
        <v>1911</v>
      </c>
      <c r="F48" s="4">
        <v>4</v>
      </c>
      <c r="G48" s="14"/>
      <c r="H48" s="9"/>
    </row>
    <row r="49" spans="3:8" x14ac:dyDescent="0.25">
      <c r="C49" s="8"/>
      <c r="D49" s="2" t="s">
        <v>1961</v>
      </c>
      <c r="E49" s="2" t="s">
        <v>1075</v>
      </c>
      <c r="F49" s="4"/>
      <c r="G49" s="14"/>
      <c r="H49" s="9">
        <v>725</v>
      </c>
    </row>
    <row r="50" spans="3:8" x14ac:dyDescent="0.25">
      <c r="C50" s="8"/>
      <c r="D50" s="2" t="s">
        <v>1962</v>
      </c>
      <c r="E50" s="2" t="s">
        <v>508</v>
      </c>
      <c r="F50" s="4">
        <v>668</v>
      </c>
      <c r="G50" s="14"/>
      <c r="H50" s="9"/>
    </row>
    <row r="51" spans="3:8" x14ac:dyDescent="0.25">
      <c r="C51" s="8"/>
      <c r="D51" s="2" t="s">
        <v>1963</v>
      </c>
      <c r="E51" s="2" t="s">
        <v>932</v>
      </c>
      <c r="F51" s="4"/>
      <c r="G51" s="14">
        <v>1120</v>
      </c>
      <c r="H51" s="9"/>
    </row>
    <row r="52" spans="3:8" x14ac:dyDescent="0.25">
      <c r="C52" s="8"/>
      <c r="D52" s="2" t="s">
        <v>1972</v>
      </c>
      <c r="E52" s="2" t="s">
        <v>1975</v>
      </c>
      <c r="F52" s="4"/>
      <c r="G52" s="14"/>
      <c r="H52" s="9">
        <v>1682</v>
      </c>
    </row>
    <row r="53" spans="3:8" x14ac:dyDescent="0.25">
      <c r="C53" s="8"/>
      <c r="D53" s="2" t="s">
        <v>1973</v>
      </c>
      <c r="E53" s="2" t="s">
        <v>1911</v>
      </c>
      <c r="F53" s="4"/>
      <c r="G53" s="14"/>
      <c r="H53" s="9">
        <v>3</v>
      </c>
    </row>
    <row r="54" spans="3:8" x14ac:dyDescent="0.25">
      <c r="C54" s="8"/>
      <c r="D54" s="2" t="s">
        <v>1974</v>
      </c>
      <c r="E54" s="2" t="s">
        <v>1911</v>
      </c>
      <c r="F54" s="4"/>
      <c r="G54" s="14"/>
      <c r="H54" s="9">
        <v>4.5</v>
      </c>
    </row>
    <row r="55" spans="3:8" x14ac:dyDescent="0.25">
      <c r="C55" s="8"/>
      <c r="D55" s="2" t="s">
        <v>2008</v>
      </c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8"/>
      <c r="D58" s="2" t="s">
        <v>1842</v>
      </c>
      <c r="E58" s="2" t="s">
        <v>1631</v>
      </c>
      <c r="F58" s="4">
        <v>8</v>
      </c>
      <c r="G58" s="14"/>
      <c r="H58" s="9"/>
    </row>
    <row r="59" spans="3:8" x14ac:dyDescent="0.25">
      <c r="C59" s="8"/>
      <c r="D59" s="2" t="s">
        <v>1906</v>
      </c>
      <c r="E59" s="2" t="s">
        <v>1631</v>
      </c>
      <c r="F59" s="4">
        <v>4.5</v>
      </c>
      <c r="G59" s="14"/>
      <c r="H59" s="9"/>
    </row>
    <row r="60" spans="3:8" x14ac:dyDescent="0.25">
      <c r="C60" s="8"/>
      <c r="D60" s="2" t="s">
        <v>1907</v>
      </c>
      <c r="E60" s="2" t="s">
        <v>1631</v>
      </c>
      <c r="F60" s="4">
        <v>15</v>
      </c>
      <c r="G60" s="14"/>
      <c r="H60" s="9"/>
    </row>
    <row r="61" spans="3:8" x14ac:dyDescent="0.25">
      <c r="C61" s="8"/>
      <c r="D61" s="2" t="s">
        <v>1908</v>
      </c>
      <c r="E61" s="2" t="s">
        <v>1631</v>
      </c>
      <c r="F61" s="4">
        <v>2</v>
      </c>
      <c r="G61" s="14"/>
      <c r="H61" s="9"/>
    </row>
    <row r="62" spans="3:8" x14ac:dyDescent="0.25">
      <c r="C62" s="8"/>
      <c r="D62" s="2" t="s">
        <v>1909</v>
      </c>
      <c r="E62" s="2" t="s">
        <v>1924</v>
      </c>
      <c r="F62" s="4">
        <v>80</v>
      </c>
      <c r="G62" s="14"/>
      <c r="H62" s="9"/>
    </row>
    <row r="63" spans="3:8" x14ac:dyDescent="0.25">
      <c r="C63" s="8"/>
      <c r="D63" s="2" t="s">
        <v>1914</v>
      </c>
      <c r="E63" s="2" t="s">
        <v>1373</v>
      </c>
      <c r="F63" s="4"/>
      <c r="G63" s="14"/>
      <c r="H63" s="9">
        <v>590</v>
      </c>
    </row>
    <row r="64" spans="3:8" x14ac:dyDescent="0.25">
      <c r="C64" s="8"/>
      <c r="D64" s="2" t="s">
        <v>1915</v>
      </c>
      <c r="E64" s="2" t="s">
        <v>1925</v>
      </c>
      <c r="F64" s="4"/>
      <c r="G64" s="14">
        <v>120.5</v>
      </c>
      <c r="H64" s="9"/>
    </row>
    <row r="65" spans="3:8" x14ac:dyDescent="0.25">
      <c r="C65" s="8"/>
      <c r="D65" s="2" t="s">
        <v>1916</v>
      </c>
      <c r="E65" s="2" t="s">
        <v>1631</v>
      </c>
      <c r="F65" s="4"/>
      <c r="G65" s="14"/>
      <c r="H65" s="9">
        <v>5.5</v>
      </c>
    </row>
    <row r="66" spans="3:8" x14ac:dyDescent="0.25">
      <c r="C66" s="8"/>
      <c r="D66" s="2" t="s">
        <v>1917</v>
      </c>
      <c r="E66" s="2" t="s">
        <v>1957</v>
      </c>
      <c r="F66" s="4">
        <v>255</v>
      </c>
      <c r="G66" s="14"/>
      <c r="H66" s="9"/>
    </row>
    <row r="67" spans="3:8" x14ac:dyDescent="0.25">
      <c r="C67" s="8"/>
      <c r="D67" s="2" t="s">
        <v>1918</v>
      </c>
      <c r="E67" s="2" t="s">
        <v>1631</v>
      </c>
      <c r="F67" s="4">
        <v>5.5</v>
      </c>
      <c r="G67" s="14"/>
      <c r="H67" s="9"/>
    </row>
    <row r="68" spans="3:8" x14ac:dyDescent="0.25">
      <c r="C68" s="8"/>
      <c r="D68" s="2" t="s">
        <v>1919</v>
      </c>
      <c r="E68" s="2" t="s">
        <v>1631</v>
      </c>
      <c r="F68" s="4"/>
      <c r="G68" s="14"/>
      <c r="H68" s="9">
        <v>109.2</v>
      </c>
    </row>
    <row r="69" spans="3:8" x14ac:dyDescent="0.25">
      <c r="C69" s="8"/>
      <c r="D69" s="2" t="s">
        <v>1920</v>
      </c>
      <c r="E69" s="2" t="s">
        <v>158</v>
      </c>
      <c r="F69" s="4"/>
      <c r="G69" s="14"/>
      <c r="H69" s="9">
        <v>434</v>
      </c>
    </row>
    <row r="70" spans="3:8" x14ac:dyDescent="0.25">
      <c r="C70" s="8"/>
      <c r="D70" s="2" t="s">
        <v>1921</v>
      </c>
      <c r="E70" s="2" t="s">
        <v>106</v>
      </c>
      <c r="F70" s="4"/>
      <c r="G70" s="14"/>
      <c r="H70" s="9">
        <v>3.5</v>
      </c>
    </row>
    <row r="71" spans="3:8" x14ac:dyDescent="0.25">
      <c r="C71" s="8"/>
      <c r="D71" s="2" t="s">
        <v>1922</v>
      </c>
      <c r="E71" s="2" t="s">
        <v>1631</v>
      </c>
      <c r="F71" s="4">
        <v>36</v>
      </c>
      <c r="G71" s="14"/>
      <c r="H71" s="9"/>
    </row>
    <row r="72" spans="3:8" x14ac:dyDescent="0.25">
      <c r="C72" s="8"/>
      <c r="D72" s="2" t="s">
        <v>1923</v>
      </c>
      <c r="E72" s="2" t="s">
        <v>1631</v>
      </c>
      <c r="F72" s="4"/>
      <c r="G72" s="14"/>
      <c r="H72" s="9">
        <v>15.5</v>
      </c>
    </row>
    <row r="73" spans="3:8" x14ac:dyDescent="0.25">
      <c r="C73" s="8"/>
      <c r="D73" s="2" t="s">
        <v>1926</v>
      </c>
      <c r="E73" s="2" t="s">
        <v>1938</v>
      </c>
      <c r="F73" s="4"/>
      <c r="G73" s="14"/>
      <c r="H73" s="9">
        <v>124</v>
      </c>
    </row>
    <row r="74" spans="3:8" x14ac:dyDescent="0.25">
      <c r="C74" s="8"/>
      <c r="D74" s="2" t="s">
        <v>1927</v>
      </c>
      <c r="E74" s="2" t="s">
        <v>655</v>
      </c>
      <c r="F74" s="4">
        <v>172.5</v>
      </c>
      <c r="G74" s="14"/>
      <c r="H74" s="9"/>
    </row>
    <row r="75" spans="3:8" x14ac:dyDescent="0.25">
      <c r="C75" s="8"/>
      <c r="D75" s="2" t="s">
        <v>1928</v>
      </c>
      <c r="E75" s="2" t="s">
        <v>1631</v>
      </c>
      <c r="F75" s="4"/>
      <c r="G75" s="14"/>
      <c r="H75" s="9">
        <v>43</v>
      </c>
    </row>
    <row r="76" spans="3:8" x14ac:dyDescent="0.25">
      <c r="C76" s="8"/>
      <c r="D76" s="2" t="s">
        <v>1929</v>
      </c>
      <c r="E76" s="2" t="s">
        <v>1939</v>
      </c>
      <c r="F76" s="4"/>
      <c r="G76" s="14">
        <v>892</v>
      </c>
      <c r="H76" s="9"/>
    </row>
    <row r="77" spans="3:8" x14ac:dyDescent="0.25">
      <c r="C77" s="8"/>
      <c r="D77" s="2" t="s">
        <v>1930</v>
      </c>
      <c r="E77" s="2" t="s">
        <v>1965</v>
      </c>
      <c r="F77" s="4">
        <v>25</v>
      </c>
      <c r="G77" s="14"/>
      <c r="H77" s="9"/>
    </row>
    <row r="78" spans="3:8" x14ac:dyDescent="0.25">
      <c r="C78" s="8"/>
      <c r="D78" s="2" t="s">
        <v>1931</v>
      </c>
      <c r="E78" s="2" t="s">
        <v>1631</v>
      </c>
      <c r="F78" s="4">
        <v>5.5</v>
      </c>
      <c r="G78" s="14"/>
      <c r="H78" s="9"/>
    </row>
    <row r="79" spans="3:8" x14ac:dyDescent="0.25">
      <c r="C79" s="8"/>
      <c r="D79" s="2" t="s">
        <v>1932</v>
      </c>
      <c r="E79" s="2" t="s">
        <v>1631</v>
      </c>
      <c r="F79" s="4">
        <v>6</v>
      </c>
      <c r="G79" s="14"/>
      <c r="H79" s="9"/>
    </row>
    <row r="80" spans="3:8" x14ac:dyDescent="0.25">
      <c r="C80" s="8"/>
      <c r="D80" s="2" t="s">
        <v>1933</v>
      </c>
      <c r="E80" s="2" t="s">
        <v>1631</v>
      </c>
      <c r="F80" s="4">
        <v>50</v>
      </c>
      <c r="G80" s="14"/>
      <c r="H80" s="9"/>
    </row>
    <row r="81" spans="3:8" x14ac:dyDescent="0.25">
      <c r="C81" s="8"/>
      <c r="D81" s="2" t="s">
        <v>1934</v>
      </c>
      <c r="E81" s="2" t="s">
        <v>1964</v>
      </c>
      <c r="F81" s="4">
        <v>85.5</v>
      </c>
      <c r="G81" s="14"/>
      <c r="H81" s="9"/>
    </row>
    <row r="82" spans="3:8" x14ac:dyDescent="0.25">
      <c r="C82" s="8"/>
      <c r="D82" s="2" t="s">
        <v>1935</v>
      </c>
      <c r="E82" s="2" t="s">
        <v>1631</v>
      </c>
      <c r="F82" s="4">
        <v>5</v>
      </c>
      <c r="G82" s="14"/>
      <c r="H82" s="9"/>
    </row>
    <row r="83" spans="3:8" x14ac:dyDescent="0.25">
      <c r="C83" s="8"/>
      <c r="D83" s="2" t="s">
        <v>1936</v>
      </c>
      <c r="E83" s="2" t="s">
        <v>1631</v>
      </c>
      <c r="F83" s="4">
        <v>12</v>
      </c>
      <c r="G83" s="14"/>
      <c r="H83" s="9"/>
    </row>
    <row r="84" spans="3:8" x14ac:dyDescent="0.25">
      <c r="C84" s="8"/>
      <c r="D84" s="2" t="s">
        <v>1937</v>
      </c>
      <c r="E84" s="2" t="s">
        <v>1976</v>
      </c>
      <c r="F84" s="4"/>
      <c r="G84" s="14"/>
      <c r="H84" s="9">
        <v>580</v>
      </c>
    </row>
    <row r="85" spans="3:8" x14ac:dyDescent="0.25">
      <c r="C85" s="8"/>
      <c r="D85" s="2" t="s">
        <v>1978</v>
      </c>
      <c r="E85" s="2" t="s">
        <v>1631</v>
      </c>
      <c r="F85" s="4">
        <v>6.5</v>
      </c>
      <c r="G85" s="14"/>
      <c r="H85" s="9"/>
    </row>
    <row r="86" spans="3:8" x14ac:dyDescent="0.25">
      <c r="C86" s="8"/>
      <c r="D86" s="2" t="s">
        <v>1979</v>
      </c>
      <c r="E86" s="2" t="s">
        <v>1631</v>
      </c>
      <c r="F86" s="4">
        <v>4</v>
      </c>
      <c r="G86" s="14"/>
      <c r="H86" s="9"/>
    </row>
    <row r="87" spans="3:8" x14ac:dyDescent="0.25">
      <c r="C87" s="8"/>
      <c r="D87" s="2" t="s">
        <v>1980</v>
      </c>
      <c r="E87" s="2" t="s">
        <v>1977</v>
      </c>
      <c r="F87" s="4"/>
      <c r="G87" s="14">
        <v>544</v>
      </c>
      <c r="H87" s="9"/>
    </row>
    <row r="88" spans="3:8" x14ac:dyDescent="0.25">
      <c r="C88" s="8"/>
      <c r="D88" s="2" t="s">
        <v>1984</v>
      </c>
      <c r="E88" s="2" t="s">
        <v>1631</v>
      </c>
      <c r="F88" s="4">
        <v>1</v>
      </c>
      <c r="G88" s="14"/>
      <c r="H88" s="9"/>
    </row>
    <row r="89" spans="3:8" x14ac:dyDescent="0.25">
      <c r="C89" s="8"/>
      <c r="D89" s="2" t="s">
        <v>2047</v>
      </c>
      <c r="E89" s="2"/>
      <c r="F89" s="4"/>
      <c r="G89" s="14"/>
      <c r="H89" s="9"/>
    </row>
    <row r="90" spans="3:8" x14ac:dyDescent="0.25">
      <c r="C90" s="29"/>
      <c r="D90" s="30"/>
      <c r="E90" s="30" t="s">
        <v>60</v>
      </c>
      <c r="F90" s="4"/>
      <c r="G90" s="14"/>
      <c r="H90" s="9"/>
    </row>
    <row r="91" spans="3:8" x14ac:dyDescent="0.25">
      <c r="C91" s="8"/>
      <c r="D91" s="45" t="s">
        <v>1873</v>
      </c>
      <c r="E91" s="2" t="s">
        <v>1874</v>
      </c>
      <c r="F91" s="4">
        <v>99</v>
      </c>
      <c r="G91" s="14"/>
      <c r="H91" s="9"/>
    </row>
    <row r="92" spans="3:8" x14ac:dyDescent="0.25">
      <c r="C92" s="8"/>
      <c r="D92" s="45" t="s">
        <v>1875</v>
      </c>
      <c r="E92" s="2" t="s">
        <v>229</v>
      </c>
      <c r="F92" s="4"/>
      <c r="G92" s="14"/>
      <c r="H92" s="9">
        <v>709</v>
      </c>
    </row>
    <row r="93" spans="3:8" x14ac:dyDescent="0.25">
      <c r="C93" s="8"/>
      <c r="D93" s="45" t="s">
        <v>1969</v>
      </c>
      <c r="E93" s="2" t="s">
        <v>955</v>
      </c>
      <c r="F93" s="4"/>
      <c r="G93" s="14"/>
      <c r="H93" s="9">
        <v>38</v>
      </c>
    </row>
    <row r="94" spans="3:8" x14ac:dyDescent="0.25">
      <c r="C94" s="8"/>
      <c r="D94" s="45" t="s">
        <v>1970</v>
      </c>
      <c r="E94" s="2" t="s">
        <v>955</v>
      </c>
      <c r="F94" s="4"/>
      <c r="G94" s="14"/>
      <c r="H94" s="9">
        <v>265</v>
      </c>
    </row>
    <row r="95" spans="3:8" x14ac:dyDescent="0.25">
      <c r="C95" s="8"/>
      <c r="D95" s="45" t="s">
        <v>1971</v>
      </c>
      <c r="E95" s="2" t="s">
        <v>1390</v>
      </c>
      <c r="F95" s="4"/>
      <c r="G95" s="14"/>
      <c r="H95" s="9">
        <v>3114</v>
      </c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8"/>
      <c r="D97" s="2"/>
      <c r="E97" s="2"/>
      <c r="F97" s="4"/>
      <c r="G97" s="14"/>
      <c r="H97" s="9"/>
    </row>
    <row r="98" spans="3:8" x14ac:dyDescent="0.25">
      <c r="C98" s="8"/>
      <c r="D98" s="2"/>
      <c r="E98" s="2"/>
      <c r="F98" s="4"/>
      <c r="G98" s="14"/>
      <c r="H98" s="9"/>
    </row>
    <row r="99" spans="3:8" x14ac:dyDescent="0.25">
      <c r="C99" s="8"/>
      <c r="D99" s="2"/>
      <c r="E99" s="2"/>
      <c r="F99" s="4"/>
      <c r="G99" s="14"/>
      <c r="H99" s="9"/>
    </row>
    <row r="100" spans="3:8" x14ac:dyDescent="0.25">
      <c r="C100" s="16"/>
      <c r="D100" s="17"/>
      <c r="E100" s="17" t="s">
        <v>39</v>
      </c>
      <c r="F100" s="4"/>
      <c r="G100" s="14"/>
      <c r="H100" s="9"/>
    </row>
    <row r="101" spans="3:8" x14ac:dyDescent="0.25">
      <c r="C101" s="8"/>
      <c r="D101" s="45"/>
      <c r="E101" s="2" t="s">
        <v>1940</v>
      </c>
      <c r="F101" s="4">
        <v>28</v>
      </c>
      <c r="G101" s="14"/>
      <c r="H101" s="9"/>
    </row>
    <row r="102" spans="3:8" x14ac:dyDescent="0.25">
      <c r="C102" s="8"/>
      <c r="D102" s="45"/>
      <c r="E102" s="2" t="s">
        <v>164</v>
      </c>
      <c r="F102" s="4">
        <v>3228</v>
      </c>
      <c r="G102" s="14"/>
      <c r="H102" s="9"/>
    </row>
    <row r="103" spans="3:8" x14ac:dyDescent="0.25">
      <c r="C103" s="8"/>
      <c r="D103" s="2"/>
      <c r="E103" s="2" t="s">
        <v>508</v>
      </c>
      <c r="F103" s="4">
        <v>395</v>
      </c>
      <c r="G103" s="14"/>
      <c r="H103" s="9"/>
    </row>
    <row r="104" spans="3:8" x14ac:dyDescent="0.25">
      <c r="C104" s="8"/>
      <c r="D104" s="2"/>
      <c r="E104" s="2" t="s">
        <v>1799</v>
      </c>
      <c r="F104" s="4">
        <v>17</v>
      </c>
      <c r="G104" s="14"/>
      <c r="H104" s="9"/>
    </row>
    <row r="105" spans="3:8" x14ac:dyDescent="0.25">
      <c r="C105" s="8"/>
      <c r="D105" s="2"/>
      <c r="E105" s="2" t="s">
        <v>402</v>
      </c>
      <c r="F105" s="4">
        <v>4.7</v>
      </c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x14ac:dyDescent="0.25">
      <c r="C107" s="8"/>
      <c r="D107" s="2"/>
      <c r="E107" s="2"/>
      <c r="F107" s="4"/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x14ac:dyDescent="0.25">
      <c r="C110" s="19"/>
      <c r="D110" s="20"/>
      <c r="E110" s="20" t="s">
        <v>42</v>
      </c>
      <c r="F110" s="4"/>
      <c r="G110" s="14"/>
      <c r="H110" s="9"/>
    </row>
    <row r="111" spans="3:8" x14ac:dyDescent="0.25">
      <c r="C111" s="34"/>
      <c r="D111" s="42"/>
      <c r="E111" s="2" t="s">
        <v>1872</v>
      </c>
      <c r="F111" s="14">
        <v>-1140</v>
      </c>
      <c r="G111" s="14"/>
      <c r="H111" s="9"/>
    </row>
    <row r="112" spans="3:8" x14ac:dyDescent="0.25">
      <c r="C112" s="34"/>
      <c r="D112" s="2"/>
      <c r="E112" s="2" t="s">
        <v>1941</v>
      </c>
      <c r="F112" s="14">
        <v>-1968</v>
      </c>
      <c r="G112" s="14"/>
      <c r="H112" s="9"/>
    </row>
    <row r="113" spans="3:8" x14ac:dyDescent="0.25">
      <c r="C113" s="34"/>
      <c r="D113" s="42"/>
      <c r="E113" s="2" t="s">
        <v>1942</v>
      </c>
      <c r="F113" s="14">
        <v>-5.5</v>
      </c>
      <c r="G113" s="14"/>
      <c r="H113" s="9"/>
    </row>
    <row r="114" spans="3:8" x14ac:dyDescent="0.25">
      <c r="C114" s="34"/>
      <c r="D114" s="42"/>
      <c r="E114" s="2" t="s">
        <v>1943</v>
      </c>
      <c r="F114" s="14">
        <v>-20</v>
      </c>
      <c r="G114" s="14"/>
      <c r="H114" s="9"/>
    </row>
    <row r="115" spans="3:8" ht="30" x14ac:dyDescent="0.25">
      <c r="C115" s="34"/>
      <c r="D115" s="42"/>
      <c r="E115" s="37" t="s">
        <v>1956</v>
      </c>
      <c r="F115" s="14">
        <v>-1800</v>
      </c>
      <c r="G115" s="14"/>
      <c r="H115" s="9"/>
    </row>
    <row r="116" spans="3:8" x14ac:dyDescent="0.25">
      <c r="C116" s="34"/>
      <c r="D116" s="42"/>
      <c r="E116" s="2" t="s">
        <v>1966</v>
      </c>
      <c r="F116" s="14">
        <v>-875</v>
      </c>
      <c r="G116" s="14"/>
      <c r="H116" s="9"/>
    </row>
    <row r="117" spans="3:8" x14ac:dyDescent="0.25">
      <c r="C117" s="34"/>
      <c r="D117" s="42"/>
      <c r="E117" s="2" t="s">
        <v>1967</v>
      </c>
      <c r="F117" s="14">
        <v>-560</v>
      </c>
      <c r="G117" s="14"/>
      <c r="H117" s="9"/>
    </row>
    <row r="118" spans="3:8" x14ac:dyDescent="0.25">
      <c r="C118" s="34"/>
      <c r="D118" s="42"/>
      <c r="E118" s="2" t="s">
        <v>1968</v>
      </c>
      <c r="F118" s="14">
        <v>-1890</v>
      </c>
      <c r="G118" s="14"/>
      <c r="H118" s="9"/>
    </row>
    <row r="119" spans="3:8" x14ac:dyDescent="0.25">
      <c r="C119" s="34"/>
      <c r="D119" s="42"/>
      <c r="E119" s="2" t="s">
        <v>1274</v>
      </c>
      <c r="F119" s="14">
        <v>-4704</v>
      </c>
      <c r="G119" s="14"/>
      <c r="H119" s="9"/>
    </row>
    <row r="120" spans="3:8" x14ac:dyDescent="0.25">
      <c r="C120" s="34"/>
      <c r="D120" s="42"/>
      <c r="E120" s="2" t="s">
        <v>1728</v>
      </c>
      <c r="F120" s="14">
        <v>-40</v>
      </c>
      <c r="G120" s="14"/>
      <c r="H120" s="9"/>
    </row>
    <row r="121" spans="3:8" x14ac:dyDescent="0.25">
      <c r="C121" s="8"/>
      <c r="D121" s="2"/>
      <c r="E121" s="2" t="s">
        <v>1981</v>
      </c>
      <c r="F121" s="14">
        <v>-10</v>
      </c>
      <c r="G121" s="14"/>
      <c r="H121" s="9"/>
    </row>
    <row r="122" spans="3:8" x14ac:dyDescent="0.25">
      <c r="C122" s="8"/>
      <c r="D122" s="2"/>
      <c r="E122" s="2" t="s">
        <v>1982</v>
      </c>
      <c r="F122" s="14">
        <v>-25</v>
      </c>
      <c r="G122" s="14"/>
      <c r="H122" s="9"/>
    </row>
    <row r="123" spans="3:8" x14ac:dyDescent="0.25">
      <c r="C123" s="8"/>
      <c r="D123" s="2"/>
      <c r="E123" s="2" t="s">
        <v>1983</v>
      </c>
      <c r="F123" s="14">
        <v>-13</v>
      </c>
      <c r="G123" s="14"/>
      <c r="H123" s="9"/>
    </row>
    <row r="124" spans="3:8" x14ac:dyDescent="0.25">
      <c r="C124" s="8"/>
      <c r="D124" s="2"/>
      <c r="E124" s="2" t="s">
        <v>325</v>
      </c>
      <c r="F124" s="14">
        <v>-100</v>
      </c>
      <c r="G124" s="14"/>
      <c r="H124" s="9"/>
    </row>
    <row r="125" spans="3:8" x14ac:dyDescent="0.25">
      <c r="C125" s="8"/>
      <c r="D125" s="2"/>
      <c r="E125" s="2" t="s">
        <v>1985</v>
      </c>
      <c r="F125" s="14">
        <v>-1400</v>
      </c>
      <c r="G125" s="14"/>
      <c r="H125" s="9"/>
    </row>
    <row r="126" spans="3:8" x14ac:dyDescent="0.25">
      <c r="C126" s="8"/>
      <c r="D126" s="2"/>
      <c r="E126" s="2" t="s">
        <v>1986</v>
      </c>
      <c r="F126" s="14">
        <v>-20</v>
      </c>
      <c r="G126" s="14"/>
      <c r="H126" s="9"/>
    </row>
    <row r="127" spans="3:8" x14ac:dyDescent="0.25">
      <c r="C127" s="8"/>
      <c r="D127" s="2"/>
      <c r="E127" s="2" t="s">
        <v>1987</v>
      </c>
      <c r="F127" s="14">
        <v>-150</v>
      </c>
      <c r="G127" s="14"/>
      <c r="H127" s="9"/>
    </row>
    <row r="128" spans="3:8" x14ac:dyDescent="0.25">
      <c r="C128" s="8"/>
      <c r="D128" s="2"/>
      <c r="E128" s="2"/>
      <c r="F128" s="4"/>
      <c r="G128" s="14"/>
      <c r="H128" s="9"/>
    </row>
    <row r="129" spans="3:10" ht="15.75" thickBot="1" x14ac:dyDescent="0.3">
      <c r="C129" s="10"/>
      <c r="D129" s="11"/>
      <c r="E129" s="11" t="s">
        <v>44</v>
      </c>
      <c r="F129" s="12">
        <f>SUM(F6:F128)</f>
        <v>-2204.1999999999989</v>
      </c>
      <c r="G129" s="15">
        <f>SUM(G6:G128)</f>
        <v>5392</v>
      </c>
      <c r="H129" s="13">
        <f>SUM(H6:H128)</f>
        <v>10401.9</v>
      </c>
    </row>
    <row r="132" spans="3:10" ht="18.75" x14ac:dyDescent="0.3">
      <c r="E132" s="38" t="s">
        <v>49</v>
      </c>
      <c r="F132" s="39">
        <f>+H4+F129</f>
        <v>3092.7500000000009</v>
      </c>
    </row>
    <row r="135" spans="3:10" x14ac:dyDescent="0.25">
      <c r="J135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6E67-C455-4CBB-A2B6-FCADDBC5AFBD}">
  <sheetPr codeName="Hoja19"/>
  <dimension ref="C2:J114"/>
  <sheetViews>
    <sheetView topLeftCell="A73" workbookViewId="0">
      <selection activeCell="D41" sqref="D41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1988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3092.75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2008</v>
      </c>
      <c r="E6" s="2" t="s">
        <v>1152</v>
      </c>
      <c r="F6" s="4"/>
      <c r="G6" s="14">
        <v>60</v>
      </c>
      <c r="H6" s="9"/>
    </row>
    <row r="7" spans="3:8" x14ac:dyDescent="0.25">
      <c r="C7" s="8"/>
      <c r="D7" s="2" t="s">
        <v>2009</v>
      </c>
      <c r="E7" s="2" t="s">
        <v>441</v>
      </c>
      <c r="F7" s="4">
        <v>11415</v>
      </c>
      <c r="G7" s="14"/>
      <c r="H7" s="9"/>
    </row>
    <row r="8" spans="3:8" x14ac:dyDescent="0.25">
      <c r="C8" s="8"/>
      <c r="D8" s="2" t="s">
        <v>2010</v>
      </c>
      <c r="E8" s="2" t="s">
        <v>541</v>
      </c>
      <c r="F8" s="4"/>
      <c r="G8" s="14">
        <v>135</v>
      </c>
      <c r="H8" s="9"/>
    </row>
    <row r="9" spans="3:8" x14ac:dyDescent="0.25">
      <c r="C9" s="8"/>
      <c r="D9" s="2" t="s">
        <v>2011</v>
      </c>
      <c r="E9" s="2" t="s">
        <v>2034</v>
      </c>
      <c r="F9" s="4">
        <v>112</v>
      </c>
      <c r="G9" s="14"/>
      <c r="H9" s="9"/>
    </row>
    <row r="10" spans="3:8" x14ac:dyDescent="0.25">
      <c r="C10" s="8"/>
      <c r="D10" s="2" t="s">
        <v>2012</v>
      </c>
      <c r="E10" s="2" t="s">
        <v>440</v>
      </c>
      <c r="F10" s="4">
        <v>4</v>
      </c>
      <c r="G10" s="14"/>
      <c r="H10" s="9"/>
    </row>
    <row r="11" spans="3:8" x14ac:dyDescent="0.25">
      <c r="C11" s="8"/>
      <c r="D11" s="2" t="s">
        <v>2013</v>
      </c>
      <c r="E11" s="2" t="s">
        <v>440</v>
      </c>
      <c r="F11" s="4">
        <v>13.5</v>
      </c>
      <c r="G11" s="14"/>
      <c r="H11" s="9"/>
    </row>
    <row r="12" spans="3:8" x14ac:dyDescent="0.25">
      <c r="C12" s="8"/>
      <c r="D12" s="2" t="s">
        <v>2014</v>
      </c>
      <c r="E12" s="2" t="s">
        <v>440</v>
      </c>
      <c r="F12" s="4">
        <v>4</v>
      </c>
      <c r="G12" s="14"/>
      <c r="H12" s="9"/>
    </row>
    <row r="13" spans="3:8" x14ac:dyDescent="0.25">
      <c r="C13" s="8"/>
      <c r="D13" s="2" t="s">
        <v>2015</v>
      </c>
      <c r="E13" s="2" t="s">
        <v>440</v>
      </c>
      <c r="F13" s="4">
        <v>9</v>
      </c>
      <c r="G13" s="14"/>
      <c r="H13" s="9"/>
    </row>
    <row r="14" spans="3:8" x14ac:dyDescent="0.25">
      <c r="C14" s="8"/>
      <c r="D14" s="2" t="s">
        <v>2016</v>
      </c>
      <c r="E14" s="2" t="s">
        <v>50</v>
      </c>
      <c r="F14" s="4"/>
      <c r="G14" s="14">
        <v>206.5</v>
      </c>
      <c r="H14" s="9"/>
    </row>
    <row r="15" spans="3:8" x14ac:dyDescent="0.25">
      <c r="C15" s="8"/>
      <c r="D15" s="2" t="s">
        <v>2017</v>
      </c>
      <c r="E15" s="2" t="s">
        <v>440</v>
      </c>
      <c r="F15" s="4">
        <v>20</v>
      </c>
      <c r="G15" s="14"/>
      <c r="H15" s="9"/>
    </row>
    <row r="16" spans="3:8" x14ac:dyDescent="0.25">
      <c r="C16" s="8"/>
      <c r="D16" s="2" t="s">
        <v>2018</v>
      </c>
      <c r="E16" s="2" t="s">
        <v>440</v>
      </c>
      <c r="F16" s="4"/>
      <c r="G16" s="14"/>
      <c r="H16" s="9">
        <v>6</v>
      </c>
    </row>
    <row r="17" spans="3:8" x14ac:dyDescent="0.25">
      <c r="C17" s="8"/>
      <c r="D17" s="2" t="s">
        <v>2019</v>
      </c>
      <c r="E17" s="2" t="s">
        <v>440</v>
      </c>
      <c r="F17" s="4">
        <v>30</v>
      </c>
      <c r="G17" s="14"/>
      <c r="H17" s="9"/>
    </row>
    <row r="18" spans="3:8" x14ac:dyDescent="0.25">
      <c r="C18" s="8"/>
      <c r="D18" s="2" t="s">
        <v>2020</v>
      </c>
      <c r="E18" s="2" t="s">
        <v>136</v>
      </c>
      <c r="F18" s="4"/>
      <c r="G18" s="14">
        <v>73.5</v>
      </c>
      <c r="H18" s="9"/>
    </row>
    <row r="19" spans="3:8" x14ac:dyDescent="0.25">
      <c r="C19" s="8"/>
      <c r="D19" s="2" t="s">
        <v>2021</v>
      </c>
      <c r="E19" s="2" t="s">
        <v>2033</v>
      </c>
      <c r="F19" s="4"/>
      <c r="G19" s="14"/>
      <c r="H19" s="9">
        <v>240</v>
      </c>
    </row>
    <row r="20" spans="3:8" x14ac:dyDescent="0.25">
      <c r="C20" s="8"/>
      <c r="D20" s="2" t="s">
        <v>2022</v>
      </c>
      <c r="E20" s="2" t="s">
        <v>440</v>
      </c>
      <c r="F20" s="4">
        <v>16</v>
      </c>
      <c r="G20" s="14"/>
      <c r="H20" s="9"/>
    </row>
    <row r="21" spans="3:8" x14ac:dyDescent="0.25">
      <c r="C21" s="8"/>
      <c r="D21" s="2" t="s">
        <v>2023</v>
      </c>
      <c r="E21" s="2" t="s">
        <v>627</v>
      </c>
      <c r="F21" s="4"/>
      <c r="G21" s="14">
        <v>1155</v>
      </c>
      <c r="H21" s="9"/>
    </row>
    <row r="22" spans="3:8" x14ac:dyDescent="0.25">
      <c r="C22" s="8"/>
      <c r="D22" s="2" t="s">
        <v>2024</v>
      </c>
      <c r="E22" s="2" t="s">
        <v>440</v>
      </c>
      <c r="F22" s="4">
        <v>112</v>
      </c>
      <c r="G22" s="14"/>
      <c r="H22" s="9"/>
    </row>
    <row r="23" spans="3:8" x14ac:dyDescent="0.25">
      <c r="C23" s="8"/>
      <c r="D23" s="2" t="s">
        <v>2025</v>
      </c>
      <c r="E23" s="2" t="s">
        <v>440</v>
      </c>
      <c r="F23" s="4">
        <v>10</v>
      </c>
      <c r="G23" s="14"/>
      <c r="H23" s="9"/>
    </row>
    <row r="24" spans="3:8" x14ac:dyDescent="0.25">
      <c r="C24" s="8"/>
      <c r="D24" s="2" t="s">
        <v>2026</v>
      </c>
      <c r="E24" s="2" t="s">
        <v>619</v>
      </c>
      <c r="F24" s="4"/>
      <c r="G24" s="14"/>
      <c r="H24" s="9">
        <v>20</v>
      </c>
    </row>
    <row r="25" spans="3:8" x14ac:dyDescent="0.25">
      <c r="C25" s="8"/>
      <c r="D25" s="2" t="s">
        <v>2027</v>
      </c>
      <c r="E25" s="2" t="s">
        <v>1913</v>
      </c>
      <c r="F25" s="4">
        <v>431</v>
      </c>
      <c r="G25" s="14"/>
      <c r="H25" s="9"/>
    </row>
    <row r="26" spans="3:8" x14ac:dyDescent="0.25">
      <c r="C26" s="8"/>
      <c r="D26" s="2" t="s">
        <v>2028</v>
      </c>
      <c r="E26" s="2" t="s">
        <v>592</v>
      </c>
      <c r="F26" s="4"/>
      <c r="G26" s="14"/>
      <c r="H26" s="9">
        <v>536</v>
      </c>
    </row>
    <row r="27" spans="3:8" x14ac:dyDescent="0.25">
      <c r="C27" s="8"/>
      <c r="D27" s="2" t="s">
        <v>2029</v>
      </c>
      <c r="E27" s="2" t="s">
        <v>2046</v>
      </c>
      <c r="F27" s="4">
        <v>3624</v>
      </c>
      <c r="G27" s="14"/>
      <c r="H27" s="9"/>
    </row>
    <row r="28" spans="3:8" x14ac:dyDescent="0.25">
      <c r="C28" s="8"/>
      <c r="D28" s="2" t="s">
        <v>2030</v>
      </c>
      <c r="E28" s="2" t="s">
        <v>440</v>
      </c>
      <c r="F28" s="4">
        <v>12</v>
      </c>
      <c r="G28" s="14"/>
      <c r="H28" s="9"/>
    </row>
    <row r="29" spans="3:8" x14ac:dyDescent="0.25">
      <c r="C29" s="8"/>
      <c r="D29" s="2" t="s">
        <v>2031</v>
      </c>
      <c r="E29" s="2" t="s">
        <v>1855</v>
      </c>
      <c r="F29" s="4"/>
      <c r="G29" s="14">
        <v>10</v>
      </c>
      <c r="H29" s="9"/>
    </row>
    <row r="30" spans="3:8" x14ac:dyDescent="0.25">
      <c r="C30" s="8"/>
      <c r="D30" s="2" t="s">
        <v>2032</v>
      </c>
      <c r="E30" s="2" t="s">
        <v>103</v>
      </c>
      <c r="F30" s="4">
        <v>136</v>
      </c>
      <c r="G30" s="14"/>
      <c r="H30" s="9"/>
    </row>
    <row r="31" spans="3:8" x14ac:dyDescent="0.25">
      <c r="C31" s="8"/>
      <c r="D31" s="2" t="s">
        <v>2035</v>
      </c>
      <c r="E31" s="2" t="s">
        <v>440</v>
      </c>
      <c r="F31" s="4">
        <v>11</v>
      </c>
      <c r="G31" s="14"/>
      <c r="H31" s="9"/>
    </row>
    <row r="32" spans="3:8" x14ac:dyDescent="0.25">
      <c r="C32" s="8"/>
      <c r="D32" s="2" t="s">
        <v>2036</v>
      </c>
      <c r="E32" s="2" t="s">
        <v>1476</v>
      </c>
      <c r="F32" s="4">
        <v>245</v>
      </c>
      <c r="G32" s="14"/>
      <c r="H32" s="9"/>
    </row>
    <row r="33" spans="3:8" x14ac:dyDescent="0.25">
      <c r="C33" s="8"/>
      <c r="D33" s="2" t="s">
        <v>2037</v>
      </c>
      <c r="E33" s="2" t="s">
        <v>440</v>
      </c>
      <c r="F33" s="4"/>
      <c r="G33" s="14"/>
      <c r="H33" s="9">
        <v>35</v>
      </c>
    </row>
    <row r="34" spans="3:8" x14ac:dyDescent="0.25">
      <c r="C34" s="8"/>
      <c r="D34" s="2" t="s">
        <v>2038</v>
      </c>
      <c r="E34" s="2" t="s">
        <v>619</v>
      </c>
      <c r="F34" s="4"/>
      <c r="G34" s="14"/>
      <c r="H34" s="9">
        <v>64.75</v>
      </c>
    </row>
    <row r="35" spans="3:8" x14ac:dyDescent="0.25">
      <c r="C35" s="8"/>
      <c r="D35" s="2" t="s">
        <v>2039</v>
      </c>
      <c r="E35" s="2" t="s">
        <v>440</v>
      </c>
      <c r="F35" s="4">
        <v>74.5</v>
      </c>
      <c r="G35" s="14"/>
      <c r="H35" s="9"/>
    </row>
    <row r="36" spans="3:8" x14ac:dyDescent="0.25">
      <c r="C36" s="8"/>
      <c r="D36" s="2" t="s">
        <v>2040</v>
      </c>
      <c r="E36" s="2" t="s">
        <v>440</v>
      </c>
      <c r="F36" s="4"/>
      <c r="G36" s="14"/>
      <c r="H36" s="9">
        <v>10</v>
      </c>
    </row>
    <row r="37" spans="3:8" x14ac:dyDescent="0.25">
      <c r="C37" s="8"/>
      <c r="D37" s="2" t="s">
        <v>2041</v>
      </c>
      <c r="E37" s="2" t="s">
        <v>440</v>
      </c>
      <c r="F37" s="4"/>
      <c r="G37" s="14"/>
      <c r="H37" s="9">
        <v>13</v>
      </c>
    </row>
    <row r="38" spans="3:8" x14ac:dyDescent="0.25">
      <c r="C38" s="8"/>
      <c r="D38" s="2" t="s">
        <v>2042</v>
      </c>
      <c r="E38" s="2" t="s">
        <v>2045</v>
      </c>
      <c r="F38" s="4">
        <v>787.5</v>
      </c>
      <c r="G38" s="14"/>
      <c r="H38" s="9"/>
    </row>
    <row r="39" spans="3:8" x14ac:dyDescent="0.25">
      <c r="C39" s="8"/>
      <c r="D39" s="2" t="s">
        <v>2043</v>
      </c>
      <c r="E39" s="2" t="s">
        <v>103</v>
      </c>
      <c r="F39" s="4">
        <v>630</v>
      </c>
      <c r="G39" s="14"/>
      <c r="H39" s="9"/>
    </row>
    <row r="40" spans="3:8" x14ac:dyDescent="0.25">
      <c r="C40" s="8"/>
      <c r="D40" s="2" t="s">
        <v>2044</v>
      </c>
      <c r="E40" s="2" t="s">
        <v>440</v>
      </c>
      <c r="F40" s="4">
        <v>1</v>
      </c>
      <c r="G40" s="14"/>
      <c r="H40" s="9"/>
    </row>
    <row r="41" spans="3:8" x14ac:dyDescent="0.25">
      <c r="C41" s="8"/>
      <c r="D41" s="2" t="s">
        <v>2092</v>
      </c>
      <c r="E41" s="2"/>
      <c r="F41" s="4"/>
      <c r="G41" s="14"/>
      <c r="H41" s="9"/>
    </row>
    <row r="42" spans="3:8" x14ac:dyDescent="0.25">
      <c r="C42" s="8"/>
      <c r="D42" s="2" t="s">
        <v>2047</v>
      </c>
      <c r="E42" s="2" t="s">
        <v>48</v>
      </c>
      <c r="F42" s="4">
        <v>10.5</v>
      </c>
      <c r="G42" s="14"/>
      <c r="H42" s="9"/>
    </row>
    <row r="43" spans="3:8" x14ac:dyDescent="0.25">
      <c r="C43" s="8"/>
      <c r="D43" s="2" t="s">
        <v>2048</v>
      </c>
      <c r="E43" s="2" t="s">
        <v>48</v>
      </c>
      <c r="F43" s="4"/>
      <c r="G43" s="14"/>
      <c r="H43" s="9">
        <v>5.5</v>
      </c>
    </row>
    <row r="44" spans="3:8" x14ac:dyDescent="0.25">
      <c r="C44" s="8"/>
      <c r="D44" s="2" t="s">
        <v>2049</v>
      </c>
      <c r="E44" s="2" t="s">
        <v>48</v>
      </c>
      <c r="F44" s="4"/>
      <c r="G44" s="14"/>
      <c r="H44" s="9">
        <v>11.5</v>
      </c>
    </row>
    <row r="45" spans="3:8" x14ac:dyDescent="0.25">
      <c r="C45" s="8"/>
      <c r="D45" s="2" t="s">
        <v>2050</v>
      </c>
      <c r="E45" s="2" t="s">
        <v>48</v>
      </c>
      <c r="F45" s="4"/>
      <c r="G45" s="14"/>
      <c r="H45" s="9">
        <v>170</v>
      </c>
    </row>
    <row r="46" spans="3:8" x14ac:dyDescent="0.25">
      <c r="C46" s="8"/>
      <c r="D46" s="2" t="s">
        <v>2051</v>
      </c>
      <c r="E46" s="2" t="s">
        <v>2067</v>
      </c>
      <c r="F46" s="4"/>
      <c r="G46" s="14"/>
      <c r="H46" s="9">
        <v>36</v>
      </c>
    </row>
    <row r="47" spans="3:8" x14ac:dyDescent="0.25">
      <c r="C47" s="8"/>
      <c r="D47" s="2" t="s">
        <v>2052</v>
      </c>
      <c r="E47" s="2" t="s">
        <v>48</v>
      </c>
      <c r="F47" s="4">
        <v>67</v>
      </c>
      <c r="G47" s="14"/>
      <c r="H47" s="9"/>
    </row>
    <row r="48" spans="3:8" x14ac:dyDescent="0.25">
      <c r="C48" s="8"/>
      <c r="D48" s="2" t="s">
        <v>2053</v>
      </c>
      <c r="E48" s="2" t="s">
        <v>48</v>
      </c>
      <c r="F48" s="4">
        <v>8</v>
      </c>
      <c r="G48" s="14"/>
      <c r="H48" s="9"/>
    </row>
    <row r="49" spans="3:8" x14ac:dyDescent="0.25">
      <c r="C49" s="8"/>
      <c r="D49" s="2" t="s">
        <v>2054</v>
      </c>
      <c r="E49" s="2" t="s">
        <v>1374</v>
      </c>
      <c r="F49" s="4"/>
      <c r="G49" s="14"/>
      <c r="H49" s="9">
        <v>90</v>
      </c>
    </row>
    <row r="50" spans="3:8" x14ac:dyDescent="0.25">
      <c r="C50" s="8"/>
      <c r="D50" s="2" t="s">
        <v>2055</v>
      </c>
      <c r="E50" s="2" t="s">
        <v>48</v>
      </c>
      <c r="F50" s="4">
        <v>8</v>
      </c>
      <c r="G50" s="14"/>
      <c r="H50" s="9"/>
    </row>
    <row r="51" spans="3:8" x14ac:dyDescent="0.25">
      <c r="C51" s="8"/>
      <c r="D51" s="2" t="s">
        <v>2056</v>
      </c>
      <c r="E51" s="2" t="s">
        <v>267</v>
      </c>
      <c r="F51" s="4">
        <v>1558</v>
      </c>
      <c r="G51" s="14"/>
      <c r="H51" s="9">
        <v>3000</v>
      </c>
    </row>
    <row r="52" spans="3:8" x14ac:dyDescent="0.25">
      <c r="C52" s="8"/>
      <c r="D52" s="2" t="s">
        <v>2057</v>
      </c>
      <c r="E52" s="2" t="s">
        <v>48</v>
      </c>
      <c r="F52" s="4">
        <v>5.5</v>
      </c>
      <c r="G52" s="14"/>
      <c r="H52" s="9"/>
    </row>
    <row r="53" spans="3:8" x14ac:dyDescent="0.25">
      <c r="C53" s="8"/>
      <c r="D53" s="2" t="s">
        <v>2058</v>
      </c>
      <c r="E53" s="2" t="s">
        <v>1373</v>
      </c>
      <c r="F53" s="4"/>
      <c r="G53" s="14"/>
      <c r="H53" s="9">
        <v>252.3</v>
      </c>
    </row>
    <row r="54" spans="3:8" x14ac:dyDescent="0.25">
      <c r="C54" s="8"/>
      <c r="D54" s="2" t="s">
        <v>2059</v>
      </c>
      <c r="E54" s="2" t="s">
        <v>1150</v>
      </c>
      <c r="F54" s="4">
        <v>2000</v>
      </c>
      <c r="G54" s="14"/>
      <c r="H54" s="9">
        <v>4055</v>
      </c>
    </row>
    <row r="55" spans="3:8" x14ac:dyDescent="0.25">
      <c r="C55" s="8"/>
      <c r="D55" s="2" t="s">
        <v>2060</v>
      </c>
      <c r="E55" s="2" t="s">
        <v>48</v>
      </c>
      <c r="F55" s="4">
        <v>5</v>
      </c>
      <c r="G55" s="14"/>
      <c r="H55" s="9"/>
    </row>
    <row r="56" spans="3:8" x14ac:dyDescent="0.25">
      <c r="C56" s="8"/>
      <c r="D56" s="2" t="s">
        <v>2061</v>
      </c>
      <c r="E56" s="2" t="s">
        <v>2066</v>
      </c>
      <c r="F56" s="4">
        <v>35.5</v>
      </c>
      <c r="G56" s="14"/>
      <c r="H56" s="9"/>
    </row>
    <row r="57" spans="3:8" x14ac:dyDescent="0.25">
      <c r="C57" s="8"/>
      <c r="D57" s="2" t="s">
        <v>2062</v>
      </c>
      <c r="E57" s="2" t="s">
        <v>48</v>
      </c>
      <c r="F57" s="4">
        <v>11</v>
      </c>
      <c r="G57" s="14"/>
      <c r="H57" s="9"/>
    </row>
    <row r="58" spans="3:8" x14ac:dyDescent="0.25">
      <c r="C58" s="8"/>
      <c r="D58" s="2" t="s">
        <v>2063</v>
      </c>
      <c r="E58" s="2" t="s">
        <v>48</v>
      </c>
      <c r="F58" s="4">
        <v>15.3</v>
      </c>
      <c r="G58" s="14"/>
      <c r="H58" s="9"/>
    </row>
    <row r="59" spans="3:8" x14ac:dyDescent="0.25">
      <c r="C59" s="8"/>
      <c r="D59" s="2" t="s">
        <v>2064</v>
      </c>
      <c r="E59" s="2" t="s">
        <v>2068</v>
      </c>
      <c r="F59" s="4">
        <v>135</v>
      </c>
      <c r="G59" s="14"/>
      <c r="H59" s="9"/>
    </row>
    <row r="60" spans="3:8" x14ac:dyDescent="0.25">
      <c r="C60" s="8"/>
      <c r="D60" s="2" t="s">
        <v>2065</v>
      </c>
      <c r="E60" s="2" t="s">
        <v>48</v>
      </c>
      <c r="F60" s="4">
        <v>4</v>
      </c>
      <c r="G60" s="14"/>
      <c r="H60" s="9"/>
    </row>
    <row r="61" spans="3:8" x14ac:dyDescent="0.25">
      <c r="C61" s="8"/>
      <c r="D61" s="2" t="s">
        <v>2069</v>
      </c>
      <c r="E61" s="2" t="s">
        <v>48</v>
      </c>
      <c r="F61" s="4">
        <v>6</v>
      </c>
      <c r="G61" s="14"/>
      <c r="H61" s="9"/>
    </row>
    <row r="62" spans="3:8" x14ac:dyDescent="0.25">
      <c r="C62" s="8"/>
      <c r="D62" s="2" t="s">
        <v>2070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1994</v>
      </c>
      <c r="E67" s="2" t="s">
        <v>1993</v>
      </c>
      <c r="F67" s="4"/>
      <c r="G67" s="14"/>
      <c r="H67" s="9">
        <v>20</v>
      </c>
    </row>
    <row r="68" spans="3:8" x14ac:dyDescent="0.25">
      <c r="C68" s="8"/>
      <c r="D68" s="45" t="s">
        <v>1995</v>
      </c>
      <c r="E68" s="2" t="s">
        <v>1874</v>
      </c>
      <c r="F68" s="4">
        <v>108.5</v>
      </c>
      <c r="G68" s="14"/>
      <c r="H68" s="9"/>
    </row>
    <row r="69" spans="3:8" x14ac:dyDescent="0.25">
      <c r="C69" s="8"/>
      <c r="D69" s="45" t="s">
        <v>1996</v>
      </c>
      <c r="E69" s="2" t="s">
        <v>1993</v>
      </c>
      <c r="F69" s="4"/>
      <c r="G69" s="14"/>
      <c r="H69" s="9">
        <v>37.5</v>
      </c>
    </row>
    <row r="70" spans="3:8" x14ac:dyDescent="0.25">
      <c r="C70" s="8"/>
      <c r="D70" s="45" t="s">
        <v>1997</v>
      </c>
      <c r="E70" s="2" t="s">
        <v>1993</v>
      </c>
      <c r="F70" s="4"/>
      <c r="G70" s="14"/>
      <c r="H70" s="9">
        <v>196</v>
      </c>
    </row>
    <row r="71" spans="3:8" x14ac:dyDescent="0.25">
      <c r="C71" s="8"/>
      <c r="D71" s="45" t="s">
        <v>1998</v>
      </c>
      <c r="E71" s="2" t="s">
        <v>2001</v>
      </c>
      <c r="F71" s="4">
        <v>1060</v>
      </c>
      <c r="G71" s="14"/>
      <c r="H71" s="9"/>
    </row>
    <row r="72" spans="3:8" x14ac:dyDescent="0.25">
      <c r="C72" s="8"/>
      <c r="D72" s="45" t="s">
        <v>1999</v>
      </c>
      <c r="E72" s="2" t="s">
        <v>1993</v>
      </c>
      <c r="F72" s="4"/>
      <c r="G72" s="14"/>
      <c r="H72" s="9">
        <v>1675</v>
      </c>
    </row>
    <row r="73" spans="3:8" x14ac:dyDescent="0.25">
      <c r="C73" s="8"/>
      <c r="D73" s="45" t="s">
        <v>2000</v>
      </c>
      <c r="E73" s="43" t="s">
        <v>2002</v>
      </c>
      <c r="F73" s="4"/>
      <c r="G73" s="14"/>
      <c r="H73" s="9"/>
    </row>
    <row r="74" spans="3:8" x14ac:dyDescent="0.25">
      <c r="C74" s="8"/>
      <c r="D74" s="45" t="s">
        <v>2003</v>
      </c>
      <c r="E74" s="2" t="s">
        <v>93</v>
      </c>
      <c r="F74" s="4"/>
      <c r="G74" s="14"/>
      <c r="H74" s="9">
        <v>120</v>
      </c>
    </row>
    <row r="75" spans="3:8" x14ac:dyDescent="0.25">
      <c r="C75" s="8"/>
      <c r="D75" s="45" t="s">
        <v>2004</v>
      </c>
      <c r="E75" s="2" t="s">
        <v>1257</v>
      </c>
      <c r="F75" s="4">
        <v>420</v>
      </c>
      <c r="G75" s="14"/>
      <c r="H75" s="9"/>
    </row>
    <row r="76" spans="3:8" x14ac:dyDescent="0.25">
      <c r="C76" s="8"/>
      <c r="D76" s="45" t="s">
        <v>2005</v>
      </c>
      <c r="E76" s="2" t="s">
        <v>437</v>
      </c>
      <c r="F76" s="4"/>
      <c r="G76" s="14"/>
      <c r="H76" s="9">
        <v>1080</v>
      </c>
    </row>
    <row r="77" spans="3:8" x14ac:dyDescent="0.25">
      <c r="C77" s="8"/>
      <c r="D77" s="45" t="s">
        <v>2006</v>
      </c>
      <c r="E77" s="2" t="s">
        <v>229</v>
      </c>
      <c r="F77" s="4"/>
      <c r="G77" s="14"/>
      <c r="H77" s="9">
        <v>25</v>
      </c>
    </row>
    <row r="78" spans="3:8" x14ac:dyDescent="0.25">
      <c r="C78" s="8"/>
      <c r="D78" s="45" t="s">
        <v>2007</v>
      </c>
      <c r="E78" s="2" t="s">
        <v>1993</v>
      </c>
      <c r="F78" s="4"/>
      <c r="G78" s="14"/>
      <c r="H78" s="9">
        <v>410</v>
      </c>
    </row>
    <row r="79" spans="3:8" x14ac:dyDescent="0.25">
      <c r="C79" s="8"/>
      <c r="D79" s="45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45"/>
      <c r="E82" s="2" t="s">
        <v>2071</v>
      </c>
      <c r="F82" s="4">
        <f>12+27.1+129+45+86+16+49.9</f>
        <v>365</v>
      </c>
      <c r="G82" s="14"/>
      <c r="H82" s="9"/>
    </row>
    <row r="83" spans="3:8" x14ac:dyDescent="0.25">
      <c r="C83" s="8"/>
      <c r="D83" s="45"/>
      <c r="E83" s="2" t="s">
        <v>692</v>
      </c>
      <c r="F83" s="4">
        <v>200</v>
      </c>
      <c r="G83" s="14"/>
      <c r="H83" s="9"/>
    </row>
    <row r="84" spans="3:8" x14ac:dyDescent="0.25">
      <c r="C84" s="8"/>
      <c r="D84" s="45"/>
      <c r="E84" s="2" t="s">
        <v>2072</v>
      </c>
      <c r="F84" s="4">
        <v>35</v>
      </c>
      <c r="G84" s="14"/>
      <c r="H84" s="9"/>
    </row>
    <row r="85" spans="3:8" x14ac:dyDescent="0.25">
      <c r="C85" s="8"/>
      <c r="D85" s="45"/>
      <c r="E85" s="2" t="s">
        <v>104</v>
      </c>
      <c r="F85" s="4">
        <v>674</v>
      </c>
      <c r="G85" s="14"/>
      <c r="H85" s="9"/>
    </row>
    <row r="86" spans="3:8" x14ac:dyDescent="0.25">
      <c r="C86" s="8"/>
      <c r="D86" s="45"/>
      <c r="E86" s="2" t="s">
        <v>402</v>
      </c>
      <c r="F86" s="4">
        <v>53</v>
      </c>
      <c r="G86" s="14"/>
      <c r="H86" s="9"/>
    </row>
    <row r="87" spans="3:8" x14ac:dyDescent="0.25">
      <c r="C87" s="8"/>
      <c r="D87" s="45"/>
      <c r="E87" s="43"/>
      <c r="F87" s="4"/>
      <c r="G87" s="14"/>
      <c r="H87" s="9"/>
    </row>
    <row r="88" spans="3:8" x14ac:dyDescent="0.25">
      <c r="C88" s="8"/>
      <c r="D88" s="45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19"/>
      <c r="D92" s="20"/>
      <c r="E92" s="20" t="s">
        <v>42</v>
      </c>
      <c r="F92" s="4"/>
      <c r="G92" s="14"/>
      <c r="H92" s="9"/>
    </row>
    <row r="93" spans="3:8" x14ac:dyDescent="0.25">
      <c r="C93" s="34"/>
      <c r="D93" s="42"/>
      <c r="E93" s="2" t="s">
        <v>1989</v>
      </c>
      <c r="F93" s="14">
        <v>-1190</v>
      </c>
      <c r="G93" s="14"/>
      <c r="H93" s="9"/>
    </row>
    <row r="94" spans="3:8" x14ac:dyDescent="0.25">
      <c r="C94" s="34"/>
      <c r="D94" s="42"/>
      <c r="E94" s="2" t="s">
        <v>1990</v>
      </c>
      <c r="F94" s="14">
        <v>-2592</v>
      </c>
      <c r="G94" s="14"/>
      <c r="H94" s="9"/>
    </row>
    <row r="95" spans="3:8" x14ac:dyDescent="0.25">
      <c r="C95" s="34"/>
      <c r="D95" s="42"/>
      <c r="E95" s="2" t="s">
        <v>1991</v>
      </c>
      <c r="F95" s="14">
        <v>-185</v>
      </c>
      <c r="G95" s="14"/>
      <c r="H95" s="9"/>
    </row>
    <row r="96" spans="3:8" x14ac:dyDescent="0.25">
      <c r="C96" s="34"/>
      <c r="D96" s="42"/>
      <c r="E96" s="2" t="s">
        <v>1992</v>
      </c>
      <c r="F96" s="14">
        <v>-138</v>
      </c>
      <c r="G96" s="14"/>
      <c r="H96" s="9"/>
    </row>
    <row r="97" spans="3:8" x14ac:dyDescent="0.25">
      <c r="C97" s="34"/>
      <c r="D97" s="42"/>
      <c r="E97" s="2" t="s">
        <v>1468</v>
      </c>
      <c r="F97" s="14">
        <v>-100</v>
      </c>
      <c r="G97" s="14"/>
      <c r="H97" s="9"/>
    </row>
    <row r="98" spans="3:8" x14ac:dyDescent="0.25">
      <c r="C98" s="8"/>
      <c r="D98" s="2"/>
      <c r="E98" s="2" t="s">
        <v>1981</v>
      </c>
      <c r="F98" s="14">
        <v>-10</v>
      </c>
      <c r="G98" s="14"/>
      <c r="H98" s="9"/>
    </row>
    <row r="99" spans="3:8" x14ac:dyDescent="0.25">
      <c r="C99" s="8"/>
      <c r="D99" s="2"/>
      <c r="E99" s="2" t="s">
        <v>2073</v>
      </c>
      <c r="F99" s="14">
        <v>-40</v>
      </c>
      <c r="G99" s="14"/>
      <c r="H99" s="9"/>
    </row>
    <row r="100" spans="3:8" x14ac:dyDescent="0.25">
      <c r="C100" s="8"/>
      <c r="D100" s="2"/>
      <c r="E100" s="2" t="s">
        <v>1362</v>
      </c>
      <c r="F100" s="14">
        <v>-40</v>
      </c>
      <c r="G100" s="14"/>
      <c r="H100" s="9"/>
    </row>
    <row r="101" spans="3:8" x14ac:dyDescent="0.25">
      <c r="C101" s="8"/>
      <c r="D101" s="2"/>
      <c r="E101" s="2" t="s">
        <v>1363</v>
      </c>
      <c r="F101" s="14">
        <v>-50</v>
      </c>
      <c r="G101" s="14"/>
      <c r="H101" s="9"/>
    </row>
    <row r="102" spans="3:8" x14ac:dyDescent="0.25">
      <c r="C102" s="8"/>
      <c r="D102" s="2"/>
      <c r="E102" s="2" t="s">
        <v>2074</v>
      </c>
      <c r="F102" s="14">
        <v>-350</v>
      </c>
      <c r="G102" s="14"/>
      <c r="H102" s="9"/>
    </row>
    <row r="103" spans="3:8" x14ac:dyDescent="0.25">
      <c r="C103" s="8"/>
      <c r="D103" s="2"/>
      <c r="E103" s="2" t="s">
        <v>1478</v>
      </c>
      <c r="F103" s="14">
        <v>-5547.5</v>
      </c>
      <c r="G103" s="14"/>
      <c r="H103" s="9"/>
    </row>
    <row r="104" spans="3:8" x14ac:dyDescent="0.25">
      <c r="C104" s="8"/>
      <c r="D104" s="2"/>
      <c r="E104" s="2" t="s">
        <v>2075</v>
      </c>
      <c r="F104" s="14">
        <v>-20</v>
      </c>
      <c r="G104" s="14"/>
      <c r="H104" s="9"/>
    </row>
    <row r="105" spans="3:8" x14ac:dyDescent="0.25">
      <c r="C105" s="8"/>
      <c r="D105" s="2"/>
      <c r="E105" s="2" t="s">
        <v>2076</v>
      </c>
      <c r="F105" s="14">
        <v>-4</v>
      </c>
      <c r="G105" s="14"/>
      <c r="H105" s="9"/>
    </row>
    <row r="106" spans="3:8" x14ac:dyDescent="0.25">
      <c r="C106" s="8"/>
      <c r="D106" s="2"/>
      <c r="E106" s="2"/>
      <c r="F106" s="14"/>
      <c r="G106" s="14"/>
      <c r="H106" s="9"/>
    </row>
    <row r="107" spans="3:8" x14ac:dyDescent="0.25">
      <c r="C107" s="8"/>
      <c r="D107" s="2"/>
      <c r="E107" s="2"/>
      <c r="F107" s="4"/>
      <c r="G107" s="14"/>
      <c r="H107" s="9"/>
    </row>
    <row r="108" spans="3:8" ht="15.75" thickBot="1" x14ac:dyDescent="0.3">
      <c r="C108" s="10"/>
      <c r="D108" s="11"/>
      <c r="E108" s="11" t="s">
        <v>44</v>
      </c>
      <c r="F108" s="12">
        <f>SUM(F6:F107)</f>
        <v>14215.3</v>
      </c>
      <c r="G108" s="15">
        <f>SUM(G6:G107)</f>
        <v>1640</v>
      </c>
      <c r="H108" s="13">
        <f>SUM(H6:H107)</f>
        <v>12108.55</v>
      </c>
    </row>
    <row r="111" spans="3:8" ht="18.75" x14ac:dyDescent="0.3">
      <c r="E111" s="38" t="s">
        <v>49</v>
      </c>
      <c r="F111" s="39">
        <f>+H4+F108</f>
        <v>17308.05</v>
      </c>
    </row>
    <row r="114" spans="10:10" x14ac:dyDescent="0.25">
      <c r="J114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25BB-FA03-484E-B266-65C22F1052EA}">
  <sheetPr codeName="Hoja20"/>
  <dimension ref="C2:J127"/>
  <sheetViews>
    <sheetView topLeftCell="A88" workbookViewId="0">
      <selection activeCell="J102" sqref="J102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2077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17308.05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2092</v>
      </c>
      <c r="E6" s="2" t="s">
        <v>2093</v>
      </c>
      <c r="F6" s="4"/>
      <c r="G6" s="14"/>
      <c r="H6" s="9">
        <v>454.5</v>
      </c>
    </row>
    <row r="7" spans="3:8" x14ac:dyDescent="0.25">
      <c r="C7" s="8"/>
      <c r="D7" s="2" t="s">
        <v>2094</v>
      </c>
      <c r="E7" s="2" t="s">
        <v>440</v>
      </c>
      <c r="F7" s="4">
        <v>31</v>
      </c>
      <c r="G7" s="14"/>
      <c r="H7" s="9"/>
    </row>
    <row r="8" spans="3:8" x14ac:dyDescent="0.25">
      <c r="C8" s="8"/>
      <c r="D8" s="2" t="s">
        <v>2095</v>
      </c>
      <c r="E8" s="2" t="s">
        <v>440</v>
      </c>
      <c r="F8" s="4">
        <v>6</v>
      </c>
      <c r="G8" s="14"/>
      <c r="H8" s="9"/>
    </row>
    <row r="9" spans="3:8" x14ac:dyDescent="0.25">
      <c r="C9" s="8"/>
      <c r="D9" s="2" t="s">
        <v>2096</v>
      </c>
      <c r="E9" s="2" t="s">
        <v>1564</v>
      </c>
      <c r="F9" s="4"/>
      <c r="G9" s="14"/>
      <c r="H9" s="9">
        <v>55.5</v>
      </c>
    </row>
    <row r="10" spans="3:8" x14ac:dyDescent="0.25">
      <c r="C10" s="8"/>
      <c r="D10" s="2" t="s">
        <v>2097</v>
      </c>
      <c r="E10" s="2" t="s">
        <v>440</v>
      </c>
      <c r="F10" s="4">
        <v>1</v>
      </c>
      <c r="G10" s="14"/>
      <c r="H10" s="9"/>
    </row>
    <row r="11" spans="3:8" x14ac:dyDescent="0.25">
      <c r="C11" s="8"/>
      <c r="D11" s="2" t="s">
        <v>2098</v>
      </c>
      <c r="E11" s="2" t="s">
        <v>440</v>
      </c>
      <c r="F11" s="4"/>
      <c r="G11" s="14"/>
      <c r="H11" s="9">
        <v>5.5</v>
      </c>
    </row>
    <row r="12" spans="3:8" x14ac:dyDescent="0.25">
      <c r="C12" s="8"/>
      <c r="D12" s="2" t="s">
        <v>2099</v>
      </c>
      <c r="E12" s="2" t="s">
        <v>440</v>
      </c>
      <c r="F12" s="4">
        <v>9</v>
      </c>
      <c r="G12" s="14"/>
      <c r="H12" s="9"/>
    </row>
    <row r="13" spans="3:8" x14ac:dyDescent="0.25">
      <c r="C13" s="8"/>
      <c r="D13" s="2" t="s">
        <v>2100</v>
      </c>
      <c r="E13" s="2" t="s">
        <v>440</v>
      </c>
      <c r="F13" s="4">
        <v>29.5</v>
      </c>
      <c r="G13" s="14"/>
      <c r="H13" s="9"/>
    </row>
    <row r="14" spans="3:8" x14ac:dyDescent="0.25">
      <c r="C14" s="8"/>
      <c r="D14" s="2" t="s">
        <v>2101</v>
      </c>
      <c r="E14" s="2" t="s">
        <v>212</v>
      </c>
      <c r="F14" s="4"/>
      <c r="G14" s="14">
        <v>255</v>
      </c>
      <c r="H14" s="9"/>
    </row>
    <row r="15" spans="3:8" x14ac:dyDescent="0.25">
      <c r="C15" s="8"/>
      <c r="D15" s="2" t="s">
        <v>2102</v>
      </c>
      <c r="E15" s="2" t="s">
        <v>294</v>
      </c>
      <c r="F15" s="4">
        <v>287.5</v>
      </c>
      <c r="G15" s="14"/>
      <c r="H15" s="9"/>
    </row>
    <row r="16" spans="3:8" x14ac:dyDescent="0.25">
      <c r="C16" s="8"/>
      <c r="D16" s="2" t="s">
        <v>2103</v>
      </c>
      <c r="E16" s="2" t="s">
        <v>440</v>
      </c>
      <c r="F16" s="4">
        <v>3.5</v>
      </c>
      <c r="G16" s="14"/>
      <c r="H16" s="9"/>
    </row>
    <row r="17" spans="3:8" x14ac:dyDescent="0.25">
      <c r="C17" s="8"/>
      <c r="D17" s="2" t="s">
        <v>2104</v>
      </c>
      <c r="E17" s="2" t="s">
        <v>266</v>
      </c>
      <c r="F17" s="4"/>
      <c r="G17" s="14">
        <v>642</v>
      </c>
      <c r="H17" s="9"/>
    </row>
    <row r="18" spans="3:8" x14ac:dyDescent="0.25">
      <c r="C18" s="8"/>
      <c r="D18" s="2" t="s">
        <v>2105</v>
      </c>
      <c r="E18" s="2" t="s">
        <v>440</v>
      </c>
      <c r="F18" s="4">
        <v>5</v>
      </c>
      <c r="G18" s="14"/>
      <c r="H18" s="9"/>
    </row>
    <row r="19" spans="3:8" x14ac:dyDescent="0.25">
      <c r="C19" s="8"/>
      <c r="D19" s="2" t="s">
        <v>2106</v>
      </c>
      <c r="E19" s="2" t="s">
        <v>440</v>
      </c>
      <c r="F19" s="4">
        <v>80</v>
      </c>
      <c r="G19" s="14"/>
      <c r="H19" s="9"/>
    </row>
    <row r="20" spans="3:8" x14ac:dyDescent="0.25">
      <c r="C20" s="8"/>
      <c r="D20" s="2" t="s">
        <v>2107</v>
      </c>
      <c r="E20" s="2" t="s">
        <v>2149</v>
      </c>
      <c r="F20" s="4"/>
      <c r="G20" s="14"/>
      <c r="H20" s="9">
        <v>140</v>
      </c>
    </row>
    <row r="21" spans="3:8" x14ac:dyDescent="0.25">
      <c r="C21" s="8"/>
      <c r="D21" s="2" t="s">
        <v>2108</v>
      </c>
      <c r="E21" s="2" t="s">
        <v>2148</v>
      </c>
      <c r="F21" s="4"/>
      <c r="G21" s="14"/>
      <c r="H21" s="9">
        <v>1695</v>
      </c>
    </row>
    <row r="22" spans="3:8" x14ac:dyDescent="0.25">
      <c r="C22" s="8"/>
      <c r="D22" s="2" t="s">
        <v>2109</v>
      </c>
      <c r="E22" s="2" t="s">
        <v>2147</v>
      </c>
      <c r="F22" s="4"/>
      <c r="G22" s="14"/>
      <c r="H22" s="9">
        <v>1130</v>
      </c>
    </row>
    <row r="23" spans="3:8" x14ac:dyDescent="0.25">
      <c r="C23" s="8"/>
      <c r="D23" s="2" t="s">
        <v>2110</v>
      </c>
      <c r="E23" s="2" t="s">
        <v>440</v>
      </c>
      <c r="F23" s="4"/>
      <c r="G23" s="14"/>
      <c r="H23" s="9">
        <v>26</v>
      </c>
    </row>
    <row r="24" spans="3:8" x14ac:dyDescent="0.25">
      <c r="C24" s="8"/>
      <c r="D24" s="2" t="s">
        <v>2111</v>
      </c>
      <c r="E24" s="2" t="s">
        <v>266</v>
      </c>
      <c r="F24" s="4"/>
      <c r="G24" s="14">
        <v>112</v>
      </c>
      <c r="H24" s="9"/>
    </row>
    <row r="25" spans="3:8" x14ac:dyDescent="0.25">
      <c r="C25" s="8"/>
      <c r="D25" s="2" t="s">
        <v>2112</v>
      </c>
      <c r="E25" s="2" t="s">
        <v>440</v>
      </c>
      <c r="F25" s="4">
        <v>27</v>
      </c>
      <c r="G25" s="14"/>
      <c r="H25" s="9"/>
    </row>
    <row r="26" spans="3:8" x14ac:dyDescent="0.25">
      <c r="C26" s="8"/>
      <c r="D26" s="2" t="s">
        <v>2113</v>
      </c>
      <c r="E26" s="2" t="s">
        <v>440</v>
      </c>
      <c r="F26" s="4">
        <v>3</v>
      </c>
      <c r="G26" s="14"/>
      <c r="H26" s="9"/>
    </row>
    <row r="27" spans="3:8" x14ac:dyDescent="0.25">
      <c r="C27" s="8"/>
      <c r="D27" s="2" t="s">
        <v>2114</v>
      </c>
      <c r="E27" s="2" t="s">
        <v>2146</v>
      </c>
      <c r="F27" s="4">
        <v>906</v>
      </c>
      <c r="G27" s="14"/>
      <c r="H27" s="9"/>
    </row>
    <row r="28" spans="3:8" x14ac:dyDescent="0.25">
      <c r="C28" s="8"/>
      <c r="D28" s="2" t="s">
        <v>2115</v>
      </c>
      <c r="E28" s="2" t="s">
        <v>440</v>
      </c>
      <c r="F28" s="4">
        <v>59.5</v>
      </c>
      <c r="G28" s="14"/>
      <c r="H28" s="9"/>
    </row>
    <row r="29" spans="3:8" x14ac:dyDescent="0.25">
      <c r="C29" s="8"/>
      <c r="D29" s="2" t="s">
        <v>2116</v>
      </c>
      <c r="E29" s="2" t="s">
        <v>440</v>
      </c>
      <c r="F29" s="4">
        <v>31</v>
      </c>
      <c r="G29" s="14"/>
      <c r="H29" s="9"/>
    </row>
    <row r="30" spans="3:8" x14ac:dyDescent="0.25">
      <c r="C30" s="8"/>
      <c r="D30" s="2" t="s">
        <v>2117</v>
      </c>
      <c r="E30" s="2" t="s">
        <v>2145</v>
      </c>
      <c r="F30" s="4">
        <v>1680</v>
      </c>
      <c r="G30" s="14"/>
      <c r="H30" s="9"/>
    </row>
    <row r="31" spans="3:8" x14ac:dyDescent="0.25">
      <c r="C31" s="8"/>
      <c r="D31" s="2" t="s">
        <v>2118</v>
      </c>
      <c r="E31" s="2" t="s">
        <v>2145</v>
      </c>
      <c r="F31" s="4"/>
      <c r="G31" s="14"/>
      <c r="H31" s="9">
        <v>409</v>
      </c>
    </row>
    <row r="32" spans="3:8" x14ac:dyDescent="0.25">
      <c r="C32" s="8"/>
      <c r="D32" s="2" t="s">
        <v>2119</v>
      </c>
      <c r="E32" s="2" t="s">
        <v>440</v>
      </c>
      <c r="F32" s="4">
        <v>2</v>
      </c>
      <c r="G32" s="14"/>
      <c r="H32" s="9"/>
    </row>
    <row r="33" spans="3:8" x14ac:dyDescent="0.25">
      <c r="C33" s="8"/>
      <c r="D33" s="2" t="s">
        <v>2120</v>
      </c>
      <c r="E33" s="2" t="s">
        <v>1006</v>
      </c>
      <c r="F33" s="4"/>
      <c r="G33" s="14"/>
      <c r="H33" s="9">
        <v>334</v>
      </c>
    </row>
    <row r="34" spans="3:8" x14ac:dyDescent="0.25">
      <c r="C34" s="8"/>
      <c r="D34" s="2" t="s">
        <v>2121</v>
      </c>
      <c r="E34" s="2" t="s">
        <v>440</v>
      </c>
      <c r="F34" s="4">
        <v>45</v>
      </c>
      <c r="G34" s="14"/>
      <c r="H34" s="9"/>
    </row>
    <row r="35" spans="3:8" x14ac:dyDescent="0.25">
      <c r="C35" s="8"/>
      <c r="D35" s="2" t="s">
        <v>2122</v>
      </c>
      <c r="E35" s="2" t="s">
        <v>1855</v>
      </c>
      <c r="F35" s="4">
        <v>153.6</v>
      </c>
      <c r="G35" s="14"/>
      <c r="H35" s="9">
        <v>270.39999999999998</v>
      </c>
    </row>
    <row r="36" spans="3:8" x14ac:dyDescent="0.25">
      <c r="C36" s="8"/>
      <c r="D36" s="2" t="s">
        <v>2123</v>
      </c>
      <c r="E36" s="2" t="s">
        <v>440</v>
      </c>
      <c r="F36" s="4">
        <v>31</v>
      </c>
      <c r="G36" s="14"/>
      <c r="H36" s="9"/>
    </row>
    <row r="37" spans="3:8" x14ac:dyDescent="0.25">
      <c r="C37" s="8"/>
      <c r="D37" s="2" t="s">
        <v>2124</v>
      </c>
      <c r="E37" s="2" t="s">
        <v>1153</v>
      </c>
      <c r="F37" s="4"/>
      <c r="G37" s="14">
        <v>1340</v>
      </c>
      <c r="H37" s="9"/>
    </row>
    <row r="38" spans="3:8" x14ac:dyDescent="0.25">
      <c r="C38" s="8"/>
      <c r="D38" s="2" t="s">
        <v>2125</v>
      </c>
      <c r="E38" s="2" t="s">
        <v>1564</v>
      </c>
      <c r="F38" s="4"/>
      <c r="G38" s="14"/>
      <c r="H38" s="9">
        <v>62</v>
      </c>
    </row>
    <row r="39" spans="3:8" x14ac:dyDescent="0.25">
      <c r="C39" s="8"/>
      <c r="D39" s="2" t="s">
        <v>2126</v>
      </c>
      <c r="E39" s="2" t="s">
        <v>440</v>
      </c>
      <c r="F39" s="4"/>
      <c r="G39" s="14"/>
      <c r="H39" s="9">
        <v>21</v>
      </c>
    </row>
    <row r="40" spans="3:8" x14ac:dyDescent="0.25">
      <c r="C40" s="8"/>
      <c r="D40" s="2" t="s">
        <v>2127</v>
      </c>
      <c r="E40" s="2" t="s">
        <v>266</v>
      </c>
      <c r="F40" s="4"/>
      <c r="G40" s="14">
        <v>584.4</v>
      </c>
      <c r="H40" s="9"/>
    </row>
    <row r="41" spans="3:8" x14ac:dyDescent="0.25">
      <c r="C41" s="8"/>
      <c r="D41" s="2" t="s">
        <v>2128</v>
      </c>
      <c r="E41" s="2" t="s">
        <v>440</v>
      </c>
      <c r="F41" s="4">
        <v>15</v>
      </c>
      <c r="G41" s="14"/>
      <c r="H41" s="9"/>
    </row>
    <row r="42" spans="3:8" x14ac:dyDescent="0.25">
      <c r="C42" s="8"/>
      <c r="D42" s="2" t="s">
        <v>2174</v>
      </c>
      <c r="E42" s="2"/>
      <c r="F42" s="4"/>
      <c r="G42" s="14"/>
      <c r="H42" s="9"/>
    </row>
    <row r="43" spans="3:8" x14ac:dyDescent="0.25">
      <c r="C43" s="8"/>
      <c r="D43" s="2" t="s">
        <v>2070</v>
      </c>
      <c r="E43" s="2" t="s">
        <v>2144</v>
      </c>
      <c r="F43" s="4">
        <v>80</v>
      </c>
      <c r="G43" s="14"/>
      <c r="H43" s="9"/>
    </row>
    <row r="44" spans="3:8" x14ac:dyDescent="0.25">
      <c r="C44" s="8"/>
      <c r="D44" s="2" t="s">
        <v>2129</v>
      </c>
      <c r="E44" s="2" t="s">
        <v>2143</v>
      </c>
      <c r="F44" s="4">
        <v>48</v>
      </c>
      <c r="G44" s="14"/>
      <c r="H44" s="9"/>
    </row>
    <row r="45" spans="3:8" x14ac:dyDescent="0.25">
      <c r="C45" s="8"/>
      <c r="D45" s="2" t="s">
        <v>2130</v>
      </c>
      <c r="E45" s="2" t="s">
        <v>48</v>
      </c>
      <c r="F45" s="4">
        <v>4</v>
      </c>
      <c r="G45" s="14"/>
      <c r="H45" s="9"/>
    </row>
    <row r="46" spans="3:8" x14ac:dyDescent="0.25">
      <c r="C46" s="8"/>
      <c r="D46" s="2" t="s">
        <v>2131</v>
      </c>
      <c r="E46" s="2" t="s">
        <v>48</v>
      </c>
      <c r="F46" s="4">
        <v>10</v>
      </c>
      <c r="G46" s="14"/>
      <c r="H46" s="9"/>
    </row>
    <row r="47" spans="3:8" x14ac:dyDescent="0.25">
      <c r="C47" s="8"/>
      <c r="D47" s="2" t="s">
        <v>2132</v>
      </c>
      <c r="E47" s="2" t="s">
        <v>294</v>
      </c>
      <c r="F47" s="4">
        <v>180</v>
      </c>
      <c r="G47" s="14"/>
      <c r="H47" s="9"/>
    </row>
    <row r="48" spans="3:8" x14ac:dyDescent="0.25">
      <c r="C48" s="8"/>
      <c r="D48" s="2" t="s">
        <v>2133</v>
      </c>
      <c r="E48" s="2" t="s">
        <v>1816</v>
      </c>
      <c r="F48" s="4">
        <v>91.5</v>
      </c>
      <c r="G48" s="14"/>
      <c r="H48" s="9"/>
    </row>
    <row r="49" spans="3:8" x14ac:dyDescent="0.25">
      <c r="C49" s="8"/>
      <c r="D49" s="2" t="s">
        <v>2134</v>
      </c>
      <c r="E49" s="2" t="s">
        <v>2142</v>
      </c>
      <c r="F49" s="4">
        <v>1915.5</v>
      </c>
      <c r="G49" s="14"/>
      <c r="H49" s="9"/>
    </row>
    <row r="50" spans="3:8" x14ac:dyDescent="0.25">
      <c r="C50" s="8"/>
      <c r="D50" s="2" t="s">
        <v>2135</v>
      </c>
      <c r="E50" s="2" t="s">
        <v>48</v>
      </c>
      <c r="F50" s="4"/>
      <c r="G50" s="14"/>
      <c r="H50" s="9">
        <v>37.5</v>
      </c>
    </row>
    <row r="51" spans="3:8" x14ac:dyDescent="0.25">
      <c r="C51" s="8"/>
      <c r="D51" s="2" t="s">
        <v>2136</v>
      </c>
      <c r="E51" s="2" t="s">
        <v>58</v>
      </c>
      <c r="F51" s="4"/>
      <c r="G51" s="14"/>
      <c r="H51" s="9">
        <v>326</v>
      </c>
    </row>
    <row r="52" spans="3:8" x14ac:dyDescent="0.25">
      <c r="C52" s="8"/>
      <c r="D52" s="2" t="s">
        <v>2137</v>
      </c>
      <c r="E52" s="2" t="s">
        <v>1938</v>
      </c>
      <c r="F52" s="4">
        <v>62</v>
      </c>
      <c r="G52" s="14"/>
      <c r="H52" s="9"/>
    </row>
    <row r="53" spans="3:8" x14ac:dyDescent="0.25">
      <c r="C53" s="8"/>
      <c r="D53" s="2" t="s">
        <v>2138</v>
      </c>
      <c r="E53" s="2" t="s">
        <v>48</v>
      </c>
      <c r="F53" s="4">
        <v>1</v>
      </c>
      <c r="G53" s="14"/>
      <c r="H53" s="9"/>
    </row>
    <row r="54" spans="3:8" x14ac:dyDescent="0.25">
      <c r="C54" s="8"/>
      <c r="D54" s="2" t="s">
        <v>2139</v>
      </c>
      <c r="E54" s="2" t="s">
        <v>48</v>
      </c>
      <c r="F54" s="4">
        <v>5.5</v>
      </c>
      <c r="G54" s="14"/>
      <c r="H54" s="9"/>
    </row>
    <row r="55" spans="3:8" x14ac:dyDescent="0.25">
      <c r="C55" s="8"/>
      <c r="D55" s="2" t="s">
        <v>2140</v>
      </c>
      <c r="E55" s="2" t="s">
        <v>48</v>
      </c>
      <c r="F55" s="4">
        <v>4</v>
      </c>
      <c r="G55" s="14"/>
      <c r="H55" s="9"/>
    </row>
    <row r="56" spans="3:8" x14ac:dyDescent="0.25">
      <c r="C56" s="8"/>
      <c r="D56" s="2" t="s">
        <v>2141</v>
      </c>
      <c r="E56" s="2" t="s">
        <v>48</v>
      </c>
      <c r="F56" s="4">
        <v>29</v>
      </c>
      <c r="G56" s="14"/>
      <c r="H56" s="9"/>
    </row>
    <row r="57" spans="3:8" x14ac:dyDescent="0.25">
      <c r="C57" s="8"/>
      <c r="D57" s="2" t="s">
        <v>2158</v>
      </c>
      <c r="E57" s="2" t="s">
        <v>48</v>
      </c>
      <c r="F57" s="4">
        <v>3</v>
      </c>
      <c r="G57" s="14"/>
      <c r="H57" s="9"/>
    </row>
    <row r="58" spans="3:8" x14ac:dyDescent="0.25">
      <c r="C58" s="8"/>
      <c r="D58" s="2" t="s">
        <v>2159</v>
      </c>
      <c r="E58" s="2" t="s">
        <v>48</v>
      </c>
      <c r="F58" s="4">
        <v>56</v>
      </c>
      <c r="G58" s="14"/>
      <c r="H58" s="9"/>
    </row>
    <row r="59" spans="3:8" x14ac:dyDescent="0.25">
      <c r="C59" s="8"/>
      <c r="D59" s="2" t="s">
        <v>2160</v>
      </c>
      <c r="E59" s="2" t="s">
        <v>48</v>
      </c>
      <c r="F59" s="4">
        <v>3</v>
      </c>
      <c r="G59" s="14"/>
      <c r="H59" s="9"/>
    </row>
    <row r="60" spans="3:8" x14ac:dyDescent="0.25">
      <c r="C60" s="8"/>
      <c r="D60" s="2" t="s">
        <v>2161</v>
      </c>
      <c r="E60" s="2" t="s">
        <v>48</v>
      </c>
      <c r="F60" s="4">
        <v>33.5</v>
      </c>
      <c r="G60" s="14"/>
      <c r="H60" s="9"/>
    </row>
    <row r="61" spans="3:8" x14ac:dyDescent="0.25">
      <c r="C61" s="8"/>
      <c r="D61" s="2" t="s">
        <v>2249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8" x14ac:dyDescent="0.25">
      <c r="C65" s="8"/>
      <c r="D65" s="45" t="s">
        <v>2083</v>
      </c>
      <c r="E65" s="2" t="s">
        <v>2084</v>
      </c>
      <c r="F65" s="4">
        <v>39.4</v>
      </c>
      <c r="G65" s="14"/>
      <c r="H65" s="9"/>
    </row>
    <row r="66" spans="3:8" x14ac:dyDescent="0.25">
      <c r="C66" s="8"/>
      <c r="D66" s="45"/>
      <c r="E66" s="2"/>
      <c r="F66" s="4"/>
      <c r="G66" s="14"/>
      <c r="H66" s="9"/>
    </row>
    <row r="67" spans="3:8" x14ac:dyDescent="0.25">
      <c r="C67" s="8"/>
      <c r="D67" s="45"/>
      <c r="E67" s="2"/>
      <c r="F67" s="4"/>
      <c r="G67" s="14"/>
      <c r="H67" s="9"/>
    </row>
    <row r="68" spans="3:8" x14ac:dyDescent="0.25">
      <c r="C68" s="8"/>
      <c r="D68" s="45"/>
      <c r="E68" s="2"/>
      <c r="F68" s="4"/>
      <c r="G68" s="14"/>
      <c r="H68" s="9"/>
    </row>
    <row r="69" spans="3:8" x14ac:dyDescent="0.25">
      <c r="C69" s="8"/>
      <c r="D69" s="45" t="s">
        <v>2085</v>
      </c>
      <c r="E69" s="2" t="s">
        <v>229</v>
      </c>
      <c r="F69" s="4"/>
      <c r="G69" s="14"/>
      <c r="H69" s="9">
        <v>140</v>
      </c>
    </row>
    <row r="70" spans="3:8" x14ac:dyDescent="0.25">
      <c r="C70" s="8"/>
      <c r="D70" s="45" t="s">
        <v>2086</v>
      </c>
      <c r="E70" s="2" t="s">
        <v>229</v>
      </c>
      <c r="F70" s="4"/>
      <c r="G70" s="14"/>
      <c r="H70" s="9">
        <v>106</v>
      </c>
    </row>
    <row r="71" spans="3:8" x14ac:dyDescent="0.25">
      <c r="C71" s="8"/>
      <c r="D71" s="45" t="s">
        <v>2087</v>
      </c>
      <c r="E71" s="40" t="s">
        <v>955</v>
      </c>
      <c r="F71" s="4"/>
      <c r="G71" s="14"/>
      <c r="H71" s="9">
        <v>887.5</v>
      </c>
    </row>
    <row r="72" spans="3:8" x14ac:dyDescent="0.25">
      <c r="C72" s="8"/>
      <c r="D72" s="45" t="s">
        <v>2088</v>
      </c>
      <c r="E72" s="2" t="s">
        <v>955</v>
      </c>
      <c r="F72" s="4"/>
      <c r="G72" s="14"/>
      <c r="H72" s="9">
        <v>68</v>
      </c>
    </row>
    <row r="73" spans="3:8" x14ac:dyDescent="0.25">
      <c r="C73" s="8"/>
      <c r="D73" s="45" t="s">
        <v>2089</v>
      </c>
      <c r="E73" s="2" t="s">
        <v>955</v>
      </c>
      <c r="F73" s="4"/>
      <c r="G73" s="14"/>
      <c r="H73" s="9">
        <v>125</v>
      </c>
    </row>
    <row r="74" spans="3:8" x14ac:dyDescent="0.25">
      <c r="C74" s="8"/>
      <c r="D74" s="45" t="s">
        <v>2090</v>
      </c>
      <c r="E74" s="2" t="s">
        <v>1257</v>
      </c>
      <c r="F74" s="4"/>
      <c r="G74" s="14"/>
      <c r="H74" s="9">
        <v>5928</v>
      </c>
    </row>
    <row r="75" spans="3:8" x14ac:dyDescent="0.25">
      <c r="C75" s="8"/>
      <c r="D75" s="45" t="s">
        <v>2091</v>
      </c>
      <c r="E75" s="2" t="s">
        <v>141</v>
      </c>
      <c r="F75" s="4">
        <v>1600</v>
      </c>
      <c r="G75" s="14"/>
      <c r="H75" s="9"/>
    </row>
    <row r="76" spans="3:8" x14ac:dyDescent="0.25">
      <c r="C76" s="8"/>
      <c r="D76" s="45" t="s">
        <v>2162</v>
      </c>
      <c r="E76" s="2" t="s">
        <v>2163</v>
      </c>
      <c r="F76" s="4"/>
      <c r="G76" s="14"/>
      <c r="H76" s="9">
        <v>950</v>
      </c>
    </row>
    <row r="77" spans="3:8" x14ac:dyDescent="0.25">
      <c r="C77" s="8"/>
      <c r="D77" s="45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6"/>
      <c r="D79" s="17"/>
      <c r="E79" s="17" t="s">
        <v>39</v>
      </c>
      <c r="F79" s="4"/>
      <c r="G79" s="14"/>
      <c r="H79" s="9"/>
    </row>
    <row r="80" spans="3:8" x14ac:dyDescent="0.25">
      <c r="C80" s="8"/>
      <c r="D80" s="45"/>
      <c r="E80" s="2" t="s">
        <v>1291</v>
      </c>
      <c r="F80" s="4">
        <v>196.8</v>
      </c>
      <c r="G80" s="14"/>
      <c r="H80" s="9"/>
    </row>
    <row r="81" spans="3:8" x14ac:dyDescent="0.25">
      <c r="C81" s="8"/>
      <c r="D81" s="45"/>
      <c r="E81" s="2" t="s">
        <v>2166</v>
      </c>
      <c r="F81" s="4">
        <v>8</v>
      </c>
      <c r="G81" s="14"/>
      <c r="H81" s="9"/>
    </row>
    <row r="82" spans="3:8" x14ac:dyDescent="0.25">
      <c r="C82" s="8"/>
      <c r="D82" s="45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19"/>
      <c r="D86" s="20"/>
      <c r="E86" s="20" t="s">
        <v>42</v>
      </c>
      <c r="F86" s="4"/>
      <c r="G86" s="14"/>
      <c r="H86" s="9"/>
    </row>
    <row r="87" spans="3:8" x14ac:dyDescent="0.25">
      <c r="C87" s="34"/>
      <c r="D87" s="42" t="s">
        <v>160</v>
      </c>
      <c r="E87" s="2" t="s">
        <v>2078</v>
      </c>
      <c r="F87" s="14">
        <v>-1890</v>
      </c>
      <c r="G87" s="14"/>
      <c r="H87" s="9"/>
    </row>
    <row r="88" spans="3:8" x14ac:dyDescent="0.25">
      <c r="C88" s="34"/>
      <c r="D88" s="42" t="s">
        <v>160</v>
      </c>
      <c r="E88" s="2" t="s">
        <v>1760</v>
      </c>
      <c r="F88" s="14">
        <v>-1190</v>
      </c>
      <c r="G88" s="14"/>
      <c r="H88" s="9"/>
    </row>
    <row r="89" spans="3:8" x14ac:dyDescent="0.25">
      <c r="C89" s="34"/>
      <c r="D89" s="42"/>
      <c r="E89" s="2" t="s">
        <v>2079</v>
      </c>
      <c r="F89" s="14">
        <v>-817.5</v>
      </c>
      <c r="G89" s="14"/>
      <c r="H89" s="9"/>
    </row>
    <row r="90" spans="3:8" x14ac:dyDescent="0.25">
      <c r="C90" s="34"/>
      <c r="D90" s="42"/>
      <c r="E90" s="2" t="s">
        <v>2080</v>
      </c>
      <c r="F90" s="14">
        <v>-654</v>
      </c>
      <c r="G90" s="14"/>
      <c r="H90" s="9"/>
    </row>
    <row r="91" spans="3:8" x14ac:dyDescent="0.25">
      <c r="C91" s="34"/>
      <c r="D91" s="42"/>
      <c r="E91" s="2" t="s">
        <v>2170</v>
      </c>
      <c r="F91" s="14">
        <v>-1540</v>
      </c>
      <c r="G91" s="14"/>
      <c r="H91" s="9"/>
    </row>
    <row r="92" spans="3:8" x14ac:dyDescent="0.25">
      <c r="C92" s="8"/>
      <c r="D92" s="2"/>
      <c r="E92" s="2" t="s">
        <v>2081</v>
      </c>
      <c r="F92" s="14">
        <v>-3106.5</v>
      </c>
      <c r="G92" s="14"/>
      <c r="H92" s="9"/>
    </row>
    <row r="93" spans="3:8" x14ac:dyDescent="0.25">
      <c r="C93" s="8"/>
      <c r="D93" s="2" t="s">
        <v>160</v>
      </c>
      <c r="E93" s="2" t="s">
        <v>2082</v>
      </c>
      <c r="F93" s="14">
        <v>-350</v>
      </c>
      <c r="G93" s="14"/>
      <c r="H93" s="9"/>
    </row>
    <row r="94" spans="3:8" x14ac:dyDescent="0.25">
      <c r="C94" s="8"/>
      <c r="D94" s="2"/>
      <c r="E94" s="2" t="s">
        <v>2150</v>
      </c>
      <c r="F94" s="14">
        <v>-220</v>
      </c>
      <c r="G94" s="14"/>
      <c r="H94" s="9"/>
    </row>
    <row r="95" spans="3:8" x14ac:dyDescent="0.25">
      <c r="C95" s="8"/>
      <c r="D95" s="2"/>
      <c r="E95" s="2" t="s">
        <v>2151</v>
      </c>
      <c r="F95" s="14">
        <v>-324</v>
      </c>
      <c r="G95" s="14"/>
      <c r="H95" s="9"/>
    </row>
    <row r="96" spans="3:8" x14ac:dyDescent="0.25">
      <c r="C96" s="8"/>
      <c r="D96" s="2"/>
      <c r="E96" s="2" t="s">
        <v>2152</v>
      </c>
      <c r="F96" s="14">
        <v>-5</v>
      </c>
      <c r="G96" s="14"/>
      <c r="H96" s="9"/>
    </row>
    <row r="97" spans="3:8" x14ac:dyDescent="0.25">
      <c r="C97" s="8"/>
      <c r="D97" s="2"/>
      <c r="E97" s="2" t="s">
        <v>1250</v>
      </c>
      <c r="F97" s="14">
        <v>-30</v>
      </c>
      <c r="G97" s="14"/>
      <c r="H97" s="9"/>
    </row>
    <row r="98" spans="3:8" x14ac:dyDescent="0.25">
      <c r="C98" s="8"/>
      <c r="D98" s="2"/>
      <c r="E98" s="2" t="s">
        <v>2153</v>
      </c>
      <c r="F98" s="14">
        <v>-20</v>
      </c>
      <c r="G98" s="14"/>
      <c r="H98" s="9"/>
    </row>
    <row r="99" spans="3:8" x14ac:dyDescent="0.25">
      <c r="C99" s="8"/>
      <c r="D99" s="2"/>
      <c r="E99" s="2" t="s">
        <v>2154</v>
      </c>
      <c r="F99" s="14">
        <v>-100</v>
      </c>
      <c r="G99" s="14"/>
      <c r="H99" s="9"/>
    </row>
    <row r="100" spans="3:8" x14ac:dyDescent="0.25">
      <c r="C100" s="8"/>
      <c r="D100" s="2"/>
      <c r="E100" s="2" t="s">
        <v>1252</v>
      </c>
      <c r="F100" s="14">
        <v>-100</v>
      </c>
      <c r="G100" s="14"/>
      <c r="H100" s="9"/>
    </row>
    <row r="101" spans="3:8" x14ac:dyDescent="0.25">
      <c r="C101" s="8"/>
      <c r="D101" s="2"/>
      <c r="E101" s="2" t="s">
        <v>2155</v>
      </c>
      <c r="F101" s="14">
        <v>-8000</v>
      </c>
      <c r="G101" s="14"/>
      <c r="H101" s="9"/>
    </row>
    <row r="102" spans="3:8" x14ac:dyDescent="0.25">
      <c r="C102" s="8"/>
      <c r="D102" s="2"/>
      <c r="E102" s="2" t="s">
        <v>2075</v>
      </c>
      <c r="F102" s="14">
        <v>-140</v>
      </c>
      <c r="G102" s="14"/>
      <c r="H102" s="9"/>
    </row>
    <row r="103" spans="3:8" x14ac:dyDescent="0.25">
      <c r="C103" s="8"/>
      <c r="D103" s="2"/>
      <c r="E103" s="2" t="s">
        <v>1486</v>
      </c>
      <c r="F103" s="14">
        <v>-10</v>
      </c>
      <c r="G103" s="14"/>
      <c r="H103" s="9"/>
    </row>
    <row r="104" spans="3:8" x14ac:dyDescent="0.25">
      <c r="C104" s="8"/>
      <c r="D104" s="2"/>
      <c r="E104" s="2" t="s">
        <v>2156</v>
      </c>
      <c r="F104" s="14">
        <v>-30</v>
      </c>
      <c r="G104" s="14"/>
      <c r="H104" s="9"/>
    </row>
    <row r="105" spans="3:8" x14ac:dyDescent="0.25">
      <c r="C105" s="8"/>
      <c r="D105" s="2"/>
      <c r="E105" s="2" t="s">
        <v>2157</v>
      </c>
      <c r="F105" s="14">
        <v>-100</v>
      </c>
      <c r="G105" s="14"/>
      <c r="H105" s="9"/>
    </row>
    <row r="106" spans="3:8" x14ac:dyDescent="0.25">
      <c r="C106" s="8"/>
      <c r="D106" s="2"/>
      <c r="E106" s="2" t="s">
        <v>2164</v>
      </c>
      <c r="F106" s="14">
        <v>-20</v>
      </c>
      <c r="G106" s="14"/>
      <c r="H106" s="9"/>
    </row>
    <row r="107" spans="3:8" x14ac:dyDescent="0.25">
      <c r="C107" s="8"/>
      <c r="D107" s="2"/>
      <c r="E107" s="2" t="s">
        <v>2165</v>
      </c>
      <c r="F107" s="14">
        <v>-540</v>
      </c>
      <c r="G107" s="14"/>
      <c r="H107" s="9"/>
    </row>
    <row r="108" spans="3:8" x14ac:dyDescent="0.25">
      <c r="C108" s="8"/>
      <c r="D108" s="2"/>
      <c r="E108" s="2" t="s">
        <v>755</v>
      </c>
      <c r="F108" s="14">
        <v>-260</v>
      </c>
      <c r="G108" s="14"/>
      <c r="H108" s="9"/>
    </row>
    <row r="109" spans="3:8" x14ac:dyDescent="0.25">
      <c r="C109" s="8"/>
      <c r="D109" s="2"/>
      <c r="E109" s="2" t="s">
        <v>760</v>
      </c>
      <c r="F109" s="14">
        <v>-360</v>
      </c>
      <c r="G109" s="14"/>
      <c r="H109" s="9"/>
    </row>
    <row r="110" spans="3:8" x14ac:dyDescent="0.25">
      <c r="C110" s="8"/>
      <c r="D110" s="2"/>
      <c r="E110" s="2" t="s">
        <v>1481</v>
      </c>
      <c r="F110" s="14">
        <v>-410</v>
      </c>
      <c r="G110" s="14"/>
      <c r="H110" s="9"/>
    </row>
    <row r="111" spans="3:8" x14ac:dyDescent="0.25">
      <c r="C111" s="8"/>
      <c r="D111" s="2"/>
      <c r="E111" s="2" t="s">
        <v>759</v>
      </c>
      <c r="F111" s="14">
        <v>-525</v>
      </c>
      <c r="G111" s="14"/>
      <c r="H111" s="9"/>
    </row>
    <row r="112" spans="3:8" x14ac:dyDescent="0.25">
      <c r="C112" s="8"/>
      <c r="D112" s="2"/>
      <c r="E112" s="2" t="s">
        <v>758</v>
      </c>
      <c r="F112" s="14">
        <v>-260</v>
      </c>
      <c r="G112" s="14"/>
      <c r="H112" s="9"/>
    </row>
    <row r="113" spans="3:10" x14ac:dyDescent="0.25">
      <c r="C113" s="8"/>
      <c r="D113" s="2"/>
      <c r="E113" s="2" t="s">
        <v>1486</v>
      </c>
      <c r="F113" s="14">
        <v>-530</v>
      </c>
      <c r="G113" s="14"/>
      <c r="H113" s="9"/>
    </row>
    <row r="114" spans="3:10" x14ac:dyDescent="0.25">
      <c r="C114" s="8"/>
      <c r="D114" s="2"/>
      <c r="E114" s="2" t="s">
        <v>756</v>
      </c>
      <c r="F114" s="14">
        <v>-310</v>
      </c>
      <c r="G114" s="14"/>
      <c r="H114" s="9"/>
    </row>
    <row r="115" spans="3:10" x14ac:dyDescent="0.25">
      <c r="C115" s="8"/>
      <c r="D115" s="2"/>
      <c r="E115" s="2" t="s">
        <v>2167</v>
      </c>
      <c r="F115" s="14">
        <v>-150</v>
      </c>
      <c r="G115" s="14"/>
      <c r="H115" s="9"/>
    </row>
    <row r="116" spans="3:10" x14ac:dyDescent="0.25">
      <c r="C116" s="8"/>
      <c r="D116" s="2"/>
      <c r="E116" s="2" t="s">
        <v>2168</v>
      </c>
      <c r="F116" s="14">
        <v>-200</v>
      </c>
      <c r="G116" s="14"/>
      <c r="H116" s="9"/>
    </row>
    <row r="117" spans="3:10" x14ac:dyDescent="0.25">
      <c r="C117" s="8"/>
      <c r="D117" s="2"/>
      <c r="E117" s="2" t="s">
        <v>2169</v>
      </c>
      <c r="F117" s="14">
        <v>-470</v>
      </c>
      <c r="G117" s="14"/>
      <c r="H117" s="9"/>
    </row>
    <row r="118" spans="3:10" x14ac:dyDescent="0.25">
      <c r="C118" s="8"/>
      <c r="D118" s="2"/>
      <c r="E118" s="2" t="s">
        <v>1553</v>
      </c>
      <c r="F118" s="14">
        <v>-480</v>
      </c>
      <c r="G118" s="14"/>
      <c r="H118" s="9"/>
    </row>
    <row r="119" spans="3:10" x14ac:dyDescent="0.25">
      <c r="C119" s="8"/>
      <c r="D119" s="2"/>
      <c r="E119" s="2"/>
      <c r="F119" s="14"/>
      <c r="G119" s="14"/>
      <c r="H119" s="9"/>
    </row>
    <row r="120" spans="3:10" x14ac:dyDescent="0.25">
      <c r="C120" s="8"/>
      <c r="D120" s="2"/>
      <c r="E120" s="2"/>
      <c r="F120" s="4"/>
      <c r="G120" s="14"/>
      <c r="H120" s="9"/>
    </row>
    <row r="121" spans="3:10" ht="15.75" thickBot="1" x14ac:dyDescent="0.3">
      <c r="C121" s="10"/>
      <c r="D121" s="11"/>
      <c r="E121" s="11" t="s">
        <v>44</v>
      </c>
      <c r="F121" s="12">
        <f>SUM(F6:F120)</f>
        <v>-15366.2</v>
      </c>
      <c r="G121" s="15">
        <f>SUM(G6:G120)</f>
        <v>2933.4</v>
      </c>
      <c r="H121" s="13">
        <f>SUM(H6:H120)</f>
        <v>13170.9</v>
      </c>
    </row>
    <row r="124" spans="3:10" ht="18.75" x14ac:dyDescent="0.3">
      <c r="E124" s="38" t="s">
        <v>49</v>
      </c>
      <c r="F124" s="39">
        <f>+H4+F121</f>
        <v>1941.8499999999985</v>
      </c>
    </row>
    <row r="127" spans="3:10" x14ac:dyDescent="0.25">
      <c r="J127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8BA2-BA6A-4F79-84CE-F450427524AD}">
  <sheetPr codeName="Hoja21"/>
  <dimension ref="C2:J86"/>
  <sheetViews>
    <sheetView topLeftCell="A55" workbookViewId="0">
      <selection activeCell="F74" sqref="F74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2171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1941.85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2174</v>
      </c>
      <c r="E6" s="2" t="s">
        <v>2175</v>
      </c>
      <c r="F6" s="4">
        <v>101</v>
      </c>
      <c r="G6" s="14"/>
      <c r="H6" s="9"/>
    </row>
    <row r="7" spans="3:8" x14ac:dyDescent="0.25">
      <c r="C7" s="8"/>
      <c r="D7" s="2" t="s">
        <v>2176</v>
      </c>
      <c r="E7" s="2" t="s">
        <v>1855</v>
      </c>
      <c r="F7" s="4"/>
      <c r="G7" s="14">
        <v>1078</v>
      </c>
      <c r="H7" s="9"/>
    </row>
    <row r="8" spans="3:8" x14ac:dyDescent="0.25">
      <c r="C8" s="8"/>
      <c r="D8" s="2" t="s">
        <v>2177</v>
      </c>
      <c r="E8" s="2" t="s">
        <v>2224</v>
      </c>
      <c r="F8" s="4">
        <v>415</v>
      </c>
      <c r="G8" s="14"/>
      <c r="H8" s="9"/>
    </row>
    <row r="9" spans="3:8" x14ac:dyDescent="0.25">
      <c r="C9" s="8"/>
      <c r="D9" s="2" t="s">
        <v>2178</v>
      </c>
      <c r="E9" s="2" t="s">
        <v>440</v>
      </c>
      <c r="F9" s="4"/>
      <c r="G9" s="14"/>
      <c r="H9" s="9">
        <v>21</v>
      </c>
    </row>
    <row r="10" spans="3:8" x14ac:dyDescent="0.25">
      <c r="C10" s="8"/>
      <c r="D10" s="2" t="s">
        <v>2179</v>
      </c>
      <c r="E10" s="2" t="s">
        <v>440</v>
      </c>
      <c r="F10" s="4">
        <v>10</v>
      </c>
      <c r="G10" s="14"/>
      <c r="H10" s="9"/>
    </row>
    <row r="11" spans="3:8" x14ac:dyDescent="0.25">
      <c r="C11" s="8"/>
      <c r="D11" s="2" t="s">
        <v>2180</v>
      </c>
      <c r="E11" s="2" t="s">
        <v>440</v>
      </c>
      <c r="F11" s="4">
        <v>14</v>
      </c>
      <c r="G11" s="14"/>
      <c r="H11" s="9"/>
    </row>
    <row r="12" spans="3:8" x14ac:dyDescent="0.25">
      <c r="C12" s="8"/>
      <c r="D12" s="2" t="s">
        <v>2181</v>
      </c>
      <c r="E12" s="2" t="s">
        <v>440</v>
      </c>
      <c r="F12" s="4">
        <v>33.5</v>
      </c>
      <c r="G12" s="14"/>
      <c r="H12" s="9"/>
    </row>
    <row r="13" spans="3:8" x14ac:dyDescent="0.25">
      <c r="C13" s="8"/>
      <c r="D13" s="2" t="s">
        <v>2182</v>
      </c>
      <c r="E13" s="2" t="s">
        <v>440</v>
      </c>
      <c r="F13" s="4">
        <v>9</v>
      </c>
      <c r="G13" s="14"/>
      <c r="H13" s="9"/>
    </row>
    <row r="14" spans="3:8" x14ac:dyDescent="0.25">
      <c r="C14" s="8"/>
      <c r="D14" s="2" t="s">
        <v>2183</v>
      </c>
      <c r="E14" s="2" t="s">
        <v>440</v>
      </c>
      <c r="F14" s="4">
        <v>58.5</v>
      </c>
      <c r="G14" s="14"/>
      <c r="H14" s="9"/>
    </row>
    <row r="15" spans="3:8" x14ac:dyDescent="0.25">
      <c r="C15" s="8"/>
      <c r="D15" s="2" t="s">
        <v>2184</v>
      </c>
      <c r="E15" s="2" t="s">
        <v>1816</v>
      </c>
      <c r="F15" s="4"/>
      <c r="G15" s="14"/>
      <c r="H15" s="9">
        <v>50</v>
      </c>
    </row>
    <row r="16" spans="3:8" x14ac:dyDescent="0.25">
      <c r="C16" s="8"/>
      <c r="D16" s="2" t="s">
        <v>2185</v>
      </c>
      <c r="E16" s="2" t="s">
        <v>440</v>
      </c>
      <c r="F16" s="4">
        <v>25</v>
      </c>
      <c r="G16" s="14"/>
      <c r="H16" s="9"/>
    </row>
    <row r="17" spans="3:8" x14ac:dyDescent="0.25">
      <c r="C17" s="8"/>
      <c r="D17" s="2" t="s">
        <v>2186</v>
      </c>
      <c r="E17" s="2" t="s">
        <v>440</v>
      </c>
      <c r="F17" s="4">
        <v>245</v>
      </c>
      <c r="G17" s="14"/>
      <c r="H17" s="9"/>
    </row>
    <row r="18" spans="3:8" x14ac:dyDescent="0.25">
      <c r="C18" s="8"/>
      <c r="D18" s="2" t="s">
        <v>2187</v>
      </c>
      <c r="E18" s="2" t="s">
        <v>440</v>
      </c>
      <c r="F18" s="4">
        <v>4.9000000000000004</v>
      </c>
      <c r="G18" s="14"/>
      <c r="H18" s="9"/>
    </row>
    <row r="19" spans="3:8" x14ac:dyDescent="0.25">
      <c r="C19" s="8"/>
      <c r="D19" s="2" t="s">
        <v>2188</v>
      </c>
      <c r="E19" s="2" t="s">
        <v>440</v>
      </c>
      <c r="F19" s="4">
        <v>24</v>
      </c>
      <c r="G19" s="14"/>
      <c r="H19" s="9"/>
    </row>
    <row r="20" spans="3:8" x14ac:dyDescent="0.25">
      <c r="C20" s="8"/>
      <c r="D20" s="2" t="s">
        <v>2189</v>
      </c>
      <c r="E20" s="2" t="s">
        <v>440</v>
      </c>
      <c r="F20" s="4">
        <v>25</v>
      </c>
      <c r="G20" s="14"/>
      <c r="H20" s="9"/>
    </row>
    <row r="21" spans="3:8" x14ac:dyDescent="0.25">
      <c r="C21" s="8"/>
      <c r="D21" s="2" t="s">
        <v>2190</v>
      </c>
      <c r="E21" s="2" t="s">
        <v>440</v>
      </c>
      <c r="F21" s="4">
        <v>109</v>
      </c>
      <c r="G21" s="14"/>
      <c r="H21" s="9"/>
    </row>
    <row r="22" spans="3:8" x14ac:dyDescent="0.25">
      <c r="C22" s="8"/>
      <c r="D22" s="2" t="s">
        <v>2191</v>
      </c>
      <c r="E22" s="2" t="s">
        <v>440</v>
      </c>
      <c r="F22" s="4">
        <v>4</v>
      </c>
      <c r="G22" s="14"/>
      <c r="H22" s="9"/>
    </row>
    <row r="23" spans="3:8" x14ac:dyDescent="0.25">
      <c r="C23" s="8"/>
      <c r="D23" s="2" t="s">
        <v>2192</v>
      </c>
      <c r="E23" s="2" t="s">
        <v>2222</v>
      </c>
      <c r="F23" s="4"/>
      <c r="G23" s="14"/>
      <c r="H23" s="9">
        <v>83.6</v>
      </c>
    </row>
    <row r="24" spans="3:8" x14ac:dyDescent="0.25">
      <c r="C24" s="8"/>
      <c r="D24" s="2" t="s">
        <v>2193</v>
      </c>
      <c r="E24" s="2" t="s">
        <v>440</v>
      </c>
      <c r="F24" s="4">
        <v>2</v>
      </c>
      <c r="G24" s="14"/>
      <c r="H24" s="9"/>
    </row>
    <row r="25" spans="3:8" x14ac:dyDescent="0.25">
      <c r="C25" s="8"/>
      <c r="D25" s="2" t="s">
        <v>2194</v>
      </c>
      <c r="E25" s="2" t="s">
        <v>440</v>
      </c>
      <c r="F25" s="4">
        <v>8.9</v>
      </c>
      <c r="G25" s="14"/>
      <c r="H25" s="9"/>
    </row>
    <row r="26" spans="3:8" x14ac:dyDescent="0.25">
      <c r="C26" s="8"/>
      <c r="D26" s="2" t="s">
        <v>2195</v>
      </c>
      <c r="E26" s="2" t="s">
        <v>440</v>
      </c>
      <c r="F26" s="4">
        <v>5.8</v>
      </c>
      <c r="G26" s="14"/>
      <c r="H26" s="9"/>
    </row>
    <row r="27" spans="3:8" x14ac:dyDescent="0.25">
      <c r="C27" s="8"/>
      <c r="D27" s="2" t="s">
        <v>2196</v>
      </c>
      <c r="E27" s="2" t="s">
        <v>2223</v>
      </c>
      <c r="F27" s="4">
        <v>1230</v>
      </c>
      <c r="G27" s="14"/>
      <c r="H27" s="9"/>
    </row>
    <row r="28" spans="3:8" x14ac:dyDescent="0.25">
      <c r="C28" s="8"/>
      <c r="D28" s="2" t="s">
        <v>2197</v>
      </c>
      <c r="E28" s="2" t="s">
        <v>440</v>
      </c>
      <c r="F28" s="4">
        <v>4</v>
      </c>
      <c r="G28" s="14"/>
      <c r="H28" s="9"/>
    </row>
    <row r="29" spans="3:8" x14ac:dyDescent="0.25">
      <c r="C29" s="8"/>
      <c r="D29" s="2" t="s">
        <v>2198</v>
      </c>
      <c r="E29" s="2" t="s">
        <v>440</v>
      </c>
      <c r="F29" s="4">
        <v>7</v>
      </c>
      <c r="G29" s="14"/>
      <c r="H29" s="9"/>
    </row>
    <row r="30" spans="3:8" x14ac:dyDescent="0.25">
      <c r="C30" s="8"/>
      <c r="D30" s="2" t="s">
        <v>2199</v>
      </c>
      <c r="E30" s="2" t="s">
        <v>440</v>
      </c>
      <c r="F30" s="4">
        <v>8</v>
      </c>
      <c r="G30" s="14"/>
      <c r="H30" s="9"/>
    </row>
    <row r="31" spans="3:8" x14ac:dyDescent="0.25">
      <c r="C31" s="8"/>
      <c r="D31" s="2" t="s">
        <v>2200</v>
      </c>
      <c r="E31" s="2" t="s">
        <v>440</v>
      </c>
      <c r="F31" s="4">
        <v>14.5</v>
      </c>
      <c r="G31" s="14"/>
      <c r="H31" s="9"/>
    </row>
    <row r="32" spans="3:8" x14ac:dyDescent="0.25">
      <c r="C32" s="8"/>
      <c r="D32" s="2" t="s">
        <v>2201</v>
      </c>
      <c r="E32" s="2" t="s">
        <v>440</v>
      </c>
      <c r="F32" s="4">
        <v>38</v>
      </c>
      <c r="G32" s="14"/>
      <c r="H32" s="9"/>
    </row>
    <row r="33" spans="3:8" x14ac:dyDescent="0.25">
      <c r="C33" s="8"/>
      <c r="D33" s="2" t="s">
        <v>2202</v>
      </c>
      <c r="E33" s="2" t="s">
        <v>440</v>
      </c>
      <c r="F33" s="4">
        <v>196</v>
      </c>
      <c r="G33" s="14"/>
      <c r="H33" s="9"/>
    </row>
    <row r="34" spans="3:8" x14ac:dyDescent="0.25">
      <c r="C34" s="8"/>
      <c r="D34" s="2" t="s">
        <v>2203</v>
      </c>
      <c r="E34" s="2" t="s">
        <v>440</v>
      </c>
      <c r="F34" s="4">
        <v>80</v>
      </c>
      <c r="G34" s="14"/>
      <c r="H34" s="9"/>
    </row>
    <row r="35" spans="3:8" x14ac:dyDescent="0.25">
      <c r="C35" s="8"/>
      <c r="D35" s="2" t="s">
        <v>2204</v>
      </c>
      <c r="E35" s="2" t="s">
        <v>440</v>
      </c>
      <c r="F35" s="4"/>
      <c r="G35" s="14"/>
      <c r="H35" s="9">
        <v>10</v>
      </c>
    </row>
    <row r="36" spans="3:8" x14ac:dyDescent="0.25">
      <c r="C36" s="8"/>
      <c r="D36" s="2" t="s">
        <v>2205</v>
      </c>
      <c r="E36" s="2" t="s">
        <v>440</v>
      </c>
      <c r="F36" s="4">
        <v>25</v>
      </c>
      <c r="G36" s="14"/>
      <c r="H36" s="9"/>
    </row>
    <row r="37" spans="3:8" x14ac:dyDescent="0.25">
      <c r="C37" s="8"/>
      <c r="D37" s="2" t="s">
        <v>2206</v>
      </c>
      <c r="E37" s="2" t="s">
        <v>440</v>
      </c>
      <c r="F37" s="4"/>
      <c r="G37" s="14"/>
      <c r="H37" s="9">
        <v>4.5</v>
      </c>
    </row>
    <row r="38" spans="3:8" x14ac:dyDescent="0.25">
      <c r="C38" s="8"/>
      <c r="D38" s="2" t="s">
        <v>2207</v>
      </c>
      <c r="E38" s="2" t="s">
        <v>2222</v>
      </c>
      <c r="F38" s="4"/>
      <c r="G38" s="14"/>
      <c r="H38" s="9">
        <v>191.5</v>
      </c>
    </row>
    <row r="39" spans="3:8" x14ac:dyDescent="0.25">
      <c r="C39" s="8"/>
      <c r="D39" s="2" t="s">
        <v>2208</v>
      </c>
      <c r="E39" s="2" t="s">
        <v>440</v>
      </c>
      <c r="F39" s="4">
        <v>5.5</v>
      </c>
      <c r="G39" s="14"/>
      <c r="H39" s="9"/>
    </row>
    <row r="40" spans="3:8" x14ac:dyDescent="0.25">
      <c r="C40" s="8"/>
      <c r="D40" s="2" t="s">
        <v>2209</v>
      </c>
      <c r="E40" s="2" t="s">
        <v>440</v>
      </c>
      <c r="F40" s="4">
        <v>1</v>
      </c>
      <c r="G40" s="14"/>
      <c r="H40" s="9"/>
    </row>
    <row r="41" spans="3:8" x14ac:dyDescent="0.25">
      <c r="C41" s="8"/>
      <c r="D41" s="2" t="s">
        <v>2210</v>
      </c>
      <c r="E41" s="2" t="s">
        <v>440</v>
      </c>
      <c r="F41" s="4">
        <v>6</v>
      </c>
      <c r="G41" s="14"/>
      <c r="H41" s="9"/>
    </row>
    <row r="42" spans="3:8" x14ac:dyDescent="0.25">
      <c r="C42" s="8"/>
      <c r="D42" s="2" t="s">
        <v>2211</v>
      </c>
      <c r="E42" s="2" t="s">
        <v>440</v>
      </c>
      <c r="F42" s="4">
        <v>2</v>
      </c>
      <c r="G42" s="14"/>
      <c r="H42" s="9"/>
    </row>
    <row r="43" spans="3:8" x14ac:dyDescent="0.25">
      <c r="C43" s="8"/>
      <c r="D43" s="2" t="s">
        <v>2212</v>
      </c>
      <c r="E43" s="2" t="s">
        <v>440</v>
      </c>
      <c r="F43" s="4">
        <v>7</v>
      </c>
      <c r="G43" s="14"/>
      <c r="H43" s="9"/>
    </row>
    <row r="44" spans="3:8" x14ac:dyDescent="0.25">
      <c r="C44" s="8"/>
      <c r="D44" s="2" t="s">
        <v>2213</v>
      </c>
      <c r="E44" s="2" t="s">
        <v>440</v>
      </c>
      <c r="F44" s="4">
        <v>54</v>
      </c>
      <c r="G44" s="14"/>
      <c r="H44" s="9"/>
    </row>
    <row r="45" spans="3:8" x14ac:dyDescent="0.25">
      <c r="C45" s="8"/>
      <c r="D45" s="2" t="s">
        <v>2214</v>
      </c>
      <c r="E45" s="2" t="s">
        <v>440</v>
      </c>
      <c r="F45" s="4">
        <v>12</v>
      </c>
      <c r="G45" s="14"/>
      <c r="H45" s="9"/>
    </row>
    <row r="46" spans="3:8" x14ac:dyDescent="0.25">
      <c r="C46" s="8"/>
      <c r="D46" s="2" t="s">
        <v>2215</v>
      </c>
      <c r="E46" s="2" t="s">
        <v>2221</v>
      </c>
      <c r="F46" s="4">
        <v>1191</v>
      </c>
      <c r="G46" s="14"/>
      <c r="H46" s="9"/>
    </row>
    <row r="47" spans="3:8" x14ac:dyDescent="0.25">
      <c r="C47" s="8"/>
      <c r="D47" s="2" t="s">
        <v>2216</v>
      </c>
      <c r="E47" s="2" t="s">
        <v>440</v>
      </c>
      <c r="F47" s="4">
        <v>58</v>
      </c>
      <c r="G47" s="14"/>
      <c r="H47" s="9"/>
    </row>
    <row r="48" spans="3:8" x14ac:dyDescent="0.25">
      <c r="C48" s="8"/>
      <c r="D48" s="2" t="s">
        <v>2217</v>
      </c>
      <c r="E48" s="2" t="s">
        <v>440</v>
      </c>
      <c r="F48" s="4"/>
      <c r="G48" s="14"/>
      <c r="H48" s="9">
        <v>12</v>
      </c>
    </row>
    <row r="49" spans="3:8" x14ac:dyDescent="0.25">
      <c r="C49" s="8"/>
      <c r="D49" s="2" t="s">
        <v>2218</v>
      </c>
      <c r="E49" s="2" t="s">
        <v>440</v>
      </c>
      <c r="F49" s="4"/>
      <c r="G49" s="14"/>
      <c r="H49" s="9">
        <v>15</v>
      </c>
    </row>
    <row r="50" spans="3:8" x14ac:dyDescent="0.25">
      <c r="C50" s="8"/>
      <c r="D50" s="2" t="s">
        <v>2219</v>
      </c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29"/>
      <c r="D55" s="30"/>
      <c r="E55" s="30" t="s">
        <v>60</v>
      </c>
      <c r="F55" s="4"/>
      <c r="G55" s="14"/>
      <c r="H55" s="9"/>
    </row>
    <row r="56" spans="3:8" x14ac:dyDescent="0.25">
      <c r="C56" s="8"/>
      <c r="D56" s="45" t="s">
        <v>2172</v>
      </c>
      <c r="E56" s="2" t="s">
        <v>2173</v>
      </c>
      <c r="F56" s="4">
        <v>5</v>
      </c>
      <c r="G56" s="14"/>
      <c r="H56" s="9"/>
    </row>
    <row r="57" spans="3:8" x14ac:dyDescent="0.25">
      <c r="C57" s="8"/>
      <c r="D57" s="45"/>
      <c r="E57" s="2"/>
      <c r="F57" s="4"/>
      <c r="G57" s="14"/>
      <c r="H57" s="9"/>
    </row>
    <row r="58" spans="3:8" x14ac:dyDescent="0.25">
      <c r="C58" s="8"/>
      <c r="D58" s="45"/>
      <c r="E58" s="2"/>
      <c r="F58" s="4"/>
      <c r="G58" s="14"/>
      <c r="H58" s="9"/>
    </row>
    <row r="59" spans="3:8" x14ac:dyDescent="0.25">
      <c r="C59" s="8"/>
      <c r="D59" s="45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16"/>
      <c r="D61" s="17"/>
      <c r="E61" s="17" t="s">
        <v>39</v>
      </c>
      <c r="F61" s="4"/>
      <c r="G61" s="14"/>
      <c r="H61" s="9"/>
    </row>
    <row r="62" spans="3:8" x14ac:dyDescent="0.25">
      <c r="C62" s="8"/>
      <c r="D62" s="45"/>
      <c r="E62" s="2"/>
      <c r="F62" s="4"/>
      <c r="G62" s="14"/>
      <c r="H62" s="9"/>
    </row>
    <row r="63" spans="3:8" x14ac:dyDescent="0.25">
      <c r="C63" s="8"/>
      <c r="D63" s="45"/>
      <c r="E63" s="2"/>
      <c r="F63" s="4"/>
      <c r="G63" s="14"/>
      <c r="H63" s="9"/>
    </row>
    <row r="64" spans="3:8" x14ac:dyDescent="0.25">
      <c r="C64" s="8"/>
      <c r="D64" s="45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19"/>
      <c r="D68" s="20"/>
      <c r="E68" s="20" t="s">
        <v>42</v>
      </c>
      <c r="F68" s="4"/>
      <c r="G68" s="14"/>
      <c r="H68" s="9"/>
    </row>
    <row r="69" spans="3:8" x14ac:dyDescent="0.25">
      <c r="C69" s="34"/>
      <c r="D69" s="42"/>
      <c r="E69" s="2" t="s">
        <v>2225</v>
      </c>
      <c r="F69" s="14">
        <v>-50</v>
      </c>
      <c r="G69" s="14"/>
      <c r="H69" s="9"/>
    </row>
    <row r="70" spans="3:8" x14ac:dyDescent="0.25">
      <c r="C70" s="34"/>
      <c r="D70" s="42"/>
      <c r="E70" s="2" t="s">
        <v>1554</v>
      </c>
      <c r="F70" s="14">
        <v>-50</v>
      </c>
      <c r="G70" s="14"/>
      <c r="H70" s="9"/>
    </row>
    <row r="71" spans="3:8" x14ac:dyDescent="0.25">
      <c r="C71" s="34"/>
      <c r="D71" s="42"/>
      <c r="E71" s="2" t="s">
        <v>2226</v>
      </c>
      <c r="F71" s="14">
        <v>-50</v>
      </c>
      <c r="G71" s="14"/>
      <c r="H71" s="9"/>
    </row>
    <row r="72" spans="3:8" x14ac:dyDescent="0.25">
      <c r="C72" s="34"/>
      <c r="D72" s="42"/>
      <c r="E72" s="2" t="s">
        <v>2227</v>
      </c>
      <c r="F72" s="14">
        <v>-10</v>
      </c>
      <c r="G72" s="14"/>
      <c r="H72" s="9"/>
    </row>
    <row r="73" spans="3:8" x14ac:dyDescent="0.25">
      <c r="C73" s="34"/>
      <c r="D73" s="42"/>
      <c r="E73" s="2" t="s">
        <v>758</v>
      </c>
      <c r="F73" s="14">
        <v>-30</v>
      </c>
      <c r="G73" s="14"/>
      <c r="H73" s="9"/>
    </row>
    <row r="74" spans="3:8" x14ac:dyDescent="0.25">
      <c r="C74" s="8"/>
      <c r="D74" s="2"/>
      <c r="E74" s="2" t="s">
        <v>2228</v>
      </c>
      <c r="F74" s="14">
        <v>-1240</v>
      </c>
      <c r="G74" s="14"/>
      <c r="H74" s="9"/>
    </row>
    <row r="75" spans="3:8" x14ac:dyDescent="0.25">
      <c r="C75" s="8"/>
      <c r="D75" s="2"/>
      <c r="E75" s="2" t="s">
        <v>2229</v>
      </c>
      <c r="F75" s="14">
        <v>-30</v>
      </c>
      <c r="G75" s="14"/>
      <c r="H75" s="9"/>
    </row>
    <row r="76" spans="3:8" x14ac:dyDescent="0.25">
      <c r="C76" s="8"/>
      <c r="D76" s="2"/>
      <c r="E76" s="2"/>
      <c r="F76" s="14"/>
      <c r="G76" s="14"/>
      <c r="H76" s="9"/>
    </row>
    <row r="77" spans="3:8" x14ac:dyDescent="0.25">
      <c r="C77" s="8"/>
      <c r="D77" s="2"/>
      <c r="E77" s="2"/>
      <c r="F77" s="14"/>
      <c r="G77" s="14"/>
      <c r="H77" s="9"/>
    </row>
    <row r="78" spans="3:8" x14ac:dyDescent="0.25">
      <c r="C78" s="8"/>
      <c r="D78" s="2"/>
      <c r="E78" s="2"/>
      <c r="F78" s="1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ht="15.75" thickBot="1" x14ac:dyDescent="0.3">
      <c r="C80" s="10"/>
      <c r="D80" s="11"/>
      <c r="E80" s="11" t="s">
        <v>44</v>
      </c>
      <c r="F80" s="12">
        <f>SUM(F6:F79)</f>
        <v>2578.6000000000004</v>
      </c>
      <c r="G80" s="15">
        <f>SUM(G6:G79)</f>
        <v>1078</v>
      </c>
      <c r="H80" s="13">
        <f>SUM(H6:H79)</f>
        <v>387.6</v>
      </c>
    </row>
    <row r="83" spans="5:10" ht="18.75" x14ac:dyDescent="0.3">
      <c r="E83" s="38" t="s">
        <v>49</v>
      </c>
      <c r="F83" s="39">
        <f>+H4+F80</f>
        <v>4520.4500000000007</v>
      </c>
    </row>
    <row r="86" spans="5:10" x14ac:dyDescent="0.25">
      <c r="J86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669-6648-4317-A130-E9A317E70A69}">
  <sheetPr codeName="Hoja22"/>
  <dimension ref="C2:M106"/>
  <sheetViews>
    <sheetView topLeftCell="A79" workbookViewId="0">
      <selection activeCell="D71" sqref="D71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2230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4520.45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2219</v>
      </c>
      <c r="E6" s="2" t="s">
        <v>2234</v>
      </c>
      <c r="F6" s="4"/>
      <c r="G6" s="14"/>
      <c r="H6" s="9">
        <v>368</v>
      </c>
    </row>
    <row r="7" spans="3:8" x14ac:dyDescent="0.25">
      <c r="C7" s="8"/>
      <c r="D7" s="2" t="s">
        <v>2220</v>
      </c>
      <c r="E7" s="2" t="s">
        <v>1390</v>
      </c>
      <c r="F7" s="4"/>
      <c r="G7" s="14"/>
      <c r="H7" s="9">
        <v>775</v>
      </c>
    </row>
    <row r="8" spans="3:8" x14ac:dyDescent="0.25">
      <c r="C8" s="8"/>
      <c r="D8" s="2" t="s">
        <v>2235</v>
      </c>
      <c r="E8" s="2" t="s">
        <v>440</v>
      </c>
      <c r="F8" s="4">
        <v>27.5</v>
      </c>
      <c r="G8" s="14"/>
      <c r="H8" s="9"/>
    </row>
    <row r="9" spans="3:8" x14ac:dyDescent="0.25">
      <c r="C9" s="8"/>
      <c r="D9" s="2" t="s">
        <v>2236</v>
      </c>
      <c r="E9" s="2" t="s">
        <v>857</v>
      </c>
      <c r="F9" s="4"/>
      <c r="G9" s="14"/>
      <c r="H9" s="9">
        <v>410</v>
      </c>
    </row>
    <row r="10" spans="3:8" x14ac:dyDescent="0.25">
      <c r="C10" s="8"/>
      <c r="D10" s="2" t="s">
        <v>2237</v>
      </c>
      <c r="E10" s="2" t="s">
        <v>440</v>
      </c>
      <c r="F10" s="4">
        <v>11</v>
      </c>
      <c r="G10" s="14"/>
      <c r="H10" s="9"/>
    </row>
    <row r="11" spans="3:8" x14ac:dyDescent="0.25">
      <c r="C11" s="8"/>
      <c r="D11" s="2" t="s">
        <v>2238</v>
      </c>
      <c r="E11" s="2" t="s">
        <v>2093</v>
      </c>
      <c r="F11" s="4"/>
      <c r="G11" s="14"/>
      <c r="H11" s="9">
        <v>36.5</v>
      </c>
    </row>
    <row r="12" spans="3:8" x14ac:dyDescent="0.25">
      <c r="C12" s="8"/>
      <c r="D12" s="2" t="s">
        <v>2239</v>
      </c>
      <c r="E12" s="2" t="s">
        <v>440</v>
      </c>
      <c r="F12" s="4">
        <v>4.5</v>
      </c>
      <c r="G12" s="14"/>
      <c r="H12" s="9"/>
    </row>
    <row r="13" spans="3:8" x14ac:dyDescent="0.25">
      <c r="C13" s="8"/>
      <c r="D13" s="2" t="s">
        <v>2240</v>
      </c>
      <c r="E13" s="2" t="s">
        <v>1030</v>
      </c>
      <c r="F13" s="4">
        <v>500</v>
      </c>
      <c r="G13" s="14"/>
      <c r="H13" s="9"/>
    </row>
    <row r="14" spans="3:8" x14ac:dyDescent="0.25">
      <c r="C14" s="8"/>
      <c r="D14" s="2" t="s">
        <v>2241</v>
      </c>
      <c r="E14" s="2" t="s">
        <v>440</v>
      </c>
      <c r="F14" s="4">
        <v>10</v>
      </c>
      <c r="G14" s="14"/>
      <c r="H14" s="9"/>
    </row>
    <row r="15" spans="3:8" x14ac:dyDescent="0.25">
      <c r="C15" s="8"/>
      <c r="D15" s="2" t="s">
        <v>2242</v>
      </c>
      <c r="E15" s="2" t="s">
        <v>440</v>
      </c>
      <c r="F15" s="4">
        <v>62</v>
      </c>
      <c r="G15" s="14"/>
      <c r="H15" s="9"/>
    </row>
    <row r="16" spans="3:8" x14ac:dyDescent="0.25">
      <c r="C16" s="8"/>
      <c r="D16" s="2" t="s">
        <v>2243</v>
      </c>
      <c r="E16" s="2" t="s">
        <v>1030</v>
      </c>
      <c r="F16" s="4">
        <v>28.5</v>
      </c>
      <c r="G16" s="14"/>
      <c r="H16" s="9"/>
    </row>
    <row r="17" spans="3:8" x14ac:dyDescent="0.25">
      <c r="C17" s="8"/>
      <c r="D17" s="2" t="s">
        <v>2244</v>
      </c>
      <c r="E17" s="2" t="s">
        <v>440</v>
      </c>
      <c r="F17" s="4">
        <v>1</v>
      </c>
      <c r="G17" s="14"/>
      <c r="H17" s="9"/>
    </row>
    <row r="18" spans="3:8" x14ac:dyDescent="0.25">
      <c r="C18" s="8"/>
      <c r="D18" s="2" t="s">
        <v>2245</v>
      </c>
      <c r="E18" s="2" t="s">
        <v>440</v>
      </c>
      <c r="F18" s="4">
        <v>4</v>
      </c>
      <c r="G18" s="14"/>
      <c r="H18" s="9"/>
    </row>
    <row r="19" spans="3:8" x14ac:dyDescent="0.25">
      <c r="C19" s="8"/>
      <c r="D19" s="2" t="s">
        <v>2246</v>
      </c>
      <c r="E19" s="2" t="s">
        <v>2266</v>
      </c>
      <c r="F19" s="4"/>
      <c r="G19" s="14">
        <v>1050</v>
      </c>
      <c r="H19" s="9"/>
    </row>
    <row r="20" spans="3:8" x14ac:dyDescent="0.25">
      <c r="C20" s="8"/>
      <c r="D20" s="2" t="s">
        <v>2247</v>
      </c>
      <c r="E20" s="2" t="s">
        <v>440</v>
      </c>
      <c r="F20" s="4">
        <v>6.5</v>
      </c>
      <c r="G20" s="14"/>
      <c r="H20" s="9"/>
    </row>
    <row r="21" spans="3:8" x14ac:dyDescent="0.25">
      <c r="C21" s="8"/>
      <c r="D21" s="2" t="s">
        <v>2248</v>
      </c>
      <c r="E21" s="2" t="s">
        <v>1153</v>
      </c>
      <c r="F21" s="4"/>
      <c r="G21" s="14">
        <v>30</v>
      </c>
      <c r="H21" s="9"/>
    </row>
    <row r="22" spans="3:8" x14ac:dyDescent="0.25">
      <c r="C22" s="8"/>
      <c r="D22" s="2" t="s">
        <v>2271</v>
      </c>
      <c r="E22" s="2" t="s">
        <v>440</v>
      </c>
      <c r="F22" s="4">
        <v>19</v>
      </c>
      <c r="G22" s="14"/>
      <c r="H22" s="9"/>
    </row>
    <row r="23" spans="3:8" x14ac:dyDescent="0.25">
      <c r="C23" s="8"/>
      <c r="D23" s="2" t="s">
        <v>2272</v>
      </c>
      <c r="E23" s="2" t="s">
        <v>440</v>
      </c>
      <c r="F23" s="4"/>
      <c r="G23" s="14"/>
      <c r="H23" s="9">
        <v>16</v>
      </c>
    </row>
    <row r="24" spans="3:8" x14ac:dyDescent="0.25">
      <c r="C24" s="8"/>
      <c r="D24" s="2" t="s">
        <v>2273</v>
      </c>
      <c r="E24" s="2" t="s">
        <v>440</v>
      </c>
      <c r="F24" s="4">
        <v>5</v>
      </c>
      <c r="G24" s="14"/>
      <c r="H24" s="9"/>
    </row>
    <row r="25" spans="3:8" x14ac:dyDescent="0.25">
      <c r="C25" s="8"/>
      <c r="D25" s="2" t="s">
        <v>2274</v>
      </c>
      <c r="E25" s="2" t="s">
        <v>440</v>
      </c>
      <c r="F25" s="4"/>
      <c r="G25" s="14"/>
      <c r="H25" s="9">
        <v>44</v>
      </c>
    </row>
    <row r="26" spans="3:8" x14ac:dyDescent="0.25">
      <c r="C26" s="8"/>
      <c r="D26" s="2" t="s">
        <v>2275</v>
      </c>
      <c r="E26" s="2" t="s">
        <v>440</v>
      </c>
      <c r="F26" s="4">
        <v>3</v>
      </c>
      <c r="G26" s="14"/>
      <c r="H26" s="9"/>
    </row>
    <row r="27" spans="3:8" x14ac:dyDescent="0.25">
      <c r="C27" s="8"/>
      <c r="D27" s="2" t="s">
        <v>2276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2277</v>
      </c>
      <c r="E28" s="2" t="s">
        <v>440</v>
      </c>
      <c r="F28" s="4"/>
      <c r="G28" s="14"/>
      <c r="H28" s="9">
        <v>4</v>
      </c>
    </row>
    <row r="29" spans="3:8" x14ac:dyDescent="0.25">
      <c r="C29" s="8"/>
      <c r="D29" s="2" t="s">
        <v>2278</v>
      </c>
      <c r="E29" s="2" t="s">
        <v>440</v>
      </c>
      <c r="F29" s="4">
        <v>35</v>
      </c>
      <c r="G29" s="14"/>
      <c r="H29" s="9"/>
    </row>
    <row r="30" spans="3:8" x14ac:dyDescent="0.25">
      <c r="C30" s="8"/>
      <c r="D30" s="2" t="s">
        <v>2279</v>
      </c>
      <c r="E30" s="2" t="s">
        <v>1564</v>
      </c>
      <c r="F30" s="4">
        <v>196</v>
      </c>
      <c r="G30" s="14"/>
      <c r="H30" s="9"/>
    </row>
    <row r="31" spans="3:8" x14ac:dyDescent="0.25">
      <c r="C31" s="8"/>
      <c r="D31" s="2" t="s">
        <v>2280</v>
      </c>
      <c r="E31" s="2" t="s">
        <v>440</v>
      </c>
      <c r="F31" s="4">
        <v>7.5</v>
      </c>
      <c r="G31" s="14"/>
      <c r="H31" s="9"/>
    </row>
    <row r="32" spans="3:8" x14ac:dyDescent="0.25">
      <c r="C32" s="8"/>
      <c r="D32" s="2" t="s">
        <v>2281</v>
      </c>
      <c r="E32" s="2" t="s">
        <v>440</v>
      </c>
      <c r="F32" s="4">
        <v>5</v>
      </c>
      <c r="G32" s="14"/>
      <c r="H32" s="9"/>
    </row>
    <row r="33" spans="3:8" x14ac:dyDescent="0.25">
      <c r="C33" s="8"/>
      <c r="D33" s="2" t="s">
        <v>2282</v>
      </c>
      <c r="E33" s="2" t="s">
        <v>35</v>
      </c>
      <c r="F33" s="4"/>
      <c r="G33" s="14">
        <v>120</v>
      </c>
      <c r="H33" s="9"/>
    </row>
    <row r="34" spans="3:8" x14ac:dyDescent="0.25">
      <c r="C34" s="8"/>
      <c r="D34" s="2" t="s">
        <v>2283</v>
      </c>
      <c r="E34" s="2" t="s">
        <v>440</v>
      </c>
      <c r="F34" s="4">
        <v>20</v>
      </c>
      <c r="G34" s="14"/>
      <c r="H34" s="9"/>
    </row>
    <row r="35" spans="3:8" x14ac:dyDescent="0.25">
      <c r="C35" s="8"/>
      <c r="D35" s="2" t="s">
        <v>2286</v>
      </c>
      <c r="E35" s="2" t="s">
        <v>2291</v>
      </c>
      <c r="F35" s="4"/>
      <c r="G35" s="14">
        <v>180</v>
      </c>
      <c r="H35" s="9"/>
    </row>
    <row r="36" spans="3:8" x14ac:dyDescent="0.25">
      <c r="C36" s="8"/>
      <c r="D36" s="2" t="s">
        <v>2287</v>
      </c>
      <c r="E36" s="2" t="s">
        <v>440</v>
      </c>
      <c r="F36" s="4"/>
      <c r="G36" s="14"/>
      <c r="H36" s="9">
        <v>20</v>
      </c>
    </row>
    <row r="37" spans="3:8" x14ac:dyDescent="0.25">
      <c r="C37" s="8"/>
      <c r="D37" s="2" t="s">
        <v>2288</v>
      </c>
      <c r="E37" s="2" t="s">
        <v>440</v>
      </c>
      <c r="F37" s="4">
        <v>1</v>
      </c>
      <c r="G37" s="14"/>
      <c r="H37" s="9"/>
    </row>
    <row r="38" spans="3:8" x14ac:dyDescent="0.25">
      <c r="C38" s="8"/>
      <c r="D38" s="2" t="s">
        <v>2289</v>
      </c>
      <c r="E38" s="2" t="s">
        <v>1030</v>
      </c>
      <c r="F38" s="4">
        <v>10</v>
      </c>
      <c r="G38" s="14"/>
      <c r="H38" s="9"/>
    </row>
    <row r="39" spans="3:8" x14ac:dyDescent="0.25">
      <c r="C39" s="8"/>
      <c r="D39" s="2" t="s">
        <v>2290</v>
      </c>
      <c r="E39" s="2" t="s">
        <v>440</v>
      </c>
      <c r="F39" s="4">
        <v>13</v>
      </c>
      <c r="G39" s="14"/>
      <c r="H39" s="9"/>
    </row>
    <row r="40" spans="3:8" x14ac:dyDescent="0.25">
      <c r="C40" s="8"/>
      <c r="D40" s="2" t="s">
        <v>2311</v>
      </c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 t="s">
        <v>2249</v>
      </c>
      <c r="E50" s="2" t="s">
        <v>1456</v>
      </c>
      <c r="F50" s="4">
        <v>164</v>
      </c>
      <c r="G50" s="14"/>
      <c r="H50" s="9"/>
    </row>
    <row r="51" spans="3:8" x14ac:dyDescent="0.25">
      <c r="C51" s="8"/>
      <c r="D51" s="2" t="s">
        <v>2250</v>
      </c>
      <c r="E51" s="2" t="s">
        <v>1456</v>
      </c>
      <c r="F51" s="4"/>
      <c r="G51" s="14">
        <v>396.5</v>
      </c>
      <c r="H51" s="9"/>
    </row>
    <row r="52" spans="3:8" x14ac:dyDescent="0.25">
      <c r="C52" s="8"/>
      <c r="D52" s="2" t="s">
        <v>2251</v>
      </c>
      <c r="E52" s="2" t="s">
        <v>2267</v>
      </c>
      <c r="F52" s="4"/>
      <c r="G52" s="14">
        <v>198</v>
      </c>
      <c r="H52" s="9"/>
    </row>
    <row r="53" spans="3:8" x14ac:dyDescent="0.25">
      <c r="C53" s="8"/>
      <c r="D53" s="2" t="s">
        <v>2252</v>
      </c>
      <c r="E53" s="2" t="s">
        <v>2268</v>
      </c>
      <c r="F53" s="4">
        <v>106</v>
      </c>
      <c r="G53" s="14"/>
      <c r="H53" s="9"/>
    </row>
    <row r="54" spans="3:8" x14ac:dyDescent="0.25">
      <c r="C54" s="8"/>
      <c r="D54" s="2" t="s">
        <v>2253</v>
      </c>
      <c r="E54" s="2" t="s">
        <v>1491</v>
      </c>
      <c r="F54" s="4">
        <v>20</v>
      </c>
      <c r="G54" s="14"/>
      <c r="H54" s="9"/>
    </row>
    <row r="55" spans="3:8" x14ac:dyDescent="0.25">
      <c r="C55" s="8"/>
      <c r="D55" s="2" t="s">
        <v>2254</v>
      </c>
      <c r="E55" s="2" t="s">
        <v>48</v>
      </c>
      <c r="F55" s="4">
        <v>148.5</v>
      </c>
      <c r="G55" s="14"/>
      <c r="H55" s="9"/>
    </row>
    <row r="56" spans="3:8" x14ac:dyDescent="0.25">
      <c r="C56" s="8"/>
      <c r="D56" s="2" t="s">
        <v>2255</v>
      </c>
      <c r="E56" s="2" t="s">
        <v>2269</v>
      </c>
      <c r="F56" s="4"/>
      <c r="G56" s="14"/>
      <c r="H56" s="9">
        <v>40.5</v>
      </c>
    </row>
    <row r="57" spans="3:8" x14ac:dyDescent="0.25">
      <c r="C57" s="8"/>
      <c r="D57" s="2" t="s">
        <v>2256</v>
      </c>
      <c r="E57" s="2" t="s">
        <v>779</v>
      </c>
      <c r="F57" s="4"/>
      <c r="G57" s="14">
        <v>232</v>
      </c>
      <c r="H57" s="9"/>
    </row>
    <row r="58" spans="3:8" x14ac:dyDescent="0.25">
      <c r="C58" s="8"/>
      <c r="D58" s="2" t="s">
        <v>2257</v>
      </c>
      <c r="E58" s="2" t="s">
        <v>48</v>
      </c>
      <c r="F58" s="4">
        <v>25</v>
      </c>
      <c r="G58" s="14"/>
      <c r="H58" s="9"/>
    </row>
    <row r="59" spans="3:8" x14ac:dyDescent="0.25">
      <c r="C59" s="8"/>
      <c r="D59" s="2" t="s">
        <v>2258</v>
      </c>
      <c r="E59" s="2" t="s">
        <v>48</v>
      </c>
      <c r="F59" s="4">
        <v>20</v>
      </c>
      <c r="G59" s="14"/>
      <c r="H59" s="9"/>
    </row>
    <row r="60" spans="3:8" x14ac:dyDescent="0.25">
      <c r="C60" s="8"/>
      <c r="D60" s="2" t="s">
        <v>2259</v>
      </c>
      <c r="E60" s="2" t="s">
        <v>2270</v>
      </c>
      <c r="F60" s="4"/>
      <c r="G60" s="14"/>
      <c r="H60" s="9">
        <v>2836</v>
      </c>
    </row>
    <row r="61" spans="3:8" x14ac:dyDescent="0.25">
      <c r="C61" s="8"/>
      <c r="D61" s="2" t="s">
        <v>2260</v>
      </c>
      <c r="E61" s="2" t="s">
        <v>106</v>
      </c>
      <c r="F61" s="4"/>
      <c r="G61" s="14"/>
      <c r="H61" s="9">
        <v>368</v>
      </c>
    </row>
    <row r="62" spans="3:8" x14ac:dyDescent="0.25">
      <c r="C62" s="8"/>
      <c r="D62" s="2" t="s">
        <v>2261</v>
      </c>
      <c r="E62" s="2" t="s">
        <v>48</v>
      </c>
      <c r="F62" s="4">
        <v>2</v>
      </c>
      <c r="G62" s="14"/>
      <c r="H62" s="9"/>
    </row>
    <row r="63" spans="3:8" x14ac:dyDescent="0.25">
      <c r="C63" s="8"/>
      <c r="D63" s="2" t="s">
        <v>2262</v>
      </c>
      <c r="E63" s="2" t="s">
        <v>328</v>
      </c>
      <c r="F63" s="4">
        <v>150</v>
      </c>
      <c r="G63" s="14"/>
      <c r="H63" s="9">
        <v>3678</v>
      </c>
    </row>
    <row r="64" spans="3:8" x14ac:dyDescent="0.25">
      <c r="C64" s="8"/>
      <c r="D64" s="2" t="s">
        <v>2263</v>
      </c>
      <c r="E64" s="2" t="s">
        <v>48</v>
      </c>
      <c r="F64" s="4">
        <v>6</v>
      </c>
      <c r="G64" s="14"/>
      <c r="H64" s="9"/>
    </row>
    <row r="65" spans="3:8" x14ac:dyDescent="0.25">
      <c r="C65" s="8"/>
      <c r="D65" s="2" t="s">
        <v>2264</v>
      </c>
      <c r="E65" s="2" t="s">
        <v>48</v>
      </c>
      <c r="F65" s="4"/>
      <c r="G65" s="14"/>
      <c r="H65" s="9">
        <v>4</v>
      </c>
    </row>
    <row r="66" spans="3:8" x14ac:dyDescent="0.25">
      <c r="C66" s="8"/>
      <c r="D66" s="2" t="s">
        <v>2292</v>
      </c>
      <c r="E66" s="2" t="s">
        <v>2298</v>
      </c>
      <c r="F66" s="4">
        <v>1599</v>
      </c>
      <c r="G66" s="14"/>
      <c r="H66" s="9"/>
    </row>
    <row r="67" spans="3:8" x14ac:dyDescent="0.25">
      <c r="C67" s="8"/>
      <c r="D67" s="2" t="s">
        <v>2293</v>
      </c>
      <c r="E67" s="2" t="s">
        <v>48</v>
      </c>
      <c r="F67" s="4"/>
      <c r="G67" s="14"/>
      <c r="H67" s="9">
        <v>22</v>
      </c>
    </row>
    <row r="68" spans="3:8" x14ac:dyDescent="0.25">
      <c r="C68" s="8"/>
      <c r="D68" s="2" t="s">
        <v>2294</v>
      </c>
      <c r="E68" s="2" t="s">
        <v>48</v>
      </c>
      <c r="F68" s="4">
        <v>13.5</v>
      </c>
      <c r="G68" s="14"/>
      <c r="H68" s="9"/>
    </row>
    <row r="69" spans="3:8" x14ac:dyDescent="0.25">
      <c r="C69" s="8"/>
      <c r="D69" s="2" t="s">
        <v>2295</v>
      </c>
      <c r="E69" s="2" t="s">
        <v>106</v>
      </c>
      <c r="F69" s="4"/>
      <c r="G69" s="14"/>
      <c r="H69" s="9">
        <v>60</v>
      </c>
    </row>
    <row r="70" spans="3:8" x14ac:dyDescent="0.25">
      <c r="C70" s="8"/>
      <c r="D70" s="2" t="s">
        <v>2296</v>
      </c>
      <c r="E70" s="2" t="s">
        <v>158</v>
      </c>
      <c r="F70" s="4"/>
      <c r="G70" s="14">
        <v>750</v>
      </c>
      <c r="H70" s="9"/>
    </row>
    <row r="71" spans="3:8" x14ac:dyDescent="0.25">
      <c r="C71" s="8"/>
      <c r="D71" s="2" t="s">
        <v>2297</v>
      </c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29"/>
      <c r="D76" s="30"/>
      <c r="E76" s="30" t="s">
        <v>60</v>
      </c>
      <c r="F76" s="4"/>
      <c r="G76" s="14"/>
      <c r="H76" s="9"/>
    </row>
    <row r="77" spans="3:8" x14ac:dyDescent="0.25">
      <c r="C77" s="8"/>
      <c r="D77" s="45" t="s">
        <v>2232</v>
      </c>
      <c r="E77" s="2" t="s">
        <v>955</v>
      </c>
      <c r="F77" s="4"/>
      <c r="G77" s="14"/>
      <c r="H77" s="9">
        <v>160</v>
      </c>
    </row>
    <row r="78" spans="3:8" x14ac:dyDescent="0.25">
      <c r="C78" s="8"/>
      <c r="D78" s="45" t="s">
        <v>2233</v>
      </c>
      <c r="E78" s="2" t="s">
        <v>955</v>
      </c>
      <c r="F78" s="4"/>
      <c r="G78" s="14"/>
      <c r="H78" s="9">
        <v>16.5</v>
      </c>
    </row>
    <row r="79" spans="3:8" x14ac:dyDescent="0.25">
      <c r="C79" s="8"/>
      <c r="D79" s="45" t="s">
        <v>2285</v>
      </c>
      <c r="E79" s="2" t="s">
        <v>955</v>
      </c>
      <c r="F79" s="4"/>
      <c r="G79" s="14"/>
      <c r="H79" s="9">
        <v>2675</v>
      </c>
    </row>
    <row r="80" spans="3:8" x14ac:dyDescent="0.25">
      <c r="C80" s="8"/>
      <c r="D80" s="45"/>
      <c r="E80" s="2"/>
      <c r="F80" s="4"/>
      <c r="G80" s="14"/>
      <c r="H80" s="9"/>
    </row>
    <row r="81" spans="3:13" x14ac:dyDescent="0.25">
      <c r="C81" s="8"/>
      <c r="D81" s="2"/>
      <c r="E81" s="2"/>
      <c r="F81" s="4"/>
      <c r="G81" s="14"/>
      <c r="H81" s="9"/>
    </row>
    <row r="82" spans="3:13" x14ac:dyDescent="0.25">
      <c r="C82" s="16"/>
      <c r="D82" s="17"/>
      <c r="E82" s="17" t="s">
        <v>39</v>
      </c>
      <c r="F82" s="4"/>
      <c r="G82" s="14"/>
      <c r="H82" s="9"/>
    </row>
    <row r="83" spans="3:13" x14ac:dyDescent="0.25">
      <c r="C83" s="8"/>
      <c r="D83" s="45"/>
      <c r="E83" s="2" t="s">
        <v>1152</v>
      </c>
      <c r="F83" s="4">
        <v>60</v>
      </c>
      <c r="G83" s="14"/>
      <c r="H83" s="9"/>
    </row>
    <row r="84" spans="3:13" x14ac:dyDescent="0.25">
      <c r="C84" s="8"/>
      <c r="D84" s="45"/>
      <c r="E84" s="2"/>
      <c r="F84" s="4"/>
      <c r="G84" s="14"/>
      <c r="H84" s="9"/>
    </row>
    <row r="85" spans="3:13" x14ac:dyDescent="0.25">
      <c r="C85" s="8"/>
      <c r="D85" s="45"/>
      <c r="E85" s="2"/>
      <c r="F85" s="4"/>
      <c r="G85" s="14"/>
      <c r="H85" s="9"/>
    </row>
    <row r="86" spans="3:13" x14ac:dyDescent="0.25">
      <c r="C86" s="8"/>
      <c r="D86" s="2"/>
      <c r="E86" s="2"/>
      <c r="F86" s="4"/>
      <c r="G86" s="14"/>
      <c r="H86" s="9"/>
    </row>
    <row r="87" spans="3:13" x14ac:dyDescent="0.25">
      <c r="C87" s="8"/>
      <c r="D87" s="2"/>
      <c r="E87" s="2"/>
      <c r="F87" s="4"/>
      <c r="G87" s="14"/>
      <c r="H87" s="9"/>
    </row>
    <row r="88" spans="3:13" x14ac:dyDescent="0.25">
      <c r="C88" s="8"/>
      <c r="D88" s="2"/>
      <c r="E88" s="2"/>
      <c r="F88" s="4"/>
      <c r="G88" s="14"/>
      <c r="H88" s="9"/>
    </row>
    <row r="89" spans="3:13" x14ac:dyDescent="0.25">
      <c r="C89" s="19"/>
      <c r="D89" s="20"/>
      <c r="E89" s="20" t="s">
        <v>42</v>
      </c>
      <c r="F89" s="4"/>
      <c r="G89" s="14"/>
      <c r="H89" s="9"/>
    </row>
    <row r="90" spans="3:13" x14ac:dyDescent="0.25">
      <c r="C90" s="34"/>
      <c r="D90" s="42"/>
      <c r="E90" s="2" t="s">
        <v>2231</v>
      </c>
      <c r="F90" s="14">
        <v>-297.5</v>
      </c>
      <c r="G90" s="14"/>
      <c r="H90" s="9"/>
      <c r="M90">
        <f>8.5*35</f>
        <v>297.5</v>
      </c>
    </row>
    <row r="91" spans="3:13" x14ac:dyDescent="0.25">
      <c r="C91" s="34"/>
      <c r="D91" s="42"/>
      <c r="E91" s="2" t="s">
        <v>2265</v>
      </c>
      <c r="F91" s="14">
        <v>-80</v>
      </c>
      <c r="G91" s="14"/>
      <c r="H91" s="9"/>
    </row>
    <row r="92" spans="3:13" x14ac:dyDescent="0.25">
      <c r="C92" s="34"/>
      <c r="D92" s="42" t="s">
        <v>160</v>
      </c>
      <c r="E92" s="2" t="s">
        <v>2284</v>
      </c>
      <c r="F92" s="14">
        <v>-875</v>
      </c>
      <c r="G92" s="14"/>
      <c r="H92" s="9"/>
    </row>
    <row r="93" spans="3:13" x14ac:dyDescent="0.25">
      <c r="C93" s="34"/>
      <c r="D93" s="42"/>
      <c r="E93" s="2" t="s">
        <v>2299</v>
      </c>
      <c r="F93" s="14">
        <v>-160</v>
      </c>
      <c r="G93" s="14"/>
      <c r="H93" s="9"/>
    </row>
    <row r="94" spans="3:13" x14ac:dyDescent="0.25">
      <c r="C94" s="8"/>
      <c r="D94" s="2"/>
      <c r="E94" s="2" t="s">
        <v>610</v>
      </c>
      <c r="F94" s="14">
        <v>-3552.6</v>
      </c>
      <c r="G94" s="14"/>
      <c r="H94" s="9"/>
    </row>
    <row r="95" spans="3:13" x14ac:dyDescent="0.25">
      <c r="C95" s="8"/>
      <c r="D95" s="2"/>
      <c r="E95" s="2" t="s">
        <v>2300</v>
      </c>
      <c r="F95" s="14">
        <v>-825</v>
      </c>
      <c r="G95" s="14"/>
      <c r="H95" s="9"/>
    </row>
    <row r="96" spans="3:13" x14ac:dyDescent="0.25">
      <c r="C96" s="8"/>
      <c r="D96" s="2"/>
      <c r="E96" s="2" t="s">
        <v>2301</v>
      </c>
      <c r="F96" s="14">
        <v>-65</v>
      </c>
      <c r="G96" s="14"/>
      <c r="H96" s="9"/>
    </row>
    <row r="97" spans="3:13" x14ac:dyDescent="0.25">
      <c r="C97" s="8"/>
      <c r="D97" s="2"/>
      <c r="E97" s="2"/>
      <c r="F97" s="14"/>
      <c r="G97" s="14"/>
      <c r="H97" s="9"/>
      <c r="M97">
        <f>500*1.65</f>
        <v>825</v>
      </c>
    </row>
    <row r="98" spans="3:13" x14ac:dyDescent="0.25">
      <c r="C98" s="8"/>
      <c r="D98" s="2"/>
      <c r="E98" s="2"/>
      <c r="F98" s="14"/>
      <c r="G98" s="14"/>
      <c r="H98" s="9"/>
    </row>
    <row r="99" spans="3:13" x14ac:dyDescent="0.25">
      <c r="C99" s="8"/>
      <c r="D99" s="2"/>
      <c r="E99" s="2"/>
      <c r="F99" s="4"/>
      <c r="G99" s="14"/>
      <c r="H99" s="9"/>
    </row>
    <row r="100" spans="3:13" ht="15.75" thickBot="1" x14ac:dyDescent="0.3">
      <c r="C100" s="10"/>
      <c r="D100" s="11"/>
      <c r="E100" s="11" t="s">
        <v>44</v>
      </c>
      <c r="F100" s="12">
        <f>SUM(F6:F99)</f>
        <v>-2566.6</v>
      </c>
      <c r="G100" s="15">
        <f>SUM(G6:G99)</f>
        <v>2956.5</v>
      </c>
      <c r="H100" s="13">
        <f>SUM(H6:H99)</f>
        <v>11533.5</v>
      </c>
    </row>
    <row r="103" spans="3:13" ht="18.75" x14ac:dyDescent="0.3">
      <c r="E103" s="38" t="s">
        <v>49</v>
      </c>
      <c r="F103" s="39">
        <f>+H4+F100</f>
        <v>1953.85</v>
      </c>
    </row>
    <row r="106" spans="3:13" x14ac:dyDescent="0.25">
      <c r="J106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A07-4028-4759-A7ED-5E011E91A952}">
  <sheetPr codeName="Hoja23"/>
  <dimension ref="C2:J82"/>
  <sheetViews>
    <sheetView topLeftCell="A46" workbookViewId="0">
      <selection activeCell="D47" sqref="D47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56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2302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1953.85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2311</v>
      </c>
      <c r="E6" s="2" t="s">
        <v>103</v>
      </c>
      <c r="F6" s="4"/>
      <c r="G6" s="14">
        <v>293.2</v>
      </c>
      <c r="H6" s="9"/>
    </row>
    <row r="7" spans="3:8" x14ac:dyDescent="0.25">
      <c r="C7" s="8"/>
      <c r="D7" s="2" t="s">
        <v>2312</v>
      </c>
      <c r="E7" s="2" t="s">
        <v>12</v>
      </c>
      <c r="F7" s="4"/>
      <c r="G7" s="14"/>
      <c r="H7" s="9">
        <v>22.5</v>
      </c>
    </row>
    <row r="8" spans="3:8" x14ac:dyDescent="0.25">
      <c r="C8" s="8"/>
      <c r="D8" s="2" t="s">
        <v>2313</v>
      </c>
      <c r="E8" s="2" t="s">
        <v>12</v>
      </c>
      <c r="F8" s="4">
        <v>1.5</v>
      </c>
      <c r="G8" s="14"/>
      <c r="H8" s="9"/>
    </row>
    <row r="9" spans="3:8" x14ac:dyDescent="0.25">
      <c r="C9" s="8"/>
      <c r="D9" s="2" t="s">
        <v>2314</v>
      </c>
      <c r="E9" s="2" t="s">
        <v>12</v>
      </c>
      <c r="F9" s="4">
        <v>40</v>
      </c>
      <c r="G9" s="14"/>
      <c r="H9" s="9"/>
    </row>
    <row r="10" spans="3:8" x14ac:dyDescent="0.25">
      <c r="C10" s="8"/>
      <c r="D10" s="2" t="s">
        <v>2315</v>
      </c>
      <c r="E10" s="2" t="s">
        <v>12</v>
      </c>
      <c r="F10" s="4"/>
      <c r="G10" s="14"/>
      <c r="H10" s="9">
        <v>45.5</v>
      </c>
    </row>
    <row r="11" spans="3:8" x14ac:dyDescent="0.25">
      <c r="C11" s="8"/>
      <c r="D11" s="2" t="s">
        <v>2316</v>
      </c>
      <c r="E11" s="2" t="s">
        <v>2046</v>
      </c>
      <c r="F11" s="4">
        <v>1071</v>
      </c>
      <c r="G11" s="14"/>
      <c r="H11" s="9"/>
    </row>
    <row r="12" spans="3:8" x14ac:dyDescent="0.25">
      <c r="C12" s="8"/>
      <c r="D12" s="2" t="s">
        <v>2317</v>
      </c>
      <c r="E12" s="2" t="s">
        <v>103</v>
      </c>
      <c r="F12" s="4"/>
      <c r="G12" s="14">
        <v>1776</v>
      </c>
      <c r="H12" s="9"/>
    </row>
    <row r="13" spans="3:8" x14ac:dyDescent="0.25">
      <c r="C13" s="8"/>
      <c r="D13" s="2" t="s">
        <v>2318</v>
      </c>
      <c r="E13" s="2" t="s">
        <v>449</v>
      </c>
      <c r="F13" s="4">
        <v>87</v>
      </c>
      <c r="G13" s="14"/>
      <c r="H13" s="9"/>
    </row>
    <row r="14" spans="3:8" x14ac:dyDescent="0.25">
      <c r="C14" s="8"/>
      <c r="D14" s="2" t="s">
        <v>2319</v>
      </c>
      <c r="E14" s="2" t="s">
        <v>12</v>
      </c>
      <c r="F14" s="4">
        <v>5</v>
      </c>
      <c r="G14" s="14"/>
      <c r="H14" s="9"/>
    </row>
    <row r="15" spans="3:8" x14ac:dyDescent="0.25">
      <c r="C15" s="8"/>
      <c r="D15" s="2" t="s">
        <v>2320</v>
      </c>
      <c r="E15" s="2" t="s">
        <v>12</v>
      </c>
      <c r="F15" s="4"/>
      <c r="G15" s="14"/>
      <c r="H15" s="9">
        <v>20</v>
      </c>
    </row>
    <row r="16" spans="3:8" x14ac:dyDescent="0.25">
      <c r="C16" s="8"/>
      <c r="D16" s="2" t="s">
        <v>2321</v>
      </c>
      <c r="E16" s="2" t="s">
        <v>12</v>
      </c>
      <c r="F16" s="4">
        <v>6</v>
      </c>
      <c r="G16" s="14"/>
      <c r="H16" s="9"/>
    </row>
    <row r="17" spans="3:8" x14ac:dyDescent="0.25">
      <c r="C17" s="8"/>
      <c r="D17" s="2" t="s">
        <v>2322</v>
      </c>
      <c r="E17" s="2" t="s">
        <v>12</v>
      </c>
      <c r="F17" s="4"/>
      <c r="G17" s="14"/>
      <c r="H17" s="9">
        <v>5</v>
      </c>
    </row>
    <row r="18" spans="3:8" x14ac:dyDescent="0.25">
      <c r="C18" s="8"/>
      <c r="D18" s="2" t="s">
        <v>2323</v>
      </c>
      <c r="E18" s="2" t="s">
        <v>12</v>
      </c>
      <c r="F18" s="4"/>
      <c r="G18" s="14"/>
      <c r="H18" s="9">
        <v>12.5</v>
      </c>
    </row>
    <row r="19" spans="3:8" x14ac:dyDescent="0.25">
      <c r="C19" s="8"/>
      <c r="D19" s="2" t="s">
        <v>2324</v>
      </c>
      <c r="E19" s="2" t="s">
        <v>12</v>
      </c>
      <c r="F19" s="4">
        <v>4</v>
      </c>
      <c r="G19" s="14"/>
      <c r="H19" s="9"/>
    </row>
    <row r="20" spans="3:8" x14ac:dyDescent="0.25">
      <c r="C20" s="8"/>
      <c r="D20" s="2" t="s">
        <v>2325</v>
      </c>
      <c r="E20" s="2" t="s">
        <v>12</v>
      </c>
      <c r="F20" s="4"/>
      <c r="G20" s="14"/>
      <c r="H20" s="9">
        <v>45</v>
      </c>
    </row>
    <row r="21" spans="3:8" x14ac:dyDescent="0.25">
      <c r="C21" s="8"/>
      <c r="D21" s="2" t="s">
        <v>2326</v>
      </c>
      <c r="E21" s="2" t="s">
        <v>12</v>
      </c>
      <c r="F21" s="4">
        <v>8</v>
      </c>
      <c r="G21" s="14"/>
      <c r="H21" s="9"/>
    </row>
    <row r="22" spans="3:8" x14ac:dyDescent="0.25">
      <c r="C22" s="8"/>
      <c r="D22" s="2" t="s">
        <v>2327</v>
      </c>
      <c r="E22" s="2" t="s">
        <v>12</v>
      </c>
      <c r="F22" s="4">
        <v>54</v>
      </c>
      <c r="G22" s="14"/>
      <c r="H22" s="9"/>
    </row>
    <row r="23" spans="3:8" x14ac:dyDescent="0.25">
      <c r="C23" s="8"/>
      <c r="D23" s="2" t="s">
        <v>2328</v>
      </c>
      <c r="E23" s="2" t="s">
        <v>12</v>
      </c>
      <c r="F23" s="4">
        <v>1</v>
      </c>
      <c r="G23" s="14"/>
      <c r="H23" s="9"/>
    </row>
    <row r="24" spans="3:8" x14ac:dyDescent="0.25">
      <c r="C24" s="8"/>
      <c r="D24" s="2" t="s">
        <v>2329</v>
      </c>
      <c r="E24" s="2" t="s">
        <v>2351</v>
      </c>
      <c r="F24" s="4"/>
      <c r="G24" s="14"/>
      <c r="H24" s="9">
        <v>82</v>
      </c>
    </row>
    <row r="25" spans="3:8" x14ac:dyDescent="0.25">
      <c r="C25" s="8"/>
      <c r="D25" s="2" t="s">
        <v>2330</v>
      </c>
      <c r="E25" s="2" t="s">
        <v>2351</v>
      </c>
      <c r="F25" s="4"/>
      <c r="G25" s="14"/>
      <c r="H25" s="9">
        <v>980</v>
      </c>
    </row>
    <row r="26" spans="3:8" x14ac:dyDescent="0.25">
      <c r="C26" s="8"/>
      <c r="D26" s="2" t="s">
        <v>2331</v>
      </c>
      <c r="E26" s="2" t="s">
        <v>12</v>
      </c>
      <c r="F26" s="4">
        <v>7</v>
      </c>
      <c r="G26" s="14"/>
      <c r="H26" s="9"/>
    </row>
    <row r="27" spans="3:8" x14ac:dyDescent="0.25">
      <c r="C27" s="8"/>
      <c r="D27" s="2" t="s">
        <v>2362</v>
      </c>
      <c r="E27" s="2"/>
      <c r="F27" s="4"/>
      <c r="G27" s="14"/>
      <c r="H27" s="9"/>
    </row>
    <row r="28" spans="3:8" x14ac:dyDescent="0.25">
      <c r="C28" s="8"/>
      <c r="D28" s="2"/>
      <c r="E28" s="2"/>
      <c r="F28" s="4"/>
      <c r="G28" s="14"/>
      <c r="H28" s="9"/>
    </row>
    <row r="29" spans="3:8" x14ac:dyDescent="0.25">
      <c r="C29" s="8"/>
      <c r="D29" s="2"/>
      <c r="E29" s="2"/>
      <c r="F29" s="4"/>
      <c r="G29" s="14"/>
      <c r="H29" s="9"/>
    </row>
    <row r="30" spans="3:8" x14ac:dyDescent="0.25">
      <c r="C30" s="8"/>
      <c r="D30" s="2" t="s">
        <v>2297</v>
      </c>
      <c r="E30" s="2" t="s">
        <v>48</v>
      </c>
      <c r="F30" s="4">
        <v>10</v>
      </c>
      <c r="G30" s="14"/>
      <c r="H30" s="9"/>
    </row>
    <row r="31" spans="3:8" x14ac:dyDescent="0.25">
      <c r="C31" s="8"/>
      <c r="D31" s="2" t="s">
        <v>2332</v>
      </c>
      <c r="E31" s="2" t="s">
        <v>48</v>
      </c>
      <c r="F31" s="4">
        <v>1</v>
      </c>
      <c r="G31" s="14"/>
      <c r="H31" s="9"/>
    </row>
    <row r="32" spans="3:8" x14ac:dyDescent="0.25">
      <c r="C32" s="8"/>
      <c r="D32" s="2" t="s">
        <v>2333</v>
      </c>
      <c r="E32" s="2" t="s">
        <v>711</v>
      </c>
      <c r="F32" s="4"/>
      <c r="G32" s="14">
        <v>307</v>
      </c>
      <c r="H32" s="9"/>
    </row>
    <row r="33" spans="3:8" x14ac:dyDescent="0.25">
      <c r="C33" s="8"/>
      <c r="D33" s="2" t="s">
        <v>2334</v>
      </c>
      <c r="E33" s="2" t="s">
        <v>107</v>
      </c>
      <c r="F33" s="4"/>
      <c r="G33" s="14">
        <v>10806.5</v>
      </c>
      <c r="H33" s="9"/>
    </row>
    <row r="34" spans="3:8" x14ac:dyDescent="0.25">
      <c r="C34" s="8"/>
      <c r="D34" s="2" t="s">
        <v>2335</v>
      </c>
      <c r="E34" s="2" t="s">
        <v>48</v>
      </c>
      <c r="F34" s="4"/>
      <c r="G34" s="14"/>
      <c r="H34" s="9">
        <v>90</v>
      </c>
    </row>
    <row r="35" spans="3:8" x14ac:dyDescent="0.25">
      <c r="C35" s="8"/>
      <c r="D35" s="2" t="s">
        <v>2336</v>
      </c>
      <c r="E35" s="2" t="s">
        <v>2350</v>
      </c>
      <c r="F35" s="4"/>
      <c r="G35" s="14"/>
      <c r="H35" s="9">
        <v>181</v>
      </c>
    </row>
    <row r="36" spans="3:8" x14ac:dyDescent="0.25">
      <c r="C36" s="8"/>
      <c r="D36" s="2" t="s">
        <v>2337</v>
      </c>
      <c r="E36" s="2" t="s">
        <v>1370</v>
      </c>
      <c r="F36" s="4"/>
      <c r="G36" s="14"/>
      <c r="H36" s="9">
        <v>1230</v>
      </c>
    </row>
    <row r="37" spans="3:8" x14ac:dyDescent="0.25">
      <c r="C37" s="8"/>
      <c r="D37" s="2" t="s">
        <v>2338</v>
      </c>
      <c r="E37" s="2" t="s">
        <v>164</v>
      </c>
      <c r="F37" s="4"/>
      <c r="G37" s="14">
        <v>585.20000000000005</v>
      </c>
      <c r="H37" s="9"/>
    </row>
    <row r="38" spans="3:8" x14ac:dyDescent="0.25">
      <c r="C38" s="8"/>
      <c r="D38" s="2" t="s">
        <v>2339</v>
      </c>
      <c r="E38" s="2" t="s">
        <v>48</v>
      </c>
      <c r="F38" s="4">
        <v>108</v>
      </c>
      <c r="G38" s="14"/>
      <c r="H38" s="9"/>
    </row>
    <row r="39" spans="3:8" x14ac:dyDescent="0.25">
      <c r="C39" s="8"/>
      <c r="D39" s="2" t="s">
        <v>2340</v>
      </c>
      <c r="E39" s="2" t="s">
        <v>48</v>
      </c>
      <c r="F39" s="4"/>
      <c r="G39" s="14"/>
      <c r="H39" s="9">
        <v>18</v>
      </c>
    </row>
    <row r="40" spans="3:8" x14ac:dyDescent="0.25">
      <c r="C40" s="8"/>
      <c r="D40" s="2" t="s">
        <v>2341</v>
      </c>
      <c r="E40" s="2" t="s">
        <v>48</v>
      </c>
      <c r="F40" s="4">
        <v>9</v>
      </c>
      <c r="G40" s="14"/>
      <c r="H40" s="9"/>
    </row>
    <row r="41" spans="3:8" x14ac:dyDescent="0.25">
      <c r="C41" s="8"/>
      <c r="D41" s="2" t="s">
        <v>2342</v>
      </c>
      <c r="E41" s="2" t="s">
        <v>48</v>
      </c>
      <c r="F41" s="4">
        <v>5.5</v>
      </c>
      <c r="G41" s="14"/>
      <c r="H41" s="9"/>
    </row>
    <row r="42" spans="3:8" x14ac:dyDescent="0.25">
      <c r="C42" s="8"/>
      <c r="D42" s="2" t="s">
        <v>2343</v>
      </c>
      <c r="E42" s="2" t="s">
        <v>48</v>
      </c>
      <c r="F42" s="4">
        <v>6</v>
      </c>
      <c r="G42" s="14"/>
      <c r="H42" s="9"/>
    </row>
    <row r="43" spans="3:8" x14ac:dyDescent="0.25">
      <c r="C43" s="8"/>
      <c r="D43" s="2" t="s">
        <v>2344</v>
      </c>
      <c r="E43" s="2" t="s">
        <v>48</v>
      </c>
      <c r="F43" s="4"/>
      <c r="G43" s="14"/>
      <c r="H43" s="9">
        <v>38</v>
      </c>
    </row>
    <row r="44" spans="3:8" x14ac:dyDescent="0.25">
      <c r="C44" s="8"/>
      <c r="D44" s="2" t="s">
        <v>2345</v>
      </c>
      <c r="E44" s="2" t="s">
        <v>2349</v>
      </c>
      <c r="F44" s="4">
        <v>14</v>
      </c>
      <c r="G44" s="14"/>
      <c r="H44" s="9"/>
    </row>
    <row r="45" spans="3:8" x14ac:dyDescent="0.25">
      <c r="C45" s="8"/>
      <c r="D45" s="2" t="s">
        <v>2346</v>
      </c>
      <c r="E45" s="2" t="s">
        <v>2348</v>
      </c>
      <c r="F45" s="4">
        <v>570</v>
      </c>
      <c r="G45" s="14"/>
      <c r="H45" s="9"/>
    </row>
    <row r="46" spans="3:8" x14ac:dyDescent="0.25">
      <c r="C46" s="8"/>
      <c r="D46" s="2" t="s">
        <v>2347</v>
      </c>
      <c r="E46" s="2" t="s">
        <v>48</v>
      </c>
      <c r="F46" s="4">
        <v>1</v>
      </c>
      <c r="G46" s="14"/>
      <c r="H46" s="9"/>
    </row>
    <row r="47" spans="3:8" x14ac:dyDescent="0.25">
      <c r="C47" s="8"/>
      <c r="D47" s="2" t="s">
        <v>2411</v>
      </c>
      <c r="E47" s="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29"/>
      <c r="D52" s="30"/>
      <c r="E52" s="30" t="s">
        <v>60</v>
      </c>
      <c r="F52" s="4"/>
      <c r="G52" s="14"/>
      <c r="H52" s="9"/>
    </row>
    <row r="53" spans="3:8" x14ac:dyDescent="0.25">
      <c r="C53" s="8"/>
      <c r="D53" s="45" t="s">
        <v>2307</v>
      </c>
      <c r="E53" s="2" t="s">
        <v>955</v>
      </c>
      <c r="F53" s="4"/>
      <c r="G53" s="14"/>
      <c r="H53" s="9">
        <v>250</v>
      </c>
    </row>
    <row r="54" spans="3:8" x14ac:dyDescent="0.25">
      <c r="C54" s="8"/>
      <c r="D54" s="45" t="s">
        <v>2308</v>
      </c>
      <c r="E54" s="2" t="s">
        <v>1387</v>
      </c>
      <c r="F54" s="4"/>
      <c r="G54" s="14"/>
      <c r="H54" s="9">
        <v>380</v>
      </c>
    </row>
    <row r="55" spans="3:8" x14ac:dyDescent="0.25">
      <c r="C55" s="8"/>
      <c r="D55" s="45" t="s">
        <v>2309</v>
      </c>
      <c r="E55" s="2" t="s">
        <v>93</v>
      </c>
      <c r="F55" s="4"/>
      <c r="G55" s="14"/>
      <c r="H55" s="9">
        <v>930</v>
      </c>
    </row>
    <row r="56" spans="3:8" x14ac:dyDescent="0.25">
      <c r="C56" s="8"/>
      <c r="D56" s="45" t="s">
        <v>2310</v>
      </c>
      <c r="E56" s="2" t="s">
        <v>1390</v>
      </c>
      <c r="F56" s="4"/>
      <c r="G56" s="14"/>
      <c r="H56" s="4">
        <v>4345</v>
      </c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16"/>
      <c r="D58" s="17"/>
      <c r="E58" s="17" t="s">
        <v>39</v>
      </c>
      <c r="F58" s="4"/>
      <c r="G58" s="14"/>
      <c r="H58" s="9"/>
    </row>
    <row r="59" spans="3:8" x14ac:dyDescent="0.25">
      <c r="C59" s="8"/>
      <c r="D59" s="45"/>
      <c r="E59" s="2" t="s">
        <v>2352</v>
      </c>
      <c r="F59" s="4">
        <v>240</v>
      </c>
      <c r="G59" s="14"/>
      <c r="H59" s="9"/>
    </row>
    <row r="60" spans="3:8" x14ac:dyDescent="0.25">
      <c r="C60" s="8"/>
      <c r="D60" s="45"/>
      <c r="E60" s="2" t="s">
        <v>107</v>
      </c>
      <c r="F60" s="4">
        <v>5791</v>
      </c>
      <c r="G60" s="14"/>
      <c r="H60" s="9"/>
    </row>
    <row r="61" spans="3:8" x14ac:dyDescent="0.25">
      <c r="C61" s="8"/>
      <c r="D61" s="45"/>
      <c r="E61" s="2" t="s">
        <v>2166</v>
      </c>
      <c r="F61" s="4">
        <v>4</v>
      </c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19"/>
      <c r="D65" s="20"/>
      <c r="E65" s="20" t="s">
        <v>42</v>
      </c>
      <c r="F65" s="4"/>
      <c r="G65" s="14"/>
      <c r="H65" s="9"/>
    </row>
    <row r="66" spans="3:8" x14ac:dyDescent="0.25">
      <c r="C66" s="34"/>
      <c r="D66" s="42"/>
      <c r="E66" s="2" t="s">
        <v>2303</v>
      </c>
      <c r="F66" s="14">
        <v>-54</v>
      </c>
      <c r="G66" s="14"/>
      <c r="H66" s="9"/>
    </row>
    <row r="67" spans="3:8" x14ac:dyDescent="0.25">
      <c r="C67" s="34"/>
      <c r="D67" s="42"/>
      <c r="E67" s="2" t="s">
        <v>2304</v>
      </c>
      <c r="F67" s="14">
        <v>-67.5</v>
      </c>
      <c r="G67" s="14"/>
      <c r="H67" s="9"/>
    </row>
    <row r="68" spans="3:8" x14ac:dyDescent="0.25">
      <c r="C68" s="34"/>
      <c r="D68" s="42"/>
      <c r="E68" s="2" t="s">
        <v>2305</v>
      </c>
      <c r="F68" s="14">
        <v>-456</v>
      </c>
      <c r="G68" s="14"/>
      <c r="H68" s="9"/>
    </row>
    <row r="69" spans="3:8" x14ac:dyDescent="0.25">
      <c r="C69" s="34"/>
      <c r="D69" s="42"/>
      <c r="E69" s="2" t="s">
        <v>2306</v>
      </c>
      <c r="F69" s="14">
        <v>-3729.4</v>
      </c>
      <c r="G69" s="14"/>
      <c r="H69" s="9"/>
    </row>
    <row r="70" spans="3:8" x14ac:dyDescent="0.25">
      <c r="C70" s="8"/>
      <c r="D70" s="2"/>
      <c r="E70" s="2" t="s">
        <v>2354</v>
      </c>
      <c r="F70" s="14">
        <v>-40</v>
      </c>
      <c r="G70" s="14"/>
      <c r="H70" s="9"/>
    </row>
    <row r="71" spans="3:8" x14ac:dyDescent="0.25">
      <c r="C71" s="8"/>
      <c r="D71" s="2"/>
      <c r="E71" s="2" t="s">
        <v>2353</v>
      </c>
      <c r="F71" s="14">
        <v>-30</v>
      </c>
      <c r="G71" s="14"/>
      <c r="H71" s="9"/>
    </row>
    <row r="72" spans="3:8" x14ac:dyDescent="0.25">
      <c r="C72" s="8"/>
      <c r="D72" s="2"/>
      <c r="E72" s="2" t="s">
        <v>753</v>
      </c>
      <c r="F72" s="14">
        <v>-140</v>
      </c>
      <c r="G72" s="14"/>
      <c r="H72" s="9"/>
    </row>
    <row r="73" spans="3:8" x14ac:dyDescent="0.25">
      <c r="C73" s="8"/>
      <c r="D73" s="2"/>
      <c r="E73" s="2"/>
      <c r="F73" s="14"/>
      <c r="G73" s="14"/>
      <c r="H73" s="9"/>
    </row>
    <row r="74" spans="3:8" x14ac:dyDescent="0.25">
      <c r="C74" s="8"/>
      <c r="D74" s="2"/>
      <c r="E74" s="2"/>
      <c r="F74" s="1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ht="15.75" thickBot="1" x14ac:dyDescent="0.3">
      <c r="C76" s="10"/>
      <c r="D76" s="11"/>
      <c r="E76" s="11" t="s">
        <v>44</v>
      </c>
      <c r="F76" s="12">
        <f>SUM(F6:F75)</f>
        <v>3527.1</v>
      </c>
      <c r="G76" s="15">
        <f>SUM(G6:G75)</f>
        <v>13767.900000000001</v>
      </c>
      <c r="H76" s="13">
        <f>SUM(H6:H75)</f>
        <v>8674.5</v>
      </c>
    </row>
    <row r="79" spans="3:8" ht="18.75" x14ac:dyDescent="0.3">
      <c r="E79" s="38" t="s">
        <v>49</v>
      </c>
      <c r="F79" s="39">
        <f>+H4+F76</f>
        <v>5480.95</v>
      </c>
    </row>
    <row r="82" spans="10:10" x14ac:dyDescent="0.25">
      <c r="J82" s="36"/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FBE0-6062-4548-B9EB-CC9B145462EA}">
  <sheetPr codeName="Hoja24"/>
  <dimension ref="C2:H105"/>
  <sheetViews>
    <sheetView topLeftCell="A60" workbookViewId="0">
      <selection activeCell="G112" sqref="G112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0.42578125" style="1" bestFit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2355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5480.95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2362</v>
      </c>
      <c r="E6" s="2" t="s">
        <v>1911</v>
      </c>
      <c r="F6" s="4">
        <v>100</v>
      </c>
      <c r="G6" s="14"/>
      <c r="H6" s="9"/>
    </row>
    <row r="7" spans="3:8" x14ac:dyDescent="0.25">
      <c r="C7" s="8"/>
      <c r="D7" s="2" t="s">
        <v>2363</v>
      </c>
      <c r="E7" s="2" t="s">
        <v>1911</v>
      </c>
      <c r="F7" s="4">
        <v>15</v>
      </c>
      <c r="G7" s="14"/>
      <c r="H7" s="9"/>
    </row>
    <row r="8" spans="3:8" x14ac:dyDescent="0.25">
      <c r="C8" s="8"/>
      <c r="D8" s="2" t="s">
        <v>2364</v>
      </c>
      <c r="E8" s="2" t="s">
        <v>1911</v>
      </c>
      <c r="F8" s="4">
        <v>30</v>
      </c>
      <c r="G8" s="14"/>
      <c r="H8" s="9"/>
    </row>
    <row r="9" spans="3:8" x14ac:dyDescent="0.25">
      <c r="C9" s="8"/>
      <c r="D9" s="2" t="s">
        <v>2365</v>
      </c>
      <c r="E9" s="2" t="s">
        <v>1911</v>
      </c>
      <c r="F9" s="4">
        <v>2</v>
      </c>
      <c r="G9" s="14"/>
      <c r="H9" s="9"/>
    </row>
    <row r="10" spans="3:8" x14ac:dyDescent="0.25">
      <c r="C10" s="8"/>
      <c r="D10" s="2" t="s">
        <v>2366</v>
      </c>
      <c r="E10" s="2" t="s">
        <v>1911</v>
      </c>
      <c r="F10" s="4">
        <v>23</v>
      </c>
      <c r="G10" s="14"/>
      <c r="H10" s="9"/>
    </row>
    <row r="11" spans="3:8" x14ac:dyDescent="0.25">
      <c r="C11" s="8"/>
      <c r="D11" s="2" t="s">
        <v>2367</v>
      </c>
      <c r="E11" s="2" t="s">
        <v>2384</v>
      </c>
      <c r="F11" s="4"/>
      <c r="G11" s="14">
        <v>35</v>
      </c>
      <c r="H11" s="9"/>
    </row>
    <row r="12" spans="3:8" x14ac:dyDescent="0.25">
      <c r="C12" s="8"/>
      <c r="D12" s="2" t="s">
        <v>2368</v>
      </c>
      <c r="E12" s="2" t="s">
        <v>1911</v>
      </c>
      <c r="F12" s="4">
        <v>118</v>
      </c>
      <c r="G12" s="14"/>
      <c r="H12" s="9"/>
    </row>
    <row r="13" spans="3:8" x14ac:dyDescent="0.25">
      <c r="C13" s="8"/>
      <c r="D13" s="2" t="s">
        <v>2369</v>
      </c>
      <c r="E13" s="2" t="s">
        <v>2383</v>
      </c>
      <c r="F13" s="4">
        <v>88</v>
      </c>
      <c r="G13" s="14"/>
      <c r="H13" s="9"/>
    </row>
    <row r="14" spans="3:8" x14ac:dyDescent="0.25">
      <c r="C14" s="8"/>
      <c r="D14" s="2" t="s">
        <v>2370</v>
      </c>
      <c r="E14" s="2" t="s">
        <v>2382</v>
      </c>
      <c r="F14" s="4">
        <v>340</v>
      </c>
      <c r="G14" s="14"/>
      <c r="H14" s="9">
        <v>80</v>
      </c>
    </row>
    <row r="15" spans="3:8" x14ac:dyDescent="0.25">
      <c r="C15" s="8"/>
      <c r="D15" s="2" t="s">
        <v>2371</v>
      </c>
      <c r="E15" s="2" t="s">
        <v>1911</v>
      </c>
      <c r="F15" s="4">
        <v>502.5</v>
      </c>
      <c r="G15" s="14"/>
      <c r="H15" s="9"/>
    </row>
    <row r="16" spans="3:8" x14ac:dyDescent="0.25">
      <c r="C16" s="8"/>
      <c r="D16" s="2" t="s">
        <v>2372</v>
      </c>
      <c r="E16" s="2" t="s">
        <v>1695</v>
      </c>
      <c r="F16" s="4">
        <v>131</v>
      </c>
      <c r="G16" s="14"/>
      <c r="H16" s="9"/>
    </row>
    <row r="17" spans="3:8" x14ac:dyDescent="0.25">
      <c r="C17" s="8"/>
      <c r="D17" s="2" t="s">
        <v>2373</v>
      </c>
      <c r="E17" s="2" t="s">
        <v>1911</v>
      </c>
      <c r="F17" s="4">
        <v>8</v>
      </c>
      <c r="G17" s="14"/>
      <c r="H17" s="9"/>
    </row>
    <row r="18" spans="3:8" x14ac:dyDescent="0.25">
      <c r="C18" s="8"/>
      <c r="D18" s="2" t="s">
        <v>2374</v>
      </c>
      <c r="E18" s="2" t="s">
        <v>1911</v>
      </c>
      <c r="F18" s="4">
        <v>50</v>
      </c>
      <c r="G18" s="14"/>
      <c r="H18" s="9"/>
    </row>
    <row r="19" spans="3:8" x14ac:dyDescent="0.25">
      <c r="C19" s="8"/>
      <c r="D19" s="2" t="s">
        <v>2375</v>
      </c>
      <c r="E19" s="2" t="s">
        <v>1911</v>
      </c>
      <c r="F19" s="4">
        <v>6.5</v>
      </c>
      <c r="G19" s="14"/>
      <c r="H19" s="9"/>
    </row>
    <row r="20" spans="3:8" x14ac:dyDescent="0.25">
      <c r="C20" s="8"/>
      <c r="D20" s="2" t="s">
        <v>2376</v>
      </c>
      <c r="E20" s="43" t="s">
        <v>2381</v>
      </c>
      <c r="F20" s="4"/>
      <c r="G20" s="14"/>
      <c r="H20" s="9"/>
    </row>
    <row r="21" spans="3:8" x14ac:dyDescent="0.25">
      <c r="C21" s="8"/>
      <c r="D21" s="2" t="s">
        <v>2377</v>
      </c>
      <c r="E21" s="2" t="s">
        <v>1911</v>
      </c>
      <c r="F21" s="4"/>
      <c r="G21" s="14"/>
      <c r="H21" s="9">
        <v>65</v>
      </c>
    </row>
    <row r="22" spans="3:8" x14ac:dyDescent="0.25">
      <c r="C22" s="8"/>
      <c r="D22" s="2" t="s">
        <v>2378</v>
      </c>
      <c r="E22" s="2" t="s">
        <v>1911</v>
      </c>
      <c r="F22" s="4">
        <v>1</v>
      </c>
      <c r="G22" s="14"/>
      <c r="H22" s="9"/>
    </row>
    <row r="23" spans="3:8" x14ac:dyDescent="0.25">
      <c r="C23" s="8"/>
      <c r="D23" s="2" t="s">
        <v>2379</v>
      </c>
      <c r="E23" s="2" t="s">
        <v>1911</v>
      </c>
      <c r="F23" s="4">
        <v>40</v>
      </c>
      <c r="G23" s="14"/>
      <c r="H23" s="9"/>
    </row>
    <row r="24" spans="3:8" x14ac:dyDescent="0.25">
      <c r="C24" s="8"/>
      <c r="D24" s="2" t="s">
        <v>2380</v>
      </c>
      <c r="E24" s="2" t="s">
        <v>2407</v>
      </c>
      <c r="F24" s="4"/>
      <c r="G24" s="14">
        <v>123</v>
      </c>
      <c r="H24" s="9"/>
    </row>
    <row r="25" spans="3:8" x14ac:dyDescent="0.25">
      <c r="C25" s="8"/>
      <c r="D25" s="2" t="s">
        <v>2385</v>
      </c>
      <c r="E25" s="2" t="s">
        <v>1911</v>
      </c>
      <c r="F25" s="4">
        <v>5</v>
      </c>
      <c r="G25" s="14"/>
      <c r="H25" s="9"/>
    </row>
    <row r="26" spans="3:8" x14ac:dyDescent="0.25">
      <c r="C26" s="8"/>
      <c r="D26" s="2" t="s">
        <v>2386</v>
      </c>
      <c r="E26" s="2" t="s">
        <v>1911</v>
      </c>
      <c r="F26" s="4"/>
      <c r="G26" s="14"/>
      <c r="H26" s="9">
        <v>8</v>
      </c>
    </row>
    <row r="27" spans="3:8" x14ac:dyDescent="0.25">
      <c r="C27" s="8"/>
      <c r="D27" s="2" t="s">
        <v>2387</v>
      </c>
      <c r="E27" s="2" t="s">
        <v>2145</v>
      </c>
      <c r="F27" s="4">
        <v>177</v>
      </c>
      <c r="G27" s="14"/>
      <c r="H27" s="9"/>
    </row>
    <row r="28" spans="3:8" x14ac:dyDescent="0.25">
      <c r="C28" s="8"/>
      <c r="D28" s="2" t="s">
        <v>2388</v>
      </c>
      <c r="E28" s="2" t="s">
        <v>1911</v>
      </c>
      <c r="F28" s="4">
        <v>25</v>
      </c>
      <c r="G28" s="14"/>
      <c r="H28" s="9"/>
    </row>
    <row r="29" spans="3:8" x14ac:dyDescent="0.25">
      <c r="C29" s="8"/>
      <c r="D29" s="2" t="s">
        <v>2389</v>
      </c>
      <c r="E29" s="2" t="s">
        <v>1911</v>
      </c>
      <c r="F29" s="4"/>
      <c r="G29" s="14"/>
      <c r="H29" s="9">
        <v>6.5</v>
      </c>
    </row>
    <row r="30" spans="3:8" x14ac:dyDescent="0.25">
      <c r="C30" s="8"/>
      <c r="D30" s="2" t="s">
        <v>2390</v>
      </c>
      <c r="E30" s="2" t="s">
        <v>1911</v>
      </c>
      <c r="F30" s="4">
        <v>4.5</v>
      </c>
      <c r="G30" s="14"/>
      <c r="H30" s="9"/>
    </row>
    <row r="31" spans="3:8" x14ac:dyDescent="0.25">
      <c r="C31" s="8"/>
      <c r="D31" s="2" t="s">
        <v>2391</v>
      </c>
      <c r="E31" s="2" t="s">
        <v>1911</v>
      </c>
      <c r="F31" s="4"/>
      <c r="G31" s="14"/>
      <c r="H31" s="9">
        <v>4</v>
      </c>
    </row>
    <row r="32" spans="3:8" x14ac:dyDescent="0.25">
      <c r="C32" s="8"/>
      <c r="D32" s="2" t="s">
        <v>2392</v>
      </c>
      <c r="E32" s="2" t="s">
        <v>1911</v>
      </c>
      <c r="F32" s="4">
        <v>11.5</v>
      </c>
      <c r="G32" s="14"/>
      <c r="H32" s="9"/>
    </row>
    <row r="33" spans="3:8" x14ac:dyDescent="0.25">
      <c r="C33" s="8"/>
      <c r="D33" s="2" t="s">
        <v>2393</v>
      </c>
      <c r="E33" s="2" t="s">
        <v>1911</v>
      </c>
      <c r="F33" s="4">
        <v>7.5</v>
      </c>
      <c r="G33" s="14"/>
      <c r="H33" s="9"/>
    </row>
    <row r="34" spans="3:8" x14ac:dyDescent="0.25">
      <c r="C34" s="8"/>
      <c r="D34" s="2" t="s">
        <v>2394</v>
      </c>
      <c r="E34" s="2" t="s">
        <v>1911</v>
      </c>
      <c r="F34" s="4"/>
      <c r="G34" s="14"/>
      <c r="H34" s="9">
        <v>11</v>
      </c>
    </row>
    <row r="35" spans="3:8" x14ac:dyDescent="0.25">
      <c r="C35" s="8"/>
      <c r="D35" s="2" t="s">
        <v>2395</v>
      </c>
      <c r="E35" s="2" t="s">
        <v>2406</v>
      </c>
      <c r="F35" s="4"/>
      <c r="G35" s="14">
        <v>2250</v>
      </c>
      <c r="H35" s="9"/>
    </row>
    <row r="36" spans="3:8" x14ac:dyDescent="0.25">
      <c r="C36" s="8"/>
      <c r="D36" s="2" t="s">
        <v>2396</v>
      </c>
      <c r="E36" s="2" t="s">
        <v>449</v>
      </c>
      <c r="F36" s="4">
        <v>15</v>
      </c>
      <c r="G36" s="14"/>
      <c r="H36" s="9"/>
    </row>
    <row r="37" spans="3:8" x14ac:dyDescent="0.25">
      <c r="C37" s="8"/>
      <c r="D37" s="2" t="s">
        <v>2397</v>
      </c>
      <c r="E37" s="2" t="s">
        <v>2405</v>
      </c>
      <c r="F37" s="4"/>
      <c r="G37" s="14">
        <v>1630</v>
      </c>
      <c r="H37" s="9"/>
    </row>
    <row r="38" spans="3:8" x14ac:dyDescent="0.25">
      <c r="C38" s="8"/>
      <c r="D38" s="2" t="s">
        <v>2398</v>
      </c>
      <c r="E38" s="2" t="s">
        <v>1911</v>
      </c>
      <c r="F38" s="4">
        <v>2.5</v>
      </c>
      <c r="G38" s="14"/>
      <c r="H38" s="9"/>
    </row>
    <row r="39" spans="3:8" x14ac:dyDescent="0.25">
      <c r="C39" s="8"/>
      <c r="D39" s="2" t="s">
        <v>2399</v>
      </c>
      <c r="E39" s="2" t="s">
        <v>1325</v>
      </c>
      <c r="F39" s="4"/>
      <c r="G39" s="14">
        <v>936</v>
      </c>
      <c r="H39" s="9"/>
    </row>
    <row r="40" spans="3:8" x14ac:dyDescent="0.25">
      <c r="C40" s="8"/>
      <c r="D40" s="2" t="s">
        <v>2400</v>
      </c>
      <c r="E40" s="2" t="s">
        <v>1911</v>
      </c>
      <c r="F40" s="4">
        <v>25</v>
      </c>
      <c r="G40" s="14"/>
      <c r="H40" s="9"/>
    </row>
    <row r="41" spans="3:8" x14ac:dyDescent="0.25">
      <c r="C41" s="8"/>
      <c r="D41" s="2" t="s">
        <v>2401</v>
      </c>
      <c r="E41" s="2" t="s">
        <v>1911</v>
      </c>
      <c r="F41" s="4">
        <v>12.5</v>
      </c>
      <c r="G41" s="14"/>
      <c r="H41" s="9"/>
    </row>
    <row r="42" spans="3:8" x14ac:dyDescent="0.25">
      <c r="C42" s="8"/>
      <c r="D42" s="2" t="s">
        <v>2402</v>
      </c>
      <c r="E42" s="2" t="s">
        <v>1911</v>
      </c>
      <c r="F42" s="4">
        <v>1</v>
      </c>
      <c r="G42" s="14"/>
      <c r="H42" s="9"/>
    </row>
    <row r="43" spans="3:8" x14ac:dyDescent="0.25">
      <c r="C43" s="8"/>
      <c r="D43" s="2" t="s">
        <v>2403</v>
      </c>
      <c r="E43" s="2" t="s">
        <v>1911</v>
      </c>
      <c r="F43" s="4">
        <v>8</v>
      </c>
      <c r="G43" s="14"/>
      <c r="H43" s="9"/>
    </row>
    <row r="44" spans="3:8" x14ac:dyDescent="0.25">
      <c r="C44" s="8"/>
      <c r="D44" s="2" t="s">
        <v>2404</v>
      </c>
      <c r="E44" s="2" t="s">
        <v>2409</v>
      </c>
      <c r="F44" s="4"/>
      <c r="G44" s="14"/>
      <c r="H44" s="9">
        <v>960</v>
      </c>
    </row>
    <row r="45" spans="3:8" x14ac:dyDescent="0.25">
      <c r="C45" s="8"/>
      <c r="D45" s="2" t="s">
        <v>2410</v>
      </c>
      <c r="E45" s="2" t="s">
        <v>2408</v>
      </c>
      <c r="F45" s="4">
        <v>38</v>
      </c>
      <c r="G45" s="14"/>
      <c r="H45" s="9"/>
    </row>
    <row r="46" spans="3:8" x14ac:dyDescent="0.25">
      <c r="C46" s="8"/>
      <c r="D46" s="2" t="s">
        <v>2450</v>
      </c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8"/>
      <c r="D48" s="2" t="s">
        <v>2411</v>
      </c>
      <c r="E48" s="2" t="s">
        <v>48</v>
      </c>
      <c r="F48" s="4"/>
      <c r="G48" s="14"/>
      <c r="H48" s="9">
        <v>3</v>
      </c>
    </row>
    <row r="49" spans="3:8" x14ac:dyDescent="0.25">
      <c r="C49" s="8"/>
      <c r="D49" s="2" t="s">
        <v>2412</v>
      </c>
      <c r="E49" s="2" t="s">
        <v>48</v>
      </c>
      <c r="F49" s="4">
        <v>20</v>
      </c>
      <c r="G49" s="14"/>
      <c r="H49" s="9"/>
    </row>
    <row r="50" spans="3:8" x14ac:dyDescent="0.25">
      <c r="C50" s="8"/>
      <c r="D50" s="2" t="s">
        <v>2413</v>
      </c>
      <c r="E50" s="2" t="s">
        <v>48</v>
      </c>
      <c r="F50" s="4">
        <v>1</v>
      </c>
      <c r="G50" s="14"/>
      <c r="H50" s="9"/>
    </row>
    <row r="51" spans="3:8" x14ac:dyDescent="0.25">
      <c r="C51" s="8"/>
      <c r="D51" s="2" t="s">
        <v>2414</v>
      </c>
      <c r="E51" s="2" t="s">
        <v>359</v>
      </c>
      <c r="F51" s="4"/>
      <c r="G51" s="14">
        <v>288.5</v>
      </c>
      <c r="H51" s="9"/>
    </row>
    <row r="52" spans="3:8" x14ac:dyDescent="0.25">
      <c r="C52" s="8"/>
      <c r="D52" s="2" t="s">
        <v>2415</v>
      </c>
      <c r="E52" s="2" t="s">
        <v>48</v>
      </c>
      <c r="F52" s="4">
        <v>120</v>
      </c>
      <c r="G52" s="14"/>
      <c r="H52" s="9"/>
    </row>
    <row r="53" spans="3:8" x14ac:dyDescent="0.25">
      <c r="C53" s="8"/>
      <c r="D53" s="2" t="s">
        <v>2416</v>
      </c>
      <c r="E53" s="2" t="s">
        <v>2441</v>
      </c>
      <c r="F53" s="4"/>
      <c r="G53" s="14"/>
      <c r="H53" s="9">
        <v>84</v>
      </c>
    </row>
    <row r="54" spans="3:8" x14ac:dyDescent="0.25">
      <c r="C54" s="8"/>
      <c r="D54" s="2" t="s">
        <v>2417</v>
      </c>
      <c r="E54" s="2" t="s">
        <v>48</v>
      </c>
      <c r="F54" s="4"/>
      <c r="G54" s="14"/>
      <c r="H54" s="9">
        <v>15</v>
      </c>
    </row>
    <row r="55" spans="3:8" x14ac:dyDescent="0.25">
      <c r="C55" s="8"/>
      <c r="D55" s="2" t="s">
        <v>2418</v>
      </c>
      <c r="E55" s="2" t="s">
        <v>48</v>
      </c>
      <c r="F55" s="4">
        <v>58</v>
      </c>
      <c r="G55" s="14"/>
      <c r="H55" s="9"/>
    </row>
    <row r="56" spans="3:8" x14ac:dyDescent="0.25">
      <c r="C56" s="8"/>
      <c r="D56" s="2" t="s">
        <v>2419</v>
      </c>
      <c r="E56" s="2" t="s">
        <v>48</v>
      </c>
      <c r="F56" s="4">
        <v>17.5</v>
      </c>
      <c r="G56" s="14"/>
      <c r="H56" s="9"/>
    </row>
    <row r="57" spans="3:8" x14ac:dyDescent="0.25">
      <c r="C57" s="8"/>
      <c r="D57" s="2" t="s">
        <v>2420</v>
      </c>
      <c r="E57" s="2" t="s">
        <v>1370</v>
      </c>
      <c r="F57" s="4"/>
      <c r="G57" s="14"/>
      <c r="H57" s="9">
        <v>580</v>
      </c>
    </row>
    <row r="58" spans="3:8" x14ac:dyDescent="0.25">
      <c r="C58" s="8"/>
      <c r="D58" s="2" t="s">
        <v>2421</v>
      </c>
      <c r="E58" s="2" t="s">
        <v>106</v>
      </c>
      <c r="F58" s="4"/>
      <c r="G58" s="14"/>
      <c r="H58" s="9">
        <v>101.92</v>
      </c>
    </row>
    <row r="59" spans="3:8" x14ac:dyDescent="0.25">
      <c r="C59" s="8"/>
      <c r="D59" s="2" t="s">
        <v>2422</v>
      </c>
      <c r="E59" s="2" t="s">
        <v>2440</v>
      </c>
      <c r="F59" s="4"/>
      <c r="G59" s="14"/>
      <c r="H59" s="9">
        <v>4617.5</v>
      </c>
    </row>
    <row r="60" spans="3:8" x14ac:dyDescent="0.25">
      <c r="C60" s="8"/>
      <c r="D60" s="2" t="s">
        <v>2423</v>
      </c>
      <c r="E60" s="2" t="s">
        <v>722</v>
      </c>
      <c r="F60" s="4"/>
      <c r="G60" s="14">
        <v>1665</v>
      </c>
      <c r="H60" s="9"/>
    </row>
    <row r="61" spans="3:8" x14ac:dyDescent="0.25">
      <c r="C61" s="8"/>
      <c r="D61" s="2" t="s">
        <v>2424</v>
      </c>
      <c r="E61" s="2" t="s">
        <v>2439</v>
      </c>
      <c r="F61" s="4">
        <v>580</v>
      </c>
      <c r="G61" s="14"/>
      <c r="H61" s="9"/>
    </row>
    <row r="62" spans="3:8" x14ac:dyDescent="0.25">
      <c r="C62" s="8"/>
      <c r="D62" s="2" t="s">
        <v>2425</v>
      </c>
      <c r="E62" s="2" t="s">
        <v>48</v>
      </c>
      <c r="F62" s="4">
        <v>5</v>
      </c>
      <c r="G62" s="14"/>
      <c r="H62" s="9"/>
    </row>
    <row r="63" spans="3:8" x14ac:dyDescent="0.25">
      <c r="C63" s="8"/>
      <c r="D63" s="2" t="s">
        <v>2426</v>
      </c>
      <c r="E63" s="2" t="s">
        <v>1150</v>
      </c>
      <c r="F63" s="4"/>
      <c r="G63" s="14">
        <v>2885</v>
      </c>
      <c r="H63" s="9"/>
    </row>
    <row r="64" spans="3:8" x14ac:dyDescent="0.25">
      <c r="C64" s="8"/>
      <c r="D64" s="2" t="s">
        <v>2427</v>
      </c>
      <c r="E64" s="2" t="s">
        <v>48</v>
      </c>
      <c r="F64" s="4">
        <v>5.5</v>
      </c>
      <c r="G64" s="14"/>
      <c r="H64" s="9"/>
    </row>
    <row r="65" spans="3:8" x14ac:dyDescent="0.25">
      <c r="C65" s="8"/>
      <c r="D65" s="2" t="s">
        <v>2428</v>
      </c>
      <c r="E65" s="2" t="s">
        <v>48</v>
      </c>
      <c r="F65" s="4">
        <v>27</v>
      </c>
      <c r="G65" s="14"/>
      <c r="H65" s="9"/>
    </row>
    <row r="66" spans="3:8" x14ac:dyDescent="0.25">
      <c r="C66" s="8"/>
      <c r="D66" s="2" t="s">
        <v>2429</v>
      </c>
      <c r="E66" s="2" t="s">
        <v>2438</v>
      </c>
      <c r="F66" s="4"/>
      <c r="G66" s="14">
        <v>94.5</v>
      </c>
      <c r="H66" s="9"/>
    </row>
    <row r="67" spans="3:8" x14ac:dyDescent="0.25">
      <c r="C67" s="8"/>
      <c r="D67" s="2" t="s">
        <v>2430</v>
      </c>
      <c r="E67" s="2" t="s">
        <v>48</v>
      </c>
      <c r="F67" s="4">
        <v>10</v>
      </c>
      <c r="G67" s="14"/>
      <c r="H67" s="9"/>
    </row>
    <row r="68" spans="3:8" x14ac:dyDescent="0.25">
      <c r="C68" s="8"/>
      <c r="D68" s="2" t="s">
        <v>2431</v>
      </c>
      <c r="E68" s="2" t="s">
        <v>48</v>
      </c>
      <c r="F68" s="4">
        <v>2</v>
      </c>
      <c r="G68" s="14"/>
      <c r="H68" s="9"/>
    </row>
    <row r="69" spans="3:8" x14ac:dyDescent="0.25">
      <c r="C69" s="8"/>
      <c r="D69" s="2" t="s">
        <v>2432</v>
      </c>
      <c r="E69" s="2" t="s">
        <v>48</v>
      </c>
      <c r="F69" s="4"/>
      <c r="G69" s="14"/>
      <c r="H69" s="9">
        <v>6</v>
      </c>
    </row>
    <row r="70" spans="3:8" x14ac:dyDescent="0.25">
      <c r="C70" s="8"/>
      <c r="D70" s="2" t="s">
        <v>2433</v>
      </c>
      <c r="E70" s="2" t="s">
        <v>158</v>
      </c>
      <c r="F70" s="4"/>
      <c r="G70" s="14"/>
      <c r="H70" s="9">
        <v>1110</v>
      </c>
    </row>
    <row r="71" spans="3:8" x14ac:dyDescent="0.25">
      <c r="C71" s="8"/>
      <c r="D71" s="2" t="s">
        <v>2434</v>
      </c>
      <c r="E71" s="2" t="s">
        <v>2437</v>
      </c>
      <c r="F71" s="4"/>
      <c r="G71" s="14"/>
      <c r="H71" s="9">
        <v>666</v>
      </c>
    </row>
    <row r="72" spans="3:8" x14ac:dyDescent="0.25">
      <c r="C72" s="8"/>
      <c r="D72" s="2" t="s">
        <v>2435</v>
      </c>
      <c r="E72" s="2" t="s">
        <v>48</v>
      </c>
      <c r="F72" s="4">
        <v>4.5</v>
      </c>
      <c r="G72" s="14"/>
      <c r="H72" s="9"/>
    </row>
    <row r="73" spans="3:8" x14ac:dyDescent="0.25">
      <c r="C73" s="8"/>
      <c r="D73" s="2" t="s">
        <v>2436</v>
      </c>
      <c r="E73" s="2" t="s">
        <v>1370</v>
      </c>
      <c r="F73" s="4"/>
      <c r="G73" s="14"/>
      <c r="H73" s="9">
        <v>9320</v>
      </c>
    </row>
    <row r="74" spans="3:8" x14ac:dyDescent="0.25">
      <c r="C74" s="8"/>
      <c r="D74" s="2" t="s">
        <v>2444</v>
      </c>
      <c r="E74" s="2" t="s">
        <v>267</v>
      </c>
      <c r="F74" s="4"/>
      <c r="G74" s="14"/>
      <c r="H74" s="9">
        <v>75</v>
      </c>
    </row>
    <row r="75" spans="3:8" x14ac:dyDescent="0.25">
      <c r="C75" s="8"/>
      <c r="D75" s="2" t="s">
        <v>2492</v>
      </c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29"/>
      <c r="D78" s="30"/>
      <c r="E78" s="30" t="s">
        <v>60</v>
      </c>
      <c r="F78" s="4"/>
      <c r="G78" s="14"/>
      <c r="H78" s="9"/>
    </row>
    <row r="79" spans="3:8" x14ac:dyDescent="0.25">
      <c r="C79" s="8"/>
      <c r="D79" s="45" t="s">
        <v>2359</v>
      </c>
      <c r="E79" s="2" t="s">
        <v>229</v>
      </c>
      <c r="F79" s="4">
        <v>155</v>
      </c>
      <c r="G79" s="14"/>
      <c r="H79" s="9"/>
    </row>
    <row r="80" spans="3:8" x14ac:dyDescent="0.25">
      <c r="C80" s="8"/>
      <c r="D80" s="45" t="s">
        <v>2360</v>
      </c>
      <c r="E80" s="2" t="s">
        <v>955</v>
      </c>
      <c r="F80" s="4"/>
      <c r="G80" s="14"/>
      <c r="H80" s="9">
        <v>3360</v>
      </c>
    </row>
    <row r="81" spans="3:8" x14ac:dyDescent="0.25">
      <c r="C81" s="8"/>
      <c r="D81" s="45" t="s">
        <v>2361</v>
      </c>
      <c r="E81" s="2" t="s">
        <v>955</v>
      </c>
      <c r="F81" s="4"/>
      <c r="G81" s="14"/>
      <c r="H81" s="9">
        <v>935</v>
      </c>
    </row>
    <row r="82" spans="3:8" x14ac:dyDescent="0.25">
      <c r="C82" s="8"/>
      <c r="D82" s="45"/>
      <c r="E82" s="2"/>
      <c r="F82" s="4"/>
      <c r="G82" s="14"/>
      <c r="H82" s="4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16"/>
      <c r="D84" s="17"/>
      <c r="E84" s="17" t="s">
        <v>39</v>
      </c>
      <c r="F84" s="4"/>
      <c r="G84" s="14"/>
      <c r="H84" s="9"/>
    </row>
    <row r="85" spans="3:8" x14ac:dyDescent="0.25">
      <c r="C85" s="8"/>
      <c r="D85" s="45"/>
      <c r="E85" s="2" t="s">
        <v>676</v>
      </c>
      <c r="F85" s="4">
        <v>400</v>
      </c>
      <c r="G85" s="14"/>
      <c r="H85" s="9"/>
    </row>
    <row r="86" spans="3:8" x14ac:dyDescent="0.25">
      <c r="C86" s="8"/>
      <c r="D86" s="45"/>
      <c r="E86" s="2" t="s">
        <v>2445</v>
      </c>
      <c r="F86" s="4">
        <v>70</v>
      </c>
      <c r="G86" s="14"/>
      <c r="H86" s="9"/>
    </row>
    <row r="87" spans="3:8" x14ac:dyDescent="0.25">
      <c r="C87" s="8"/>
      <c r="D87" s="45"/>
      <c r="E87" s="2" t="s">
        <v>103</v>
      </c>
      <c r="F87" s="4">
        <f>293.2+1776</f>
        <v>2069.1999999999998</v>
      </c>
      <c r="G87" s="14"/>
      <c r="H87" s="9"/>
    </row>
    <row r="88" spans="3:8" x14ac:dyDescent="0.25">
      <c r="C88" s="8"/>
      <c r="D88" s="2"/>
      <c r="E88" s="2" t="s">
        <v>402</v>
      </c>
      <c r="F88" s="4">
        <v>4</v>
      </c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19"/>
      <c r="D91" s="20"/>
      <c r="E91" s="20" t="s">
        <v>42</v>
      </c>
      <c r="F91" s="4"/>
      <c r="G91" s="14"/>
      <c r="H91" s="9"/>
    </row>
    <row r="92" spans="3:8" x14ac:dyDescent="0.25">
      <c r="C92" s="34"/>
      <c r="D92" s="42" t="s">
        <v>160</v>
      </c>
      <c r="E92" s="2" t="s">
        <v>1760</v>
      </c>
      <c r="F92" s="14">
        <v>-1190</v>
      </c>
      <c r="G92" s="14"/>
      <c r="H92" s="9"/>
    </row>
    <row r="93" spans="3:8" x14ac:dyDescent="0.25">
      <c r="C93" s="34"/>
      <c r="D93" s="42" t="s">
        <v>2358</v>
      </c>
      <c r="E93" s="2" t="s">
        <v>2356</v>
      </c>
      <c r="F93" s="14">
        <v>-330</v>
      </c>
      <c r="G93" s="14"/>
      <c r="H93" s="9"/>
    </row>
    <row r="94" spans="3:8" x14ac:dyDescent="0.25">
      <c r="C94" s="34"/>
      <c r="D94" s="42" t="s">
        <v>2358</v>
      </c>
      <c r="E94" s="2" t="s">
        <v>2357</v>
      </c>
      <c r="F94" s="14">
        <v>-518</v>
      </c>
      <c r="G94" s="14"/>
      <c r="H94" s="9"/>
    </row>
    <row r="95" spans="3:8" x14ac:dyDescent="0.25">
      <c r="C95" s="34"/>
      <c r="D95" s="42"/>
      <c r="E95" s="2" t="s">
        <v>2442</v>
      </c>
      <c r="F95" s="14">
        <v>-70</v>
      </c>
      <c r="G95" s="14"/>
      <c r="H95" s="9"/>
    </row>
    <row r="96" spans="3:8" x14ac:dyDescent="0.25">
      <c r="C96" s="8"/>
      <c r="D96" s="2"/>
      <c r="E96" s="2" t="s">
        <v>385</v>
      </c>
      <c r="F96" s="14">
        <v>-425</v>
      </c>
      <c r="G96" s="14"/>
      <c r="H96" s="9"/>
    </row>
    <row r="97" spans="3:8" x14ac:dyDescent="0.25">
      <c r="C97" s="8"/>
      <c r="D97" s="2"/>
      <c r="E97" s="2" t="s">
        <v>2443</v>
      </c>
      <c r="F97" s="14">
        <v>-4000</v>
      </c>
      <c r="G97" s="14"/>
      <c r="H97" s="9"/>
    </row>
    <row r="98" spans="3:8" x14ac:dyDescent="0.25">
      <c r="C98" s="8"/>
      <c r="D98" s="2"/>
      <c r="E98" s="2" t="s">
        <v>2447</v>
      </c>
      <c r="F98" s="14">
        <v>-486</v>
      </c>
      <c r="G98" s="14"/>
      <c r="H98" s="9"/>
    </row>
    <row r="99" spans="3:8" x14ac:dyDescent="0.25">
      <c r="C99" s="8"/>
      <c r="D99" s="2"/>
      <c r="E99" s="2" t="s">
        <v>2448</v>
      </c>
      <c r="F99" s="14">
        <v>-20</v>
      </c>
      <c r="G99" s="14"/>
      <c r="H99" s="9"/>
    </row>
    <row r="100" spans="3:8" x14ac:dyDescent="0.25">
      <c r="C100" s="8"/>
      <c r="D100" s="2"/>
      <c r="E100" s="2" t="s">
        <v>2446</v>
      </c>
      <c r="F100" s="14">
        <v>-1600</v>
      </c>
      <c r="G100" s="14"/>
      <c r="H100" s="9"/>
    </row>
    <row r="101" spans="3:8" x14ac:dyDescent="0.25">
      <c r="C101" s="8"/>
      <c r="D101" s="2"/>
      <c r="E101" s="2"/>
      <c r="F101" s="4"/>
      <c r="G101" s="14"/>
      <c r="H101" s="9"/>
    </row>
    <row r="102" spans="3:8" ht="15.75" thickBot="1" x14ac:dyDescent="0.3">
      <c r="C102" s="10"/>
      <c r="D102" s="11"/>
      <c r="E102" s="11" t="s">
        <v>44</v>
      </c>
      <c r="F102" s="12">
        <f>SUM(F6:F101)</f>
        <v>-3302.8</v>
      </c>
      <c r="G102" s="15">
        <f>SUM(G6:G101)</f>
        <v>9907</v>
      </c>
      <c r="H102" s="13">
        <f>SUM(H6:H101)</f>
        <v>22007.919999999998</v>
      </c>
    </row>
    <row r="105" spans="3:8" ht="18.75" x14ac:dyDescent="0.3">
      <c r="E105" s="38" t="s">
        <v>49</v>
      </c>
      <c r="F105" s="39">
        <f>+H4+F102</f>
        <v>2178.1499999999996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69C2-2ED9-47D4-BE53-F100FFC4A131}">
  <sheetPr codeName="Hoja25"/>
  <dimension ref="C2:H110"/>
  <sheetViews>
    <sheetView topLeftCell="A81" workbookViewId="0">
      <selection activeCell="H96" sqref="H96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0.42578125" style="1" bestFit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2449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2178.15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2450</v>
      </c>
      <c r="E6" s="2" t="s">
        <v>440</v>
      </c>
      <c r="F6" s="4"/>
      <c r="G6" s="14"/>
      <c r="H6" s="9">
        <v>10</v>
      </c>
    </row>
    <row r="7" spans="3:8" x14ac:dyDescent="0.25">
      <c r="C7" s="8"/>
      <c r="D7" s="2" t="s">
        <v>2465</v>
      </c>
      <c r="E7" s="2" t="s">
        <v>440</v>
      </c>
      <c r="F7" s="4">
        <v>6</v>
      </c>
      <c r="G7" s="14"/>
      <c r="H7" s="9"/>
    </row>
    <row r="8" spans="3:8" x14ac:dyDescent="0.25">
      <c r="C8" s="8"/>
      <c r="D8" s="2" t="s">
        <v>2466</v>
      </c>
      <c r="E8" s="2" t="s">
        <v>2046</v>
      </c>
      <c r="F8" s="4">
        <v>1685</v>
      </c>
      <c r="G8" s="14"/>
      <c r="H8" s="9"/>
    </row>
    <row r="9" spans="3:8" x14ac:dyDescent="0.25">
      <c r="C9" s="8"/>
      <c r="D9" s="2" t="s">
        <v>2467</v>
      </c>
      <c r="E9" s="2" t="s">
        <v>440</v>
      </c>
      <c r="F9" s="4"/>
      <c r="G9" s="14"/>
      <c r="H9" s="9">
        <v>10</v>
      </c>
    </row>
    <row r="10" spans="3:8" x14ac:dyDescent="0.25">
      <c r="C10" s="8"/>
      <c r="D10" s="2" t="s">
        <v>2468</v>
      </c>
      <c r="E10" s="2" t="s">
        <v>440</v>
      </c>
      <c r="F10" s="4">
        <v>5</v>
      </c>
      <c r="G10" s="14"/>
      <c r="H10" s="9"/>
    </row>
    <row r="11" spans="3:8" x14ac:dyDescent="0.25">
      <c r="C11" s="8"/>
      <c r="D11" s="2" t="s">
        <v>2469</v>
      </c>
      <c r="E11" s="2" t="s">
        <v>440</v>
      </c>
      <c r="F11" s="4">
        <v>10</v>
      </c>
      <c r="G11" s="14"/>
      <c r="H11" s="9"/>
    </row>
    <row r="12" spans="3:8" x14ac:dyDescent="0.25">
      <c r="C12" s="8"/>
      <c r="D12" s="2" t="s">
        <v>2470</v>
      </c>
      <c r="E12" s="2" t="s">
        <v>440</v>
      </c>
      <c r="F12" s="4">
        <v>40</v>
      </c>
      <c r="G12" s="14"/>
      <c r="H12" s="9"/>
    </row>
    <row r="13" spans="3:8" x14ac:dyDescent="0.25">
      <c r="C13" s="8"/>
      <c r="D13" s="2" t="s">
        <v>2471</v>
      </c>
      <c r="E13" s="2" t="s">
        <v>440</v>
      </c>
      <c r="F13" s="4">
        <v>5</v>
      </c>
      <c r="G13" s="14"/>
      <c r="H13" s="9"/>
    </row>
    <row r="14" spans="3:8" x14ac:dyDescent="0.25">
      <c r="C14" s="8"/>
      <c r="D14" s="2" t="s">
        <v>2472</v>
      </c>
      <c r="E14" s="2" t="s">
        <v>440</v>
      </c>
      <c r="F14" s="4"/>
      <c r="G14" s="14"/>
      <c r="H14" s="9">
        <v>22</v>
      </c>
    </row>
    <row r="15" spans="3:8" x14ac:dyDescent="0.25">
      <c r="C15" s="8"/>
      <c r="D15" s="2" t="s">
        <v>2473</v>
      </c>
      <c r="E15" s="2" t="s">
        <v>440</v>
      </c>
      <c r="F15" s="4"/>
      <c r="G15" s="14"/>
      <c r="H15" s="9">
        <v>16</v>
      </c>
    </row>
    <row r="16" spans="3:8" x14ac:dyDescent="0.25">
      <c r="C16" s="8"/>
      <c r="D16" s="2" t="s">
        <v>2474</v>
      </c>
      <c r="E16" s="2" t="s">
        <v>2529</v>
      </c>
      <c r="F16" s="4">
        <v>1305</v>
      </c>
      <c r="G16" s="14"/>
      <c r="H16" s="9"/>
    </row>
    <row r="17" spans="3:8" x14ac:dyDescent="0.25">
      <c r="C17" s="8"/>
      <c r="D17" s="2" t="s">
        <v>2475</v>
      </c>
      <c r="E17" s="2" t="s">
        <v>440</v>
      </c>
      <c r="F17" s="4">
        <v>2</v>
      </c>
      <c r="G17" s="14"/>
      <c r="H17" s="9"/>
    </row>
    <row r="18" spans="3:8" x14ac:dyDescent="0.25">
      <c r="C18" s="8"/>
      <c r="D18" s="2" t="s">
        <v>2476</v>
      </c>
      <c r="E18" s="2" t="s">
        <v>440</v>
      </c>
      <c r="F18" s="4">
        <v>8.5</v>
      </c>
      <c r="G18" s="14"/>
      <c r="H18" s="9"/>
    </row>
    <row r="19" spans="3:8" x14ac:dyDescent="0.25">
      <c r="C19" s="8"/>
      <c r="D19" s="2" t="s">
        <v>2477</v>
      </c>
      <c r="E19" s="2" t="s">
        <v>440</v>
      </c>
      <c r="F19" s="4">
        <v>3.5</v>
      </c>
      <c r="G19" s="14"/>
      <c r="H19" s="9"/>
    </row>
    <row r="20" spans="3:8" x14ac:dyDescent="0.25">
      <c r="C20" s="8"/>
      <c r="D20" s="2" t="s">
        <v>2478</v>
      </c>
      <c r="E20" s="2" t="s">
        <v>440</v>
      </c>
      <c r="F20" s="4">
        <v>20</v>
      </c>
      <c r="G20" s="14"/>
      <c r="H20" s="9"/>
    </row>
    <row r="21" spans="3:8" x14ac:dyDescent="0.25">
      <c r="C21" s="8"/>
      <c r="D21" s="2" t="s">
        <v>2479</v>
      </c>
      <c r="E21" s="2" t="s">
        <v>1390</v>
      </c>
      <c r="F21" s="4"/>
      <c r="G21" s="14"/>
      <c r="H21" s="9">
        <v>350</v>
      </c>
    </row>
    <row r="22" spans="3:8" x14ac:dyDescent="0.25">
      <c r="C22" s="8"/>
      <c r="D22" s="2" t="s">
        <v>2480</v>
      </c>
      <c r="E22" s="2" t="s">
        <v>440</v>
      </c>
      <c r="F22" s="4">
        <v>80</v>
      </c>
      <c r="G22" s="14"/>
      <c r="H22" s="9"/>
    </row>
    <row r="23" spans="3:8" x14ac:dyDescent="0.25">
      <c r="C23" s="8"/>
      <c r="D23" s="2" t="s">
        <v>2481</v>
      </c>
      <c r="E23" s="2" t="s">
        <v>440</v>
      </c>
      <c r="F23" s="4"/>
      <c r="G23" s="14"/>
      <c r="H23" s="9">
        <v>25</v>
      </c>
    </row>
    <row r="24" spans="3:8" x14ac:dyDescent="0.25">
      <c r="C24" s="8"/>
      <c r="D24" s="2" t="s">
        <v>2482</v>
      </c>
      <c r="E24" s="2" t="s">
        <v>440</v>
      </c>
      <c r="F24" s="4"/>
      <c r="G24" s="14"/>
      <c r="H24" s="9">
        <v>16</v>
      </c>
    </row>
    <row r="25" spans="3:8" x14ac:dyDescent="0.25">
      <c r="C25" s="8"/>
      <c r="D25" s="2" t="s">
        <v>2483</v>
      </c>
      <c r="E25" s="2" t="s">
        <v>440</v>
      </c>
      <c r="F25" s="4">
        <v>4.5</v>
      </c>
      <c r="G25" s="14"/>
      <c r="H25" s="9"/>
    </row>
    <row r="26" spans="3:8" x14ac:dyDescent="0.25">
      <c r="C26" s="8"/>
      <c r="D26" s="2" t="s">
        <v>2484</v>
      </c>
      <c r="E26" s="2" t="s">
        <v>440</v>
      </c>
      <c r="F26" s="4">
        <v>0.5</v>
      </c>
      <c r="G26" s="14"/>
      <c r="H26" s="9">
        <v>2.5</v>
      </c>
    </row>
    <row r="27" spans="3:8" x14ac:dyDescent="0.25">
      <c r="C27" s="8"/>
      <c r="D27" s="2" t="s">
        <v>2485</v>
      </c>
      <c r="E27" s="2" t="s">
        <v>440</v>
      </c>
      <c r="F27" s="4"/>
      <c r="G27" s="14"/>
      <c r="H27" s="9">
        <v>3</v>
      </c>
    </row>
    <row r="28" spans="3:8" x14ac:dyDescent="0.25">
      <c r="C28" s="8"/>
      <c r="D28" s="2" t="s">
        <v>2486</v>
      </c>
      <c r="E28" s="2" t="s">
        <v>440</v>
      </c>
      <c r="F28" s="4">
        <v>4</v>
      </c>
      <c r="G28" s="14"/>
      <c r="H28" s="9"/>
    </row>
    <row r="29" spans="3:8" x14ac:dyDescent="0.25">
      <c r="C29" s="8"/>
      <c r="D29" s="2" t="s">
        <v>2487</v>
      </c>
      <c r="E29" s="2" t="s">
        <v>2408</v>
      </c>
      <c r="F29" s="4">
        <v>38</v>
      </c>
      <c r="G29" s="14"/>
      <c r="H29" s="9"/>
    </row>
    <row r="30" spans="3:8" x14ac:dyDescent="0.25">
      <c r="C30" s="8"/>
      <c r="D30" s="2" t="s">
        <v>2488</v>
      </c>
      <c r="E30" s="2" t="s">
        <v>440</v>
      </c>
      <c r="F30" s="4">
        <v>4.5</v>
      </c>
      <c r="G30" s="14"/>
      <c r="H30" s="9"/>
    </row>
    <row r="31" spans="3:8" x14ac:dyDescent="0.25">
      <c r="C31" s="8"/>
      <c r="D31" s="2" t="s">
        <v>2489</v>
      </c>
      <c r="E31" s="2" t="s">
        <v>2530</v>
      </c>
      <c r="F31" s="4">
        <v>1285</v>
      </c>
      <c r="G31" s="14"/>
      <c r="H31" s="9"/>
    </row>
    <row r="32" spans="3:8" x14ac:dyDescent="0.25">
      <c r="C32" s="8"/>
      <c r="D32" s="2" t="s">
        <v>2490</v>
      </c>
      <c r="E32" s="2" t="s">
        <v>2531</v>
      </c>
      <c r="F32" s="4"/>
      <c r="G32" s="14"/>
      <c r="H32" s="9">
        <v>1370</v>
      </c>
    </row>
    <row r="33" spans="3:8" x14ac:dyDescent="0.25">
      <c r="C33" s="8"/>
      <c r="D33" s="2" t="s">
        <v>2491</v>
      </c>
      <c r="E33" s="2" t="s">
        <v>440</v>
      </c>
      <c r="F33" s="4">
        <v>80</v>
      </c>
      <c r="G33" s="14"/>
      <c r="H33" s="9"/>
    </row>
    <row r="34" spans="3:8" x14ac:dyDescent="0.25">
      <c r="C34" s="8"/>
      <c r="D34" s="2" t="s">
        <v>2539</v>
      </c>
      <c r="E34" s="2" t="s">
        <v>440</v>
      </c>
      <c r="F34" s="4">
        <v>2.5</v>
      </c>
      <c r="G34" s="14"/>
      <c r="H34" s="9"/>
    </row>
    <row r="35" spans="3:8" x14ac:dyDescent="0.25">
      <c r="C35" s="8"/>
      <c r="D35" s="2" t="s">
        <v>2547</v>
      </c>
      <c r="E35" s="2"/>
      <c r="F35" s="4"/>
      <c r="G35" s="14"/>
      <c r="H35" s="9"/>
    </row>
    <row r="36" spans="3:8" x14ac:dyDescent="0.25">
      <c r="C36" s="8"/>
      <c r="D36" s="2" t="s">
        <v>2492</v>
      </c>
      <c r="E36" s="2" t="s">
        <v>48</v>
      </c>
      <c r="F36" s="4">
        <v>22</v>
      </c>
      <c r="G36" s="14"/>
      <c r="H36" s="9"/>
    </row>
    <row r="37" spans="3:8" x14ac:dyDescent="0.25">
      <c r="C37" s="8"/>
      <c r="D37" s="2" t="s">
        <v>2493</v>
      </c>
      <c r="E37" s="2" t="s">
        <v>48</v>
      </c>
      <c r="F37" s="4"/>
      <c r="G37" s="14"/>
      <c r="H37" s="9">
        <v>12</v>
      </c>
    </row>
    <row r="38" spans="3:8" x14ac:dyDescent="0.25">
      <c r="C38" s="8"/>
      <c r="D38" s="2" t="s">
        <v>2494</v>
      </c>
      <c r="E38" s="2" t="s">
        <v>2528</v>
      </c>
      <c r="F38" s="4"/>
      <c r="G38" s="14"/>
      <c r="H38" s="9">
        <v>380</v>
      </c>
    </row>
    <row r="39" spans="3:8" x14ac:dyDescent="0.25">
      <c r="C39" s="8"/>
      <c r="D39" s="2" t="s">
        <v>2495</v>
      </c>
      <c r="E39" s="2" t="s">
        <v>48</v>
      </c>
      <c r="F39" s="4"/>
      <c r="G39" s="14"/>
      <c r="H39" s="9">
        <v>4</v>
      </c>
    </row>
    <row r="40" spans="3:8" x14ac:dyDescent="0.25">
      <c r="C40" s="8"/>
      <c r="D40" s="2" t="s">
        <v>2496</v>
      </c>
      <c r="E40" s="2" t="s">
        <v>2358</v>
      </c>
      <c r="F40" s="4"/>
      <c r="G40" s="14"/>
      <c r="H40" s="9">
        <v>66</v>
      </c>
    </row>
    <row r="41" spans="3:8" x14ac:dyDescent="0.25">
      <c r="C41" s="8"/>
      <c r="D41" s="2" t="s">
        <v>2497</v>
      </c>
      <c r="E41" s="2" t="s">
        <v>48</v>
      </c>
      <c r="F41" s="4">
        <v>2.5</v>
      </c>
      <c r="G41" s="14"/>
      <c r="H41" s="9"/>
    </row>
    <row r="42" spans="3:8" x14ac:dyDescent="0.25">
      <c r="C42" s="8"/>
      <c r="D42" s="2" t="s">
        <v>2498</v>
      </c>
      <c r="E42" s="2" t="s">
        <v>2525</v>
      </c>
      <c r="F42" s="4"/>
      <c r="G42" s="14"/>
      <c r="H42" s="9">
        <v>55</v>
      </c>
    </row>
    <row r="43" spans="3:8" x14ac:dyDescent="0.25">
      <c r="C43" s="8"/>
      <c r="D43" s="2" t="s">
        <v>2499</v>
      </c>
      <c r="E43" s="2" t="s">
        <v>1976</v>
      </c>
      <c r="F43" s="4"/>
      <c r="G43" s="14"/>
      <c r="H43" s="9">
        <v>950</v>
      </c>
    </row>
    <row r="44" spans="3:8" x14ac:dyDescent="0.25">
      <c r="C44" s="8"/>
      <c r="D44" s="2" t="s">
        <v>2500</v>
      </c>
      <c r="E44" s="2" t="s">
        <v>48</v>
      </c>
      <c r="F44" s="4">
        <v>17</v>
      </c>
      <c r="G44" s="14"/>
      <c r="H44" s="9"/>
    </row>
    <row r="45" spans="3:8" x14ac:dyDescent="0.25">
      <c r="C45" s="8"/>
      <c r="D45" s="2" t="s">
        <v>2501</v>
      </c>
      <c r="E45" s="2" t="s">
        <v>2527</v>
      </c>
      <c r="F45" s="4">
        <v>17</v>
      </c>
      <c r="G45" s="14"/>
      <c r="H45" s="9"/>
    </row>
    <row r="46" spans="3:8" x14ac:dyDescent="0.25">
      <c r="C46" s="8"/>
      <c r="D46" s="2" t="s">
        <v>2502</v>
      </c>
      <c r="E46" s="2" t="s">
        <v>2526</v>
      </c>
      <c r="F46" s="4">
        <v>1200</v>
      </c>
      <c r="G46" s="14"/>
      <c r="H46" s="9"/>
    </row>
    <row r="47" spans="3:8" x14ac:dyDescent="0.25">
      <c r="C47" s="8"/>
      <c r="D47" s="2" t="s">
        <v>2503</v>
      </c>
      <c r="E47" s="2" t="s">
        <v>48</v>
      </c>
      <c r="F47" s="4">
        <v>15</v>
      </c>
      <c r="G47" s="14"/>
      <c r="H47" s="9"/>
    </row>
    <row r="48" spans="3:8" x14ac:dyDescent="0.25">
      <c r="C48" s="8"/>
      <c r="D48" s="2" t="s">
        <v>2504</v>
      </c>
      <c r="E48" s="2" t="s">
        <v>2525</v>
      </c>
      <c r="F48" s="4"/>
      <c r="G48" s="14"/>
      <c r="H48" s="9">
        <v>155.75</v>
      </c>
    </row>
    <row r="49" spans="3:8" x14ac:dyDescent="0.25">
      <c r="C49" s="8"/>
      <c r="D49" s="2" t="s">
        <v>2505</v>
      </c>
      <c r="E49" s="2" t="s">
        <v>2525</v>
      </c>
      <c r="F49" s="4"/>
      <c r="G49" s="14"/>
      <c r="H49" s="9">
        <v>183</v>
      </c>
    </row>
    <row r="50" spans="3:8" x14ac:dyDescent="0.25">
      <c r="C50" s="8"/>
      <c r="D50" s="2" t="s">
        <v>2506</v>
      </c>
      <c r="E50" s="2" t="s">
        <v>2525</v>
      </c>
      <c r="F50" s="4"/>
      <c r="G50" s="14"/>
      <c r="H50" s="9">
        <v>100</v>
      </c>
    </row>
    <row r="51" spans="3:8" x14ac:dyDescent="0.25">
      <c r="C51" s="8"/>
      <c r="D51" s="2" t="s">
        <v>2507</v>
      </c>
      <c r="E51" s="2" t="s">
        <v>2525</v>
      </c>
      <c r="F51" s="4"/>
      <c r="G51" s="14"/>
      <c r="H51" s="9">
        <v>40</v>
      </c>
    </row>
    <row r="52" spans="3:8" x14ac:dyDescent="0.25">
      <c r="C52" s="8"/>
      <c r="D52" s="2" t="s">
        <v>2508</v>
      </c>
      <c r="E52" s="2" t="s">
        <v>48</v>
      </c>
      <c r="F52" s="4">
        <v>11</v>
      </c>
      <c r="G52" s="14"/>
      <c r="H52" s="9"/>
    </row>
    <row r="53" spans="3:8" x14ac:dyDescent="0.25">
      <c r="C53" s="8"/>
      <c r="D53" s="2" t="s">
        <v>2509</v>
      </c>
      <c r="E53" s="2" t="s">
        <v>1993</v>
      </c>
      <c r="F53" s="4"/>
      <c r="G53" s="14"/>
      <c r="H53" s="9">
        <v>6</v>
      </c>
    </row>
    <row r="54" spans="3:8" x14ac:dyDescent="0.25">
      <c r="C54" s="8"/>
      <c r="D54" s="2" t="s">
        <v>2510</v>
      </c>
      <c r="E54" s="2" t="s">
        <v>48</v>
      </c>
      <c r="F54" s="4">
        <v>3</v>
      </c>
      <c r="G54" s="14"/>
      <c r="H54" s="9"/>
    </row>
    <row r="55" spans="3:8" x14ac:dyDescent="0.25">
      <c r="C55" s="8"/>
      <c r="D55" s="2" t="s">
        <v>2511</v>
      </c>
      <c r="E55" s="2" t="s">
        <v>48</v>
      </c>
      <c r="F55" s="4">
        <v>8</v>
      </c>
      <c r="G55" s="14"/>
      <c r="H55" s="9"/>
    </row>
    <row r="56" spans="3:8" x14ac:dyDescent="0.25">
      <c r="C56" s="8"/>
      <c r="D56" s="2" t="s">
        <v>2512</v>
      </c>
      <c r="E56" s="2" t="s">
        <v>48</v>
      </c>
      <c r="F56" s="4">
        <v>5.5</v>
      </c>
      <c r="G56" s="14"/>
      <c r="H56" s="9"/>
    </row>
    <row r="57" spans="3:8" x14ac:dyDescent="0.25">
      <c r="C57" s="8"/>
      <c r="D57" s="2" t="s">
        <v>2513</v>
      </c>
      <c r="E57" s="2" t="s">
        <v>2525</v>
      </c>
      <c r="F57" s="4"/>
      <c r="G57" s="14"/>
      <c r="H57" s="9">
        <v>70</v>
      </c>
    </row>
    <row r="58" spans="3:8" x14ac:dyDescent="0.25">
      <c r="C58" s="8"/>
      <c r="D58" s="2" t="s">
        <v>2514</v>
      </c>
      <c r="E58" s="2" t="s">
        <v>164</v>
      </c>
      <c r="F58" s="4"/>
      <c r="G58" s="14"/>
      <c r="H58" s="9">
        <v>3010</v>
      </c>
    </row>
    <row r="59" spans="3:8" x14ac:dyDescent="0.25">
      <c r="C59" s="8"/>
      <c r="D59" s="2" t="s">
        <v>2515</v>
      </c>
      <c r="E59" s="2" t="s">
        <v>2525</v>
      </c>
      <c r="F59" s="4"/>
      <c r="G59" s="14"/>
      <c r="H59" s="9">
        <v>100</v>
      </c>
    </row>
    <row r="60" spans="3:8" x14ac:dyDescent="0.25">
      <c r="C60" s="8"/>
      <c r="D60" s="2" t="s">
        <v>2516</v>
      </c>
      <c r="E60" s="2" t="s">
        <v>2525</v>
      </c>
      <c r="F60" s="4"/>
      <c r="G60" s="14"/>
      <c r="H60" s="9">
        <v>100</v>
      </c>
    </row>
    <row r="61" spans="3:8" x14ac:dyDescent="0.25">
      <c r="C61" s="8"/>
      <c r="D61" s="2" t="s">
        <v>2517</v>
      </c>
      <c r="E61" s="2" t="s">
        <v>2358</v>
      </c>
      <c r="F61" s="4"/>
      <c r="G61" s="14"/>
      <c r="H61" s="9">
        <v>112</v>
      </c>
    </row>
    <row r="62" spans="3:8" x14ac:dyDescent="0.25">
      <c r="C62" s="8"/>
      <c r="D62" s="2" t="s">
        <v>2518</v>
      </c>
      <c r="E62" s="2" t="s">
        <v>2524</v>
      </c>
      <c r="F62" s="4">
        <v>112</v>
      </c>
      <c r="G62" s="14"/>
      <c r="H62" s="9"/>
    </row>
    <row r="63" spans="3:8" x14ac:dyDescent="0.25">
      <c r="C63" s="8"/>
      <c r="D63" s="2" t="s">
        <v>2519</v>
      </c>
      <c r="E63" s="2" t="s">
        <v>48</v>
      </c>
      <c r="F63" s="4"/>
      <c r="G63" s="14"/>
      <c r="H63" s="9">
        <v>5</v>
      </c>
    </row>
    <row r="64" spans="3:8" x14ac:dyDescent="0.25">
      <c r="C64" s="8"/>
      <c r="D64" s="2" t="s">
        <v>2520</v>
      </c>
      <c r="E64" s="2" t="s">
        <v>48</v>
      </c>
      <c r="F64" s="4"/>
      <c r="G64" s="14"/>
      <c r="H64" s="9">
        <v>31.5</v>
      </c>
    </row>
    <row r="65" spans="3:8" x14ac:dyDescent="0.25">
      <c r="C65" s="8"/>
      <c r="D65" s="2" t="s">
        <v>2521</v>
      </c>
      <c r="E65" s="2" t="s">
        <v>605</v>
      </c>
      <c r="F65" s="4">
        <v>368</v>
      </c>
      <c r="G65" s="14"/>
      <c r="H65" s="9"/>
    </row>
    <row r="66" spans="3:8" x14ac:dyDescent="0.25">
      <c r="C66" s="8"/>
      <c r="D66" s="2" t="s">
        <v>2522</v>
      </c>
      <c r="E66" s="2" t="s">
        <v>48</v>
      </c>
      <c r="F66" s="4">
        <v>15</v>
      </c>
      <c r="G66" s="14"/>
      <c r="H66" s="9"/>
    </row>
    <row r="67" spans="3:8" x14ac:dyDescent="0.25">
      <c r="C67" s="8"/>
      <c r="D67" s="2" t="s">
        <v>2523</v>
      </c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29"/>
      <c r="D72" s="30"/>
      <c r="E72" s="30" t="s">
        <v>60</v>
      </c>
      <c r="F72" s="4"/>
      <c r="G72" s="14"/>
      <c r="H72" s="9"/>
    </row>
    <row r="73" spans="3:8" x14ac:dyDescent="0.25">
      <c r="C73" s="8"/>
      <c r="D73" s="45" t="s">
        <v>2454</v>
      </c>
      <c r="E73" s="2" t="s">
        <v>93</v>
      </c>
      <c r="F73" s="4"/>
      <c r="G73" s="14"/>
      <c r="H73" s="9">
        <v>100</v>
      </c>
    </row>
    <row r="74" spans="3:8" x14ac:dyDescent="0.25">
      <c r="C74" s="8"/>
      <c r="D74" s="45" t="s">
        <v>2456</v>
      </c>
      <c r="E74" s="2" t="s">
        <v>2455</v>
      </c>
      <c r="F74" s="4">
        <v>500</v>
      </c>
      <c r="G74" s="14"/>
      <c r="H74" s="9">
        <v>42</v>
      </c>
    </row>
    <row r="75" spans="3:8" x14ac:dyDescent="0.25">
      <c r="C75" s="8"/>
      <c r="D75" s="45" t="s">
        <v>2457</v>
      </c>
      <c r="E75" s="2" t="s">
        <v>955</v>
      </c>
      <c r="F75" s="4"/>
      <c r="G75" s="14"/>
      <c r="H75" s="9">
        <v>30</v>
      </c>
    </row>
    <row r="76" spans="3:8" x14ac:dyDescent="0.25">
      <c r="C76" s="8"/>
      <c r="D76" s="45" t="s">
        <v>2458</v>
      </c>
      <c r="E76" s="2" t="s">
        <v>955</v>
      </c>
      <c r="F76" s="4"/>
      <c r="G76" s="14"/>
      <c r="H76" s="9">
        <v>9</v>
      </c>
    </row>
    <row r="77" spans="3:8" x14ac:dyDescent="0.25">
      <c r="C77" s="8"/>
      <c r="D77" s="45" t="s">
        <v>2459</v>
      </c>
      <c r="E77" s="2" t="s">
        <v>1737</v>
      </c>
      <c r="F77" s="4"/>
      <c r="G77" s="14">
        <v>1980</v>
      </c>
      <c r="H77" s="9"/>
    </row>
    <row r="78" spans="3:8" x14ac:dyDescent="0.25">
      <c r="C78" s="8"/>
      <c r="D78" s="52" t="s">
        <v>2460</v>
      </c>
      <c r="E78" s="43" t="s">
        <v>2002</v>
      </c>
      <c r="F78" s="4"/>
      <c r="G78" s="14"/>
      <c r="H78" s="9"/>
    </row>
    <row r="79" spans="3:8" x14ac:dyDescent="0.25">
      <c r="C79" s="8"/>
      <c r="D79" s="45" t="s">
        <v>2461</v>
      </c>
      <c r="E79" s="2" t="s">
        <v>1257</v>
      </c>
      <c r="F79" s="4">
        <v>30</v>
      </c>
      <c r="G79" s="14"/>
      <c r="H79" s="9"/>
    </row>
    <row r="80" spans="3:8" x14ac:dyDescent="0.25">
      <c r="C80" s="8"/>
      <c r="D80" s="45" t="s">
        <v>2462</v>
      </c>
      <c r="E80" s="2" t="s">
        <v>1390</v>
      </c>
      <c r="F80" s="4"/>
      <c r="G80" s="14"/>
      <c r="H80" s="9">
        <v>2205</v>
      </c>
    </row>
    <row r="81" spans="3:8" x14ac:dyDescent="0.25">
      <c r="C81" s="8"/>
      <c r="D81" s="45" t="s">
        <v>2463</v>
      </c>
      <c r="E81" s="2" t="s">
        <v>229</v>
      </c>
      <c r="F81" s="4"/>
      <c r="G81" s="14">
        <v>50</v>
      </c>
      <c r="H81" s="9"/>
    </row>
    <row r="82" spans="3:8" x14ac:dyDescent="0.25">
      <c r="C82" s="8"/>
      <c r="D82" s="45" t="s">
        <v>2464</v>
      </c>
      <c r="E82" s="2" t="s">
        <v>955</v>
      </c>
      <c r="F82" s="4"/>
      <c r="G82" s="14"/>
      <c r="H82" s="9">
        <v>125</v>
      </c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45"/>
      <c r="E84" s="2"/>
      <c r="F84" s="4"/>
      <c r="G84" s="14"/>
      <c r="H84" s="4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16"/>
      <c r="D86" s="17"/>
      <c r="E86" s="17" t="s">
        <v>39</v>
      </c>
      <c r="F86" s="4"/>
      <c r="G86" s="14"/>
      <c r="H86" s="9"/>
    </row>
    <row r="87" spans="3:8" x14ac:dyDescent="0.25">
      <c r="C87" s="8"/>
      <c r="D87" s="45"/>
      <c r="E87" s="2" t="s">
        <v>2537</v>
      </c>
      <c r="F87" s="4">
        <v>35</v>
      </c>
      <c r="G87" s="14"/>
      <c r="H87" s="9"/>
    </row>
    <row r="88" spans="3:8" x14ac:dyDescent="0.25">
      <c r="C88" s="8"/>
      <c r="D88" s="45"/>
      <c r="E88" s="2" t="s">
        <v>2538</v>
      </c>
      <c r="F88" s="4">
        <v>60</v>
      </c>
      <c r="G88" s="14"/>
      <c r="H88" s="9"/>
    </row>
    <row r="89" spans="3:8" x14ac:dyDescent="0.25">
      <c r="C89" s="8"/>
      <c r="D89" s="45"/>
      <c r="E89" s="2" t="s">
        <v>676</v>
      </c>
      <c r="F89" s="4">
        <v>2020</v>
      </c>
      <c r="G89" s="14"/>
      <c r="H89" s="9"/>
    </row>
    <row r="90" spans="3:8" x14ac:dyDescent="0.25">
      <c r="C90" s="8"/>
      <c r="D90" s="45"/>
      <c r="E90" s="2" t="s">
        <v>1564</v>
      </c>
      <c r="F90" s="4">
        <v>123</v>
      </c>
      <c r="G90" s="14"/>
      <c r="H90" s="9"/>
    </row>
    <row r="91" spans="3:8" x14ac:dyDescent="0.25">
      <c r="C91" s="91"/>
      <c r="D91" s="92"/>
      <c r="E91" s="93" t="s">
        <v>1939</v>
      </c>
      <c r="F91" s="94">
        <v>1248</v>
      </c>
      <c r="G91" s="14"/>
      <c r="H91" s="9"/>
    </row>
    <row r="92" spans="3:8" x14ac:dyDescent="0.25">
      <c r="C92" s="8"/>
      <c r="D92" s="2"/>
      <c r="E92" s="2" t="s">
        <v>2406</v>
      </c>
      <c r="F92" s="4">
        <v>1670</v>
      </c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x14ac:dyDescent="0.25">
      <c r="C96" s="19"/>
      <c r="D96" s="20"/>
      <c r="E96" s="20" t="s">
        <v>42</v>
      </c>
      <c r="F96" s="4"/>
      <c r="G96" s="14"/>
      <c r="H96" s="9"/>
    </row>
    <row r="97" spans="3:8" x14ac:dyDescent="0.25">
      <c r="C97" s="34"/>
      <c r="D97" s="42" t="s">
        <v>160</v>
      </c>
      <c r="E97" s="2" t="s">
        <v>2451</v>
      </c>
      <c r="F97" s="14">
        <v>-1890</v>
      </c>
      <c r="G97" s="14"/>
      <c r="H97" s="9"/>
    </row>
    <row r="98" spans="3:8" x14ac:dyDescent="0.25">
      <c r="C98" s="34"/>
      <c r="D98" s="42" t="s">
        <v>2453</v>
      </c>
      <c r="E98" s="2" t="s">
        <v>2452</v>
      </c>
      <c r="F98" s="14">
        <v>-660</v>
      </c>
      <c r="G98" s="14"/>
      <c r="H98" s="9"/>
    </row>
    <row r="99" spans="3:8" x14ac:dyDescent="0.25">
      <c r="C99" s="34"/>
      <c r="D99" s="42"/>
      <c r="E99" s="2" t="s">
        <v>2532</v>
      </c>
      <c r="F99" s="14">
        <v>-8731.16</v>
      </c>
      <c r="G99" s="14"/>
      <c r="H99" s="9"/>
    </row>
    <row r="100" spans="3:8" x14ac:dyDescent="0.25">
      <c r="C100" s="34"/>
      <c r="D100" s="42"/>
      <c r="E100" s="2" t="s">
        <v>2533</v>
      </c>
      <c r="F100" s="14">
        <v>-45</v>
      </c>
      <c r="G100" s="14"/>
      <c r="H100" s="9"/>
    </row>
    <row r="101" spans="3:8" x14ac:dyDescent="0.25">
      <c r="C101" s="8"/>
      <c r="D101" s="2"/>
      <c r="E101" s="2" t="s">
        <v>2534</v>
      </c>
      <c r="F101" s="14">
        <v>-120</v>
      </c>
      <c r="G101" s="14"/>
      <c r="H101" s="9"/>
    </row>
    <row r="102" spans="3:8" x14ac:dyDescent="0.25">
      <c r="C102" s="8"/>
      <c r="D102" s="2"/>
      <c r="E102" s="2" t="s">
        <v>2535</v>
      </c>
      <c r="F102" s="14">
        <v>-120</v>
      </c>
      <c r="G102" s="14"/>
      <c r="H102" s="9"/>
    </row>
    <row r="103" spans="3:8" x14ac:dyDescent="0.25">
      <c r="C103" s="8"/>
      <c r="D103" s="2"/>
      <c r="E103" s="2" t="s">
        <v>2536</v>
      </c>
      <c r="F103" s="14">
        <v>-25</v>
      </c>
      <c r="G103" s="14"/>
      <c r="H103" s="9"/>
    </row>
    <row r="104" spans="3:8" x14ac:dyDescent="0.25">
      <c r="C104" s="8"/>
      <c r="D104" s="2"/>
      <c r="E104" s="2" t="s">
        <v>2540</v>
      </c>
      <c r="F104" s="14">
        <v>-765.3</v>
      </c>
      <c r="G104" s="14"/>
      <c r="H104" s="9"/>
    </row>
    <row r="105" spans="3:8" x14ac:dyDescent="0.25">
      <c r="C105" s="8"/>
      <c r="D105" s="2"/>
      <c r="E105" s="2"/>
      <c r="F105" s="14"/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ht="15.75" thickBot="1" x14ac:dyDescent="0.3">
      <c r="C107" s="10"/>
      <c r="D107" s="11"/>
      <c r="E107" s="11" t="s">
        <v>44</v>
      </c>
      <c r="F107" s="12">
        <f>SUM(F6:F106)</f>
        <v>-285.45999999999981</v>
      </c>
      <c r="G107" s="15">
        <f>SUM(G6:G106)</f>
        <v>2030</v>
      </c>
      <c r="H107" s="13">
        <f>SUM(H6:H106)</f>
        <v>9715.75</v>
      </c>
    </row>
    <row r="110" spans="3:8" ht="18.75" x14ac:dyDescent="0.3">
      <c r="E110" s="38" t="s">
        <v>49</v>
      </c>
      <c r="F110" s="39">
        <f>+H4+F107</f>
        <v>1892.6900000000003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6747-C99D-4458-9CCE-6B42D26B10D0}">
  <sheetPr codeName="Hoja26"/>
  <dimension ref="C2:H98"/>
  <sheetViews>
    <sheetView topLeftCell="A70" workbookViewId="0">
      <selection activeCell="E81" sqref="E81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2541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1892.69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2547</v>
      </c>
      <c r="E6" s="2" t="s">
        <v>440</v>
      </c>
      <c r="F6" s="4">
        <v>11</v>
      </c>
      <c r="G6" s="14"/>
      <c r="H6" s="9"/>
    </row>
    <row r="7" spans="3:8" x14ac:dyDescent="0.25">
      <c r="C7" s="8"/>
      <c r="D7" s="2" t="s">
        <v>2548</v>
      </c>
      <c r="E7" s="2" t="s">
        <v>541</v>
      </c>
      <c r="F7" s="4"/>
      <c r="G7" s="14">
        <v>794.5</v>
      </c>
      <c r="H7" s="9"/>
    </row>
    <row r="8" spans="3:8" x14ac:dyDescent="0.25">
      <c r="C8" s="8"/>
      <c r="D8" s="2" t="s">
        <v>2549</v>
      </c>
      <c r="E8" s="2" t="s">
        <v>440</v>
      </c>
      <c r="F8" s="4">
        <v>3</v>
      </c>
      <c r="G8" s="14"/>
      <c r="H8" s="9"/>
    </row>
    <row r="9" spans="3:8" x14ac:dyDescent="0.25">
      <c r="C9" s="8"/>
      <c r="D9" s="2" t="s">
        <v>2550</v>
      </c>
      <c r="E9" s="2" t="s">
        <v>2578</v>
      </c>
      <c r="F9" s="4">
        <v>750</v>
      </c>
      <c r="G9" s="14"/>
      <c r="H9" s="9"/>
    </row>
    <row r="10" spans="3:8" x14ac:dyDescent="0.25">
      <c r="C10" s="8"/>
      <c r="D10" s="2" t="s">
        <v>2551</v>
      </c>
      <c r="E10" s="2" t="s">
        <v>440</v>
      </c>
      <c r="F10" s="4">
        <v>12</v>
      </c>
      <c r="G10" s="14"/>
      <c r="H10" s="9"/>
    </row>
    <row r="11" spans="3:8" x14ac:dyDescent="0.25">
      <c r="C11" s="8"/>
      <c r="D11" s="2" t="s">
        <v>2552</v>
      </c>
      <c r="E11" s="2" t="s">
        <v>2579</v>
      </c>
      <c r="F11" s="4"/>
      <c r="G11" s="14"/>
      <c r="H11" s="9">
        <v>266.39999999999998</v>
      </c>
    </row>
    <row r="12" spans="3:8" x14ac:dyDescent="0.25">
      <c r="C12" s="8"/>
      <c r="D12" s="2" t="s">
        <v>2553</v>
      </c>
      <c r="E12" s="2" t="s">
        <v>440</v>
      </c>
      <c r="F12" s="4"/>
      <c r="G12" s="14"/>
      <c r="H12" s="9">
        <v>23</v>
      </c>
    </row>
    <row r="13" spans="3:8" x14ac:dyDescent="0.25">
      <c r="C13" s="8"/>
      <c r="D13" s="2" t="s">
        <v>2554</v>
      </c>
      <c r="E13" s="2" t="s">
        <v>440</v>
      </c>
      <c r="F13" s="4">
        <v>9</v>
      </c>
      <c r="G13" s="14"/>
      <c r="H13" s="9"/>
    </row>
    <row r="14" spans="3:8" x14ac:dyDescent="0.25">
      <c r="C14" s="8"/>
      <c r="D14" s="2" t="s">
        <v>2555</v>
      </c>
      <c r="E14" s="2" t="s">
        <v>440</v>
      </c>
      <c r="F14" s="4">
        <v>9</v>
      </c>
      <c r="G14" s="14"/>
      <c r="H14" s="9"/>
    </row>
    <row r="15" spans="3:8" x14ac:dyDescent="0.25">
      <c r="C15" s="8"/>
      <c r="D15" s="2" t="s">
        <v>2556</v>
      </c>
      <c r="E15" s="2" t="s">
        <v>440</v>
      </c>
      <c r="F15" s="4">
        <v>56</v>
      </c>
      <c r="G15" s="14"/>
      <c r="H15" s="9"/>
    </row>
    <row r="16" spans="3:8" x14ac:dyDescent="0.25">
      <c r="C16" s="8"/>
      <c r="D16" s="2" t="s">
        <v>2557</v>
      </c>
      <c r="E16" s="2" t="s">
        <v>440</v>
      </c>
      <c r="F16" s="4">
        <v>1</v>
      </c>
      <c r="G16" s="14"/>
      <c r="H16" s="9"/>
    </row>
    <row r="17" spans="3:8" x14ac:dyDescent="0.25">
      <c r="C17" s="8"/>
      <c r="D17" s="2" t="s">
        <v>2558</v>
      </c>
      <c r="E17" s="2" t="s">
        <v>440</v>
      </c>
      <c r="F17" s="4">
        <v>5</v>
      </c>
      <c r="G17" s="14"/>
      <c r="H17" s="9"/>
    </row>
    <row r="18" spans="3:8" x14ac:dyDescent="0.25">
      <c r="C18" s="8"/>
      <c r="D18" s="2" t="s">
        <v>2559</v>
      </c>
      <c r="E18" s="2" t="s">
        <v>541</v>
      </c>
      <c r="F18" s="4"/>
      <c r="G18" s="14">
        <v>25</v>
      </c>
      <c r="H18" s="9"/>
    </row>
    <row r="19" spans="3:8" x14ac:dyDescent="0.25">
      <c r="C19" s="8"/>
      <c r="D19" s="2" t="s">
        <v>2560</v>
      </c>
      <c r="E19" s="2" t="s">
        <v>440</v>
      </c>
      <c r="F19" s="4"/>
      <c r="G19" s="14"/>
      <c r="H19" s="9">
        <v>32</v>
      </c>
    </row>
    <row r="20" spans="3:8" x14ac:dyDescent="0.25">
      <c r="C20" s="8"/>
      <c r="D20" s="2" t="s">
        <v>2561</v>
      </c>
      <c r="E20" s="2" t="s">
        <v>440</v>
      </c>
      <c r="F20" s="4"/>
      <c r="G20" s="14"/>
      <c r="H20" s="9">
        <v>11</v>
      </c>
    </row>
    <row r="21" spans="3:8" x14ac:dyDescent="0.25">
      <c r="C21" s="8"/>
      <c r="D21" s="2" t="s">
        <v>2562</v>
      </c>
      <c r="E21" s="2" t="s">
        <v>50</v>
      </c>
      <c r="F21" s="4"/>
      <c r="G21" s="14">
        <v>59</v>
      </c>
      <c r="H21" s="9"/>
    </row>
    <row r="22" spans="3:8" x14ac:dyDescent="0.25">
      <c r="C22" s="8"/>
      <c r="D22" s="2" t="s">
        <v>2563</v>
      </c>
      <c r="E22" s="2" t="s">
        <v>266</v>
      </c>
      <c r="F22" s="4"/>
      <c r="G22" s="14">
        <v>65.599999999999994</v>
      </c>
      <c r="H22" s="9"/>
    </row>
    <row r="23" spans="3:8" x14ac:dyDescent="0.25">
      <c r="C23" s="8"/>
      <c r="D23" s="2" t="s">
        <v>2564</v>
      </c>
      <c r="E23" s="2" t="s">
        <v>440</v>
      </c>
      <c r="F23" s="4">
        <v>7</v>
      </c>
      <c r="G23" s="14"/>
      <c r="H23" s="9"/>
    </row>
    <row r="24" spans="3:8" x14ac:dyDescent="0.25">
      <c r="C24" s="8"/>
      <c r="D24" s="2" t="s">
        <v>2565</v>
      </c>
      <c r="E24" s="2" t="s">
        <v>440</v>
      </c>
      <c r="F24" s="4">
        <v>22</v>
      </c>
      <c r="G24" s="14"/>
      <c r="H24" s="9"/>
    </row>
    <row r="25" spans="3:8" x14ac:dyDescent="0.25">
      <c r="C25" s="8"/>
      <c r="D25" s="2" t="s">
        <v>2566</v>
      </c>
      <c r="E25" s="2" t="s">
        <v>759</v>
      </c>
      <c r="F25" s="4"/>
      <c r="G25" s="14"/>
      <c r="H25" s="9">
        <v>420</v>
      </c>
    </row>
    <row r="26" spans="3:8" x14ac:dyDescent="0.25">
      <c r="C26" s="8"/>
      <c r="D26" s="2" t="s">
        <v>2567</v>
      </c>
      <c r="E26" s="2" t="s">
        <v>440</v>
      </c>
      <c r="F26" s="4"/>
      <c r="G26" s="14"/>
      <c r="H26" s="9">
        <v>170</v>
      </c>
    </row>
    <row r="27" spans="3:8" x14ac:dyDescent="0.25">
      <c r="C27" s="8"/>
      <c r="D27" s="2" t="s">
        <v>2568</v>
      </c>
      <c r="E27" s="2" t="s">
        <v>440</v>
      </c>
      <c r="F27" s="4">
        <v>28</v>
      </c>
      <c r="G27" s="14"/>
      <c r="H27" s="9"/>
    </row>
    <row r="28" spans="3:8" x14ac:dyDescent="0.25">
      <c r="C28" s="8"/>
      <c r="D28" s="2" t="s">
        <v>2569</v>
      </c>
      <c r="E28" s="2" t="s">
        <v>2408</v>
      </c>
      <c r="F28" s="4">
        <v>72</v>
      </c>
      <c r="G28" s="14"/>
      <c r="H28" s="9"/>
    </row>
    <row r="29" spans="3:8" x14ac:dyDescent="0.25">
      <c r="C29" s="8"/>
      <c r="D29" s="2" t="s">
        <v>2570</v>
      </c>
      <c r="E29" s="2" t="s">
        <v>440</v>
      </c>
      <c r="F29" s="4">
        <v>1</v>
      </c>
      <c r="G29" s="14"/>
      <c r="H29" s="9"/>
    </row>
    <row r="30" spans="3:8" x14ac:dyDescent="0.25">
      <c r="C30" s="8"/>
      <c r="D30" s="2" t="s">
        <v>2571</v>
      </c>
      <c r="E30" s="2" t="s">
        <v>440</v>
      </c>
      <c r="F30" s="4">
        <v>5</v>
      </c>
      <c r="G30" s="14"/>
      <c r="H30" s="9"/>
    </row>
    <row r="31" spans="3:8" x14ac:dyDescent="0.25">
      <c r="C31" s="8"/>
      <c r="D31" s="2" t="s">
        <v>2572</v>
      </c>
      <c r="E31" s="2" t="s">
        <v>440</v>
      </c>
      <c r="F31" s="4">
        <v>12</v>
      </c>
      <c r="G31" s="14"/>
      <c r="H31" s="9"/>
    </row>
    <row r="32" spans="3:8" x14ac:dyDescent="0.25">
      <c r="C32" s="8"/>
      <c r="D32" s="2" t="s">
        <v>2573</v>
      </c>
      <c r="E32" s="2" t="s">
        <v>294</v>
      </c>
      <c r="F32" s="4">
        <v>380</v>
      </c>
      <c r="G32" s="14"/>
      <c r="H32" s="9"/>
    </row>
    <row r="33" spans="3:8" x14ac:dyDescent="0.25">
      <c r="C33" s="8"/>
      <c r="D33" s="2" t="s">
        <v>2574</v>
      </c>
      <c r="E33" s="2" t="s">
        <v>440</v>
      </c>
      <c r="F33" s="4">
        <v>17</v>
      </c>
      <c r="G33" s="14"/>
      <c r="H33" s="9"/>
    </row>
    <row r="34" spans="3:8" x14ac:dyDescent="0.25">
      <c r="C34" s="8"/>
      <c r="D34" s="2" t="s">
        <v>2575</v>
      </c>
      <c r="E34" s="2" t="s">
        <v>440</v>
      </c>
      <c r="F34" s="4">
        <v>4.5</v>
      </c>
      <c r="G34" s="14"/>
      <c r="H34" s="9"/>
    </row>
    <row r="35" spans="3:8" x14ac:dyDescent="0.25">
      <c r="C35" s="8"/>
      <c r="D35" s="2" t="s">
        <v>2576</v>
      </c>
      <c r="E35" s="2" t="s">
        <v>2602</v>
      </c>
      <c r="F35" s="4"/>
      <c r="G35" s="14">
        <v>29</v>
      </c>
      <c r="H35" s="9"/>
    </row>
    <row r="36" spans="3:8" x14ac:dyDescent="0.25">
      <c r="C36" s="8"/>
      <c r="D36" s="2" t="s">
        <v>2577</v>
      </c>
      <c r="E36" s="2" t="s">
        <v>440</v>
      </c>
      <c r="F36" s="4">
        <v>64</v>
      </c>
      <c r="G36" s="14"/>
      <c r="H36" s="9"/>
    </row>
    <row r="37" spans="3:8" x14ac:dyDescent="0.25">
      <c r="C37" s="8"/>
      <c r="D37" s="2" t="s">
        <v>2600</v>
      </c>
      <c r="E37" s="2" t="s">
        <v>136</v>
      </c>
      <c r="F37" s="4"/>
      <c r="G37" s="14">
        <v>1259.3</v>
      </c>
      <c r="H37" s="9"/>
    </row>
    <row r="38" spans="3:8" x14ac:dyDescent="0.25">
      <c r="C38" s="8"/>
      <c r="D38" s="2" t="s">
        <v>2601</v>
      </c>
      <c r="E38" s="2" t="s">
        <v>1390</v>
      </c>
      <c r="F38" s="4"/>
      <c r="G38" s="14"/>
      <c r="H38" s="9">
        <v>725</v>
      </c>
    </row>
    <row r="39" spans="3:8" x14ac:dyDescent="0.25">
      <c r="C39" s="8"/>
      <c r="D39" s="2" t="s">
        <v>2607</v>
      </c>
      <c r="E39" s="2" t="s">
        <v>2608</v>
      </c>
      <c r="F39" s="4">
        <v>523.5</v>
      </c>
      <c r="G39" s="14"/>
      <c r="H39" s="9"/>
    </row>
    <row r="40" spans="3:8" x14ac:dyDescent="0.25">
      <c r="C40" s="8"/>
      <c r="D40" s="2" t="s">
        <v>2627</v>
      </c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 t="s">
        <v>2523</v>
      </c>
      <c r="E42" s="2" t="s">
        <v>116</v>
      </c>
      <c r="F42" s="4"/>
      <c r="G42" s="14"/>
      <c r="H42" s="9">
        <v>55</v>
      </c>
    </row>
    <row r="43" spans="3:8" x14ac:dyDescent="0.25">
      <c r="C43" s="8"/>
      <c r="D43" s="2" t="s">
        <v>2580</v>
      </c>
      <c r="E43" s="2" t="s">
        <v>48</v>
      </c>
      <c r="F43" s="4"/>
      <c r="G43" s="14"/>
      <c r="H43" s="9">
        <v>33.4</v>
      </c>
    </row>
    <row r="44" spans="3:8" x14ac:dyDescent="0.25">
      <c r="C44" s="8"/>
      <c r="D44" s="2" t="s">
        <v>2581</v>
      </c>
      <c r="E44" s="2" t="s">
        <v>48</v>
      </c>
      <c r="F44" s="4">
        <v>7</v>
      </c>
      <c r="G44" s="14"/>
      <c r="H44" s="9"/>
    </row>
    <row r="45" spans="3:8" x14ac:dyDescent="0.25">
      <c r="C45" s="8"/>
      <c r="D45" s="2" t="s">
        <v>2582</v>
      </c>
      <c r="E45" s="2" t="s">
        <v>48</v>
      </c>
      <c r="F45" s="4">
        <v>34.5</v>
      </c>
      <c r="G45" s="14"/>
      <c r="H45" s="9"/>
    </row>
    <row r="46" spans="3:8" x14ac:dyDescent="0.25">
      <c r="C46" s="8"/>
      <c r="D46" s="2" t="s">
        <v>2583</v>
      </c>
      <c r="E46" s="2" t="s">
        <v>1633</v>
      </c>
      <c r="F46" s="4">
        <v>95.5</v>
      </c>
      <c r="G46" s="14"/>
      <c r="H46" s="9"/>
    </row>
    <row r="47" spans="3:8" x14ac:dyDescent="0.25">
      <c r="C47" s="8"/>
      <c r="D47" s="2" t="s">
        <v>2584</v>
      </c>
      <c r="E47" s="2" t="s">
        <v>1370</v>
      </c>
      <c r="F47" s="4"/>
      <c r="G47" s="14"/>
      <c r="H47" s="9">
        <v>576</v>
      </c>
    </row>
    <row r="48" spans="3:8" x14ac:dyDescent="0.25">
      <c r="C48" s="8"/>
      <c r="D48" s="2" t="s">
        <v>2585</v>
      </c>
      <c r="E48" s="2" t="s">
        <v>48</v>
      </c>
      <c r="F48" s="4">
        <v>3</v>
      </c>
      <c r="G48" s="14"/>
      <c r="H48" s="9"/>
    </row>
    <row r="49" spans="3:8" x14ac:dyDescent="0.25">
      <c r="C49" s="8"/>
      <c r="D49" s="2" t="s">
        <v>2586</v>
      </c>
      <c r="E49" s="2" t="s">
        <v>2599</v>
      </c>
      <c r="F49" s="4">
        <v>1488</v>
      </c>
      <c r="G49" s="14"/>
      <c r="H49" s="9"/>
    </row>
    <row r="50" spans="3:8" x14ac:dyDescent="0.25">
      <c r="C50" s="8"/>
      <c r="D50" s="2" t="s">
        <v>2587</v>
      </c>
      <c r="E50" s="2" t="s">
        <v>48</v>
      </c>
      <c r="F50" s="4"/>
      <c r="G50" s="14"/>
      <c r="H50" s="9">
        <v>6.5</v>
      </c>
    </row>
    <row r="51" spans="3:8" x14ac:dyDescent="0.25">
      <c r="C51" s="8"/>
      <c r="D51" s="2" t="s">
        <v>2588</v>
      </c>
      <c r="E51" s="2" t="s">
        <v>2598</v>
      </c>
      <c r="F51" s="4"/>
      <c r="G51" s="14"/>
      <c r="H51" s="9">
        <v>56</v>
      </c>
    </row>
    <row r="52" spans="3:8" x14ac:dyDescent="0.25">
      <c r="C52" s="8"/>
      <c r="D52" s="2" t="s">
        <v>2589</v>
      </c>
      <c r="E52" s="2" t="s">
        <v>106</v>
      </c>
      <c r="F52" s="4"/>
      <c r="G52" s="14"/>
      <c r="H52" s="9">
        <v>128</v>
      </c>
    </row>
    <row r="53" spans="3:8" x14ac:dyDescent="0.25">
      <c r="C53" s="8"/>
      <c r="D53" s="2" t="s">
        <v>2590</v>
      </c>
      <c r="E53" s="2" t="s">
        <v>1845</v>
      </c>
      <c r="F53" s="4">
        <v>688.6</v>
      </c>
      <c r="G53" s="14"/>
      <c r="H53" s="9"/>
    </row>
    <row r="54" spans="3:8" x14ac:dyDescent="0.25">
      <c r="C54" s="8"/>
      <c r="D54" s="2" t="s">
        <v>2591</v>
      </c>
      <c r="E54" s="2" t="s">
        <v>48</v>
      </c>
      <c r="F54" s="4">
        <v>5</v>
      </c>
      <c r="G54" s="14"/>
      <c r="H54" s="9"/>
    </row>
    <row r="55" spans="3:8" x14ac:dyDescent="0.25">
      <c r="C55" s="8"/>
      <c r="D55" s="2" t="s">
        <v>2592</v>
      </c>
      <c r="E55" s="2" t="s">
        <v>107</v>
      </c>
      <c r="F55" s="4"/>
      <c r="G55" s="14">
        <v>6180</v>
      </c>
      <c r="H55" s="9"/>
    </row>
    <row r="56" spans="3:8" x14ac:dyDescent="0.25">
      <c r="C56" s="8"/>
      <c r="D56" s="2" t="s">
        <v>2593</v>
      </c>
      <c r="E56" s="2" t="s">
        <v>48</v>
      </c>
      <c r="F56" s="4"/>
      <c r="G56" s="14"/>
      <c r="H56" s="9">
        <v>3</v>
      </c>
    </row>
    <row r="57" spans="3:8" x14ac:dyDescent="0.25">
      <c r="C57" s="8"/>
      <c r="D57" s="2" t="s">
        <v>2594</v>
      </c>
      <c r="E57" s="2" t="s">
        <v>48</v>
      </c>
      <c r="F57" s="4">
        <v>4.5</v>
      </c>
      <c r="G57" s="14"/>
      <c r="H57" s="9"/>
    </row>
    <row r="58" spans="3:8" x14ac:dyDescent="0.25">
      <c r="C58" s="8"/>
      <c r="D58" s="2" t="s">
        <v>2595</v>
      </c>
      <c r="E58" s="2" t="s">
        <v>48</v>
      </c>
      <c r="F58" s="4">
        <v>5</v>
      </c>
      <c r="G58" s="14"/>
      <c r="H58" s="9"/>
    </row>
    <row r="59" spans="3:8" x14ac:dyDescent="0.25">
      <c r="C59" s="8"/>
      <c r="D59" s="2" t="s">
        <v>2596</v>
      </c>
      <c r="E59" s="2" t="s">
        <v>106</v>
      </c>
      <c r="F59" s="4"/>
      <c r="G59" s="14"/>
      <c r="H59" s="9">
        <v>74.5</v>
      </c>
    </row>
    <row r="60" spans="3:8" x14ac:dyDescent="0.25">
      <c r="C60" s="8"/>
      <c r="D60" s="2" t="s">
        <v>2597</v>
      </c>
      <c r="E60" s="2" t="s">
        <v>2605</v>
      </c>
      <c r="F60" s="4"/>
      <c r="G60" s="14">
        <v>480</v>
      </c>
      <c r="H60" s="9"/>
    </row>
    <row r="61" spans="3:8" x14ac:dyDescent="0.25">
      <c r="C61" s="8"/>
      <c r="D61" s="2" t="s">
        <v>2614</v>
      </c>
      <c r="E61" s="2" t="s">
        <v>2615</v>
      </c>
      <c r="F61" s="4"/>
      <c r="G61" s="14">
        <v>60</v>
      </c>
      <c r="H61" s="9"/>
    </row>
    <row r="62" spans="3:8" x14ac:dyDescent="0.25">
      <c r="C62" s="8"/>
      <c r="D62" s="2" t="s">
        <v>2676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2546</v>
      </c>
      <c r="E67" s="2" t="s">
        <v>229</v>
      </c>
      <c r="F67" s="4"/>
      <c r="G67" s="14">
        <v>60.5</v>
      </c>
      <c r="H67" s="9"/>
    </row>
    <row r="68" spans="3:8" x14ac:dyDescent="0.25">
      <c r="C68" s="8"/>
      <c r="D68" s="45" t="s">
        <v>2610</v>
      </c>
      <c r="E68" s="53" t="s">
        <v>2611</v>
      </c>
      <c r="F68" s="4"/>
      <c r="G68" s="14"/>
      <c r="H68" s="9">
        <v>130</v>
      </c>
    </row>
    <row r="69" spans="3:8" x14ac:dyDescent="0.25">
      <c r="C69" s="8"/>
      <c r="D69" s="45"/>
      <c r="E69" s="2"/>
      <c r="F69" s="4"/>
      <c r="G69" s="14"/>
      <c r="H69" s="9"/>
    </row>
    <row r="70" spans="3:8" x14ac:dyDescent="0.25">
      <c r="C70" s="8"/>
      <c r="D70" s="45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45"/>
      <c r="E72" s="2"/>
      <c r="F72" s="4"/>
      <c r="G72" s="14"/>
      <c r="H72" s="4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16"/>
      <c r="D74" s="17"/>
      <c r="E74" s="17" t="s">
        <v>39</v>
      </c>
      <c r="F74" s="4"/>
      <c r="G74" s="14"/>
      <c r="H74" s="9"/>
    </row>
    <row r="75" spans="3:8" x14ac:dyDescent="0.25">
      <c r="C75" s="8"/>
      <c r="D75" s="45"/>
      <c r="E75" s="2" t="s">
        <v>2603</v>
      </c>
      <c r="F75" s="4">
        <v>90</v>
      </c>
      <c r="G75" s="14"/>
      <c r="H75" s="9"/>
    </row>
    <row r="76" spans="3:8" x14ac:dyDescent="0.25">
      <c r="C76" s="8"/>
      <c r="D76" s="45"/>
      <c r="E76" s="2" t="s">
        <v>711</v>
      </c>
      <c r="F76" s="4">
        <v>307</v>
      </c>
      <c r="G76" s="14"/>
      <c r="H76" s="9"/>
    </row>
    <row r="77" spans="3:8" x14ac:dyDescent="0.25">
      <c r="C77" s="8"/>
      <c r="D77" s="45"/>
      <c r="E77" s="2" t="s">
        <v>50</v>
      </c>
      <c r="F77" s="4">
        <v>206.5</v>
      </c>
      <c r="G77" s="14"/>
      <c r="H77" s="9"/>
    </row>
    <row r="78" spans="3:8" x14ac:dyDescent="0.25">
      <c r="C78" s="8"/>
      <c r="D78" s="45"/>
      <c r="E78" s="2" t="s">
        <v>2606</v>
      </c>
      <c r="F78" s="4">
        <v>10806.5</v>
      </c>
      <c r="G78" s="14"/>
      <c r="H78" s="9"/>
    </row>
    <row r="79" spans="3:8" x14ac:dyDescent="0.25">
      <c r="C79" s="8"/>
      <c r="D79" s="45"/>
      <c r="E79" s="2" t="s">
        <v>501</v>
      </c>
      <c r="F79" s="4">
        <v>100</v>
      </c>
      <c r="G79" s="14"/>
      <c r="H79" s="9"/>
    </row>
    <row r="80" spans="3:8" x14ac:dyDescent="0.25">
      <c r="C80" s="8"/>
      <c r="D80" s="2"/>
      <c r="E80" s="2" t="s">
        <v>402</v>
      </c>
      <c r="F80" s="4">
        <v>36.5</v>
      </c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19"/>
      <c r="D84" s="20"/>
      <c r="E84" s="20" t="s">
        <v>42</v>
      </c>
      <c r="F84" s="4"/>
      <c r="G84" s="14"/>
      <c r="H84" s="9"/>
    </row>
    <row r="85" spans="3:8" x14ac:dyDescent="0.25">
      <c r="C85" s="34"/>
      <c r="D85" s="42" t="s">
        <v>2544</v>
      </c>
      <c r="E85" s="2" t="s">
        <v>2542</v>
      </c>
      <c r="F85" s="14">
        <v>-969</v>
      </c>
      <c r="G85" s="14"/>
      <c r="H85" s="9"/>
    </row>
    <row r="86" spans="3:8" x14ac:dyDescent="0.25">
      <c r="C86" s="34"/>
      <c r="D86" s="42" t="s">
        <v>2544</v>
      </c>
      <c r="E86" s="2" t="s">
        <v>2543</v>
      </c>
      <c r="F86" s="14">
        <v>-560</v>
      </c>
      <c r="G86" s="14"/>
      <c r="H86" s="9"/>
    </row>
    <row r="87" spans="3:8" x14ac:dyDescent="0.25">
      <c r="C87" s="34"/>
      <c r="D87" s="42"/>
      <c r="E87" s="2" t="s">
        <v>2545</v>
      </c>
      <c r="F87" s="14">
        <v>-802.5</v>
      </c>
      <c r="G87" s="14"/>
      <c r="H87" s="9"/>
    </row>
    <row r="88" spans="3:8" x14ac:dyDescent="0.25">
      <c r="C88" s="34"/>
      <c r="D88" s="42"/>
      <c r="E88" s="2" t="s">
        <v>2604</v>
      </c>
      <c r="F88" s="54">
        <v>-10</v>
      </c>
      <c r="G88" s="14"/>
      <c r="H88" s="9"/>
    </row>
    <row r="89" spans="3:8" x14ac:dyDescent="0.25">
      <c r="C89" s="8"/>
      <c r="D89" s="2"/>
      <c r="E89" s="2" t="s">
        <v>2609</v>
      </c>
      <c r="F89" s="54">
        <v>-20</v>
      </c>
      <c r="G89" s="14"/>
      <c r="H89" s="9"/>
    </row>
    <row r="90" spans="3:8" x14ac:dyDescent="0.25">
      <c r="C90" s="8"/>
      <c r="D90" s="2"/>
      <c r="E90" s="2" t="s">
        <v>2612</v>
      </c>
      <c r="F90" s="54">
        <v>-300</v>
      </c>
      <c r="G90" s="14"/>
      <c r="H90" s="9"/>
    </row>
    <row r="91" spans="3:8" x14ac:dyDescent="0.25">
      <c r="C91" s="8"/>
      <c r="D91" s="2"/>
      <c r="E91" s="2" t="s">
        <v>2613</v>
      </c>
      <c r="F91" s="54">
        <v>-210</v>
      </c>
      <c r="G91" s="14"/>
      <c r="H91" s="9"/>
    </row>
    <row r="92" spans="3:8" x14ac:dyDescent="0.25">
      <c r="C92" s="8"/>
      <c r="D92" s="2"/>
      <c r="E92" s="2" t="s">
        <v>2705</v>
      </c>
      <c r="F92" s="54">
        <v>-10</v>
      </c>
      <c r="G92" s="14"/>
      <c r="H92" s="9"/>
    </row>
    <row r="93" spans="3:8" x14ac:dyDescent="0.25">
      <c r="C93" s="8"/>
      <c r="D93" s="2"/>
      <c r="E93" s="2"/>
      <c r="F93" s="1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SUM(F6:F94)</f>
        <v>12988.1</v>
      </c>
      <c r="G95" s="15">
        <f>SUM(G6:G94)</f>
        <v>9012.9</v>
      </c>
      <c r="H95" s="13">
        <f>SUM(H6:H94)</f>
        <v>2709.8</v>
      </c>
    </row>
    <row r="98" spans="5:6" ht="18.75" x14ac:dyDescent="0.3">
      <c r="E98" s="38" t="s">
        <v>49</v>
      </c>
      <c r="F98" s="39">
        <f>+H4+F95</f>
        <v>14880.79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004A-EDAE-4476-A0EB-A59CF9F2B1BD}">
  <sheetPr codeName="Hoja27"/>
  <dimension ref="C2:L125"/>
  <sheetViews>
    <sheetView topLeftCell="A84" workbookViewId="0">
      <selection activeCell="D48" sqref="D48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2616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14880.79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2627</v>
      </c>
      <c r="E6" s="2" t="s">
        <v>440</v>
      </c>
      <c r="F6" s="4">
        <v>32</v>
      </c>
      <c r="G6" s="14"/>
      <c r="H6" s="9"/>
    </row>
    <row r="7" spans="3:8" x14ac:dyDescent="0.25">
      <c r="C7" s="8"/>
      <c r="D7" s="2" t="s">
        <v>2628</v>
      </c>
      <c r="E7" s="2" t="s">
        <v>1564</v>
      </c>
      <c r="F7" s="4"/>
      <c r="G7" s="14"/>
      <c r="H7" s="9">
        <v>60</v>
      </c>
    </row>
    <row r="8" spans="3:8" x14ac:dyDescent="0.25">
      <c r="C8" s="8"/>
      <c r="D8" s="2" t="s">
        <v>2629</v>
      </c>
      <c r="E8" s="2" t="s">
        <v>628</v>
      </c>
      <c r="F8" s="4"/>
      <c r="G8" s="14"/>
      <c r="H8" s="9">
        <v>298</v>
      </c>
    </row>
    <row r="9" spans="3:8" x14ac:dyDescent="0.25">
      <c r="C9" s="8"/>
      <c r="D9" s="2" t="s">
        <v>2630</v>
      </c>
      <c r="E9" s="2" t="s">
        <v>440</v>
      </c>
      <c r="F9" s="4"/>
      <c r="G9" s="14"/>
      <c r="H9" s="9">
        <v>9</v>
      </c>
    </row>
    <row r="10" spans="3:8" x14ac:dyDescent="0.25">
      <c r="C10" s="8"/>
      <c r="D10" s="2" t="s">
        <v>2631</v>
      </c>
      <c r="E10" s="2" t="s">
        <v>2675</v>
      </c>
      <c r="F10" s="4"/>
      <c r="G10" s="14"/>
      <c r="H10" s="9">
        <v>4385</v>
      </c>
    </row>
    <row r="11" spans="3:8" x14ac:dyDescent="0.25">
      <c r="C11" s="8"/>
      <c r="D11" s="2" t="s">
        <v>2632</v>
      </c>
      <c r="E11" s="2" t="s">
        <v>759</v>
      </c>
      <c r="F11" s="4"/>
      <c r="G11" s="14"/>
      <c r="H11" s="9">
        <v>100</v>
      </c>
    </row>
    <row r="12" spans="3:8" x14ac:dyDescent="0.25">
      <c r="C12" s="8"/>
      <c r="D12" s="2" t="s">
        <v>2633</v>
      </c>
      <c r="E12" s="2" t="s">
        <v>440</v>
      </c>
      <c r="F12" s="4">
        <v>9</v>
      </c>
      <c r="G12" s="14"/>
      <c r="H12" s="9"/>
    </row>
    <row r="13" spans="3:8" x14ac:dyDescent="0.25">
      <c r="C13" s="8"/>
      <c r="D13" s="2" t="s">
        <v>2634</v>
      </c>
      <c r="E13" s="2" t="s">
        <v>440</v>
      </c>
      <c r="F13" s="4"/>
      <c r="G13" s="14"/>
      <c r="H13" s="9">
        <v>5.5</v>
      </c>
    </row>
    <row r="14" spans="3:8" x14ac:dyDescent="0.25">
      <c r="C14" s="8"/>
      <c r="D14" s="2" t="s">
        <v>2635</v>
      </c>
      <c r="E14" s="2" t="s">
        <v>2674</v>
      </c>
      <c r="F14" s="4"/>
      <c r="G14" s="14">
        <v>207.6</v>
      </c>
      <c r="H14" s="9"/>
    </row>
    <row r="15" spans="3:8" x14ac:dyDescent="0.25">
      <c r="C15" s="8"/>
      <c r="D15" s="2" t="s">
        <v>2636</v>
      </c>
      <c r="E15" s="2" t="s">
        <v>2673</v>
      </c>
      <c r="F15" s="4">
        <v>200</v>
      </c>
      <c r="G15" s="14"/>
      <c r="H15" s="9"/>
    </row>
    <row r="16" spans="3:8" x14ac:dyDescent="0.25">
      <c r="C16" s="8"/>
      <c r="D16" s="2" t="s">
        <v>2637</v>
      </c>
      <c r="E16" s="2" t="s">
        <v>1152</v>
      </c>
      <c r="F16" s="4"/>
      <c r="G16" s="14">
        <v>127</v>
      </c>
      <c r="H16" s="9"/>
    </row>
    <row r="17" spans="3:8" x14ac:dyDescent="0.25">
      <c r="C17" s="8"/>
      <c r="D17" s="2" t="s">
        <v>2638</v>
      </c>
      <c r="E17" s="2" t="s">
        <v>2672</v>
      </c>
      <c r="F17" s="4"/>
      <c r="G17" s="14"/>
      <c r="H17" s="9">
        <v>70</v>
      </c>
    </row>
    <row r="18" spans="3:8" x14ac:dyDescent="0.25">
      <c r="C18" s="8"/>
      <c r="D18" s="2" t="s">
        <v>2639</v>
      </c>
      <c r="E18" s="2" t="s">
        <v>2672</v>
      </c>
      <c r="F18" s="4"/>
      <c r="G18" s="14"/>
      <c r="H18" s="9">
        <v>15</v>
      </c>
    </row>
    <row r="19" spans="3:8" x14ac:dyDescent="0.25">
      <c r="C19" s="8"/>
      <c r="D19" s="2" t="s">
        <v>2640</v>
      </c>
      <c r="E19" s="2" t="s">
        <v>440</v>
      </c>
      <c r="F19" s="4">
        <v>7</v>
      </c>
      <c r="G19" s="14"/>
      <c r="H19" s="9"/>
    </row>
    <row r="20" spans="3:8" x14ac:dyDescent="0.25">
      <c r="C20" s="8"/>
      <c r="D20" s="2" t="s">
        <v>2641</v>
      </c>
      <c r="E20" s="2" t="s">
        <v>35</v>
      </c>
      <c r="F20" s="4"/>
      <c r="G20" s="14">
        <v>915</v>
      </c>
      <c r="H20" s="9"/>
    </row>
    <row r="21" spans="3:8" x14ac:dyDescent="0.25">
      <c r="C21" s="8"/>
      <c r="D21" s="2" t="s">
        <v>2642</v>
      </c>
      <c r="E21" s="2" t="s">
        <v>440</v>
      </c>
      <c r="F21" s="4">
        <v>35</v>
      </c>
      <c r="G21" s="14"/>
      <c r="H21" s="9"/>
    </row>
    <row r="22" spans="3:8" x14ac:dyDescent="0.25">
      <c r="C22" s="8"/>
      <c r="D22" s="2" t="s">
        <v>2643</v>
      </c>
      <c r="E22" s="2" t="s">
        <v>440</v>
      </c>
      <c r="F22" s="4">
        <v>30</v>
      </c>
      <c r="G22" s="14"/>
      <c r="H22" s="9"/>
    </row>
    <row r="23" spans="3:8" x14ac:dyDescent="0.25">
      <c r="C23" s="8"/>
      <c r="D23" s="2" t="s">
        <v>2644</v>
      </c>
      <c r="E23" s="2" t="s">
        <v>722</v>
      </c>
      <c r="F23" s="4"/>
      <c r="G23" s="14">
        <v>325</v>
      </c>
      <c r="H23" s="9"/>
    </row>
    <row r="24" spans="3:8" x14ac:dyDescent="0.25">
      <c r="C24" s="8"/>
      <c r="D24" s="2" t="s">
        <v>2645</v>
      </c>
      <c r="E24" s="2" t="s">
        <v>440</v>
      </c>
      <c r="F24" s="4">
        <v>14.5</v>
      </c>
      <c r="G24" s="14"/>
      <c r="H24" s="9"/>
    </row>
    <row r="25" spans="3:8" x14ac:dyDescent="0.25">
      <c r="C25" s="8"/>
      <c r="D25" s="2" t="s">
        <v>2646</v>
      </c>
      <c r="E25" s="2" t="s">
        <v>440</v>
      </c>
      <c r="F25" s="4"/>
      <c r="G25" s="14"/>
      <c r="H25" s="9">
        <v>33.5</v>
      </c>
    </row>
    <row r="26" spans="3:8" x14ac:dyDescent="0.25">
      <c r="C26" s="8"/>
      <c r="D26" s="2" t="s">
        <v>2647</v>
      </c>
      <c r="E26" s="2" t="s">
        <v>440</v>
      </c>
      <c r="F26" s="4">
        <v>2</v>
      </c>
      <c r="G26" s="14"/>
      <c r="H26" s="9"/>
    </row>
    <row r="27" spans="3:8" x14ac:dyDescent="0.25">
      <c r="C27" s="8"/>
      <c r="D27" s="2" t="s">
        <v>2648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2649</v>
      </c>
      <c r="E28" s="2" t="s">
        <v>1975</v>
      </c>
      <c r="F28" s="4"/>
      <c r="G28" s="14"/>
      <c r="H28" s="9">
        <v>58</v>
      </c>
    </row>
    <row r="29" spans="3:8" x14ac:dyDescent="0.25">
      <c r="C29" s="8"/>
      <c r="D29" s="2" t="s">
        <v>2650</v>
      </c>
      <c r="E29" s="2" t="s">
        <v>2671</v>
      </c>
      <c r="F29" s="4"/>
      <c r="G29" s="14"/>
      <c r="H29" s="9">
        <v>155</v>
      </c>
    </row>
    <row r="30" spans="3:8" x14ac:dyDescent="0.25">
      <c r="C30" s="8"/>
      <c r="D30" s="2" t="s">
        <v>2651</v>
      </c>
      <c r="E30" s="2" t="s">
        <v>440</v>
      </c>
      <c r="F30" s="4">
        <v>8</v>
      </c>
      <c r="G30" s="14"/>
      <c r="H30" s="9"/>
    </row>
    <row r="31" spans="3:8" x14ac:dyDescent="0.25">
      <c r="C31" s="8"/>
      <c r="D31" s="2" t="s">
        <v>2652</v>
      </c>
      <c r="E31" s="2" t="s">
        <v>440</v>
      </c>
      <c r="F31" s="4">
        <v>6</v>
      </c>
      <c r="G31" s="14"/>
      <c r="H31" s="9"/>
    </row>
    <row r="32" spans="3:8" x14ac:dyDescent="0.25">
      <c r="C32" s="8"/>
      <c r="D32" s="2" t="s">
        <v>2653</v>
      </c>
      <c r="E32" s="2" t="s">
        <v>440</v>
      </c>
      <c r="F32" s="4">
        <v>30</v>
      </c>
      <c r="G32" s="14"/>
      <c r="H32" s="9"/>
    </row>
    <row r="33" spans="3:8" x14ac:dyDescent="0.25">
      <c r="C33" s="8"/>
      <c r="D33" s="2" t="s">
        <v>2654</v>
      </c>
      <c r="E33" s="2" t="s">
        <v>2670</v>
      </c>
      <c r="F33" s="4"/>
      <c r="G33" s="14"/>
      <c r="H33" s="9">
        <v>340</v>
      </c>
    </row>
    <row r="34" spans="3:8" x14ac:dyDescent="0.25">
      <c r="C34" s="8"/>
      <c r="D34" s="2" t="s">
        <v>2655</v>
      </c>
      <c r="E34" s="2" t="s">
        <v>440</v>
      </c>
      <c r="F34" s="4"/>
      <c r="G34" s="14"/>
      <c r="H34" s="9">
        <v>20</v>
      </c>
    </row>
    <row r="35" spans="3:8" x14ac:dyDescent="0.25">
      <c r="C35" s="8"/>
      <c r="D35" s="2" t="s">
        <v>2656</v>
      </c>
      <c r="E35" s="2" t="s">
        <v>440</v>
      </c>
      <c r="F35" s="4">
        <v>6</v>
      </c>
      <c r="G35" s="14"/>
      <c r="H35" s="9"/>
    </row>
    <row r="36" spans="3:8" x14ac:dyDescent="0.25">
      <c r="C36" s="8"/>
      <c r="D36" s="2" t="s">
        <v>2657</v>
      </c>
      <c r="E36" s="2" t="s">
        <v>1152</v>
      </c>
      <c r="F36" s="4"/>
      <c r="G36" s="14">
        <v>21</v>
      </c>
      <c r="H36" s="9"/>
    </row>
    <row r="37" spans="3:8" x14ac:dyDescent="0.25">
      <c r="C37" s="8"/>
      <c r="D37" s="2" t="s">
        <v>2658</v>
      </c>
      <c r="E37" s="2" t="s">
        <v>2669</v>
      </c>
      <c r="F37" s="4"/>
      <c r="G37" s="14">
        <v>884</v>
      </c>
      <c r="H37" s="9"/>
    </row>
    <row r="38" spans="3:8" x14ac:dyDescent="0.25">
      <c r="C38" s="8"/>
      <c r="D38" s="2" t="s">
        <v>2659</v>
      </c>
      <c r="E38" s="2" t="s">
        <v>440</v>
      </c>
      <c r="F38" s="4">
        <v>45</v>
      </c>
      <c r="G38" s="14"/>
      <c r="H38" s="9"/>
    </row>
    <row r="39" spans="3:8" x14ac:dyDescent="0.25">
      <c r="C39" s="8"/>
      <c r="D39" s="2" t="s">
        <v>2660</v>
      </c>
      <c r="E39" s="2" t="s">
        <v>440</v>
      </c>
      <c r="F39" s="4">
        <v>5</v>
      </c>
      <c r="G39" s="14"/>
      <c r="H39" s="9"/>
    </row>
    <row r="40" spans="3:8" x14ac:dyDescent="0.25">
      <c r="C40" s="8"/>
      <c r="D40" s="2" t="s">
        <v>2661</v>
      </c>
      <c r="E40" s="2" t="s">
        <v>2668</v>
      </c>
      <c r="F40" s="4"/>
      <c r="G40" s="14">
        <v>118</v>
      </c>
      <c r="H40" s="9"/>
    </row>
    <row r="41" spans="3:8" x14ac:dyDescent="0.25">
      <c r="C41" s="8"/>
      <c r="D41" s="2" t="s">
        <v>2662</v>
      </c>
      <c r="E41" s="2" t="s">
        <v>440</v>
      </c>
      <c r="F41" s="4">
        <v>8</v>
      </c>
      <c r="G41" s="14"/>
      <c r="H41" s="9"/>
    </row>
    <row r="42" spans="3:8" x14ac:dyDescent="0.25">
      <c r="C42" s="8"/>
      <c r="D42" s="2" t="s">
        <v>2663</v>
      </c>
      <c r="E42" s="2" t="s">
        <v>440</v>
      </c>
      <c r="F42" s="4">
        <v>5</v>
      </c>
      <c r="G42" s="14"/>
      <c r="H42" s="9"/>
    </row>
    <row r="43" spans="3:8" x14ac:dyDescent="0.25">
      <c r="C43" s="8"/>
      <c r="D43" s="2" t="s">
        <v>2664</v>
      </c>
      <c r="E43" s="2" t="s">
        <v>440</v>
      </c>
      <c r="F43" s="4">
        <v>5.5</v>
      </c>
      <c r="G43" s="14"/>
      <c r="H43" s="9"/>
    </row>
    <row r="44" spans="3:8" x14ac:dyDescent="0.25">
      <c r="C44" s="8"/>
      <c r="D44" s="2" t="s">
        <v>2665</v>
      </c>
      <c r="E44" s="2" t="s">
        <v>440</v>
      </c>
      <c r="F44" s="4">
        <v>42.5</v>
      </c>
      <c r="G44" s="14"/>
      <c r="H44" s="9"/>
    </row>
    <row r="45" spans="3:8" x14ac:dyDescent="0.25">
      <c r="C45" s="8"/>
      <c r="D45" s="2" t="s">
        <v>2666</v>
      </c>
      <c r="E45" s="2" t="s">
        <v>440</v>
      </c>
      <c r="F45" s="4">
        <v>4.5</v>
      </c>
      <c r="G45" s="14"/>
      <c r="H45" s="9"/>
    </row>
    <row r="46" spans="3:8" x14ac:dyDescent="0.25">
      <c r="C46" s="8"/>
      <c r="D46" s="2" t="s">
        <v>2667</v>
      </c>
      <c r="E46" s="2" t="s">
        <v>440</v>
      </c>
      <c r="F46" s="4">
        <v>20</v>
      </c>
      <c r="G46" s="14"/>
      <c r="H46" s="9"/>
    </row>
    <row r="47" spans="3:8" x14ac:dyDescent="0.25">
      <c r="C47" s="8"/>
      <c r="D47" s="2" t="s">
        <v>2710</v>
      </c>
      <c r="E47" s="2" t="s">
        <v>440</v>
      </c>
      <c r="F47" s="4">
        <v>4.5</v>
      </c>
      <c r="G47" s="14"/>
      <c r="H47" s="9"/>
    </row>
    <row r="48" spans="3:8" x14ac:dyDescent="0.25">
      <c r="C48" s="8"/>
      <c r="D48" s="2" t="s">
        <v>2721</v>
      </c>
      <c r="E48" s="2"/>
      <c r="F48" s="4"/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 t="s">
        <v>2676</v>
      </c>
      <c r="E51" s="2" t="s">
        <v>2440</v>
      </c>
      <c r="F51" s="4"/>
      <c r="G51" s="14"/>
      <c r="H51" s="9">
        <v>385</v>
      </c>
    </row>
    <row r="52" spans="3:8" x14ac:dyDescent="0.25">
      <c r="C52" s="8"/>
      <c r="D52" s="2" t="s">
        <v>2678</v>
      </c>
      <c r="E52" s="2" t="s">
        <v>2677</v>
      </c>
      <c r="F52" s="4">
        <v>78</v>
      </c>
      <c r="G52" s="14"/>
      <c r="H52" s="9"/>
    </row>
    <row r="53" spans="3:8" x14ac:dyDescent="0.25">
      <c r="C53" s="8"/>
      <c r="D53" s="2" t="s">
        <v>2679</v>
      </c>
      <c r="E53" s="2" t="s">
        <v>1846</v>
      </c>
      <c r="F53" s="4"/>
      <c r="G53" s="14"/>
      <c r="H53" s="9">
        <v>105</v>
      </c>
    </row>
    <row r="54" spans="3:8" x14ac:dyDescent="0.25">
      <c r="C54" s="8"/>
      <c r="D54" s="2" t="s">
        <v>2680</v>
      </c>
      <c r="E54" s="2" t="s">
        <v>48</v>
      </c>
      <c r="F54" s="4">
        <v>36</v>
      </c>
      <c r="G54" s="14"/>
      <c r="H54" s="9"/>
    </row>
    <row r="55" spans="3:8" x14ac:dyDescent="0.25">
      <c r="C55" s="8"/>
      <c r="D55" s="2" t="s">
        <v>2681</v>
      </c>
      <c r="E55" s="2" t="s">
        <v>48</v>
      </c>
      <c r="F55" s="4">
        <v>20</v>
      </c>
      <c r="G55" s="14"/>
      <c r="H55" s="9"/>
    </row>
    <row r="56" spans="3:8" x14ac:dyDescent="0.25">
      <c r="C56" s="8"/>
      <c r="D56" s="2" t="s">
        <v>2682</v>
      </c>
      <c r="E56" s="2" t="s">
        <v>918</v>
      </c>
      <c r="F56" s="4"/>
      <c r="G56" s="14"/>
      <c r="H56" s="9">
        <v>63</v>
      </c>
    </row>
    <row r="57" spans="3:8" x14ac:dyDescent="0.25">
      <c r="C57" s="8"/>
      <c r="D57" s="2" t="s">
        <v>2683</v>
      </c>
      <c r="E57" s="2" t="s">
        <v>1846</v>
      </c>
      <c r="F57" s="4"/>
      <c r="G57" s="14"/>
      <c r="H57" s="9">
        <v>65</v>
      </c>
    </row>
    <row r="58" spans="3:8" x14ac:dyDescent="0.25">
      <c r="C58" s="8"/>
      <c r="D58" s="2" t="s">
        <v>2684</v>
      </c>
      <c r="E58" s="2" t="s">
        <v>2698</v>
      </c>
      <c r="F58" s="4"/>
      <c r="G58" s="14"/>
      <c r="H58" s="9">
        <v>159.80000000000001</v>
      </c>
    </row>
    <row r="59" spans="3:8" x14ac:dyDescent="0.25">
      <c r="C59" s="8"/>
      <c r="D59" s="2" t="s">
        <v>2685</v>
      </c>
      <c r="E59" s="2" t="s">
        <v>2698</v>
      </c>
      <c r="F59" s="4"/>
      <c r="G59" s="14"/>
      <c r="H59" s="9">
        <v>25</v>
      </c>
    </row>
    <row r="60" spans="3:8" x14ac:dyDescent="0.25">
      <c r="C60" s="8"/>
      <c r="D60" s="2" t="s">
        <v>2686</v>
      </c>
      <c r="E60" s="2" t="s">
        <v>1846</v>
      </c>
      <c r="F60" s="4"/>
      <c r="G60" s="14"/>
      <c r="H60" s="9">
        <v>25</v>
      </c>
    </row>
    <row r="61" spans="3:8" x14ac:dyDescent="0.25">
      <c r="C61" s="8"/>
      <c r="D61" s="2" t="s">
        <v>2687</v>
      </c>
      <c r="E61" s="2" t="s">
        <v>1846</v>
      </c>
      <c r="F61" s="4"/>
      <c r="G61" s="14"/>
      <c r="H61" s="9">
        <v>75</v>
      </c>
    </row>
    <row r="62" spans="3:8" x14ac:dyDescent="0.25">
      <c r="C62" s="8"/>
      <c r="D62" s="2" t="s">
        <v>2688</v>
      </c>
      <c r="E62" s="2" t="s">
        <v>2699</v>
      </c>
      <c r="F62" s="4">
        <v>600</v>
      </c>
      <c r="G62" s="14"/>
      <c r="H62" s="9"/>
    </row>
    <row r="63" spans="3:8" x14ac:dyDescent="0.25">
      <c r="C63" s="8"/>
      <c r="D63" s="2" t="s">
        <v>2689</v>
      </c>
      <c r="E63" s="2" t="s">
        <v>1231</v>
      </c>
      <c r="F63" s="4"/>
      <c r="G63" s="14"/>
      <c r="H63" s="9">
        <v>620</v>
      </c>
    </row>
    <row r="64" spans="3:8" x14ac:dyDescent="0.25">
      <c r="C64" s="8"/>
      <c r="D64" s="2" t="s">
        <v>2690</v>
      </c>
      <c r="E64" s="2" t="s">
        <v>48</v>
      </c>
      <c r="F64" s="4">
        <v>12.5</v>
      </c>
      <c r="G64" s="14"/>
      <c r="H64" s="9"/>
    </row>
    <row r="65" spans="3:8" x14ac:dyDescent="0.25">
      <c r="C65" s="8"/>
      <c r="D65" s="2" t="s">
        <v>2691</v>
      </c>
      <c r="E65" s="2" t="s">
        <v>2358</v>
      </c>
      <c r="F65" s="4"/>
      <c r="G65" s="14"/>
      <c r="H65" s="9">
        <v>120</v>
      </c>
    </row>
    <row r="66" spans="3:8" x14ac:dyDescent="0.25">
      <c r="C66" s="8"/>
      <c r="D66" s="2" t="s">
        <v>2692</v>
      </c>
      <c r="E66" s="2" t="s">
        <v>2222</v>
      </c>
      <c r="F66" s="4"/>
      <c r="G66" s="14"/>
      <c r="H66" s="9">
        <v>35</v>
      </c>
    </row>
    <row r="67" spans="3:8" x14ac:dyDescent="0.25">
      <c r="C67" s="8"/>
      <c r="D67" s="2" t="s">
        <v>2693</v>
      </c>
      <c r="E67" s="2" t="s">
        <v>1846</v>
      </c>
      <c r="F67" s="4"/>
      <c r="G67" s="14"/>
      <c r="H67" s="9">
        <v>42</v>
      </c>
    </row>
    <row r="68" spans="3:8" x14ac:dyDescent="0.25">
      <c r="C68" s="8"/>
      <c r="D68" s="2" t="s">
        <v>2694</v>
      </c>
      <c r="E68" s="2" t="s">
        <v>1846</v>
      </c>
      <c r="F68" s="4"/>
      <c r="G68" s="14"/>
      <c r="H68" s="9">
        <v>147</v>
      </c>
    </row>
    <row r="69" spans="3:8" x14ac:dyDescent="0.25">
      <c r="C69" s="8"/>
      <c r="D69" s="2" t="s">
        <v>2695</v>
      </c>
      <c r="E69" s="2" t="s">
        <v>2358</v>
      </c>
      <c r="F69" s="4"/>
      <c r="G69" s="14"/>
      <c r="H69" s="9">
        <v>240</v>
      </c>
    </row>
    <row r="70" spans="3:8" x14ac:dyDescent="0.25">
      <c r="C70" s="8"/>
      <c r="D70" s="2" t="s">
        <v>2696</v>
      </c>
      <c r="E70" s="2" t="s">
        <v>2698</v>
      </c>
      <c r="F70" s="4">
        <v>26</v>
      </c>
      <c r="G70" s="14"/>
      <c r="H70" s="9"/>
    </row>
    <row r="71" spans="3:8" x14ac:dyDescent="0.25">
      <c r="C71" s="8"/>
      <c r="D71" s="2" t="s">
        <v>2706</v>
      </c>
      <c r="E71" s="2" t="s">
        <v>48</v>
      </c>
      <c r="F71" s="4">
        <v>7</v>
      </c>
      <c r="G71" s="14"/>
      <c r="H71" s="9"/>
    </row>
    <row r="72" spans="3:8" x14ac:dyDescent="0.25">
      <c r="C72" s="8"/>
      <c r="D72" s="2" t="s">
        <v>2697</v>
      </c>
      <c r="E72" s="2" t="s">
        <v>48</v>
      </c>
      <c r="F72" s="4"/>
      <c r="G72" s="14"/>
      <c r="H72" s="9">
        <v>15</v>
      </c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29"/>
      <c r="D77" s="30"/>
      <c r="E77" s="30" t="s">
        <v>60</v>
      </c>
      <c r="F77" s="4"/>
      <c r="G77" s="14"/>
      <c r="H77" s="9"/>
    </row>
    <row r="78" spans="3:8" x14ac:dyDescent="0.25">
      <c r="C78" s="8"/>
      <c r="D78" s="45" t="s">
        <v>2618</v>
      </c>
      <c r="E78" s="2" t="s">
        <v>2619</v>
      </c>
      <c r="F78" s="4">
        <v>56</v>
      </c>
      <c r="G78" s="14"/>
      <c r="H78" s="9"/>
    </row>
    <row r="79" spans="3:8" x14ac:dyDescent="0.25">
      <c r="C79" s="8"/>
      <c r="D79" s="45" t="s">
        <v>2622</v>
      </c>
      <c r="E79" s="53" t="s">
        <v>955</v>
      </c>
      <c r="F79" s="4"/>
      <c r="G79" s="14"/>
      <c r="H79" s="9">
        <v>1562.5</v>
      </c>
    </row>
    <row r="80" spans="3:8" x14ac:dyDescent="0.25">
      <c r="C80" s="8"/>
      <c r="D80" s="45" t="s">
        <v>2623</v>
      </c>
      <c r="E80" s="53" t="s">
        <v>955</v>
      </c>
      <c r="F80" s="4"/>
      <c r="G80" s="14"/>
      <c r="H80" s="9">
        <v>50</v>
      </c>
    </row>
    <row r="81" spans="3:11" x14ac:dyDescent="0.25">
      <c r="C81" s="8"/>
      <c r="D81" s="45" t="s">
        <v>2624</v>
      </c>
      <c r="E81" s="2" t="s">
        <v>2626</v>
      </c>
      <c r="F81" s="4"/>
      <c r="G81" s="14"/>
      <c r="H81" s="9">
        <v>30</v>
      </c>
    </row>
    <row r="82" spans="3:11" x14ac:dyDescent="0.25">
      <c r="C82" s="8"/>
      <c r="D82" s="45" t="s">
        <v>2625</v>
      </c>
      <c r="E82" s="2" t="s">
        <v>229</v>
      </c>
      <c r="F82" s="4"/>
      <c r="G82" s="14">
        <v>67.2</v>
      </c>
      <c r="H82" s="9"/>
    </row>
    <row r="83" spans="3:11" x14ac:dyDescent="0.25">
      <c r="C83" s="8"/>
      <c r="D83" s="45"/>
      <c r="E83" s="2"/>
      <c r="F83" s="4"/>
      <c r="G83" s="14"/>
      <c r="H83" s="4"/>
    </row>
    <row r="84" spans="3:11" x14ac:dyDescent="0.25">
      <c r="C84" s="8"/>
      <c r="D84" s="2"/>
      <c r="E84" s="2"/>
      <c r="F84" s="4"/>
      <c r="G84" s="14"/>
      <c r="H84" s="9"/>
    </row>
    <row r="85" spans="3:11" x14ac:dyDescent="0.25">
      <c r="C85" s="16"/>
      <c r="D85" s="17"/>
      <c r="E85" s="17" t="s">
        <v>39</v>
      </c>
      <c r="F85" s="4"/>
      <c r="G85" s="14"/>
      <c r="H85" s="9"/>
    </row>
    <row r="86" spans="3:11" x14ac:dyDescent="0.25">
      <c r="C86" s="8"/>
      <c r="D86" s="45"/>
      <c r="E86" s="2" t="s">
        <v>2700</v>
      </c>
      <c r="F86" s="4">
        <v>50</v>
      </c>
      <c r="G86" s="14"/>
      <c r="H86" s="9"/>
    </row>
    <row r="87" spans="3:11" x14ac:dyDescent="0.25">
      <c r="C87" s="8"/>
      <c r="D87" s="45"/>
      <c r="E87" s="2" t="s">
        <v>2701</v>
      </c>
      <c r="F87" s="4">
        <v>684</v>
      </c>
      <c r="G87" s="14"/>
      <c r="H87" s="9"/>
    </row>
    <row r="88" spans="3:11" x14ac:dyDescent="0.25">
      <c r="C88" s="8"/>
      <c r="D88" s="45"/>
      <c r="E88" s="2" t="s">
        <v>266</v>
      </c>
      <c r="F88" s="4">
        <v>273.2</v>
      </c>
      <c r="G88" s="14"/>
      <c r="H88" s="9"/>
    </row>
    <row r="89" spans="3:11" x14ac:dyDescent="0.25">
      <c r="C89" s="8"/>
      <c r="D89" s="45"/>
      <c r="E89" s="2" t="s">
        <v>501</v>
      </c>
      <c r="F89" s="4">
        <v>70</v>
      </c>
      <c r="G89" s="14"/>
      <c r="H89" s="9"/>
    </row>
    <row r="90" spans="3:11" x14ac:dyDescent="0.25">
      <c r="C90" s="8"/>
      <c r="D90" s="45"/>
      <c r="E90" s="2"/>
      <c r="F90" s="4"/>
      <c r="G90" s="14"/>
      <c r="H90" s="9"/>
    </row>
    <row r="91" spans="3:11" x14ac:dyDescent="0.25">
      <c r="C91" s="8"/>
      <c r="D91" s="2"/>
      <c r="E91" s="2"/>
      <c r="F91" s="4"/>
      <c r="G91" s="14"/>
      <c r="H91" s="9"/>
    </row>
    <row r="92" spans="3:11" x14ac:dyDescent="0.25">
      <c r="C92" s="8"/>
      <c r="D92" s="2"/>
      <c r="E92" s="2"/>
      <c r="F92" s="4"/>
      <c r="G92" s="14"/>
      <c r="H92" s="9"/>
    </row>
    <row r="93" spans="3:11" x14ac:dyDescent="0.25">
      <c r="C93" s="8"/>
      <c r="D93" s="2"/>
      <c r="E93" s="2"/>
      <c r="F93" s="4"/>
      <c r="G93" s="14"/>
      <c r="H93" s="9"/>
    </row>
    <row r="94" spans="3:11" x14ac:dyDescent="0.25">
      <c r="C94" s="8"/>
      <c r="D94" s="2"/>
      <c r="E94" s="2"/>
      <c r="F94" s="4"/>
      <c r="G94" s="14"/>
      <c r="H94" s="9"/>
    </row>
    <row r="95" spans="3:11" x14ac:dyDescent="0.25">
      <c r="C95" s="19"/>
      <c r="D95" s="20"/>
      <c r="E95" s="20" t="s">
        <v>42</v>
      </c>
      <c r="F95" s="4"/>
      <c r="G95" s="14"/>
      <c r="H95" s="9"/>
    </row>
    <row r="96" spans="3:11" x14ac:dyDescent="0.25">
      <c r="C96" s="34"/>
      <c r="D96" s="42"/>
      <c r="E96" s="2" t="s">
        <v>2617</v>
      </c>
      <c r="F96" s="14">
        <v>-1190</v>
      </c>
      <c r="G96" s="14"/>
      <c r="H96" s="9"/>
      <c r="K96">
        <f>35*34</f>
        <v>1190</v>
      </c>
    </row>
    <row r="97" spans="3:12" x14ac:dyDescent="0.25">
      <c r="C97" s="34"/>
      <c r="D97" s="42" t="s">
        <v>2621</v>
      </c>
      <c r="E97" s="2" t="s">
        <v>2620</v>
      </c>
      <c r="F97" s="14">
        <v>-660</v>
      </c>
      <c r="G97" s="14"/>
      <c r="H97" s="9"/>
    </row>
    <row r="98" spans="3:12" x14ac:dyDescent="0.25">
      <c r="C98" s="34"/>
      <c r="D98" s="42"/>
      <c r="E98" s="2" t="s">
        <v>2354</v>
      </c>
      <c r="F98" s="14">
        <v>-40</v>
      </c>
      <c r="G98" s="14"/>
      <c r="H98" s="9"/>
    </row>
    <row r="99" spans="3:12" x14ac:dyDescent="0.25">
      <c r="C99" s="8"/>
      <c r="D99" s="2"/>
      <c r="E99" s="2" t="s">
        <v>2702</v>
      </c>
      <c r="F99" s="14">
        <v>-150</v>
      </c>
      <c r="G99" s="14"/>
      <c r="H99" s="9"/>
    </row>
    <row r="100" spans="3:12" x14ac:dyDescent="0.25">
      <c r="C100" s="8"/>
      <c r="D100" s="2"/>
      <c r="E100" s="2" t="s">
        <v>2703</v>
      </c>
      <c r="F100" s="14">
        <v>-300</v>
      </c>
      <c r="G100" s="14"/>
      <c r="H100" s="9"/>
    </row>
    <row r="101" spans="3:12" x14ac:dyDescent="0.25">
      <c r="C101" s="8"/>
      <c r="D101" s="2"/>
      <c r="E101" s="2" t="s">
        <v>2609</v>
      </c>
      <c r="F101" s="14">
        <v>-100</v>
      </c>
      <c r="G101" s="14"/>
      <c r="H101" s="9"/>
    </row>
    <row r="102" spans="3:12" x14ac:dyDescent="0.25">
      <c r="C102" s="8"/>
      <c r="D102" s="2"/>
      <c r="E102" s="2" t="s">
        <v>1728</v>
      </c>
      <c r="F102" s="14">
        <v>-20</v>
      </c>
      <c r="G102" s="14"/>
      <c r="H102" s="9"/>
    </row>
    <row r="103" spans="3:12" x14ac:dyDescent="0.25">
      <c r="C103" s="8"/>
      <c r="D103" s="2"/>
      <c r="E103" s="2" t="s">
        <v>1363</v>
      </c>
      <c r="F103" s="14">
        <v>-20</v>
      </c>
      <c r="G103" s="14"/>
      <c r="H103" s="9"/>
    </row>
    <row r="104" spans="3:12" x14ac:dyDescent="0.25">
      <c r="C104" s="8"/>
      <c r="D104" s="2"/>
      <c r="E104" s="2" t="s">
        <v>1466</v>
      </c>
      <c r="F104" s="14">
        <v>-300</v>
      </c>
      <c r="G104" s="14"/>
      <c r="H104" s="9"/>
    </row>
    <row r="105" spans="3:12" x14ac:dyDescent="0.25">
      <c r="C105" s="8"/>
      <c r="D105" s="2"/>
      <c r="E105" s="2" t="s">
        <v>2704</v>
      </c>
      <c r="F105" s="14">
        <v>-380</v>
      </c>
      <c r="G105" s="14"/>
      <c r="H105" s="9"/>
    </row>
    <row r="106" spans="3:12" x14ac:dyDescent="0.25">
      <c r="C106" s="8"/>
      <c r="D106" s="2"/>
      <c r="E106" s="2" t="s">
        <v>753</v>
      </c>
      <c r="F106" s="14">
        <v>-240</v>
      </c>
      <c r="G106" s="14"/>
      <c r="H106" s="9"/>
    </row>
    <row r="107" spans="3:12" x14ac:dyDescent="0.25">
      <c r="C107" s="8"/>
      <c r="D107" s="2"/>
      <c r="E107" s="2" t="s">
        <v>758</v>
      </c>
      <c r="F107" s="14">
        <v>-270</v>
      </c>
      <c r="G107" s="14"/>
      <c r="H107" s="9"/>
      <c r="K107">
        <f>100+50+36+45</f>
        <v>231</v>
      </c>
    </row>
    <row r="108" spans="3:12" x14ac:dyDescent="0.25">
      <c r="C108" s="8"/>
      <c r="D108" s="2"/>
      <c r="E108" s="2" t="s">
        <v>2167</v>
      </c>
      <c r="F108" s="14">
        <v>-30</v>
      </c>
      <c r="G108" s="14"/>
      <c r="H108" s="9"/>
    </row>
    <row r="109" spans="3:12" x14ac:dyDescent="0.25">
      <c r="C109" s="8"/>
      <c r="D109" s="2"/>
      <c r="E109" s="2" t="s">
        <v>760</v>
      </c>
      <c r="F109" s="14">
        <v>-303.5</v>
      </c>
      <c r="G109" s="14"/>
      <c r="H109" s="9"/>
      <c r="L109">
        <f>350-231</f>
        <v>119</v>
      </c>
    </row>
    <row r="110" spans="3:12" x14ac:dyDescent="0.25">
      <c r="C110" s="8"/>
      <c r="D110" s="2"/>
      <c r="E110" s="2" t="s">
        <v>759</v>
      </c>
      <c r="F110" s="14">
        <v>-530</v>
      </c>
      <c r="G110" s="14"/>
      <c r="H110" s="9"/>
    </row>
    <row r="111" spans="3:12" x14ac:dyDescent="0.25">
      <c r="C111" s="8"/>
      <c r="D111" s="2"/>
      <c r="E111" s="2" t="s">
        <v>2707</v>
      </c>
      <c r="F111" s="14">
        <v>-333</v>
      </c>
      <c r="G111" s="14"/>
      <c r="H111" s="9"/>
    </row>
    <row r="112" spans="3:12" x14ac:dyDescent="0.25">
      <c r="C112" s="8"/>
      <c r="D112" s="2"/>
      <c r="E112" s="2" t="s">
        <v>2708</v>
      </c>
      <c r="F112" s="14">
        <v>-30</v>
      </c>
      <c r="G112" s="14"/>
      <c r="H112" s="9"/>
    </row>
    <row r="113" spans="3:8" x14ac:dyDescent="0.25">
      <c r="C113" s="8"/>
      <c r="D113" s="2"/>
      <c r="E113" s="2" t="s">
        <v>1486</v>
      </c>
      <c r="F113" s="14">
        <v>-445</v>
      </c>
      <c r="G113" s="14"/>
      <c r="H113" s="9"/>
    </row>
    <row r="114" spans="3:8" x14ac:dyDescent="0.25">
      <c r="C114" s="8"/>
      <c r="D114" s="2"/>
      <c r="E114" s="2" t="s">
        <v>2709</v>
      </c>
      <c r="F114" s="14">
        <v>-305</v>
      </c>
      <c r="G114" s="14"/>
      <c r="H114" s="9"/>
    </row>
    <row r="115" spans="3:8" x14ac:dyDescent="0.25">
      <c r="C115" s="8"/>
      <c r="D115" s="2"/>
      <c r="E115" s="2" t="s">
        <v>771</v>
      </c>
      <c r="F115" s="14">
        <v>-24.5</v>
      </c>
      <c r="G115" s="14"/>
      <c r="H115" s="9"/>
    </row>
    <row r="116" spans="3:8" x14ac:dyDescent="0.25">
      <c r="C116" s="8"/>
      <c r="D116" s="2"/>
      <c r="E116" s="2" t="s">
        <v>1553</v>
      </c>
      <c r="F116" s="14">
        <v>-450</v>
      </c>
      <c r="G116" s="14"/>
      <c r="H116" s="9"/>
    </row>
    <row r="117" spans="3:8" x14ac:dyDescent="0.25">
      <c r="C117" s="8"/>
      <c r="D117" s="2"/>
      <c r="E117" s="2" t="s">
        <v>2711</v>
      </c>
      <c r="F117" s="14">
        <v>-450</v>
      </c>
      <c r="G117" s="14"/>
      <c r="H117" s="9"/>
    </row>
    <row r="118" spans="3:8" x14ac:dyDescent="0.25">
      <c r="C118" s="8"/>
      <c r="D118" s="2"/>
      <c r="E118" s="2" t="s">
        <v>1491</v>
      </c>
      <c r="F118" s="14">
        <v>-350</v>
      </c>
      <c r="G118" s="14"/>
      <c r="H118" s="9"/>
    </row>
    <row r="119" spans="3:8" x14ac:dyDescent="0.25">
      <c r="C119" s="8"/>
      <c r="D119" s="2"/>
      <c r="E119" s="2" t="s">
        <v>2712</v>
      </c>
      <c r="F119" s="14">
        <v>-300</v>
      </c>
      <c r="G119" s="14"/>
      <c r="H119" s="9"/>
    </row>
    <row r="120" spans="3:8" x14ac:dyDescent="0.25">
      <c r="C120" s="8"/>
      <c r="D120" s="2"/>
      <c r="E120" s="2" t="s">
        <v>2719</v>
      </c>
      <c r="F120" s="14">
        <v>-270</v>
      </c>
      <c r="G120" s="14"/>
      <c r="H120" s="9"/>
    </row>
    <row r="121" spans="3:8" x14ac:dyDescent="0.25">
      <c r="C121" s="8"/>
      <c r="D121" s="2"/>
      <c r="E121" s="2"/>
      <c r="F121" s="4"/>
      <c r="G121" s="14"/>
      <c r="H121" s="9"/>
    </row>
    <row r="122" spans="3:8" ht="15.75" thickBot="1" x14ac:dyDescent="0.3">
      <c r="C122" s="10"/>
      <c r="D122" s="11"/>
      <c r="E122" s="11" t="s">
        <v>44</v>
      </c>
      <c r="F122" s="12">
        <f>SUM(F6:F121)</f>
        <v>-5053.8</v>
      </c>
      <c r="G122" s="15">
        <f>SUM(G6:G121)</f>
        <v>2664.7999999999997</v>
      </c>
      <c r="H122" s="13">
        <f>SUM(H6:H121)</f>
        <v>9313.2999999999993</v>
      </c>
    </row>
    <row r="125" spans="3:8" s="3" customFormat="1" ht="18.75" x14ac:dyDescent="0.3">
      <c r="C125" s="1"/>
      <c r="D125" s="1"/>
      <c r="E125" s="38" t="s">
        <v>49</v>
      </c>
      <c r="F125" s="39">
        <f>+H4+F122</f>
        <v>9826.9900000000016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0B31-922F-4040-A9B7-57DB64B7674D}">
  <sheetPr codeName="Hoja28"/>
  <dimension ref="C2:K73"/>
  <sheetViews>
    <sheetView topLeftCell="A52" workbookViewId="0">
      <selection activeCell="F73" sqref="F73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2720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9826.99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2721</v>
      </c>
      <c r="E6" s="2" t="s">
        <v>440</v>
      </c>
      <c r="F6" s="4">
        <v>7</v>
      </c>
      <c r="G6" s="14"/>
      <c r="H6" s="9"/>
    </row>
    <row r="7" spans="3:8" x14ac:dyDescent="0.25">
      <c r="C7" s="8"/>
      <c r="D7" s="2" t="s">
        <v>2722</v>
      </c>
      <c r="E7" s="2" t="s">
        <v>212</v>
      </c>
      <c r="F7" s="4">
        <v>40</v>
      </c>
      <c r="G7" s="14"/>
      <c r="H7" s="9"/>
    </row>
    <row r="8" spans="3:8" x14ac:dyDescent="0.25">
      <c r="C8" s="8"/>
      <c r="D8" s="2" t="s">
        <v>2723</v>
      </c>
      <c r="E8" s="2" t="s">
        <v>440</v>
      </c>
      <c r="F8" s="4">
        <v>33.5</v>
      </c>
      <c r="G8" s="14"/>
      <c r="H8" s="9"/>
    </row>
    <row r="9" spans="3:8" x14ac:dyDescent="0.25">
      <c r="C9" s="8"/>
      <c r="D9" s="2" t="s">
        <v>2724</v>
      </c>
      <c r="E9" s="2" t="s">
        <v>440</v>
      </c>
      <c r="F9" s="4">
        <v>49.5</v>
      </c>
      <c r="G9" s="14"/>
      <c r="H9" s="9"/>
    </row>
    <row r="10" spans="3:8" x14ac:dyDescent="0.25">
      <c r="C10" s="8"/>
      <c r="D10" s="2" t="s">
        <v>2725</v>
      </c>
      <c r="E10" s="2" t="s">
        <v>440</v>
      </c>
      <c r="F10" s="4">
        <v>15</v>
      </c>
      <c r="G10" s="14"/>
      <c r="H10" s="9"/>
    </row>
    <row r="11" spans="3:8" x14ac:dyDescent="0.25">
      <c r="C11" s="8"/>
      <c r="D11" s="2" t="s">
        <v>2726</v>
      </c>
      <c r="E11" s="2" t="s">
        <v>2750</v>
      </c>
      <c r="F11" s="4"/>
      <c r="G11" s="14"/>
      <c r="H11" s="9">
        <v>229</v>
      </c>
    </row>
    <row r="12" spans="3:8" x14ac:dyDescent="0.25">
      <c r="C12" s="8"/>
      <c r="D12" s="2" t="s">
        <v>2727</v>
      </c>
      <c r="E12" s="2" t="s">
        <v>440</v>
      </c>
      <c r="F12" s="4">
        <v>5</v>
      </c>
      <c r="G12" s="14"/>
      <c r="H12" s="9"/>
    </row>
    <row r="13" spans="3:8" x14ac:dyDescent="0.25">
      <c r="C13" s="8"/>
      <c r="D13" s="2" t="s">
        <v>2728</v>
      </c>
      <c r="E13" s="2" t="s">
        <v>440</v>
      </c>
      <c r="F13" s="4">
        <v>6</v>
      </c>
      <c r="G13" s="14"/>
      <c r="H13" s="9"/>
    </row>
    <row r="14" spans="3:8" x14ac:dyDescent="0.25">
      <c r="C14" s="8"/>
      <c r="D14" s="2" t="s">
        <v>2729</v>
      </c>
      <c r="E14" s="2" t="s">
        <v>440</v>
      </c>
      <c r="F14" s="4">
        <v>16.5</v>
      </c>
      <c r="G14" s="14"/>
      <c r="H14" s="9"/>
    </row>
    <row r="15" spans="3:8" x14ac:dyDescent="0.25">
      <c r="C15" s="8"/>
      <c r="D15" s="2" t="s">
        <v>2730</v>
      </c>
      <c r="E15" s="2" t="s">
        <v>440</v>
      </c>
      <c r="F15" s="4"/>
      <c r="G15" s="14"/>
      <c r="H15" s="9">
        <v>9</v>
      </c>
    </row>
    <row r="16" spans="3:8" x14ac:dyDescent="0.25">
      <c r="C16" s="8"/>
      <c r="D16" s="2" t="s">
        <v>2731</v>
      </c>
      <c r="E16" s="2" t="s">
        <v>440</v>
      </c>
      <c r="F16" s="4">
        <v>3</v>
      </c>
      <c r="G16" s="14"/>
      <c r="H16" s="9"/>
    </row>
    <row r="17" spans="3:8" x14ac:dyDescent="0.25">
      <c r="C17" s="8"/>
      <c r="D17" s="2" t="s">
        <v>2732</v>
      </c>
      <c r="E17" s="2" t="s">
        <v>440</v>
      </c>
      <c r="F17" s="4"/>
      <c r="G17" s="14"/>
      <c r="H17" s="9">
        <v>20</v>
      </c>
    </row>
    <row r="18" spans="3:8" x14ac:dyDescent="0.25">
      <c r="C18" s="8"/>
      <c r="D18" s="2" t="s">
        <v>2733</v>
      </c>
      <c r="E18" s="2" t="s">
        <v>440</v>
      </c>
      <c r="F18" s="4">
        <v>31</v>
      </c>
      <c r="G18" s="14"/>
      <c r="H18" s="9"/>
    </row>
    <row r="19" spans="3:8" x14ac:dyDescent="0.25">
      <c r="C19" s="8"/>
      <c r="D19" s="2" t="s">
        <v>2734</v>
      </c>
      <c r="E19" s="2" t="s">
        <v>440</v>
      </c>
      <c r="F19" s="4">
        <v>74.5</v>
      </c>
      <c r="G19" s="14"/>
      <c r="H19" s="9"/>
    </row>
    <row r="20" spans="3:8" x14ac:dyDescent="0.25">
      <c r="C20" s="8"/>
      <c r="D20" s="2" t="s">
        <v>2735</v>
      </c>
      <c r="E20" s="2" t="s">
        <v>440</v>
      </c>
      <c r="F20" s="4"/>
      <c r="G20" s="14"/>
      <c r="H20" s="9">
        <v>46</v>
      </c>
    </row>
    <row r="21" spans="3:8" x14ac:dyDescent="0.25">
      <c r="C21" s="8"/>
      <c r="D21" s="2" t="s">
        <v>2736</v>
      </c>
      <c r="E21" s="2" t="s">
        <v>440</v>
      </c>
      <c r="F21" s="4">
        <v>9</v>
      </c>
      <c r="G21" s="14"/>
      <c r="H21" s="9"/>
    </row>
    <row r="22" spans="3:8" x14ac:dyDescent="0.25">
      <c r="C22" s="8"/>
      <c r="D22" s="2" t="s">
        <v>2737</v>
      </c>
      <c r="E22" s="2" t="s">
        <v>440</v>
      </c>
      <c r="F22" s="4">
        <v>33.5</v>
      </c>
      <c r="G22" s="14"/>
      <c r="H22" s="9"/>
    </row>
    <row r="23" spans="3:8" x14ac:dyDescent="0.25">
      <c r="C23" s="8"/>
      <c r="D23" s="2" t="s">
        <v>2738</v>
      </c>
      <c r="E23" s="2" t="s">
        <v>2751</v>
      </c>
      <c r="F23" s="4">
        <v>1272</v>
      </c>
      <c r="G23" s="14"/>
      <c r="H23" s="9"/>
    </row>
    <row r="24" spans="3:8" x14ac:dyDescent="0.25">
      <c r="C24" s="8"/>
      <c r="D24" s="2" t="s">
        <v>2739</v>
      </c>
      <c r="E24" s="43" t="s">
        <v>2002</v>
      </c>
      <c r="F24" s="4"/>
      <c r="G24" s="14"/>
      <c r="H24" s="9"/>
    </row>
    <row r="25" spans="3:8" x14ac:dyDescent="0.25">
      <c r="C25" s="8"/>
      <c r="D25" s="2" t="s">
        <v>2740</v>
      </c>
      <c r="E25" s="2" t="s">
        <v>440</v>
      </c>
      <c r="F25" s="4">
        <v>14.5</v>
      </c>
      <c r="G25" s="14"/>
      <c r="H25" s="9"/>
    </row>
    <row r="26" spans="3:8" x14ac:dyDescent="0.25">
      <c r="C26" s="8"/>
      <c r="D26" s="2" t="s">
        <v>2741</v>
      </c>
      <c r="E26" s="2" t="s">
        <v>440</v>
      </c>
      <c r="F26" s="4"/>
      <c r="G26" s="14"/>
      <c r="H26" s="9">
        <v>2</v>
      </c>
    </row>
    <row r="27" spans="3:8" x14ac:dyDescent="0.25">
      <c r="C27" s="8"/>
      <c r="D27" s="2" t="s">
        <v>2742</v>
      </c>
      <c r="E27" s="2" t="s">
        <v>440</v>
      </c>
      <c r="F27" s="4">
        <v>10</v>
      </c>
      <c r="G27" s="14"/>
      <c r="H27" s="9"/>
    </row>
    <row r="28" spans="3:8" x14ac:dyDescent="0.25">
      <c r="C28" s="8"/>
      <c r="D28" s="2" t="s">
        <v>2743</v>
      </c>
      <c r="E28" s="2" t="s">
        <v>440</v>
      </c>
      <c r="F28" s="4">
        <v>16</v>
      </c>
      <c r="G28" s="14"/>
      <c r="H28" s="9"/>
    </row>
    <row r="29" spans="3:8" x14ac:dyDescent="0.25">
      <c r="C29" s="8"/>
      <c r="D29" s="2" t="s">
        <v>2744</v>
      </c>
      <c r="E29" s="2" t="s">
        <v>440</v>
      </c>
      <c r="F29" s="4">
        <v>3</v>
      </c>
      <c r="G29" s="14"/>
      <c r="H29" s="9"/>
    </row>
    <row r="30" spans="3:8" x14ac:dyDescent="0.25">
      <c r="C30" s="8"/>
      <c r="D30" s="2" t="s">
        <v>2745</v>
      </c>
      <c r="E30" s="2" t="s">
        <v>2752</v>
      </c>
      <c r="F30" s="4"/>
      <c r="G30" s="14"/>
      <c r="H30" s="9">
        <v>60</v>
      </c>
    </row>
    <row r="31" spans="3:8" x14ac:dyDescent="0.25">
      <c r="C31" s="8"/>
      <c r="D31" s="2" t="s">
        <v>2746</v>
      </c>
      <c r="E31" s="2" t="s">
        <v>440</v>
      </c>
      <c r="F31" s="4">
        <v>18</v>
      </c>
      <c r="G31" s="14"/>
      <c r="H31" s="9"/>
    </row>
    <row r="32" spans="3:8" x14ac:dyDescent="0.25">
      <c r="C32" s="8"/>
      <c r="D32" s="2" t="s">
        <v>2747</v>
      </c>
      <c r="E32" s="2" t="s">
        <v>440</v>
      </c>
      <c r="F32" s="4">
        <v>2</v>
      </c>
      <c r="G32" s="14"/>
      <c r="H32" s="9"/>
    </row>
    <row r="33" spans="3:8" x14ac:dyDescent="0.25">
      <c r="C33" s="8"/>
      <c r="D33" s="2" t="s">
        <v>2748</v>
      </c>
      <c r="E33" s="2" t="s">
        <v>440</v>
      </c>
      <c r="F33" s="4"/>
      <c r="G33" s="14"/>
      <c r="H33" s="9">
        <v>57</v>
      </c>
    </row>
    <row r="34" spans="3:8" x14ac:dyDescent="0.25">
      <c r="C34" s="8"/>
      <c r="D34" s="2" t="s">
        <v>2749</v>
      </c>
      <c r="E34" s="2" t="s">
        <v>440</v>
      </c>
      <c r="F34" s="4">
        <v>14</v>
      </c>
      <c r="G34" s="14"/>
      <c r="H34" s="9"/>
    </row>
    <row r="35" spans="3:8" x14ac:dyDescent="0.25">
      <c r="C35" s="8"/>
      <c r="D35" s="2" t="s">
        <v>2753</v>
      </c>
      <c r="E35" s="2" t="s">
        <v>440</v>
      </c>
      <c r="F35" s="4"/>
      <c r="G35" s="14"/>
      <c r="H35" s="9">
        <v>27</v>
      </c>
    </row>
    <row r="36" spans="3:8" x14ac:dyDescent="0.25">
      <c r="C36" s="8"/>
      <c r="D36" s="2" t="s">
        <v>2754</v>
      </c>
      <c r="E36" s="2" t="s">
        <v>440</v>
      </c>
      <c r="F36" s="4"/>
      <c r="G36" s="14"/>
      <c r="H36" s="9">
        <v>6</v>
      </c>
    </row>
    <row r="37" spans="3:8" x14ac:dyDescent="0.25">
      <c r="C37" s="8"/>
      <c r="D37" s="2" t="s">
        <v>2755</v>
      </c>
      <c r="E37" s="2" t="s">
        <v>2672</v>
      </c>
      <c r="F37" s="4"/>
      <c r="G37" s="14"/>
      <c r="H37" s="9">
        <v>31</v>
      </c>
    </row>
    <row r="38" spans="3:8" x14ac:dyDescent="0.25">
      <c r="C38" s="8"/>
      <c r="D38" s="2" t="s">
        <v>2756</v>
      </c>
      <c r="E38" s="2" t="s">
        <v>440</v>
      </c>
      <c r="F38" s="4">
        <v>12.5</v>
      </c>
      <c r="G38" s="14"/>
      <c r="H38" s="9"/>
    </row>
    <row r="39" spans="3:8" x14ac:dyDescent="0.25">
      <c r="C39" s="8"/>
      <c r="D39" s="2" t="s">
        <v>2757</v>
      </c>
      <c r="E39" s="2" t="s">
        <v>440</v>
      </c>
      <c r="F39" s="4">
        <v>5</v>
      </c>
      <c r="G39" s="14"/>
      <c r="H39" s="9"/>
    </row>
    <row r="40" spans="3:8" x14ac:dyDescent="0.25">
      <c r="C40" s="8"/>
      <c r="D40" s="2" t="s">
        <v>2758</v>
      </c>
      <c r="E40" s="2" t="s">
        <v>1210</v>
      </c>
      <c r="F40" s="4">
        <v>45</v>
      </c>
      <c r="G40" s="14"/>
      <c r="H40" s="9"/>
    </row>
    <row r="41" spans="3:8" x14ac:dyDescent="0.25">
      <c r="C41" s="8"/>
      <c r="D41" s="2" t="s">
        <v>2759</v>
      </c>
      <c r="E41" s="2" t="s">
        <v>440</v>
      </c>
      <c r="F41" s="4">
        <v>4.5</v>
      </c>
      <c r="G41" s="14"/>
      <c r="H41" s="9"/>
    </row>
    <row r="42" spans="3:8" x14ac:dyDescent="0.25">
      <c r="C42" s="8"/>
      <c r="D42" s="2" t="s">
        <v>2760</v>
      </c>
      <c r="E42" s="2" t="s">
        <v>440</v>
      </c>
      <c r="F42" s="4">
        <v>10</v>
      </c>
      <c r="G42" s="14"/>
      <c r="H42" s="9"/>
    </row>
    <row r="43" spans="3:8" x14ac:dyDescent="0.25">
      <c r="C43" s="8"/>
      <c r="D43" s="2" t="s">
        <v>2767</v>
      </c>
      <c r="E43" s="2"/>
      <c r="F43" s="4"/>
      <c r="G43" s="14"/>
      <c r="H43" s="9"/>
    </row>
    <row r="44" spans="3:8" x14ac:dyDescent="0.25">
      <c r="C44" s="8"/>
      <c r="D44" s="2" t="s">
        <v>2761</v>
      </c>
      <c r="E44" s="2" t="s">
        <v>2762</v>
      </c>
      <c r="F44" s="4"/>
      <c r="G44" s="14"/>
      <c r="H44" s="9">
        <v>1912.5</v>
      </c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29"/>
      <c r="D48" s="30"/>
      <c r="E48" s="30" t="s">
        <v>60</v>
      </c>
      <c r="F48" s="4"/>
      <c r="G48" s="14"/>
      <c r="H48" s="9"/>
    </row>
    <row r="49" spans="3:11" x14ac:dyDescent="0.25">
      <c r="C49" s="8"/>
      <c r="D49" s="45"/>
      <c r="E49" s="2"/>
      <c r="F49" s="4"/>
      <c r="G49" s="14"/>
      <c r="H49" s="9"/>
    </row>
    <row r="50" spans="3:11" x14ac:dyDescent="0.25">
      <c r="C50" s="8"/>
      <c r="D50" s="45"/>
      <c r="E50" s="53"/>
      <c r="F50" s="4"/>
      <c r="G50" s="14"/>
      <c r="H50" s="9"/>
    </row>
    <row r="51" spans="3:11" x14ac:dyDescent="0.25">
      <c r="C51" s="8"/>
      <c r="D51" s="45"/>
      <c r="E51" s="53"/>
      <c r="F51" s="4"/>
      <c r="G51" s="14"/>
      <c r="H51" s="9"/>
    </row>
    <row r="52" spans="3:11" x14ac:dyDescent="0.25">
      <c r="C52" s="8"/>
      <c r="D52" s="45"/>
      <c r="E52" s="2"/>
      <c r="F52" s="4"/>
      <c r="G52" s="14"/>
      <c r="H52" s="9"/>
    </row>
    <row r="53" spans="3:11" x14ac:dyDescent="0.25">
      <c r="C53" s="8"/>
      <c r="D53" s="45"/>
      <c r="E53" s="2"/>
      <c r="F53" s="4"/>
      <c r="G53" s="14"/>
      <c r="H53" s="9"/>
    </row>
    <row r="54" spans="3:11" x14ac:dyDescent="0.25">
      <c r="C54" s="8"/>
      <c r="D54" s="45"/>
      <c r="E54" s="2"/>
      <c r="F54" s="4"/>
      <c r="G54" s="14"/>
      <c r="H54" s="4"/>
    </row>
    <row r="55" spans="3:11" x14ac:dyDescent="0.25">
      <c r="C55" s="8"/>
      <c r="D55" s="2"/>
      <c r="E55" s="2"/>
      <c r="F55" s="4"/>
      <c r="G55" s="14"/>
      <c r="H55" s="9"/>
    </row>
    <row r="56" spans="3:11" x14ac:dyDescent="0.25">
      <c r="C56" s="16"/>
      <c r="D56" s="17"/>
      <c r="E56" s="17" t="s">
        <v>39</v>
      </c>
      <c r="F56" s="4"/>
      <c r="G56" s="14"/>
      <c r="H56" s="9"/>
    </row>
    <row r="57" spans="3:11" x14ac:dyDescent="0.25">
      <c r="C57" s="8"/>
      <c r="D57" s="45"/>
      <c r="E57" s="2"/>
      <c r="F57" s="4"/>
      <c r="G57" s="14"/>
      <c r="H57" s="9"/>
    </row>
    <row r="58" spans="3:11" x14ac:dyDescent="0.25">
      <c r="C58" s="8"/>
      <c r="D58" s="45"/>
      <c r="E58" s="2"/>
      <c r="F58" s="4"/>
      <c r="G58" s="14"/>
      <c r="H58" s="9"/>
    </row>
    <row r="59" spans="3:11" x14ac:dyDescent="0.25">
      <c r="C59" s="8"/>
      <c r="D59" s="2"/>
      <c r="E59" s="2"/>
      <c r="F59" s="4"/>
      <c r="G59" s="14"/>
      <c r="H59" s="9"/>
    </row>
    <row r="60" spans="3:11" x14ac:dyDescent="0.25">
      <c r="C60" s="8"/>
      <c r="D60" s="2"/>
      <c r="E60" s="2"/>
      <c r="F60" s="4"/>
      <c r="G60" s="14"/>
      <c r="H60" s="9"/>
    </row>
    <row r="61" spans="3:11" x14ac:dyDescent="0.25">
      <c r="C61" s="8"/>
      <c r="D61" s="2"/>
      <c r="E61" s="2"/>
      <c r="F61" s="4"/>
      <c r="G61" s="14"/>
      <c r="H61" s="9"/>
    </row>
    <row r="62" spans="3:11" x14ac:dyDescent="0.25">
      <c r="C62" s="19"/>
      <c r="D62" s="20"/>
      <c r="E62" s="20" t="s">
        <v>42</v>
      </c>
      <c r="F62" s="4"/>
      <c r="G62" s="14"/>
      <c r="H62" s="9"/>
    </row>
    <row r="63" spans="3:11" x14ac:dyDescent="0.25">
      <c r="C63" s="34"/>
      <c r="D63" s="42"/>
      <c r="E63" s="2" t="s">
        <v>2763</v>
      </c>
      <c r="F63" s="14">
        <v>-30</v>
      </c>
      <c r="G63" s="14"/>
      <c r="H63" s="9"/>
      <c r="K63">
        <f>35*34</f>
        <v>1190</v>
      </c>
    </row>
    <row r="64" spans="3:11" x14ac:dyDescent="0.25">
      <c r="C64" s="34"/>
      <c r="D64" s="42"/>
      <c r="E64" s="2" t="s">
        <v>1486</v>
      </c>
      <c r="F64" s="14">
        <v>-40</v>
      </c>
      <c r="G64" s="14"/>
      <c r="H64" s="9"/>
    </row>
    <row r="65" spans="3:8" x14ac:dyDescent="0.25">
      <c r="C65" s="8"/>
      <c r="D65" s="2"/>
      <c r="E65" s="2" t="s">
        <v>2764</v>
      </c>
      <c r="F65" s="14">
        <v>-30</v>
      </c>
      <c r="G65" s="14"/>
      <c r="H65" s="9"/>
    </row>
    <row r="66" spans="3:8" x14ac:dyDescent="0.25">
      <c r="C66" s="8"/>
      <c r="D66" s="2"/>
      <c r="E66" s="2" t="s">
        <v>2765</v>
      </c>
      <c r="F66" s="14">
        <v>-180</v>
      </c>
      <c r="G66" s="14"/>
      <c r="H66" s="9"/>
    </row>
    <row r="67" spans="3:8" x14ac:dyDescent="0.25">
      <c r="C67" s="8"/>
      <c r="D67" s="2"/>
      <c r="E67" s="2" t="s">
        <v>756</v>
      </c>
      <c r="F67" s="14">
        <v>-30</v>
      </c>
      <c r="G67" s="14"/>
      <c r="H67" s="9"/>
    </row>
    <row r="68" spans="3:8" x14ac:dyDescent="0.25">
      <c r="C68" s="8"/>
      <c r="D68" s="2"/>
      <c r="E68" s="2"/>
      <c r="F68" s="1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ht="15.75" thickBot="1" x14ac:dyDescent="0.3">
      <c r="C70" s="10"/>
      <c r="D70" s="11"/>
      <c r="E70" s="11" t="s">
        <v>44</v>
      </c>
      <c r="F70" s="12">
        <f>SUM(F6:F69)</f>
        <v>1440</v>
      </c>
      <c r="G70" s="15">
        <f>SUM(G6:G69)</f>
        <v>0</v>
      </c>
      <c r="H70" s="13">
        <f>SUM(H6:H69)</f>
        <v>2399.5</v>
      </c>
    </row>
    <row r="73" spans="3:8" s="3" customFormat="1" ht="18.75" x14ac:dyDescent="0.3">
      <c r="C73" s="1"/>
      <c r="D73" s="1"/>
      <c r="E73" s="38" t="s">
        <v>49</v>
      </c>
      <c r="F73" s="39">
        <f>+H4+F70</f>
        <v>11266.99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871A-9CFE-4D6B-9699-0C513BCEF45D}">
  <sheetPr codeName="Hoja29"/>
  <dimension ref="C2:H103"/>
  <sheetViews>
    <sheetView topLeftCell="A70" workbookViewId="0">
      <selection activeCell="E60" sqref="E60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2766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11266.99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2767</v>
      </c>
      <c r="E6" s="2" t="s">
        <v>2816</v>
      </c>
      <c r="F6" s="4">
        <v>385</v>
      </c>
      <c r="G6" s="14"/>
      <c r="H6" s="9"/>
    </row>
    <row r="7" spans="3:8" x14ac:dyDescent="0.25">
      <c r="C7" s="8"/>
      <c r="D7" s="2" t="s">
        <v>2781</v>
      </c>
      <c r="E7" s="2" t="s">
        <v>2034</v>
      </c>
      <c r="F7" s="4">
        <v>215</v>
      </c>
      <c r="G7" s="14"/>
      <c r="H7" s="9"/>
    </row>
    <row r="8" spans="3:8" x14ac:dyDescent="0.25">
      <c r="C8" s="8"/>
      <c r="D8" s="2" t="s">
        <v>2782</v>
      </c>
      <c r="E8" s="2" t="s">
        <v>2817</v>
      </c>
      <c r="F8" s="4">
        <v>125</v>
      </c>
      <c r="G8" s="14"/>
      <c r="H8" s="9">
        <v>1000</v>
      </c>
    </row>
    <row r="9" spans="3:8" x14ac:dyDescent="0.25">
      <c r="C9" s="8"/>
      <c r="D9" s="2" t="s">
        <v>2783</v>
      </c>
      <c r="E9" s="2" t="s">
        <v>541</v>
      </c>
      <c r="F9" s="4"/>
      <c r="G9" s="14">
        <v>440</v>
      </c>
      <c r="H9" s="9"/>
    </row>
    <row r="10" spans="3:8" x14ac:dyDescent="0.25">
      <c r="C10" s="8"/>
      <c r="D10" s="2" t="s">
        <v>2784</v>
      </c>
      <c r="E10" s="2" t="s">
        <v>104</v>
      </c>
      <c r="F10" s="4">
        <v>142.5</v>
      </c>
      <c r="G10" s="14"/>
      <c r="H10" s="9"/>
    </row>
    <row r="11" spans="3:8" x14ac:dyDescent="0.25">
      <c r="C11" s="8"/>
      <c r="D11" s="2" t="s">
        <v>2785</v>
      </c>
      <c r="E11" s="2" t="s">
        <v>440</v>
      </c>
      <c r="F11" s="4">
        <v>18.5</v>
      </c>
      <c r="G11" s="14"/>
      <c r="H11" s="9"/>
    </row>
    <row r="12" spans="3:8" x14ac:dyDescent="0.25">
      <c r="C12" s="8"/>
      <c r="D12" s="2" t="s">
        <v>2786</v>
      </c>
      <c r="E12" s="2" t="s">
        <v>440</v>
      </c>
      <c r="F12" s="4">
        <v>31.5</v>
      </c>
      <c r="G12" s="14"/>
      <c r="H12" s="9"/>
    </row>
    <row r="13" spans="3:8" x14ac:dyDescent="0.25">
      <c r="C13" s="8"/>
      <c r="D13" s="2" t="s">
        <v>2787</v>
      </c>
      <c r="E13" s="2" t="s">
        <v>440</v>
      </c>
      <c r="F13" s="4">
        <v>44</v>
      </c>
      <c r="G13" s="14"/>
      <c r="H13" s="9"/>
    </row>
    <row r="14" spans="3:8" x14ac:dyDescent="0.25">
      <c r="C14" s="8"/>
      <c r="D14" s="2" t="s">
        <v>2788</v>
      </c>
      <c r="E14" s="2" t="s">
        <v>440</v>
      </c>
      <c r="F14" s="4">
        <v>44</v>
      </c>
      <c r="G14" s="14"/>
      <c r="H14" s="9"/>
    </row>
    <row r="15" spans="3:8" x14ac:dyDescent="0.25">
      <c r="C15" s="8"/>
      <c r="D15" s="2" t="s">
        <v>2789</v>
      </c>
      <c r="E15" s="2" t="s">
        <v>541</v>
      </c>
      <c r="F15" s="4"/>
      <c r="G15" s="14">
        <v>342</v>
      </c>
      <c r="H15" s="9"/>
    </row>
    <row r="16" spans="3:8" x14ac:dyDescent="0.25">
      <c r="C16" s="8"/>
      <c r="D16" s="2" t="s">
        <v>2790</v>
      </c>
      <c r="E16" s="2" t="s">
        <v>440</v>
      </c>
      <c r="F16" s="4">
        <v>18.5</v>
      </c>
      <c r="G16" s="14"/>
      <c r="H16" s="9"/>
    </row>
    <row r="17" spans="3:8" x14ac:dyDescent="0.25">
      <c r="C17" s="8"/>
      <c r="D17" s="2" t="s">
        <v>2791</v>
      </c>
      <c r="E17" s="2" t="s">
        <v>440</v>
      </c>
      <c r="F17" s="4">
        <v>14</v>
      </c>
      <c r="G17" s="14"/>
      <c r="H17" s="9"/>
    </row>
    <row r="18" spans="3:8" x14ac:dyDescent="0.25">
      <c r="C18" s="8"/>
      <c r="D18" s="2" t="s">
        <v>2792</v>
      </c>
      <c r="E18" s="2" t="s">
        <v>440</v>
      </c>
      <c r="F18" s="4">
        <v>5</v>
      </c>
      <c r="G18" s="14"/>
      <c r="H18" s="9"/>
    </row>
    <row r="19" spans="3:8" x14ac:dyDescent="0.25">
      <c r="C19" s="8"/>
      <c r="D19" s="2" t="s">
        <v>2793</v>
      </c>
      <c r="E19" s="2" t="s">
        <v>440</v>
      </c>
      <c r="F19" s="4">
        <v>7</v>
      </c>
      <c r="G19" s="14"/>
      <c r="H19" s="9"/>
    </row>
    <row r="20" spans="3:8" x14ac:dyDescent="0.25">
      <c r="C20" s="8"/>
      <c r="D20" s="2" t="s">
        <v>2794</v>
      </c>
      <c r="E20" s="2" t="s">
        <v>440</v>
      </c>
      <c r="F20" s="4">
        <v>10</v>
      </c>
      <c r="G20" s="14"/>
      <c r="H20" s="9"/>
    </row>
    <row r="21" spans="3:8" x14ac:dyDescent="0.25">
      <c r="C21" s="8"/>
      <c r="D21" s="2" t="s">
        <v>2795</v>
      </c>
      <c r="E21" s="2" t="s">
        <v>440</v>
      </c>
      <c r="F21" s="4">
        <v>62</v>
      </c>
      <c r="G21" s="14"/>
      <c r="H21" s="9"/>
    </row>
    <row r="22" spans="3:8" x14ac:dyDescent="0.25">
      <c r="C22" s="8"/>
      <c r="D22" s="2" t="s">
        <v>2796</v>
      </c>
      <c r="E22" s="2" t="s">
        <v>2818</v>
      </c>
      <c r="F22" s="4">
        <v>20</v>
      </c>
      <c r="G22" s="14"/>
      <c r="H22" s="9">
        <v>5</v>
      </c>
    </row>
    <row r="23" spans="3:8" x14ac:dyDescent="0.25">
      <c r="C23" s="8"/>
      <c r="D23" s="2" t="s">
        <v>2797</v>
      </c>
      <c r="E23" s="2" t="s">
        <v>1678</v>
      </c>
      <c r="F23" s="4"/>
      <c r="G23" s="14">
        <v>3</v>
      </c>
      <c r="H23" s="9"/>
    </row>
    <row r="24" spans="3:8" x14ac:dyDescent="0.25">
      <c r="C24" s="8"/>
      <c r="D24" s="2" t="s">
        <v>2798</v>
      </c>
      <c r="E24" s="40" t="s">
        <v>2819</v>
      </c>
      <c r="F24" s="4">
        <v>179</v>
      </c>
      <c r="G24" s="14"/>
      <c r="H24" s="9"/>
    </row>
    <row r="25" spans="3:8" x14ac:dyDescent="0.25">
      <c r="C25" s="8"/>
      <c r="D25" s="2" t="s">
        <v>2799</v>
      </c>
      <c r="E25" s="2" t="s">
        <v>440</v>
      </c>
      <c r="F25" s="4">
        <v>32</v>
      </c>
      <c r="G25" s="14"/>
      <c r="H25" s="9"/>
    </row>
    <row r="26" spans="3:8" x14ac:dyDescent="0.25">
      <c r="C26" s="8"/>
      <c r="D26" s="2" t="s">
        <v>2800</v>
      </c>
      <c r="E26" s="2" t="s">
        <v>440</v>
      </c>
      <c r="F26" s="4">
        <v>24</v>
      </c>
      <c r="G26" s="14"/>
      <c r="H26" s="9"/>
    </row>
    <row r="27" spans="3:8" x14ac:dyDescent="0.25">
      <c r="C27" s="8"/>
      <c r="D27" s="2" t="s">
        <v>2801</v>
      </c>
      <c r="E27" s="2" t="s">
        <v>2145</v>
      </c>
      <c r="F27" s="4">
        <v>4264</v>
      </c>
      <c r="G27" s="14"/>
      <c r="H27" s="9"/>
    </row>
    <row r="28" spans="3:8" x14ac:dyDescent="0.25">
      <c r="C28" s="8"/>
      <c r="D28" s="2" t="s">
        <v>2802</v>
      </c>
      <c r="E28" s="2" t="s">
        <v>2815</v>
      </c>
      <c r="F28" s="4"/>
      <c r="G28" s="14"/>
      <c r="H28" s="9">
        <v>340</v>
      </c>
    </row>
    <row r="29" spans="3:8" x14ac:dyDescent="0.25">
      <c r="C29" s="8"/>
      <c r="D29" s="2" t="s">
        <v>2803</v>
      </c>
      <c r="E29" s="2" t="s">
        <v>2815</v>
      </c>
      <c r="F29" s="4"/>
      <c r="G29" s="14"/>
      <c r="H29" s="9">
        <v>910</v>
      </c>
    </row>
    <row r="30" spans="3:8" x14ac:dyDescent="0.25">
      <c r="C30" s="8"/>
      <c r="D30" s="2" t="s">
        <v>2804</v>
      </c>
      <c r="E30" s="2" t="s">
        <v>440</v>
      </c>
      <c r="F30" s="4">
        <v>8</v>
      </c>
      <c r="G30" s="14"/>
      <c r="H30" s="9"/>
    </row>
    <row r="31" spans="3:8" x14ac:dyDescent="0.25">
      <c r="C31" s="8"/>
      <c r="D31" s="2" t="s">
        <v>2805</v>
      </c>
      <c r="E31" s="2" t="s">
        <v>2358</v>
      </c>
      <c r="F31" s="4">
        <v>552</v>
      </c>
      <c r="G31" s="14"/>
      <c r="H31" s="9"/>
    </row>
    <row r="32" spans="3:8" x14ac:dyDescent="0.25">
      <c r="C32" s="8"/>
      <c r="D32" s="2" t="s">
        <v>2806</v>
      </c>
      <c r="E32" s="2" t="s">
        <v>440</v>
      </c>
      <c r="F32" s="4"/>
      <c r="G32" s="14"/>
      <c r="H32" s="9">
        <v>32</v>
      </c>
    </row>
    <row r="33" spans="3:8" x14ac:dyDescent="0.25">
      <c r="C33" s="8"/>
      <c r="D33" s="2" t="s">
        <v>2807</v>
      </c>
      <c r="E33" s="2" t="s">
        <v>2815</v>
      </c>
      <c r="F33" s="4"/>
      <c r="G33" s="14">
        <v>137</v>
      </c>
      <c r="H33" s="9"/>
    </row>
    <row r="34" spans="3:8" x14ac:dyDescent="0.25">
      <c r="C34" s="8"/>
      <c r="D34" s="2" t="s">
        <v>2808</v>
      </c>
      <c r="E34" s="2" t="s">
        <v>440</v>
      </c>
      <c r="F34" s="4">
        <v>20</v>
      </c>
      <c r="G34" s="14"/>
      <c r="H34" s="9"/>
    </row>
    <row r="35" spans="3:8" x14ac:dyDescent="0.25">
      <c r="C35" s="8"/>
      <c r="D35" s="2" t="s">
        <v>2809</v>
      </c>
      <c r="E35" s="2" t="s">
        <v>440</v>
      </c>
      <c r="F35" s="4">
        <v>584</v>
      </c>
      <c r="G35" s="14"/>
      <c r="H35" s="9"/>
    </row>
    <row r="36" spans="3:8" x14ac:dyDescent="0.25">
      <c r="C36" s="8"/>
      <c r="D36" s="2" t="s">
        <v>2810</v>
      </c>
      <c r="E36" s="2" t="s">
        <v>266</v>
      </c>
      <c r="F36" s="4"/>
      <c r="G36" s="14">
        <v>240</v>
      </c>
      <c r="H36" s="9"/>
    </row>
    <row r="37" spans="3:8" x14ac:dyDescent="0.25">
      <c r="C37" s="8"/>
      <c r="D37" s="2" t="s">
        <v>2811</v>
      </c>
      <c r="E37" s="2" t="s">
        <v>723</v>
      </c>
      <c r="F37" s="4"/>
      <c r="G37" s="14"/>
      <c r="H37" s="9">
        <v>1110</v>
      </c>
    </row>
    <row r="38" spans="3:8" x14ac:dyDescent="0.25">
      <c r="C38" s="8"/>
      <c r="D38" s="2" t="s">
        <v>2812</v>
      </c>
      <c r="E38" s="2" t="s">
        <v>2814</v>
      </c>
      <c r="F38" s="4"/>
      <c r="G38" s="14"/>
      <c r="H38" s="9">
        <v>84</v>
      </c>
    </row>
    <row r="39" spans="3:8" x14ac:dyDescent="0.25">
      <c r="C39" s="8"/>
      <c r="D39" s="2" t="s">
        <v>2813</v>
      </c>
      <c r="E39" s="2" t="s">
        <v>440</v>
      </c>
      <c r="F39" s="4">
        <v>30</v>
      </c>
      <c r="G39" s="14"/>
      <c r="H39" s="9"/>
    </row>
    <row r="40" spans="3:8" x14ac:dyDescent="0.25">
      <c r="C40" s="8"/>
      <c r="D40" s="2" t="s">
        <v>2820</v>
      </c>
      <c r="E40" s="2" t="s">
        <v>440</v>
      </c>
      <c r="F40" s="4">
        <v>1</v>
      </c>
      <c r="G40" s="14"/>
      <c r="H40" s="9"/>
    </row>
    <row r="41" spans="3:8" x14ac:dyDescent="0.25">
      <c r="C41" s="8"/>
      <c r="D41" s="2" t="s">
        <v>2821</v>
      </c>
      <c r="E41" s="2" t="s">
        <v>440</v>
      </c>
      <c r="F41" s="4">
        <v>9</v>
      </c>
      <c r="G41" s="14"/>
      <c r="H41" s="9"/>
    </row>
    <row r="42" spans="3:8" x14ac:dyDescent="0.25">
      <c r="C42" s="8"/>
      <c r="D42" s="2" t="s">
        <v>2854</v>
      </c>
      <c r="E42" s="2"/>
      <c r="F42" s="4"/>
      <c r="G42" s="14"/>
      <c r="H42" s="9"/>
    </row>
    <row r="43" spans="3:8" x14ac:dyDescent="0.25">
      <c r="C43" s="8"/>
      <c r="D43" s="2" t="s">
        <v>2822</v>
      </c>
      <c r="E43" s="2" t="s">
        <v>2846</v>
      </c>
      <c r="F43" s="4"/>
      <c r="G43" s="14"/>
      <c r="H43" s="9">
        <v>173</v>
      </c>
    </row>
    <row r="44" spans="3:8" x14ac:dyDescent="0.25">
      <c r="C44" s="8"/>
      <c r="D44" s="2" t="s">
        <v>2823</v>
      </c>
      <c r="E44" s="2" t="s">
        <v>2358</v>
      </c>
      <c r="F44" s="4"/>
      <c r="G44" s="14"/>
      <c r="H44" s="9">
        <v>120</v>
      </c>
    </row>
    <row r="45" spans="3:8" x14ac:dyDescent="0.25">
      <c r="C45" s="8"/>
      <c r="D45" s="2" t="s">
        <v>2824</v>
      </c>
      <c r="E45" s="2" t="s">
        <v>1800</v>
      </c>
      <c r="F45" s="4"/>
      <c r="G45" s="14">
        <v>4350</v>
      </c>
      <c r="H45" s="9"/>
    </row>
    <row r="46" spans="3:8" x14ac:dyDescent="0.25">
      <c r="C46" s="8"/>
      <c r="D46" s="2" t="s">
        <v>2825</v>
      </c>
      <c r="E46" s="2" t="s">
        <v>48</v>
      </c>
      <c r="F46" s="4">
        <v>4</v>
      </c>
      <c r="G46" s="14"/>
      <c r="H46" s="9"/>
    </row>
    <row r="47" spans="3:8" x14ac:dyDescent="0.25">
      <c r="C47" s="8"/>
      <c r="D47" s="2" t="s">
        <v>2826</v>
      </c>
      <c r="E47" s="2" t="s">
        <v>48</v>
      </c>
      <c r="F47" s="4">
        <v>53.5</v>
      </c>
      <c r="G47" s="14"/>
      <c r="H47" s="9"/>
    </row>
    <row r="48" spans="3:8" x14ac:dyDescent="0.25">
      <c r="C48" s="8"/>
      <c r="D48" s="2" t="s">
        <v>2827</v>
      </c>
      <c r="E48" s="2" t="s">
        <v>48</v>
      </c>
      <c r="F48" s="4">
        <v>6</v>
      </c>
      <c r="G48" s="14"/>
      <c r="H48" s="9"/>
    </row>
    <row r="49" spans="3:8" x14ac:dyDescent="0.25">
      <c r="C49" s="8"/>
      <c r="D49" s="2" t="s">
        <v>2828</v>
      </c>
      <c r="E49" s="2" t="s">
        <v>2845</v>
      </c>
      <c r="F49" s="4"/>
      <c r="G49" s="14"/>
      <c r="H49" s="9">
        <v>602</v>
      </c>
    </row>
    <row r="50" spans="3:8" x14ac:dyDescent="0.25">
      <c r="C50" s="8"/>
      <c r="D50" s="2" t="s">
        <v>2829</v>
      </c>
      <c r="E50" s="2" t="s">
        <v>158</v>
      </c>
      <c r="F50" s="4"/>
      <c r="G50" s="14"/>
      <c r="H50" s="9">
        <v>60</v>
      </c>
    </row>
    <row r="51" spans="3:8" x14ac:dyDescent="0.25">
      <c r="C51" s="8"/>
      <c r="D51" s="2" t="s">
        <v>2830</v>
      </c>
      <c r="E51" s="2" t="s">
        <v>1799</v>
      </c>
      <c r="F51" s="4">
        <v>354.5</v>
      </c>
      <c r="G51" s="14"/>
      <c r="H51" s="9"/>
    </row>
    <row r="52" spans="3:8" x14ac:dyDescent="0.25">
      <c r="C52" s="8"/>
      <c r="D52" s="2" t="s">
        <v>2831</v>
      </c>
      <c r="E52" s="2" t="s">
        <v>48</v>
      </c>
      <c r="F52" s="4">
        <v>100.5</v>
      </c>
      <c r="G52" s="14"/>
      <c r="H52" s="9"/>
    </row>
    <row r="53" spans="3:8" x14ac:dyDescent="0.25">
      <c r="C53" s="8"/>
      <c r="D53" s="2" t="s">
        <v>2832</v>
      </c>
      <c r="E53" s="2" t="s">
        <v>48</v>
      </c>
      <c r="F53" s="4">
        <v>58.5</v>
      </c>
      <c r="G53" s="14"/>
      <c r="H53" s="9"/>
    </row>
    <row r="54" spans="3:8" x14ac:dyDescent="0.25">
      <c r="C54" s="8"/>
      <c r="D54" s="2" t="s">
        <v>2833</v>
      </c>
      <c r="E54" s="2" t="s">
        <v>48</v>
      </c>
      <c r="F54" s="4"/>
      <c r="G54" s="14"/>
      <c r="H54" s="9">
        <v>2</v>
      </c>
    </row>
    <row r="55" spans="3:8" x14ac:dyDescent="0.25">
      <c r="C55" s="8"/>
      <c r="D55" s="2" t="s">
        <v>2834</v>
      </c>
      <c r="E55" s="2" t="s">
        <v>750</v>
      </c>
      <c r="F55" s="4"/>
      <c r="G55" s="14"/>
      <c r="H55" s="9">
        <v>34</v>
      </c>
    </row>
    <row r="56" spans="3:8" x14ac:dyDescent="0.25">
      <c r="C56" s="8"/>
      <c r="D56" s="2" t="s">
        <v>2835</v>
      </c>
      <c r="E56" s="2" t="s">
        <v>48</v>
      </c>
      <c r="F56" s="4">
        <v>93</v>
      </c>
      <c r="G56" s="14"/>
      <c r="H56" s="9"/>
    </row>
    <row r="57" spans="3:8" x14ac:dyDescent="0.25">
      <c r="C57" s="8"/>
      <c r="D57" s="2" t="s">
        <v>2836</v>
      </c>
      <c r="E57" s="2" t="s">
        <v>2844</v>
      </c>
      <c r="F57" s="4">
        <v>349.5</v>
      </c>
      <c r="G57" s="14"/>
      <c r="H57" s="9"/>
    </row>
    <row r="58" spans="3:8" x14ac:dyDescent="0.25">
      <c r="C58" s="8"/>
      <c r="D58" s="2" t="s">
        <v>2837</v>
      </c>
      <c r="E58" s="2" t="s">
        <v>48</v>
      </c>
      <c r="F58" s="4"/>
      <c r="G58" s="14"/>
      <c r="H58" s="9">
        <v>12.5</v>
      </c>
    </row>
    <row r="59" spans="3:8" x14ac:dyDescent="0.25">
      <c r="C59" s="8"/>
      <c r="D59" s="2" t="s">
        <v>2838</v>
      </c>
      <c r="E59" s="2" t="s">
        <v>1370</v>
      </c>
      <c r="F59" s="4"/>
      <c r="G59" s="14"/>
      <c r="H59" s="9">
        <v>240</v>
      </c>
    </row>
    <row r="60" spans="3:8" x14ac:dyDescent="0.25">
      <c r="C60" s="8"/>
      <c r="D60" s="2" t="s">
        <v>2839</v>
      </c>
      <c r="E60" s="2" t="s">
        <v>48</v>
      </c>
      <c r="F60" s="4"/>
      <c r="G60" s="14"/>
      <c r="H60" s="9">
        <v>12.5</v>
      </c>
    </row>
    <row r="61" spans="3:8" x14ac:dyDescent="0.25">
      <c r="C61" s="8"/>
      <c r="D61" s="2" t="s">
        <v>2840</v>
      </c>
      <c r="E61" s="2" t="s">
        <v>48</v>
      </c>
      <c r="F61" s="4">
        <v>33.700000000000003</v>
      </c>
      <c r="G61" s="14"/>
      <c r="H61" s="9"/>
    </row>
    <row r="62" spans="3:8" x14ac:dyDescent="0.25">
      <c r="C62" s="8"/>
      <c r="D62" s="2" t="s">
        <v>2841</v>
      </c>
      <c r="E62" s="2" t="s">
        <v>48</v>
      </c>
      <c r="F62" s="4">
        <v>7.5</v>
      </c>
      <c r="G62" s="14"/>
      <c r="H62" s="9"/>
    </row>
    <row r="63" spans="3:8" x14ac:dyDescent="0.25">
      <c r="C63" s="8"/>
      <c r="D63" s="2" t="s">
        <v>2842</v>
      </c>
      <c r="E63" s="2" t="s">
        <v>2437</v>
      </c>
      <c r="F63" s="4"/>
      <c r="G63" s="14"/>
      <c r="H63" s="9">
        <v>291</v>
      </c>
    </row>
    <row r="64" spans="3:8" x14ac:dyDescent="0.25">
      <c r="C64" s="8"/>
      <c r="D64" s="2" t="s">
        <v>2843</v>
      </c>
      <c r="E64" s="2" t="s">
        <v>48</v>
      </c>
      <c r="F64" s="4"/>
      <c r="G64" s="14"/>
      <c r="H64" s="9">
        <v>9</v>
      </c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29"/>
      <c r="D71" s="30"/>
      <c r="E71" s="30" t="s">
        <v>60</v>
      </c>
      <c r="F71" s="4"/>
      <c r="G71" s="14"/>
      <c r="H71" s="9"/>
    </row>
    <row r="72" spans="3:8" x14ac:dyDescent="0.25">
      <c r="C72" s="8"/>
      <c r="D72" s="45" t="s">
        <v>2771</v>
      </c>
      <c r="E72" s="2" t="s">
        <v>2772</v>
      </c>
      <c r="F72" s="4">
        <v>20</v>
      </c>
      <c r="G72" s="14"/>
      <c r="H72" s="9">
        <v>10</v>
      </c>
    </row>
    <row r="73" spans="3:8" x14ac:dyDescent="0.25">
      <c r="C73" s="8"/>
      <c r="D73" s="45" t="s">
        <v>2773</v>
      </c>
      <c r="E73" s="53" t="s">
        <v>2774</v>
      </c>
      <c r="F73" s="4"/>
      <c r="G73" s="14"/>
      <c r="H73" s="9">
        <v>23.5</v>
      </c>
    </row>
    <row r="74" spans="3:8" x14ac:dyDescent="0.25">
      <c r="C74" s="8"/>
      <c r="D74" s="45" t="s">
        <v>2775</v>
      </c>
      <c r="E74" s="53" t="s">
        <v>437</v>
      </c>
      <c r="F74" s="4">
        <v>67.5</v>
      </c>
      <c r="G74" s="14"/>
      <c r="H74" s="9"/>
    </row>
    <row r="75" spans="3:8" x14ac:dyDescent="0.25">
      <c r="C75" s="8"/>
      <c r="D75" s="45" t="s">
        <v>2776</v>
      </c>
      <c r="E75" s="2" t="s">
        <v>2777</v>
      </c>
      <c r="F75" s="4">
        <v>11</v>
      </c>
      <c r="G75" s="14"/>
      <c r="H75" s="9"/>
    </row>
    <row r="76" spans="3:8" x14ac:dyDescent="0.25">
      <c r="C76" s="8"/>
      <c r="D76" s="45" t="s">
        <v>2778</v>
      </c>
      <c r="E76" s="2" t="s">
        <v>2780</v>
      </c>
      <c r="F76" s="4"/>
      <c r="G76" s="14"/>
      <c r="H76" s="9">
        <v>32</v>
      </c>
    </row>
    <row r="77" spans="3:8" x14ac:dyDescent="0.25">
      <c r="C77" s="8"/>
      <c r="D77" s="45" t="s">
        <v>2779</v>
      </c>
      <c r="E77" s="2" t="s">
        <v>955</v>
      </c>
      <c r="F77" s="4"/>
      <c r="G77" s="14"/>
      <c r="H77" s="63">
        <v>1525</v>
      </c>
    </row>
    <row r="78" spans="3:8" x14ac:dyDescent="0.25">
      <c r="C78" s="8"/>
      <c r="D78" s="45"/>
      <c r="E78" s="2"/>
      <c r="F78" s="4"/>
      <c r="G78" s="14"/>
      <c r="H78" s="63"/>
    </row>
    <row r="79" spans="3:8" x14ac:dyDescent="0.25">
      <c r="C79" s="8"/>
      <c r="D79" s="45"/>
      <c r="E79" s="2"/>
      <c r="F79" s="4"/>
      <c r="G79" s="14"/>
      <c r="H79" s="4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45"/>
      <c r="E82" s="2" t="s">
        <v>501</v>
      </c>
      <c r="F82" s="4">
        <v>100</v>
      </c>
      <c r="G82" s="14"/>
      <c r="H82" s="9"/>
    </row>
    <row r="83" spans="3:8" x14ac:dyDescent="0.25">
      <c r="C83" s="8"/>
      <c r="D83" s="45"/>
      <c r="E83" s="2" t="s">
        <v>402</v>
      </c>
      <c r="F83" s="4">
        <v>36</v>
      </c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19"/>
      <c r="D87" s="20"/>
      <c r="E87" s="20" t="s">
        <v>42</v>
      </c>
      <c r="F87" s="4"/>
      <c r="G87" s="14"/>
      <c r="H87" s="9"/>
    </row>
    <row r="88" spans="3:8" x14ac:dyDescent="0.25">
      <c r="C88" s="34"/>
      <c r="D88" s="42"/>
      <c r="E88" s="2" t="s">
        <v>2768</v>
      </c>
      <c r="F88" s="14">
        <v>-578</v>
      </c>
      <c r="G88" s="14"/>
      <c r="H88" s="9"/>
    </row>
    <row r="89" spans="3:8" x14ac:dyDescent="0.25">
      <c r="C89" s="34"/>
      <c r="D89" s="42"/>
      <c r="E89" s="2" t="s">
        <v>2769</v>
      </c>
      <c r="F89" s="14">
        <v>-186</v>
      </c>
      <c r="G89" s="14"/>
      <c r="H89" s="9"/>
    </row>
    <row r="90" spans="3:8" x14ac:dyDescent="0.25">
      <c r="C90" s="8"/>
      <c r="D90" s="2"/>
      <c r="E90" s="2" t="s">
        <v>2770</v>
      </c>
      <c r="F90" s="14">
        <v>-1640</v>
      </c>
      <c r="G90" s="14"/>
      <c r="H90" s="9"/>
    </row>
    <row r="91" spans="3:8" x14ac:dyDescent="0.25">
      <c r="C91" s="8"/>
      <c r="D91" s="2"/>
      <c r="E91" s="2" t="s">
        <v>2847</v>
      </c>
      <c r="F91" s="14">
        <v>-55</v>
      </c>
      <c r="G91" s="14"/>
      <c r="H91" s="9"/>
    </row>
    <row r="92" spans="3:8" x14ac:dyDescent="0.25">
      <c r="C92" s="8"/>
      <c r="D92" s="2"/>
      <c r="E92" s="2" t="s">
        <v>2848</v>
      </c>
      <c r="F92" s="14">
        <v>-5</v>
      </c>
      <c r="G92" s="14"/>
      <c r="H92" s="9"/>
    </row>
    <row r="93" spans="3:8" x14ac:dyDescent="0.25">
      <c r="C93" s="8"/>
      <c r="D93" s="2"/>
      <c r="E93" s="2" t="s">
        <v>1363</v>
      </c>
      <c r="F93" s="14">
        <v>-50</v>
      </c>
      <c r="G93" s="14"/>
      <c r="H93" s="9"/>
    </row>
    <row r="94" spans="3:8" x14ac:dyDescent="0.25">
      <c r="C94" s="8"/>
      <c r="D94" s="2"/>
      <c r="E94" s="2" t="s">
        <v>2849</v>
      </c>
      <c r="F94" s="14">
        <v>-1536.2</v>
      </c>
      <c r="G94" s="14"/>
      <c r="H94" s="9"/>
    </row>
    <row r="95" spans="3:8" x14ac:dyDescent="0.25">
      <c r="C95" s="8"/>
      <c r="D95" s="2"/>
      <c r="E95" s="2" t="s">
        <v>2850</v>
      </c>
      <c r="F95" s="14">
        <v>-136</v>
      </c>
      <c r="G95" s="14"/>
      <c r="H95" s="9"/>
    </row>
    <row r="96" spans="3:8" x14ac:dyDescent="0.25">
      <c r="C96" s="8"/>
      <c r="D96" s="2"/>
      <c r="E96" s="2" t="s">
        <v>2851</v>
      </c>
      <c r="F96" s="14">
        <v>-45</v>
      </c>
      <c r="G96" s="14"/>
      <c r="H96" s="9"/>
    </row>
    <row r="97" spans="3:8" x14ac:dyDescent="0.25">
      <c r="C97" s="8"/>
      <c r="D97" s="2"/>
      <c r="E97" s="2" t="s">
        <v>2852</v>
      </c>
      <c r="F97" s="14">
        <v>-200</v>
      </c>
      <c r="G97" s="14"/>
      <c r="H97" s="9"/>
    </row>
    <row r="98" spans="3:8" x14ac:dyDescent="0.25">
      <c r="C98" s="8"/>
      <c r="D98" s="2"/>
      <c r="E98" s="2" t="s">
        <v>1274</v>
      </c>
      <c r="F98" s="14">
        <v>-2723.5</v>
      </c>
      <c r="G98" s="14"/>
      <c r="H98" s="9"/>
    </row>
    <row r="99" spans="3:8" x14ac:dyDescent="0.25">
      <c r="C99" s="8"/>
      <c r="D99" s="2"/>
      <c r="E99" s="2"/>
      <c r="F99" s="4"/>
      <c r="G99" s="14"/>
      <c r="H99" s="9"/>
    </row>
    <row r="100" spans="3:8" ht="15.75" thickBot="1" x14ac:dyDescent="0.3">
      <c r="C100" s="10"/>
      <c r="D100" s="11"/>
      <c r="E100" s="11" t="s">
        <v>44</v>
      </c>
      <c r="F100" s="12">
        <f>SUM(F6:F99)</f>
        <v>985.5</v>
      </c>
      <c r="G100" s="15">
        <f>SUM(G6:G99)</f>
        <v>5512</v>
      </c>
      <c r="H100" s="13">
        <f>SUM(H6:H99)</f>
        <v>6627.5</v>
      </c>
    </row>
    <row r="103" spans="3:8" s="3" customFormat="1" ht="18.75" x14ac:dyDescent="0.3">
      <c r="C103" s="1"/>
      <c r="D103" s="1"/>
      <c r="E103" s="38" t="s">
        <v>49</v>
      </c>
      <c r="F103" s="39">
        <f>+H4+F100</f>
        <v>12252.49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21DB-F959-4385-B1AB-09181CFBE8E0}">
  <sheetPr codeName="Hoja30"/>
  <dimension ref="C2:L104"/>
  <sheetViews>
    <sheetView topLeftCell="A48" workbookViewId="0">
      <selection activeCell="E77" sqref="E77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2853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12252.49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2854</v>
      </c>
      <c r="E6" s="2" t="s">
        <v>440</v>
      </c>
      <c r="F6" s="4"/>
      <c r="G6" s="14"/>
      <c r="H6" s="9">
        <v>16.649999999999999</v>
      </c>
    </row>
    <row r="7" spans="3:8" x14ac:dyDescent="0.25">
      <c r="C7" s="8"/>
      <c r="D7" s="2" t="s">
        <v>2860</v>
      </c>
      <c r="E7" s="2" t="s">
        <v>2881</v>
      </c>
      <c r="F7" s="4">
        <v>977.5</v>
      </c>
      <c r="G7" s="14"/>
      <c r="H7" s="9"/>
    </row>
    <row r="8" spans="3:8" x14ac:dyDescent="0.25">
      <c r="C8" s="8"/>
      <c r="D8" s="2" t="s">
        <v>2861</v>
      </c>
      <c r="E8" s="2" t="s">
        <v>136</v>
      </c>
      <c r="F8" s="4"/>
      <c r="G8" s="14">
        <v>1328</v>
      </c>
      <c r="H8" s="9"/>
    </row>
    <row r="9" spans="3:8" x14ac:dyDescent="0.25">
      <c r="C9" s="8"/>
      <c r="D9" s="2" t="s">
        <v>2862</v>
      </c>
      <c r="E9" s="2" t="s">
        <v>1152</v>
      </c>
      <c r="F9" s="4"/>
      <c r="G9" s="14"/>
      <c r="H9" s="9">
        <v>168.5</v>
      </c>
    </row>
    <row r="10" spans="3:8" x14ac:dyDescent="0.25">
      <c r="C10" s="8"/>
      <c r="D10" s="2" t="s">
        <v>2863</v>
      </c>
      <c r="E10" s="2" t="s">
        <v>440</v>
      </c>
      <c r="F10" s="4">
        <v>53</v>
      </c>
      <c r="G10" s="14"/>
      <c r="H10" s="9"/>
    </row>
    <row r="11" spans="3:8" x14ac:dyDescent="0.25">
      <c r="C11" s="8"/>
      <c r="D11" s="2" t="s">
        <v>2864</v>
      </c>
      <c r="E11" s="2" t="s">
        <v>2881</v>
      </c>
      <c r="F11" s="4">
        <v>30</v>
      </c>
      <c r="G11" s="14"/>
      <c r="H11" s="9"/>
    </row>
    <row r="12" spans="3:8" x14ac:dyDescent="0.25">
      <c r="C12" s="8"/>
      <c r="D12" s="2" t="s">
        <v>2865</v>
      </c>
      <c r="E12" s="2" t="s">
        <v>440</v>
      </c>
      <c r="F12" s="4">
        <v>98.5</v>
      </c>
      <c r="G12" s="14"/>
      <c r="H12" s="9"/>
    </row>
    <row r="13" spans="3:8" x14ac:dyDescent="0.25">
      <c r="C13" s="8"/>
      <c r="D13" s="2" t="s">
        <v>2866</v>
      </c>
      <c r="E13" s="2" t="s">
        <v>440</v>
      </c>
      <c r="F13" s="4">
        <v>20.5</v>
      </c>
      <c r="G13" s="14"/>
      <c r="H13" s="9"/>
    </row>
    <row r="14" spans="3:8" x14ac:dyDescent="0.25">
      <c r="C14" s="8"/>
      <c r="D14" s="2" t="s">
        <v>2867</v>
      </c>
      <c r="E14" s="2" t="s">
        <v>440</v>
      </c>
      <c r="F14" s="4">
        <v>12</v>
      </c>
      <c r="G14" s="14"/>
      <c r="H14" s="9"/>
    </row>
    <row r="15" spans="3:8" x14ac:dyDescent="0.25">
      <c r="C15" s="8"/>
      <c r="D15" s="2" t="s">
        <v>2868</v>
      </c>
      <c r="E15" s="2" t="s">
        <v>440</v>
      </c>
      <c r="F15" s="4"/>
      <c r="G15" s="14"/>
      <c r="H15" s="9">
        <v>4</v>
      </c>
    </row>
    <row r="16" spans="3:8" x14ac:dyDescent="0.25">
      <c r="C16" s="8"/>
      <c r="D16" s="2" t="s">
        <v>2869</v>
      </c>
      <c r="E16" s="2" t="s">
        <v>2093</v>
      </c>
      <c r="F16" s="4"/>
      <c r="G16" s="14"/>
      <c r="H16" s="9">
        <v>159</v>
      </c>
    </row>
    <row r="17" spans="3:8" x14ac:dyDescent="0.25">
      <c r="C17" s="8"/>
      <c r="D17" s="2" t="s">
        <v>2870</v>
      </c>
      <c r="E17" s="2" t="s">
        <v>440</v>
      </c>
      <c r="F17" s="4">
        <v>10</v>
      </c>
      <c r="G17" s="14"/>
      <c r="H17" s="9"/>
    </row>
    <row r="18" spans="3:8" x14ac:dyDescent="0.25">
      <c r="C18" s="8"/>
      <c r="D18" s="2" t="s">
        <v>2871</v>
      </c>
      <c r="E18" s="2" t="s">
        <v>440</v>
      </c>
      <c r="F18" s="4">
        <v>7</v>
      </c>
      <c r="G18" s="14"/>
      <c r="H18" s="9"/>
    </row>
    <row r="19" spans="3:8" x14ac:dyDescent="0.25">
      <c r="C19" s="8"/>
      <c r="D19" s="2" t="s">
        <v>2872</v>
      </c>
      <c r="E19" s="2" t="s">
        <v>2882</v>
      </c>
      <c r="F19" s="4">
        <v>100</v>
      </c>
      <c r="G19" s="14"/>
      <c r="H19" s="9">
        <v>389.99</v>
      </c>
    </row>
    <row r="20" spans="3:8" x14ac:dyDescent="0.25">
      <c r="C20" s="8"/>
      <c r="D20" s="2" t="s">
        <v>2873</v>
      </c>
      <c r="E20" s="2" t="s">
        <v>440</v>
      </c>
      <c r="F20" s="4"/>
      <c r="G20" s="14"/>
      <c r="H20" s="9">
        <v>88</v>
      </c>
    </row>
    <row r="21" spans="3:8" x14ac:dyDescent="0.25">
      <c r="C21" s="8"/>
      <c r="D21" s="2" t="s">
        <v>2874</v>
      </c>
      <c r="E21" s="2" t="s">
        <v>440</v>
      </c>
      <c r="F21" s="4">
        <v>8.5</v>
      </c>
      <c r="G21" s="14"/>
      <c r="H21" s="9"/>
    </row>
    <row r="22" spans="3:8" x14ac:dyDescent="0.25">
      <c r="C22" s="8"/>
      <c r="D22" s="2" t="s">
        <v>2875</v>
      </c>
      <c r="E22" s="2" t="s">
        <v>2883</v>
      </c>
      <c r="F22" s="4">
        <v>400</v>
      </c>
      <c r="G22" s="14"/>
      <c r="H22" s="9">
        <v>550</v>
      </c>
    </row>
    <row r="23" spans="3:8" x14ac:dyDescent="0.25">
      <c r="C23" s="8"/>
      <c r="D23" s="2" t="s">
        <v>2876</v>
      </c>
      <c r="E23" s="2" t="s">
        <v>2884</v>
      </c>
      <c r="F23" s="4"/>
      <c r="G23" s="14"/>
      <c r="H23" s="9">
        <v>170</v>
      </c>
    </row>
    <row r="24" spans="3:8" x14ac:dyDescent="0.25">
      <c r="C24" s="8"/>
      <c r="D24" s="2" t="s">
        <v>2877</v>
      </c>
      <c r="E24" s="2" t="s">
        <v>1476</v>
      </c>
      <c r="F24" s="4"/>
      <c r="G24" s="14">
        <v>31</v>
      </c>
      <c r="H24" s="9">
        <v>128</v>
      </c>
    </row>
    <row r="25" spans="3:8" x14ac:dyDescent="0.25">
      <c r="C25" s="8"/>
      <c r="D25" s="2" t="s">
        <v>2878</v>
      </c>
      <c r="E25" s="2" t="s">
        <v>440</v>
      </c>
      <c r="F25" s="4">
        <v>7</v>
      </c>
      <c r="G25" s="14"/>
      <c r="H25" s="9"/>
    </row>
    <row r="26" spans="3:8" x14ac:dyDescent="0.25">
      <c r="C26" s="8"/>
      <c r="D26" s="2" t="s">
        <v>2879</v>
      </c>
      <c r="E26" s="2" t="s">
        <v>2926</v>
      </c>
      <c r="F26" s="4">
        <v>1350</v>
      </c>
      <c r="G26" s="14"/>
      <c r="H26" s="9"/>
    </row>
    <row r="27" spans="3:8" x14ac:dyDescent="0.25">
      <c r="C27" s="8"/>
      <c r="D27" s="2" t="s">
        <v>2880</v>
      </c>
      <c r="E27" s="2" t="s">
        <v>440</v>
      </c>
      <c r="F27" s="4"/>
      <c r="G27" s="14"/>
      <c r="H27" s="9">
        <v>10</v>
      </c>
    </row>
    <row r="28" spans="3:8" x14ac:dyDescent="0.25">
      <c r="C28" s="8"/>
      <c r="D28" s="2"/>
      <c r="E28" s="2"/>
      <c r="F28" s="4"/>
      <c r="G28" s="14"/>
      <c r="H28" s="9"/>
    </row>
    <row r="29" spans="3:8" x14ac:dyDescent="0.25">
      <c r="C29" s="8"/>
      <c r="D29" s="2"/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12" x14ac:dyDescent="0.25">
      <c r="C33" s="8"/>
      <c r="D33" s="2"/>
      <c r="E33" s="2"/>
      <c r="F33" s="4"/>
      <c r="G33" s="14"/>
      <c r="H33" s="9"/>
    </row>
    <row r="34" spans="3:12" x14ac:dyDescent="0.25">
      <c r="C34" s="8"/>
      <c r="D34" s="2" t="s">
        <v>2885</v>
      </c>
      <c r="E34" s="2" t="s">
        <v>48</v>
      </c>
      <c r="F34" s="4"/>
      <c r="G34" s="14"/>
      <c r="H34" s="9">
        <v>15</v>
      </c>
    </row>
    <row r="35" spans="3:12" x14ac:dyDescent="0.25">
      <c r="C35" s="8"/>
      <c r="D35" s="2" t="s">
        <v>2886</v>
      </c>
      <c r="E35" s="2" t="s">
        <v>1370</v>
      </c>
      <c r="F35" s="4"/>
      <c r="G35" s="14"/>
      <c r="H35" s="9">
        <v>193</v>
      </c>
    </row>
    <row r="36" spans="3:12" x14ac:dyDescent="0.25">
      <c r="C36" s="8"/>
      <c r="D36" s="2" t="s">
        <v>2887</v>
      </c>
      <c r="E36" s="2" t="s">
        <v>2440</v>
      </c>
      <c r="F36" s="4"/>
      <c r="G36" s="14"/>
      <c r="H36" s="9">
        <v>449</v>
      </c>
    </row>
    <row r="37" spans="3:12" x14ac:dyDescent="0.25">
      <c r="C37" s="8"/>
      <c r="D37" s="2" t="s">
        <v>2888</v>
      </c>
      <c r="E37" s="2" t="s">
        <v>116</v>
      </c>
      <c r="F37" s="4"/>
      <c r="G37" s="14"/>
      <c r="H37" s="9">
        <v>173</v>
      </c>
      <c r="L37">
        <f>159-128</f>
        <v>31</v>
      </c>
    </row>
    <row r="38" spans="3:12" x14ac:dyDescent="0.25">
      <c r="C38" s="8"/>
      <c r="D38" s="2" t="s">
        <v>2889</v>
      </c>
      <c r="E38" s="2" t="s">
        <v>2615</v>
      </c>
      <c r="F38" s="4"/>
      <c r="G38" s="14">
        <v>560</v>
      </c>
      <c r="H38" s="9"/>
    </row>
    <row r="39" spans="3:12" x14ac:dyDescent="0.25">
      <c r="C39" s="8"/>
      <c r="D39" s="2" t="s">
        <v>2890</v>
      </c>
      <c r="E39" s="2" t="s">
        <v>48</v>
      </c>
      <c r="F39" s="4"/>
      <c r="G39" s="14"/>
      <c r="H39" s="9">
        <v>5.9</v>
      </c>
    </row>
    <row r="40" spans="3:12" x14ac:dyDescent="0.25">
      <c r="C40" s="8"/>
      <c r="D40" s="2" t="s">
        <v>2891</v>
      </c>
      <c r="E40" s="2" t="s">
        <v>48</v>
      </c>
      <c r="F40" s="4">
        <v>7.5</v>
      </c>
      <c r="G40" s="14"/>
      <c r="H40" s="9"/>
    </row>
    <row r="41" spans="3:12" x14ac:dyDescent="0.25">
      <c r="C41" s="8"/>
      <c r="D41" s="2" t="s">
        <v>2892</v>
      </c>
      <c r="E41" s="2" t="s">
        <v>2881</v>
      </c>
      <c r="F41" s="4">
        <v>39</v>
      </c>
      <c r="G41" s="14"/>
      <c r="H41" s="9"/>
    </row>
    <row r="42" spans="3:12" x14ac:dyDescent="0.25">
      <c r="C42" s="8"/>
      <c r="D42" s="2" t="s">
        <v>2893</v>
      </c>
      <c r="E42" s="2" t="s">
        <v>2923</v>
      </c>
      <c r="F42" s="4"/>
      <c r="G42" s="14"/>
      <c r="H42" s="9">
        <v>21</v>
      </c>
    </row>
    <row r="43" spans="3:12" x14ac:dyDescent="0.25">
      <c r="C43" s="8"/>
      <c r="D43" s="2" t="s">
        <v>2894</v>
      </c>
      <c r="E43" s="2" t="s">
        <v>48</v>
      </c>
      <c r="F43" s="4"/>
      <c r="G43" s="14"/>
      <c r="H43" s="9">
        <v>12</v>
      </c>
    </row>
    <row r="44" spans="3:12" x14ac:dyDescent="0.25">
      <c r="C44" s="8"/>
      <c r="D44" s="2" t="s">
        <v>2895</v>
      </c>
      <c r="E44" s="2" t="s">
        <v>48</v>
      </c>
      <c r="F44" s="4"/>
      <c r="G44" s="14"/>
      <c r="H44" s="9">
        <v>928</v>
      </c>
    </row>
    <row r="45" spans="3:12" x14ac:dyDescent="0.25">
      <c r="C45" s="8"/>
      <c r="D45" s="2" t="s">
        <v>2896</v>
      </c>
      <c r="E45" s="2" t="s">
        <v>146</v>
      </c>
      <c r="F45" s="4">
        <v>170</v>
      </c>
      <c r="G45" s="14"/>
      <c r="H45" s="9">
        <v>192</v>
      </c>
    </row>
    <row r="46" spans="3:12" x14ac:dyDescent="0.25">
      <c r="C46" s="8"/>
      <c r="D46" s="2" t="s">
        <v>2897</v>
      </c>
      <c r="E46" s="2" t="s">
        <v>48</v>
      </c>
      <c r="F46" s="4">
        <v>286</v>
      </c>
      <c r="G46" s="14"/>
      <c r="H46" s="9"/>
    </row>
    <row r="47" spans="3:12" x14ac:dyDescent="0.25">
      <c r="C47" s="8"/>
      <c r="D47" s="2" t="s">
        <v>2898</v>
      </c>
      <c r="E47" s="2" t="s">
        <v>48</v>
      </c>
      <c r="F47" s="4">
        <v>21.4</v>
      </c>
      <c r="G47" s="14"/>
      <c r="H47" s="9"/>
    </row>
    <row r="48" spans="3:12" x14ac:dyDescent="0.25">
      <c r="C48" s="8"/>
      <c r="D48" s="2" t="s">
        <v>2899</v>
      </c>
      <c r="E48" s="2" t="s">
        <v>48</v>
      </c>
      <c r="F48" s="4"/>
      <c r="G48" s="14"/>
      <c r="H48" s="9">
        <v>4</v>
      </c>
    </row>
    <row r="49" spans="3:8" x14ac:dyDescent="0.25">
      <c r="C49" s="8"/>
      <c r="D49" s="2" t="s">
        <v>2900</v>
      </c>
      <c r="E49" s="2" t="s">
        <v>2144</v>
      </c>
      <c r="F49" s="4">
        <v>93</v>
      </c>
      <c r="G49" s="14"/>
      <c r="H49" s="9"/>
    </row>
    <row r="50" spans="3:8" x14ac:dyDescent="0.25">
      <c r="C50" s="8"/>
      <c r="D50" s="2" t="s">
        <v>2901</v>
      </c>
      <c r="E50" s="2" t="s">
        <v>48</v>
      </c>
      <c r="F50" s="4"/>
      <c r="G50" s="14"/>
      <c r="H50" s="9">
        <v>6</v>
      </c>
    </row>
    <row r="51" spans="3:8" x14ac:dyDescent="0.25">
      <c r="C51" s="8"/>
      <c r="D51" s="2" t="s">
        <v>2902</v>
      </c>
      <c r="E51" s="2" t="s">
        <v>2922</v>
      </c>
      <c r="F51" s="4"/>
      <c r="G51" s="14"/>
      <c r="H51" s="9">
        <v>207.2</v>
      </c>
    </row>
    <row r="52" spans="3:8" x14ac:dyDescent="0.25">
      <c r="C52" s="8"/>
      <c r="D52" s="2" t="s">
        <v>2903</v>
      </c>
      <c r="E52" s="2" t="s">
        <v>48</v>
      </c>
      <c r="F52" s="4"/>
      <c r="G52" s="14"/>
      <c r="H52" s="9">
        <v>65</v>
      </c>
    </row>
    <row r="53" spans="3:8" x14ac:dyDescent="0.25">
      <c r="C53" s="8"/>
      <c r="D53" s="2" t="s">
        <v>2904</v>
      </c>
      <c r="E53" s="2" t="s">
        <v>48</v>
      </c>
      <c r="F53" s="4">
        <v>12.5</v>
      </c>
      <c r="G53" s="14"/>
      <c r="H53" s="9"/>
    </row>
    <row r="54" spans="3:8" x14ac:dyDescent="0.25">
      <c r="C54" s="8"/>
      <c r="D54" s="2" t="s">
        <v>2905</v>
      </c>
      <c r="E54" s="2" t="s">
        <v>48</v>
      </c>
      <c r="F54" s="4">
        <v>45</v>
      </c>
      <c r="G54" s="14"/>
      <c r="H54" s="9"/>
    </row>
    <row r="55" spans="3:8" x14ac:dyDescent="0.25">
      <c r="C55" s="8"/>
      <c r="D55" s="2" t="s">
        <v>2906</v>
      </c>
      <c r="E55" s="2" t="s">
        <v>48</v>
      </c>
      <c r="F55" s="4">
        <v>27.5</v>
      </c>
      <c r="G55" s="14"/>
      <c r="H55" s="9"/>
    </row>
    <row r="56" spans="3:8" x14ac:dyDescent="0.25">
      <c r="C56" s="8"/>
      <c r="D56" s="2" t="s">
        <v>2907</v>
      </c>
      <c r="E56" s="2" t="s">
        <v>48</v>
      </c>
      <c r="F56" s="4">
        <v>56</v>
      </c>
      <c r="G56" s="14"/>
      <c r="H56" s="9"/>
    </row>
    <row r="57" spans="3:8" x14ac:dyDescent="0.25">
      <c r="C57" s="8"/>
      <c r="D57" s="2" t="s">
        <v>2908</v>
      </c>
      <c r="E57" s="2" t="s">
        <v>48</v>
      </c>
      <c r="F57" s="4">
        <v>3</v>
      </c>
      <c r="G57" s="14"/>
      <c r="H57" s="9"/>
    </row>
    <row r="58" spans="3:8" x14ac:dyDescent="0.25">
      <c r="C58" s="8"/>
      <c r="D58" s="2" t="s">
        <v>2909</v>
      </c>
      <c r="E58" s="2" t="s">
        <v>48</v>
      </c>
      <c r="F58" s="4">
        <v>17</v>
      </c>
      <c r="G58" s="14"/>
      <c r="H58" s="9"/>
    </row>
    <row r="59" spans="3:8" x14ac:dyDescent="0.25">
      <c r="C59" s="8"/>
      <c r="D59" s="2" t="s">
        <v>2910</v>
      </c>
      <c r="E59" s="43" t="s">
        <v>2927</v>
      </c>
      <c r="F59" s="4"/>
      <c r="G59" s="14"/>
      <c r="H59" s="9"/>
    </row>
    <row r="60" spans="3:8" x14ac:dyDescent="0.25">
      <c r="C60" s="8"/>
      <c r="D60" s="2" t="s">
        <v>2911</v>
      </c>
      <c r="E60" s="2" t="s">
        <v>48</v>
      </c>
      <c r="F60" s="4">
        <v>10.5</v>
      </c>
      <c r="G60" s="14"/>
      <c r="H60" s="9"/>
    </row>
    <row r="61" spans="3:8" x14ac:dyDescent="0.25">
      <c r="C61" s="8"/>
      <c r="D61" s="2" t="s">
        <v>2912</v>
      </c>
      <c r="E61" s="2" t="s">
        <v>48</v>
      </c>
      <c r="F61" s="4">
        <v>1.5</v>
      </c>
      <c r="G61" s="14"/>
      <c r="H61" s="9"/>
    </row>
    <row r="62" spans="3:8" x14ac:dyDescent="0.25">
      <c r="C62" s="8"/>
      <c r="D62" s="2" t="s">
        <v>2913</v>
      </c>
      <c r="E62" s="2" t="s">
        <v>2921</v>
      </c>
      <c r="F62" s="4">
        <v>450</v>
      </c>
      <c r="G62" s="14">
        <v>125</v>
      </c>
      <c r="H62" s="9"/>
    </row>
    <row r="63" spans="3:8" x14ac:dyDescent="0.25">
      <c r="C63" s="8"/>
      <c r="D63" s="2" t="s">
        <v>2914</v>
      </c>
      <c r="E63" s="2" t="s">
        <v>2920</v>
      </c>
      <c r="F63" s="4"/>
      <c r="G63" s="14"/>
      <c r="H63" s="9">
        <v>2560</v>
      </c>
    </row>
    <row r="64" spans="3:8" x14ac:dyDescent="0.25">
      <c r="C64" s="8"/>
      <c r="D64" s="2" t="s">
        <v>2915</v>
      </c>
      <c r="E64" s="2" t="s">
        <v>2919</v>
      </c>
      <c r="F64" s="4"/>
      <c r="G64" s="14">
        <v>2280</v>
      </c>
      <c r="H64" s="9"/>
    </row>
    <row r="65" spans="3:8" x14ac:dyDescent="0.25">
      <c r="C65" s="8"/>
      <c r="D65" s="2" t="s">
        <v>2916</v>
      </c>
      <c r="E65" s="2" t="s">
        <v>48</v>
      </c>
      <c r="F65" s="4">
        <v>4</v>
      </c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29"/>
      <c r="D73" s="30"/>
      <c r="E73" s="30" t="s">
        <v>60</v>
      </c>
      <c r="F73" s="4"/>
      <c r="G73" s="14"/>
      <c r="H73" s="9"/>
    </row>
    <row r="74" spans="3:8" x14ac:dyDescent="0.25">
      <c r="C74" s="8"/>
      <c r="D74" s="45" t="s">
        <v>2857</v>
      </c>
      <c r="E74" s="2" t="s">
        <v>955</v>
      </c>
      <c r="F74" s="4"/>
      <c r="G74" s="14"/>
      <c r="H74" s="9">
        <v>3390</v>
      </c>
    </row>
    <row r="75" spans="3:8" x14ac:dyDescent="0.25">
      <c r="C75" s="8"/>
      <c r="D75" s="45" t="s">
        <v>2858</v>
      </c>
      <c r="E75" s="53" t="s">
        <v>2859</v>
      </c>
      <c r="F75" s="4"/>
      <c r="G75" s="14"/>
      <c r="H75" s="9">
        <v>40.5</v>
      </c>
    </row>
    <row r="76" spans="3:8" x14ac:dyDescent="0.25">
      <c r="C76" s="8"/>
      <c r="D76" s="45"/>
      <c r="E76" s="53"/>
      <c r="F76" s="4"/>
      <c r="G76" s="14"/>
      <c r="H76" s="9"/>
    </row>
    <row r="77" spans="3:8" x14ac:dyDescent="0.25">
      <c r="C77" s="8"/>
      <c r="D77" s="45"/>
      <c r="E77" s="2"/>
      <c r="F77" s="4"/>
      <c r="G77" s="14"/>
      <c r="H77" s="9"/>
    </row>
    <row r="78" spans="3:8" x14ac:dyDescent="0.25">
      <c r="C78" s="8"/>
      <c r="D78" s="45"/>
      <c r="E78" s="2"/>
      <c r="F78" s="4"/>
      <c r="G78" s="14"/>
      <c r="H78" s="63"/>
    </row>
    <row r="79" spans="3:8" x14ac:dyDescent="0.25">
      <c r="C79" s="8"/>
      <c r="D79" s="45"/>
      <c r="E79" s="2"/>
      <c r="F79" s="4"/>
      <c r="G79" s="14"/>
      <c r="H79" s="4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45"/>
      <c r="E82" s="2" t="s">
        <v>2932</v>
      </c>
      <c r="F82" s="4">
        <v>60</v>
      </c>
      <c r="G82" s="14"/>
      <c r="H82" s="9"/>
    </row>
    <row r="83" spans="3:8" x14ac:dyDescent="0.25">
      <c r="C83" s="8"/>
      <c r="D83" s="45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19"/>
      <c r="D87" s="20"/>
      <c r="E87" s="20" t="s">
        <v>42</v>
      </c>
      <c r="F87" s="4"/>
      <c r="G87" s="14"/>
      <c r="H87" s="9"/>
    </row>
    <row r="88" spans="3:8" x14ac:dyDescent="0.25">
      <c r="C88" s="34"/>
      <c r="D88" s="42"/>
      <c r="E88" s="2" t="s">
        <v>2855</v>
      </c>
      <c r="F88" s="14">
        <v>-106</v>
      </c>
      <c r="G88" s="14"/>
      <c r="H88" s="9"/>
    </row>
    <row r="89" spans="3:8" x14ac:dyDescent="0.25">
      <c r="C89" s="34"/>
      <c r="D89" s="42"/>
      <c r="E89" s="2" t="s">
        <v>2856</v>
      </c>
      <c r="F89" s="14">
        <v>-897</v>
      </c>
      <c r="G89" s="14"/>
      <c r="H89" s="9"/>
    </row>
    <row r="90" spans="3:8" x14ac:dyDescent="0.25">
      <c r="C90" s="8"/>
      <c r="D90" s="2"/>
      <c r="E90" s="2" t="s">
        <v>2924</v>
      </c>
      <c r="F90" s="14">
        <v>-1995</v>
      </c>
      <c r="G90" s="14"/>
      <c r="H90" s="9"/>
    </row>
    <row r="91" spans="3:8" x14ac:dyDescent="0.25">
      <c r="C91" s="8"/>
      <c r="D91" s="2"/>
      <c r="E91" s="2" t="s">
        <v>2925</v>
      </c>
      <c r="F91" s="14">
        <v>-150</v>
      </c>
      <c r="G91" s="14"/>
      <c r="H91" s="9"/>
    </row>
    <row r="92" spans="3:8" x14ac:dyDescent="0.25">
      <c r="C92" s="8"/>
      <c r="D92" s="2"/>
      <c r="E92" s="2" t="s">
        <v>2928</v>
      </c>
      <c r="F92" s="14">
        <v>-55</v>
      </c>
      <c r="G92" s="14"/>
      <c r="H92" s="9"/>
    </row>
    <row r="93" spans="3:8" x14ac:dyDescent="0.25">
      <c r="C93" s="8"/>
      <c r="D93" s="2"/>
      <c r="E93" s="2" t="s">
        <v>2536</v>
      </c>
      <c r="F93" s="14">
        <v>-20</v>
      </c>
      <c r="G93" s="14"/>
      <c r="H93" s="9"/>
    </row>
    <row r="94" spans="3:8" x14ac:dyDescent="0.25">
      <c r="C94" s="8"/>
      <c r="D94" s="2"/>
      <c r="E94" s="2" t="s">
        <v>2929</v>
      </c>
      <c r="F94" s="14">
        <v>-93</v>
      </c>
      <c r="G94" s="14"/>
      <c r="H94" s="9"/>
    </row>
    <row r="95" spans="3:8" x14ac:dyDescent="0.25">
      <c r="C95" s="8"/>
      <c r="D95" s="2"/>
      <c r="E95" s="2" t="s">
        <v>2169</v>
      </c>
      <c r="F95" s="14">
        <v>-2.5</v>
      </c>
      <c r="G95" s="14"/>
      <c r="H95" s="9"/>
    </row>
    <row r="96" spans="3:8" x14ac:dyDescent="0.25">
      <c r="C96" s="8"/>
      <c r="D96" s="2"/>
      <c r="E96" s="2" t="s">
        <v>2930</v>
      </c>
      <c r="F96" s="14">
        <v>-5</v>
      </c>
      <c r="G96" s="14"/>
      <c r="H96" s="9"/>
    </row>
    <row r="97" spans="3:8" x14ac:dyDescent="0.25">
      <c r="C97" s="8"/>
      <c r="D97" s="2"/>
      <c r="E97" s="2" t="s">
        <v>2931</v>
      </c>
      <c r="F97" s="14">
        <v>-180</v>
      </c>
      <c r="G97" s="14"/>
      <c r="H97" s="9"/>
    </row>
    <row r="98" spans="3:8" x14ac:dyDescent="0.25">
      <c r="C98" s="8"/>
      <c r="D98" s="2"/>
      <c r="E98" s="2" t="s">
        <v>1478</v>
      </c>
      <c r="F98" s="14">
        <v>-5544.98</v>
      </c>
      <c r="G98" s="14"/>
      <c r="H98" s="9"/>
    </row>
    <row r="99" spans="3:8" x14ac:dyDescent="0.25">
      <c r="C99" s="8"/>
      <c r="D99" s="2"/>
      <c r="E99" s="2"/>
      <c r="F99" s="14"/>
      <c r="G99" s="14"/>
      <c r="H99" s="9"/>
    </row>
    <row r="100" spans="3:8" x14ac:dyDescent="0.25">
      <c r="C100" s="8"/>
      <c r="D100" s="2"/>
      <c r="E100" s="2"/>
      <c r="F100" s="4"/>
      <c r="G100" s="14"/>
      <c r="H100" s="9"/>
    </row>
    <row r="101" spans="3:8" ht="15.75" thickBot="1" x14ac:dyDescent="0.3">
      <c r="C101" s="10"/>
      <c r="D101" s="11"/>
      <c r="E101" s="11" t="s">
        <v>44</v>
      </c>
      <c r="F101" s="12">
        <f>SUM(F6:F100)</f>
        <v>-4670.58</v>
      </c>
      <c r="G101" s="15">
        <f>SUM(G6:G100)</f>
        <v>4324</v>
      </c>
      <c r="H101" s="13">
        <f>SUM(H6:H100)</f>
        <v>9945.74</v>
      </c>
    </row>
    <row r="104" spans="3:8" s="3" customFormat="1" ht="18.75" x14ac:dyDescent="0.3">
      <c r="C104" s="1"/>
      <c r="D104" s="1"/>
      <c r="E104" s="38" t="s">
        <v>49</v>
      </c>
      <c r="F104" s="39">
        <f>+H4+F101</f>
        <v>7581.91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51E0-F1E9-439E-9EE6-EF17BC983EAA}">
  <sheetPr codeName="Hoja31"/>
  <dimension ref="C2:H106"/>
  <sheetViews>
    <sheetView topLeftCell="A67" workbookViewId="0">
      <selection activeCell="D67" sqref="D67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2933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7581.91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2941</v>
      </c>
      <c r="E6" s="2" t="s">
        <v>1390</v>
      </c>
      <c r="F6" s="4"/>
      <c r="G6" s="14"/>
      <c r="H6" s="9">
        <v>825</v>
      </c>
    </row>
    <row r="7" spans="3:8" x14ac:dyDescent="0.25">
      <c r="C7" s="8"/>
      <c r="D7" s="2" t="s">
        <v>2942</v>
      </c>
      <c r="E7" s="2" t="s">
        <v>440</v>
      </c>
      <c r="F7" s="4">
        <v>107</v>
      </c>
      <c r="G7" s="14"/>
      <c r="H7" s="9"/>
    </row>
    <row r="8" spans="3:8" x14ac:dyDescent="0.25">
      <c r="C8" s="8"/>
      <c r="D8" s="2" t="s">
        <v>2943</v>
      </c>
      <c r="E8" s="2" t="s">
        <v>2881</v>
      </c>
      <c r="F8" s="4"/>
      <c r="G8" s="14"/>
      <c r="H8" s="9">
        <v>260</v>
      </c>
    </row>
    <row r="9" spans="3:8" x14ac:dyDescent="0.25">
      <c r="C9" s="8"/>
      <c r="D9" s="2" t="s">
        <v>2944</v>
      </c>
      <c r="E9" s="2" t="s">
        <v>2881</v>
      </c>
      <c r="F9" s="4">
        <v>280</v>
      </c>
      <c r="G9" s="14"/>
      <c r="H9" s="9"/>
    </row>
    <row r="10" spans="3:8" x14ac:dyDescent="0.25">
      <c r="C10" s="8"/>
      <c r="D10" s="2" t="s">
        <v>2945</v>
      </c>
      <c r="E10" s="2" t="s">
        <v>440</v>
      </c>
      <c r="F10" s="4">
        <v>30</v>
      </c>
      <c r="G10" s="14"/>
      <c r="H10" s="9"/>
    </row>
    <row r="11" spans="3:8" x14ac:dyDescent="0.25">
      <c r="C11" s="8"/>
      <c r="D11" s="2" t="s">
        <v>2946</v>
      </c>
      <c r="E11" s="2" t="s">
        <v>2973</v>
      </c>
      <c r="F11" s="4">
        <v>98.5</v>
      </c>
      <c r="G11" s="14"/>
      <c r="H11" s="9"/>
    </row>
    <row r="12" spans="3:8" x14ac:dyDescent="0.25">
      <c r="C12" s="8"/>
      <c r="D12" s="2" t="s">
        <v>2947</v>
      </c>
      <c r="E12" s="2" t="s">
        <v>440</v>
      </c>
      <c r="F12" s="4"/>
      <c r="G12" s="14"/>
      <c r="H12" s="9">
        <v>10</v>
      </c>
    </row>
    <row r="13" spans="3:8" x14ac:dyDescent="0.25">
      <c r="C13" s="8"/>
      <c r="D13" s="2" t="s">
        <v>2948</v>
      </c>
      <c r="E13" s="2" t="s">
        <v>440</v>
      </c>
      <c r="F13" s="4"/>
      <c r="G13" s="14"/>
      <c r="H13" s="9">
        <v>24</v>
      </c>
    </row>
    <row r="14" spans="3:8" x14ac:dyDescent="0.25">
      <c r="C14" s="8"/>
      <c r="D14" s="2" t="s">
        <v>2949</v>
      </c>
      <c r="E14" s="2" t="s">
        <v>440</v>
      </c>
      <c r="F14" s="4"/>
      <c r="G14" s="14"/>
      <c r="H14" s="9">
        <v>65</v>
      </c>
    </row>
    <row r="15" spans="3:8" x14ac:dyDescent="0.25">
      <c r="C15" s="8"/>
      <c r="D15" s="2" t="s">
        <v>2950</v>
      </c>
      <c r="E15" s="2" t="s">
        <v>440</v>
      </c>
      <c r="F15" s="4">
        <v>24</v>
      </c>
      <c r="G15" s="14"/>
      <c r="H15" s="9"/>
    </row>
    <row r="16" spans="3:8" x14ac:dyDescent="0.25">
      <c r="C16" s="8"/>
      <c r="D16" s="2" t="s">
        <v>2951</v>
      </c>
      <c r="E16" s="2" t="s">
        <v>723</v>
      </c>
      <c r="F16" s="4"/>
      <c r="G16" s="14"/>
      <c r="H16" s="9">
        <v>54</v>
      </c>
    </row>
    <row r="17" spans="3:8" x14ac:dyDescent="0.25">
      <c r="C17" s="8"/>
      <c r="D17" s="2" t="s">
        <v>2952</v>
      </c>
      <c r="E17" s="2" t="s">
        <v>2972</v>
      </c>
      <c r="F17" s="4"/>
      <c r="G17" s="14"/>
      <c r="H17" s="9">
        <v>8341.4</v>
      </c>
    </row>
    <row r="18" spans="3:8" x14ac:dyDescent="0.25">
      <c r="C18" s="8"/>
      <c r="D18" s="2" t="s">
        <v>2953</v>
      </c>
      <c r="E18" s="2" t="s">
        <v>440</v>
      </c>
      <c r="F18" s="4">
        <v>25</v>
      </c>
      <c r="G18" s="14"/>
      <c r="H18" s="9"/>
    </row>
    <row r="19" spans="3:8" x14ac:dyDescent="0.25">
      <c r="C19" s="8"/>
      <c r="D19" s="2" t="s">
        <v>2954</v>
      </c>
      <c r="E19" s="2" t="s">
        <v>440</v>
      </c>
      <c r="F19" s="4">
        <v>4</v>
      </c>
      <c r="G19" s="14"/>
      <c r="H19" s="9"/>
    </row>
    <row r="20" spans="3:8" x14ac:dyDescent="0.25">
      <c r="C20" s="8"/>
      <c r="D20" s="2" t="s">
        <v>2955</v>
      </c>
      <c r="E20" s="2" t="s">
        <v>440</v>
      </c>
      <c r="F20" s="4"/>
      <c r="G20" s="14"/>
      <c r="H20" s="9">
        <v>5</v>
      </c>
    </row>
    <row r="21" spans="3:8" x14ac:dyDescent="0.25">
      <c r="C21" s="8"/>
      <c r="D21" s="2" t="s">
        <v>2956</v>
      </c>
      <c r="E21" s="2" t="s">
        <v>440</v>
      </c>
      <c r="F21" s="4"/>
      <c r="G21" s="14"/>
      <c r="H21" s="9">
        <v>2</v>
      </c>
    </row>
    <row r="22" spans="3:8" x14ac:dyDescent="0.25">
      <c r="C22" s="8"/>
      <c r="D22" s="2" t="s">
        <v>2957</v>
      </c>
      <c r="E22" s="2" t="s">
        <v>440</v>
      </c>
      <c r="F22" s="4"/>
      <c r="G22" s="14"/>
      <c r="H22" s="9">
        <v>37.5</v>
      </c>
    </row>
    <row r="23" spans="3:8" x14ac:dyDescent="0.25">
      <c r="C23" s="8"/>
      <c r="D23" s="2" t="s">
        <v>2958</v>
      </c>
      <c r="E23" s="2" t="s">
        <v>1477</v>
      </c>
      <c r="F23" s="4"/>
      <c r="G23" s="14">
        <v>40.5</v>
      </c>
      <c r="H23" s="9"/>
    </row>
    <row r="24" spans="3:8" x14ac:dyDescent="0.25">
      <c r="C24" s="8"/>
      <c r="D24" s="2" t="s">
        <v>2959</v>
      </c>
      <c r="E24" s="2" t="s">
        <v>1748</v>
      </c>
      <c r="F24" s="4"/>
      <c r="G24" s="14">
        <v>80</v>
      </c>
      <c r="H24" s="9"/>
    </row>
    <row r="25" spans="3:8" x14ac:dyDescent="0.25">
      <c r="C25" s="8"/>
      <c r="D25" s="2" t="s">
        <v>2960</v>
      </c>
      <c r="E25" s="2" t="s">
        <v>440</v>
      </c>
      <c r="F25" s="4">
        <v>1.5</v>
      </c>
      <c r="G25" s="14"/>
      <c r="H25" s="9"/>
    </row>
    <row r="26" spans="3:8" x14ac:dyDescent="0.25">
      <c r="C26" s="8"/>
      <c r="D26" s="2" t="s">
        <v>2965</v>
      </c>
      <c r="E26" s="2" t="s">
        <v>440</v>
      </c>
      <c r="F26" s="4"/>
      <c r="G26" s="14"/>
      <c r="H26" s="9">
        <v>9.5</v>
      </c>
    </row>
    <row r="27" spans="3:8" x14ac:dyDescent="0.25">
      <c r="C27" s="8"/>
      <c r="D27" s="2" t="s">
        <v>2966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2967</v>
      </c>
      <c r="E28" s="2" t="s">
        <v>440</v>
      </c>
      <c r="F28" s="4">
        <v>1.5</v>
      </c>
      <c r="G28" s="14"/>
      <c r="H28" s="9"/>
    </row>
    <row r="29" spans="3:8" x14ac:dyDescent="0.25">
      <c r="C29" s="8"/>
      <c r="D29" s="2" t="s">
        <v>2968</v>
      </c>
      <c r="E29" s="2" t="s">
        <v>440</v>
      </c>
      <c r="F29" s="4">
        <v>16</v>
      </c>
      <c r="G29" s="14"/>
      <c r="H29" s="9"/>
    </row>
    <row r="30" spans="3:8" x14ac:dyDescent="0.25">
      <c r="C30" s="8"/>
      <c r="D30" s="2" t="s">
        <v>2969</v>
      </c>
      <c r="E30" s="2" t="s">
        <v>440</v>
      </c>
      <c r="F30" s="4"/>
      <c r="G30" s="14"/>
      <c r="H30" s="9">
        <v>4.5</v>
      </c>
    </row>
    <row r="31" spans="3:8" x14ac:dyDescent="0.25">
      <c r="C31" s="8"/>
      <c r="D31" s="2" t="s">
        <v>2970</v>
      </c>
      <c r="E31" s="2" t="s">
        <v>2971</v>
      </c>
      <c r="F31" s="4">
        <v>62</v>
      </c>
      <c r="G31" s="14"/>
      <c r="H31" s="9"/>
    </row>
    <row r="32" spans="3:8" x14ac:dyDescent="0.25">
      <c r="C32" s="8"/>
      <c r="D32" s="2" t="s">
        <v>2997</v>
      </c>
      <c r="E32" s="2" t="s">
        <v>2999</v>
      </c>
      <c r="F32" s="4">
        <v>500</v>
      </c>
      <c r="G32" s="14"/>
      <c r="H32" s="9"/>
    </row>
    <row r="33" spans="3:8" x14ac:dyDescent="0.25">
      <c r="C33" s="8"/>
      <c r="D33" s="2" t="s">
        <v>2998</v>
      </c>
      <c r="E33" s="2" t="s">
        <v>2149</v>
      </c>
      <c r="F33" s="4"/>
      <c r="G33" s="14"/>
      <c r="H33" s="9">
        <v>75</v>
      </c>
    </row>
    <row r="34" spans="3:8" x14ac:dyDescent="0.25">
      <c r="C34" s="8"/>
      <c r="D34" s="2" t="s">
        <v>3003</v>
      </c>
      <c r="E34" s="2" t="s">
        <v>2971</v>
      </c>
      <c r="F34" s="4">
        <v>10</v>
      </c>
      <c r="G34" s="14"/>
      <c r="H34" s="9"/>
    </row>
    <row r="35" spans="3:8" x14ac:dyDescent="0.25">
      <c r="C35" s="8"/>
      <c r="D35" s="2" t="s">
        <v>3004</v>
      </c>
      <c r="E35" s="2" t="s">
        <v>440</v>
      </c>
      <c r="F35" s="4">
        <v>5</v>
      </c>
      <c r="G35" s="14"/>
      <c r="H35" s="9"/>
    </row>
    <row r="36" spans="3:8" x14ac:dyDescent="0.25">
      <c r="C36" s="8"/>
      <c r="D36" s="2" t="s">
        <v>3005</v>
      </c>
      <c r="E36" s="2" t="s">
        <v>440</v>
      </c>
      <c r="F36" s="4">
        <v>10</v>
      </c>
      <c r="G36" s="14"/>
      <c r="H36" s="9"/>
    </row>
    <row r="37" spans="3:8" x14ac:dyDescent="0.25">
      <c r="C37" s="8"/>
      <c r="D37" s="2" t="s">
        <v>3006</v>
      </c>
      <c r="E37" s="2" t="s">
        <v>723</v>
      </c>
      <c r="F37" s="4"/>
      <c r="G37" s="14"/>
      <c r="H37" s="9">
        <v>27</v>
      </c>
    </row>
    <row r="38" spans="3:8" x14ac:dyDescent="0.25">
      <c r="C38" s="8"/>
      <c r="D38" s="2" t="s">
        <v>3007</v>
      </c>
      <c r="E38" s="2" t="s">
        <v>1477</v>
      </c>
      <c r="F38" s="4"/>
      <c r="G38" s="14">
        <v>85</v>
      </c>
      <c r="H38" s="9"/>
    </row>
    <row r="39" spans="3:8" x14ac:dyDescent="0.25">
      <c r="C39" s="8"/>
      <c r="D39" s="2" t="s">
        <v>3008</v>
      </c>
      <c r="E39" s="2" t="s">
        <v>723</v>
      </c>
      <c r="F39" s="4">
        <v>576</v>
      </c>
      <c r="G39" s="14"/>
      <c r="H39" s="9"/>
    </row>
    <row r="40" spans="3:8" x14ac:dyDescent="0.25">
      <c r="C40" s="8"/>
      <c r="D40" s="2" t="s">
        <v>3009</v>
      </c>
      <c r="E40" s="2" t="s">
        <v>1477</v>
      </c>
      <c r="F40" s="4"/>
      <c r="G40" s="14">
        <v>65</v>
      </c>
      <c r="H40" s="9"/>
    </row>
    <row r="41" spans="3:8" x14ac:dyDescent="0.25">
      <c r="C41" s="8"/>
      <c r="D41" s="2" t="s">
        <v>3010</v>
      </c>
      <c r="E41" s="2" t="s">
        <v>3020</v>
      </c>
      <c r="F41" s="4">
        <v>150</v>
      </c>
      <c r="G41" s="14"/>
      <c r="H41" s="9"/>
    </row>
    <row r="42" spans="3:8" x14ac:dyDescent="0.25">
      <c r="C42" s="8"/>
      <c r="D42" s="2" t="s">
        <v>3011</v>
      </c>
      <c r="E42" s="2" t="s">
        <v>1477</v>
      </c>
      <c r="F42" s="4"/>
      <c r="G42" s="14">
        <v>2730</v>
      </c>
      <c r="H42" s="9"/>
    </row>
    <row r="43" spans="3:8" x14ac:dyDescent="0.25">
      <c r="C43" s="8"/>
      <c r="D43" s="2" t="s">
        <v>3012</v>
      </c>
      <c r="E43" s="2" t="s">
        <v>440</v>
      </c>
      <c r="F43" s="4"/>
      <c r="G43" s="14"/>
      <c r="H43" s="9">
        <v>4</v>
      </c>
    </row>
    <row r="44" spans="3:8" x14ac:dyDescent="0.25">
      <c r="C44" s="8"/>
      <c r="D44" s="2" t="s">
        <v>3021</v>
      </c>
      <c r="E44" s="2" t="s">
        <v>440</v>
      </c>
      <c r="F44" s="4">
        <v>5</v>
      </c>
      <c r="G44" s="14"/>
      <c r="H44" s="9"/>
    </row>
    <row r="45" spans="3:8" x14ac:dyDescent="0.25">
      <c r="C45" s="8"/>
      <c r="D45" s="2" t="s">
        <v>3024</v>
      </c>
      <c r="E45" s="2" t="s">
        <v>2149</v>
      </c>
      <c r="F45" s="4"/>
      <c r="G45" s="14"/>
      <c r="H45" s="9">
        <v>7</v>
      </c>
    </row>
    <row r="46" spans="3:8" x14ac:dyDescent="0.25">
      <c r="C46" s="8"/>
      <c r="D46" s="2" t="s">
        <v>3036</v>
      </c>
      <c r="E46" s="2"/>
      <c r="F46" s="4"/>
      <c r="G46" s="14"/>
      <c r="H46" s="9"/>
    </row>
    <row r="47" spans="3:8" x14ac:dyDescent="0.25">
      <c r="C47" s="8"/>
      <c r="D47" s="2" t="s">
        <v>2917</v>
      </c>
      <c r="E47" s="2" t="s">
        <v>164</v>
      </c>
      <c r="F47" s="4">
        <v>3461.5</v>
      </c>
      <c r="G47" s="14"/>
      <c r="H47" s="9"/>
    </row>
    <row r="48" spans="3:8" x14ac:dyDescent="0.25">
      <c r="C48" s="8"/>
      <c r="D48" s="2" t="s">
        <v>2918</v>
      </c>
      <c r="E48" s="2" t="s">
        <v>692</v>
      </c>
      <c r="F48" s="4">
        <v>45</v>
      </c>
      <c r="G48" s="14"/>
      <c r="H48" s="9"/>
    </row>
    <row r="49" spans="3:8" x14ac:dyDescent="0.25">
      <c r="C49" s="8"/>
      <c r="D49" s="2" t="s">
        <v>2984</v>
      </c>
      <c r="E49" s="2" t="s">
        <v>1631</v>
      </c>
      <c r="F49" s="4">
        <v>91</v>
      </c>
      <c r="G49" s="14"/>
      <c r="H49" s="9"/>
    </row>
    <row r="50" spans="3:8" x14ac:dyDescent="0.25">
      <c r="C50" s="8"/>
      <c r="D50" s="2" t="s">
        <v>2985</v>
      </c>
      <c r="E50" s="2" t="s">
        <v>1631</v>
      </c>
      <c r="F50" s="4">
        <v>6</v>
      </c>
      <c r="G50" s="14"/>
      <c r="H50" s="9"/>
    </row>
    <row r="51" spans="3:8" x14ac:dyDescent="0.25">
      <c r="C51" s="8"/>
      <c r="D51" s="2" t="s">
        <v>2986</v>
      </c>
      <c r="E51" s="2" t="s">
        <v>2615</v>
      </c>
      <c r="F51" s="4"/>
      <c r="G51" s="14">
        <v>135</v>
      </c>
      <c r="H51" s="9"/>
    </row>
    <row r="52" spans="3:8" x14ac:dyDescent="0.25">
      <c r="C52" s="8"/>
      <c r="D52" s="2" t="s">
        <v>2987</v>
      </c>
      <c r="E52" s="2" t="s">
        <v>1631</v>
      </c>
      <c r="F52" s="4">
        <v>7</v>
      </c>
      <c r="G52" s="14"/>
      <c r="H52" s="9"/>
    </row>
    <row r="53" spans="3:8" x14ac:dyDescent="0.25">
      <c r="C53" s="8"/>
      <c r="D53" s="2" t="s">
        <v>2988</v>
      </c>
      <c r="E53" s="2" t="s">
        <v>1631</v>
      </c>
      <c r="F53" s="4">
        <v>18</v>
      </c>
      <c r="G53" s="14"/>
      <c r="H53" s="9"/>
    </row>
    <row r="54" spans="3:8" x14ac:dyDescent="0.25">
      <c r="C54" s="8"/>
      <c r="D54" s="2" t="s">
        <v>2989</v>
      </c>
      <c r="E54" s="2" t="s">
        <v>2977</v>
      </c>
      <c r="F54" s="4"/>
      <c r="G54" s="14"/>
      <c r="H54" s="9">
        <v>760</v>
      </c>
    </row>
    <row r="55" spans="3:8" x14ac:dyDescent="0.25">
      <c r="C55" s="8"/>
      <c r="D55" s="2" t="s">
        <v>2990</v>
      </c>
      <c r="E55" s="2" t="s">
        <v>2976</v>
      </c>
      <c r="F55" s="4"/>
      <c r="G55" s="14"/>
      <c r="H55" s="9">
        <v>1180</v>
      </c>
    </row>
    <row r="56" spans="3:8" x14ac:dyDescent="0.25">
      <c r="C56" s="8"/>
      <c r="D56" s="2" t="s">
        <v>2991</v>
      </c>
      <c r="E56" s="2" t="s">
        <v>1631</v>
      </c>
      <c r="F56" s="4">
        <v>11</v>
      </c>
      <c r="G56" s="14"/>
      <c r="H56" s="9"/>
    </row>
    <row r="57" spans="3:8" x14ac:dyDescent="0.25">
      <c r="C57" s="8"/>
      <c r="D57" s="2" t="s">
        <v>2992</v>
      </c>
      <c r="E57" s="2" t="s">
        <v>1631</v>
      </c>
      <c r="F57" s="4">
        <v>11</v>
      </c>
      <c r="G57" s="14"/>
      <c r="H57" s="9"/>
    </row>
    <row r="58" spans="3:8" x14ac:dyDescent="0.25">
      <c r="C58" s="8"/>
      <c r="D58" s="2" t="s">
        <v>2993</v>
      </c>
      <c r="E58" s="2" t="s">
        <v>2975</v>
      </c>
      <c r="F58" s="4"/>
      <c r="G58" s="14"/>
      <c r="H58" s="9">
        <v>335</v>
      </c>
    </row>
    <row r="59" spans="3:8" x14ac:dyDescent="0.25">
      <c r="C59" s="8"/>
      <c r="D59" s="2" t="s">
        <v>2994</v>
      </c>
      <c r="E59" s="2" t="s">
        <v>1631</v>
      </c>
      <c r="F59" s="4">
        <v>20.5</v>
      </c>
      <c r="G59" s="14"/>
      <c r="H59" s="9"/>
    </row>
    <row r="60" spans="3:8" x14ac:dyDescent="0.25">
      <c r="C60" s="8"/>
      <c r="D60" s="2" t="s">
        <v>2995</v>
      </c>
      <c r="E60" s="2" t="s">
        <v>1631</v>
      </c>
      <c r="F60" s="4"/>
      <c r="G60" s="14"/>
      <c r="H60" s="9">
        <v>5.5</v>
      </c>
    </row>
    <row r="61" spans="3:8" x14ac:dyDescent="0.25">
      <c r="C61" s="8"/>
      <c r="D61" s="2" t="s">
        <v>2996</v>
      </c>
      <c r="E61" s="2" t="s">
        <v>2974</v>
      </c>
      <c r="F61" s="4"/>
      <c r="G61" s="14"/>
      <c r="H61" s="9">
        <v>175</v>
      </c>
    </row>
    <row r="62" spans="3:8" x14ac:dyDescent="0.25">
      <c r="C62" s="8"/>
      <c r="D62" s="2" t="s">
        <v>3013</v>
      </c>
      <c r="E62" s="2" t="s">
        <v>1631</v>
      </c>
      <c r="F62" s="4">
        <v>43.5</v>
      </c>
      <c r="G62" s="14"/>
      <c r="H62" s="9"/>
    </row>
    <row r="63" spans="3:8" x14ac:dyDescent="0.25">
      <c r="C63" s="8"/>
      <c r="D63" s="2" t="s">
        <v>3014</v>
      </c>
      <c r="E63" s="2" t="s">
        <v>1631</v>
      </c>
      <c r="F63" s="4">
        <v>10</v>
      </c>
      <c r="G63" s="14"/>
      <c r="H63" s="9"/>
    </row>
    <row r="64" spans="3:8" x14ac:dyDescent="0.25">
      <c r="C64" s="8"/>
      <c r="D64" s="2" t="s">
        <v>3015</v>
      </c>
      <c r="E64" s="2" t="s">
        <v>1631</v>
      </c>
      <c r="F64" s="4">
        <v>10</v>
      </c>
      <c r="G64" s="14"/>
      <c r="H64" s="9"/>
    </row>
    <row r="65" spans="3:8" x14ac:dyDescent="0.25">
      <c r="C65" s="8"/>
      <c r="D65" s="2" t="s">
        <v>3016</v>
      </c>
      <c r="E65" s="2" t="s">
        <v>692</v>
      </c>
      <c r="F65" s="4">
        <v>50</v>
      </c>
      <c r="G65" s="14"/>
      <c r="H65" s="9"/>
    </row>
    <row r="66" spans="3:8" x14ac:dyDescent="0.25">
      <c r="C66" s="8"/>
      <c r="D66" s="2" t="s">
        <v>3017</v>
      </c>
      <c r="E66" s="2" t="s">
        <v>1631</v>
      </c>
      <c r="F66" s="4"/>
      <c r="G66" s="14"/>
      <c r="H66" s="9">
        <v>4</v>
      </c>
    </row>
    <row r="67" spans="3:8" x14ac:dyDescent="0.25">
      <c r="C67" s="8"/>
      <c r="D67" s="2" t="s">
        <v>3018</v>
      </c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29"/>
      <c r="D71" s="30"/>
      <c r="E71" s="30" t="s">
        <v>60</v>
      </c>
      <c r="F71" s="4"/>
      <c r="G71" s="14"/>
      <c r="H71" s="9"/>
    </row>
    <row r="72" spans="3:8" x14ac:dyDescent="0.25">
      <c r="C72" s="8"/>
      <c r="D72" s="45" t="s">
        <v>2935</v>
      </c>
      <c r="E72" s="2" t="s">
        <v>2936</v>
      </c>
      <c r="F72" s="4">
        <v>40</v>
      </c>
      <c r="G72" s="14"/>
      <c r="H72" s="9"/>
    </row>
    <row r="73" spans="3:8" x14ac:dyDescent="0.25">
      <c r="C73" s="8"/>
      <c r="D73" s="45" t="s">
        <v>2937</v>
      </c>
      <c r="E73" s="53" t="s">
        <v>1737</v>
      </c>
      <c r="F73" s="4"/>
      <c r="G73" s="14">
        <v>1530.5</v>
      </c>
      <c r="H73" s="9"/>
    </row>
    <row r="74" spans="3:8" x14ac:dyDescent="0.25">
      <c r="C74" s="8"/>
      <c r="D74" s="45" t="s">
        <v>2938</v>
      </c>
      <c r="E74" s="53" t="s">
        <v>2940</v>
      </c>
      <c r="F74" s="4"/>
      <c r="G74" s="14"/>
      <c r="H74" s="9">
        <v>135</v>
      </c>
    </row>
    <row r="75" spans="3:8" x14ac:dyDescent="0.25">
      <c r="C75" s="8"/>
      <c r="D75" s="45" t="s">
        <v>2939</v>
      </c>
      <c r="E75" s="2" t="s">
        <v>1767</v>
      </c>
      <c r="F75" s="4">
        <v>7.5</v>
      </c>
      <c r="G75" s="14"/>
      <c r="H75" s="9"/>
    </row>
    <row r="76" spans="3:8" x14ac:dyDescent="0.25">
      <c r="C76" s="8"/>
      <c r="D76" s="45" t="s">
        <v>2961</v>
      </c>
      <c r="E76" s="2" t="s">
        <v>955</v>
      </c>
      <c r="F76" s="4"/>
      <c r="G76" s="14"/>
      <c r="H76" s="63">
        <v>390</v>
      </c>
    </row>
    <row r="77" spans="3:8" x14ac:dyDescent="0.25">
      <c r="C77" s="8"/>
      <c r="D77" s="45" t="s">
        <v>2962</v>
      </c>
      <c r="E77" s="2" t="s">
        <v>141</v>
      </c>
      <c r="F77" s="4">
        <v>750</v>
      </c>
      <c r="G77" s="14"/>
      <c r="H77" s="63">
        <v>475</v>
      </c>
    </row>
    <row r="78" spans="3:8" x14ac:dyDescent="0.25">
      <c r="C78" s="8"/>
      <c r="D78" s="45" t="s">
        <v>2963</v>
      </c>
      <c r="E78" s="2" t="s">
        <v>3000</v>
      </c>
      <c r="F78" s="4">
        <v>538</v>
      </c>
      <c r="G78" s="14"/>
      <c r="H78" s="63"/>
    </row>
    <row r="79" spans="3:8" x14ac:dyDescent="0.25">
      <c r="C79" s="8"/>
      <c r="D79" s="45" t="s">
        <v>2964</v>
      </c>
      <c r="E79" s="2"/>
      <c r="F79" s="4"/>
      <c r="G79" s="14"/>
      <c r="H79" s="63"/>
    </row>
    <row r="80" spans="3:8" x14ac:dyDescent="0.25">
      <c r="C80" s="8"/>
      <c r="D80" s="45"/>
      <c r="E80" s="2"/>
      <c r="F80" s="4"/>
      <c r="G80" s="14"/>
      <c r="H80" s="4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6"/>
      <c r="D82" s="17"/>
      <c r="E82" s="17" t="s">
        <v>39</v>
      </c>
      <c r="F82" s="4"/>
      <c r="G82" s="14"/>
      <c r="H82" s="9"/>
    </row>
    <row r="83" spans="3:8" x14ac:dyDescent="0.25">
      <c r="C83" s="8"/>
      <c r="D83" s="45" t="s">
        <v>2979</v>
      </c>
      <c r="E83" s="2" t="s">
        <v>2980</v>
      </c>
      <c r="F83" s="4">
        <v>125</v>
      </c>
      <c r="G83" s="14"/>
      <c r="H83" s="9"/>
    </row>
    <row r="84" spans="3:8" x14ac:dyDescent="0.25">
      <c r="C84" s="8"/>
      <c r="D84" s="45" t="s">
        <v>2978</v>
      </c>
      <c r="E84" s="2" t="s">
        <v>676</v>
      </c>
      <c r="F84" s="4">
        <v>2280</v>
      </c>
      <c r="G84" s="14"/>
      <c r="H84" s="9"/>
    </row>
    <row r="85" spans="3:8" x14ac:dyDescent="0.25">
      <c r="C85" s="8"/>
      <c r="D85" s="2"/>
      <c r="E85" s="2" t="s">
        <v>3019</v>
      </c>
      <c r="F85" s="4">
        <v>41</v>
      </c>
      <c r="G85" s="14"/>
      <c r="H85" s="9"/>
    </row>
    <row r="86" spans="3:8" x14ac:dyDescent="0.25">
      <c r="C86" s="8"/>
      <c r="D86" s="2"/>
      <c r="E86" s="2" t="s">
        <v>3022</v>
      </c>
      <c r="F86" s="4">
        <v>480</v>
      </c>
      <c r="G86" s="14"/>
      <c r="H86" s="9"/>
    </row>
    <row r="87" spans="3:8" x14ac:dyDescent="0.25">
      <c r="C87" s="8"/>
      <c r="D87" s="2"/>
      <c r="E87" s="2" t="s">
        <v>3025</v>
      </c>
      <c r="F87" s="4">
        <v>2</v>
      </c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19"/>
      <c r="D89" s="20"/>
      <c r="E89" s="20" t="s">
        <v>42</v>
      </c>
      <c r="F89" s="4"/>
      <c r="G89" s="14"/>
      <c r="H89" s="9"/>
    </row>
    <row r="90" spans="3:8" x14ac:dyDescent="0.25">
      <c r="C90" s="34"/>
      <c r="D90" s="42" t="s">
        <v>2358</v>
      </c>
      <c r="E90" s="2" t="s">
        <v>2934</v>
      </c>
      <c r="F90" s="14">
        <v>-350</v>
      </c>
      <c r="G90" s="14"/>
      <c r="H90" s="9"/>
    </row>
    <row r="91" spans="3:8" x14ac:dyDescent="0.25">
      <c r="C91" s="34"/>
      <c r="D91" s="42"/>
      <c r="E91" s="2" t="s">
        <v>2354</v>
      </c>
      <c r="F91" s="14">
        <v>-30</v>
      </c>
      <c r="G91" s="14"/>
      <c r="H91" s="9"/>
    </row>
    <row r="92" spans="3:8" x14ac:dyDescent="0.25">
      <c r="C92" s="8"/>
      <c r="D92" s="2"/>
      <c r="E92" s="2" t="s">
        <v>2981</v>
      </c>
      <c r="F92" s="14">
        <v>-50</v>
      </c>
      <c r="G92" s="14"/>
      <c r="H92" s="9"/>
    </row>
    <row r="93" spans="3:8" x14ac:dyDescent="0.25">
      <c r="C93" s="8"/>
      <c r="D93" s="2"/>
      <c r="E93" s="2" t="s">
        <v>2982</v>
      </c>
      <c r="F93" s="14">
        <v>-80</v>
      </c>
      <c r="G93" s="14"/>
      <c r="H93" s="9"/>
    </row>
    <row r="94" spans="3:8" x14ac:dyDescent="0.25">
      <c r="C94" s="8"/>
      <c r="D94" s="2"/>
      <c r="E94" s="2" t="s">
        <v>1363</v>
      </c>
      <c r="F94" s="14">
        <v>-50</v>
      </c>
      <c r="G94" s="14"/>
      <c r="H94" s="9"/>
    </row>
    <row r="95" spans="3:8" x14ac:dyDescent="0.25">
      <c r="C95" s="8"/>
      <c r="D95" s="2"/>
      <c r="E95" s="2" t="s">
        <v>2983</v>
      </c>
      <c r="F95" s="14">
        <v>-10000</v>
      </c>
      <c r="G95" s="14"/>
      <c r="H95" s="9"/>
    </row>
    <row r="96" spans="3:8" x14ac:dyDescent="0.25">
      <c r="C96" s="8"/>
      <c r="D96" s="2" t="s">
        <v>139</v>
      </c>
      <c r="E96" s="2" t="s">
        <v>3001</v>
      </c>
      <c r="F96" s="14">
        <v>-375</v>
      </c>
      <c r="G96" s="14"/>
      <c r="H96" s="9"/>
    </row>
    <row r="97" spans="3:8" x14ac:dyDescent="0.25">
      <c r="C97" s="8"/>
      <c r="D97" s="2" t="s">
        <v>178</v>
      </c>
      <c r="E97" s="2" t="s">
        <v>3002</v>
      </c>
      <c r="F97" s="14">
        <v>-120</v>
      </c>
      <c r="G97" s="14"/>
      <c r="H97" s="9"/>
    </row>
    <row r="98" spans="3:8" x14ac:dyDescent="0.25">
      <c r="C98" s="8"/>
      <c r="D98" s="2"/>
      <c r="E98" s="2" t="s">
        <v>3023</v>
      </c>
      <c r="F98" s="14">
        <v>-50</v>
      </c>
      <c r="G98" s="14"/>
      <c r="H98" s="9"/>
    </row>
    <row r="99" spans="3:8" x14ac:dyDescent="0.25">
      <c r="C99" s="8"/>
      <c r="D99" s="2"/>
      <c r="E99" s="2" t="s">
        <v>1478</v>
      </c>
      <c r="F99" s="14">
        <v>-2483.7199999999998</v>
      </c>
      <c r="G99" s="14"/>
      <c r="H99" s="9"/>
    </row>
    <row r="100" spans="3:8" x14ac:dyDescent="0.25">
      <c r="C100" s="8"/>
      <c r="D100" s="2"/>
      <c r="E100" s="2"/>
      <c r="F100" s="14"/>
      <c r="G100" s="14"/>
      <c r="H100" s="9"/>
    </row>
    <row r="101" spans="3:8" x14ac:dyDescent="0.25">
      <c r="C101" s="8"/>
      <c r="D101" s="2"/>
      <c r="E101" s="2"/>
      <c r="F101" s="14"/>
      <c r="G101" s="14"/>
      <c r="H101" s="9"/>
    </row>
    <row r="102" spans="3:8" x14ac:dyDescent="0.25">
      <c r="C102" s="8"/>
      <c r="D102" s="2"/>
      <c r="E102" s="2"/>
      <c r="F102" s="4"/>
      <c r="G102" s="14"/>
      <c r="H102" s="9"/>
    </row>
    <row r="103" spans="3:8" ht="15.75" thickBot="1" x14ac:dyDescent="0.3">
      <c r="C103" s="10"/>
      <c r="D103" s="11"/>
      <c r="E103" s="11" t="s">
        <v>44</v>
      </c>
      <c r="F103" s="12">
        <f>SUM(F6:F102)</f>
        <v>-3630.22</v>
      </c>
      <c r="G103" s="15">
        <f>SUM(G6:G102)</f>
        <v>4666</v>
      </c>
      <c r="H103" s="13">
        <f>SUM(H6:H102)</f>
        <v>13210.4</v>
      </c>
    </row>
    <row r="106" spans="3:8" s="3" customFormat="1" ht="18.75" x14ac:dyDescent="0.3">
      <c r="C106" s="1"/>
      <c r="D106" s="1"/>
      <c r="E106" s="38" t="s">
        <v>49</v>
      </c>
      <c r="F106" s="39">
        <f>+H4+F103</f>
        <v>3951.69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E658-CD42-4089-A488-15E42A3A1357}">
  <sheetPr codeName="Hoja32"/>
  <dimension ref="C2:H98"/>
  <sheetViews>
    <sheetView topLeftCell="A49" workbookViewId="0">
      <selection activeCell="D37" sqref="D37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3026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3951.69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3036</v>
      </c>
      <c r="E6" s="2" t="s">
        <v>440</v>
      </c>
      <c r="F6" s="4">
        <v>20</v>
      </c>
      <c r="G6" s="14"/>
      <c r="H6" s="9"/>
    </row>
    <row r="7" spans="3:8" x14ac:dyDescent="0.25">
      <c r="C7" s="8"/>
      <c r="D7" s="2" t="s">
        <v>3037</v>
      </c>
      <c r="E7" s="2" t="s">
        <v>440</v>
      </c>
      <c r="F7" s="4">
        <v>5.5</v>
      </c>
      <c r="G7" s="14"/>
      <c r="H7" s="9"/>
    </row>
    <row r="8" spans="3:8" x14ac:dyDescent="0.25">
      <c r="C8" s="8"/>
      <c r="D8" s="2" t="s">
        <v>3038</v>
      </c>
      <c r="E8" s="2" t="s">
        <v>158</v>
      </c>
      <c r="F8" s="4"/>
      <c r="G8" s="14"/>
      <c r="H8" s="9">
        <v>81</v>
      </c>
    </row>
    <row r="9" spans="3:8" x14ac:dyDescent="0.25">
      <c r="C9" s="8"/>
      <c r="D9" s="2" t="s">
        <v>3039</v>
      </c>
      <c r="E9" s="2" t="s">
        <v>440</v>
      </c>
      <c r="F9" s="4">
        <v>6</v>
      </c>
      <c r="G9" s="14"/>
      <c r="H9" s="9"/>
    </row>
    <row r="10" spans="3:8" x14ac:dyDescent="0.25">
      <c r="C10" s="8"/>
      <c r="D10" s="2" t="s">
        <v>3040</v>
      </c>
      <c r="E10" s="2" t="s">
        <v>440</v>
      </c>
      <c r="F10" s="4">
        <v>15</v>
      </c>
      <c r="G10" s="14"/>
      <c r="H10" s="9"/>
    </row>
    <row r="11" spans="3:8" x14ac:dyDescent="0.25">
      <c r="C11" s="8"/>
      <c r="D11" s="2" t="s">
        <v>3041</v>
      </c>
      <c r="E11" s="2" t="s">
        <v>440</v>
      </c>
      <c r="F11" s="4"/>
      <c r="G11" s="14"/>
      <c r="H11" s="9">
        <v>53</v>
      </c>
    </row>
    <row r="12" spans="3:8" x14ac:dyDescent="0.25">
      <c r="C12" s="8"/>
      <c r="D12" s="2" t="s">
        <v>3042</v>
      </c>
      <c r="E12" s="2" t="s">
        <v>440</v>
      </c>
      <c r="F12" s="4">
        <v>2</v>
      </c>
      <c r="G12" s="14"/>
      <c r="H12" s="9"/>
    </row>
    <row r="13" spans="3:8" x14ac:dyDescent="0.25">
      <c r="C13" s="8"/>
      <c r="D13" s="2" t="s">
        <v>3043</v>
      </c>
      <c r="E13" s="2" t="s">
        <v>440</v>
      </c>
      <c r="F13" s="4">
        <v>15</v>
      </c>
      <c r="G13" s="14"/>
      <c r="H13" s="9"/>
    </row>
    <row r="14" spans="3:8" x14ac:dyDescent="0.25">
      <c r="C14" s="8"/>
      <c r="D14" s="2" t="s">
        <v>3044</v>
      </c>
      <c r="E14" s="2" t="s">
        <v>2093</v>
      </c>
      <c r="F14" s="4"/>
      <c r="G14" s="14"/>
      <c r="H14" s="9">
        <v>420.9</v>
      </c>
    </row>
    <row r="15" spans="3:8" x14ac:dyDescent="0.25">
      <c r="C15" s="8"/>
      <c r="D15" s="2" t="s">
        <v>3045</v>
      </c>
      <c r="E15" s="2" t="s">
        <v>440</v>
      </c>
      <c r="F15" s="4">
        <v>18.5</v>
      </c>
      <c r="G15" s="14"/>
      <c r="H15" s="9"/>
    </row>
    <row r="16" spans="3:8" x14ac:dyDescent="0.25">
      <c r="C16" s="8"/>
      <c r="D16" s="2" t="s">
        <v>3046</v>
      </c>
      <c r="E16" s="2" t="s">
        <v>440</v>
      </c>
      <c r="F16" s="4">
        <v>5</v>
      </c>
      <c r="G16" s="14"/>
      <c r="H16" s="9"/>
    </row>
    <row r="17" spans="3:8" x14ac:dyDescent="0.25">
      <c r="C17" s="8"/>
      <c r="D17" s="2" t="s">
        <v>3047</v>
      </c>
      <c r="E17" s="2" t="s">
        <v>440</v>
      </c>
      <c r="F17" s="4">
        <v>360</v>
      </c>
      <c r="G17" s="14"/>
      <c r="H17" s="9"/>
    </row>
    <row r="18" spans="3:8" x14ac:dyDescent="0.25">
      <c r="C18" s="8"/>
      <c r="D18" s="2" t="s">
        <v>3048</v>
      </c>
      <c r="E18" s="2" t="s">
        <v>1152</v>
      </c>
      <c r="F18" s="4">
        <v>48</v>
      </c>
      <c r="G18" s="14"/>
      <c r="H18" s="9"/>
    </row>
    <row r="19" spans="3:8" x14ac:dyDescent="0.25">
      <c r="C19" s="8"/>
      <c r="D19" s="2" t="s">
        <v>3049</v>
      </c>
      <c r="E19" s="2" t="s">
        <v>2881</v>
      </c>
      <c r="F19" s="4">
        <v>265</v>
      </c>
      <c r="G19" s="14"/>
      <c r="H19" s="9"/>
    </row>
    <row r="20" spans="3:8" x14ac:dyDescent="0.25">
      <c r="C20" s="8"/>
      <c r="D20" s="2" t="s">
        <v>3050</v>
      </c>
      <c r="E20" s="2" t="s">
        <v>440</v>
      </c>
      <c r="F20" s="4">
        <v>32</v>
      </c>
      <c r="G20" s="14"/>
      <c r="H20" s="9"/>
    </row>
    <row r="21" spans="3:8" x14ac:dyDescent="0.25">
      <c r="C21" s="8"/>
      <c r="D21" s="2" t="s">
        <v>3051</v>
      </c>
      <c r="E21" s="2" t="s">
        <v>440</v>
      </c>
      <c r="F21" s="4">
        <v>10.5</v>
      </c>
      <c r="G21" s="14"/>
      <c r="H21" s="9">
        <v>16</v>
      </c>
    </row>
    <row r="22" spans="3:8" x14ac:dyDescent="0.25">
      <c r="C22" s="8"/>
      <c r="D22" s="2" t="s">
        <v>3052</v>
      </c>
      <c r="E22" s="2" t="s">
        <v>440</v>
      </c>
      <c r="F22" s="4">
        <v>8</v>
      </c>
      <c r="G22" s="14"/>
      <c r="H22" s="9"/>
    </row>
    <row r="23" spans="3:8" x14ac:dyDescent="0.25">
      <c r="C23" s="8"/>
      <c r="D23" s="2" t="s">
        <v>3053</v>
      </c>
      <c r="E23" s="2" t="s">
        <v>440</v>
      </c>
      <c r="F23" s="4">
        <v>5</v>
      </c>
      <c r="G23" s="14"/>
      <c r="H23" s="9"/>
    </row>
    <row r="24" spans="3:8" x14ac:dyDescent="0.25">
      <c r="C24" s="8"/>
      <c r="D24" s="2" t="s">
        <v>3054</v>
      </c>
      <c r="E24" s="2" t="s">
        <v>440</v>
      </c>
      <c r="F24" s="4">
        <v>73.5</v>
      </c>
      <c r="G24" s="14"/>
      <c r="H24" s="9"/>
    </row>
    <row r="25" spans="3:8" x14ac:dyDescent="0.25">
      <c r="C25" s="8"/>
      <c r="D25" s="2" t="s">
        <v>3055</v>
      </c>
      <c r="E25" s="2" t="s">
        <v>440</v>
      </c>
      <c r="F25" s="4">
        <v>4</v>
      </c>
      <c r="G25" s="14"/>
      <c r="H25" s="9"/>
    </row>
    <row r="26" spans="3:8" x14ac:dyDescent="0.25">
      <c r="C26" s="8"/>
      <c r="D26" s="2" t="s">
        <v>3056</v>
      </c>
      <c r="E26" s="2" t="s">
        <v>440</v>
      </c>
      <c r="F26" s="4"/>
      <c r="G26" s="14"/>
      <c r="H26" s="9">
        <v>6.5</v>
      </c>
    </row>
    <row r="27" spans="3:8" x14ac:dyDescent="0.25">
      <c r="C27" s="8"/>
      <c r="D27" s="2" t="s">
        <v>3057</v>
      </c>
      <c r="E27" s="2" t="s">
        <v>440</v>
      </c>
      <c r="F27" s="4">
        <v>1</v>
      </c>
      <c r="G27" s="14"/>
      <c r="H27" s="9"/>
    </row>
    <row r="28" spans="3:8" x14ac:dyDescent="0.25">
      <c r="C28" s="8"/>
      <c r="D28" s="2" t="s">
        <v>3058</v>
      </c>
      <c r="E28" s="2" t="s">
        <v>440</v>
      </c>
      <c r="F28" s="4">
        <v>20</v>
      </c>
      <c r="G28" s="14"/>
      <c r="H28" s="9"/>
    </row>
    <row r="29" spans="3:8" x14ac:dyDescent="0.25">
      <c r="C29" s="8"/>
      <c r="D29" s="2" t="s">
        <v>3059</v>
      </c>
      <c r="E29" s="2" t="s">
        <v>440</v>
      </c>
      <c r="F29" s="4">
        <v>10</v>
      </c>
      <c r="G29" s="14"/>
      <c r="H29" s="9"/>
    </row>
    <row r="30" spans="3:8" x14ac:dyDescent="0.25">
      <c r="C30" s="8"/>
      <c r="D30" s="2" t="s">
        <v>3060</v>
      </c>
      <c r="E30" s="2" t="s">
        <v>440</v>
      </c>
      <c r="F30" s="4">
        <v>100</v>
      </c>
      <c r="G30" s="14"/>
      <c r="H30" s="9"/>
    </row>
    <row r="31" spans="3:8" x14ac:dyDescent="0.25">
      <c r="C31" s="8"/>
      <c r="D31" s="2" t="s">
        <v>3061</v>
      </c>
      <c r="E31" s="2" t="s">
        <v>440</v>
      </c>
      <c r="F31" s="4">
        <v>9</v>
      </c>
      <c r="G31" s="14"/>
      <c r="H31" s="9"/>
    </row>
    <row r="32" spans="3:8" x14ac:dyDescent="0.25">
      <c r="C32" s="8"/>
      <c r="D32" s="2" t="s">
        <v>3062</v>
      </c>
      <c r="E32" s="2" t="s">
        <v>440</v>
      </c>
      <c r="F32" s="4">
        <v>25</v>
      </c>
      <c r="G32" s="14"/>
      <c r="H32" s="9"/>
    </row>
    <row r="33" spans="3:8" x14ac:dyDescent="0.25">
      <c r="C33" s="8"/>
      <c r="D33" s="2" t="s">
        <v>3063</v>
      </c>
      <c r="E33" s="2" t="s">
        <v>3068</v>
      </c>
      <c r="F33" s="4">
        <v>370</v>
      </c>
      <c r="G33" s="14"/>
      <c r="H33" s="9"/>
    </row>
    <row r="34" spans="3:8" x14ac:dyDescent="0.25">
      <c r="C34" s="8"/>
      <c r="D34" s="2" t="s">
        <v>3064</v>
      </c>
      <c r="E34" s="2" t="s">
        <v>440</v>
      </c>
      <c r="F34" s="4">
        <v>56</v>
      </c>
      <c r="G34" s="14"/>
      <c r="H34" s="9"/>
    </row>
    <row r="35" spans="3:8" x14ac:dyDescent="0.25">
      <c r="C35" s="8"/>
      <c r="D35" s="2" t="s">
        <v>3065</v>
      </c>
      <c r="E35" s="2" t="s">
        <v>440</v>
      </c>
      <c r="F35" s="4">
        <v>10</v>
      </c>
      <c r="G35" s="14"/>
      <c r="H35" s="9"/>
    </row>
    <row r="36" spans="3:8" x14ac:dyDescent="0.25">
      <c r="C36" s="8"/>
      <c r="D36" s="2" t="s">
        <v>3066</v>
      </c>
      <c r="E36" s="2" t="s">
        <v>440</v>
      </c>
      <c r="F36" s="4">
        <v>60</v>
      </c>
      <c r="G36" s="14"/>
      <c r="H36" s="9"/>
    </row>
    <row r="37" spans="3:8" x14ac:dyDescent="0.25">
      <c r="C37" s="8"/>
      <c r="D37" s="2" t="s">
        <v>3067</v>
      </c>
      <c r="E37" s="2" t="s">
        <v>440</v>
      </c>
      <c r="F37" s="4">
        <v>18</v>
      </c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 t="s">
        <v>3018</v>
      </c>
      <c r="E39" s="2" t="s">
        <v>48</v>
      </c>
      <c r="F39" s="4"/>
      <c r="G39" s="14"/>
      <c r="H39" s="9">
        <v>180</v>
      </c>
    </row>
    <row r="40" spans="3:8" x14ac:dyDescent="0.25">
      <c r="C40" s="8"/>
      <c r="D40" s="2" t="s">
        <v>3069</v>
      </c>
      <c r="E40" s="2" t="s">
        <v>48</v>
      </c>
      <c r="F40" s="4">
        <v>5</v>
      </c>
      <c r="G40" s="14"/>
      <c r="H40" s="9"/>
    </row>
    <row r="41" spans="3:8" x14ac:dyDescent="0.25">
      <c r="C41" s="8"/>
      <c r="D41" s="2" t="s">
        <v>3070</v>
      </c>
      <c r="E41" s="2" t="s">
        <v>3083</v>
      </c>
      <c r="F41" s="4">
        <v>725</v>
      </c>
      <c r="G41" s="14"/>
      <c r="H41" s="9"/>
    </row>
    <row r="42" spans="3:8" x14ac:dyDescent="0.25">
      <c r="C42" s="8"/>
      <c r="D42" s="2" t="s">
        <v>3071</v>
      </c>
      <c r="E42" s="2" t="s">
        <v>1370</v>
      </c>
      <c r="F42" s="4"/>
      <c r="G42" s="14"/>
      <c r="H42" s="9">
        <v>1331</v>
      </c>
    </row>
    <row r="43" spans="3:8" x14ac:dyDescent="0.25">
      <c r="C43" s="8"/>
      <c r="D43" s="2" t="s">
        <v>3072</v>
      </c>
      <c r="E43" s="2" t="s">
        <v>48</v>
      </c>
      <c r="F43" s="4">
        <v>5</v>
      </c>
      <c r="G43" s="14"/>
      <c r="H43" s="9"/>
    </row>
    <row r="44" spans="3:8" x14ac:dyDescent="0.25">
      <c r="C44" s="8"/>
      <c r="D44" s="2" t="s">
        <v>3073</v>
      </c>
      <c r="E44" s="2" t="s">
        <v>48</v>
      </c>
      <c r="F44" s="4"/>
      <c r="G44" s="14"/>
      <c r="H44" s="9">
        <v>28</v>
      </c>
    </row>
    <row r="45" spans="3:8" x14ac:dyDescent="0.25">
      <c r="C45" s="8"/>
      <c r="D45" s="2" t="s">
        <v>3074</v>
      </c>
      <c r="E45" s="2" t="s">
        <v>48</v>
      </c>
      <c r="F45" s="4"/>
      <c r="G45" s="14"/>
      <c r="H45" s="9">
        <v>20</v>
      </c>
    </row>
    <row r="46" spans="3:8" x14ac:dyDescent="0.25">
      <c r="C46" s="8"/>
      <c r="D46" s="2" t="s">
        <v>3075</v>
      </c>
      <c r="E46" s="2" t="s">
        <v>48</v>
      </c>
      <c r="F46" s="4">
        <v>25</v>
      </c>
      <c r="G46" s="14"/>
      <c r="H46" s="9"/>
    </row>
    <row r="47" spans="3:8" x14ac:dyDescent="0.25">
      <c r="C47" s="8"/>
      <c r="D47" s="2" t="s">
        <v>3076</v>
      </c>
      <c r="E47" s="2" t="s">
        <v>48</v>
      </c>
      <c r="F47" s="4">
        <v>8</v>
      </c>
      <c r="G47" s="14"/>
      <c r="H47" s="9"/>
    </row>
    <row r="48" spans="3:8" x14ac:dyDescent="0.25">
      <c r="C48" s="8"/>
      <c r="D48" s="2" t="s">
        <v>3077</v>
      </c>
      <c r="E48" s="2" t="s">
        <v>676</v>
      </c>
      <c r="F48" s="4">
        <v>359.5</v>
      </c>
      <c r="G48" s="14"/>
      <c r="H48" s="9"/>
    </row>
    <row r="49" spans="3:8" x14ac:dyDescent="0.25">
      <c r="C49" s="8"/>
      <c r="D49" s="2" t="s">
        <v>3078</v>
      </c>
      <c r="E49" s="2" t="s">
        <v>48</v>
      </c>
      <c r="F49" s="4"/>
      <c r="G49" s="14"/>
      <c r="H49" s="9">
        <v>20</v>
      </c>
    </row>
    <row r="50" spans="3:8" x14ac:dyDescent="0.25">
      <c r="C50" s="8"/>
      <c r="D50" s="2" t="s">
        <v>3079</v>
      </c>
      <c r="E50" s="2" t="s">
        <v>48</v>
      </c>
      <c r="F50" s="4">
        <v>8</v>
      </c>
      <c r="G50" s="14"/>
      <c r="H50" s="9"/>
    </row>
    <row r="51" spans="3:8" x14ac:dyDescent="0.25">
      <c r="C51" s="8"/>
      <c r="D51" s="2" t="s">
        <v>3080</v>
      </c>
      <c r="E51" s="2" t="s">
        <v>48</v>
      </c>
      <c r="F51" s="4">
        <v>5</v>
      </c>
      <c r="G51" s="14"/>
      <c r="H51" s="9"/>
    </row>
    <row r="52" spans="3:8" x14ac:dyDescent="0.25">
      <c r="C52" s="8"/>
      <c r="D52" s="2" t="s">
        <v>3081</v>
      </c>
      <c r="E52" s="2" t="s">
        <v>48</v>
      </c>
      <c r="F52" s="4"/>
      <c r="G52" s="14"/>
      <c r="H52" s="9">
        <v>15</v>
      </c>
    </row>
    <row r="53" spans="3:8" x14ac:dyDescent="0.25">
      <c r="C53" s="8"/>
      <c r="D53" s="2" t="s">
        <v>3082</v>
      </c>
      <c r="E53" s="2" t="s">
        <v>676</v>
      </c>
      <c r="F53" s="4"/>
      <c r="G53" s="14">
        <v>10</v>
      </c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29"/>
      <c r="D58" s="30"/>
      <c r="E58" s="30" t="s">
        <v>60</v>
      </c>
      <c r="F58" s="4"/>
      <c r="G58" s="14"/>
      <c r="H58" s="9"/>
    </row>
    <row r="59" spans="3:8" x14ac:dyDescent="0.25">
      <c r="C59" s="8"/>
      <c r="D59" s="45" t="s">
        <v>2964</v>
      </c>
      <c r="E59" s="2" t="s">
        <v>3028</v>
      </c>
      <c r="F59" s="4"/>
      <c r="G59" s="14"/>
      <c r="H59" s="9">
        <v>100</v>
      </c>
    </row>
    <row r="60" spans="3:8" x14ac:dyDescent="0.25">
      <c r="C60" s="8"/>
      <c r="D60" s="45" t="s">
        <v>3029</v>
      </c>
      <c r="E60" s="53" t="s">
        <v>93</v>
      </c>
      <c r="F60" s="4"/>
      <c r="G60" s="14"/>
      <c r="H60" s="9">
        <v>3792</v>
      </c>
    </row>
    <row r="61" spans="3:8" x14ac:dyDescent="0.25">
      <c r="C61" s="8"/>
      <c r="D61" s="45" t="s">
        <v>3030</v>
      </c>
      <c r="E61" s="53" t="s">
        <v>955</v>
      </c>
      <c r="F61" s="4"/>
      <c r="G61" s="14"/>
      <c r="H61" s="9">
        <v>20</v>
      </c>
    </row>
    <row r="62" spans="3:8" x14ac:dyDescent="0.25">
      <c r="C62" s="8"/>
      <c r="D62" s="45" t="s">
        <v>3031</v>
      </c>
      <c r="E62" s="2" t="s">
        <v>3034</v>
      </c>
      <c r="F62" s="4"/>
      <c r="G62" s="14">
        <v>999.5</v>
      </c>
      <c r="H62" s="9"/>
    </row>
    <row r="63" spans="3:8" x14ac:dyDescent="0.25">
      <c r="C63" s="8"/>
      <c r="D63" s="45" t="s">
        <v>3032</v>
      </c>
      <c r="E63" s="2" t="s">
        <v>955</v>
      </c>
      <c r="F63" s="4"/>
      <c r="G63" s="14"/>
      <c r="H63" s="63">
        <v>500</v>
      </c>
    </row>
    <row r="64" spans="3:8" x14ac:dyDescent="0.25">
      <c r="C64" s="8"/>
      <c r="D64" s="45"/>
      <c r="E64" s="2"/>
      <c r="F64" s="4"/>
      <c r="G64" s="14"/>
      <c r="H64" s="63"/>
    </row>
    <row r="65" spans="3:8" x14ac:dyDescent="0.25">
      <c r="C65" s="8"/>
      <c r="D65" s="45"/>
      <c r="E65" s="2"/>
      <c r="F65" s="4"/>
      <c r="G65" s="14"/>
      <c r="H65" s="63"/>
    </row>
    <row r="66" spans="3:8" x14ac:dyDescent="0.25">
      <c r="C66" s="8"/>
      <c r="D66" s="45"/>
      <c r="E66" s="2"/>
      <c r="F66" s="4"/>
      <c r="G66" s="14"/>
      <c r="H66" s="63"/>
    </row>
    <row r="67" spans="3:8" x14ac:dyDescent="0.25">
      <c r="C67" s="8"/>
      <c r="D67" s="45"/>
      <c r="E67" s="2"/>
      <c r="F67" s="4"/>
      <c r="G67" s="14"/>
      <c r="H67" s="4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16"/>
      <c r="D69" s="17"/>
      <c r="E69" s="17" t="s">
        <v>39</v>
      </c>
      <c r="F69" s="4"/>
      <c r="G69" s="14"/>
      <c r="H69" s="9"/>
    </row>
    <row r="70" spans="3:8" x14ac:dyDescent="0.25">
      <c r="C70" s="8"/>
      <c r="D70" s="45" t="s">
        <v>2426</v>
      </c>
      <c r="E70" s="2" t="s">
        <v>1230</v>
      </c>
      <c r="F70" s="4">
        <v>2809.4</v>
      </c>
      <c r="G70" s="14"/>
      <c r="H70" s="9"/>
    </row>
    <row r="71" spans="3:8" x14ac:dyDescent="0.25">
      <c r="C71" s="8"/>
      <c r="D71" s="45" t="s">
        <v>3084</v>
      </c>
      <c r="E71" s="2" t="s">
        <v>1230</v>
      </c>
      <c r="F71" s="4">
        <v>127</v>
      </c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4"/>
      <c r="G76" s="14"/>
      <c r="H76" s="9"/>
    </row>
    <row r="77" spans="3:8" x14ac:dyDescent="0.25">
      <c r="C77" s="34"/>
      <c r="D77" s="42" t="s">
        <v>160</v>
      </c>
      <c r="E77" s="2" t="s">
        <v>1760</v>
      </c>
      <c r="F77" s="14">
        <v>-1190</v>
      </c>
      <c r="G77" s="14"/>
      <c r="H77" s="9"/>
    </row>
    <row r="78" spans="3:8" x14ac:dyDescent="0.25">
      <c r="C78" s="8"/>
      <c r="D78" s="2"/>
      <c r="E78" s="2" t="s">
        <v>3027</v>
      </c>
      <c r="F78" s="14">
        <v>-40</v>
      </c>
      <c r="G78" s="14"/>
      <c r="H78" s="9"/>
    </row>
    <row r="79" spans="3:8" x14ac:dyDescent="0.25">
      <c r="C79" s="8"/>
      <c r="D79" s="2"/>
      <c r="E79" s="2" t="s">
        <v>3033</v>
      </c>
      <c r="F79" s="14">
        <v>-1000</v>
      </c>
      <c r="G79" s="14"/>
      <c r="H79" s="9"/>
    </row>
    <row r="80" spans="3:8" x14ac:dyDescent="0.25">
      <c r="C80" s="8"/>
      <c r="D80" s="2" t="s">
        <v>158</v>
      </c>
      <c r="E80" s="2" t="s">
        <v>3035</v>
      </c>
      <c r="F80" s="14">
        <v>-1830</v>
      </c>
      <c r="G80" s="14"/>
      <c r="H80" s="9"/>
    </row>
    <row r="81" spans="3:8" x14ac:dyDescent="0.25">
      <c r="C81" s="8"/>
      <c r="D81" s="2"/>
      <c r="E81" s="2" t="s">
        <v>2536</v>
      </c>
      <c r="F81" s="14">
        <v>-10</v>
      </c>
      <c r="G81" s="14"/>
      <c r="H81" s="9"/>
    </row>
    <row r="82" spans="3:8" x14ac:dyDescent="0.25">
      <c r="C82" s="8"/>
      <c r="D82" s="2"/>
      <c r="E82" s="2" t="s">
        <v>3085</v>
      </c>
      <c r="F82" s="14">
        <v>-120</v>
      </c>
      <c r="G82" s="14"/>
      <c r="H82" s="9"/>
    </row>
    <row r="83" spans="3:8" x14ac:dyDescent="0.25">
      <c r="C83" s="8"/>
      <c r="D83" s="2"/>
      <c r="E83" s="2" t="s">
        <v>3086</v>
      </c>
      <c r="F83" s="14">
        <v>-124</v>
      </c>
      <c r="G83" s="14"/>
      <c r="H83" s="9"/>
    </row>
    <row r="84" spans="3:8" x14ac:dyDescent="0.25">
      <c r="C84" s="8"/>
      <c r="D84" s="2" t="s">
        <v>766</v>
      </c>
      <c r="E84" s="2" t="s">
        <v>3087</v>
      </c>
      <c r="F84" s="14">
        <v>-64</v>
      </c>
      <c r="G84" s="14"/>
      <c r="H84" s="9"/>
    </row>
    <row r="85" spans="3:8" x14ac:dyDescent="0.25">
      <c r="C85" s="8"/>
      <c r="D85" s="2"/>
      <c r="E85" s="2" t="s">
        <v>3088</v>
      </c>
      <c r="F85" s="14">
        <v>-90</v>
      </c>
      <c r="G85" s="14"/>
      <c r="H85" s="9"/>
    </row>
    <row r="86" spans="3:8" x14ac:dyDescent="0.25">
      <c r="C86" s="8"/>
      <c r="D86" s="2"/>
      <c r="E86" s="2" t="s">
        <v>3089</v>
      </c>
      <c r="F86" s="14">
        <v>-81</v>
      </c>
      <c r="G86" s="14"/>
      <c r="H86" s="9"/>
    </row>
    <row r="87" spans="3:8" x14ac:dyDescent="0.25">
      <c r="C87" s="8"/>
      <c r="D87" s="2"/>
      <c r="E87" s="2" t="s">
        <v>3090</v>
      </c>
      <c r="F87" s="14">
        <v>-10</v>
      </c>
      <c r="G87" s="14"/>
      <c r="H87" s="9"/>
    </row>
    <row r="88" spans="3:8" x14ac:dyDescent="0.25">
      <c r="C88" s="8"/>
      <c r="D88" s="2"/>
      <c r="E88" s="2" t="s">
        <v>1942</v>
      </c>
      <c r="F88" s="14">
        <v>-6</v>
      </c>
      <c r="G88" s="14"/>
      <c r="H88" s="9"/>
    </row>
    <row r="89" spans="3:8" x14ac:dyDescent="0.25">
      <c r="C89" s="8"/>
      <c r="D89" s="2"/>
      <c r="E89" s="2" t="s">
        <v>771</v>
      </c>
      <c r="F89" s="14">
        <v>-4.5</v>
      </c>
      <c r="G89" s="14"/>
      <c r="H89" s="9"/>
    </row>
    <row r="90" spans="3:8" x14ac:dyDescent="0.25">
      <c r="C90" s="8"/>
      <c r="D90" s="2"/>
      <c r="E90" s="2" t="s">
        <v>1274</v>
      </c>
      <c r="F90" s="14">
        <v>-1080.9000000000001</v>
      </c>
      <c r="G90" s="14"/>
      <c r="H90" s="9"/>
    </row>
    <row r="91" spans="3:8" x14ac:dyDescent="0.25">
      <c r="C91" s="8"/>
      <c r="D91" s="2"/>
      <c r="E91" s="2"/>
      <c r="F91" s="14"/>
      <c r="G91" s="14"/>
      <c r="H91" s="9"/>
    </row>
    <row r="92" spans="3:8" x14ac:dyDescent="0.25">
      <c r="C92" s="8"/>
      <c r="D92" s="2"/>
      <c r="E92" s="2"/>
      <c r="F92" s="14"/>
      <c r="G92" s="14"/>
      <c r="H92" s="9"/>
    </row>
    <row r="93" spans="3:8" x14ac:dyDescent="0.25">
      <c r="C93" s="8"/>
      <c r="D93" s="2"/>
      <c r="E93" s="2"/>
      <c r="F93" s="1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SUM(F6:F94)</f>
        <v>-1.5000000000004547</v>
      </c>
      <c r="G95" s="15">
        <f>SUM(G6:G94)</f>
        <v>1009.5</v>
      </c>
      <c r="H95" s="13">
        <f>SUM(H6:H94)</f>
        <v>6583.4</v>
      </c>
    </row>
    <row r="98" spans="3:6" s="3" customFormat="1" ht="18.75" x14ac:dyDescent="0.3">
      <c r="C98" s="1"/>
      <c r="D98" s="1"/>
      <c r="E98" s="38" t="s">
        <v>49</v>
      </c>
      <c r="F98" s="39">
        <f>+H4+F95</f>
        <v>3950.1899999999996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385E-3C77-4E4D-ACBC-7D54DEFE4D24}">
  <sheetPr codeName="Hoja33"/>
  <dimension ref="C2:H105"/>
  <sheetViews>
    <sheetView topLeftCell="A79" workbookViewId="0">
      <selection activeCell="F105" sqref="F105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3172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3950.19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3092</v>
      </c>
      <c r="E6" s="2" t="s">
        <v>107</v>
      </c>
      <c r="F6" s="4"/>
      <c r="G6" s="14">
        <v>9635</v>
      </c>
      <c r="H6" s="9"/>
    </row>
    <row r="7" spans="3:8" x14ac:dyDescent="0.25">
      <c r="C7" s="8"/>
      <c r="D7" s="2" t="s">
        <v>3093</v>
      </c>
      <c r="E7" s="2" t="s">
        <v>440</v>
      </c>
      <c r="F7" s="4">
        <v>25</v>
      </c>
      <c r="G7" s="14"/>
      <c r="H7" s="9"/>
    </row>
    <row r="8" spans="3:8" x14ac:dyDescent="0.25">
      <c r="C8" s="8"/>
      <c r="D8" s="2" t="s">
        <v>3094</v>
      </c>
      <c r="E8" s="2" t="s">
        <v>2093</v>
      </c>
      <c r="F8" s="4"/>
      <c r="G8" s="14"/>
      <c r="H8" s="9">
        <v>270.89999999999998</v>
      </c>
    </row>
    <row r="9" spans="3:8" x14ac:dyDescent="0.25">
      <c r="C9" s="8"/>
      <c r="D9" s="2" t="s">
        <v>3095</v>
      </c>
      <c r="E9" s="2" t="s">
        <v>1748</v>
      </c>
      <c r="F9" s="4"/>
      <c r="G9" s="14">
        <v>1522</v>
      </c>
      <c r="H9" s="9"/>
    </row>
    <row r="10" spans="3:8" x14ac:dyDescent="0.25">
      <c r="C10" s="8"/>
      <c r="D10" s="2" t="s">
        <v>3096</v>
      </c>
      <c r="E10" s="2" t="s">
        <v>440</v>
      </c>
      <c r="F10" s="4">
        <v>8</v>
      </c>
      <c r="G10" s="14"/>
      <c r="H10" s="9"/>
    </row>
    <row r="11" spans="3:8" x14ac:dyDescent="0.25">
      <c r="C11" s="8"/>
      <c r="D11" s="2" t="s">
        <v>3097</v>
      </c>
      <c r="E11" s="2" t="s">
        <v>440</v>
      </c>
      <c r="F11" s="4"/>
      <c r="G11" s="14"/>
      <c r="H11" s="9">
        <v>17</v>
      </c>
    </row>
    <row r="12" spans="3:8" x14ac:dyDescent="0.25">
      <c r="C12" s="8"/>
      <c r="D12" s="2" t="s">
        <v>3098</v>
      </c>
      <c r="E12" s="2" t="s">
        <v>3150</v>
      </c>
      <c r="F12" s="4"/>
      <c r="G12" s="14"/>
      <c r="H12" s="9">
        <v>832.8</v>
      </c>
    </row>
    <row r="13" spans="3:8" x14ac:dyDescent="0.25">
      <c r="C13" s="8"/>
      <c r="D13" s="2" t="s">
        <v>3099</v>
      </c>
      <c r="E13" s="2" t="s">
        <v>440</v>
      </c>
      <c r="F13" s="4"/>
      <c r="G13" s="14"/>
      <c r="H13" s="9">
        <v>5</v>
      </c>
    </row>
    <row r="14" spans="3:8" x14ac:dyDescent="0.25">
      <c r="C14" s="8"/>
      <c r="D14" s="2" t="s">
        <v>3100</v>
      </c>
      <c r="E14" s="2" t="s">
        <v>1748</v>
      </c>
      <c r="F14" s="4"/>
      <c r="G14" s="14">
        <v>3920</v>
      </c>
      <c r="H14" s="9"/>
    </row>
    <row r="15" spans="3:8" x14ac:dyDescent="0.25">
      <c r="C15" s="8"/>
      <c r="D15" s="2" t="s">
        <v>3101</v>
      </c>
      <c r="E15" s="2" t="s">
        <v>2381</v>
      </c>
      <c r="F15" s="4"/>
      <c r="G15" s="14"/>
      <c r="H15" s="9"/>
    </row>
    <row r="16" spans="3:8" x14ac:dyDescent="0.25">
      <c r="C16" s="8"/>
      <c r="D16" s="2" t="s">
        <v>3102</v>
      </c>
      <c r="E16" s="2" t="s">
        <v>440</v>
      </c>
      <c r="F16" s="4"/>
      <c r="G16" s="14"/>
      <c r="H16" s="9">
        <v>60</v>
      </c>
    </row>
    <row r="17" spans="3:8" x14ac:dyDescent="0.25">
      <c r="C17" s="8"/>
      <c r="D17" s="2" t="s">
        <v>3103</v>
      </c>
      <c r="E17" s="2" t="s">
        <v>440</v>
      </c>
      <c r="F17" s="4">
        <v>19.5</v>
      </c>
      <c r="G17" s="14"/>
      <c r="H17" s="9"/>
    </row>
    <row r="18" spans="3:8" x14ac:dyDescent="0.25">
      <c r="C18" s="8"/>
      <c r="D18" s="2" t="s">
        <v>3104</v>
      </c>
      <c r="E18" s="2" t="s">
        <v>440</v>
      </c>
      <c r="F18" s="4">
        <v>5</v>
      </c>
      <c r="G18" s="14"/>
      <c r="H18" s="9"/>
    </row>
    <row r="19" spans="3:8" x14ac:dyDescent="0.25">
      <c r="C19" s="8"/>
      <c r="D19" s="2" t="s">
        <v>3105</v>
      </c>
      <c r="E19" s="2" t="s">
        <v>266</v>
      </c>
      <c r="F19" s="4"/>
      <c r="G19" s="14">
        <v>259</v>
      </c>
      <c r="H19" s="9"/>
    </row>
    <row r="20" spans="3:8" x14ac:dyDescent="0.25">
      <c r="C20" s="8"/>
      <c r="D20" s="2" t="s">
        <v>3106</v>
      </c>
      <c r="E20" s="2" t="s">
        <v>440</v>
      </c>
      <c r="F20" s="4">
        <v>2.5</v>
      </c>
      <c r="G20" s="14"/>
      <c r="H20" s="9"/>
    </row>
    <row r="21" spans="3:8" x14ac:dyDescent="0.25">
      <c r="C21" s="8"/>
      <c r="D21" s="2" t="s">
        <v>3107</v>
      </c>
      <c r="E21" s="2" t="s">
        <v>440</v>
      </c>
      <c r="F21" s="4">
        <v>2</v>
      </c>
      <c r="G21" s="14"/>
      <c r="H21" s="9"/>
    </row>
    <row r="22" spans="3:8" x14ac:dyDescent="0.25">
      <c r="C22" s="8"/>
      <c r="D22" s="2" t="s">
        <v>3108</v>
      </c>
      <c r="E22" s="2" t="s">
        <v>440</v>
      </c>
      <c r="F22" s="4">
        <v>28</v>
      </c>
      <c r="G22" s="14"/>
      <c r="H22" s="9"/>
    </row>
    <row r="23" spans="3:8" x14ac:dyDescent="0.25">
      <c r="C23" s="8"/>
      <c r="D23" s="2" t="s">
        <v>3109</v>
      </c>
      <c r="E23" s="2" t="s">
        <v>440</v>
      </c>
      <c r="F23" s="4"/>
      <c r="G23" s="14"/>
      <c r="H23" s="9">
        <v>3</v>
      </c>
    </row>
    <row r="24" spans="3:8" x14ac:dyDescent="0.25">
      <c r="C24" s="8"/>
      <c r="D24" s="2" t="s">
        <v>3110</v>
      </c>
      <c r="E24" s="2" t="s">
        <v>440</v>
      </c>
      <c r="F24" s="4">
        <v>15</v>
      </c>
      <c r="G24" s="14"/>
      <c r="H24" s="9"/>
    </row>
    <row r="25" spans="3:8" x14ac:dyDescent="0.25">
      <c r="C25" s="8"/>
      <c r="D25" s="2" t="s">
        <v>3111</v>
      </c>
      <c r="E25" s="2" t="s">
        <v>440</v>
      </c>
      <c r="F25" s="4"/>
      <c r="G25" s="14"/>
      <c r="H25" s="9">
        <v>2.1</v>
      </c>
    </row>
    <row r="26" spans="3:8" x14ac:dyDescent="0.25">
      <c r="C26" s="8"/>
      <c r="D26" s="2" t="s">
        <v>3112</v>
      </c>
      <c r="E26" s="2" t="s">
        <v>440</v>
      </c>
      <c r="F26" s="4"/>
      <c r="G26" s="14"/>
      <c r="H26" s="9">
        <v>9.5</v>
      </c>
    </row>
    <row r="27" spans="3:8" x14ac:dyDescent="0.25">
      <c r="C27" s="8"/>
      <c r="D27" s="2" t="s">
        <v>3113</v>
      </c>
      <c r="E27" s="2" t="s">
        <v>440</v>
      </c>
      <c r="F27" s="4">
        <v>10</v>
      </c>
      <c r="G27" s="14"/>
      <c r="H27" s="9"/>
    </row>
    <row r="28" spans="3:8" x14ac:dyDescent="0.25">
      <c r="C28" s="8"/>
      <c r="D28" s="2" t="s">
        <v>3114</v>
      </c>
      <c r="E28" s="2" t="s">
        <v>212</v>
      </c>
      <c r="F28" s="4"/>
      <c r="G28" s="14"/>
      <c r="H28" s="9">
        <v>419</v>
      </c>
    </row>
    <row r="29" spans="3:8" x14ac:dyDescent="0.25">
      <c r="C29" s="8"/>
      <c r="D29" s="2" t="s">
        <v>3115</v>
      </c>
      <c r="E29" s="2" t="s">
        <v>3149</v>
      </c>
      <c r="F29" s="4">
        <v>104.2</v>
      </c>
      <c r="G29" s="14"/>
      <c r="H29" s="9">
        <v>405</v>
      </c>
    </row>
    <row r="30" spans="3:8" x14ac:dyDescent="0.25">
      <c r="C30" s="8"/>
      <c r="D30" s="2" t="s">
        <v>3116</v>
      </c>
      <c r="E30" s="2" t="s">
        <v>158</v>
      </c>
      <c r="F30" s="4"/>
      <c r="G30" s="14">
        <v>368</v>
      </c>
      <c r="H30" s="9">
        <v>1000</v>
      </c>
    </row>
    <row r="31" spans="3:8" x14ac:dyDescent="0.25">
      <c r="C31" s="8"/>
      <c r="D31" s="2" t="s">
        <v>3117</v>
      </c>
      <c r="E31" s="2" t="s">
        <v>440</v>
      </c>
      <c r="F31" s="4">
        <v>4.5</v>
      </c>
      <c r="G31" s="14"/>
      <c r="H31" s="9"/>
    </row>
    <row r="32" spans="3:8" x14ac:dyDescent="0.25">
      <c r="C32" s="8"/>
      <c r="D32" s="2" t="s">
        <v>3118</v>
      </c>
      <c r="E32" s="2" t="s">
        <v>3148</v>
      </c>
      <c r="F32" s="4">
        <v>200</v>
      </c>
      <c r="G32" s="14"/>
      <c r="H32" s="9"/>
    </row>
    <row r="33" spans="3:8" x14ac:dyDescent="0.25">
      <c r="C33" s="8"/>
      <c r="D33" s="2" t="s">
        <v>3119</v>
      </c>
      <c r="E33" s="2" t="s">
        <v>440</v>
      </c>
      <c r="F33" s="4">
        <v>5</v>
      </c>
      <c r="G33" s="14"/>
      <c r="H33" s="9"/>
    </row>
    <row r="34" spans="3:8" x14ac:dyDescent="0.25">
      <c r="C34" s="8"/>
      <c r="D34" s="2" t="s">
        <v>3120</v>
      </c>
      <c r="E34" s="2" t="s">
        <v>1748</v>
      </c>
      <c r="F34" s="4"/>
      <c r="G34" s="14">
        <v>7</v>
      </c>
      <c r="H34" s="9"/>
    </row>
    <row r="35" spans="3:8" x14ac:dyDescent="0.25">
      <c r="C35" s="8"/>
      <c r="D35" s="2" t="s">
        <v>3121</v>
      </c>
      <c r="E35" s="2" t="s">
        <v>2973</v>
      </c>
      <c r="F35" s="4">
        <v>153</v>
      </c>
      <c r="G35" s="14"/>
      <c r="H35" s="9"/>
    </row>
    <row r="36" spans="3:8" x14ac:dyDescent="0.25">
      <c r="C36" s="8"/>
      <c r="D36" s="2" t="s">
        <v>3122</v>
      </c>
      <c r="E36" s="2" t="s">
        <v>2881</v>
      </c>
      <c r="F36" s="4">
        <v>29</v>
      </c>
      <c r="G36" s="14"/>
      <c r="H36" s="9"/>
    </row>
    <row r="37" spans="3:8" x14ac:dyDescent="0.25">
      <c r="C37" s="8"/>
      <c r="D37" s="2" t="s">
        <v>3123</v>
      </c>
      <c r="E37" s="2" t="s">
        <v>583</v>
      </c>
      <c r="F37" s="4">
        <v>280</v>
      </c>
      <c r="G37" s="14"/>
      <c r="H37" s="9"/>
    </row>
    <row r="38" spans="3:8" x14ac:dyDescent="0.25">
      <c r="C38" s="8"/>
      <c r="D38" s="2" t="s">
        <v>3124</v>
      </c>
      <c r="E38" s="2" t="s">
        <v>440</v>
      </c>
      <c r="F38" s="4">
        <v>10</v>
      </c>
      <c r="G38" s="14"/>
      <c r="H38" s="9"/>
    </row>
    <row r="39" spans="3:8" x14ac:dyDescent="0.25">
      <c r="C39" s="8"/>
      <c r="D39" s="2" t="s">
        <v>3125</v>
      </c>
      <c r="E39" s="2" t="s">
        <v>440</v>
      </c>
      <c r="F39" s="4">
        <v>9</v>
      </c>
      <c r="G39" s="14"/>
      <c r="H39" s="9"/>
    </row>
    <row r="40" spans="3:8" x14ac:dyDescent="0.25">
      <c r="C40" s="8"/>
      <c r="D40" s="2" t="s">
        <v>3126</v>
      </c>
      <c r="E40" s="2" t="s">
        <v>440</v>
      </c>
      <c r="F40" s="4">
        <v>3.5</v>
      </c>
      <c r="G40" s="14"/>
      <c r="H40" s="9"/>
    </row>
    <row r="41" spans="3:8" x14ac:dyDescent="0.25">
      <c r="C41" s="8"/>
      <c r="D41" s="2" t="s">
        <v>3127</v>
      </c>
      <c r="E41" s="2" t="s">
        <v>440</v>
      </c>
      <c r="F41" s="4">
        <v>12.5</v>
      </c>
      <c r="G41" s="14"/>
      <c r="H41" s="9"/>
    </row>
    <row r="42" spans="3:8" x14ac:dyDescent="0.25">
      <c r="C42" s="8"/>
      <c r="D42" s="2" t="s">
        <v>3128</v>
      </c>
      <c r="E42" s="2" t="s">
        <v>440</v>
      </c>
      <c r="F42" s="4">
        <v>12</v>
      </c>
      <c r="G42" s="14"/>
      <c r="H42" s="9"/>
    </row>
    <row r="43" spans="3:8" x14ac:dyDescent="0.25">
      <c r="C43" s="8"/>
      <c r="D43" s="2" t="s">
        <v>3129</v>
      </c>
      <c r="E43" s="2" t="s">
        <v>440</v>
      </c>
      <c r="F43" s="4">
        <v>25</v>
      </c>
      <c r="G43" s="14"/>
      <c r="H43" s="9"/>
    </row>
    <row r="44" spans="3:8" x14ac:dyDescent="0.25">
      <c r="C44" s="8"/>
      <c r="D44" s="2" t="s">
        <v>3130</v>
      </c>
      <c r="E44" s="2" t="s">
        <v>1748</v>
      </c>
      <c r="F44" s="4"/>
      <c r="G44" s="14">
        <v>10</v>
      </c>
      <c r="H44" s="9"/>
    </row>
    <row r="45" spans="3:8" x14ac:dyDescent="0.25">
      <c r="C45" s="8"/>
      <c r="D45" s="2" t="s">
        <v>3131</v>
      </c>
      <c r="E45" s="2" t="s">
        <v>440</v>
      </c>
      <c r="F45" s="4">
        <v>2</v>
      </c>
      <c r="G45" s="14"/>
      <c r="H45" s="9"/>
    </row>
    <row r="46" spans="3:8" x14ac:dyDescent="0.25">
      <c r="C46" s="8"/>
      <c r="D46" s="2" t="s">
        <v>3132</v>
      </c>
      <c r="E46" s="2" t="s">
        <v>440</v>
      </c>
      <c r="F46" s="4">
        <v>5</v>
      </c>
      <c r="G46" s="14"/>
      <c r="H46" s="9"/>
    </row>
    <row r="47" spans="3:8" x14ac:dyDescent="0.25">
      <c r="C47" s="8"/>
      <c r="D47" s="2" t="s">
        <v>3133</v>
      </c>
      <c r="E47" s="2" t="s">
        <v>440</v>
      </c>
      <c r="F47" s="4"/>
      <c r="G47" s="14"/>
      <c r="H47" s="9">
        <v>11</v>
      </c>
    </row>
    <row r="48" spans="3:8" x14ac:dyDescent="0.25">
      <c r="C48" s="8"/>
      <c r="D48" s="2" t="s">
        <v>3157</v>
      </c>
      <c r="E48" s="2" t="s">
        <v>440</v>
      </c>
      <c r="F48" s="4"/>
      <c r="G48" s="14"/>
      <c r="H48" s="9">
        <v>13.08</v>
      </c>
    </row>
    <row r="49" spans="3:8" x14ac:dyDescent="0.25">
      <c r="C49" s="8"/>
      <c r="D49" s="2" t="s">
        <v>3167</v>
      </c>
      <c r="E49" s="2" t="s">
        <v>3168</v>
      </c>
      <c r="F49" s="4"/>
      <c r="G49" s="14">
        <v>2278</v>
      </c>
      <c r="H49" s="9"/>
    </row>
    <row r="50" spans="3:8" x14ac:dyDescent="0.25">
      <c r="C50" s="8"/>
      <c r="D50" s="2" t="s">
        <v>3173</v>
      </c>
      <c r="E50" s="2"/>
      <c r="F50" s="4"/>
      <c r="G50" s="14"/>
      <c r="H50" s="9"/>
    </row>
    <row r="51" spans="3:8" x14ac:dyDescent="0.25">
      <c r="C51" s="8"/>
      <c r="D51" s="2" t="s">
        <v>3134</v>
      </c>
      <c r="E51" s="2" t="s">
        <v>1631</v>
      </c>
      <c r="F51" s="4"/>
      <c r="G51" s="14"/>
      <c r="H51" s="9">
        <v>46</v>
      </c>
    </row>
    <row r="52" spans="3:8" x14ac:dyDescent="0.25">
      <c r="C52" s="8"/>
      <c r="D52" s="2" t="s">
        <v>3135</v>
      </c>
      <c r="E52" s="2" t="s">
        <v>2440</v>
      </c>
      <c r="F52" s="4"/>
      <c r="G52" s="14"/>
      <c r="H52" s="9">
        <v>770</v>
      </c>
    </row>
    <row r="53" spans="3:8" x14ac:dyDescent="0.25">
      <c r="C53" s="8"/>
      <c r="D53" s="2" t="s">
        <v>3136</v>
      </c>
      <c r="E53" s="2" t="s">
        <v>1631</v>
      </c>
      <c r="F53" s="4">
        <v>12.5</v>
      </c>
      <c r="G53" s="14"/>
      <c r="H53" s="9"/>
    </row>
    <row r="54" spans="3:8" x14ac:dyDescent="0.25">
      <c r="C54" s="8"/>
      <c r="D54" s="2" t="s">
        <v>3137</v>
      </c>
      <c r="E54" s="2" t="s">
        <v>164</v>
      </c>
      <c r="F54" s="4"/>
      <c r="G54" s="14"/>
      <c r="H54" s="9">
        <v>54</v>
      </c>
    </row>
    <row r="55" spans="3:8" x14ac:dyDescent="0.25">
      <c r="C55" s="8"/>
      <c r="D55" s="2" t="s">
        <v>3138</v>
      </c>
      <c r="E55" s="2" t="s">
        <v>1631</v>
      </c>
      <c r="F55" s="4">
        <v>2.5</v>
      </c>
      <c r="G55" s="14"/>
      <c r="H55" s="9"/>
    </row>
    <row r="56" spans="3:8" x14ac:dyDescent="0.25">
      <c r="C56" s="8"/>
      <c r="D56" s="2" t="s">
        <v>3139</v>
      </c>
      <c r="E56" s="2" t="s">
        <v>1631</v>
      </c>
      <c r="F56" s="4"/>
      <c r="G56" s="14"/>
      <c r="H56" s="9">
        <v>35</v>
      </c>
    </row>
    <row r="57" spans="3:8" x14ac:dyDescent="0.25">
      <c r="C57" s="8"/>
      <c r="D57" s="2" t="s">
        <v>3140</v>
      </c>
      <c r="E57" s="2" t="s">
        <v>1631</v>
      </c>
      <c r="F57" s="4"/>
      <c r="G57" s="14"/>
      <c r="H57" s="9">
        <v>68.5</v>
      </c>
    </row>
    <row r="58" spans="3:8" x14ac:dyDescent="0.25">
      <c r="C58" s="8"/>
      <c r="D58" s="2" t="s">
        <v>3141</v>
      </c>
      <c r="E58" s="2" t="s">
        <v>2615</v>
      </c>
      <c r="F58" s="4"/>
      <c r="G58" s="14">
        <v>560</v>
      </c>
      <c r="H58" s="9"/>
    </row>
    <row r="59" spans="3:8" x14ac:dyDescent="0.25">
      <c r="C59" s="8"/>
      <c r="D59" s="2" t="s">
        <v>3142</v>
      </c>
      <c r="E59" s="2" t="s">
        <v>1631</v>
      </c>
      <c r="F59" s="4">
        <v>29</v>
      </c>
      <c r="G59" s="14"/>
      <c r="H59" s="9"/>
    </row>
    <row r="60" spans="3:8" x14ac:dyDescent="0.25">
      <c r="C60" s="8"/>
      <c r="D60" s="2" t="s">
        <v>3143</v>
      </c>
      <c r="E60" s="2" t="s">
        <v>1631</v>
      </c>
      <c r="F60" s="4"/>
      <c r="G60" s="14"/>
      <c r="H60" s="9">
        <v>19</v>
      </c>
    </row>
    <row r="61" spans="3:8" x14ac:dyDescent="0.25">
      <c r="C61" s="8"/>
      <c r="D61" s="2" t="s">
        <v>3144</v>
      </c>
      <c r="E61" s="2" t="s">
        <v>1230</v>
      </c>
      <c r="F61" s="4">
        <v>2500</v>
      </c>
      <c r="G61" s="14">
        <v>456</v>
      </c>
      <c r="H61" s="9"/>
    </row>
    <row r="62" spans="3:8" x14ac:dyDescent="0.25">
      <c r="C62" s="8"/>
      <c r="D62" s="2" t="s">
        <v>3145</v>
      </c>
      <c r="E62" s="2" t="s">
        <v>107</v>
      </c>
      <c r="F62" s="4"/>
      <c r="G62" s="14">
        <v>1236</v>
      </c>
      <c r="H62" s="9"/>
    </row>
    <row r="63" spans="3:8" x14ac:dyDescent="0.25">
      <c r="C63" s="8"/>
      <c r="D63" s="2" t="s">
        <v>3146</v>
      </c>
      <c r="E63" s="2" t="s">
        <v>1631</v>
      </c>
      <c r="F63" s="4">
        <v>4</v>
      </c>
      <c r="G63" s="14"/>
      <c r="H63" s="9"/>
    </row>
    <row r="64" spans="3:8" x14ac:dyDescent="0.25">
      <c r="C64" s="8"/>
      <c r="D64" s="2" t="s">
        <v>3147</v>
      </c>
      <c r="E64" s="2" t="s">
        <v>1631</v>
      </c>
      <c r="F64" s="4">
        <v>12</v>
      </c>
      <c r="G64" s="14"/>
      <c r="H64" s="9"/>
    </row>
    <row r="65" spans="3:8" x14ac:dyDescent="0.25">
      <c r="C65" s="8"/>
      <c r="D65" s="2" t="s">
        <v>3158</v>
      </c>
      <c r="E65" s="2" t="s">
        <v>692</v>
      </c>
      <c r="F65" s="4">
        <v>5132</v>
      </c>
      <c r="G65" s="14"/>
      <c r="H65" s="9"/>
    </row>
    <row r="66" spans="3:8" x14ac:dyDescent="0.25">
      <c r="C66" s="8"/>
      <c r="D66" s="2" t="s">
        <v>3159</v>
      </c>
      <c r="E66" s="2" t="s">
        <v>3160</v>
      </c>
      <c r="F66" s="4">
        <v>20</v>
      </c>
      <c r="G66" s="14"/>
      <c r="H66" s="9"/>
    </row>
    <row r="67" spans="3:8" x14ac:dyDescent="0.25">
      <c r="C67" s="8"/>
      <c r="D67" s="2" t="s">
        <v>3209</v>
      </c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29"/>
      <c r="D70" s="30"/>
      <c r="E70" s="30" t="s">
        <v>60</v>
      </c>
      <c r="F70" s="4"/>
      <c r="G70" s="14"/>
      <c r="H70" s="9"/>
    </row>
    <row r="71" spans="3:8" x14ac:dyDescent="0.25">
      <c r="C71" s="8"/>
      <c r="D71" s="45" t="s">
        <v>3091</v>
      </c>
      <c r="E71" s="2" t="s">
        <v>93</v>
      </c>
      <c r="F71" s="4">
        <v>868</v>
      </c>
      <c r="G71" s="14"/>
      <c r="H71" s="63"/>
    </row>
    <row r="72" spans="3:8" x14ac:dyDescent="0.25">
      <c r="C72" s="8"/>
      <c r="D72" s="45"/>
      <c r="E72" s="2"/>
      <c r="F72" s="4"/>
      <c r="G72" s="14"/>
      <c r="H72" s="63"/>
    </row>
    <row r="73" spans="3:8" x14ac:dyDescent="0.25">
      <c r="C73" s="8"/>
      <c r="D73" s="45"/>
      <c r="E73" s="2"/>
      <c r="F73" s="4"/>
      <c r="G73" s="14"/>
      <c r="H73" s="63"/>
    </row>
    <row r="74" spans="3:8" x14ac:dyDescent="0.25">
      <c r="C74" s="8"/>
      <c r="D74" s="45"/>
      <c r="E74" s="2"/>
      <c r="F74" s="4"/>
      <c r="G74" s="14"/>
      <c r="H74" s="4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6"/>
      <c r="D76" s="17"/>
      <c r="E76" s="17" t="s">
        <v>39</v>
      </c>
      <c r="F76" s="4"/>
      <c r="G76" s="14"/>
      <c r="H76" s="9"/>
    </row>
    <row r="77" spans="3:8" x14ac:dyDescent="0.25">
      <c r="C77" s="8"/>
      <c r="D77" s="45" t="s">
        <v>529</v>
      </c>
      <c r="E77" s="2" t="s">
        <v>285</v>
      </c>
      <c r="F77" s="4">
        <v>200</v>
      </c>
      <c r="G77" s="14"/>
      <c r="H77" s="9"/>
    </row>
    <row r="78" spans="3:8" x14ac:dyDescent="0.25">
      <c r="C78" s="8"/>
      <c r="D78" s="45" t="s">
        <v>3151</v>
      </c>
      <c r="E78" s="2" t="s">
        <v>107</v>
      </c>
      <c r="F78" s="4">
        <v>3280</v>
      </c>
      <c r="G78" s="14"/>
      <c r="H78" s="9"/>
    </row>
    <row r="79" spans="3:8" x14ac:dyDescent="0.25">
      <c r="C79" s="8"/>
      <c r="D79" s="2"/>
      <c r="E79" s="2" t="s">
        <v>3152</v>
      </c>
      <c r="F79" s="4">
        <v>400</v>
      </c>
      <c r="G79" s="14"/>
      <c r="H79" s="9"/>
    </row>
    <row r="80" spans="3:8" x14ac:dyDescent="0.25">
      <c r="C80" s="8"/>
      <c r="D80" s="2"/>
      <c r="E80" s="65" t="s">
        <v>3153</v>
      </c>
      <c r="F80" s="66">
        <v>23</v>
      </c>
      <c r="G80" s="14"/>
      <c r="H80" s="9"/>
    </row>
    <row r="81" spans="3:8" x14ac:dyDescent="0.25">
      <c r="C81" s="8"/>
      <c r="D81" s="2"/>
      <c r="E81" s="2" t="s">
        <v>266</v>
      </c>
      <c r="F81" s="4">
        <f>259+40.5+85+65+2730+240</f>
        <v>3419.5</v>
      </c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19"/>
      <c r="D85" s="20"/>
      <c r="E85" s="20" t="s">
        <v>42</v>
      </c>
      <c r="F85" s="4"/>
      <c r="G85" s="14"/>
      <c r="H85" s="9"/>
    </row>
    <row r="86" spans="3:8" x14ac:dyDescent="0.25">
      <c r="C86" s="34"/>
      <c r="D86" s="42"/>
      <c r="E86" s="2" t="s">
        <v>3154</v>
      </c>
      <c r="F86" s="14">
        <v>-30</v>
      </c>
      <c r="G86" s="14"/>
      <c r="H86" s="9"/>
    </row>
    <row r="87" spans="3:8" x14ac:dyDescent="0.25">
      <c r="C87" s="8"/>
      <c r="D87" s="2"/>
      <c r="E87" s="2" t="s">
        <v>3155</v>
      </c>
      <c r="F87" s="14">
        <v>-363.7</v>
      </c>
      <c r="G87" s="14"/>
      <c r="H87" s="9"/>
    </row>
    <row r="88" spans="3:8" x14ac:dyDescent="0.25">
      <c r="C88" s="8"/>
      <c r="D88" s="2"/>
      <c r="E88" s="2" t="s">
        <v>3156</v>
      </c>
      <c r="F88" s="14">
        <v>-150</v>
      </c>
      <c r="G88" s="14"/>
      <c r="H88" s="9"/>
    </row>
    <row r="89" spans="3:8" x14ac:dyDescent="0.25">
      <c r="C89" s="8"/>
      <c r="D89" s="2"/>
      <c r="E89" s="2" t="s">
        <v>3161</v>
      </c>
      <c r="F89" s="14">
        <v>-1000</v>
      </c>
      <c r="G89" s="14"/>
      <c r="H89" s="9"/>
    </row>
    <row r="90" spans="3:8" x14ac:dyDescent="0.25">
      <c r="C90" s="8"/>
      <c r="D90" s="2"/>
      <c r="E90" s="2" t="s">
        <v>2167</v>
      </c>
      <c r="F90" s="14">
        <v>-190</v>
      </c>
      <c r="G90" s="14"/>
      <c r="H90" s="9"/>
    </row>
    <row r="91" spans="3:8" x14ac:dyDescent="0.25">
      <c r="C91" s="8"/>
      <c r="D91" s="2"/>
      <c r="E91" s="2" t="s">
        <v>3162</v>
      </c>
      <c r="F91" s="14">
        <v>-2</v>
      </c>
      <c r="G91" s="14"/>
      <c r="H91" s="9"/>
    </row>
    <row r="92" spans="3:8" x14ac:dyDescent="0.25">
      <c r="C92" s="8"/>
      <c r="D92" s="2"/>
      <c r="E92" s="2" t="s">
        <v>1463</v>
      </c>
      <c r="F92" s="14">
        <v>-15</v>
      </c>
      <c r="G92" s="14"/>
      <c r="H92" s="9"/>
    </row>
    <row r="93" spans="3:8" x14ac:dyDescent="0.25">
      <c r="C93" s="8"/>
      <c r="D93" s="2" t="s">
        <v>3164</v>
      </c>
      <c r="E93" s="2" t="s">
        <v>3163</v>
      </c>
      <c r="F93" s="14">
        <v>-16</v>
      </c>
      <c r="G93" s="14"/>
      <c r="H93" s="9"/>
    </row>
    <row r="94" spans="3:8" x14ac:dyDescent="0.25">
      <c r="C94" s="8"/>
      <c r="D94" s="2"/>
      <c r="E94" s="2" t="s">
        <v>3165</v>
      </c>
      <c r="F94" s="14">
        <v>-60</v>
      </c>
      <c r="G94" s="14"/>
      <c r="H94" s="9"/>
    </row>
    <row r="95" spans="3:8" x14ac:dyDescent="0.25">
      <c r="C95" s="8"/>
      <c r="D95" s="2"/>
      <c r="E95" s="2" t="s">
        <v>3166</v>
      </c>
      <c r="F95" s="14">
        <v>-102</v>
      </c>
      <c r="G95" s="14"/>
      <c r="H95" s="9"/>
    </row>
    <row r="96" spans="3:8" x14ac:dyDescent="0.25">
      <c r="C96" s="8"/>
      <c r="D96" s="2"/>
      <c r="E96" s="2" t="s">
        <v>3169</v>
      </c>
      <c r="F96" s="14">
        <v>-45</v>
      </c>
      <c r="G96" s="14"/>
      <c r="H96" s="9"/>
    </row>
    <row r="97" spans="3:8" x14ac:dyDescent="0.25">
      <c r="C97" s="8"/>
      <c r="D97" s="2"/>
      <c r="E97" s="2" t="s">
        <v>3170</v>
      </c>
      <c r="F97" s="14">
        <v>-20</v>
      </c>
      <c r="G97" s="14"/>
      <c r="H97" s="9"/>
    </row>
    <row r="98" spans="3:8" x14ac:dyDescent="0.25">
      <c r="C98" s="8"/>
      <c r="D98" s="2"/>
      <c r="E98" s="2" t="s">
        <v>1274</v>
      </c>
      <c r="F98" s="14">
        <v>-2528</v>
      </c>
      <c r="G98" s="14"/>
      <c r="H98" s="9"/>
    </row>
    <row r="99" spans="3:8" x14ac:dyDescent="0.25">
      <c r="C99" s="8"/>
      <c r="D99" s="2"/>
      <c r="E99" s="2"/>
      <c r="F99" s="14"/>
      <c r="G99" s="14"/>
      <c r="H99" s="9"/>
    </row>
    <row r="100" spans="3:8" x14ac:dyDescent="0.25">
      <c r="C100" s="8"/>
      <c r="D100" s="2"/>
      <c r="E100" s="2"/>
      <c r="F100" s="14"/>
      <c r="G100" s="14"/>
      <c r="H100" s="9"/>
    </row>
    <row r="101" spans="3:8" x14ac:dyDescent="0.25">
      <c r="C101" s="8"/>
      <c r="D101" s="2"/>
      <c r="E101" s="2"/>
      <c r="F101" s="4"/>
      <c r="G101" s="14"/>
      <c r="H101" s="9"/>
    </row>
    <row r="102" spans="3:8" ht="15.75" thickBot="1" x14ac:dyDescent="0.3">
      <c r="C102" s="10"/>
      <c r="D102" s="11"/>
      <c r="E102" s="11" t="s">
        <v>44</v>
      </c>
      <c r="F102" s="12">
        <f>SUM(F6:F101)</f>
        <v>12350.5</v>
      </c>
      <c r="G102" s="15">
        <f>SUM(G6:G101)</f>
        <v>20251</v>
      </c>
      <c r="H102" s="13">
        <f>SUM(H6:H101)</f>
        <v>4040.8799999999997</v>
      </c>
    </row>
    <row r="105" spans="3:8" s="3" customFormat="1" ht="18.75" x14ac:dyDescent="0.3">
      <c r="C105" s="1"/>
      <c r="D105" s="1"/>
      <c r="E105" s="38" t="s">
        <v>49</v>
      </c>
      <c r="F105" s="39">
        <f>+H4+F102</f>
        <v>16300.69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00A-7863-4CF1-A7CD-3C1971988866}">
  <sheetPr codeName="Hoja34"/>
  <dimension ref="C2:H113"/>
  <sheetViews>
    <sheetView topLeftCell="A82" workbookViewId="0">
      <selection activeCell="F113" sqref="F113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3171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16300.69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3173</v>
      </c>
      <c r="E6" s="2" t="s">
        <v>440</v>
      </c>
      <c r="F6" s="4">
        <v>9.5</v>
      </c>
      <c r="G6" s="14"/>
      <c r="H6" s="9"/>
    </row>
    <row r="7" spans="3:8" x14ac:dyDescent="0.25">
      <c r="C7" s="8"/>
      <c r="D7" s="2" t="s">
        <v>3180</v>
      </c>
      <c r="E7" s="2" t="s">
        <v>3179</v>
      </c>
      <c r="F7" s="4"/>
      <c r="G7" s="14"/>
      <c r="H7" s="9">
        <v>454.6</v>
      </c>
    </row>
    <row r="8" spans="3:8" x14ac:dyDescent="0.25">
      <c r="C8" s="8"/>
      <c r="D8" s="2" t="s">
        <v>3181</v>
      </c>
      <c r="E8" s="2" t="s">
        <v>440</v>
      </c>
      <c r="F8" s="4">
        <v>15</v>
      </c>
      <c r="G8" s="14"/>
      <c r="H8" s="9"/>
    </row>
    <row r="9" spans="3:8" x14ac:dyDescent="0.25">
      <c r="C9" s="8"/>
      <c r="D9" s="2" t="s">
        <v>3182</v>
      </c>
      <c r="E9" s="2" t="s">
        <v>3235</v>
      </c>
      <c r="F9" s="4"/>
      <c r="G9" s="14">
        <v>5</v>
      </c>
      <c r="H9" s="9"/>
    </row>
    <row r="10" spans="3:8" x14ac:dyDescent="0.25">
      <c r="C10" s="8"/>
      <c r="D10" s="2" t="s">
        <v>3183</v>
      </c>
      <c r="E10" s="2" t="s">
        <v>3234</v>
      </c>
      <c r="F10" s="4"/>
      <c r="G10" s="14">
        <v>375</v>
      </c>
      <c r="H10" s="9"/>
    </row>
    <row r="11" spans="3:8" x14ac:dyDescent="0.25">
      <c r="C11" s="8"/>
      <c r="D11" s="2" t="s">
        <v>3184</v>
      </c>
      <c r="E11" s="2" t="s">
        <v>440</v>
      </c>
      <c r="F11" s="4">
        <v>31</v>
      </c>
      <c r="G11" s="14"/>
      <c r="H11" s="9"/>
    </row>
    <row r="12" spans="3:8" x14ac:dyDescent="0.25">
      <c r="C12" s="8"/>
      <c r="D12" s="2" t="s">
        <v>3185</v>
      </c>
      <c r="E12" s="2" t="s">
        <v>3233</v>
      </c>
      <c r="F12" s="4">
        <v>46</v>
      </c>
      <c r="G12" s="14"/>
      <c r="H12" s="9"/>
    </row>
    <row r="13" spans="3:8" x14ac:dyDescent="0.25">
      <c r="C13" s="8"/>
      <c r="D13" s="2" t="s">
        <v>3186</v>
      </c>
      <c r="E13" s="2" t="s">
        <v>440</v>
      </c>
      <c r="F13" s="4">
        <v>18</v>
      </c>
      <c r="G13" s="14"/>
      <c r="H13" s="9"/>
    </row>
    <row r="14" spans="3:8" x14ac:dyDescent="0.25">
      <c r="C14" s="8"/>
      <c r="D14" s="2" t="s">
        <v>3187</v>
      </c>
      <c r="E14" s="2" t="s">
        <v>440</v>
      </c>
      <c r="F14" s="4">
        <v>6</v>
      </c>
      <c r="G14" s="14"/>
      <c r="H14" s="9"/>
    </row>
    <row r="15" spans="3:8" x14ac:dyDescent="0.25">
      <c r="C15" s="8"/>
      <c r="D15" s="2" t="s">
        <v>3188</v>
      </c>
      <c r="E15" s="2" t="s">
        <v>440</v>
      </c>
      <c r="F15" s="4">
        <v>17.5</v>
      </c>
      <c r="G15" s="14"/>
      <c r="H15" s="9"/>
    </row>
    <row r="16" spans="3:8" x14ac:dyDescent="0.25">
      <c r="C16" s="8"/>
      <c r="D16" s="2" t="s">
        <v>3189</v>
      </c>
      <c r="E16" s="2" t="s">
        <v>440</v>
      </c>
      <c r="F16" s="4"/>
      <c r="G16" s="14"/>
      <c r="H16" s="9">
        <v>4.5</v>
      </c>
    </row>
    <row r="17" spans="3:8" x14ac:dyDescent="0.25">
      <c r="C17" s="8"/>
      <c r="D17" s="2" t="s">
        <v>3190</v>
      </c>
      <c r="E17" s="2" t="s">
        <v>440</v>
      </c>
      <c r="F17" s="4"/>
      <c r="G17" s="14"/>
      <c r="H17" s="9">
        <v>4</v>
      </c>
    </row>
    <row r="18" spans="3:8" x14ac:dyDescent="0.25">
      <c r="C18" s="8"/>
      <c r="D18" s="2" t="s">
        <v>3191</v>
      </c>
      <c r="E18" s="2" t="s">
        <v>266</v>
      </c>
      <c r="F18" s="4"/>
      <c r="G18" s="14">
        <v>24</v>
      </c>
      <c r="H18" s="9"/>
    </row>
    <row r="19" spans="3:8" x14ac:dyDescent="0.25">
      <c r="C19" s="8"/>
      <c r="D19" s="2" t="s">
        <v>3192</v>
      </c>
      <c r="E19" s="2" t="s">
        <v>440</v>
      </c>
      <c r="F19" s="4">
        <v>10</v>
      </c>
      <c r="G19" s="14"/>
      <c r="H19" s="9"/>
    </row>
    <row r="20" spans="3:8" x14ac:dyDescent="0.25">
      <c r="C20" s="8"/>
      <c r="D20" s="2" t="s">
        <v>3193</v>
      </c>
      <c r="E20" s="2" t="s">
        <v>440</v>
      </c>
      <c r="F20" s="4">
        <v>8.5</v>
      </c>
      <c r="G20" s="14"/>
      <c r="H20" s="9"/>
    </row>
    <row r="21" spans="3:8" x14ac:dyDescent="0.25">
      <c r="C21" s="8"/>
      <c r="D21" s="2" t="s">
        <v>3194</v>
      </c>
      <c r="E21" s="2" t="s">
        <v>440</v>
      </c>
      <c r="F21" s="4"/>
      <c r="G21" s="14"/>
      <c r="H21" s="9">
        <v>12</v>
      </c>
    </row>
    <row r="22" spans="3:8" x14ac:dyDescent="0.25">
      <c r="C22" s="8"/>
      <c r="D22" s="2" t="s">
        <v>3195</v>
      </c>
      <c r="E22" s="2" t="s">
        <v>440</v>
      </c>
      <c r="F22" s="4">
        <v>2.5</v>
      </c>
      <c r="G22" s="14"/>
      <c r="H22" s="9"/>
    </row>
    <row r="23" spans="3:8" x14ac:dyDescent="0.25">
      <c r="C23" s="8"/>
      <c r="D23" s="2" t="s">
        <v>3196</v>
      </c>
      <c r="E23" s="2" t="s">
        <v>440</v>
      </c>
      <c r="F23" s="4">
        <v>8</v>
      </c>
      <c r="G23" s="14"/>
      <c r="H23" s="9"/>
    </row>
    <row r="24" spans="3:8" x14ac:dyDescent="0.25">
      <c r="C24" s="8"/>
      <c r="D24" s="2" t="s">
        <v>3197</v>
      </c>
      <c r="E24" s="2" t="s">
        <v>440</v>
      </c>
      <c r="F24" s="4">
        <v>4</v>
      </c>
      <c r="G24" s="14"/>
      <c r="H24" s="9"/>
    </row>
    <row r="25" spans="3:8" x14ac:dyDescent="0.25">
      <c r="C25" s="8"/>
      <c r="D25" s="2" t="s">
        <v>3198</v>
      </c>
      <c r="E25" s="2" t="s">
        <v>440</v>
      </c>
      <c r="F25" s="4">
        <v>10</v>
      </c>
      <c r="G25" s="14"/>
      <c r="H25" s="9"/>
    </row>
    <row r="26" spans="3:8" x14ac:dyDescent="0.25">
      <c r="C26" s="8"/>
      <c r="D26" s="2" t="s">
        <v>3199</v>
      </c>
      <c r="E26" s="2" t="s">
        <v>440</v>
      </c>
      <c r="F26" s="4">
        <v>4.5</v>
      </c>
      <c r="G26" s="14"/>
      <c r="H26" s="9"/>
    </row>
    <row r="27" spans="3:8" x14ac:dyDescent="0.25">
      <c r="C27" s="8"/>
      <c r="D27" s="2" t="s">
        <v>3200</v>
      </c>
      <c r="E27" s="2" t="s">
        <v>440</v>
      </c>
      <c r="F27" s="4">
        <v>7.5</v>
      </c>
      <c r="G27" s="14"/>
      <c r="H27" s="9"/>
    </row>
    <row r="28" spans="3:8" x14ac:dyDescent="0.25">
      <c r="C28" s="8"/>
      <c r="D28" s="2" t="s">
        <v>3201</v>
      </c>
      <c r="E28" s="2" t="s">
        <v>3232</v>
      </c>
      <c r="F28" s="4"/>
      <c r="G28" s="14"/>
      <c r="H28" s="9">
        <v>465</v>
      </c>
    </row>
    <row r="29" spans="3:8" x14ac:dyDescent="0.25">
      <c r="C29" s="8"/>
      <c r="D29" s="2" t="s">
        <v>3202</v>
      </c>
      <c r="E29" s="2" t="s">
        <v>440</v>
      </c>
      <c r="F29" s="4"/>
      <c r="G29" s="14"/>
      <c r="H29" s="9">
        <v>4</v>
      </c>
    </row>
    <row r="30" spans="3:8" x14ac:dyDescent="0.25">
      <c r="C30" s="8"/>
      <c r="D30" s="2" t="s">
        <v>3203</v>
      </c>
      <c r="E30" s="2" t="s">
        <v>440</v>
      </c>
      <c r="F30" s="4"/>
      <c r="G30" s="14"/>
      <c r="H30" s="9">
        <v>64.5</v>
      </c>
    </row>
    <row r="31" spans="3:8" x14ac:dyDescent="0.25">
      <c r="C31" s="8"/>
      <c r="D31" s="2" t="s">
        <v>3204</v>
      </c>
      <c r="E31" s="2" t="s">
        <v>35</v>
      </c>
      <c r="F31" s="4"/>
      <c r="G31" s="14">
        <v>135</v>
      </c>
      <c r="H31" s="9"/>
    </row>
    <row r="32" spans="3:8" x14ac:dyDescent="0.25">
      <c r="C32" s="8"/>
      <c r="D32" s="2" t="s">
        <v>3205</v>
      </c>
      <c r="E32" s="2" t="s">
        <v>3231</v>
      </c>
      <c r="F32" s="4"/>
      <c r="G32" s="14"/>
      <c r="H32" s="9">
        <v>125</v>
      </c>
    </row>
    <row r="33" spans="3:8" x14ac:dyDescent="0.25">
      <c r="C33" s="8"/>
      <c r="D33" s="2" t="s">
        <v>3206</v>
      </c>
      <c r="E33" s="2" t="s">
        <v>440</v>
      </c>
      <c r="F33" s="4">
        <v>28</v>
      </c>
      <c r="G33" s="14"/>
      <c r="H33" s="9"/>
    </row>
    <row r="34" spans="3:8" x14ac:dyDescent="0.25">
      <c r="C34" s="8"/>
      <c r="D34" s="2" t="s">
        <v>3207</v>
      </c>
      <c r="E34" s="2" t="s">
        <v>440</v>
      </c>
      <c r="F34" s="4"/>
      <c r="G34" s="14"/>
      <c r="H34" s="9">
        <v>35</v>
      </c>
    </row>
    <row r="35" spans="3:8" x14ac:dyDescent="0.25">
      <c r="C35" s="8"/>
      <c r="D35" s="2" t="s">
        <v>3208</v>
      </c>
      <c r="E35" s="2" t="s">
        <v>440</v>
      </c>
      <c r="F35" s="4"/>
      <c r="G35" s="14"/>
      <c r="H35" s="9">
        <v>43</v>
      </c>
    </row>
    <row r="36" spans="3:8" x14ac:dyDescent="0.25">
      <c r="C36" s="8"/>
      <c r="D36" s="2" t="s">
        <v>3238</v>
      </c>
      <c r="E36" s="2" t="s">
        <v>440</v>
      </c>
      <c r="F36" s="4">
        <v>25</v>
      </c>
      <c r="G36" s="14"/>
      <c r="H36" s="9"/>
    </row>
    <row r="37" spans="3:8" x14ac:dyDescent="0.25">
      <c r="C37" s="8"/>
      <c r="D37" s="2" t="s">
        <v>3239</v>
      </c>
      <c r="E37" s="2" t="s">
        <v>440</v>
      </c>
      <c r="F37" s="4"/>
      <c r="G37" s="14"/>
      <c r="H37" s="9">
        <v>87.5</v>
      </c>
    </row>
    <row r="38" spans="3:8" x14ac:dyDescent="0.25">
      <c r="C38" s="8"/>
      <c r="D38" s="2" t="s">
        <v>3240</v>
      </c>
      <c r="E38" s="2" t="s">
        <v>440</v>
      </c>
      <c r="F38" s="4">
        <v>55.5</v>
      </c>
      <c r="G38" s="14"/>
      <c r="H38" s="9"/>
    </row>
    <row r="39" spans="3:8" x14ac:dyDescent="0.25">
      <c r="C39" s="8"/>
      <c r="D39" s="2" t="s">
        <v>3241</v>
      </c>
      <c r="E39" s="2" t="s">
        <v>440</v>
      </c>
      <c r="F39" s="4">
        <v>12</v>
      </c>
      <c r="G39" s="14"/>
      <c r="H39" s="9"/>
    </row>
    <row r="40" spans="3:8" x14ac:dyDescent="0.25">
      <c r="C40" s="8"/>
      <c r="D40" s="2" t="s">
        <v>3242</v>
      </c>
      <c r="E40" s="2" t="s">
        <v>750</v>
      </c>
      <c r="F40" s="4"/>
      <c r="G40" s="14"/>
      <c r="H40" s="9">
        <v>1</v>
      </c>
    </row>
    <row r="41" spans="3:8" x14ac:dyDescent="0.25">
      <c r="C41" s="8"/>
      <c r="D41" s="2" t="s">
        <v>3243</v>
      </c>
      <c r="E41" s="2" t="s">
        <v>440</v>
      </c>
      <c r="F41" s="4">
        <v>10</v>
      </c>
      <c r="G41" s="14"/>
      <c r="H41" s="9"/>
    </row>
    <row r="42" spans="3:8" x14ac:dyDescent="0.25">
      <c r="C42" s="8"/>
      <c r="D42" s="2" t="s">
        <v>3244</v>
      </c>
      <c r="E42" s="2" t="s">
        <v>440</v>
      </c>
      <c r="F42" s="4"/>
      <c r="G42" s="14"/>
      <c r="H42" s="9">
        <v>46.5</v>
      </c>
    </row>
    <row r="43" spans="3:8" x14ac:dyDescent="0.25">
      <c r="C43" s="8"/>
      <c r="D43" s="2" t="s">
        <v>3245</v>
      </c>
      <c r="E43" s="2" t="s">
        <v>440</v>
      </c>
      <c r="F43" s="4">
        <v>21</v>
      </c>
      <c r="G43" s="14"/>
      <c r="H43" s="9"/>
    </row>
    <row r="44" spans="3:8" x14ac:dyDescent="0.25">
      <c r="C44" s="8"/>
      <c r="D44" s="2" t="s">
        <v>3246</v>
      </c>
      <c r="E44" s="2" t="s">
        <v>440</v>
      </c>
      <c r="F44" s="4">
        <v>18</v>
      </c>
      <c r="G44" s="14"/>
      <c r="H44" s="9"/>
    </row>
    <row r="45" spans="3:8" x14ac:dyDescent="0.25">
      <c r="C45" s="8"/>
      <c r="D45" s="2" t="s">
        <v>3247</v>
      </c>
      <c r="E45" s="2" t="s">
        <v>3253</v>
      </c>
      <c r="F45" s="4"/>
      <c r="G45" s="14"/>
      <c r="H45" s="9">
        <v>2700</v>
      </c>
    </row>
    <row r="46" spans="3:8" x14ac:dyDescent="0.25">
      <c r="C46" s="8"/>
      <c r="D46" s="2" t="s">
        <v>3254</v>
      </c>
      <c r="E46" s="2" t="s">
        <v>3256</v>
      </c>
      <c r="F46" s="4"/>
      <c r="G46" s="14"/>
      <c r="H46" s="9">
        <v>5259</v>
      </c>
    </row>
    <row r="47" spans="3:8" x14ac:dyDescent="0.25">
      <c r="C47" s="8"/>
      <c r="D47" s="2" t="s">
        <v>3255</v>
      </c>
      <c r="E47" s="2" t="s">
        <v>440</v>
      </c>
      <c r="F47" s="4">
        <v>7</v>
      </c>
      <c r="G47" s="14"/>
      <c r="H47" s="9"/>
    </row>
    <row r="48" spans="3:8" x14ac:dyDescent="0.25">
      <c r="C48" s="8"/>
      <c r="D48" s="2" t="s">
        <v>3261</v>
      </c>
      <c r="E48" s="2" t="s">
        <v>440</v>
      </c>
      <c r="F48" s="4"/>
      <c r="G48" s="14"/>
      <c r="H48" s="9">
        <v>50</v>
      </c>
    </row>
    <row r="49" spans="3:8" x14ac:dyDescent="0.25">
      <c r="C49" s="8"/>
      <c r="D49" s="2" t="s">
        <v>3266</v>
      </c>
      <c r="E49" s="2"/>
      <c r="F49" s="4"/>
      <c r="G49" s="14"/>
      <c r="H49" s="9"/>
    </row>
    <row r="50" spans="3:8" x14ac:dyDescent="0.25">
      <c r="C50" s="8"/>
      <c r="D50" s="2" t="s">
        <v>3209</v>
      </c>
      <c r="E50" s="2" t="s">
        <v>48</v>
      </c>
      <c r="F50" s="4"/>
      <c r="G50" s="14"/>
      <c r="H50" s="9">
        <v>19</v>
      </c>
    </row>
    <row r="51" spans="3:8" x14ac:dyDescent="0.25">
      <c r="C51" s="8"/>
      <c r="D51" s="2" t="s">
        <v>3210</v>
      </c>
      <c r="E51" s="2" t="s">
        <v>48</v>
      </c>
      <c r="F51" s="4">
        <v>2.5</v>
      </c>
      <c r="G51" s="14"/>
      <c r="H51" s="9"/>
    </row>
    <row r="52" spans="3:8" x14ac:dyDescent="0.25">
      <c r="C52" s="8"/>
      <c r="D52" s="2" t="s">
        <v>3211</v>
      </c>
      <c r="E52" s="2" t="s">
        <v>1993</v>
      </c>
      <c r="F52" s="4"/>
      <c r="G52" s="14"/>
      <c r="H52" s="9">
        <v>76</v>
      </c>
    </row>
    <row r="53" spans="3:8" x14ac:dyDescent="0.25">
      <c r="C53" s="8"/>
      <c r="D53" s="2" t="s">
        <v>3212</v>
      </c>
      <c r="E53" s="2" t="s">
        <v>2881</v>
      </c>
      <c r="F53" s="4">
        <v>292</v>
      </c>
      <c r="G53" s="14"/>
      <c r="H53" s="9"/>
    </row>
    <row r="54" spans="3:8" x14ac:dyDescent="0.25">
      <c r="C54" s="8"/>
      <c r="D54" s="2" t="s">
        <v>3213</v>
      </c>
      <c r="E54" s="2" t="s">
        <v>48</v>
      </c>
      <c r="F54" s="4"/>
      <c r="G54" s="14"/>
      <c r="H54" s="9">
        <v>15</v>
      </c>
    </row>
    <row r="55" spans="3:8" x14ac:dyDescent="0.25">
      <c r="C55" s="8"/>
      <c r="D55" s="2" t="s">
        <v>3214</v>
      </c>
      <c r="E55" s="2" t="s">
        <v>48</v>
      </c>
      <c r="F55" s="4">
        <v>8</v>
      </c>
      <c r="G55" s="14"/>
      <c r="H55" s="9"/>
    </row>
    <row r="56" spans="3:8" x14ac:dyDescent="0.25">
      <c r="C56" s="8"/>
      <c r="D56" s="2" t="s">
        <v>3215</v>
      </c>
      <c r="E56" s="2" t="s">
        <v>48</v>
      </c>
      <c r="F56" s="4">
        <v>10</v>
      </c>
      <c r="G56" s="14"/>
      <c r="H56" s="9"/>
    </row>
    <row r="57" spans="3:8" x14ac:dyDescent="0.25">
      <c r="C57" s="8"/>
      <c r="D57" s="2" t="s">
        <v>3216</v>
      </c>
      <c r="E57" s="2" t="s">
        <v>48</v>
      </c>
      <c r="F57" s="4">
        <v>18.5</v>
      </c>
      <c r="G57" s="14"/>
      <c r="H57" s="9"/>
    </row>
    <row r="58" spans="3:8" x14ac:dyDescent="0.25">
      <c r="C58" s="8"/>
      <c r="D58" s="2" t="s">
        <v>3217</v>
      </c>
      <c r="E58" s="2" t="s">
        <v>48</v>
      </c>
      <c r="F58" s="4">
        <v>162</v>
      </c>
      <c r="G58" s="14"/>
      <c r="H58" s="9"/>
    </row>
    <row r="59" spans="3:8" x14ac:dyDescent="0.25">
      <c r="C59" s="8"/>
      <c r="D59" s="2" t="s">
        <v>3218</v>
      </c>
      <c r="E59" s="2" t="s">
        <v>48</v>
      </c>
      <c r="F59" s="4">
        <v>3</v>
      </c>
      <c r="G59" s="14"/>
      <c r="H59" s="9"/>
    </row>
    <row r="60" spans="3:8" x14ac:dyDescent="0.25">
      <c r="C60" s="8"/>
      <c r="D60" s="2" t="s">
        <v>3219</v>
      </c>
      <c r="E60" s="2" t="s">
        <v>48</v>
      </c>
      <c r="F60" s="4">
        <v>4.8</v>
      </c>
      <c r="G60" s="14"/>
      <c r="H60" s="9"/>
    </row>
    <row r="61" spans="3:8" x14ac:dyDescent="0.25">
      <c r="C61" s="8"/>
      <c r="D61" s="2" t="s">
        <v>3220</v>
      </c>
      <c r="E61" s="2" t="s">
        <v>48</v>
      </c>
      <c r="F61" s="4"/>
      <c r="G61" s="14"/>
      <c r="H61" s="9">
        <v>5</v>
      </c>
    </row>
    <row r="62" spans="3:8" x14ac:dyDescent="0.25">
      <c r="C62" s="8"/>
      <c r="D62" s="2" t="s">
        <v>3221</v>
      </c>
      <c r="E62" s="2" t="s">
        <v>48</v>
      </c>
      <c r="F62" s="4">
        <v>125</v>
      </c>
      <c r="G62" s="14"/>
      <c r="H62" s="9">
        <v>3</v>
      </c>
    </row>
    <row r="63" spans="3:8" x14ac:dyDescent="0.25">
      <c r="C63" s="8"/>
      <c r="D63" s="2" t="s">
        <v>3222</v>
      </c>
      <c r="E63" s="2" t="s">
        <v>3230</v>
      </c>
      <c r="F63" s="4"/>
      <c r="G63" s="14">
        <v>870</v>
      </c>
      <c r="H63" s="9"/>
    </row>
    <row r="64" spans="3:8" x14ac:dyDescent="0.25">
      <c r="C64" s="8"/>
      <c r="D64" s="2" t="s">
        <v>3223</v>
      </c>
      <c r="E64" s="2" t="s">
        <v>48</v>
      </c>
      <c r="F64" s="4">
        <v>1</v>
      </c>
      <c r="G64" s="14"/>
      <c r="H64" s="9"/>
    </row>
    <row r="65" spans="3:8" x14ac:dyDescent="0.25">
      <c r="C65" s="8"/>
      <c r="D65" s="2" t="s">
        <v>3224</v>
      </c>
      <c r="E65" s="2" t="s">
        <v>676</v>
      </c>
      <c r="F65" s="4"/>
      <c r="G65" s="14">
        <v>2</v>
      </c>
      <c r="H65" s="9"/>
    </row>
    <row r="66" spans="3:8" x14ac:dyDescent="0.25">
      <c r="C66" s="8"/>
      <c r="D66" s="2" t="s">
        <v>3225</v>
      </c>
      <c r="E66" s="2" t="s">
        <v>48</v>
      </c>
      <c r="F66" s="4">
        <v>41.8</v>
      </c>
      <c r="G66" s="14"/>
      <c r="H66" s="9"/>
    </row>
    <row r="67" spans="3:8" x14ac:dyDescent="0.25">
      <c r="C67" s="8"/>
      <c r="D67" s="2" t="s">
        <v>3226</v>
      </c>
      <c r="E67" s="2" t="s">
        <v>48</v>
      </c>
      <c r="F67" s="4">
        <v>6</v>
      </c>
      <c r="G67" s="14"/>
      <c r="H67" s="9"/>
    </row>
    <row r="68" spans="3:8" x14ac:dyDescent="0.25">
      <c r="C68" s="8"/>
      <c r="D68" s="2" t="s">
        <v>3227</v>
      </c>
      <c r="E68" s="2" t="s">
        <v>48</v>
      </c>
      <c r="F68" s="4"/>
      <c r="G68" s="14"/>
      <c r="H68" s="9">
        <v>35</v>
      </c>
    </row>
    <row r="69" spans="3:8" x14ac:dyDescent="0.25">
      <c r="C69" s="8"/>
      <c r="D69" s="2" t="s">
        <v>3228</v>
      </c>
      <c r="E69" s="2" t="s">
        <v>48</v>
      </c>
      <c r="F69" s="4"/>
      <c r="G69" s="14"/>
      <c r="H69" s="9">
        <v>28</v>
      </c>
    </row>
    <row r="70" spans="3:8" x14ac:dyDescent="0.25">
      <c r="C70" s="8"/>
      <c r="D70" s="2" t="s">
        <v>3229</v>
      </c>
      <c r="E70" s="2" t="s">
        <v>48</v>
      </c>
      <c r="F70" s="4"/>
      <c r="G70" s="14"/>
      <c r="H70" s="9">
        <v>28</v>
      </c>
    </row>
    <row r="71" spans="3:8" x14ac:dyDescent="0.25">
      <c r="C71" s="8"/>
      <c r="D71" s="2" t="s">
        <v>3257</v>
      </c>
      <c r="E71" s="2" t="s">
        <v>3259</v>
      </c>
      <c r="F71" s="4"/>
      <c r="G71" s="14"/>
      <c r="H71" s="9">
        <v>288</v>
      </c>
    </row>
    <row r="72" spans="3:8" x14ac:dyDescent="0.25">
      <c r="C72" s="8"/>
      <c r="D72" s="2" t="s">
        <v>3258</v>
      </c>
      <c r="E72" s="2" t="s">
        <v>48</v>
      </c>
      <c r="F72" s="4"/>
      <c r="G72" s="14"/>
      <c r="H72" s="9">
        <v>3</v>
      </c>
    </row>
    <row r="73" spans="3:8" x14ac:dyDescent="0.25">
      <c r="C73" s="8"/>
      <c r="D73" s="2" t="s">
        <v>3365</v>
      </c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29"/>
      <c r="D75" s="30"/>
      <c r="E75" s="30" t="s">
        <v>60</v>
      </c>
      <c r="F75" s="4"/>
      <c r="G75" s="14"/>
      <c r="H75" s="9"/>
    </row>
    <row r="76" spans="3:8" x14ac:dyDescent="0.25">
      <c r="C76" s="8"/>
      <c r="D76" s="45" t="s">
        <v>3177</v>
      </c>
      <c r="E76" s="2" t="s">
        <v>3176</v>
      </c>
      <c r="F76" s="4"/>
      <c r="G76" s="14"/>
      <c r="H76" s="9">
        <v>23.5</v>
      </c>
    </row>
    <row r="77" spans="3:8" x14ac:dyDescent="0.25">
      <c r="C77" s="8"/>
      <c r="D77" s="45" t="s">
        <v>3178</v>
      </c>
      <c r="E77" s="2" t="s">
        <v>955</v>
      </c>
      <c r="F77" s="4"/>
      <c r="G77" s="14"/>
      <c r="H77" s="9">
        <v>476</v>
      </c>
    </row>
    <row r="78" spans="3:8" x14ac:dyDescent="0.25">
      <c r="C78" s="8"/>
      <c r="D78" s="45"/>
      <c r="E78" s="2"/>
      <c r="F78" s="4"/>
      <c r="G78" s="14"/>
      <c r="H78" s="63"/>
    </row>
    <row r="79" spans="3:8" x14ac:dyDescent="0.25">
      <c r="C79" s="8"/>
      <c r="D79" s="45"/>
      <c r="E79" s="2"/>
      <c r="F79" s="4"/>
      <c r="G79" s="14"/>
      <c r="H79" s="4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2" t="s">
        <v>3236</v>
      </c>
      <c r="E82" s="2" t="s">
        <v>285</v>
      </c>
      <c r="F82" s="4">
        <v>999.5</v>
      </c>
      <c r="G82" s="14"/>
      <c r="H82" s="9"/>
    </row>
    <row r="83" spans="3:8" x14ac:dyDescent="0.25">
      <c r="C83" s="8"/>
      <c r="D83" s="2"/>
      <c r="E83" s="2" t="s">
        <v>1645</v>
      </c>
      <c r="F83" s="4">
        <f>10+25</f>
        <v>35</v>
      </c>
      <c r="G83" s="14"/>
      <c r="H83" s="9"/>
    </row>
    <row r="84" spans="3:8" x14ac:dyDescent="0.25">
      <c r="C84" s="8"/>
      <c r="D84" s="2"/>
      <c r="E84" s="2" t="s">
        <v>3248</v>
      </c>
      <c r="F84" s="4">
        <v>59</v>
      </c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19"/>
      <c r="D88" s="20"/>
      <c r="E88" s="20" t="s">
        <v>42</v>
      </c>
      <c r="F88" s="4"/>
      <c r="G88" s="14"/>
      <c r="H88" s="9"/>
    </row>
    <row r="89" spans="3:8" x14ac:dyDescent="0.25">
      <c r="C89" s="34" t="s">
        <v>160</v>
      </c>
      <c r="D89" s="42" t="s">
        <v>3175</v>
      </c>
      <c r="E89" s="2" t="s">
        <v>3174</v>
      </c>
      <c r="F89" s="14">
        <v>-1200</v>
      </c>
      <c r="G89" s="14"/>
      <c r="H89" s="9"/>
    </row>
    <row r="90" spans="3:8" x14ac:dyDescent="0.25">
      <c r="C90" s="8"/>
      <c r="D90" s="2"/>
      <c r="E90" s="2" t="s">
        <v>3090</v>
      </c>
      <c r="F90" s="14">
        <v>-10</v>
      </c>
      <c r="G90" s="14"/>
      <c r="H90" s="9"/>
    </row>
    <row r="91" spans="3:8" x14ac:dyDescent="0.25">
      <c r="C91" s="8"/>
      <c r="D91" s="2"/>
      <c r="E91" s="2" t="s">
        <v>3237</v>
      </c>
      <c r="F91" s="14">
        <v>-20</v>
      </c>
      <c r="G91" s="14"/>
      <c r="H91" s="9"/>
    </row>
    <row r="92" spans="3:8" x14ac:dyDescent="0.25">
      <c r="C92" s="8"/>
      <c r="D92" s="2"/>
      <c r="E92" s="2" t="s">
        <v>3249</v>
      </c>
      <c r="F92" s="14">
        <v>-600</v>
      </c>
      <c r="G92" s="14"/>
      <c r="H92" s="9"/>
    </row>
    <row r="93" spans="3:8" x14ac:dyDescent="0.25">
      <c r="C93" s="8"/>
      <c r="D93" s="2"/>
      <c r="E93" s="2" t="s">
        <v>758</v>
      </c>
      <c r="F93" s="14">
        <v>-40</v>
      </c>
      <c r="G93" s="14"/>
      <c r="H93" s="9"/>
    </row>
    <row r="94" spans="3:8" x14ac:dyDescent="0.25">
      <c r="C94" s="8"/>
      <c r="D94" s="2"/>
      <c r="E94" s="2" t="s">
        <v>3407</v>
      </c>
      <c r="F94" s="14">
        <v>-800</v>
      </c>
      <c r="G94" s="14"/>
      <c r="H94" s="9"/>
    </row>
    <row r="95" spans="3:8" x14ac:dyDescent="0.25">
      <c r="C95" s="8"/>
      <c r="D95" s="2"/>
      <c r="E95" s="2" t="s">
        <v>3252</v>
      </c>
      <c r="F95" s="14">
        <v>-510</v>
      </c>
      <c r="G95" s="14"/>
      <c r="H95" s="9"/>
    </row>
    <row r="96" spans="3:8" x14ac:dyDescent="0.25">
      <c r="C96" s="8"/>
      <c r="D96" s="2"/>
      <c r="E96" s="2" t="s">
        <v>735</v>
      </c>
      <c r="F96" s="14">
        <v>-200</v>
      </c>
      <c r="G96" s="14"/>
      <c r="H96" s="9"/>
    </row>
    <row r="97" spans="3:8" x14ac:dyDescent="0.25">
      <c r="C97" s="8"/>
      <c r="D97" s="2"/>
      <c r="E97" s="2" t="s">
        <v>754</v>
      </c>
      <c r="F97" s="14">
        <v>-395</v>
      </c>
      <c r="G97" s="14"/>
      <c r="H97" s="9"/>
    </row>
    <row r="98" spans="3:8" x14ac:dyDescent="0.25">
      <c r="C98" s="8"/>
      <c r="D98" s="2"/>
      <c r="E98" s="2" t="s">
        <v>756</v>
      </c>
      <c r="F98" s="14">
        <v>-155</v>
      </c>
      <c r="G98" s="14"/>
      <c r="H98" s="9"/>
    </row>
    <row r="99" spans="3:8" x14ac:dyDescent="0.25">
      <c r="C99" s="8"/>
      <c r="D99" s="2"/>
      <c r="E99" s="2" t="s">
        <v>2763</v>
      </c>
      <c r="F99" s="14">
        <v>-355</v>
      </c>
      <c r="G99" s="14"/>
      <c r="H99" s="9"/>
    </row>
    <row r="100" spans="3:8" x14ac:dyDescent="0.25">
      <c r="C100" s="8"/>
      <c r="D100" s="2"/>
      <c r="E100" s="2" t="s">
        <v>1481</v>
      </c>
      <c r="F100" s="14">
        <v>-370</v>
      </c>
      <c r="G100" s="14"/>
      <c r="H100" s="9"/>
    </row>
    <row r="101" spans="3:8" x14ac:dyDescent="0.25">
      <c r="C101" s="8"/>
      <c r="D101" s="2"/>
      <c r="E101" s="2" t="s">
        <v>3260</v>
      </c>
      <c r="F101" s="14">
        <v>-40</v>
      </c>
      <c r="G101" s="14"/>
      <c r="H101" s="9"/>
    </row>
    <row r="102" spans="3:8" x14ac:dyDescent="0.25">
      <c r="C102" s="8"/>
      <c r="D102" s="2"/>
      <c r="E102" s="2" t="s">
        <v>1478</v>
      </c>
      <c r="F102" s="14">
        <v>-3555</v>
      </c>
      <c r="G102" s="14"/>
      <c r="H102" s="9"/>
    </row>
    <row r="103" spans="3:8" x14ac:dyDescent="0.25">
      <c r="C103" s="8"/>
      <c r="D103" s="2"/>
      <c r="E103" s="2" t="s">
        <v>3262</v>
      </c>
      <c r="F103" s="14">
        <v>-155</v>
      </c>
      <c r="G103" s="14"/>
      <c r="H103" s="9"/>
    </row>
    <row r="104" spans="3:8" x14ac:dyDescent="0.25">
      <c r="C104" s="8"/>
      <c r="D104" s="2"/>
      <c r="E104" s="2" t="s">
        <v>1553</v>
      </c>
      <c r="F104" s="14">
        <v>-450</v>
      </c>
      <c r="G104" s="14"/>
      <c r="H104" s="9"/>
    </row>
    <row r="105" spans="3:8" x14ac:dyDescent="0.25">
      <c r="C105" s="8"/>
      <c r="D105" s="2"/>
      <c r="E105" s="2" t="s">
        <v>2225</v>
      </c>
      <c r="F105" s="14">
        <v>-450</v>
      </c>
      <c r="G105" s="14"/>
      <c r="H105" s="9"/>
    </row>
    <row r="106" spans="3:8" x14ac:dyDescent="0.25">
      <c r="C106" s="8"/>
      <c r="D106" s="2"/>
      <c r="E106" s="2" t="s">
        <v>3263</v>
      </c>
      <c r="F106" s="14">
        <v>-765</v>
      </c>
      <c r="G106" s="14"/>
      <c r="H106" s="9"/>
    </row>
    <row r="107" spans="3:8" x14ac:dyDescent="0.25">
      <c r="C107" s="8"/>
      <c r="D107" s="2"/>
      <c r="E107" s="2" t="s">
        <v>3264</v>
      </c>
      <c r="F107" s="14">
        <v>-270</v>
      </c>
      <c r="G107" s="14"/>
      <c r="H107" s="9"/>
    </row>
    <row r="108" spans="3:8" x14ac:dyDescent="0.25">
      <c r="C108" s="8"/>
      <c r="D108" s="2"/>
      <c r="E108" s="2"/>
      <c r="F108" s="1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ht="15.75" thickBot="1" x14ac:dyDescent="0.3">
      <c r="C110" s="10"/>
      <c r="D110" s="11"/>
      <c r="E110" s="11" t="s">
        <v>44</v>
      </c>
      <c r="F110" s="12">
        <f>SUM(F6:F109)</f>
        <v>-8197.4</v>
      </c>
      <c r="G110" s="15">
        <f>SUM(G6:G109)</f>
        <v>1411</v>
      </c>
      <c r="H110" s="13">
        <f>SUM(H6:H109)</f>
        <v>10355.1</v>
      </c>
    </row>
    <row r="113" spans="3:6" s="3" customFormat="1" ht="18.75" x14ac:dyDescent="0.3">
      <c r="C113" s="1"/>
      <c r="D113" s="1"/>
      <c r="E113" s="38" t="s">
        <v>49</v>
      </c>
      <c r="F113" s="39">
        <f>+H4+F110</f>
        <v>8103.2900000000009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A153-3C2A-4A44-96AA-9E14B28CE333}">
  <sheetPr codeName="Hoja35"/>
  <dimension ref="C2:H86"/>
  <sheetViews>
    <sheetView topLeftCell="A58" workbookViewId="0">
      <selection activeCell="F86" sqref="F86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3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3265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8103.29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3266</v>
      </c>
      <c r="E6" s="2" t="s">
        <v>440</v>
      </c>
      <c r="F6" s="4">
        <v>144</v>
      </c>
      <c r="G6" s="14"/>
      <c r="H6" s="9"/>
    </row>
    <row r="7" spans="3:8" x14ac:dyDescent="0.25">
      <c r="C7" s="8"/>
      <c r="D7" s="2" t="s">
        <v>3267</v>
      </c>
      <c r="E7" s="2" t="s">
        <v>3329</v>
      </c>
      <c r="F7" s="4"/>
      <c r="G7" s="14"/>
      <c r="H7" s="9">
        <v>47</v>
      </c>
    </row>
    <row r="8" spans="3:8" x14ac:dyDescent="0.25">
      <c r="C8" s="8"/>
      <c r="D8" s="2" t="s">
        <v>3268</v>
      </c>
      <c r="E8" s="2" t="s">
        <v>440</v>
      </c>
      <c r="F8" s="4">
        <v>5.5</v>
      </c>
      <c r="G8" s="14"/>
      <c r="H8" s="9"/>
    </row>
    <row r="9" spans="3:8" x14ac:dyDescent="0.25">
      <c r="C9" s="8"/>
      <c r="D9" s="2" t="s">
        <v>3269</v>
      </c>
      <c r="E9" s="2" t="s">
        <v>3328</v>
      </c>
      <c r="F9" s="4">
        <v>51</v>
      </c>
      <c r="G9" s="14"/>
      <c r="H9" s="9"/>
    </row>
    <row r="10" spans="3:8" x14ac:dyDescent="0.25">
      <c r="C10" s="8"/>
      <c r="D10" s="2" t="s">
        <v>3270</v>
      </c>
      <c r="E10" s="2" t="s">
        <v>440</v>
      </c>
      <c r="F10" s="4">
        <v>20</v>
      </c>
      <c r="G10" s="14"/>
      <c r="H10" s="9"/>
    </row>
    <row r="11" spans="3:8" x14ac:dyDescent="0.25">
      <c r="C11" s="8"/>
      <c r="D11" s="2" t="s">
        <v>3271</v>
      </c>
      <c r="E11" s="2" t="s">
        <v>440</v>
      </c>
      <c r="F11" s="4">
        <v>20</v>
      </c>
      <c r="G11" s="14"/>
      <c r="H11" s="9"/>
    </row>
    <row r="12" spans="3:8" x14ac:dyDescent="0.25">
      <c r="C12" s="8"/>
      <c r="D12" s="2" t="s">
        <v>3272</v>
      </c>
      <c r="E12" s="2" t="s">
        <v>3327</v>
      </c>
      <c r="F12" s="4">
        <v>348.4</v>
      </c>
      <c r="G12" s="14"/>
      <c r="H12" s="9"/>
    </row>
    <row r="13" spans="3:8" x14ac:dyDescent="0.25">
      <c r="C13" s="8"/>
      <c r="D13" s="2" t="s">
        <v>3273</v>
      </c>
      <c r="E13" s="2" t="s">
        <v>440</v>
      </c>
      <c r="F13" s="4"/>
      <c r="G13" s="14"/>
      <c r="H13" s="9">
        <v>9</v>
      </c>
    </row>
    <row r="14" spans="3:8" x14ac:dyDescent="0.25">
      <c r="C14" s="8"/>
      <c r="D14" s="2" t="s">
        <v>3274</v>
      </c>
      <c r="E14" s="2" t="s">
        <v>440</v>
      </c>
      <c r="F14" s="4"/>
      <c r="G14" s="14"/>
      <c r="H14" s="9">
        <v>15</v>
      </c>
    </row>
    <row r="15" spans="3:8" x14ac:dyDescent="0.25">
      <c r="C15" s="8"/>
      <c r="D15" s="2" t="s">
        <v>3275</v>
      </c>
      <c r="E15" s="2" t="s">
        <v>440</v>
      </c>
      <c r="F15" s="4">
        <v>50</v>
      </c>
      <c r="G15" s="14"/>
      <c r="H15" s="9"/>
    </row>
    <row r="16" spans="3:8" x14ac:dyDescent="0.25">
      <c r="C16" s="8"/>
      <c r="D16" s="2" t="s">
        <v>3276</v>
      </c>
      <c r="E16" s="2" t="s">
        <v>440</v>
      </c>
      <c r="F16" s="4">
        <v>5</v>
      </c>
      <c r="G16" s="14"/>
      <c r="H16" s="9"/>
    </row>
    <row r="17" spans="3:8" x14ac:dyDescent="0.25">
      <c r="C17" s="8"/>
      <c r="D17" s="2" t="s">
        <v>3277</v>
      </c>
      <c r="E17" s="2" t="s">
        <v>440</v>
      </c>
      <c r="F17" s="4">
        <v>6</v>
      </c>
      <c r="G17" s="14"/>
      <c r="H17" s="9"/>
    </row>
    <row r="18" spans="3:8" x14ac:dyDescent="0.25">
      <c r="C18" s="8"/>
      <c r="D18" s="2" t="s">
        <v>3278</v>
      </c>
      <c r="E18" s="2" t="s">
        <v>440</v>
      </c>
      <c r="F18" s="4"/>
      <c r="G18" s="14"/>
      <c r="H18" s="9">
        <v>31.5</v>
      </c>
    </row>
    <row r="19" spans="3:8" x14ac:dyDescent="0.25">
      <c r="C19" s="8"/>
      <c r="D19" s="2" t="s">
        <v>3279</v>
      </c>
      <c r="E19" s="2" t="s">
        <v>3326</v>
      </c>
      <c r="F19" s="4">
        <v>291.60000000000002</v>
      </c>
      <c r="G19" s="14"/>
      <c r="H19" s="9"/>
    </row>
    <row r="20" spans="3:8" x14ac:dyDescent="0.25">
      <c r="C20" s="8"/>
      <c r="D20" s="2" t="s">
        <v>3280</v>
      </c>
      <c r="E20" s="2" t="s">
        <v>440</v>
      </c>
      <c r="F20" s="4">
        <v>15</v>
      </c>
      <c r="G20" s="14"/>
      <c r="H20" s="9"/>
    </row>
    <row r="21" spans="3:8" x14ac:dyDescent="0.25">
      <c r="C21" s="8"/>
      <c r="D21" s="2" t="s">
        <v>3281</v>
      </c>
      <c r="E21" s="2" t="s">
        <v>440</v>
      </c>
      <c r="F21" s="4">
        <v>3</v>
      </c>
      <c r="G21" s="14"/>
      <c r="H21" s="9"/>
    </row>
    <row r="22" spans="3:8" x14ac:dyDescent="0.25">
      <c r="C22" s="8"/>
      <c r="D22" s="2" t="s">
        <v>3282</v>
      </c>
      <c r="E22" s="2" t="s">
        <v>440</v>
      </c>
      <c r="F22" s="4">
        <v>10</v>
      </c>
      <c r="G22" s="14"/>
      <c r="H22" s="9">
        <v>6</v>
      </c>
    </row>
    <row r="23" spans="3:8" x14ac:dyDescent="0.25">
      <c r="C23" s="8"/>
      <c r="D23" s="2" t="s">
        <v>3283</v>
      </c>
      <c r="E23" s="2" t="s">
        <v>440</v>
      </c>
      <c r="F23" s="4">
        <v>108</v>
      </c>
      <c r="G23" s="14"/>
      <c r="H23" s="9"/>
    </row>
    <row r="24" spans="3:8" x14ac:dyDescent="0.25">
      <c r="C24" s="8"/>
      <c r="D24" s="2" t="s">
        <v>3284</v>
      </c>
      <c r="E24" s="2" t="s">
        <v>440</v>
      </c>
      <c r="F24" s="4">
        <v>36</v>
      </c>
      <c r="G24" s="14"/>
      <c r="H24" s="9"/>
    </row>
    <row r="25" spans="3:8" x14ac:dyDescent="0.25">
      <c r="C25" s="8"/>
      <c r="D25" s="2" t="s">
        <v>3285</v>
      </c>
      <c r="E25" s="2" t="s">
        <v>440</v>
      </c>
      <c r="F25" s="4">
        <v>5</v>
      </c>
      <c r="G25" s="14"/>
      <c r="H25" s="9"/>
    </row>
    <row r="26" spans="3:8" x14ac:dyDescent="0.25">
      <c r="C26" s="8"/>
      <c r="D26" s="2" t="s">
        <v>3286</v>
      </c>
      <c r="E26" s="2" t="s">
        <v>440</v>
      </c>
      <c r="F26" s="4">
        <v>5.5</v>
      </c>
      <c r="G26" s="14"/>
      <c r="H26" s="9"/>
    </row>
    <row r="27" spans="3:8" x14ac:dyDescent="0.25">
      <c r="C27" s="8"/>
      <c r="D27" s="2" t="s">
        <v>3287</v>
      </c>
      <c r="E27" s="2" t="s">
        <v>440</v>
      </c>
      <c r="F27" s="4">
        <v>31</v>
      </c>
      <c r="G27" s="14"/>
      <c r="H27" s="9"/>
    </row>
    <row r="28" spans="3:8" x14ac:dyDescent="0.25">
      <c r="C28" s="8"/>
      <c r="D28" s="2" t="s">
        <v>3288</v>
      </c>
      <c r="E28" s="2" t="s">
        <v>440</v>
      </c>
      <c r="F28" s="4">
        <v>6</v>
      </c>
      <c r="G28" s="14"/>
      <c r="H28" s="9"/>
    </row>
    <row r="29" spans="3:8" x14ac:dyDescent="0.25">
      <c r="C29" s="8"/>
      <c r="D29" s="2" t="s">
        <v>3289</v>
      </c>
      <c r="E29" s="2" t="s">
        <v>440</v>
      </c>
      <c r="F29" s="4">
        <v>149</v>
      </c>
      <c r="G29" s="14"/>
      <c r="H29" s="9"/>
    </row>
    <row r="30" spans="3:8" x14ac:dyDescent="0.25">
      <c r="C30" s="8"/>
      <c r="D30" s="2" t="s">
        <v>3290</v>
      </c>
      <c r="E30" s="2" t="s">
        <v>440</v>
      </c>
      <c r="F30" s="4">
        <v>32</v>
      </c>
      <c r="G30" s="14"/>
      <c r="H30" s="9"/>
    </row>
    <row r="31" spans="3:8" x14ac:dyDescent="0.25">
      <c r="C31" s="8"/>
      <c r="D31" s="2" t="s">
        <v>3291</v>
      </c>
      <c r="E31" s="2" t="s">
        <v>440</v>
      </c>
      <c r="F31" s="4">
        <v>5.5</v>
      </c>
      <c r="G31" s="14"/>
      <c r="H31" s="9"/>
    </row>
    <row r="32" spans="3:8" x14ac:dyDescent="0.25">
      <c r="C32" s="8"/>
      <c r="D32" s="2" t="s">
        <v>3292</v>
      </c>
      <c r="E32" s="2" t="s">
        <v>440</v>
      </c>
      <c r="F32" s="4">
        <v>5</v>
      </c>
      <c r="G32" s="14"/>
      <c r="H32" s="9"/>
    </row>
    <row r="33" spans="3:8" x14ac:dyDescent="0.25">
      <c r="C33" s="8"/>
      <c r="D33" s="2" t="s">
        <v>3293</v>
      </c>
      <c r="E33" s="2" t="s">
        <v>440</v>
      </c>
      <c r="F33" s="4">
        <v>10</v>
      </c>
      <c r="G33" s="14"/>
      <c r="H33" s="9">
        <v>6</v>
      </c>
    </row>
    <row r="34" spans="3:8" x14ac:dyDescent="0.25">
      <c r="C34" s="8"/>
      <c r="D34" s="2" t="s">
        <v>3294</v>
      </c>
      <c r="E34" s="2" t="s">
        <v>440</v>
      </c>
      <c r="F34" s="4">
        <v>20</v>
      </c>
      <c r="G34" s="14"/>
      <c r="H34" s="9"/>
    </row>
    <row r="35" spans="3:8" x14ac:dyDescent="0.25">
      <c r="C35" s="8"/>
      <c r="D35" s="2" t="s">
        <v>3295</v>
      </c>
      <c r="E35" s="2" t="s">
        <v>440</v>
      </c>
      <c r="F35" s="4">
        <v>11.5</v>
      </c>
      <c r="G35" s="14"/>
      <c r="H35" s="9"/>
    </row>
    <row r="36" spans="3:8" x14ac:dyDescent="0.25">
      <c r="C36" s="8"/>
      <c r="D36" s="2" t="s">
        <v>3296</v>
      </c>
      <c r="E36" s="2" t="s">
        <v>440</v>
      </c>
      <c r="F36" s="4">
        <v>2</v>
      </c>
      <c r="G36" s="14"/>
      <c r="H36" s="9"/>
    </row>
    <row r="37" spans="3:8" x14ac:dyDescent="0.25">
      <c r="C37" s="8"/>
      <c r="D37" s="2" t="s">
        <v>3297</v>
      </c>
      <c r="E37" s="2" t="s">
        <v>3326</v>
      </c>
      <c r="F37" s="4">
        <v>40</v>
      </c>
      <c r="G37" s="14"/>
      <c r="H37" s="9"/>
    </row>
    <row r="38" spans="3:8" x14ac:dyDescent="0.25">
      <c r="C38" s="8"/>
      <c r="D38" s="2" t="s">
        <v>3298</v>
      </c>
      <c r="E38" s="2" t="s">
        <v>440</v>
      </c>
      <c r="F38" s="4">
        <v>126.5</v>
      </c>
      <c r="G38" s="14"/>
      <c r="H38" s="9"/>
    </row>
    <row r="39" spans="3:8" x14ac:dyDescent="0.25">
      <c r="C39" s="8"/>
      <c r="D39" s="2" t="s">
        <v>3299</v>
      </c>
      <c r="E39" s="2" t="s">
        <v>440</v>
      </c>
      <c r="F39" s="4">
        <v>5</v>
      </c>
      <c r="G39" s="14"/>
      <c r="H39" s="9"/>
    </row>
    <row r="40" spans="3:8" x14ac:dyDescent="0.25">
      <c r="C40" s="8"/>
      <c r="D40" s="2" t="s">
        <v>3300</v>
      </c>
      <c r="E40" s="2" t="s">
        <v>440</v>
      </c>
      <c r="F40" s="4">
        <v>4</v>
      </c>
      <c r="G40" s="14"/>
      <c r="H40" s="9"/>
    </row>
    <row r="41" spans="3:8" x14ac:dyDescent="0.25">
      <c r="C41" s="8"/>
      <c r="D41" s="2" t="s">
        <v>3301</v>
      </c>
      <c r="E41" s="2" t="s">
        <v>440</v>
      </c>
      <c r="F41" s="4"/>
      <c r="G41" s="14"/>
      <c r="H41" s="9">
        <v>14.5</v>
      </c>
    </row>
    <row r="42" spans="3:8" x14ac:dyDescent="0.25">
      <c r="C42" s="8"/>
      <c r="D42" s="2" t="s">
        <v>3302</v>
      </c>
      <c r="E42" s="2" t="s">
        <v>440</v>
      </c>
      <c r="F42" s="4"/>
      <c r="G42" s="14"/>
      <c r="H42" s="9">
        <v>77.5</v>
      </c>
    </row>
    <row r="43" spans="3:8" x14ac:dyDescent="0.25">
      <c r="C43" s="8"/>
      <c r="D43" s="2" t="s">
        <v>3303</v>
      </c>
      <c r="E43" s="2" t="s">
        <v>3325</v>
      </c>
      <c r="F43" s="4"/>
      <c r="G43" s="14"/>
      <c r="H43" s="9">
        <v>365</v>
      </c>
    </row>
    <row r="44" spans="3:8" x14ac:dyDescent="0.25">
      <c r="C44" s="8"/>
      <c r="D44" s="2" t="s">
        <v>3304</v>
      </c>
      <c r="E44" s="2" t="s">
        <v>440</v>
      </c>
      <c r="F44" s="4">
        <v>5</v>
      </c>
      <c r="G44" s="14"/>
      <c r="H44" s="9"/>
    </row>
    <row r="45" spans="3:8" x14ac:dyDescent="0.25">
      <c r="C45" s="8"/>
      <c r="D45" s="2" t="s">
        <v>3305</v>
      </c>
      <c r="E45" s="2" t="s">
        <v>3324</v>
      </c>
      <c r="F45" s="4">
        <v>64</v>
      </c>
      <c r="G45" s="14"/>
      <c r="H45" s="9"/>
    </row>
    <row r="46" spans="3:8" x14ac:dyDescent="0.25">
      <c r="C46" s="8"/>
      <c r="D46" s="2" t="s">
        <v>3306</v>
      </c>
      <c r="E46" s="2" t="s">
        <v>212</v>
      </c>
      <c r="F46" s="4">
        <v>75</v>
      </c>
      <c r="G46" s="14"/>
      <c r="H46" s="9"/>
    </row>
    <row r="47" spans="3:8" x14ac:dyDescent="0.25">
      <c r="C47" s="8"/>
      <c r="D47" s="2" t="s">
        <v>3307</v>
      </c>
      <c r="E47" s="2" t="s">
        <v>440</v>
      </c>
      <c r="F47" s="4">
        <v>4</v>
      </c>
      <c r="G47" s="14"/>
      <c r="H47" s="9"/>
    </row>
    <row r="48" spans="3:8" x14ac:dyDescent="0.25">
      <c r="C48" s="8"/>
      <c r="D48" s="2" t="s">
        <v>3308</v>
      </c>
      <c r="E48" s="2" t="s">
        <v>440</v>
      </c>
      <c r="F48" s="4">
        <v>13</v>
      </c>
      <c r="G48" s="14"/>
      <c r="H48" s="9"/>
    </row>
    <row r="49" spans="3:8" x14ac:dyDescent="0.25">
      <c r="C49" s="8"/>
      <c r="D49" s="2" t="s">
        <v>3309</v>
      </c>
      <c r="E49" s="2" t="s">
        <v>440</v>
      </c>
      <c r="F49" s="4">
        <v>100</v>
      </c>
      <c r="G49" s="14"/>
      <c r="H49" s="9"/>
    </row>
    <row r="50" spans="3:8" x14ac:dyDescent="0.25">
      <c r="C50" s="8"/>
      <c r="D50" s="2" t="s">
        <v>3310</v>
      </c>
      <c r="E50" s="2" t="s">
        <v>440</v>
      </c>
      <c r="F50" s="4">
        <v>2</v>
      </c>
      <c r="G50" s="14"/>
      <c r="H50" s="9"/>
    </row>
    <row r="51" spans="3:8" x14ac:dyDescent="0.25">
      <c r="C51" s="8"/>
      <c r="D51" s="2" t="s">
        <v>3311</v>
      </c>
      <c r="E51" s="2" t="s">
        <v>3323</v>
      </c>
      <c r="F51" s="4"/>
      <c r="G51" s="14">
        <v>422</v>
      </c>
      <c r="H51" s="9"/>
    </row>
    <row r="52" spans="3:8" x14ac:dyDescent="0.25">
      <c r="C52" s="8"/>
      <c r="D52" s="2" t="s">
        <v>3312</v>
      </c>
      <c r="E52" s="2" t="s">
        <v>440</v>
      </c>
      <c r="F52" s="4">
        <v>31</v>
      </c>
      <c r="G52" s="14"/>
      <c r="H52" s="9"/>
    </row>
    <row r="53" spans="3:8" x14ac:dyDescent="0.25">
      <c r="C53" s="8"/>
      <c r="D53" s="2" t="s">
        <v>3313</v>
      </c>
      <c r="E53" s="2" t="s">
        <v>440</v>
      </c>
      <c r="F53" s="4">
        <v>45</v>
      </c>
      <c r="G53" s="14"/>
      <c r="H53" s="9"/>
    </row>
    <row r="54" spans="3:8" x14ac:dyDescent="0.25">
      <c r="C54" s="8"/>
      <c r="D54" s="2" t="s">
        <v>3314</v>
      </c>
      <c r="E54" s="2" t="s">
        <v>440</v>
      </c>
      <c r="F54" s="4">
        <v>11</v>
      </c>
      <c r="G54" s="14"/>
      <c r="H54" s="9"/>
    </row>
    <row r="55" spans="3:8" x14ac:dyDescent="0.25">
      <c r="C55" s="8"/>
      <c r="D55" s="2" t="s">
        <v>3315</v>
      </c>
      <c r="E55" s="2" t="s">
        <v>440</v>
      </c>
      <c r="F55" s="4">
        <v>24</v>
      </c>
      <c r="G55" s="14"/>
      <c r="H55" s="9"/>
    </row>
    <row r="56" spans="3:8" x14ac:dyDescent="0.25">
      <c r="C56" s="8"/>
      <c r="D56" s="2" t="s">
        <v>3316</v>
      </c>
      <c r="E56" s="2" t="s">
        <v>440</v>
      </c>
      <c r="F56" s="4">
        <v>38.5</v>
      </c>
      <c r="G56" s="14"/>
      <c r="H56" s="9"/>
    </row>
    <row r="57" spans="3:8" x14ac:dyDescent="0.25">
      <c r="C57" s="8"/>
      <c r="D57" s="2" t="s">
        <v>3317</v>
      </c>
      <c r="E57" s="2" t="s">
        <v>3322</v>
      </c>
      <c r="F57" s="4"/>
      <c r="G57" s="14"/>
      <c r="H57" s="9">
        <v>19.5</v>
      </c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45"/>
      <c r="E61" s="2"/>
      <c r="F61" s="4"/>
      <c r="G61" s="14"/>
      <c r="H61" s="9"/>
    </row>
    <row r="62" spans="3:8" x14ac:dyDescent="0.25">
      <c r="C62" s="8"/>
      <c r="D62" s="45"/>
      <c r="E62" s="2"/>
      <c r="F62" s="4"/>
      <c r="G62" s="14"/>
      <c r="H62" s="9"/>
    </row>
    <row r="63" spans="3:8" x14ac:dyDescent="0.25">
      <c r="C63" s="8"/>
      <c r="D63" s="45"/>
      <c r="E63" s="2"/>
      <c r="F63" s="4"/>
      <c r="G63" s="14"/>
      <c r="H63" s="63"/>
    </row>
    <row r="64" spans="3:8" x14ac:dyDescent="0.25">
      <c r="C64" s="8"/>
      <c r="D64" s="45"/>
      <c r="E64" s="2"/>
      <c r="F64" s="4"/>
      <c r="G64" s="14"/>
      <c r="H64" s="4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16"/>
      <c r="D66" s="17"/>
      <c r="E66" s="17" t="s">
        <v>39</v>
      </c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19"/>
      <c r="D69" s="20"/>
      <c r="E69" s="20" t="s">
        <v>42</v>
      </c>
      <c r="F69" s="4"/>
      <c r="G69" s="14"/>
      <c r="H69" s="9"/>
    </row>
    <row r="70" spans="3:8" x14ac:dyDescent="0.25">
      <c r="C70" s="34"/>
      <c r="D70" s="42"/>
      <c r="E70" s="2" t="s">
        <v>3318</v>
      </c>
      <c r="F70" s="14">
        <v>-515</v>
      </c>
      <c r="G70" s="14"/>
      <c r="H70" s="9"/>
    </row>
    <row r="71" spans="3:8" x14ac:dyDescent="0.25">
      <c r="C71" s="8"/>
      <c r="D71" s="2"/>
      <c r="E71" s="2" t="s">
        <v>2167</v>
      </c>
      <c r="F71" s="14">
        <v>-20</v>
      </c>
      <c r="G71" s="14"/>
      <c r="H71" s="9"/>
    </row>
    <row r="72" spans="3:8" x14ac:dyDescent="0.25">
      <c r="C72" s="8"/>
      <c r="D72" s="2"/>
      <c r="E72" s="2" t="s">
        <v>754</v>
      </c>
      <c r="F72" s="14">
        <v>-30</v>
      </c>
      <c r="G72" s="14"/>
      <c r="H72" s="9"/>
    </row>
    <row r="73" spans="3:8" x14ac:dyDescent="0.25">
      <c r="C73" s="8"/>
      <c r="D73" s="2"/>
      <c r="E73" s="2" t="s">
        <v>757</v>
      </c>
      <c r="F73" s="14">
        <v>-20</v>
      </c>
      <c r="G73" s="14"/>
      <c r="H73" s="9"/>
    </row>
    <row r="74" spans="3:8" x14ac:dyDescent="0.25">
      <c r="C74" s="8"/>
      <c r="D74" s="2"/>
      <c r="E74" s="2" t="s">
        <v>3319</v>
      </c>
      <c r="F74" s="14">
        <v>-70</v>
      </c>
      <c r="G74" s="14"/>
      <c r="H74" s="9"/>
    </row>
    <row r="75" spans="3:8" x14ac:dyDescent="0.25">
      <c r="C75" s="8"/>
      <c r="D75" s="2"/>
      <c r="E75" s="2" t="s">
        <v>766</v>
      </c>
      <c r="F75" s="14">
        <v>-300</v>
      </c>
      <c r="G75" s="14"/>
      <c r="H75" s="9"/>
    </row>
    <row r="76" spans="3:8" x14ac:dyDescent="0.25">
      <c r="C76" s="8"/>
      <c r="D76" s="2"/>
      <c r="E76" s="2" t="s">
        <v>758</v>
      </c>
      <c r="F76" s="14">
        <v>-25</v>
      </c>
      <c r="G76" s="14"/>
      <c r="H76" s="9"/>
    </row>
    <row r="77" spans="3:8" x14ac:dyDescent="0.25">
      <c r="C77" s="8"/>
      <c r="D77" s="2"/>
      <c r="E77" s="2" t="s">
        <v>3320</v>
      </c>
      <c r="F77" s="14">
        <v>-420</v>
      </c>
      <c r="G77" s="14"/>
      <c r="H77" s="9"/>
    </row>
    <row r="78" spans="3:8" x14ac:dyDescent="0.25">
      <c r="C78" s="8"/>
      <c r="D78" s="2"/>
      <c r="E78" s="2" t="s">
        <v>3321</v>
      </c>
      <c r="F78" s="14">
        <v>-120</v>
      </c>
      <c r="G78" s="14"/>
      <c r="H78" s="9"/>
    </row>
    <row r="79" spans="3:8" x14ac:dyDescent="0.25">
      <c r="C79" s="8"/>
      <c r="D79" s="2"/>
      <c r="E79" s="2"/>
      <c r="F79" s="14"/>
      <c r="G79" s="14"/>
      <c r="H79" s="9"/>
    </row>
    <row r="80" spans="3:8" x14ac:dyDescent="0.25">
      <c r="C80" s="8"/>
      <c r="D80" s="2"/>
      <c r="E80" s="2"/>
      <c r="F80" s="14"/>
      <c r="G80" s="14"/>
      <c r="H80" s="9"/>
    </row>
    <row r="81" spans="3:8" x14ac:dyDescent="0.25">
      <c r="C81" s="8"/>
      <c r="D81" s="2"/>
      <c r="E81" s="2"/>
      <c r="F81" s="14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ht="15.75" thickBot="1" x14ac:dyDescent="0.3">
      <c r="C83" s="10"/>
      <c r="D83" s="11"/>
      <c r="E83" s="11" t="s">
        <v>44</v>
      </c>
      <c r="F83" s="12">
        <f>SUM(F6:F82)</f>
        <v>464</v>
      </c>
      <c r="G83" s="15">
        <f>SUM(G6:G82)</f>
        <v>422</v>
      </c>
      <c r="H83" s="13">
        <f>SUM(H6:H82)</f>
        <v>591</v>
      </c>
    </row>
    <row r="86" spans="3:8" s="3" customFormat="1" ht="18.75" x14ac:dyDescent="0.3">
      <c r="C86" s="1"/>
      <c r="D86" s="1"/>
      <c r="E86" s="38" t="s">
        <v>49</v>
      </c>
      <c r="F86" s="39">
        <f>+H4+F83</f>
        <v>8567.2900000000009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7BCF-12D8-4FE0-8FA0-8788603096F7}">
  <sheetPr codeName="Hoja36"/>
  <dimension ref="C2:I96"/>
  <sheetViews>
    <sheetView topLeftCell="A68" workbookViewId="0">
      <selection activeCell="F96" sqref="F96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7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3330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8567.2900000000009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3331</v>
      </c>
      <c r="E6" s="2" t="s">
        <v>440</v>
      </c>
      <c r="F6" s="4">
        <v>63</v>
      </c>
      <c r="G6" s="14"/>
      <c r="H6" s="9"/>
    </row>
    <row r="7" spans="3:8" x14ac:dyDescent="0.25">
      <c r="C7" s="8"/>
      <c r="D7" s="2" t="s">
        <v>3338</v>
      </c>
      <c r="E7" s="2" t="s">
        <v>440</v>
      </c>
      <c r="F7" s="4">
        <v>84</v>
      </c>
      <c r="G7" s="14"/>
      <c r="H7" s="9"/>
    </row>
    <row r="8" spans="3:8" x14ac:dyDescent="0.25">
      <c r="C8" s="8"/>
      <c r="D8" s="2" t="s">
        <v>3339</v>
      </c>
      <c r="E8" s="2" t="s">
        <v>3392</v>
      </c>
      <c r="F8" s="4"/>
      <c r="G8" s="14"/>
      <c r="H8" s="9">
        <v>277</v>
      </c>
    </row>
    <row r="9" spans="3:8" x14ac:dyDescent="0.25">
      <c r="C9" s="8"/>
      <c r="D9" s="2" t="s">
        <v>3340</v>
      </c>
      <c r="E9" s="2" t="s">
        <v>440</v>
      </c>
      <c r="F9" s="4"/>
      <c r="G9" s="14"/>
      <c r="H9" s="9">
        <v>14</v>
      </c>
    </row>
    <row r="10" spans="3:8" x14ac:dyDescent="0.25">
      <c r="C10" s="8"/>
      <c r="D10" s="2" t="s">
        <v>3341</v>
      </c>
      <c r="E10" s="2" t="s">
        <v>3391</v>
      </c>
      <c r="F10" s="4"/>
      <c r="G10" s="14">
        <v>21</v>
      </c>
      <c r="H10" s="9"/>
    </row>
    <row r="11" spans="3:8" x14ac:dyDescent="0.25">
      <c r="C11" s="8"/>
      <c r="D11" s="2" t="s">
        <v>3342</v>
      </c>
      <c r="E11" s="2" t="s">
        <v>440</v>
      </c>
      <c r="F11" s="4"/>
      <c r="G11" s="14"/>
      <c r="H11" s="9">
        <v>5.5</v>
      </c>
    </row>
    <row r="12" spans="3:8" x14ac:dyDescent="0.25">
      <c r="C12" s="8"/>
      <c r="D12" s="2" t="s">
        <v>3343</v>
      </c>
      <c r="E12" s="2" t="s">
        <v>440</v>
      </c>
      <c r="F12" s="4"/>
      <c r="G12" s="14"/>
      <c r="H12" s="9">
        <v>6</v>
      </c>
    </row>
    <row r="13" spans="3:8" x14ac:dyDescent="0.25">
      <c r="C13" s="8"/>
      <c r="D13" s="2" t="s">
        <v>3344</v>
      </c>
      <c r="E13" s="2" t="s">
        <v>440</v>
      </c>
      <c r="F13" s="4">
        <v>12.5</v>
      </c>
      <c r="G13" s="14"/>
      <c r="H13" s="9"/>
    </row>
    <row r="14" spans="3:8" x14ac:dyDescent="0.25">
      <c r="C14" s="8"/>
      <c r="D14" s="2" t="s">
        <v>3345</v>
      </c>
      <c r="E14" s="2" t="s">
        <v>440</v>
      </c>
      <c r="F14" s="4">
        <v>5</v>
      </c>
      <c r="G14" s="14"/>
      <c r="H14" s="9"/>
    </row>
    <row r="15" spans="3:8" x14ac:dyDescent="0.25">
      <c r="C15" s="8"/>
      <c r="D15" s="2" t="s">
        <v>3346</v>
      </c>
      <c r="E15" s="2" t="s">
        <v>3390</v>
      </c>
      <c r="F15" s="4">
        <v>920</v>
      </c>
      <c r="G15" s="14"/>
      <c r="H15" s="9"/>
    </row>
    <row r="16" spans="3:8" x14ac:dyDescent="0.25">
      <c r="C16" s="8"/>
      <c r="D16" s="2" t="s">
        <v>3347</v>
      </c>
      <c r="E16" s="2" t="s">
        <v>3390</v>
      </c>
      <c r="F16" s="4">
        <v>165</v>
      </c>
      <c r="G16" s="14"/>
      <c r="H16" s="9"/>
    </row>
    <row r="17" spans="3:8" x14ac:dyDescent="0.25">
      <c r="C17" s="8"/>
      <c r="D17" s="2" t="s">
        <v>3348</v>
      </c>
      <c r="E17" s="2" t="s">
        <v>1679</v>
      </c>
      <c r="F17" s="4">
        <v>132</v>
      </c>
      <c r="G17" s="14"/>
      <c r="H17" s="9"/>
    </row>
    <row r="18" spans="3:8" x14ac:dyDescent="0.25">
      <c r="C18" s="8"/>
      <c r="D18" s="2" t="s">
        <v>3349</v>
      </c>
      <c r="E18" s="2" t="s">
        <v>3389</v>
      </c>
      <c r="F18" s="4"/>
      <c r="G18" s="14"/>
      <c r="H18" s="9">
        <v>200</v>
      </c>
    </row>
    <row r="19" spans="3:8" x14ac:dyDescent="0.25">
      <c r="C19" s="8"/>
      <c r="D19" s="2" t="s">
        <v>3350</v>
      </c>
      <c r="E19" s="2" t="s">
        <v>35</v>
      </c>
      <c r="F19" s="4"/>
      <c r="G19" s="14">
        <v>1735</v>
      </c>
      <c r="H19" s="9"/>
    </row>
    <row r="20" spans="3:8" x14ac:dyDescent="0.25">
      <c r="C20" s="8"/>
      <c r="D20" s="2" t="s">
        <v>3351</v>
      </c>
      <c r="E20" s="2" t="s">
        <v>440</v>
      </c>
      <c r="F20" s="4">
        <v>10</v>
      </c>
      <c r="G20" s="14"/>
      <c r="H20" s="9"/>
    </row>
    <row r="21" spans="3:8" x14ac:dyDescent="0.25">
      <c r="C21" s="8"/>
      <c r="D21" s="2" t="s">
        <v>3352</v>
      </c>
      <c r="E21" s="2" t="s">
        <v>440</v>
      </c>
      <c r="F21" s="4">
        <v>14</v>
      </c>
      <c r="G21" s="14"/>
      <c r="H21" s="9"/>
    </row>
    <row r="22" spans="3:8" x14ac:dyDescent="0.25">
      <c r="C22" s="8"/>
      <c r="D22" s="2" t="s">
        <v>3353</v>
      </c>
      <c r="E22" s="2" t="s">
        <v>52</v>
      </c>
      <c r="F22" s="4">
        <v>25</v>
      </c>
      <c r="G22" s="14"/>
      <c r="H22" s="9"/>
    </row>
    <row r="23" spans="3:8" x14ac:dyDescent="0.25">
      <c r="C23" s="8"/>
      <c r="D23" s="2" t="s">
        <v>3354</v>
      </c>
      <c r="E23" s="2" t="s">
        <v>440</v>
      </c>
      <c r="F23" s="4">
        <v>13</v>
      </c>
      <c r="G23" s="14"/>
      <c r="H23" s="9"/>
    </row>
    <row r="24" spans="3:8" x14ac:dyDescent="0.25">
      <c r="C24" s="8"/>
      <c r="D24" s="2" t="s">
        <v>3355</v>
      </c>
      <c r="E24" s="2" t="s">
        <v>440</v>
      </c>
      <c r="F24" s="4">
        <v>24</v>
      </c>
      <c r="G24" s="14"/>
      <c r="H24" s="9"/>
    </row>
    <row r="25" spans="3:8" x14ac:dyDescent="0.25">
      <c r="C25" s="8"/>
      <c r="D25" s="2" t="s">
        <v>3356</v>
      </c>
      <c r="E25" s="2" t="s">
        <v>440</v>
      </c>
      <c r="F25" s="4">
        <v>7</v>
      </c>
      <c r="G25" s="14"/>
      <c r="H25" s="9"/>
    </row>
    <row r="26" spans="3:8" x14ac:dyDescent="0.25">
      <c r="C26" s="8"/>
      <c r="D26" s="2" t="s">
        <v>3357</v>
      </c>
      <c r="E26" s="2" t="s">
        <v>440</v>
      </c>
      <c r="F26" s="4">
        <v>35.5</v>
      </c>
      <c r="G26" s="14"/>
      <c r="H26" s="9"/>
    </row>
    <row r="27" spans="3:8" x14ac:dyDescent="0.25">
      <c r="C27" s="8"/>
      <c r="D27" s="2" t="s">
        <v>3358</v>
      </c>
      <c r="E27" s="2" t="s">
        <v>440</v>
      </c>
      <c r="F27" s="4">
        <v>175</v>
      </c>
      <c r="G27" s="14"/>
      <c r="H27" s="9"/>
    </row>
    <row r="28" spans="3:8" x14ac:dyDescent="0.25">
      <c r="C28" s="8"/>
      <c r="D28" s="2" t="s">
        <v>3359</v>
      </c>
      <c r="E28" s="2" t="s">
        <v>440</v>
      </c>
      <c r="F28" s="4">
        <v>2.5</v>
      </c>
      <c r="G28" s="14"/>
      <c r="H28" s="9"/>
    </row>
    <row r="29" spans="3:8" x14ac:dyDescent="0.25">
      <c r="C29" s="8"/>
      <c r="D29" s="2" t="s">
        <v>3360</v>
      </c>
      <c r="E29" s="2" t="s">
        <v>1151</v>
      </c>
      <c r="F29" s="4">
        <v>20</v>
      </c>
      <c r="G29" s="14"/>
      <c r="H29" s="9"/>
    </row>
    <row r="30" spans="3:8" x14ac:dyDescent="0.25">
      <c r="C30" s="8"/>
      <c r="D30" s="2" t="s">
        <v>3361</v>
      </c>
      <c r="E30" s="2" t="s">
        <v>2972</v>
      </c>
      <c r="F30" s="4"/>
      <c r="G30" s="14"/>
      <c r="H30" s="9">
        <v>2633</v>
      </c>
    </row>
    <row r="31" spans="3:8" x14ac:dyDescent="0.25">
      <c r="C31" s="8"/>
      <c r="D31" s="2" t="s">
        <v>3362</v>
      </c>
      <c r="E31" s="2" t="s">
        <v>440</v>
      </c>
      <c r="F31" s="4">
        <v>8</v>
      </c>
      <c r="G31" s="14"/>
      <c r="H31" s="9"/>
    </row>
    <row r="32" spans="3:8" x14ac:dyDescent="0.25">
      <c r="C32" s="8"/>
      <c r="D32" s="2" t="s">
        <v>3363</v>
      </c>
      <c r="E32" s="2" t="s">
        <v>440</v>
      </c>
      <c r="F32" s="4">
        <v>62</v>
      </c>
      <c r="G32" s="14"/>
      <c r="H32" s="9"/>
    </row>
    <row r="33" spans="3:8" x14ac:dyDescent="0.25">
      <c r="C33" s="8"/>
      <c r="D33" s="2" t="s">
        <v>3364</v>
      </c>
      <c r="E33" s="2" t="s">
        <v>440</v>
      </c>
      <c r="F33" s="4">
        <v>155</v>
      </c>
      <c r="G33" s="14"/>
      <c r="H33" s="9"/>
    </row>
    <row r="34" spans="3:8" x14ac:dyDescent="0.25">
      <c r="C34" s="8"/>
      <c r="D34" s="2" t="s">
        <v>3411</v>
      </c>
      <c r="E34" s="2"/>
      <c r="F34" s="4"/>
      <c r="G34" s="14"/>
      <c r="H34" s="9"/>
    </row>
    <row r="35" spans="3:8" x14ac:dyDescent="0.25">
      <c r="C35" s="8"/>
      <c r="D35" s="2" t="s">
        <v>3365</v>
      </c>
      <c r="E35" s="2" t="s">
        <v>48</v>
      </c>
      <c r="F35" s="4"/>
      <c r="G35" s="14"/>
      <c r="H35" s="9">
        <v>6</v>
      </c>
    </row>
    <row r="36" spans="3:8" x14ac:dyDescent="0.25">
      <c r="C36" s="8"/>
      <c r="D36" s="2" t="s">
        <v>3366</v>
      </c>
      <c r="E36" s="2" t="s">
        <v>48</v>
      </c>
      <c r="F36" s="4"/>
      <c r="G36" s="14"/>
      <c r="H36" s="9">
        <v>27</v>
      </c>
    </row>
    <row r="37" spans="3:8" x14ac:dyDescent="0.25">
      <c r="C37" s="8"/>
      <c r="D37" s="2" t="s">
        <v>3367</v>
      </c>
      <c r="E37" s="2" t="s">
        <v>48</v>
      </c>
      <c r="F37" s="4">
        <v>30</v>
      </c>
      <c r="G37" s="14"/>
      <c r="H37" s="9"/>
    </row>
    <row r="38" spans="3:8" x14ac:dyDescent="0.25">
      <c r="C38" s="8"/>
      <c r="D38" s="2" t="s">
        <v>3368</v>
      </c>
      <c r="E38" s="2" t="s">
        <v>48</v>
      </c>
      <c r="F38" s="4">
        <v>23.5</v>
      </c>
      <c r="G38" s="14"/>
      <c r="H38" s="9"/>
    </row>
    <row r="39" spans="3:8" x14ac:dyDescent="0.25">
      <c r="C39" s="8"/>
      <c r="D39" s="2" t="s">
        <v>3369</v>
      </c>
      <c r="E39" s="2" t="s">
        <v>48</v>
      </c>
      <c r="F39" s="4"/>
      <c r="G39" s="14"/>
      <c r="H39" s="9">
        <v>10</v>
      </c>
    </row>
    <row r="40" spans="3:8" x14ac:dyDescent="0.25">
      <c r="C40" s="8"/>
      <c r="D40" s="2" t="s">
        <v>3370</v>
      </c>
      <c r="E40" s="2" t="s">
        <v>3388</v>
      </c>
      <c r="F40" s="4"/>
      <c r="G40" s="14"/>
      <c r="H40" s="9">
        <v>5036</v>
      </c>
    </row>
    <row r="41" spans="3:8" x14ac:dyDescent="0.25">
      <c r="C41" s="8"/>
      <c r="D41" s="2" t="s">
        <v>3371</v>
      </c>
      <c r="E41" s="2" t="s">
        <v>48</v>
      </c>
      <c r="F41" s="4">
        <v>17.5</v>
      </c>
      <c r="G41" s="14"/>
      <c r="H41" s="9"/>
    </row>
    <row r="42" spans="3:8" x14ac:dyDescent="0.25">
      <c r="C42" s="8"/>
      <c r="D42" s="2" t="s">
        <v>3372</v>
      </c>
      <c r="E42" s="2" t="s">
        <v>1373</v>
      </c>
      <c r="F42" s="4"/>
      <c r="G42" s="14">
        <v>4030</v>
      </c>
      <c r="H42" s="9"/>
    </row>
    <row r="43" spans="3:8" x14ac:dyDescent="0.25">
      <c r="C43" s="8"/>
      <c r="D43" s="2" t="s">
        <v>3373</v>
      </c>
      <c r="E43" s="2" t="s">
        <v>1373</v>
      </c>
      <c r="F43" s="4"/>
      <c r="G43" s="14">
        <v>280</v>
      </c>
      <c r="H43" s="9"/>
    </row>
    <row r="44" spans="3:8" x14ac:dyDescent="0.25">
      <c r="C44" s="8"/>
      <c r="D44" s="2" t="s">
        <v>3374</v>
      </c>
      <c r="E44" s="2" t="s">
        <v>106</v>
      </c>
      <c r="F44" s="4"/>
      <c r="G44" s="14"/>
      <c r="H44" s="9">
        <v>260</v>
      </c>
    </row>
    <row r="45" spans="3:8" x14ac:dyDescent="0.25">
      <c r="C45" s="8"/>
      <c r="D45" s="2" t="s">
        <v>3375</v>
      </c>
      <c r="E45" s="2" t="s">
        <v>3387</v>
      </c>
      <c r="F45" s="4"/>
      <c r="G45" s="14"/>
      <c r="H45" s="9">
        <v>22.5</v>
      </c>
    </row>
    <row r="46" spans="3:8" x14ac:dyDescent="0.25">
      <c r="C46" s="8"/>
      <c r="D46" s="2" t="s">
        <v>3376</v>
      </c>
      <c r="E46" s="2" t="s">
        <v>3386</v>
      </c>
      <c r="F46" s="4"/>
      <c r="G46" s="14"/>
      <c r="H46" s="9">
        <v>6.5</v>
      </c>
    </row>
    <row r="47" spans="3:8" x14ac:dyDescent="0.25">
      <c r="C47" s="8"/>
      <c r="D47" s="2" t="s">
        <v>3377</v>
      </c>
      <c r="E47" s="2" t="s">
        <v>2222</v>
      </c>
      <c r="F47" s="4"/>
      <c r="G47" s="14"/>
      <c r="H47" s="9">
        <v>7.5</v>
      </c>
    </row>
    <row r="48" spans="3:8" x14ac:dyDescent="0.25">
      <c r="C48" s="8"/>
      <c r="D48" s="2" t="s">
        <v>3378</v>
      </c>
      <c r="E48" s="2" t="s">
        <v>48</v>
      </c>
      <c r="F48" s="4">
        <v>9.5</v>
      </c>
      <c r="G48" s="14"/>
      <c r="H48" s="9"/>
    </row>
    <row r="49" spans="3:8" x14ac:dyDescent="0.25">
      <c r="C49" s="8"/>
      <c r="D49" s="2" t="s">
        <v>3379</v>
      </c>
      <c r="E49" s="2" t="s">
        <v>3385</v>
      </c>
      <c r="F49" s="4">
        <v>905.4</v>
      </c>
      <c r="G49" s="14"/>
      <c r="H49" s="9"/>
    </row>
    <row r="50" spans="3:8" x14ac:dyDescent="0.25">
      <c r="C50" s="8"/>
      <c r="D50" s="2" t="s">
        <v>3380</v>
      </c>
      <c r="E50" s="2" t="s">
        <v>48</v>
      </c>
      <c r="F50" s="4">
        <v>15.5</v>
      </c>
      <c r="G50" s="14"/>
      <c r="H50" s="9"/>
    </row>
    <row r="51" spans="3:8" x14ac:dyDescent="0.25">
      <c r="C51" s="8"/>
      <c r="D51" s="2" t="s">
        <v>3381</v>
      </c>
      <c r="E51" s="2" t="s">
        <v>48</v>
      </c>
      <c r="F51" s="4">
        <v>2</v>
      </c>
      <c r="G51" s="14"/>
      <c r="H51" s="9"/>
    </row>
    <row r="52" spans="3:8" x14ac:dyDescent="0.25">
      <c r="C52" s="8"/>
      <c r="D52" s="2" t="s">
        <v>3382</v>
      </c>
      <c r="E52" s="2" t="s">
        <v>58</v>
      </c>
      <c r="F52" s="4"/>
      <c r="G52" s="14"/>
      <c r="H52" s="9">
        <v>15.5</v>
      </c>
    </row>
    <row r="53" spans="3:8" x14ac:dyDescent="0.25">
      <c r="C53" s="8"/>
      <c r="D53" s="2" t="s">
        <v>3383</v>
      </c>
      <c r="E53" s="2" t="s">
        <v>48</v>
      </c>
      <c r="F53" s="4">
        <v>1</v>
      </c>
      <c r="G53" s="14"/>
      <c r="H53" s="9"/>
    </row>
    <row r="54" spans="3:8" x14ac:dyDescent="0.25">
      <c r="C54" s="8"/>
      <c r="D54" s="2" t="s">
        <v>3384</v>
      </c>
      <c r="E54" s="2" t="s">
        <v>48</v>
      </c>
      <c r="F54" s="4">
        <v>284.5</v>
      </c>
      <c r="G54" s="14"/>
      <c r="H54" s="9"/>
    </row>
    <row r="55" spans="3:8" x14ac:dyDescent="0.25">
      <c r="C55" s="8"/>
      <c r="D55" s="2" t="s">
        <v>3395</v>
      </c>
      <c r="E55" s="2" t="s">
        <v>48</v>
      </c>
      <c r="F55" s="4">
        <v>5</v>
      </c>
      <c r="G55" s="14"/>
      <c r="H55" s="9"/>
    </row>
    <row r="56" spans="3:8" x14ac:dyDescent="0.25">
      <c r="C56" s="8"/>
      <c r="D56" s="2" t="s">
        <v>3396</v>
      </c>
      <c r="E56" s="2" t="s">
        <v>48</v>
      </c>
      <c r="F56" s="4">
        <v>8</v>
      </c>
      <c r="G56" s="14"/>
      <c r="H56" s="9"/>
    </row>
    <row r="57" spans="3:8" x14ac:dyDescent="0.25">
      <c r="C57" s="8"/>
      <c r="D57" s="2" t="s">
        <v>3437</v>
      </c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29"/>
      <c r="D59" s="30"/>
      <c r="E59" s="30" t="s">
        <v>60</v>
      </c>
      <c r="F59" s="4"/>
      <c r="G59" s="14"/>
      <c r="H59" s="9"/>
    </row>
    <row r="60" spans="3:8" x14ac:dyDescent="0.25">
      <c r="C60" s="8"/>
      <c r="D60" s="45" t="s">
        <v>3332</v>
      </c>
      <c r="E60" s="2" t="s">
        <v>688</v>
      </c>
      <c r="F60" s="4"/>
      <c r="G60" s="14"/>
      <c r="H60" s="9">
        <v>600</v>
      </c>
    </row>
    <row r="61" spans="3:8" x14ac:dyDescent="0.25">
      <c r="C61" s="8"/>
      <c r="D61" s="45" t="s">
        <v>3336</v>
      </c>
      <c r="E61" s="2" t="s">
        <v>3335</v>
      </c>
      <c r="F61" s="4">
        <v>10</v>
      </c>
      <c r="G61" s="14"/>
      <c r="H61" s="9"/>
    </row>
    <row r="62" spans="3:8" x14ac:dyDescent="0.25">
      <c r="C62" s="8"/>
      <c r="D62" s="45" t="s">
        <v>3337</v>
      </c>
      <c r="E62" s="2" t="s">
        <v>1390</v>
      </c>
      <c r="F62" s="4"/>
      <c r="G62" s="14"/>
      <c r="H62" s="63">
        <v>2185</v>
      </c>
    </row>
    <row r="63" spans="3:8" x14ac:dyDescent="0.25">
      <c r="C63" s="8"/>
      <c r="D63" s="45"/>
      <c r="E63" s="2"/>
      <c r="F63" s="4"/>
      <c r="G63" s="14"/>
      <c r="H63" s="63"/>
    </row>
    <row r="64" spans="3:8" x14ac:dyDescent="0.25">
      <c r="C64" s="8"/>
      <c r="D64" s="45"/>
      <c r="E64" s="2"/>
      <c r="F64" s="4"/>
      <c r="G64" s="14"/>
      <c r="H64" s="63"/>
    </row>
    <row r="65" spans="3:9" x14ac:dyDescent="0.25">
      <c r="C65" s="8"/>
      <c r="D65" s="45"/>
      <c r="E65" s="2"/>
      <c r="F65" s="4"/>
      <c r="G65" s="14"/>
      <c r="H65" s="63"/>
    </row>
    <row r="66" spans="3:9" x14ac:dyDescent="0.25">
      <c r="C66" s="8"/>
      <c r="D66" s="45"/>
      <c r="E66" s="2"/>
      <c r="F66" s="4"/>
      <c r="G66" s="14"/>
      <c r="H66" s="4"/>
    </row>
    <row r="67" spans="3:9" x14ac:dyDescent="0.25">
      <c r="C67" s="8"/>
      <c r="D67" s="2"/>
      <c r="E67" s="2"/>
      <c r="F67" s="4"/>
      <c r="G67" s="14"/>
      <c r="H67" s="9"/>
    </row>
    <row r="68" spans="3:9" x14ac:dyDescent="0.25">
      <c r="C68" s="16"/>
      <c r="D68" s="17"/>
      <c r="E68" s="17" t="s">
        <v>39</v>
      </c>
      <c r="F68" s="4"/>
      <c r="G68" s="14"/>
      <c r="H68" s="9"/>
    </row>
    <row r="69" spans="3:9" x14ac:dyDescent="0.25">
      <c r="C69" s="8"/>
      <c r="D69" s="2"/>
      <c r="E69" s="2" t="s">
        <v>3394</v>
      </c>
      <c r="F69" s="4">
        <v>20</v>
      </c>
      <c r="G69" s="14"/>
      <c r="H69" s="9"/>
    </row>
    <row r="70" spans="3:9" x14ac:dyDescent="0.25">
      <c r="C70" s="8"/>
      <c r="D70" s="2"/>
      <c r="E70" s="2" t="s">
        <v>3397</v>
      </c>
      <c r="F70" s="4">
        <v>422</v>
      </c>
      <c r="G70" s="14"/>
      <c r="H70" s="9"/>
    </row>
    <row r="71" spans="3:9" x14ac:dyDescent="0.25">
      <c r="C71" s="8"/>
      <c r="D71" s="2"/>
      <c r="E71" s="2" t="s">
        <v>3398</v>
      </c>
      <c r="F71" s="4">
        <f>2244.4+375</f>
        <v>2619.4</v>
      </c>
      <c r="G71" s="14"/>
      <c r="H71" s="9"/>
    </row>
    <row r="72" spans="3:9" x14ac:dyDescent="0.25">
      <c r="C72" s="8"/>
      <c r="D72" s="2"/>
      <c r="E72" s="2" t="s">
        <v>266</v>
      </c>
      <c r="F72" s="4">
        <v>24</v>
      </c>
      <c r="G72" s="14"/>
      <c r="H72" s="9"/>
    </row>
    <row r="73" spans="3:9" x14ac:dyDescent="0.25">
      <c r="C73" s="8"/>
      <c r="D73" s="2"/>
      <c r="E73" s="2"/>
      <c r="F73" s="4"/>
      <c r="G73" s="14"/>
      <c r="H73" s="9"/>
    </row>
    <row r="74" spans="3:9" x14ac:dyDescent="0.25">
      <c r="C74" s="8"/>
      <c r="D74" s="2"/>
      <c r="E74" s="2"/>
      <c r="F74" s="4"/>
      <c r="G74" s="14"/>
      <c r="H74" s="9"/>
    </row>
    <row r="75" spans="3:9" x14ac:dyDescent="0.25">
      <c r="C75" s="8"/>
      <c r="D75" s="2"/>
      <c r="E75" s="2"/>
      <c r="F75" s="4"/>
      <c r="G75" s="14"/>
      <c r="H75" s="9"/>
    </row>
    <row r="76" spans="3:9" x14ac:dyDescent="0.25">
      <c r="C76" s="8"/>
      <c r="D76" s="2"/>
      <c r="E76" s="2"/>
      <c r="F76" s="4"/>
      <c r="G76" s="14"/>
      <c r="H76" s="9"/>
    </row>
    <row r="77" spans="3:9" x14ac:dyDescent="0.25">
      <c r="C77" s="19"/>
      <c r="D77" s="20"/>
      <c r="E77" s="20" t="s">
        <v>42</v>
      </c>
      <c r="F77" s="4"/>
      <c r="G77" s="14"/>
      <c r="H77" s="9"/>
    </row>
    <row r="78" spans="3:9" x14ac:dyDescent="0.25">
      <c r="C78" s="34"/>
      <c r="D78" s="42"/>
      <c r="E78" s="2" t="s">
        <v>3333</v>
      </c>
      <c r="F78" s="14">
        <v>-375</v>
      </c>
      <c r="G78" s="14"/>
      <c r="H78" s="9"/>
    </row>
    <row r="79" spans="3:9" x14ac:dyDescent="0.25">
      <c r="C79" s="8"/>
      <c r="D79" s="2"/>
      <c r="E79" s="2" t="s">
        <v>3334</v>
      </c>
      <c r="F79" s="14">
        <v>-1140</v>
      </c>
      <c r="G79" s="14"/>
      <c r="H79" s="9"/>
      <c r="I79">
        <f>150*7.6</f>
        <v>1140</v>
      </c>
    </row>
    <row r="80" spans="3:9" x14ac:dyDescent="0.25">
      <c r="C80" s="8"/>
      <c r="D80" s="2" t="s">
        <v>160</v>
      </c>
      <c r="E80" s="2" t="s">
        <v>3393</v>
      </c>
      <c r="F80" s="14">
        <v>-450</v>
      </c>
      <c r="G80" s="14"/>
      <c r="H80" s="9"/>
    </row>
    <row r="81" spans="3:8" x14ac:dyDescent="0.25">
      <c r="C81" s="8"/>
      <c r="D81" s="2"/>
      <c r="E81" s="2" t="s">
        <v>3399</v>
      </c>
      <c r="F81" s="14">
        <v>-70</v>
      </c>
      <c r="G81" s="14"/>
      <c r="H81" s="9"/>
    </row>
    <row r="82" spans="3:8" x14ac:dyDescent="0.25">
      <c r="C82" s="8"/>
      <c r="D82" s="2"/>
      <c r="E82" s="2" t="s">
        <v>3400</v>
      </c>
      <c r="F82" s="14">
        <v>-100</v>
      </c>
      <c r="G82" s="14"/>
      <c r="H82" s="9"/>
    </row>
    <row r="83" spans="3:8" x14ac:dyDescent="0.25">
      <c r="C83" s="8"/>
      <c r="D83" s="2"/>
      <c r="E83" s="2" t="s">
        <v>3401</v>
      </c>
      <c r="F83" s="14">
        <v>-96</v>
      </c>
      <c r="G83" s="14"/>
      <c r="H83" s="9"/>
    </row>
    <row r="84" spans="3:8" x14ac:dyDescent="0.25">
      <c r="C84" s="8"/>
      <c r="D84" s="2"/>
      <c r="E84" s="2" t="s">
        <v>1362</v>
      </c>
      <c r="F84" s="14">
        <v>-42.5</v>
      </c>
      <c r="G84" s="14"/>
      <c r="H84" s="9"/>
    </row>
    <row r="85" spans="3:8" x14ac:dyDescent="0.25">
      <c r="C85" s="8"/>
      <c r="D85" s="2"/>
      <c r="E85" s="2" t="s">
        <v>3403</v>
      </c>
      <c r="F85" s="14">
        <v>-45</v>
      </c>
      <c r="G85" s="14"/>
      <c r="H85" s="9"/>
    </row>
    <row r="86" spans="3:8" x14ac:dyDescent="0.25">
      <c r="C86" s="8"/>
      <c r="D86" s="2"/>
      <c r="E86" s="2" t="s">
        <v>3402</v>
      </c>
      <c r="F86" s="14">
        <v>-25</v>
      </c>
      <c r="G86" s="14"/>
      <c r="H86" s="9"/>
    </row>
    <row r="87" spans="3:8" x14ac:dyDescent="0.25">
      <c r="C87" s="8"/>
      <c r="D87" s="2"/>
      <c r="E87" s="2" t="s">
        <v>1274</v>
      </c>
      <c r="F87" s="14">
        <v>-3287.5</v>
      </c>
      <c r="G87" s="14"/>
      <c r="H87" s="9"/>
    </row>
    <row r="88" spans="3:8" x14ac:dyDescent="0.25">
      <c r="C88" s="8"/>
      <c r="D88" s="2"/>
      <c r="E88" s="2" t="s">
        <v>3404</v>
      </c>
      <c r="F88" s="14">
        <v>-10</v>
      </c>
      <c r="G88" s="14"/>
      <c r="H88" s="9"/>
    </row>
    <row r="89" spans="3:8" x14ac:dyDescent="0.25">
      <c r="C89" s="8"/>
      <c r="D89" s="2"/>
      <c r="E89" s="2" t="s">
        <v>3405</v>
      </c>
      <c r="F89" s="14">
        <v>-45</v>
      </c>
      <c r="G89" s="14"/>
      <c r="H89" s="9"/>
    </row>
    <row r="90" spans="3:8" x14ac:dyDescent="0.25">
      <c r="C90" s="8"/>
      <c r="D90" s="2"/>
      <c r="E90" s="2" t="s">
        <v>3406</v>
      </c>
      <c r="F90" s="14">
        <v>-350</v>
      </c>
      <c r="G90" s="14"/>
      <c r="H90" s="9"/>
    </row>
    <row r="91" spans="3:8" x14ac:dyDescent="0.25">
      <c r="C91" s="8"/>
      <c r="D91" s="2"/>
      <c r="E91" s="2"/>
      <c r="F91" s="14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ht="15.75" thickBot="1" x14ac:dyDescent="0.3">
      <c r="C93" s="10"/>
      <c r="D93" s="11"/>
      <c r="E93" s="11" t="s">
        <v>44</v>
      </c>
      <c r="F93" s="12">
        <f>SUM(F6:F92)</f>
        <v>293.80000000000018</v>
      </c>
      <c r="G93" s="15">
        <f>SUM(G6:G92)</f>
        <v>6066</v>
      </c>
      <c r="H93" s="13">
        <f>SUM(H6:H92)</f>
        <v>11311.5</v>
      </c>
    </row>
    <row r="96" spans="3:8" s="3" customFormat="1" ht="18.75" x14ac:dyDescent="0.3">
      <c r="C96" s="1"/>
      <c r="D96" s="1"/>
      <c r="E96" s="38" t="s">
        <v>49</v>
      </c>
      <c r="F96" s="39">
        <f>+H4+F93</f>
        <v>8861.09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20DB-9DE2-4222-BCD9-623EB3DADD4B}">
  <sheetPr codeName="Hoja37"/>
  <dimension ref="C2:H89"/>
  <sheetViews>
    <sheetView topLeftCell="A68" workbookViewId="0">
      <selection activeCell="F89" sqref="F89"/>
    </sheetView>
  </sheetViews>
  <sheetFormatPr baseColWidth="10" defaultRowHeight="15" x14ac:dyDescent="0.25"/>
  <cols>
    <col min="3" max="3" width="20.7109375" style="1" bestFit="1" customWidth="1"/>
    <col min="4" max="4" width="24" style="1" bestFit="1" customWidth="1"/>
    <col min="5" max="5" width="67.28515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3408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8861.09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3411</v>
      </c>
      <c r="E6" s="2" t="s">
        <v>440</v>
      </c>
      <c r="F6" s="4">
        <v>11.5</v>
      </c>
      <c r="G6" s="14"/>
      <c r="H6" s="9"/>
    </row>
    <row r="7" spans="3:8" x14ac:dyDescent="0.25">
      <c r="C7" s="8"/>
      <c r="D7" s="2" t="s">
        <v>3412</v>
      </c>
      <c r="E7" s="2" t="s">
        <v>440</v>
      </c>
      <c r="F7" s="4">
        <v>9</v>
      </c>
      <c r="G7" s="14"/>
      <c r="H7" s="9"/>
    </row>
    <row r="8" spans="3:8" x14ac:dyDescent="0.25">
      <c r="C8" s="8"/>
      <c r="D8" s="2" t="s">
        <v>3413</v>
      </c>
      <c r="E8" s="2" t="s">
        <v>440</v>
      </c>
      <c r="F8" s="4">
        <v>3</v>
      </c>
      <c r="G8" s="14"/>
      <c r="H8" s="9"/>
    </row>
    <row r="9" spans="3:8" x14ac:dyDescent="0.25">
      <c r="C9" s="8"/>
      <c r="D9" s="2" t="s">
        <v>3414</v>
      </c>
      <c r="E9" s="2" t="s">
        <v>3433</v>
      </c>
      <c r="F9" s="4">
        <v>150</v>
      </c>
      <c r="G9" s="14"/>
      <c r="H9" s="9"/>
    </row>
    <row r="10" spans="3:8" x14ac:dyDescent="0.25">
      <c r="C10" s="8"/>
      <c r="D10" s="2" t="s">
        <v>3415</v>
      </c>
      <c r="E10" s="2" t="s">
        <v>440</v>
      </c>
      <c r="F10" s="4">
        <v>7</v>
      </c>
      <c r="G10" s="14"/>
      <c r="H10" s="9"/>
    </row>
    <row r="11" spans="3:8" x14ac:dyDescent="0.25">
      <c r="C11" s="8"/>
      <c r="D11" s="2" t="s">
        <v>3416</v>
      </c>
      <c r="E11" s="2" t="s">
        <v>440</v>
      </c>
      <c r="F11" s="4"/>
      <c r="G11" s="14"/>
      <c r="H11" s="9">
        <v>15</v>
      </c>
    </row>
    <row r="12" spans="3:8" x14ac:dyDescent="0.25">
      <c r="C12" s="8"/>
      <c r="D12" s="2" t="s">
        <v>3417</v>
      </c>
      <c r="E12" s="2" t="s">
        <v>440</v>
      </c>
      <c r="F12" s="4">
        <v>9</v>
      </c>
      <c r="G12" s="14"/>
      <c r="H12" s="9"/>
    </row>
    <row r="13" spans="3:8" x14ac:dyDescent="0.25">
      <c r="C13" s="8"/>
      <c r="D13" s="2" t="s">
        <v>3418</v>
      </c>
      <c r="E13" s="2" t="s">
        <v>35</v>
      </c>
      <c r="F13" s="4"/>
      <c r="G13" s="14">
        <v>180</v>
      </c>
      <c r="H13" s="9"/>
    </row>
    <row r="14" spans="3:8" x14ac:dyDescent="0.25">
      <c r="C14" s="8"/>
      <c r="D14" s="2" t="s">
        <v>3419</v>
      </c>
      <c r="E14" s="2" t="s">
        <v>440</v>
      </c>
      <c r="F14" s="4">
        <v>4.5</v>
      </c>
      <c r="G14" s="14"/>
      <c r="H14" s="9"/>
    </row>
    <row r="15" spans="3:8" x14ac:dyDescent="0.25">
      <c r="C15" s="8"/>
      <c r="D15" s="2" t="s">
        <v>3420</v>
      </c>
      <c r="E15" s="2" t="s">
        <v>3434</v>
      </c>
      <c r="F15" s="4">
        <v>2910</v>
      </c>
      <c r="G15" s="14"/>
      <c r="H15" s="9"/>
    </row>
    <row r="16" spans="3:8" x14ac:dyDescent="0.25">
      <c r="C16" s="8"/>
      <c r="D16" s="2" t="s">
        <v>3421</v>
      </c>
      <c r="E16" s="2" t="s">
        <v>440</v>
      </c>
      <c r="F16" s="4">
        <v>61.5</v>
      </c>
      <c r="G16" s="14"/>
      <c r="H16" s="9"/>
    </row>
    <row r="17" spans="3:8" x14ac:dyDescent="0.25">
      <c r="C17" s="8"/>
      <c r="D17" s="2" t="s">
        <v>3422</v>
      </c>
      <c r="E17" s="2" t="s">
        <v>440</v>
      </c>
      <c r="F17" s="4">
        <v>5</v>
      </c>
      <c r="G17" s="14"/>
      <c r="H17" s="9"/>
    </row>
    <row r="18" spans="3:8" x14ac:dyDescent="0.25">
      <c r="C18" s="8"/>
      <c r="D18" s="2" t="s">
        <v>3423</v>
      </c>
      <c r="E18" s="2" t="s">
        <v>440</v>
      </c>
      <c r="F18" s="4">
        <v>4.5</v>
      </c>
      <c r="G18" s="14"/>
      <c r="H18" s="9"/>
    </row>
    <row r="19" spans="3:8" x14ac:dyDescent="0.25">
      <c r="C19" s="8"/>
      <c r="D19" s="2" t="s">
        <v>3424</v>
      </c>
      <c r="E19" s="2" t="s">
        <v>440</v>
      </c>
      <c r="F19" s="4"/>
      <c r="G19" s="14"/>
      <c r="H19" s="9">
        <v>39.5</v>
      </c>
    </row>
    <row r="20" spans="3:8" x14ac:dyDescent="0.25">
      <c r="C20" s="8"/>
      <c r="D20" s="2" t="s">
        <v>3425</v>
      </c>
      <c r="E20" s="2" t="s">
        <v>158</v>
      </c>
      <c r="F20" s="4"/>
      <c r="G20" s="14"/>
      <c r="H20" s="9">
        <v>416</v>
      </c>
    </row>
    <row r="21" spans="3:8" x14ac:dyDescent="0.25">
      <c r="C21" s="8"/>
      <c r="D21" s="2" t="s">
        <v>3426</v>
      </c>
      <c r="E21" s="2" t="s">
        <v>440</v>
      </c>
      <c r="F21" s="4"/>
      <c r="G21" s="14"/>
      <c r="H21" s="9">
        <v>23.5</v>
      </c>
    </row>
    <row r="22" spans="3:8" x14ac:dyDescent="0.25">
      <c r="C22" s="8"/>
      <c r="D22" s="2" t="s">
        <v>3427</v>
      </c>
      <c r="E22" s="2" t="s">
        <v>440</v>
      </c>
      <c r="F22" s="4">
        <v>18</v>
      </c>
      <c r="G22" s="14"/>
      <c r="H22" s="9"/>
    </row>
    <row r="23" spans="3:8" x14ac:dyDescent="0.25">
      <c r="C23" s="8"/>
      <c r="D23" s="2" t="s">
        <v>3428</v>
      </c>
      <c r="E23" s="2" t="s">
        <v>440</v>
      </c>
      <c r="F23" s="4"/>
      <c r="G23" s="14"/>
      <c r="H23" s="9">
        <v>6</v>
      </c>
    </row>
    <row r="24" spans="3:8" x14ac:dyDescent="0.25">
      <c r="C24" s="8"/>
      <c r="D24" s="2" t="s">
        <v>3429</v>
      </c>
      <c r="E24" s="2" t="s">
        <v>440</v>
      </c>
      <c r="F24" s="4"/>
      <c r="G24" s="14"/>
      <c r="H24" s="9">
        <v>24</v>
      </c>
    </row>
    <row r="25" spans="3:8" x14ac:dyDescent="0.25">
      <c r="C25" s="8"/>
      <c r="D25" s="2" t="s">
        <v>3430</v>
      </c>
      <c r="E25" s="2" t="s">
        <v>440</v>
      </c>
      <c r="F25" s="4"/>
      <c r="G25" s="14"/>
      <c r="H25" s="9">
        <v>27</v>
      </c>
    </row>
    <row r="26" spans="3:8" x14ac:dyDescent="0.25">
      <c r="C26" s="8"/>
      <c r="D26" s="2" t="s">
        <v>3431</v>
      </c>
      <c r="E26" s="2" t="s">
        <v>440</v>
      </c>
      <c r="F26" s="4">
        <v>6</v>
      </c>
      <c r="G26" s="14"/>
      <c r="H26" s="9"/>
    </row>
    <row r="27" spans="3:8" x14ac:dyDescent="0.25">
      <c r="C27" s="8"/>
      <c r="D27" s="2" t="s">
        <v>3432</v>
      </c>
      <c r="E27" s="2" t="s">
        <v>266</v>
      </c>
      <c r="F27" s="4"/>
      <c r="G27" s="14">
        <v>189</v>
      </c>
      <c r="H27" s="9"/>
    </row>
    <row r="28" spans="3:8" x14ac:dyDescent="0.25">
      <c r="C28" s="8"/>
      <c r="D28" s="2" t="s">
        <v>3435</v>
      </c>
      <c r="E28" s="2" t="s">
        <v>3436</v>
      </c>
      <c r="F28" s="4"/>
      <c r="G28" s="14">
        <v>2250</v>
      </c>
      <c r="H28" s="9"/>
    </row>
    <row r="29" spans="3:8" x14ac:dyDescent="0.25">
      <c r="C29" s="8"/>
      <c r="D29" s="2" t="s">
        <v>3439</v>
      </c>
      <c r="E29" s="2" t="s">
        <v>440</v>
      </c>
      <c r="F29" s="4"/>
      <c r="G29" s="14"/>
      <c r="H29" s="9">
        <v>25</v>
      </c>
    </row>
    <row r="30" spans="3:8" x14ac:dyDescent="0.25">
      <c r="C30" s="8"/>
      <c r="D30" s="2" t="s">
        <v>3440</v>
      </c>
      <c r="E30" s="2" t="s">
        <v>158</v>
      </c>
      <c r="F30" s="4"/>
      <c r="G30" s="14"/>
      <c r="H30" s="9">
        <v>1100</v>
      </c>
    </row>
    <row r="31" spans="3:8" x14ac:dyDescent="0.25">
      <c r="C31" s="8"/>
      <c r="D31" s="2" t="s">
        <v>3459</v>
      </c>
      <c r="E31" s="2" t="s">
        <v>440</v>
      </c>
      <c r="F31" s="4">
        <v>6</v>
      </c>
      <c r="G31" s="14"/>
      <c r="H31" s="9"/>
    </row>
    <row r="32" spans="3:8" x14ac:dyDescent="0.25">
      <c r="C32" s="8"/>
      <c r="D32" s="2" t="s">
        <v>3460</v>
      </c>
      <c r="E32" s="2" t="s">
        <v>440</v>
      </c>
      <c r="F32" s="4">
        <v>21</v>
      </c>
      <c r="G32" s="14"/>
      <c r="H32" s="9"/>
    </row>
    <row r="33" spans="3:8" x14ac:dyDescent="0.25">
      <c r="C33" s="8"/>
      <c r="D33" s="2" t="s">
        <v>3468</v>
      </c>
      <c r="E33" s="2" t="s">
        <v>628</v>
      </c>
      <c r="F33" s="4"/>
      <c r="G33" s="14"/>
      <c r="H33" s="9">
        <v>380</v>
      </c>
    </row>
    <row r="34" spans="3:8" x14ac:dyDescent="0.25">
      <c r="C34" s="8"/>
      <c r="D34" s="2" t="s">
        <v>3469</v>
      </c>
      <c r="E34" s="2" t="s">
        <v>440</v>
      </c>
      <c r="F34" s="4">
        <v>60</v>
      </c>
      <c r="G34" s="14"/>
      <c r="H34" s="9"/>
    </row>
    <row r="35" spans="3:8" x14ac:dyDescent="0.25">
      <c r="C35" s="8"/>
      <c r="D35" s="2" t="s">
        <v>3470</v>
      </c>
      <c r="E35" s="2" t="s">
        <v>3253</v>
      </c>
      <c r="F35" s="4"/>
      <c r="G35" s="14"/>
      <c r="H35" s="9">
        <v>2700</v>
      </c>
    </row>
    <row r="36" spans="3:8" x14ac:dyDescent="0.25">
      <c r="C36" s="8"/>
      <c r="D36" s="2" t="s">
        <v>3472</v>
      </c>
      <c r="E36" s="2" t="s">
        <v>2531</v>
      </c>
      <c r="F36" s="4"/>
      <c r="G36" s="14"/>
      <c r="H36" s="9">
        <v>2760</v>
      </c>
    </row>
    <row r="37" spans="3:8" x14ac:dyDescent="0.25">
      <c r="C37" s="8"/>
      <c r="D37" s="2" t="s">
        <v>3475</v>
      </c>
      <c r="E37" s="2"/>
      <c r="F37" s="4"/>
      <c r="G37" s="14"/>
      <c r="H37" s="9"/>
    </row>
    <row r="38" spans="3:8" x14ac:dyDescent="0.25">
      <c r="C38" s="8"/>
      <c r="D38" s="2" t="s">
        <v>3437</v>
      </c>
      <c r="E38" s="2" t="s">
        <v>48</v>
      </c>
      <c r="F38" s="4"/>
      <c r="G38" s="14"/>
      <c r="H38" s="9">
        <v>10</v>
      </c>
    </row>
    <row r="39" spans="3:8" x14ac:dyDescent="0.25">
      <c r="C39" s="8"/>
      <c r="D39" s="2" t="s">
        <v>3441</v>
      </c>
      <c r="E39" s="2" t="s">
        <v>3388</v>
      </c>
      <c r="F39" s="4"/>
      <c r="G39" s="14"/>
      <c r="H39" s="9">
        <v>62.5</v>
      </c>
    </row>
    <row r="40" spans="3:8" x14ac:dyDescent="0.25">
      <c r="C40" s="8"/>
      <c r="D40" s="2" t="s">
        <v>3442</v>
      </c>
      <c r="E40" s="2" t="s">
        <v>3438</v>
      </c>
      <c r="F40" s="4">
        <v>67</v>
      </c>
      <c r="G40" s="14"/>
      <c r="H40" s="9"/>
    </row>
    <row r="41" spans="3:8" x14ac:dyDescent="0.25">
      <c r="C41" s="8"/>
      <c r="D41" s="2" t="s">
        <v>3443</v>
      </c>
      <c r="E41" s="2" t="s">
        <v>676</v>
      </c>
      <c r="F41" s="4">
        <v>4</v>
      </c>
      <c r="G41" s="14"/>
      <c r="H41" s="9"/>
    </row>
    <row r="42" spans="3:8" x14ac:dyDescent="0.25">
      <c r="C42" s="8"/>
      <c r="D42" s="2" t="s">
        <v>3444</v>
      </c>
      <c r="E42" s="2" t="s">
        <v>48</v>
      </c>
      <c r="F42" s="4">
        <v>15</v>
      </c>
      <c r="G42" s="14"/>
      <c r="H42" s="9"/>
    </row>
    <row r="43" spans="3:8" x14ac:dyDescent="0.25">
      <c r="C43" s="8"/>
      <c r="D43" s="2" t="s">
        <v>3445</v>
      </c>
      <c r="E43" s="2" t="s">
        <v>1374</v>
      </c>
      <c r="F43" s="4"/>
      <c r="G43" s="14"/>
      <c r="H43" s="9">
        <v>227.5</v>
      </c>
    </row>
    <row r="44" spans="3:8" x14ac:dyDescent="0.25">
      <c r="C44" s="8"/>
      <c r="D44" s="2" t="s">
        <v>3446</v>
      </c>
      <c r="E44" s="2" t="s">
        <v>58</v>
      </c>
      <c r="F44" s="4"/>
      <c r="G44" s="14"/>
      <c r="H44" s="9">
        <v>75</v>
      </c>
    </row>
    <row r="45" spans="3:8" x14ac:dyDescent="0.25">
      <c r="C45" s="8"/>
      <c r="D45" s="2" t="s">
        <v>3447</v>
      </c>
      <c r="E45" s="2" t="s">
        <v>1370</v>
      </c>
      <c r="F45" s="4"/>
      <c r="G45" s="14"/>
      <c r="H45" s="9">
        <v>240</v>
      </c>
    </row>
    <row r="46" spans="3:8" x14ac:dyDescent="0.25">
      <c r="C46" s="8"/>
      <c r="D46" s="2" t="s">
        <v>3448</v>
      </c>
      <c r="E46" s="2" t="s">
        <v>48</v>
      </c>
      <c r="F46" s="4">
        <v>43.7</v>
      </c>
      <c r="G46" s="14"/>
      <c r="H46" s="9"/>
    </row>
    <row r="47" spans="3:8" x14ac:dyDescent="0.25">
      <c r="C47" s="8"/>
      <c r="D47" s="2" t="s">
        <v>3449</v>
      </c>
      <c r="E47" s="2" t="s">
        <v>48</v>
      </c>
      <c r="F47" s="4"/>
      <c r="G47" s="14"/>
      <c r="H47" s="9">
        <v>28</v>
      </c>
    </row>
    <row r="48" spans="3:8" x14ac:dyDescent="0.25">
      <c r="C48" s="8"/>
      <c r="D48" s="2" t="s">
        <v>3450</v>
      </c>
      <c r="E48" s="2" t="s">
        <v>48</v>
      </c>
      <c r="F48" s="4">
        <v>18</v>
      </c>
      <c r="G48" s="14"/>
      <c r="H48" s="9"/>
    </row>
    <row r="49" spans="3:8" x14ac:dyDescent="0.25">
      <c r="C49" s="8"/>
      <c r="D49" s="2" t="s">
        <v>3451</v>
      </c>
      <c r="E49" s="2" t="s">
        <v>3461</v>
      </c>
      <c r="F49" s="4"/>
      <c r="G49" s="14"/>
      <c r="H49" s="9">
        <v>419.8</v>
      </c>
    </row>
    <row r="50" spans="3:8" x14ac:dyDescent="0.25">
      <c r="C50" s="8"/>
      <c r="D50" s="2" t="s">
        <v>3452</v>
      </c>
      <c r="E50" s="2" t="s">
        <v>676</v>
      </c>
      <c r="F50" s="4">
        <v>3450</v>
      </c>
      <c r="G50" s="14"/>
      <c r="H50" s="9"/>
    </row>
    <row r="51" spans="3:8" x14ac:dyDescent="0.25">
      <c r="C51" s="8"/>
      <c r="D51" s="2" t="s">
        <v>3453</v>
      </c>
      <c r="E51" s="2" t="s">
        <v>48</v>
      </c>
      <c r="F51" s="4">
        <v>76.5</v>
      </c>
      <c r="G51" s="14"/>
      <c r="H51" s="9"/>
    </row>
    <row r="52" spans="3:8" x14ac:dyDescent="0.25">
      <c r="C52" s="8"/>
      <c r="D52" s="2" t="s">
        <v>3454</v>
      </c>
      <c r="E52" s="2" t="s">
        <v>48</v>
      </c>
      <c r="F52" s="4">
        <v>113.4</v>
      </c>
      <c r="G52" s="14"/>
      <c r="H52" s="9"/>
    </row>
    <row r="53" spans="3:8" x14ac:dyDescent="0.25">
      <c r="C53" s="8"/>
      <c r="D53" s="2" t="s">
        <v>3455</v>
      </c>
      <c r="E53" s="2" t="s">
        <v>48</v>
      </c>
      <c r="F53" s="4">
        <v>10</v>
      </c>
      <c r="G53" s="14"/>
      <c r="H53" s="9"/>
    </row>
    <row r="54" spans="3:8" x14ac:dyDescent="0.25">
      <c r="C54" s="8"/>
      <c r="D54" s="2" t="s">
        <v>3456</v>
      </c>
      <c r="E54" s="2" t="s">
        <v>48</v>
      </c>
      <c r="F54" s="4"/>
      <c r="G54" s="14"/>
      <c r="H54" s="9">
        <v>5</v>
      </c>
    </row>
    <row r="55" spans="3:8" x14ac:dyDescent="0.25">
      <c r="C55" s="8"/>
      <c r="D55" s="2" t="s">
        <v>3457</v>
      </c>
      <c r="E55" s="2" t="s">
        <v>3388</v>
      </c>
      <c r="F55" s="4"/>
      <c r="G55" s="14"/>
      <c r="H55" s="9">
        <v>226.2</v>
      </c>
    </row>
    <row r="56" spans="3:8" x14ac:dyDescent="0.25">
      <c r="C56" s="8"/>
      <c r="D56" s="2" t="s">
        <v>3458</v>
      </c>
      <c r="E56" s="2" t="s">
        <v>3433</v>
      </c>
      <c r="F56" s="4">
        <v>1237</v>
      </c>
      <c r="G56" s="14"/>
      <c r="H56" s="9"/>
    </row>
    <row r="57" spans="3:8" x14ac:dyDescent="0.25">
      <c r="C57" s="8"/>
      <c r="D57" s="2" t="s">
        <v>3462</v>
      </c>
      <c r="E57" s="2" t="s">
        <v>48</v>
      </c>
      <c r="F57" s="4">
        <v>6</v>
      </c>
      <c r="G57" s="14"/>
      <c r="H57" s="9"/>
    </row>
    <row r="58" spans="3:8" x14ac:dyDescent="0.25">
      <c r="C58" s="8"/>
      <c r="D58" s="2" t="s">
        <v>3463</v>
      </c>
      <c r="E58" s="2" t="s">
        <v>3465</v>
      </c>
      <c r="F58" s="4"/>
      <c r="G58" s="14"/>
      <c r="H58" s="9">
        <v>23.5</v>
      </c>
    </row>
    <row r="59" spans="3:8" x14ac:dyDescent="0.25">
      <c r="C59" s="8"/>
      <c r="D59" s="2" t="s">
        <v>3464</v>
      </c>
      <c r="E59" s="2" t="s">
        <v>48</v>
      </c>
      <c r="F59" s="4">
        <v>6</v>
      </c>
      <c r="G59" s="14"/>
      <c r="H59" s="9"/>
    </row>
    <row r="60" spans="3:8" x14ac:dyDescent="0.25">
      <c r="C60" s="8"/>
      <c r="D60" s="2" t="s">
        <v>3467</v>
      </c>
      <c r="E60" s="2" t="s">
        <v>676</v>
      </c>
      <c r="F60" s="4">
        <v>3000</v>
      </c>
      <c r="G60" s="14">
        <v>1000</v>
      </c>
      <c r="H60" s="9"/>
    </row>
    <row r="61" spans="3:8" x14ac:dyDescent="0.25">
      <c r="C61" s="8"/>
      <c r="D61" s="2" t="s">
        <v>3507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29"/>
      <c r="D65" s="30"/>
      <c r="E65" s="30" t="s">
        <v>60</v>
      </c>
      <c r="F65" s="4"/>
      <c r="G65" s="14"/>
      <c r="H65" s="9"/>
    </row>
    <row r="66" spans="3:8" x14ac:dyDescent="0.25">
      <c r="C66" s="8"/>
      <c r="D66" s="45" t="s">
        <v>3410</v>
      </c>
      <c r="E66" s="2" t="s">
        <v>93</v>
      </c>
      <c r="F66" s="4"/>
      <c r="G66" s="14"/>
      <c r="H66" s="9">
        <v>110</v>
      </c>
    </row>
    <row r="67" spans="3:8" x14ac:dyDescent="0.25">
      <c r="C67" s="8"/>
      <c r="D67" s="45"/>
      <c r="E67" s="2"/>
      <c r="F67" s="4"/>
      <c r="G67" s="14"/>
      <c r="H67" s="9"/>
    </row>
    <row r="68" spans="3:8" x14ac:dyDescent="0.25">
      <c r="C68" s="8"/>
      <c r="D68" s="45"/>
      <c r="E68" s="2"/>
      <c r="F68" s="4"/>
      <c r="G68" s="14"/>
      <c r="H68" s="4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2" t="s">
        <v>676</v>
      </c>
      <c r="F71" s="4">
        <v>2</v>
      </c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4"/>
      <c r="G76" s="14"/>
      <c r="H76" s="9"/>
    </row>
    <row r="77" spans="3:8" x14ac:dyDescent="0.25">
      <c r="C77" s="34"/>
      <c r="D77" s="42"/>
      <c r="E77" s="2" t="s">
        <v>3409</v>
      </c>
      <c r="F77" s="14">
        <v>-1547</v>
      </c>
      <c r="G77" s="14"/>
      <c r="H77" s="9"/>
    </row>
    <row r="78" spans="3:8" x14ac:dyDescent="0.25">
      <c r="C78" s="8"/>
      <c r="D78" s="2"/>
      <c r="E78" s="2" t="s">
        <v>1363</v>
      </c>
      <c r="F78" s="14">
        <v>-50</v>
      </c>
      <c r="G78" s="14"/>
      <c r="H78" s="9"/>
    </row>
    <row r="79" spans="3:8" x14ac:dyDescent="0.25">
      <c r="C79" s="8"/>
      <c r="D79" s="2"/>
      <c r="E79" s="2" t="s">
        <v>1468</v>
      </c>
      <c r="F79" s="14">
        <v>-150</v>
      </c>
      <c r="G79" s="14"/>
      <c r="H79" s="9"/>
    </row>
    <row r="80" spans="3:8" x14ac:dyDescent="0.25">
      <c r="C80" s="8"/>
      <c r="D80" s="2"/>
      <c r="E80" s="2" t="s">
        <v>325</v>
      </c>
      <c r="F80" s="14">
        <v>-100</v>
      </c>
      <c r="G80" s="14"/>
      <c r="H80" s="9"/>
    </row>
    <row r="81" spans="3:8" x14ac:dyDescent="0.25">
      <c r="C81" s="8"/>
      <c r="D81" s="2"/>
      <c r="E81" s="2" t="s">
        <v>3466</v>
      </c>
      <c r="F81" s="14">
        <v>-40</v>
      </c>
      <c r="G81" s="14"/>
      <c r="H81" s="9"/>
    </row>
    <row r="82" spans="3:8" x14ac:dyDescent="0.25">
      <c r="C82" s="8"/>
      <c r="D82" s="2"/>
      <c r="E82" s="2" t="s">
        <v>3471</v>
      </c>
      <c r="F82" s="14">
        <v>-10</v>
      </c>
      <c r="G82" s="14"/>
      <c r="H82" s="9"/>
    </row>
    <row r="83" spans="3:8" x14ac:dyDescent="0.25">
      <c r="C83" s="8"/>
      <c r="D83" s="2"/>
      <c r="E83" s="2" t="s">
        <v>1478</v>
      </c>
      <c r="F83" s="14">
        <v>-14235</v>
      </c>
      <c r="G83" s="14"/>
      <c r="H83" s="9"/>
    </row>
    <row r="84" spans="3:8" x14ac:dyDescent="0.25">
      <c r="C84" s="8"/>
      <c r="D84" s="2"/>
      <c r="E84" s="2" t="s">
        <v>771</v>
      </c>
      <c r="F84" s="14">
        <v>-9.5</v>
      </c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ht="15.75" thickBot="1" x14ac:dyDescent="0.3">
      <c r="C86" s="10"/>
      <c r="D86" s="11"/>
      <c r="E86" s="11" t="s">
        <v>44</v>
      </c>
      <c r="F86" s="12">
        <f>SUM(F6:F85)</f>
        <v>-4806.9000000000015</v>
      </c>
      <c r="G86" s="15">
        <f>SUM(G6:G85)</f>
        <v>3619</v>
      </c>
      <c r="H86" s="13">
        <f>SUM(H6:H85)</f>
        <v>8943.5</v>
      </c>
    </row>
    <row r="89" spans="3:8" s="3" customFormat="1" ht="18.75" x14ac:dyDescent="0.3">
      <c r="C89" s="1"/>
      <c r="D89" s="1"/>
      <c r="E89" s="38" t="s">
        <v>49</v>
      </c>
      <c r="F89" s="39">
        <f>+H4+F86</f>
        <v>4054.1899999999987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79D6-EE20-48E5-854C-B3165B739CC2}">
  <sheetPr codeName="Hoja38"/>
  <dimension ref="C2:H89"/>
  <sheetViews>
    <sheetView topLeftCell="A67" workbookViewId="0">
      <selection activeCell="E80" sqref="E80"/>
    </sheetView>
  </sheetViews>
  <sheetFormatPr baseColWidth="10" defaultRowHeight="15" x14ac:dyDescent="0.25"/>
  <cols>
    <col min="3" max="3" width="11" style="1" customWidth="1"/>
    <col min="4" max="4" width="24" style="62" bestFit="1" customWidth="1"/>
    <col min="5" max="5" width="49.140625" style="62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3473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4054.19</v>
      </c>
    </row>
    <row r="5" spans="3:8" x14ac:dyDescent="0.25">
      <c r="C5" s="24" t="s">
        <v>1</v>
      </c>
      <c r="D5" s="67" t="s">
        <v>2</v>
      </c>
      <c r="E5" s="67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68" t="s">
        <v>3475</v>
      </c>
      <c r="E6" s="68" t="s">
        <v>3476</v>
      </c>
      <c r="F6" s="4"/>
      <c r="G6" s="14"/>
      <c r="H6" s="9">
        <v>1755</v>
      </c>
    </row>
    <row r="7" spans="3:8" x14ac:dyDescent="0.25">
      <c r="C7" s="8"/>
      <c r="D7" s="68" t="s">
        <v>3477</v>
      </c>
      <c r="E7" s="68" t="s">
        <v>1152</v>
      </c>
      <c r="F7" s="4"/>
      <c r="G7" s="14">
        <v>392</v>
      </c>
      <c r="H7" s="9"/>
    </row>
    <row r="8" spans="3:8" x14ac:dyDescent="0.25">
      <c r="C8" s="8"/>
      <c r="D8" s="68" t="s">
        <v>3478</v>
      </c>
      <c r="E8" s="68" t="s">
        <v>3541</v>
      </c>
      <c r="F8" s="4"/>
      <c r="G8" s="14">
        <v>180</v>
      </c>
      <c r="H8" s="9"/>
    </row>
    <row r="9" spans="3:8" x14ac:dyDescent="0.25">
      <c r="C9" s="8"/>
      <c r="D9" s="68" t="s">
        <v>3479</v>
      </c>
      <c r="E9" s="68" t="s">
        <v>266</v>
      </c>
      <c r="F9" s="4">
        <v>5372.6</v>
      </c>
      <c r="G9" s="14"/>
      <c r="H9" s="9"/>
    </row>
    <row r="10" spans="3:8" x14ac:dyDescent="0.25">
      <c r="C10" s="8"/>
      <c r="D10" s="68" t="s">
        <v>3480</v>
      </c>
      <c r="E10" s="68" t="s">
        <v>158</v>
      </c>
      <c r="F10" s="4"/>
      <c r="G10" s="14"/>
      <c r="H10" s="9">
        <v>460</v>
      </c>
    </row>
    <row r="11" spans="3:8" x14ac:dyDescent="0.25">
      <c r="C11" s="8"/>
      <c r="D11" s="68" t="s">
        <v>3481</v>
      </c>
      <c r="E11" s="68" t="s">
        <v>440</v>
      </c>
      <c r="F11" s="4"/>
      <c r="G11" s="14"/>
      <c r="H11" s="9">
        <v>8</v>
      </c>
    </row>
    <row r="12" spans="3:8" x14ac:dyDescent="0.25">
      <c r="C12" s="8"/>
      <c r="D12" s="68" t="s">
        <v>3482</v>
      </c>
      <c r="E12" s="68" t="s">
        <v>440</v>
      </c>
      <c r="F12" s="4"/>
      <c r="G12" s="14"/>
      <c r="H12" s="9">
        <v>3</v>
      </c>
    </row>
    <row r="13" spans="3:8" x14ac:dyDescent="0.25">
      <c r="C13" s="8"/>
      <c r="D13" s="68" t="s">
        <v>3483</v>
      </c>
      <c r="E13" s="68" t="s">
        <v>975</v>
      </c>
      <c r="F13" s="4">
        <v>243</v>
      </c>
      <c r="G13" s="14"/>
      <c r="H13" s="9"/>
    </row>
    <row r="14" spans="3:8" x14ac:dyDescent="0.25">
      <c r="C14" s="8"/>
      <c r="D14" s="68" t="s">
        <v>3484</v>
      </c>
      <c r="E14" s="68" t="s">
        <v>3506</v>
      </c>
      <c r="F14" s="4"/>
      <c r="G14" s="14"/>
      <c r="H14" s="9">
        <v>1113</v>
      </c>
    </row>
    <row r="15" spans="3:8" x14ac:dyDescent="0.25">
      <c r="C15" s="8"/>
      <c r="D15" s="68" t="s">
        <v>3485</v>
      </c>
      <c r="E15" s="68" t="s">
        <v>3505</v>
      </c>
      <c r="F15" s="4"/>
      <c r="G15" s="14"/>
      <c r="H15" s="9">
        <v>180</v>
      </c>
    </row>
    <row r="16" spans="3:8" x14ac:dyDescent="0.25">
      <c r="C16" s="8"/>
      <c r="D16" s="68" t="s">
        <v>3486</v>
      </c>
      <c r="E16" s="68" t="s">
        <v>440</v>
      </c>
      <c r="F16" s="4"/>
      <c r="G16" s="14"/>
      <c r="H16" s="9">
        <v>14</v>
      </c>
    </row>
    <row r="17" spans="3:8" x14ac:dyDescent="0.25">
      <c r="C17" s="8"/>
      <c r="D17" s="68" t="s">
        <v>3487</v>
      </c>
      <c r="E17" s="68" t="s">
        <v>440</v>
      </c>
      <c r="F17" s="4">
        <v>5</v>
      </c>
      <c r="G17" s="14"/>
      <c r="H17" s="9"/>
    </row>
    <row r="18" spans="3:8" x14ac:dyDescent="0.25">
      <c r="C18" s="8"/>
      <c r="D18" s="68" t="s">
        <v>3488</v>
      </c>
      <c r="E18" s="68" t="s">
        <v>3504</v>
      </c>
      <c r="F18" s="4"/>
      <c r="G18" s="14"/>
      <c r="H18" s="9">
        <v>182</v>
      </c>
    </row>
    <row r="19" spans="3:8" x14ac:dyDescent="0.25">
      <c r="C19" s="8"/>
      <c r="D19" s="68" t="s">
        <v>3489</v>
      </c>
      <c r="E19" s="68" t="s">
        <v>3503</v>
      </c>
      <c r="F19" s="4"/>
      <c r="G19" s="14"/>
      <c r="H19" s="9">
        <v>97</v>
      </c>
    </row>
    <row r="20" spans="3:8" x14ac:dyDescent="0.25">
      <c r="C20" s="8"/>
      <c r="D20" s="68" t="s">
        <v>3490</v>
      </c>
      <c r="E20" s="68" t="s">
        <v>158</v>
      </c>
      <c r="F20" s="4"/>
      <c r="G20" s="14"/>
      <c r="H20" s="9">
        <v>184</v>
      </c>
    </row>
    <row r="21" spans="3:8" x14ac:dyDescent="0.25">
      <c r="C21" s="8"/>
      <c r="D21" s="68" t="s">
        <v>3491</v>
      </c>
      <c r="E21" s="68" t="s">
        <v>440</v>
      </c>
      <c r="F21" s="4"/>
      <c r="G21" s="14"/>
      <c r="H21" s="9">
        <v>5.5</v>
      </c>
    </row>
    <row r="22" spans="3:8" x14ac:dyDescent="0.25">
      <c r="C22" s="8"/>
      <c r="D22" s="68" t="s">
        <v>3492</v>
      </c>
      <c r="E22" s="68" t="s">
        <v>158</v>
      </c>
      <c r="F22" s="4"/>
      <c r="G22" s="14"/>
      <c r="H22" s="9">
        <v>1100</v>
      </c>
    </row>
    <row r="23" spans="3:8" x14ac:dyDescent="0.25">
      <c r="C23" s="8"/>
      <c r="D23" s="68" t="s">
        <v>3493</v>
      </c>
      <c r="E23" s="68" t="s">
        <v>440</v>
      </c>
      <c r="F23" s="4">
        <v>1</v>
      </c>
      <c r="G23" s="14"/>
      <c r="H23" s="9"/>
    </row>
    <row r="24" spans="3:8" x14ac:dyDescent="0.25">
      <c r="C24" s="8"/>
      <c r="D24" s="68" t="s">
        <v>3494</v>
      </c>
      <c r="E24" s="68" t="s">
        <v>440</v>
      </c>
      <c r="F24" s="4">
        <v>1</v>
      </c>
      <c r="G24" s="14"/>
      <c r="H24" s="9"/>
    </row>
    <row r="25" spans="3:8" x14ac:dyDescent="0.25">
      <c r="C25" s="8"/>
      <c r="D25" s="68" t="s">
        <v>3495</v>
      </c>
      <c r="E25" s="68" t="s">
        <v>2406</v>
      </c>
      <c r="F25" s="4"/>
      <c r="G25" s="14">
        <v>1805</v>
      </c>
      <c r="H25" s="9"/>
    </row>
    <row r="26" spans="3:8" x14ac:dyDescent="0.25">
      <c r="C26" s="8"/>
      <c r="D26" s="68" t="s">
        <v>3496</v>
      </c>
      <c r="E26" s="68" t="s">
        <v>158</v>
      </c>
      <c r="F26" s="4"/>
      <c r="G26" s="14"/>
      <c r="H26" s="9">
        <v>66.5</v>
      </c>
    </row>
    <row r="27" spans="3:8" x14ac:dyDescent="0.25">
      <c r="C27" s="8"/>
      <c r="D27" s="68" t="s">
        <v>3497</v>
      </c>
      <c r="E27" s="68" t="s">
        <v>440</v>
      </c>
      <c r="F27" s="4">
        <v>10</v>
      </c>
      <c r="G27" s="14"/>
      <c r="H27" s="9"/>
    </row>
    <row r="28" spans="3:8" x14ac:dyDescent="0.25">
      <c r="C28" s="8"/>
      <c r="D28" s="68" t="s">
        <v>3498</v>
      </c>
      <c r="E28" s="68" t="s">
        <v>3502</v>
      </c>
      <c r="F28" s="4">
        <v>63.7</v>
      </c>
      <c r="G28" s="14"/>
      <c r="H28" s="9"/>
    </row>
    <row r="29" spans="3:8" x14ac:dyDescent="0.25">
      <c r="C29" s="8"/>
      <c r="D29" s="68" t="s">
        <v>3499</v>
      </c>
      <c r="E29" s="68" t="s">
        <v>440</v>
      </c>
      <c r="F29" s="4">
        <v>5.5</v>
      </c>
      <c r="G29" s="14"/>
      <c r="H29" s="9"/>
    </row>
    <row r="30" spans="3:8" x14ac:dyDescent="0.25">
      <c r="C30" s="8"/>
      <c r="D30" s="68" t="s">
        <v>3500</v>
      </c>
      <c r="E30" s="68" t="s">
        <v>158</v>
      </c>
      <c r="F30" s="4"/>
      <c r="G30" s="14"/>
      <c r="H30" s="9">
        <v>1840</v>
      </c>
    </row>
    <row r="31" spans="3:8" x14ac:dyDescent="0.25">
      <c r="C31" s="8"/>
      <c r="D31" s="68" t="s">
        <v>3501</v>
      </c>
      <c r="E31" s="68" t="s">
        <v>440</v>
      </c>
      <c r="F31" s="4">
        <v>2</v>
      </c>
      <c r="G31" s="14"/>
      <c r="H31" s="9"/>
    </row>
    <row r="32" spans="3:8" x14ac:dyDescent="0.25">
      <c r="C32" s="8"/>
      <c r="D32" s="68" t="s">
        <v>3531</v>
      </c>
      <c r="E32" s="68" t="s">
        <v>3542</v>
      </c>
      <c r="F32" s="4"/>
      <c r="G32" s="14">
        <v>242.5</v>
      </c>
      <c r="H32" s="9"/>
    </row>
    <row r="33" spans="3:8" x14ac:dyDescent="0.25">
      <c r="C33" s="8"/>
      <c r="D33" s="68" t="s">
        <v>3532</v>
      </c>
      <c r="E33" s="68" t="s">
        <v>440</v>
      </c>
      <c r="F33" s="4"/>
      <c r="G33" s="14"/>
      <c r="H33" s="9">
        <v>95</v>
      </c>
    </row>
    <row r="34" spans="3:8" x14ac:dyDescent="0.25">
      <c r="C34" s="8"/>
      <c r="D34" s="68" t="s">
        <v>3533</v>
      </c>
      <c r="E34" s="68" t="s">
        <v>440</v>
      </c>
      <c r="F34" s="4"/>
      <c r="G34" s="14"/>
      <c r="H34" s="9">
        <v>8.5</v>
      </c>
    </row>
    <row r="35" spans="3:8" x14ac:dyDescent="0.25">
      <c r="C35" s="8"/>
      <c r="D35" s="68" t="s">
        <v>3536</v>
      </c>
      <c r="E35" s="68" t="s">
        <v>440</v>
      </c>
      <c r="F35" s="4">
        <v>1</v>
      </c>
      <c r="G35" s="14"/>
      <c r="H35" s="9"/>
    </row>
    <row r="36" spans="3:8" x14ac:dyDescent="0.25">
      <c r="C36" s="8"/>
      <c r="D36" s="68" t="s">
        <v>3545</v>
      </c>
      <c r="E36" s="68"/>
      <c r="F36" s="4"/>
      <c r="G36" s="14"/>
      <c r="H36" s="9"/>
    </row>
    <row r="37" spans="3:8" x14ac:dyDescent="0.25">
      <c r="C37" s="8"/>
      <c r="D37" s="68"/>
      <c r="E37" s="68"/>
      <c r="F37" s="4"/>
      <c r="G37" s="14"/>
      <c r="H37" s="9"/>
    </row>
    <row r="38" spans="3:8" x14ac:dyDescent="0.25">
      <c r="C38" s="8"/>
      <c r="D38" s="68" t="s">
        <v>3507</v>
      </c>
      <c r="E38" s="68" t="s">
        <v>48</v>
      </c>
      <c r="F38" s="4">
        <v>12.5</v>
      </c>
      <c r="G38" s="14"/>
      <c r="H38" s="9"/>
    </row>
    <row r="39" spans="3:8" x14ac:dyDescent="0.25">
      <c r="C39" s="8"/>
      <c r="D39" s="68" t="s">
        <v>3508</v>
      </c>
      <c r="E39" s="68" t="s">
        <v>3529</v>
      </c>
      <c r="F39" s="4">
        <v>226</v>
      </c>
      <c r="G39" s="14"/>
      <c r="H39" s="9"/>
    </row>
    <row r="40" spans="3:8" x14ac:dyDescent="0.25">
      <c r="C40" s="8"/>
      <c r="D40" s="68" t="s">
        <v>3509</v>
      </c>
      <c r="E40" s="68" t="s">
        <v>48</v>
      </c>
      <c r="F40" s="4">
        <v>5</v>
      </c>
      <c r="G40" s="14"/>
      <c r="H40" s="9"/>
    </row>
    <row r="41" spans="3:8" x14ac:dyDescent="0.25">
      <c r="C41" s="8"/>
      <c r="D41" s="68" t="s">
        <v>3510</v>
      </c>
      <c r="E41" s="68" t="s">
        <v>48</v>
      </c>
      <c r="F41" s="4">
        <v>10</v>
      </c>
      <c r="G41" s="14"/>
      <c r="H41" s="9"/>
    </row>
    <row r="42" spans="3:8" x14ac:dyDescent="0.25">
      <c r="C42" s="8"/>
      <c r="D42" s="68" t="s">
        <v>3511</v>
      </c>
      <c r="E42" s="68" t="s">
        <v>48</v>
      </c>
      <c r="F42" s="4">
        <v>7.5</v>
      </c>
      <c r="G42" s="14"/>
      <c r="H42" s="9"/>
    </row>
    <row r="43" spans="3:8" x14ac:dyDescent="0.25">
      <c r="C43" s="8"/>
      <c r="D43" s="68" t="s">
        <v>3512</v>
      </c>
      <c r="E43" s="68" t="s">
        <v>48</v>
      </c>
      <c r="F43" s="4">
        <v>14</v>
      </c>
      <c r="G43" s="14"/>
      <c r="H43" s="9"/>
    </row>
    <row r="44" spans="3:8" x14ac:dyDescent="0.25">
      <c r="C44" s="8"/>
      <c r="D44" s="68" t="s">
        <v>3513</v>
      </c>
      <c r="E44" s="68" t="s">
        <v>48</v>
      </c>
      <c r="F44" s="4">
        <v>15</v>
      </c>
      <c r="G44" s="14"/>
      <c r="H44" s="9"/>
    </row>
    <row r="45" spans="3:8" x14ac:dyDescent="0.25">
      <c r="C45" s="8"/>
      <c r="D45" s="68" t="s">
        <v>3514</v>
      </c>
      <c r="E45" s="68" t="s">
        <v>48</v>
      </c>
      <c r="F45" s="4">
        <v>12</v>
      </c>
      <c r="G45" s="14"/>
      <c r="H45" s="9"/>
    </row>
    <row r="46" spans="3:8" x14ac:dyDescent="0.25">
      <c r="C46" s="8"/>
      <c r="D46" s="68" t="s">
        <v>3515</v>
      </c>
      <c r="E46" s="68" t="s">
        <v>1374</v>
      </c>
      <c r="F46" s="4"/>
      <c r="G46" s="14"/>
      <c r="H46" s="9">
        <v>25</v>
      </c>
    </row>
    <row r="47" spans="3:8" x14ac:dyDescent="0.25">
      <c r="C47" s="8"/>
      <c r="D47" s="68" t="s">
        <v>3516</v>
      </c>
      <c r="E47" s="68" t="s">
        <v>164</v>
      </c>
      <c r="F47" s="4">
        <v>3000.2</v>
      </c>
      <c r="G47" s="14"/>
      <c r="H47" s="9">
        <v>27</v>
      </c>
    </row>
    <row r="48" spans="3:8" x14ac:dyDescent="0.25">
      <c r="C48" s="8"/>
      <c r="D48" s="68" t="s">
        <v>3517</v>
      </c>
      <c r="E48" s="68" t="s">
        <v>3528</v>
      </c>
      <c r="F48" s="4">
        <v>2576</v>
      </c>
      <c r="G48" s="14"/>
      <c r="H48" s="9"/>
    </row>
    <row r="49" spans="3:8" x14ac:dyDescent="0.25">
      <c r="C49" s="8"/>
      <c r="D49" s="68" t="s">
        <v>3518</v>
      </c>
      <c r="E49" s="68" t="s">
        <v>48</v>
      </c>
      <c r="F49" s="4">
        <v>28</v>
      </c>
      <c r="G49" s="14"/>
      <c r="H49" s="9"/>
    </row>
    <row r="50" spans="3:8" x14ac:dyDescent="0.25">
      <c r="C50" s="8"/>
      <c r="D50" s="68" t="s">
        <v>3519</v>
      </c>
      <c r="E50" s="68" t="s">
        <v>48</v>
      </c>
      <c r="F50" s="4">
        <v>0.8</v>
      </c>
      <c r="G50" s="14"/>
      <c r="H50" s="9"/>
    </row>
    <row r="51" spans="3:8" x14ac:dyDescent="0.25">
      <c r="C51" s="8"/>
      <c r="D51" s="68" t="s">
        <v>3520</v>
      </c>
      <c r="E51" s="68" t="s">
        <v>48</v>
      </c>
      <c r="F51" s="4">
        <v>6</v>
      </c>
      <c r="G51" s="14"/>
      <c r="H51" s="9"/>
    </row>
    <row r="52" spans="3:8" x14ac:dyDescent="0.25">
      <c r="C52" s="8"/>
      <c r="D52" s="68" t="s">
        <v>3521</v>
      </c>
      <c r="E52" s="68" t="s">
        <v>48</v>
      </c>
      <c r="F52" s="4">
        <v>33</v>
      </c>
      <c r="G52" s="14"/>
      <c r="H52" s="9"/>
    </row>
    <row r="53" spans="3:8" x14ac:dyDescent="0.25">
      <c r="C53" s="8"/>
      <c r="D53" s="68" t="s">
        <v>3522</v>
      </c>
      <c r="E53" s="68" t="s">
        <v>48</v>
      </c>
      <c r="F53" s="4"/>
      <c r="G53" s="14"/>
      <c r="H53" s="9">
        <v>120</v>
      </c>
    </row>
    <row r="54" spans="3:8" x14ac:dyDescent="0.25">
      <c r="C54" s="8"/>
      <c r="D54" s="68" t="s">
        <v>3523</v>
      </c>
      <c r="E54" s="68" t="s">
        <v>48</v>
      </c>
      <c r="F54" s="4">
        <v>16</v>
      </c>
      <c r="G54" s="14"/>
      <c r="H54" s="9"/>
    </row>
    <row r="55" spans="3:8" x14ac:dyDescent="0.25">
      <c r="C55" s="8"/>
      <c r="D55" s="68" t="s">
        <v>3524</v>
      </c>
      <c r="E55" s="68" t="s">
        <v>3388</v>
      </c>
      <c r="F55" s="4"/>
      <c r="G55" s="14"/>
      <c r="H55" s="9">
        <v>768</v>
      </c>
    </row>
    <row r="56" spans="3:8" x14ac:dyDescent="0.25">
      <c r="C56" s="8"/>
      <c r="D56" s="68" t="s">
        <v>3525</v>
      </c>
      <c r="E56" s="68" t="s">
        <v>107</v>
      </c>
      <c r="F56" s="4"/>
      <c r="G56" s="14">
        <v>2800</v>
      </c>
      <c r="H56" s="9"/>
    </row>
    <row r="57" spans="3:8" x14ac:dyDescent="0.25">
      <c r="C57" s="8"/>
      <c r="D57" s="68" t="s">
        <v>3526</v>
      </c>
      <c r="E57" s="68" t="s">
        <v>48</v>
      </c>
      <c r="F57" s="4">
        <v>28</v>
      </c>
      <c r="G57" s="14"/>
      <c r="H57" s="9"/>
    </row>
    <row r="58" spans="3:8" x14ac:dyDescent="0.25">
      <c r="C58" s="8"/>
      <c r="D58" s="68" t="s">
        <v>3527</v>
      </c>
      <c r="E58" s="68" t="s">
        <v>955</v>
      </c>
      <c r="F58" s="4"/>
      <c r="G58" s="14"/>
      <c r="H58" s="9">
        <v>1623.5</v>
      </c>
    </row>
    <row r="59" spans="3:8" x14ac:dyDescent="0.25">
      <c r="C59" s="8"/>
      <c r="D59" s="68" t="s">
        <v>3579</v>
      </c>
      <c r="E59" s="68"/>
      <c r="F59" s="4"/>
      <c r="G59" s="14"/>
      <c r="H59" s="9"/>
    </row>
    <row r="60" spans="3:8" x14ac:dyDescent="0.25">
      <c r="C60" s="8"/>
      <c r="D60" s="68" t="s">
        <v>3580</v>
      </c>
      <c r="E60" s="68"/>
      <c r="F60" s="4"/>
      <c r="G60" s="14"/>
      <c r="H60" s="9"/>
    </row>
    <row r="61" spans="3:8" x14ac:dyDescent="0.25">
      <c r="C61" s="8"/>
      <c r="D61" s="68"/>
      <c r="E61" s="68"/>
      <c r="F61" s="4"/>
      <c r="G61" s="14"/>
      <c r="H61" s="9"/>
    </row>
    <row r="62" spans="3:8" x14ac:dyDescent="0.25">
      <c r="C62" s="8"/>
      <c r="D62" s="68"/>
      <c r="E62" s="68"/>
      <c r="F62" s="4"/>
      <c r="G62" s="14"/>
      <c r="H62" s="9"/>
    </row>
    <row r="63" spans="3:8" x14ac:dyDescent="0.25">
      <c r="C63" s="8"/>
      <c r="D63" s="68"/>
      <c r="E63" s="68"/>
      <c r="F63" s="4"/>
      <c r="G63" s="14"/>
      <c r="H63" s="9"/>
    </row>
    <row r="64" spans="3:8" x14ac:dyDescent="0.25">
      <c r="C64" s="29"/>
      <c r="D64" s="69"/>
      <c r="E64" s="69" t="s">
        <v>60</v>
      </c>
      <c r="F64" s="4"/>
      <c r="G64" s="14"/>
      <c r="H64" s="9"/>
    </row>
    <row r="65" spans="3:8" x14ac:dyDescent="0.25">
      <c r="C65" s="8"/>
      <c r="D65" s="74"/>
      <c r="E65" s="68"/>
      <c r="F65" s="4"/>
      <c r="G65" s="14"/>
      <c r="H65" s="9"/>
    </row>
    <row r="66" spans="3:8" x14ac:dyDescent="0.25">
      <c r="C66" s="8"/>
      <c r="D66" s="74"/>
      <c r="E66" s="68"/>
      <c r="F66" s="4"/>
      <c r="G66" s="14"/>
      <c r="H66" s="9"/>
    </row>
    <row r="67" spans="3:8" x14ac:dyDescent="0.25">
      <c r="C67" s="8"/>
      <c r="D67" s="74"/>
      <c r="E67" s="68"/>
      <c r="F67" s="4"/>
      <c r="G67" s="14"/>
      <c r="H67" s="4"/>
    </row>
    <row r="68" spans="3:8" x14ac:dyDescent="0.25">
      <c r="C68" s="8"/>
      <c r="D68" s="68"/>
      <c r="E68" s="68"/>
      <c r="F68" s="4"/>
      <c r="G68" s="14"/>
      <c r="H68" s="9"/>
    </row>
    <row r="69" spans="3:8" x14ac:dyDescent="0.25">
      <c r="C69" s="16"/>
      <c r="D69" s="70"/>
      <c r="E69" s="70" t="s">
        <v>39</v>
      </c>
      <c r="F69" s="4"/>
      <c r="G69" s="14"/>
      <c r="H69" s="9"/>
    </row>
    <row r="70" spans="3:8" x14ac:dyDescent="0.25">
      <c r="C70" s="8"/>
      <c r="D70" s="68"/>
      <c r="E70" s="68" t="s">
        <v>3537</v>
      </c>
      <c r="F70" s="4">
        <v>2250</v>
      </c>
      <c r="G70" s="14"/>
      <c r="H70" s="9"/>
    </row>
    <row r="71" spans="3:8" x14ac:dyDescent="0.25">
      <c r="C71" s="8"/>
      <c r="D71" s="68"/>
      <c r="E71" s="68" t="s">
        <v>3539</v>
      </c>
      <c r="F71" s="4">
        <v>189</v>
      </c>
      <c r="G71" s="14"/>
      <c r="H71" s="9"/>
    </row>
    <row r="72" spans="3:8" x14ac:dyDescent="0.25">
      <c r="C72" s="8"/>
      <c r="D72" s="68"/>
      <c r="E72" s="68" t="s">
        <v>3540</v>
      </c>
      <c r="F72" s="4">
        <v>150</v>
      </c>
      <c r="G72" s="14"/>
      <c r="H72" s="9"/>
    </row>
    <row r="73" spans="3:8" x14ac:dyDescent="0.25">
      <c r="C73" s="8"/>
      <c r="D73" s="68"/>
      <c r="E73" s="68"/>
      <c r="F73" s="4"/>
      <c r="G73" s="14"/>
      <c r="H73" s="9"/>
    </row>
    <row r="74" spans="3:8" x14ac:dyDescent="0.25">
      <c r="C74" s="8"/>
      <c r="D74" s="68"/>
      <c r="E74" s="68"/>
      <c r="F74" s="4"/>
      <c r="G74" s="14"/>
      <c r="H74" s="9"/>
    </row>
    <row r="75" spans="3:8" x14ac:dyDescent="0.25">
      <c r="C75" s="19"/>
      <c r="D75" s="71"/>
      <c r="E75" s="71" t="s">
        <v>42</v>
      </c>
      <c r="F75" s="4"/>
      <c r="G75" s="14"/>
      <c r="H75" s="9"/>
    </row>
    <row r="76" spans="3:8" x14ac:dyDescent="0.25">
      <c r="C76" s="34"/>
      <c r="D76" s="75"/>
      <c r="E76" s="68" t="s">
        <v>3474</v>
      </c>
      <c r="F76" s="14">
        <v>-1930</v>
      </c>
      <c r="G76" s="14"/>
      <c r="H76" s="9"/>
    </row>
    <row r="77" spans="3:8" x14ac:dyDescent="0.25">
      <c r="C77" s="8"/>
      <c r="D77" s="68"/>
      <c r="E77" s="68" t="s">
        <v>3530</v>
      </c>
      <c r="F77" s="14">
        <v>-590.6</v>
      </c>
      <c r="G77" s="14"/>
      <c r="H77" s="9"/>
    </row>
    <row r="78" spans="3:8" x14ac:dyDescent="0.25">
      <c r="C78" s="8"/>
      <c r="D78" s="68"/>
      <c r="E78" s="68" t="s">
        <v>2151</v>
      </c>
      <c r="F78" s="14">
        <v>-100</v>
      </c>
      <c r="G78" s="14"/>
      <c r="H78" s="9"/>
    </row>
    <row r="79" spans="3:8" x14ac:dyDescent="0.25">
      <c r="C79" s="8"/>
      <c r="D79" s="68"/>
      <c r="E79" s="68" t="s">
        <v>3534</v>
      </c>
      <c r="F79" s="14">
        <v>-729</v>
      </c>
      <c r="G79" s="14"/>
      <c r="H79" s="9"/>
    </row>
    <row r="80" spans="3:8" x14ac:dyDescent="0.25">
      <c r="C80" s="8"/>
      <c r="D80" s="68"/>
      <c r="E80" s="68" t="s">
        <v>3535</v>
      </c>
      <c r="F80" s="14">
        <v>-1000</v>
      </c>
      <c r="G80" s="14"/>
      <c r="H80" s="9"/>
    </row>
    <row r="81" spans="3:8" x14ac:dyDescent="0.25">
      <c r="C81" s="8"/>
      <c r="D81" s="68"/>
      <c r="E81" s="68" t="s">
        <v>3538</v>
      </c>
      <c r="F81" s="14">
        <v>-330</v>
      </c>
      <c r="G81" s="14"/>
      <c r="H81" s="9"/>
    </row>
    <row r="82" spans="3:8" x14ac:dyDescent="0.25">
      <c r="C82" s="8"/>
      <c r="D82" s="68"/>
      <c r="E82" s="68" t="s">
        <v>3543</v>
      </c>
      <c r="F82" s="14">
        <v>-100</v>
      </c>
      <c r="G82" s="14"/>
      <c r="H82" s="9"/>
    </row>
    <row r="83" spans="3:8" x14ac:dyDescent="0.25">
      <c r="C83" s="8"/>
      <c r="D83" s="68"/>
      <c r="E83" s="68" t="s">
        <v>1274</v>
      </c>
      <c r="F83" s="14">
        <v>-7576.8</v>
      </c>
      <c r="G83" s="14"/>
      <c r="H83" s="9"/>
    </row>
    <row r="84" spans="3:8" x14ac:dyDescent="0.25">
      <c r="C84" s="8"/>
      <c r="D84" s="68"/>
      <c r="E84" s="68"/>
      <c r="F84" s="14"/>
      <c r="G84" s="14"/>
      <c r="H84" s="9"/>
    </row>
    <row r="85" spans="3:8" x14ac:dyDescent="0.25">
      <c r="C85" s="8"/>
      <c r="D85" s="68"/>
      <c r="E85" s="68"/>
      <c r="F85" s="4"/>
      <c r="G85" s="14"/>
      <c r="H85" s="9"/>
    </row>
    <row r="86" spans="3:8" ht="15.75" thickBot="1" x14ac:dyDescent="0.3">
      <c r="C86" s="10"/>
      <c r="D86" s="72"/>
      <c r="E86" s="72" t="s">
        <v>44</v>
      </c>
      <c r="F86" s="12">
        <f>SUM(F6:F85)</f>
        <v>1927.3999999999987</v>
      </c>
      <c r="G86" s="15">
        <f>SUM(G6:G85)</f>
        <v>5419.5</v>
      </c>
      <c r="H86" s="13">
        <f>SUM(H6:H85)</f>
        <v>9675</v>
      </c>
    </row>
    <row r="89" spans="3:8" s="3" customFormat="1" ht="18.75" x14ac:dyDescent="0.3">
      <c r="C89" s="1"/>
      <c r="D89" s="62"/>
      <c r="E89" s="73" t="s">
        <v>49</v>
      </c>
      <c r="F89" s="39">
        <f>+H4+F86</f>
        <v>5981.5899999999983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B97A-2E59-4DEC-A7A6-D9CF4B69DD47}">
  <sheetPr codeName="Hoja39"/>
  <dimension ref="C2:H113"/>
  <sheetViews>
    <sheetView topLeftCell="A67" workbookViewId="0">
      <selection activeCell="D74" sqref="D74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4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3544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5981.59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3545</v>
      </c>
      <c r="E6" s="2" t="s">
        <v>3563</v>
      </c>
      <c r="F6" s="4"/>
      <c r="G6" s="14"/>
      <c r="H6" s="9">
        <v>4709.1000000000004</v>
      </c>
    </row>
    <row r="7" spans="3:8" x14ac:dyDescent="0.25">
      <c r="C7" s="8"/>
      <c r="D7" s="2" t="s">
        <v>3546</v>
      </c>
      <c r="E7" s="2" t="s">
        <v>3632</v>
      </c>
      <c r="F7" s="4">
        <v>537.5</v>
      </c>
      <c r="G7" s="14"/>
      <c r="H7" s="9"/>
    </row>
    <row r="8" spans="3:8" x14ac:dyDescent="0.25">
      <c r="C8" s="8"/>
      <c r="D8" s="2" t="s">
        <v>3547</v>
      </c>
      <c r="E8" s="2" t="s">
        <v>3578</v>
      </c>
      <c r="F8" s="4">
        <v>455</v>
      </c>
      <c r="G8" s="14"/>
      <c r="H8" s="9"/>
    </row>
    <row r="9" spans="3:8" x14ac:dyDescent="0.25">
      <c r="C9" s="8"/>
      <c r="D9" s="2" t="s">
        <v>3548</v>
      </c>
      <c r="E9" s="2" t="s">
        <v>440</v>
      </c>
      <c r="F9" s="4">
        <v>20</v>
      </c>
      <c r="G9" s="14"/>
      <c r="H9" s="9"/>
    </row>
    <row r="10" spans="3:8" x14ac:dyDescent="0.25">
      <c r="C10" s="8"/>
      <c r="D10" s="2" t="s">
        <v>3549</v>
      </c>
      <c r="E10" s="2" t="s">
        <v>3577</v>
      </c>
      <c r="F10" s="4"/>
      <c r="G10" s="14"/>
      <c r="H10" s="9">
        <v>491.6</v>
      </c>
    </row>
    <row r="11" spans="3:8" x14ac:dyDescent="0.25">
      <c r="C11" s="8"/>
      <c r="D11" s="2" t="s">
        <v>3550</v>
      </c>
      <c r="E11" s="2" t="s">
        <v>437</v>
      </c>
      <c r="F11" s="4"/>
      <c r="G11" s="14"/>
      <c r="H11" s="9">
        <v>206.6</v>
      </c>
    </row>
    <row r="12" spans="3:8" x14ac:dyDescent="0.25">
      <c r="C12" s="8"/>
      <c r="D12" s="2" t="s">
        <v>3551</v>
      </c>
      <c r="E12" s="2" t="s">
        <v>440</v>
      </c>
      <c r="F12" s="4"/>
      <c r="G12" s="14"/>
      <c r="H12" s="9">
        <v>47.5</v>
      </c>
    </row>
    <row r="13" spans="3:8" x14ac:dyDescent="0.25">
      <c r="C13" s="8"/>
      <c r="D13" s="2" t="s">
        <v>3552</v>
      </c>
      <c r="E13" s="2" t="s">
        <v>583</v>
      </c>
      <c r="F13" s="4">
        <v>975</v>
      </c>
      <c r="G13" s="14"/>
      <c r="H13" s="9"/>
    </row>
    <row r="14" spans="3:8" x14ac:dyDescent="0.25">
      <c r="C14" s="8"/>
      <c r="D14" s="2" t="s">
        <v>3553</v>
      </c>
      <c r="E14" s="2" t="s">
        <v>440</v>
      </c>
      <c r="F14" s="4">
        <v>14</v>
      </c>
      <c r="G14" s="14"/>
      <c r="H14" s="9"/>
    </row>
    <row r="15" spans="3:8" x14ac:dyDescent="0.25">
      <c r="C15" s="8"/>
      <c r="D15" s="2" t="s">
        <v>3554</v>
      </c>
      <c r="E15" s="2" t="s">
        <v>136</v>
      </c>
      <c r="F15" s="4"/>
      <c r="G15" s="14">
        <v>538.5</v>
      </c>
      <c r="H15" s="9"/>
    </row>
    <row r="16" spans="3:8" x14ac:dyDescent="0.25">
      <c r="C16" s="8"/>
      <c r="D16" s="2" t="s">
        <v>3555</v>
      </c>
      <c r="E16" s="2" t="s">
        <v>440</v>
      </c>
      <c r="F16" s="4">
        <v>2</v>
      </c>
      <c r="G16" s="14"/>
      <c r="H16" s="9"/>
    </row>
    <row r="17" spans="3:8" x14ac:dyDescent="0.25">
      <c r="C17" s="8"/>
      <c r="D17" s="2" t="s">
        <v>3556</v>
      </c>
      <c r="E17" s="2" t="s">
        <v>3576</v>
      </c>
      <c r="F17" s="4">
        <v>4918.6000000000004</v>
      </c>
      <c r="G17" s="14"/>
      <c r="H17" s="9"/>
    </row>
    <row r="18" spans="3:8" x14ac:dyDescent="0.25">
      <c r="C18" s="8"/>
      <c r="D18" s="2" t="s">
        <v>3557</v>
      </c>
      <c r="E18" s="2" t="s">
        <v>440</v>
      </c>
      <c r="F18" s="4">
        <v>8</v>
      </c>
      <c r="G18" s="14"/>
      <c r="H18" s="9"/>
    </row>
    <row r="19" spans="3:8" x14ac:dyDescent="0.25">
      <c r="C19" s="8"/>
      <c r="D19" s="2" t="s">
        <v>3558</v>
      </c>
      <c r="E19" s="2" t="s">
        <v>440</v>
      </c>
      <c r="F19" s="4">
        <v>8</v>
      </c>
      <c r="G19" s="14"/>
      <c r="H19" s="9"/>
    </row>
    <row r="20" spans="3:8" x14ac:dyDescent="0.25">
      <c r="C20" s="8"/>
      <c r="D20" s="2" t="s">
        <v>3559</v>
      </c>
      <c r="E20" s="2" t="s">
        <v>440</v>
      </c>
      <c r="F20" s="4">
        <v>6</v>
      </c>
      <c r="G20" s="14"/>
      <c r="H20" s="9"/>
    </row>
    <row r="21" spans="3:8" x14ac:dyDescent="0.25">
      <c r="C21" s="8"/>
      <c r="D21" s="2" t="s">
        <v>3560</v>
      </c>
      <c r="E21" s="2" t="s">
        <v>440</v>
      </c>
      <c r="F21" s="4"/>
      <c r="G21" s="14"/>
      <c r="H21" s="9">
        <v>14.5</v>
      </c>
    </row>
    <row r="22" spans="3:8" x14ac:dyDescent="0.25">
      <c r="C22" s="8"/>
      <c r="D22" s="2" t="s">
        <v>3564</v>
      </c>
      <c r="E22" s="2" t="s">
        <v>136</v>
      </c>
      <c r="F22" s="4"/>
      <c r="G22" s="14">
        <v>65</v>
      </c>
      <c r="H22" s="9"/>
    </row>
    <row r="23" spans="3:8" x14ac:dyDescent="0.25">
      <c r="C23" s="8"/>
      <c r="D23" s="2" t="s">
        <v>3565</v>
      </c>
      <c r="E23" s="2" t="s">
        <v>158</v>
      </c>
      <c r="F23" s="4"/>
      <c r="G23" s="14"/>
      <c r="H23" s="9">
        <v>957.16</v>
      </c>
    </row>
    <row r="24" spans="3:8" x14ac:dyDescent="0.25">
      <c r="C24" s="8"/>
      <c r="D24" s="2" t="s">
        <v>3566</v>
      </c>
      <c r="E24" s="2" t="s">
        <v>3504</v>
      </c>
      <c r="F24" s="4"/>
      <c r="G24" s="14"/>
      <c r="H24" s="9">
        <v>9</v>
      </c>
    </row>
    <row r="25" spans="3:8" x14ac:dyDescent="0.25">
      <c r="C25" s="8"/>
      <c r="D25" s="2" t="s">
        <v>3567</v>
      </c>
      <c r="E25" s="2" t="s">
        <v>440</v>
      </c>
      <c r="F25" s="4">
        <v>8</v>
      </c>
      <c r="G25" s="14"/>
      <c r="H25" s="9"/>
    </row>
    <row r="26" spans="3:8" x14ac:dyDescent="0.25">
      <c r="C26" s="8"/>
      <c r="D26" s="2" t="s">
        <v>3568</v>
      </c>
      <c r="E26" s="2" t="s">
        <v>440</v>
      </c>
      <c r="F26" s="4"/>
      <c r="G26" s="14"/>
      <c r="H26" s="9">
        <v>92</v>
      </c>
    </row>
    <row r="27" spans="3:8" x14ac:dyDescent="0.25">
      <c r="C27" s="8"/>
      <c r="D27" s="2" t="s">
        <v>3569</v>
      </c>
      <c r="E27" s="2" t="s">
        <v>3575</v>
      </c>
      <c r="F27" s="4"/>
      <c r="G27" s="14"/>
      <c r="H27" s="9">
        <v>477.5</v>
      </c>
    </row>
    <row r="28" spans="3:8" x14ac:dyDescent="0.25">
      <c r="C28" s="8"/>
      <c r="D28" s="2" t="s">
        <v>3570</v>
      </c>
      <c r="E28" s="2" t="s">
        <v>440</v>
      </c>
      <c r="F28" s="4"/>
      <c r="G28" s="14"/>
      <c r="H28" s="9">
        <v>8</v>
      </c>
    </row>
    <row r="29" spans="3:8" x14ac:dyDescent="0.25">
      <c r="C29" s="8"/>
      <c r="D29" s="2" t="s">
        <v>3571</v>
      </c>
      <c r="E29" s="2" t="s">
        <v>440</v>
      </c>
      <c r="F29" s="4"/>
      <c r="G29" s="14"/>
      <c r="H29" s="9">
        <v>9</v>
      </c>
    </row>
    <row r="30" spans="3:8" x14ac:dyDescent="0.25">
      <c r="C30" s="8"/>
      <c r="D30" s="2" t="s">
        <v>3572</v>
      </c>
      <c r="E30" s="2" t="s">
        <v>1975</v>
      </c>
      <c r="F30" s="4"/>
      <c r="G30" s="14"/>
      <c r="H30" s="9">
        <v>305</v>
      </c>
    </row>
    <row r="31" spans="3:8" x14ac:dyDescent="0.25">
      <c r="C31" s="8"/>
      <c r="D31" s="2" t="s">
        <v>3573</v>
      </c>
      <c r="E31" s="2" t="s">
        <v>3576</v>
      </c>
      <c r="F31" s="4">
        <v>1141.8</v>
      </c>
      <c r="G31" s="14"/>
      <c r="H31" s="9"/>
    </row>
    <row r="32" spans="3:8" x14ac:dyDescent="0.25">
      <c r="C32" s="8"/>
      <c r="D32" s="2" t="s">
        <v>3574</v>
      </c>
      <c r="E32" s="2" t="s">
        <v>440</v>
      </c>
      <c r="F32" s="4"/>
      <c r="G32" s="14"/>
      <c r="H32" s="9">
        <v>15</v>
      </c>
    </row>
    <row r="33" spans="3:8" x14ac:dyDescent="0.25">
      <c r="C33" s="8"/>
      <c r="D33" s="2" t="s">
        <v>3609</v>
      </c>
      <c r="E33" s="2" t="s">
        <v>440</v>
      </c>
      <c r="F33" s="4"/>
      <c r="G33" s="14"/>
      <c r="H33" s="9">
        <v>67</v>
      </c>
    </row>
    <row r="34" spans="3:8" x14ac:dyDescent="0.25">
      <c r="C34" s="8"/>
      <c r="D34" s="2" t="s">
        <v>3610</v>
      </c>
      <c r="E34" s="2" t="s">
        <v>440</v>
      </c>
      <c r="F34" s="4"/>
      <c r="G34" s="14"/>
      <c r="H34" s="9">
        <v>42</v>
      </c>
    </row>
    <row r="35" spans="3:8" x14ac:dyDescent="0.25">
      <c r="C35" s="8"/>
      <c r="D35" s="2" t="s">
        <v>3611</v>
      </c>
      <c r="E35" s="2" t="s">
        <v>440</v>
      </c>
      <c r="F35" s="4">
        <v>7</v>
      </c>
      <c r="G35" s="14"/>
      <c r="H35" s="9"/>
    </row>
    <row r="36" spans="3:8" x14ac:dyDescent="0.25">
      <c r="C36" s="8"/>
      <c r="D36" s="2" t="s">
        <v>3612</v>
      </c>
      <c r="E36" s="2" t="s">
        <v>440</v>
      </c>
      <c r="F36" s="4">
        <v>10.5</v>
      </c>
      <c r="G36" s="14"/>
      <c r="H36" s="9"/>
    </row>
    <row r="37" spans="3:8" x14ac:dyDescent="0.25">
      <c r="C37" s="8"/>
      <c r="D37" s="2" t="s">
        <v>3613</v>
      </c>
      <c r="E37" s="2" t="s">
        <v>141</v>
      </c>
      <c r="F37" s="4"/>
      <c r="G37" s="14">
        <v>975</v>
      </c>
      <c r="H37" s="9"/>
    </row>
    <row r="38" spans="3:8" x14ac:dyDescent="0.25">
      <c r="C38" s="8"/>
      <c r="D38" s="2" t="s">
        <v>3614</v>
      </c>
      <c r="E38" s="2" t="s">
        <v>440</v>
      </c>
      <c r="F38" s="4"/>
      <c r="G38" s="14"/>
      <c r="H38" s="9">
        <v>5</v>
      </c>
    </row>
    <row r="39" spans="3:8" x14ac:dyDescent="0.25">
      <c r="C39" s="8"/>
      <c r="D39" s="2" t="s">
        <v>3615</v>
      </c>
      <c r="E39" s="2" t="s">
        <v>2608</v>
      </c>
      <c r="F39" s="4">
        <v>906.5</v>
      </c>
      <c r="G39" s="14"/>
      <c r="H39" s="9"/>
    </row>
    <row r="40" spans="3:8" x14ac:dyDescent="0.25">
      <c r="C40" s="8"/>
      <c r="D40" s="2" t="s">
        <v>3616</v>
      </c>
      <c r="E40" s="2" t="s">
        <v>440</v>
      </c>
      <c r="F40" s="4">
        <v>26</v>
      </c>
      <c r="G40" s="14"/>
      <c r="H40" s="9"/>
    </row>
    <row r="41" spans="3:8" x14ac:dyDescent="0.25">
      <c r="C41" s="8"/>
      <c r="D41" s="2" t="s">
        <v>3617</v>
      </c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 t="s">
        <v>3579</v>
      </c>
      <c r="E44" s="2" t="s">
        <v>48</v>
      </c>
      <c r="F44" s="4">
        <v>10</v>
      </c>
      <c r="G44" s="14"/>
      <c r="H44" s="9"/>
    </row>
    <row r="45" spans="3:8" x14ac:dyDescent="0.25">
      <c r="C45" s="8"/>
      <c r="D45" s="2" t="s">
        <v>3580</v>
      </c>
      <c r="E45" s="2" t="s">
        <v>106</v>
      </c>
      <c r="F45" s="4"/>
      <c r="G45" s="14"/>
      <c r="H45" s="9">
        <v>1820</v>
      </c>
    </row>
    <row r="46" spans="3:8" x14ac:dyDescent="0.25">
      <c r="C46" s="8"/>
      <c r="D46" s="2" t="s">
        <v>3581</v>
      </c>
      <c r="E46" s="2" t="s">
        <v>3608</v>
      </c>
      <c r="F46" s="4"/>
      <c r="G46" s="14"/>
      <c r="H46" s="9">
        <v>123.4</v>
      </c>
    </row>
    <row r="47" spans="3:8" x14ac:dyDescent="0.25">
      <c r="C47" s="8"/>
      <c r="D47" s="2" t="s">
        <v>3582</v>
      </c>
      <c r="E47" s="2" t="s">
        <v>48</v>
      </c>
      <c r="F47" s="4">
        <v>22.5</v>
      </c>
      <c r="G47" s="14"/>
      <c r="H47" s="9"/>
    </row>
    <row r="48" spans="3:8" x14ac:dyDescent="0.25">
      <c r="C48" s="8"/>
      <c r="D48" s="2" t="s">
        <v>3583</v>
      </c>
      <c r="E48" s="2" t="s">
        <v>48</v>
      </c>
      <c r="F48" s="4">
        <v>12</v>
      </c>
      <c r="G48" s="14"/>
      <c r="H48" s="9"/>
    </row>
    <row r="49" spans="3:8" x14ac:dyDescent="0.25">
      <c r="C49" s="8"/>
      <c r="D49" s="2" t="s">
        <v>3584</v>
      </c>
      <c r="E49" s="2" t="s">
        <v>48</v>
      </c>
      <c r="F49" s="4">
        <v>30</v>
      </c>
      <c r="G49" s="14"/>
      <c r="H49" s="9">
        <v>36</v>
      </c>
    </row>
    <row r="50" spans="3:8" x14ac:dyDescent="0.25">
      <c r="C50" s="8"/>
      <c r="D50" s="2" t="s">
        <v>3585</v>
      </c>
      <c r="E50" s="2" t="s">
        <v>48</v>
      </c>
      <c r="F50" s="4">
        <v>3</v>
      </c>
      <c r="G50" s="14"/>
      <c r="H50" s="9"/>
    </row>
    <row r="51" spans="3:8" x14ac:dyDescent="0.25">
      <c r="C51" s="8"/>
      <c r="D51" s="2" t="s">
        <v>3586</v>
      </c>
      <c r="E51" s="2" t="s">
        <v>48</v>
      </c>
      <c r="F51" s="4">
        <v>40</v>
      </c>
      <c r="G51" s="14"/>
      <c r="H51" s="9"/>
    </row>
    <row r="52" spans="3:8" x14ac:dyDescent="0.25">
      <c r="C52" s="8"/>
      <c r="D52" s="2" t="s">
        <v>3587</v>
      </c>
      <c r="E52" s="2" t="s">
        <v>48</v>
      </c>
      <c r="F52" s="4">
        <v>39.5</v>
      </c>
      <c r="G52" s="14"/>
      <c r="H52" s="9"/>
    </row>
    <row r="53" spans="3:8" x14ac:dyDescent="0.25">
      <c r="C53" s="8"/>
      <c r="D53" s="2" t="s">
        <v>3588</v>
      </c>
      <c r="E53" s="2" t="s">
        <v>48</v>
      </c>
      <c r="F53" s="4">
        <v>5</v>
      </c>
      <c r="G53" s="14"/>
      <c r="H53" s="9"/>
    </row>
    <row r="54" spans="3:8" x14ac:dyDescent="0.25">
      <c r="C54" s="8"/>
      <c r="D54" s="2" t="s">
        <v>3589</v>
      </c>
      <c r="E54" s="2" t="s">
        <v>48</v>
      </c>
      <c r="F54" s="4">
        <v>12</v>
      </c>
      <c r="G54" s="14"/>
      <c r="H54" s="9"/>
    </row>
    <row r="55" spans="3:8" x14ac:dyDescent="0.25">
      <c r="C55" s="8"/>
      <c r="D55" s="2" t="s">
        <v>3590</v>
      </c>
      <c r="E55" s="2" t="s">
        <v>722</v>
      </c>
      <c r="F55" s="4"/>
      <c r="G55" s="14">
        <v>560</v>
      </c>
      <c r="H55" s="9"/>
    </row>
    <row r="56" spans="3:8" x14ac:dyDescent="0.25">
      <c r="C56" s="8"/>
      <c r="D56" s="2" t="s">
        <v>3591</v>
      </c>
      <c r="E56" s="2" t="s">
        <v>2919</v>
      </c>
      <c r="F56" s="4">
        <v>2128</v>
      </c>
      <c r="G56" s="14"/>
      <c r="H56" s="9"/>
    </row>
    <row r="57" spans="3:8" x14ac:dyDescent="0.25">
      <c r="C57" s="8"/>
      <c r="D57" s="2" t="s">
        <v>3592</v>
      </c>
      <c r="E57" s="2" t="s">
        <v>48</v>
      </c>
      <c r="F57" s="4">
        <v>3</v>
      </c>
      <c r="G57" s="14"/>
      <c r="H57" s="9"/>
    </row>
    <row r="58" spans="3:8" x14ac:dyDescent="0.25">
      <c r="C58" s="8"/>
      <c r="D58" s="2" t="s">
        <v>3593</v>
      </c>
      <c r="E58" s="2" t="s">
        <v>48</v>
      </c>
      <c r="F58" s="4"/>
      <c r="G58" s="14"/>
      <c r="H58" s="9">
        <v>18</v>
      </c>
    </row>
    <row r="59" spans="3:8" x14ac:dyDescent="0.25">
      <c r="C59" s="8"/>
      <c r="D59" s="2" t="s">
        <v>3594</v>
      </c>
      <c r="E59" s="2" t="s">
        <v>48</v>
      </c>
      <c r="F59" s="4">
        <v>131.4</v>
      </c>
      <c r="G59" s="14"/>
      <c r="H59" s="9"/>
    </row>
    <row r="60" spans="3:8" x14ac:dyDescent="0.25">
      <c r="C60" s="8"/>
      <c r="D60" s="2" t="s">
        <v>3595</v>
      </c>
      <c r="E60" s="2" t="s">
        <v>48</v>
      </c>
      <c r="F60" s="4">
        <v>4</v>
      </c>
      <c r="G60" s="14"/>
      <c r="H60" s="9"/>
    </row>
    <row r="61" spans="3:8" x14ac:dyDescent="0.25">
      <c r="C61" s="8"/>
      <c r="D61" s="2" t="s">
        <v>3596</v>
      </c>
      <c r="E61" s="2" t="s">
        <v>48</v>
      </c>
      <c r="F61" s="4">
        <v>26</v>
      </c>
      <c r="G61" s="14"/>
      <c r="H61" s="9"/>
    </row>
    <row r="62" spans="3:8" x14ac:dyDescent="0.25">
      <c r="C62" s="8"/>
      <c r="D62" s="2" t="s">
        <v>3597</v>
      </c>
      <c r="E62" s="2" t="s">
        <v>3388</v>
      </c>
      <c r="F62" s="4"/>
      <c r="G62" s="14"/>
      <c r="H62" s="9">
        <v>155</v>
      </c>
    </row>
    <row r="63" spans="3:8" x14ac:dyDescent="0.25">
      <c r="C63" s="8"/>
      <c r="D63" s="2" t="s">
        <v>3598</v>
      </c>
      <c r="E63" s="2" t="s">
        <v>48</v>
      </c>
      <c r="F63" s="4"/>
      <c r="G63" s="14"/>
      <c r="H63" s="9">
        <v>28.5</v>
      </c>
    </row>
    <row r="64" spans="3:8" x14ac:dyDescent="0.25">
      <c r="C64" s="8"/>
      <c r="D64" s="2" t="s">
        <v>3599</v>
      </c>
      <c r="E64" s="2" t="s">
        <v>605</v>
      </c>
      <c r="F64" s="4">
        <v>105</v>
      </c>
      <c r="G64" s="14"/>
      <c r="H64" s="9"/>
    </row>
    <row r="65" spans="3:8" x14ac:dyDescent="0.25">
      <c r="C65" s="8"/>
      <c r="D65" s="2" t="s">
        <v>3600</v>
      </c>
      <c r="E65" s="43" t="s">
        <v>3602</v>
      </c>
      <c r="F65" s="4"/>
      <c r="G65" s="14"/>
      <c r="H65" s="9"/>
    </row>
    <row r="66" spans="3:8" x14ac:dyDescent="0.25">
      <c r="C66" s="8"/>
      <c r="D66" s="2" t="s">
        <v>3601</v>
      </c>
      <c r="E66" s="2" t="s">
        <v>3438</v>
      </c>
      <c r="F66" s="4"/>
      <c r="G66" s="14"/>
      <c r="H66" s="9">
        <v>183.3</v>
      </c>
    </row>
    <row r="67" spans="3:8" x14ac:dyDescent="0.25">
      <c r="C67" s="8"/>
      <c r="D67" s="2" t="s">
        <v>3618</v>
      </c>
      <c r="E67" s="2" t="s">
        <v>3623</v>
      </c>
      <c r="F67" s="4"/>
      <c r="G67" s="14"/>
      <c r="H67" s="9">
        <v>226.8</v>
      </c>
    </row>
    <row r="68" spans="3:8" x14ac:dyDescent="0.25">
      <c r="C68" s="8"/>
      <c r="D68" s="2" t="s">
        <v>3619</v>
      </c>
      <c r="E68" s="2" t="s">
        <v>3388</v>
      </c>
      <c r="F68" s="4"/>
      <c r="G68" s="14"/>
      <c r="H68" s="9">
        <v>500</v>
      </c>
    </row>
    <row r="69" spans="3:8" x14ac:dyDescent="0.25">
      <c r="C69" s="8"/>
      <c r="D69" s="2" t="s">
        <v>3620</v>
      </c>
      <c r="E69" s="2" t="s">
        <v>48</v>
      </c>
      <c r="F69" s="4"/>
      <c r="G69" s="14"/>
      <c r="H69" s="9">
        <v>12</v>
      </c>
    </row>
    <row r="70" spans="3:8" x14ac:dyDescent="0.25">
      <c r="C70" s="8"/>
      <c r="D70" s="2" t="s">
        <v>3621</v>
      </c>
      <c r="E70" s="2" t="s">
        <v>48</v>
      </c>
      <c r="F70" s="4"/>
      <c r="G70" s="14"/>
      <c r="H70" s="9">
        <v>33.700000000000003</v>
      </c>
    </row>
    <row r="71" spans="3:8" x14ac:dyDescent="0.25">
      <c r="C71" s="8"/>
      <c r="D71" s="2" t="s">
        <v>3622</v>
      </c>
      <c r="E71" s="2" t="s">
        <v>1230</v>
      </c>
      <c r="F71" s="4"/>
      <c r="G71" s="14">
        <v>7851</v>
      </c>
      <c r="H71" s="9"/>
    </row>
    <row r="72" spans="3:8" x14ac:dyDescent="0.25">
      <c r="C72" s="8"/>
      <c r="D72" s="2" t="s">
        <v>3627</v>
      </c>
      <c r="E72" s="2" t="s">
        <v>3388</v>
      </c>
      <c r="F72" s="4"/>
      <c r="G72" s="14">
        <v>1670</v>
      </c>
      <c r="H72" s="9"/>
    </row>
    <row r="73" spans="3:8" x14ac:dyDescent="0.25">
      <c r="C73" s="8"/>
      <c r="D73" s="2" t="s">
        <v>3628</v>
      </c>
      <c r="E73" s="2" t="s">
        <v>48</v>
      </c>
      <c r="F73" s="4"/>
      <c r="G73" s="14"/>
      <c r="H73" s="9">
        <v>209</v>
      </c>
    </row>
    <row r="74" spans="3:8" x14ac:dyDescent="0.25">
      <c r="C74" s="8"/>
      <c r="D74" s="2" t="s">
        <v>3688</v>
      </c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29"/>
      <c r="D79" s="30"/>
      <c r="E79" s="30" t="s">
        <v>60</v>
      </c>
      <c r="F79" s="4"/>
      <c r="G79" s="14"/>
      <c r="H79" s="9"/>
    </row>
    <row r="80" spans="3:8" x14ac:dyDescent="0.25">
      <c r="C80" s="8"/>
      <c r="D80" s="45"/>
      <c r="E80" s="2"/>
      <c r="F80" s="4"/>
      <c r="G80" s="14"/>
      <c r="H80" s="9"/>
    </row>
    <row r="81" spans="3:8" x14ac:dyDescent="0.25">
      <c r="C81" s="8"/>
      <c r="D81" s="45"/>
      <c r="E81" s="2"/>
      <c r="F81" s="4"/>
      <c r="G81" s="14"/>
      <c r="H81" s="9"/>
    </row>
    <row r="82" spans="3:8" x14ac:dyDescent="0.25">
      <c r="C82" s="8"/>
      <c r="D82" s="45"/>
      <c r="E82" s="2"/>
      <c r="F82" s="4"/>
      <c r="G82" s="14"/>
      <c r="H82" s="4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16"/>
      <c r="D84" s="17"/>
      <c r="E84" s="17" t="s">
        <v>39</v>
      </c>
      <c r="F84" s="4"/>
      <c r="G84" s="14"/>
      <c r="H84" s="9"/>
    </row>
    <row r="85" spans="3:8" x14ac:dyDescent="0.25">
      <c r="C85" s="8"/>
      <c r="D85" s="2" t="s">
        <v>3605</v>
      </c>
      <c r="E85" s="76" t="s">
        <v>3603</v>
      </c>
      <c r="F85" s="4">
        <v>2800</v>
      </c>
      <c r="G85" s="14"/>
      <c r="H85" s="9"/>
    </row>
    <row r="86" spans="3:8" x14ac:dyDescent="0.25">
      <c r="C86" s="8"/>
      <c r="D86" s="2" t="s">
        <v>3605</v>
      </c>
      <c r="E86" s="76" t="s">
        <v>3604</v>
      </c>
      <c r="F86" s="4">
        <v>1002</v>
      </c>
      <c r="G86" s="14"/>
      <c r="H86" s="9"/>
    </row>
    <row r="87" spans="3:8" x14ac:dyDescent="0.25">
      <c r="C87" s="8"/>
      <c r="D87" s="2"/>
      <c r="E87" s="2" t="s">
        <v>2406</v>
      </c>
      <c r="F87" s="4">
        <v>1025</v>
      </c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19"/>
      <c r="D90" s="20"/>
      <c r="E90" s="20" t="s">
        <v>42</v>
      </c>
      <c r="F90" s="4"/>
      <c r="G90" s="14"/>
      <c r="H90" s="9"/>
    </row>
    <row r="91" spans="3:8" x14ac:dyDescent="0.25">
      <c r="C91" s="34"/>
      <c r="D91" s="42"/>
      <c r="E91" s="2" t="s">
        <v>3561</v>
      </c>
      <c r="F91" s="14">
        <v>-1190</v>
      </c>
      <c r="G91" s="14"/>
      <c r="H91" s="9"/>
    </row>
    <row r="92" spans="3:8" x14ac:dyDescent="0.25">
      <c r="C92" s="8"/>
      <c r="D92" s="2" t="s">
        <v>3633</v>
      </c>
      <c r="E92" s="2" t="s">
        <v>3562</v>
      </c>
      <c r="F92" s="14">
        <v>-1440</v>
      </c>
      <c r="G92" s="14"/>
      <c r="H92" s="9"/>
    </row>
    <row r="93" spans="3:8" x14ac:dyDescent="0.25">
      <c r="C93" s="8"/>
      <c r="D93" s="2"/>
      <c r="E93" s="2" t="s">
        <v>1252</v>
      </c>
      <c r="F93" s="14">
        <v>-100</v>
      </c>
      <c r="G93" s="14"/>
      <c r="H93" s="9"/>
    </row>
    <row r="94" spans="3:8" x14ac:dyDescent="0.25">
      <c r="C94" s="8"/>
      <c r="D94" s="2"/>
      <c r="E94" s="2" t="s">
        <v>3606</v>
      </c>
      <c r="F94" s="14">
        <v>-260</v>
      </c>
      <c r="G94" s="14"/>
      <c r="H94" s="9"/>
    </row>
    <row r="95" spans="3:8" x14ac:dyDescent="0.25">
      <c r="C95" s="8"/>
      <c r="D95" s="2" t="s">
        <v>58</v>
      </c>
      <c r="E95" s="2" t="s">
        <v>3607</v>
      </c>
      <c r="F95" s="14">
        <v>-325</v>
      </c>
      <c r="G95" s="14"/>
      <c r="H95" s="9"/>
    </row>
    <row r="96" spans="3:8" x14ac:dyDescent="0.25">
      <c r="C96" s="8"/>
      <c r="D96" s="2"/>
      <c r="E96" s="2" t="s">
        <v>735</v>
      </c>
      <c r="F96" s="14">
        <v>-150</v>
      </c>
      <c r="G96" s="14"/>
      <c r="H96" s="9"/>
    </row>
    <row r="97" spans="3:8" x14ac:dyDescent="0.25">
      <c r="C97" s="8"/>
      <c r="D97" s="2"/>
      <c r="E97" s="2" t="s">
        <v>3626</v>
      </c>
      <c r="F97" s="14">
        <v>-200</v>
      </c>
      <c r="G97" s="14"/>
      <c r="H97" s="9"/>
    </row>
    <row r="98" spans="3:8" x14ac:dyDescent="0.25">
      <c r="C98" s="8"/>
      <c r="D98" s="2"/>
      <c r="E98" s="2" t="s">
        <v>3624</v>
      </c>
      <c r="F98" s="14">
        <v>-100</v>
      </c>
      <c r="G98" s="14"/>
      <c r="H98" s="9"/>
    </row>
    <row r="99" spans="3:8" x14ac:dyDescent="0.25">
      <c r="C99" s="8"/>
      <c r="D99" s="2"/>
      <c r="E99" s="2" t="s">
        <v>3625</v>
      </c>
      <c r="F99" s="14">
        <v>-960</v>
      </c>
      <c r="G99" s="14"/>
      <c r="H99" s="9"/>
    </row>
    <row r="100" spans="3:8" x14ac:dyDescent="0.25">
      <c r="C100" s="8"/>
      <c r="D100" s="2"/>
      <c r="E100" s="2" t="s">
        <v>1274</v>
      </c>
      <c r="F100" s="14">
        <v>-8009.6</v>
      </c>
      <c r="G100" s="14"/>
      <c r="H100" s="9"/>
    </row>
    <row r="101" spans="3:8" x14ac:dyDescent="0.25">
      <c r="C101" s="8"/>
      <c r="D101" s="2"/>
      <c r="E101" s="2" t="s">
        <v>3629</v>
      </c>
      <c r="F101" s="14">
        <v>-100</v>
      </c>
      <c r="G101" s="14"/>
      <c r="H101" s="9"/>
    </row>
    <row r="102" spans="3:8" x14ac:dyDescent="0.25">
      <c r="C102" s="8"/>
      <c r="D102" s="2"/>
      <c r="E102" s="2" t="s">
        <v>3630</v>
      </c>
      <c r="F102" s="14">
        <v>-60</v>
      </c>
      <c r="G102" s="14"/>
      <c r="H102" s="9"/>
    </row>
    <row r="103" spans="3:8" x14ac:dyDescent="0.25">
      <c r="C103" s="8"/>
      <c r="D103" s="2"/>
      <c r="E103" s="2" t="s">
        <v>3631</v>
      </c>
      <c r="F103" s="14">
        <v>-35</v>
      </c>
      <c r="G103" s="14"/>
      <c r="H103" s="9"/>
    </row>
    <row r="104" spans="3:8" x14ac:dyDescent="0.25">
      <c r="C104" s="8"/>
      <c r="D104" s="2"/>
      <c r="E104" s="2" t="s">
        <v>1857</v>
      </c>
      <c r="F104" s="14">
        <v>-20</v>
      </c>
      <c r="G104" s="14"/>
      <c r="H104" s="9"/>
    </row>
    <row r="105" spans="3:8" x14ac:dyDescent="0.25">
      <c r="C105" s="8"/>
      <c r="D105" s="2"/>
      <c r="E105" s="2" t="s">
        <v>1274</v>
      </c>
      <c r="F105" s="14">
        <v>-414.2</v>
      </c>
      <c r="G105" s="14"/>
      <c r="H105" s="9"/>
    </row>
    <row r="106" spans="3:8" x14ac:dyDescent="0.25">
      <c r="C106" s="8"/>
      <c r="D106" s="2"/>
      <c r="E106" s="2"/>
      <c r="F106" s="14"/>
      <c r="G106" s="14"/>
      <c r="H106" s="9"/>
    </row>
    <row r="107" spans="3:8" x14ac:dyDescent="0.25">
      <c r="C107" s="8"/>
      <c r="D107" s="2"/>
      <c r="E107" s="2"/>
      <c r="F107" s="14"/>
      <c r="G107" s="14"/>
      <c r="H107" s="9"/>
    </row>
    <row r="108" spans="3:8" x14ac:dyDescent="0.25">
      <c r="C108" s="8"/>
      <c r="D108" s="2"/>
      <c r="E108" s="2"/>
      <c r="F108" s="14"/>
      <c r="G108" s="14"/>
      <c r="H108" s="9"/>
    </row>
    <row r="109" spans="3:8" x14ac:dyDescent="0.25">
      <c r="C109" s="8"/>
      <c r="D109" s="2"/>
      <c r="E109" s="2"/>
      <c r="F109" s="4"/>
      <c r="G109" s="14"/>
      <c r="H109" s="9"/>
    </row>
    <row r="110" spans="3:8" ht="15.75" thickBot="1" x14ac:dyDescent="0.3">
      <c r="C110" s="10"/>
      <c r="D110" s="11"/>
      <c r="E110" s="11" t="s">
        <v>44</v>
      </c>
      <c r="F110" s="12">
        <f>SUM(F6:F109)</f>
        <v>3078.5000000000027</v>
      </c>
      <c r="G110" s="15">
        <f>SUM(G6:G109)</f>
        <v>11659.5</v>
      </c>
      <c r="H110" s="13">
        <f>SUM(H6:H109)</f>
        <v>10801.66</v>
      </c>
    </row>
    <row r="113" spans="3:6" s="3" customFormat="1" ht="18.75" x14ac:dyDescent="0.3">
      <c r="C113" s="1"/>
      <c r="D113" s="1"/>
      <c r="E113" s="38" t="s">
        <v>49</v>
      </c>
      <c r="F113" s="39">
        <f>+H4+F110</f>
        <v>9060.0900000000038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6C85-0DDC-4F21-97A5-893F80907D61}">
  <sheetPr codeName="Hoja40"/>
  <dimension ref="C2:H52"/>
  <sheetViews>
    <sheetView workbookViewId="0">
      <selection activeCell="G16" sqref="G16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4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3634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9060.09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3617</v>
      </c>
      <c r="E6" s="2" t="s">
        <v>440</v>
      </c>
      <c r="F6" s="4">
        <v>3</v>
      </c>
      <c r="G6" s="14"/>
      <c r="H6" s="9"/>
    </row>
    <row r="7" spans="3:8" x14ac:dyDescent="0.25">
      <c r="C7" s="8"/>
      <c r="D7" s="2" t="s">
        <v>3635</v>
      </c>
      <c r="E7" s="2" t="s">
        <v>440</v>
      </c>
      <c r="F7" s="4">
        <v>5</v>
      </c>
      <c r="G7" s="14"/>
      <c r="H7" s="9"/>
    </row>
    <row r="8" spans="3:8" x14ac:dyDescent="0.25">
      <c r="C8" s="8"/>
      <c r="D8" s="2" t="s">
        <v>3636</v>
      </c>
      <c r="E8" s="2" t="s">
        <v>440</v>
      </c>
      <c r="F8" s="4">
        <v>92</v>
      </c>
      <c r="G8" s="14"/>
      <c r="H8" s="9"/>
    </row>
    <row r="9" spans="3:8" x14ac:dyDescent="0.25">
      <c r="C9" s="8"/>
      <c r="D9" s="2" t="s">
        <v>3637</v>
      </c>
      <c r="E9" s="2" t="s">
        <v>440</v>
      </c>
      <c r="F9" s="4"/>
      <c r="G9" s="14"/>
      <c r="H9" s="9">
        <v>20</v>
      </c>
    </row>
    <row r="10" spans="3:8" x14ac:dyDescent="0.25">
      <c r="C10" s="8"/>
      <c r="D10" s="2" t="s">
        <v>3638</v>
      </c>
      <c r="E10" s="2" t="s">
        <v>440</v>
      </c>
      <c r="F10" s="4"/>
      <c r="G10" s="14"/>
      <c r="H10" s="9">
        <v>15</v>
      </c>
    </row>
    <row r="11" spans="3:8" x14ac:dyDescent="0.25">
      <c r="C11" s="8"/>
      <c r="D11" s="2" t="s">
        <v>3639</v>
      </c>
      <c r="E11" s="2" t="s">
        <v>440</v>
      </c>
      <c r="F11" s="4"/>
      <c r="G11" s="14"/>
      <c r="H11" s="9">
        <v>26</v>
      </c>
    </row>
    <row r="12" spans="3:8" x14ac:dyDescent="0.25">
      <c r="C12" s="8"/>
      <c r="D12" s="2" t="s">
        <v>3640</v>
      </c>
      <c r="E12" s="2" t="s">
        <v>440</v>
      </c>
      <c r="F12" s="4">
        <v>4.5</v>
      </c>
      <c r="G12" s="14"/>
      <c r="H12" s="9"/>
    </row>
    <row r="13" spans="3:8" x14ac:dyDescent="0.25">
      <c r="C13" s="8"/>
      <c r="D13" s="2" t="s">
        <v>3641</v>
      </c>
      <c r="E13" s="2" t="s">
        <v>440</v>
      </c>
      <c r="F13" s="4"/>
      <c r="G13" s="14"/>
      <c r="H13" s="9">
        <v>7</v>
      </c>
    </row>
    <row r="14" spans="3:8" x14ac:dyDescent="0.25">
      <c r="C14" s="8"/>
      <c r="D14" s="2" t="s">
        <v>3642</v>
      </c>
      <c r="E14" s="2" t="s">
        <v>3661</v>
      </c>
      <c r="F14" s="4">
        <v>429</v>
      </c>
      <c r="G14" s="14"/>
      <c r="H14" s="9"/>
    </row>
    <row r="15" spans="3:8" x14ac:dyDescent="0.25">
      <c r="C15" s="8"/>
      <c r="D15" s="2" t="s">
        <v>3643</v>
      </c>
      <c r="E15" s="2" t="s">
        <v>440</v>
      </c>
      <c r="F15" s="4">
        <v>20</v>
      </c>
      <c r="G15" s="14"/>
      <c r="H15" s="9"/>
    </row>
    <row r="16" spans="3:8" x14ac:dyDescent="0.25">
      <c r="C16" s="8"/>
      <c r="D16" s="2" t="s">
        <v>3644</v>
      </c>
      <c r="E16" s="2" t="s">
        <v>3388</v>
      </c>
      <c r="F16" s="4"/>
      <c r="G16" s="14">
        <v>500</v>
      </c>
      <c r="H16" s="9"/>
    </row>
    <row r="17" spans="3:8" x14ac:dyDescent="0.25">
      <c r="C17" s="8"/>
      <c r="D17" s="2" t="s">
        <v>3645</v>
      </c>
      <c r="E17" s="2" t="s">
        <v>440</v>
      </c>
      <c r="F17" s="4">
        <v>5</v>
      </c>
      <c r="G17" s="14"/>
      <c r="H17" s="9"/>
    </row>
    <row r="18" spans="3:8" x14ac:dyDescent="0.25">
      <c r="C18" s="8"/>
      <c r="D18" s="2" t="s">
        <v>3646</v>
      </c>
      <c r="E18" s="2" t="s">
        <v>440</v>
      </c>
      <c r="F18" s="4">
        <v>5</v>
      </c>
      <c r="G18" s="14"/>
      <c r="H18" s="9"/>
    </row>
    <row r="19" spans="3:8" x14ac:dyDescent="0.25">
      <c r="C19" s="8"/>
      <c r="D19" s="2" t="s">
        <v>3647</v>
      </c>
      <c r="E19" s="2" t="s">
        <v>440</v>
      </c>
      <c r="F19" s="4"/>
      <c r="G19" s="14"/>
      <c r="H19" s="9">
        <v>33.6</v>
      </c>
    </row>
    <row r="20" spans="3:8" x14ac:dyDescent="0.25">
      <c r="C20" s="8"/>
      <c r="D20" s="2" t="s">
        <v>3648</v>
      </c>
      <c r="E20" s="2" t="s">
        <v>440</v>
      </c>
      <c r="F20" s="4">
        <v>168.5</v>
      </c>
      <c r="G20" s="14"/>
      <c r="H20" s="9"/>
    </row>
    <row r="21" spans="3:8" x14ac:dyDescent="0.25">
      <c r="C21" s="8"/>
      <c r="D21" s="2" t="s">
        <v>3649</v>
      </c>
      <c r="E21" s="2" t="s">
        <v>440</v>
      </c>
      <c r="F21" s="4">
        <v>31</v>
      </c>
      <c r="G21" s="14"/>
      <c r="H21" s="9"/>
    </row>
    <row r="22" spans="3:8" x14ac:dyDescent="0.25">
      <c r="C22" s="8"/>
      <c r="D22" s="2" t="s">
        <v>3650</v>
      </c>
      <c r="E22" s="2" t="s">
        <v>440</v>
      </c>
      <c r="F22" s="4"/>
      <c r="G22" s="14"/>
      <c r="H22" s="9">
        <v>41.5</v>
      </c>
    </row>
    <row r="23" spans="3:8" x14ac:dyDescent="0.25">
      <c r="C23" s="8"/>
      <c r="D23" s="2" t="s">
        <v>3651</v>
      </c>
      <c r="E23" s="2" t="s">
        <v>440</v>
      </c>
      <c r="F23" s="4">
        <v>5</v>
      </c>
      <c r="G23" s="14"/>
      <c r="H23" s="9"/>
    </row>
    <row r="24" spans="3:8" x14ac:dyDescent="0.25">
      <c r="C24" s="8"/>
      <c r="D24" s="2" t="s">
        <v>3652</v>
      </c>
      <c r="E24" s="2" t="s">
        <v>440</v>
      </c>
      <c r="F24" s="4">
        <v>10.5</v>
      </c>
      <c r="G24" s="14"/>
      <c r="H24" s="9"/>
    </row>
    <row r="25" spans="3:8" x14ac:dyDescent="0.25">
      <c r="C25" s="8"/>
      <c r="D25" s="2" t="s">
        <v>3653</v>
      </c>
      <c r="E25" s="2" t="s">
        <v>440</v>
      </c>
      <c r="F25" s="4">
        <v>1.3</v>
      </c>
      <c r="G25" s="14"/>
      <c r="H25" s="9"/>
    </row>
    <row r="26" spans="3:8" x14ac:dyDescent="0.25">
      <c r="C26" s="8"/>
      <c r="D26" s="2" t="s">
        <v>3654</v>
      </c>
      <c r="E26" s="2" t="s">
        <v>440</v>
      </c>
      <c r="F26" s="4"/>
      <c r="G26" s="14"/>
      <c r="H26" s="9">
        <v>30</v>
      </c>
    </row>
    <row r="27" spans="3:8" x14ac:dyDescent="0.25">
      <c r="C27" s="8"/>
      <c r="D27" s="2" t="s">
        <v>3655</v>
      </c>
      <c r="E27" s="2" t="s">
        <v>440</v>
      </c>
      <c r="F27" s="4">
        <v>5</v>
      </c>
      <c r="G27" s="14"/>
      <c r="H27" s="9"/>
    </row>
    <row r="28" spans="3:8" x14ac:dyDescent="0.25">
      <c r="C28" s="8"/>
      <c r="D28" s="2" t="s">
        <v>3656</v>
      </c>
      <c r="E28" s="2" t="s">
        <v>440</v>
      </c>
      <c r="F28" s="4">
        <v>6</v>
      </c>
      <c r="G28" s="14"/>
      <c r="H28" s="9"/>
    </row>
    <row r="29" spans="3:8" x14ac:dyDescent="0.25">
      <c r="C29" s="8"/>
      <c r="D29" s="2" t="s">
        <v>3657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29"/>
      <c r="D32" s="30"/>
      <c r="E32" s="30" t="s">
        <v>60</v>
      </c>
      <c r="F32" s="4"/>
      <c r="G32" s="14"/>
      <c r="H32" s="9"/>
    </row>
    <row r="33" spans="3:8" x14ac:dyDescent="0.25">
      <c r="C33" s="8"/>
      <c r="D33" s="45"/>
      <c r="E33" s="2"/>
      <c r="F33" s="4"/>
      <c r="G33" s="14"/>
      <c r="H33" s="9"/>
    </row>
    <row r="34" spans="3:8" x14ac:dyDescent="0.25">
      <c r="C34" s="8"/>
      <c r="D34" s="45"/>
      <c r="E34" s="2"/>
      <c r="F34" s="4"/>
      <c r="G34" s="14"/>
      <c r="H34" s="9"/>
    </row>
    <row r="35" spans="3:8" x14ac:dyDescent="0.25">
      <c r="C35" s="8"/>
      <c r="D35" s="45"/>
      <c r="E35" s="2"/>
      <c r="F35" s="4"/>
      <c r="G35" s="14"/>
      <c r="H35" s="4"/>
    </row>
    <row r="36" spans="3:8" x14ac:dyDescent="0.25">
      <c r="C36" s="8"/>
      <c r="D36" s="2"/>
      <c r="E36" s="2"/>
      <c r="F36" s="4"/>
      <c r="G36" s="14"/>
      <c r="H36" s="9"/>
    </row>
    <row r="37" spans="3:8" x14ac:dyDescent="0.25">
      <c r="C37" s="16"/>
      <c r="D37" s="17"/>
      <c r="E37" s="17" t="s">
        <v>39</v>
      </c>
      <c r="F37" s="4"/>
      <c r="G37" s="14"/>
      <c r="H37" s="9"/>
    </row>
    <row r="38" spans="3:8" x14ac:dyDescent="0.25">
      <c r="C38" s="8"/>
      <c r="D38" s="2"/>
      <c r="E38" s="76"/>
      <c r="F38" s="4"/>
      <c r="G38" s="14"/>
      <c r="H38" s="9"/>
    </row>
    <row r="39" spans="3:8" x14ac:dyDescent="0.25">
      <c r="C39" s="8"/>
      <c r="D39" s="2"/>
      <c r="E39" s="76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19"/>
      <c r="D43" s="20"/>
      <c r="E43" s="20" t="s">
        <v>42</v>
      </c>
      <c r="F43" s="4"/>
      <c r="G43" s="14"/>
      <c r="H43" s="9"/>
    </row>
    <row r="44" spans="3:8" x14ac:dyDescent="0.25">
      <c r="C44" s="34"/>
      <c r="D44" s="42"/>
      <c r="E44" s="2" t="s">
        <v>3662</v>
      </c>
      <c r="F44" s="14">
        <v>-100</v>
      </c>
      <c r="G44" s="14"/>
      <c r="H44" s="9"/>
    </row>
    <row r="45" spans="3:8" x14ac:dyDescent="0.25">
      <c r="C45" s="8"/>
      <c r="D45" s="2"/>
      <c r="E45" s="2"/>
      <c r="F45" s="14"/>
      <c r="G45" s="14"/>
      <c r="H45" s="9"/>
    </row>
    <row r="46" spans="3:8" x14ac:dyDescent="0.25">
      <c r="C46" s="8"/>
      <c r="D46" s="2"/>
      <c r="E46" s="2"/>
      <c r="F46" s="14"/>
      <c r="G46" s="14"/>
      <c r="H46" s="9"/>
    </row>
    <row r="47" spans="3:8" x14ac:dyDescent="0.25">
      <c r="C47" s="8"/>
      <c r="D47" s="2"/>
      <c r="E47" s="2"/>
      <c r="F47" s="1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ht="15.75" thickBot="1" x14ac:dyDescent="0.3">
      <c r="C49" s="10"/>
      <c r="D49" s="11"/>
      <c r="E49" s="11" t="s">
        <v>44</v>
      </c>
      <c r="F49" s="12">
        <f>SUM(F6:F48)</f>
        <v>690.8</v>
      </c>
      <c r="G49" s="15">
        <f>SUM(G6:G48)</f>
        <v>500</v>
      </c>
      <c r="H49" s="13">
        <f>SUM(H6:H48)</f>
        <v>173.1</v>
      </c>
    </row>
    <row r="52" spans="3:8" s="3" customFormat="1" ht="18.75" x14ac:dyDescent="0.3">
      <c r="C52" s="1"/>
      <c r="D52" s="1"/>
      <c r="E52" s="38" t="s">
        <v>49</v>
      </c>
      <c r="F52" s="39">
        <f>+H4+F49</f>
        <v>9750.89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E4C4-6E40-4787-837B-CDF964778EFA}">
  <sheetPr codeName="Hoja41"/>
  <dimension ref="C2:H144"/>
  <sheetViews>
    <sheetView topLeftCell="A109" zoomScale="95" zoomScaleNormal="95" workbookViewId="0">
      <selection activeCell="F144" sqref="F144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5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3663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9750.89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3657</v>
      </c>
      <c r="E6" s="2" t="s">
        <v>2579</v>
      </c>
      <c r="F6" s="4"/>
      <c r="G6" s="14"/>
      <c r="H6" s="9">
        <v>203.5</v>
      </c>
    </row>
    <row r="7" spans="3:8" x14ac:dyDescent="0.25">
      <c r="C7" s="8"/>
      <c r="D7" s="2" t="s">
        <v>3658</v>
      </c>
      <c r="E7" s="2" t="s">
        <v>440</v>
      </c>
      <c r="F7" s="4">
        <v>33.5</v>
      </c>
      <c r="G7" s="14"/>
      <c r="H7" s="9"/>
    </row>
    <row r="8" spans="3:8" x14ac:dyDescent="0.25">
      <c r="C8" s="8"/>
      <c r="D8" s="2" t="s">
        <v>3659</v>
      </c>
      <c r="E8" s="2" t="s">
        <v>3745</v>
      </c>
      <c r="F8" s="4">
        <v>818.3</v>
      </c>
      <c r="G8" s="14"/>
      <c r="H8" s="9"/>
    </row>
    <row r="9" spans="3:8" x14ac:dyDescent="0.25">
      <c r="C9" s="8"/>
      <c r="D9" s="2" t="s">
        <v>3660</v>
      </c>
      <c r="E9" s="2" t="s">
        <v>440</v>
      </c>
      <c r="F9" s="4">
        <v>15.5</v>
      </c>
      <c r="G9" s="14"/>
      <c r="H9" s="9"/>
    </row>
    <row r="10" spans="3:8" x14ac:dyDescent="0.25">
      <c r="C10" s="8"/>
      <c r="D10" s="2" t="s">
        <v>3668</v>
      </c>
      <c r="E10" s="2" t="s">
        <v>1152</v>
      </c>
      <c r="F10" s="4"/>
      <c r="G10" s="14"/>
      <c r="H10" s="9">
        <v>298.5</v>
      </c>
    </row>
    <row r="11" spans="3:8" x14ac:dyDescent="0.25">
      <c r="C11" s="8"/>
      <c r="D11" s="2" t="s">
        <v>3669</v>
      </c>
      <c r="E11" s="2" t="s">
        <v>440</v>
      </c>
      <c r="F11" s="4">
        <v>23</v>
      </c>
      <c r="G11" s="14"/>
      <c r="H11" s="9"/>
    </row>
    <row r="12" spans="3:8" x14ac:dyDescent="0.25">
      <c r="C12" s="8"/>
      <c r="D12" s="2" t="s">
        <v>3670</v>
      </c>
      <c r="E12" s="2" t="s">
        <v>440</v>
      </c>
      <c r="F12" s="4">
        <v>170</v>
      </c>
      <c r="G12" s="14"/>
      <c r="H12" s="9"/>
    </row>
    <row r="13" spans="3:8" x14ac:dyDescent="0.25">
      <c r="C13" s="8"/>
      <c r="D13" s="2" t="s">
        <v>3671</v>
      </c>
      <c r="E13" s="2" t="s">
        <v>3744</v>
      </c>
      <c r="F13" s="4">
        <v>100</v>
      </c>
      <c r="G13" s="14"/>
      <c r="H13" s="9"/>
    </row>
    <row r="14" spans="3:8" x14ac:dyDescent="0.25">
      <c r="C14" s="8"/>
      <c r="D14" s="2" t="s">
        <v>3672</v>
      </c>
      <c r="E14" s="2" t="s">
        <v>440</v>
      </c>
      <c r="F14" s="4">
        <v>12.5</v>
      </c>
      <c r="G14" s="14"/>
      <c r="H14" s="9"/>
    </row>
    <row r="15" spans="3:8" x14ac:dyDescent="0.25">
      <c r="C15" s="8"/>
      <c r="D15" s="2" t="s">
        <v>3673</v>
      </c>
      <c r="E15" s="2" t="s">
        <v>3743</v>
      </c>
      <c r="F15" s="4"/>
      <c r="G15" s="14"/>
      <c r="H15" s="9">
        <v>320</v>
      </c>
    </row>
    <row r="16" spans="3:8" x14ac:dyDescent="0.25">
      <c r="C16" s="8"/>
      <c r="D16" s="2" t="s">
        <v>3674</v>
      </c>
      <c r="E16" s="2" t="s">
        <v>106</v>
      </c>
      <c r="F16" s="4"/>
      <c r="G16" s="14"/>
      <c r="H16" s="9">
        <v>170</v>
      </c>
    </row>
    <row r="17" spans="3:8" x14ac:dyDescent="0.25">
      <c r="C17" s="8"/>
      <c r="D17" s="2" t="s">
        <v>3675</v>
      </c>
      <c r="E17" s="2" t="s">
        <v>440</v>
      </c>
      <c r="F17" s="4">
        <v>52</v>
      </c>
      <c r="G17" s="14"/>
      <c r="H17" s="9"/>
    </row>
    <row r="18" spans="3:8" x14ac:dyDescent="0.25">
      <c r="C18" s="8"/>
      <c r="D18" s="2" t="s">
        <v>3676</v>
      </c>
      <c r="E18" s="2" t="s">
        <v>440</v>
      </c>
      <c r="F18" s="4">
        <v>6</v>
      </c>
      <c r="G18" s="14"/>
      <c r="H18" s="9"/>
    </row>
    <row r="19" spans="3:8" x14ac:dyDescent="0.25">
      <c r="C19" s="8"/>
      <c r="D19" s="2" t="s">
        <v>3677</v>
      </c>
      <c r="E19" s="2" t="s">
        <v>440</v>
      </c>
      <c r="F19" s="4">
        <v>7</v>
      </c>
      <c r="G19" s="14"/>
      <c r="H19" s="9"/>
    </row>
    <row r="20" spans="3:8" x14ac:dyDescent="0.25">
      <c r="C20" s="8"/>
      <c r="D20" s="2" t="s">
        <v>3678</v>
      </c>
      <c r="E20" s="2" t="s">
        <v>766</v>
      </c>
      <c r="F20" s="4">
        <v>30</v>
      </c>
      <c r="G20" s="14"/>
      <c r="H20" s="9"/>
    </row>
    <row r="21" spans="3:8" x14ac:dyDescent="0.25">
      <c r="C21" s="8"/>
      <c r="D21" s="2" t="s">
        <v>3679</v>
      </c>
      <c r="E21" s="2" t="s">
        <v>440</v>
      </c>
      <c r="F21" s="4">
        <v>4</v>
      </c>
      <c r="G21" s="14"/>
      <c r="H21" s="9"/>
    </row>
    <row r="22" spans="3:8" x14ac:dyDescent="0.25">
      <c r="C22" s="8"/>
      <c r="D22" s="2" t="s">
        <v>3680</v>
      </c>
      <c r="E22" s="2" t="s">
        <v>440</v>
      </c>
      <c r="F22" s="4">
        <v>10</v>
      </c>
      <c r="G22" s="14"/>
      <c r="H22" s="9"/>
    </row>
    <row r="23" spans="3:8" x14ac:dyDescent="0.25">
      <c r="C23" s="8"/>
      <c r="D23" s="2" t="s">
        <v>3681</v>
      </c>
      <c r="E23" s="2" t="s">
        <v>440</v>
      </c>
      <c r="F23" s="4">
        <v>278</v>
      </c>
      <c r="G23" s="14"/>
      <c r="H23" s="9"/>
    </row>
    <row r="24" spans="3:8" x14ac:dyDescent="0.25">
      <c r="C24" s="8"/>
      <c r="D24" s="2" t="s">
        <v>3682</v>
      </c>
      <c r="E24" s="2" t="s">
        <v>440</v>
      </c>
      <c r="F24" s="4">
        <v>28</v>
      </c>
      <c r="G24" s="14"/>
      <c r="H24" s="9"/>
    </row>
    <row r="25" spans="3:8" x14ac:dyDescent="0.25">
      <c r="C25" s="8"/>
      <c r="D25" s="2" t="s">
        <v>3683</v>
      </c>
      <c r="E25" s="2" t="s">
        <v>440</v>
      </c>
      <c r="F25" s="4"/>
      <c r="G25" s="14"/>
      <c r="H25" s="9">
        <v>4</v>
      </c>
    </row>
    <row r="26" spans="3:8" x14ac:dyDescent="0.25">
      <c r="C26" s="8"/>
      <c r="D26" s="2" t="s">
        <v>3684</v>
      </c>
      <c r="E26" s="2" t="s">
        <v>440</v>
      </c>
      <c r="F26" s="4">
        <v>10</v>
      </c>
      <c r="G26" s="14"/>
      <c r="H26" s="9"/>
    </row>
    <row r="27" spans="3:8" x14ac:dyDescent="0.25">
      <c r="C27" s="8"/>
      <c r="D27" s="2" t="s">
        <v>3685</v>
      </c>
      <c r="E27" s="2" t="s">
        <v>440</v>
      </c>
      <c r="F27" s="4">
        <v>2.5</v>
      </c>
      <c r="G27" s="14"/>
      <c r="H27" s="9"/>
    </row>
    <row r="28" spans="3:8" x14ac:dyDescent="0.25">
      <c r="C28" s="8"/>
      <c r="D28" s="2" t="s">
        <v>3686</v>
      </c>
      <c r="E28" s="2" t="s">
        <v>440</v>
      </c>
      <c r="F28" s="4">
        <v>28</v>
      </c>
      <c r="G28" s="14"/>
      <c r="H28" s="9"/>
    </row>
    <row r="29" spans="3:8" x14ac:dyDescent="0.25">
      <c r="C29" s="8"/>
      <c r="D29" s="2" t="s">
        <v>3687</v>
      </c>
      <c r="E29" s="2" t="s">
        <v>1679</v>
      </c>
      <c r="F29" s="4"/>
      <c r="G29" s="14">
        <v>819</v>
      </c>
      <c r="H29" s="9"/>
    </row>
    <row r="30" spans="3:8" x14ac:dyDescent="0.25">
      <c r="C30" s="8"/>
      <c r="D30" s="2" t="s">
        <v>3712</v>
      </c>
      <c r="E30" s="2" t="s">
        <v>1679</v>
      </c>
      <c r="F30" s="4"/>
      <c r="G30" s="14">
        <v>164</v>
      </c>
      <c r="H30" s="9"/>
    </row>
    <row r="31" spans="3:8" x14ac:dyDescent="0.25">
      <c r="C31" s="8"/>
      <c r="D31" s="2" t="s">
        <v>3755</v>
      </c>
      <c r="E31" s="2" t="s">
        <v>440</v>
      </c>
      <c r="F31" s="4"/>
      <c r="G31" s="14"/>
      <c r="H31" s="9">
        <v>3</v>
      </c>
    </row>
    <row r="32" spans="3:8" x14ac:dyDescent="0.25">
      <c r="C32" s="8"/>
      <c r="D32" s="2" t="s">
        <v>3756</v>
      </c>
      <c r="E32" s="2" t="s">
        <v>440</v>
      </c>
      <c r="F32" s="4">
        <v>2.5</v>
      </c>
      <c r="G32" s="14"/>
      <c r="H32" s="9"/>
    </row>
    <row r="33" spans="3:8" x14ac:dyDescent="0.25">
      <c r="C33" s="8"/>
      <c r="D33" s="2" t="s">
        <v>3757</v>
      </c>
      <c r="E33" s="2" t="s">
        <v>440</v>
      </c>
      <c r="F33" s="4">
        <v>145</v>
      </c>
      <c r="G33" s="14"/>
      <c r="H33" s="9"/>
    </row>
    <row r="34" spans="3:8" x14ac:dyDescent="0.25">
      <c r="C34" s="8"/>
      <c r="D34" s="2" t="s">
        <v>3759</v>
      </c>
      <c r="E34" s="2" t="s">
        <v>440</v>
      </c>
      <c r="F34" s="4">
        <v>99.9</v>
      </c>
      <c r="G34" s="14"/>
      <c r="H34" s="9"/>
    </row>
    <row r="35" spans="3:8" x14ac:dyDescent="0.25">
      <c r="C35" s="8"/>
      <c r="D35" s="2" t="s">
        <v>3760</v>
      </c>
      <c r="E35" s="2" t="s">
        <v>136</v>
      </c>
      <c r="F35" s="4"/>
      <c r="G35" s="14">
        <v>1257.5</v>
      </c>
      <c r="H35" s="9"/>
    </row>
    <row r="36" spans="3:8" x14ac:dyDescent="0.25">
      <c r="C36" s="8"/>
      <c r="D36" s="2" t="s">
        <v>3761</v>
      </c>
      <c r="E36" s="2" t="s">
        <v>440</v>
      </c>
      <c r="F36" s="4"/>
      <c r="G36" s="14"/>
      <c r="H36" s="9">
        <v>20</v>
      </c>
    </row>
    <row r="37" spans="3:8" x14ac:dyDescent="0.25">
      <c r="C37" s="8"/>
      <c r="D37" s="2" t="s">
        <v>3763</v>
      </c>
      <c r="E37" s="2" t="s">
        <v>440</v>
      </c>
      <c r="F37" s="4">
        <v>30</v>
      </c>
      <c r="G37" s="14"/>
      <c r="H37" s="9"/>
    </row>
    <row r="38" spans="3:8" x14ac:dyDescent="0.25">
      <c r="C38" s="8"/>
      <c r="D38" s="2" t="s">
        <v>3764</v>
      </c>
      <c r="E38" s="2" t="s">
        <v>440</v>
      </c>
      <c r="F38" s="4">
        <v>9</v>
      </c>
      <c r="G38" s="14"/>
      <c r="H38" s="9"/>
    </row>
    <row r="39" spans="3:8" x14ac:dyDescent="0.25">
      <c r="C39" s="8"/>
      <c r="D39" s="2" t="s">
        <v>3768</v>
      </c>
      <c r="E39" s="2" t="s">
        <v>136</v>
      </c>
      <c r="F39" s="4"/>
      <c r="G39" s="14">
        <v>801.5</v>
      </c>
      <c r="H39" s="9"/>
    </row>
    <row r="40" spans="3:8" x14ac:dyDescent="0.25">
      <c r="C40" s="8"/>
      <c r="D40" s="2" t="s">
        <v>3769</v>
      </c>
      <c r="E40" s="2" t="s">
        <v>766</v>
      </c>
      <c r="F40" s="4">
        <v>585</v>
      </c>
      <c r="G40" s="14"/>
      <c r="H40" s="9"/>
    </row>
    <row r="41" spans="3:8" x14ac:dyDescent="0.25">
      <c r="C41" s="8"/>
      <c r="D41" s="2" t="s">
        <v>3770</v>
      </c>
      <c r="E41" s="2" t="s">
        <v>440</v>
      </c>
      <c r="F41" s="4">
        <v>1</v>
      </c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 t="s">
        <v>3688</v>
      </c>
      <c r="E43" s="2" t="s">
        <v>48</v>
      </c>
      <c r="F43" s="4">
        <v>23</v>
      </c>
      <c r="G43" s="14"/>
      <c r="H43" s="9"/>
    </row>
    <row r="44" spans="3:8" x14ac:dyDescent="0.25">
      <c r="C44" s="8"/>
      <c r="D44" s="2" t="s">
        <v>3689</v>
      </c>
      <c r="E44" s="2" t="s">
        <v>164</v>
      </c>
      <c r="F44" s="4">
        <v>3290</v>
      </c>
      <c r="G44" s="14"/>
      <c r="H44" s="9"/>
    </row>
    <row r="45" spans="3:8" x14ac:dyDescent="0.25">
      <c r="C45" s="8"/>
      <c r="D45" s="2" t="s">
        <v>3690</v>
      </c>
      <c r="E45" s="2" t="s">
        <v>48</v>
      </c>
      <c r="F45" s="4">
        <v>60.5</v>
      </c>
      <c r="G45" s="14"/>
      <c r="H45" s="9"/>
    </row>
    <row r="46" spans="3:8" x14ac:dyDescent="0.25">
      <c r="C46" s="8"/>
      <c r="D46" s="2" t="s">
        <v>3691</v>
      </c>
      <c r="E46" s="2" t="s">
        <v>48</v>
      </c>
      <c r="F46" s="4"/>
      <c r="G46" s="14"/>
      <c r="H46" s="9">
        <v>32</v>
      </c>
    </row>
    <row r="47" spans="3:8" x14ac:dyDescent="0.25">
      <c r="C47" s="8"/>
      <c r="D47" s="2" t="s">
        <v>3692</v>
      </c>
      <c r="E47" s="2" t="s">
        <v>48</v>
      </c>
      <c r="F47" s="4">
        <v>10</v>
      </c>
      <c r="G47" s="14"/>
      <c r="H47" s="9"/>
    </row>
    <row r="48" spans="3:8" x14ac:dyDescent="0.25">
      <c r="C48" s="8"/>
      <c r="D48" s="2" t="s">
        <v>3693</v>
      </c>
      <c r="E48" s="2" t="s">
        <v>48</v>
      </c>
      <c r="F48" s="4"/>
      <c r="G48" s="14"/>
      <c r="H48" s="9">
        <v>29.5</v>
      </c>
    </row>
    <row r="49" spans="3:8" x14ac:dyDescent="0.25">
      <c r="C49" s="8"/>
      <c r="D49" s="2" t="s">
        <v>3694</v>
      </c>
      <c r="E49" s="2" t="s">
        <v>48</v>
      </c>
      <c r="F49" s="4"/>
      <c r="G49" s="14"/>
      <c r="H49" s="9">
        <v>10</v>
      </c>
    </row>
    <row r="50" spans="3:8" x14ac:dyDescent="0.25">
      <c r="C50" s="8"/>
      <c r="D50" s="2" t="s">
        <v>3695</v>
      </c>
      <c r="E50" s="2" t="s">
        <v>3742</v>
      </c>
      <c r="F50" s="4"/>
      <c r="G50" s="14"/>
      <c r="H50" s="9">
        <v>106</v>
      </c>
    </row>
    <row r="51" spans="3:8" x14ac:dyDescent="0.25">
      <c r="C51" s="8"/>
      <c r="D51" s="2" t="s">
        <v>3696</v>
      </c>
      <c r="E51" s="2" t="s">
        <v>48</v>
      </c>
      <c r="F51" s="4">
        <v>8</v>
      </c>
      <c r="G51" s="14"/>
      <c r="H51" s="9"/>
    </row>
    <row r="52" spans="3:8" x14ac:dyDescent="0.25">
      <c r="C52" s="8"/>
      <c r="D52" s="2" t="s">
        <v>3697</v>
      </c>
      <c r="E52" s="2" t="s">
        <v>48</v>
      </c>
      <c r="F52" s="4">
        <v>12.7</v>
      </c>
      <c r="G52" s="14"/>
      <c r="H52" s="9"/>
    </row>
    <row r="53" spans="3:8" x14ac:dyDescent="0.25">
      <c r="C53" s="8"/>
      <c r="D53" s="2" t="s">
        <v>3698</v>
      </c>
      <c r="E53" s="2" t="s">
        <v>2524</v>
      </c>
      <c r="F53" s="4">
        <v>1425</v>
      </c>
      <c r="G53" s="14"/>
      <c r="H53" s="9">
        <v>15</v>
      </c>
    </row>
    <row r="54" spans="3:8" x14ac:dyDescent="0.25">
      <c r="C54" s="8"/>
      <c r="D54" s="2" t="s">
        <v>3699</v>
      </c>
      <c r="E54" s="2" t="s">
        <v>48</v>
      </c>
      <c r="F54" s="4">
        <v>3</v>
      </c>
      <c r="G54" s="14"/>
      <c r="H54" s="9"/>
    </row>
    <row r="55" spans="3:8" x14ac:dyDescent="0.25">
      <c r="C55" s="8"/>
      <c r="D55" s="2" t="s">
        <v>3700</v>
      </c>
      <c r="E55" s="2" t="s">
        <v>48</v>
      </c>
      <c r="F55" s="4">
        <v>5</v>
      </c>
      <c r="G55" s="14"/>
      <c r="H55" s="9"/>
    </row>
    <row r="56" spans="3:8" x14ac:dyDescent="0.25">
      <c r="C56" s="8"/>
      <c r="D56" s="2" t="s">
        <v>3701</v>
      </c>
      <c r="E56" s="2" t="s">
        <v>48</v>
      </c>
      <c r="F56" s="4">
        <v>6</v>
      </c>
      <c r="G56" s="14"/>
      <c r="H56" s="9"/>
    </row>
    <row r="57" spans="3:8" x14ac:dyDescent="0.25">
      <c r="C57" s="8"/>
      <c r="D57" s="2" t="s">
        <v>3702</v>
      </c>
      <c r="E57" s="2" t="s">
        <v>48</v>
      </c>
      <c r="F57" s="4">
        <v>19</v>
      </c>
      <c r="G57" s="14"/>
      <c r="H57" s="9"/>
    </row>
    <row r="58" spans="3:8" x14ac:dyDescent="0.25">
      <c r="C58" s="8"/>
      <c r="D58" s="2" t="s">
        <v>3703</v>
      </c>
      <c r="E58" s="2" t="s">
        <v>48</v>
      </c>
      <c r="F58" s="4"/>
      <c r="G58" s="14"/>
      <c r="H58" s="9">
        <v>10</v>
      </c>
    </row>
    <row r="59" spans="3:8" x14ac:dyDescent="0.25">
      <c r="C59" s="8"/>
      <c r="D59" s="2" t="s">
        <v>3704</v>
      </c>
      <c r="E59" s="2" t="s">
        <v>3388</v>
      </c>
      <c r="F59" s="4"/>
      <c r="G59" s="14"/>
      <c r="H59" s="9">
        <v>565</v>
      </c>
    </row>
    <row r="60" spans="3:8" x14ac:dyDescent="0.25">
      <c r="C60" s="8"/>
      <c r="D60" s="2" t="s">
        <v>3705</v>
      </c>
      <c r="E60" s="2" t="s">
        <v>48</v>
      </c>
      <c r="F60" s="4"/>
      <c r="G60" s="14"/>
      <c r="H60" s="9">
        <v>6</v>
      </c>
    </row>
    <row r="61" spans="3:8" x14ac:dyDescent="0.25">
      <c r="C61" s="8"/>
      <c r="D61" s="2" t="s">
        <v>3706</v>
      </c>
      <c r="E61" s="2" t="s">
        <v>48</v>
      </c>
      <c r="F61" s="4">
        <v>7.5</v>
      </c>
      <c r="G61" s="14"/>
      <c r="H61" s="9"/>
    </row>
    <row r="62" spans="3:8" x14ac:dyDescent="0.25">
      <c r="C62" s="8"/>
      <c r="D62" s="2" t="s">
        <v>3707</v>
      </c>
      <c r="E62" s="2" t="s">
        <v>48</v>
      </c>
      <c r="F62" s="4"/>
      <c r="G62" s="14"/>
      <c r="H62" s="9">
        <v>71.5</v>
      </c>
    </row>
    <row r="63" spans="3:8" x14ac:dyDescent="0.25">
      <c r="C63" s="8"/>
      <c r="D63" s="2" t="s">
        <v>3708</v>
      </c>
      <c r="E63" s="2" t="s">
        <v>106</v>
      </c>
      <c r="F63" s="4"/>
      <c r="G63" s="14"/>
      <c r="H63" s="9">
        <v>25</v>
      </c>
    </row>
    <row r="64" spans="3:8" x14ac:dyDescent="0.25">
      <c r="C64" s="8"/>
      <c r="D64" s="2" t="s">
        <v>3709</v>
      </c>
      <c r="E64" s="2" t="s">
        <v>48</v>
      </c>
      <c r="F64" s="4">
        <v>9.5</v>
      </c>
      <c r="G64" s="14"/>
      <c r="H64" s="9"/>
    </row>
    <row r="65" spans="3:8" x14ac:dyDescent="0.25">
      <c r="C65" s="8"/>
      <c r="D65" s="2" t="s">
        <v>3710</v>
      </c>
      <c r="E65" s="2" t="s">
        <v>48</v>
      </c>
      <c r="F65" s="4">
        <v>18</v>
      </c>
      <c r="G65" s="14"/>
      <c r="H65" s="9"/>
    </row>
    <row r="66" spans="3:8" x14ac:dyDescent="0.25">
      <c r="C66" s="8"/>
      <c r="D66" s="2" t="s">
        <v>3711</v>
      </c>
      <c r="E66" s="2" t="s">
        <v>48</v>
      </c>
      <c r="F66" s="4"/>
      <c r="G66" s="14"/>
      <c r="H66" s="9">
        <v>10</v>
      </c>
    </row>
    <row r="67" spans="3:8" x14ac:dyDescent="0.25">
      <c r="C67" s="8"/>
      <c r="D67" s="2" t="s">
        <v>3713</v>
      </c>
      <c r="E67" s="2" t="s">
        <v>3741</v>
      </c>
      <c r="F67" s="4">
        <v>5626.5</v>
      </c>
      <c r="G67" s="14"/>
      <c r="H67" s="9"/>
    </row>
    <row r="68" spans="3:8" x14ac:dyDescent="0.25">
      <c r="C68" s="8"/>
      <c r="D68" s="2" t="s">
        <v>3714</v>
      </c>
      <c r="E68" s="2" t="s">
        <v>48</v>
      </c>
      <c r="F68" s="4">
        <v>7.5</v>
      </c>
      <c r="G68" s="14"/>
      <c r="H68" s="9"/>
    </row>
    <row r="69" spans="3:8" x14ac:dyDescent="0.25">
      <c r="C69" s="8"/>
      <c r="D69" s="2" t="s">
        <v>3715</v>
      </c>
      <c r="E69" s="2" t="s">
        <v>48</v>
      </c>
      <c r="F69" s="4"/>
      <c r="G69" s="14"/>
      <c r="H69" s="9">
        <v>16</v>
      </c>
    </row>
    <row r="70" spans="3:8" x14ac:dyDescent="0.25">
      <c r="C70" s="8"/>
      <c r="D70" s="2" t="s">
        <v>3716</v>
      </c>
      <c r="E70" s="2" t="s">
        <v>3388</v>
      </c>
      <c r="F70" s="4"/>
      <c r="G70" s="14"/>
      <c r="H70" s="9">
        <v>110</v>
      </c>
    </row>
    <row r="71" spans="3:8" x14ac:dyDescent="0.25">
      <c r="C71" s="8"/>
      <c r="D71" s="2" t="s">
        <v>3717</v>
      </c>
      <c r="E71" s="2" t="s">
        <v>48</v>
      </c>
      <c r="F71" s="4">
        <v>1</v>
      </c>
      <c r="G71" s="14"/>
      <c r="H71" s="9"/>
    </row>
    <row r="72" spans="3:8" x14ac:dyDescent="0.25">
      <c r="C72" s="8"/>
      <c r="D72" s="2" t="s">
        <v>3718</v>
      </c>
      <c r="E72" s="2" t="s">
        <v>48</v>
      </c>
      <c r="F72" s="4">
        <v>14</v>
      </c>
      <c r="G72" s="14"/>
      <c r="H72" s="9"/>
    </row>
    <row r="73" spans="3:8" x14ac:dyDescent="0.25">
      <c r="C73" s="8"/>
      <c r="D73" s="2" t="s">
        <v>3719</v>
      </c>
      <c r="E73" s="2" t="s">
        <v>48</v>
      </c>
      <c r="F73" s="4">
        <v>153</v>
      </c>
      <c r="G73" s="14"/>
      <c r="H73" s="9"/>
    </row>
    <row r="74" spans="3:8" x14ac:dyDescent="0.25">
      <c r="C74" s="8"/>
      <c r="D74" s="2" t="s">
        <v>3720</v>
      </c>
      <c r="E74" s="2" t="s">
        <v>48</v>
      </c>
      <c r="F74" s="4">
        <v>39</v>
      </c>
      <c r="G74" s="14"/>
      <c r="H74" s="9"/>
    </row>
    <row r="75" spans="3:8" x14ac:dyDescent="0.25">
      <c r="C75" s="8"/>
      <c r="D75" s="2" t="s">
        <v>3721</v>
      </c>
      <c r="E75" s="2" t="s">
        <v>3740</v>
      </c>
      <c r="F75" s="4">
        <v>38</v>
      </c>
      <c r="G75" s="14"/>
      <c r="H75" s="9"/>
    </row>
    <row r="76" spans="3:8" x14ac:dyDescent="0.25">
      <c r="C76" s="8"/>
      <c r="D76" s="2" t="s">
        <v>3722</v>
      </c>
      <c r="E76" s="2" t="s">
        <v>48</v>
      </c>
      <c r="F76" s="4">
        <v>8</v>
      </c>
      <c r="G76" s="14"/>
      <c r="H76" s="9"/>
    </row>
    <row r="77" spans="3:8" x14ac:dyDescent="0.25">
      <c r="C77" s="8"/>
      <c r="D77" s="2" t="s">
        <v>3723</v>
      </c>
      <c r="E77" s="2" t="s">
        <v>106</v>
      </c>
      <c r="F77" s="4"/>
      <c r="G77" s="14"/>
      <c r="H77" s="9">
        <v>68</v>
      </c>
    </row>
    <row r="78" spans="3:8" x14ac:dyDescent="0.25">
      <c r="C78" s="8"/>
      <c r="D78" s="2" t="s">
        <v>3724</v>
      </c>
      <c r="E78" s="2" t="s">
        <v>106</v>
      </c>
      <c r="F78" s="4"/>
      <c r="G78" s="14"/>
      <c r="H78" s="9">
        <v>100</v>
      </c>
    </row>
    <row r="79" spans="3:8" x14ac:dyDescent="0.25">
      <c r="C79" s="8"/>
      <c r="D79" s="2" t="s">
        <v>3725</v>
      </c>
      <c r="E79" s="2" t="s">
        <v>3388</v>
      </c>
      <c r="F79" s="4"/>
      <c r="G79" s="14"/>
      <c r="H79" s="9">
        <v>57</v>
      </c>
    </row>
    <row r="80" spans="3:8" x14ac:dyDescent="0.25">
      <c r="C80" s="8"/>
      <c r="D80" s="2" t="s">
        <v>3726</v>
      </c>
      <c r="E80" s="2" t="s">
        <v>106</v>
      </c>
      <c r="F80" s="4"/>
      <c r="G80" s="14"/>
      <c r="H80" s="9">
        <v>126</v>
      </c>
    </row>
    <row r="81" spans="3:8" x14ac:dyDescent="0.25">
      <c r="C81" s="8"/>
      <c r="D81" s="2" t="s">
        <v>3727</v>
      </c>
      <c r="E81" s="2" t="s">
        <v>106</v>
      </c>
      <c r="F81" s="4"/>
      <c r="G81" s="14"/>
      <c r="H81" s="9">
        <v>102</v>
      </c>
    </row>
    <row r="82" spans="3:8" x14ac:dyDescent="0.25">
      <c r="C82" s="8"/>
      <c r="D82" s="2" t="s">
        <v>3728</v>
      </c>
      <c r="E82" s="2" t="s">
        <v>48</v>
      </c>
      <c r="F82" s="4">
        <v>5</v>
      </c>
      <c r="G82" s="14"/>
      <c r="H82" s="9"/>
    </row>
    <row r="83" spans="3:8" x14ac:dyDescent="0.25">
      <c r="C83" s="8"/>
      <c r="D83" s="2" t="s">
        <v>3729</v>
      </c>
      <c r="E83" s="2" t="s">
        <v>48</v>
      </c>
      <c r="F83" s="4">
        <v>5</v>
      </c>
      <c r="G83" s="14"/>
      <c r="H83" s="9"/>
    </row>
    <row r="84" spans="3:8" x14ac:dyDescent="0.25">
      <c r="C84" s="8"/>
      <c r="D84" s="2" t="s">
        <v>3730</v>
      </c>
      <c r="E84" s="2" t="s">
        <v>106</v>
      </c>
      <c r="F84" s="4"/>
      <c r="G84" s="14"/>
      <c r="H84" s="9">
        <v>102</v>
      </c>
    </row>
    <row r="85" spans="3:8" x14ac:dyDescent="0.25">
      <c r="C85" s="8"/>
      <c r="D85" s="2" t="s">
        <v>3731</v>
      </c>
      <c r="E85" s="2" t="s">
        <v>722</v>
      </c>
      <c r="F85" s="4"/>
      <c r="G85" s="14">
        <v>240</v>
      </c>
      <c r="H85" s="9"/>
    </row>
    <row r="86" spans="3:8" x14ac:dyDescent="0.25">
      <c r="C86" s="8"/>
      <c r="D86" s="2" t="s">
        <v>3732</v>
      </c>
      <c r="E86" s="2" t="s">
        <v>106</v>
      </c>
      <c r="F86" s="4"/>
      <c r="G86" s="14"/>
      <c r="H86" s="9">
        <v>126</v>
      </c>
    </row>
    <row r="87" spans="3:8" x14ac:dyDescent="0.25">
      <c r="C87" s="8"/>
      <c r="D87" s="2" t="s">
        <v>3733</v>
      </c>
      <c r="E87" s="2" t="s">
        <v>605</v>
      </c>
      <c r="F87" s="4">
        <v>105</v>
      </c>
      <c r="G87" s="14"/>
      <c r="H87" s="9"/>
    </row>
    <row r="88" spans="3:8" x14ac:dyDescent="0.25">
      <c r="C88" s="8"/>
      <c r="D88" s="2" t="s">
        <v>3734</v>
      </c>
      <c r="E88" s="2" t="s">
        <v>48</v>
      </c>
      <c r="F88" s="4">
        <v>1</v>
      </c>
      <c r="G88" s="14"/>
      <c r="H88" s="9"/>
    </row>
    <row r="89" spans="3:8" x14ac:dyDescent="0.25">
      <c r="C89" s="8"/>
      <c r="D89" s="2" t="s">
        <v>3735</v>
      </c>
      <c r="E89" s="2" t="s">
        <v>48</v>
      </c>
      <c r="F89" s="4"/>
      <c r="G89" s="14"/>
      <c r="H89" s="9">
        <v>57.5</v>
      </c>
    </row>
    <row r="90" spans="3:8" x14ac:dyDescent="0.25">
      <c r="C90" s="8"/>
      <c r="D90" s="2" t="s">
        <v>3736</v>
      </c>
      <c r="E90" s="2" t="s">
        <v>106</v>
      </c>
      <c r="F90" s="4"/>
      <c r="G90" s="14"/>
      <c r="H90" s="9">
        <v>75</v>
      </c>
    </row>
    <row r="91" spans="3:8" x14ac:dyDescent="0.25">
      <c r="C91" s="8"/>
      <c r="D91" s="2" t="s">
        <v>3737</v>
      </c>
      <c r="E91" s="2" t="s">
        <v>3388</v>
      </c>
      <c r="F91" s="4"/>
      <c r="G91" s="14"/>
      <c r="H91" s="9">
        <v>1670</v>
      </c>
    </row>
    <row r="92" spans="3:8" x14ac:dyDescent="0.25">
      <c r="C92" s="8"/>
      <c r="D92" s="2" t="s">
        <v>3738</v>
      </c>
      <c r="E92" s="2" t="s">
        <v>48</v>
      </c>
      <c r="F92" s="4">
        <v>18</v>
      </c>
      <c r="G92" s="14"/>
      <c r="H92" s="9"/>
    </row>
    <row r="93" spans="3:8" x14ac:dyDescent="0.25">
      <c r="C93" s="8"/>
      <c r="D93" s="2" t="s">
        <v>3739</v>
      </c>
      <c r="E93" s="2" t="s">
        <v>48</v>
      </c>
      <c r="F93" s="4">
        <v>8</v>
      </c>
      <c r="G93" s="14"/>
      <c r="H93" s="9"/>
    </row>
    <row r="94" spans="3:8" x14ac:dyDescent="0.25">
      <c r="C94" s="8"/>
      <c r="D94" s="2" t="s">
        <v>3813</v>
      </c>
      <c r="E94" s="2"/>
      <c r="F94" s="4"/>
      <c r="G94" s="14"/>
      <c r="H94" s="9"/>
    </row>
    <row r="95" spans="3:8" x14ac:dyDescent="0.25">
      <c r="C95" s="8"/>
      <c r="D95" s="2"/>
      <c r="E95" s="2"/>
      <c r="F95" s="4"/>
      <c r="G95" s="14"/>
      <c r="H95" s="9"/>
    </row>
    <row r="96" spans="3:8" ht="13.5" customHeight="1" x14ac:dyDescent="0.25">
      <c r="C96" s="8"/>
      <c r="D96" s="2"/>
      <c r="E96" s="2"/>
      <c r="F96" s="4"/>
      <c r="G96" s="14"/>
      <c r="H96" s="9"/>
    </row>
    <row r="97" spans="3:8" x14ac:dyDescent="0.25">
      <c r="C97" s="8"/>
      <c r="D97" s="2"/>
      <c r="E97" s="2"/>
      <c r="F97" s="4"/>
      <c r="G97" s="14"/>
      <c r="H97" s="9"/>
    </row>
    <row r="98" spans="3:8" x14ac:dyDescent="0.25">
      <c r="C98" s="29"/>
      <c r="D98" s="30"/>
      <c r="E98" s="30" t="s">
        <v>60</v>
      </c>
      <c r="F98" s="4"/>
      <c r="G98" s="14"/>
      <c r="H98" s="9"/>
    </row>
    <row r="99" spans="3:8" x14ac:dyDescent="0.25">
      <c r="C99" s="8"/>
      <c r="D99" s="45" t="s">
        <v>3665</v>
      </c>
      <c r="E99" s="68" t="s">
        <v>3666</v>
      </c>
      <c r="F99" s="4"/>
      <c r="G99" s="14"/>
      <c r="H99" s="9">
        <v>1260</v>
      </c>
    </row>
    <row r="100" spans="3:8" x14ac:dyDescent="0.25">
      <c r="C100" s="8"/>
      <c r="D100" s="45" t="s">
        <v>3667</v>
      </c>
      <c r="E100" s="68" t="s">
        <v>285</v>
      </c>
      <c r="F100" s="4">
        <v>1235</v>
      </c>
      <c r="G100" s="14"/>
      <c r="H100" s="9"/>
    </row>
    <row r="101" spans="3:8" x14ac:dyDescent="0.25">
      <c r="C101" s="8"/>
      <c r="D101" s="45"/>
      <c r="E101" s="68"/>
      <c r="F101" s="4"/>
      <c r="G101" s="14"/>
      <c r="H101" s="4"/>
    </row>
    <row r="102" spans="3:8" x14ac:dyDescent="0.25">
      <c r="C102" s="8"/>
      <c r="D102" s="2"/>
      <c r="E102" s="68"/>
      <c r="F102" s="4"/>
      <c r="G102" s="14"/>
      <c r="H102" s="9"/>
    </row>
    <row r="103" spans="3:8" x14ac:dyDescent="0.25">
      <c r="C103" s="16"/>
      <c r="D103" s="17"/>
      <c r="E103" s="17" t="s">
        <v>39</v>
      </c>
      <c r="F103" s="4"/>
      <c r="G103" s="14"/>
      <c r="H103" s="9"/>
    </row>
    <row r="104" spans="3:8" x14ac:dyDescent="0.25">
      <c r="C104" s="8"/>
      <c r="D104" s="2"/>
      <c r="E104" s="2" t="s">
        <v>430</v>
      </c>
      <c r="F104" s="4">
        <v>94.5</v>
      </c>
      <c r="G104" s="14"/>
      <c r="H104" s="9"/>
    </row>
    <row r="105" spans="3:8" x14ac:dyDescent="0.25">
      <c r="C105" s="8"/>
      <c r="D105" s="2"/>
      <c r="E105" s="2" t="s">
        <v>141</v>
      </c>
      <c r="F105" s="4">
        <v>975</v>
      </c>
      <c r="G105" s="14"/>
      <c r="H105" s="9"/>
    </row>
    <row r="106" spans="3:8" x14ac:dyDescent="0.25">
      <c r="C106" s="8"/>
      <c r="D106" s="2"/>
      <c r="E106" s="2" t="s">
        <v>1230</v>
      </c>
      <c r="F106" s="4">
        <v>5000</v>
      </c>
      <c r="G106" s="14"/>
      <c r="H106" s="9"/>
    </row>
    <row r="107" spans="3:8" x14ac:dyDescent="0.25">
      <c r="C107" s="8"/>
      <c r="D107" s="2"/>
      <c r="E107" s="2" t="s">
        <v>3758</v>
      </c>
      <c r="F107" s="4">
        <v>18566</v>
      </c>
      <c r="G107" s="14"/>
      <c r="H107" s="9"/>
    </row>
    <row r="108" spans="3:8" x14ac:dyDescent="0.25">
      <c r="C108" s="8"/>
      <c r="D108" s="2"/>
      <c r="E108" s="68" t="s">
        <v>3762</v>
      </c>
      <c r="F108" s="4">
        <v>62</v>
      </c>
      <c r="G108" s="14"/>
      <c r="H108" s="9"/>
    </row>
    <row r="109" spans="3:8" x14ac:dyDescent="0.25">
      <c r="C109" s="8"/>
      <c r="D109" s="2"/>
      <c r="E109" s="2" t="s">
        <v>3765</v>
      </c>
      <c r="F109" s="4">
        <v>7</v>
      </c>
      <c r="G109" s="14"/>
      <c r="H109" s="9"/>
    </row>
    <row r="110" spans="3:8" x14ac:dyDescent="0.25">
      <c r="C110" s="8"/>
      <c r="D110" s="2"/>
      <c r="E110" s="2" t="s">
        <v>3771</v>
      </c>
      <c r="F110" s="4">
        <v>245</v>
      </c>
      <c r="G110" s="14"/>
      <c r="H110" s="9"/>
    </row>
    <row r="111" spans="3:8" x14ac:dyDescent="0.25">
      <c r="C111" s="8"/>
      <c r="D111" s="2"/>
      <c r="E111" s="2" t="s">
        <v>402</v>
      </c>
      <c r="F111" s="4">
        <v>0.5</v>
      </c>
      <c r="G111" s="14"/>
      <c r="H111" s="9"/>
    </row>
    <row r="112" spans="3:8" x14ac:dyDescent="0.25">
      <c r="C112" s="8"/>
      <c r="D112" s="2"/>
      <c r="E112" s="2"/>
      <c r="F112" s="4"/>
      <c r="G112" s="14"/>
      <c r="H112" s="9"/>
    </row>
    <row r="113" spans="3:8" x14ac:dyDescent="0.25">
      <c r="C113" s="19"/>
      <c r="D113" s="20"/>
      <c r="E113" s="20" t="s">
        <v>42</v>
      </c>
      <c r="F113" s="4"/>
      <c r="G113" s="14"/>
      <c r="H113" s="9"/>
    </row>
    <row r="114" spans="3:8" x14ac:dyDescent="0.25">
      <c r="C114" s="34"/>
      <c r="D114" s="42"/>
      <c r="E114" s="2" t="s">
        <v>3664</v>
      </c>
      <c r="F114" s="14">
        <v>-2159</v>
      </c>
      <c r="G114" s="14"/>
      <c r="H114" s="9"/>
    </row>
    <row r="115" spans="3:8" x14ac:dyDescent="0.25">
      <c r="C115" s="8"/>
      <c r="D115" s="2"/>
      <c r="E115" s="2" t="s">
        <v>2074</v>
      </c>
      <c r="F115" s="14">
        <v>-300</v>
      </c>
      <c r="G115" s="14"/>
      <c r="H115" s="9"/>
    </row>
    <row r="116" spans="3:8" x14ac:dyDescent="0.25">
      <c r="C116" s="8"/>
      <c r="D116" s="2"/>
      <c r="E116" s="2" t="s">
        <v>3747</v>
      </c>
      <c r="F116" s="14">
        <v>-45</v>
      </c>
      <c r="G116" s="14"/>
      <c r="H116" s="9"/>
    </row>
    <row r="117" spans="3:8" x14ac:dyDescent="0.25">
      <c r="C117" s="8"/>
      <c r="D117" s="2"/>
      <c r="E117" s="2" t="s">
        <v>2536</v>
      </c>
      <c r="F117" s="14">
        <v>-10</v>
      </c>
      <c r="G117" s="14"/>
      <c r="H117" s="9"/>
    </row>
    <row r="118" spans="3:8" x14ac:dyDescent="0.25">
      <c r="C118" s="8"/>
      <c r="D118" s="2"/>
      <c r="E118" s="2" t="s">
        <v>3748</v>
      </c>
      <c r="F118" s="14">
        <v>-40</v>
      </c>
      <c r="G118" s="14"/>
      <c r="H118" s="9"/>
    </row>
    <row r="119" spans="3:8" x14ac:dyDescent="0.25">
      <c r="C119" s="8"/>
      <c r="D119" s="2"/>
      <c r="E119" s="2" t="s">
        <v>734</v>
      </c>
      <c r="F119" s="14">
        <v>-50</v>
      </c>
      <c r="G119" s="14"/>
      <c r="H119" s="9"/>
    </row>
    <row r="120" spans="3:8" x14ac:dyDescent="0.25">
      <c r="C120" s="8"/>
      <c r="D120" s="2"/>
      <c r="E120" s="2" t="s">
        <v>3749</v>
      </c>
      <c r="F120" s="14">
        <v>-60</v>
      </c>
      <c r="G120" s="14"/>
      <c r="H120" s="9"/>
    </row>
    <row r="121" spans="3:8" x14ac:dyDescent="0.25">
      <c r="C121" s="8"/>
      <c r="D121" s="2"/>
      <c r="E121" s="2" t="s">
        <v>3750</v>
      </c>
      <c r="F121" s="14">
        <v>-100</v>
      </c>
      <c r="G121" s="14"/>
      <c r="H121" s="9"/>
    </row>
    <row r="122" spans="3:8" x14ac:dyDescent="0.25">
      <c r="C122" s="8"/>
      <c r="D122" s="2"/>
      <c r="E122" s="2" t="s">
        <v>735</v>
      </c>
      <c r="F122" s="14">
        <v>-450.3</v>
      </c>
      <c r="G122" s="14"/>
      <c r="H122" s="9"/>
    </row>
    <row r="123" spans="3:8" x14ac:dyDescent="0.25">
      <c r="C123" s="8"/>
      <c r="D123" s="2"/>
      <c r="E123" s="2" t="s">
        <v>3751</v>
      </c>
      <c r="F123" s="14">
        <v>-500</v>
      </c>
      <c r="G123" s="14"/>
      <c r="H123" s="9"/>
    </row>
    <row r="124" spans="3:8" x14ac:dyDescent="0.25">
      <c r="C124" s="8"/>
      <c r="D124" s="2"/>
      <c r="E124" s="2" t="s">
        <v>3752</v>
      </c>
      <c r="F124" s="14">
        <v>-140</v>
      </c>
      <c r="G124" s="14"/>
      <c r="H124" s="9"/>
    </row>
    <row r="125" spans="3:8" x14ac:dyDescent="0.25">
      <c r="C125" s="8"/>
      <c r="D125" s="2"/>
      <c r="E125" s="2" t="s">
        <v>758</v>
      </c>
      <c r="F125" s="14">
        <v>-70</v>
      </c>
      <c r="G125" s="14"/>
      <c r="H125" s="9"/>
    </row>
    <row r="126" spans="3:8" x14ac:dyDescent="0.25">
      <c r="C126" s="8"/>
      <c r="D126" s="2"/>
      <c r="E126" s="2" t="s">
        <v>3753</v>
      </c>
      <c r="F126" s="14">
        <v>-10000</v>
      </c>
      <c r="G126" s="14"/>
      <c r="H126" s="9"/>
    </row>
    <row r="127" spans="3:8" x14ac:dyDescent="0.25">
      <c r="C127" s="8"/>
      <c r="D127" s="2"/>
      <c r="E127" s="2" t="s">
        <v>1478</v>
      </c>
      <c r="F127" s="14">
        <v>-2355</v>
      </c>
      <c r="G127" s="14"/>
      <c r="H127" s="9"/>
    </row>
    <row r="128" spans="3:8" x14ac:dyDescent="0.25">
      <c r="C128" s="8"/>
      <c r="D128" s="2"/>
      <c r="E128" s="2" t="s">
        <v>756</v>
      </c>
      <c r="F128" s="14">
        <v>-225</v>
      </c>
      <c r="G128" s="14"/>
      <c r="H128" s="9"/>
    </row>
    <row r="129" spans="3:8" x14ac:dyDescent="0.25">
      <c r="C129" s="8"/>
      <c r="D129" s="2"/>
      <c r="E129" s="2" t="s">
        <v>754</v>
      </c>
      <c r="F129" s="14">
        <v>-146.5</v>
      </c>
      <c r="G129" s="14"/>
      <c r="H129" s="9"/>
    </row>
    <row r="130" spans="3:8" x14ac:dyDescent="0.25">
      <c r="C130" s="8"/>
      <c r="D130" s="2"/>
      <c r="E130" s="2" t="s">
        <v>759</v>
      </c>
      <c r="F130" s="14">
        <v>-515</v>
      </c>
      <c r="G130" s="14"/>
      <c r="H130" s="9"/>
    </row>
    <row r="131" spans="3:8" x14ac:dyDescent="0.25">
      <c r="C131" s="8"/>
      <c r="D131" s="2"/>
      <c r="E131" s="2" t="s">
        <v>1481</v>
      </c>
      <c r="F131" s="14">
        <v>-380</v>
      </c>
      <c r="G131" s="14"/>
      <c r="H131" s="9"/>
    </row>
    <row r="132" spans="3:8" x14ac:dyDescent="0.25">
      <c r="C132" s="8"/>
      <c r="D132" s="2"/>
      <c r="E132" s="2" t="s">
        <v>760</v>
      </c>
      <c r="F132" s="14">
        <v>-330</v>
      </c>
      <c r="G132" s="14"/>
      <c r="H132" s="9"/>
    </row>
    <row r="133" spans="3:8" x14ac:dyDescent="0.25">
      <c r="C133" s="8"/>
      <c r="D133" s="2"/>
      <c r="E133" s="2" t="s">
        <v>3766</v>
      </c>
      <c r="F133" s="14">
        <v>-170</v>
      </c>
      <c r="G133" s="14"/>
      <c r="H133" s="9"/>
    </row>
    <row r="134" spans="3:8" x14ac:dyDescent="0.25">
      <c r="C134" s="8"/>
      <c r="D134" s="2"/>
      <c r="E134" s="2" t="s">
        <v>1486</v>
      </c>
      <c r="F134" s="14">
        <v>-420</v>
      </c>
      <c r="G134" s="14"/>
      <c r="H134" s="9"/>
    </row>
    <row r="135" spans="3:8" x14ac:dyDescent="0.25">
      <c r="C135" s="8"/>
      <c r="D135" s="2"/>
      <c r="E135" s="2" t="s">
        <v>3767</v>
      </c>
      <c r="F135" s="14">
        <v>-595</v>
      </c>
      <c r="G135" s="14"/>
      <c r="H135" s="9"/>
    </row>
    <row r="136" spans="3:8" x14ac:dyDescent="0.25">
      <c r="C136" s="8"/>
      <c r="D136" s="2"/>
      <c r="E136" s="2" t="s">
        <v>3772</v>
      </c>
      <c r="F136" s="14">
        <v>-435</v>
      </c>
      <c r="G136" s="14"/>
      <c r="H136" s="9"/>
    </row>
    <row r="137" spans="3:8" x14ac:dyDescent="0.25">
      <c r="C137" s="8"/>
      <c r="D137" s="2"/>
      <c r="E137" s="2" t="s">
        <v>1553</v>
      </c>
      <c r="F137" s="14">
        <v>-435</v>
      </c>
      <c r="G137" s="14"/>
      <c r="H137" s="9"/>
    </row>
    <row r="138" spans="3:8" x14ac:dyDescent="0.25">
      <c r="C138" s="8"/>
      <c r="D138" s="2"/>
      <c r="E138" s="2" t="s">
        <v>3264</v>
      </c>
      <c r="F138" s="14">
        <v>-300</v>
      </c>
      <c r="G138" s="14"/>
      <c r="H138" s="9"/>
    </row>
    <row r="139" spans="3:8" x14ac:dyDescent="0.25">
      <c r="C139" s="8"/>
      <c r="D139" s="2"/>
      <c r="E139" s="2" t="s">
        <v>3773</v>
      </c>
      <c r="F139" s="14">
        <v>-270</v>
      </c>
      <c r="G139" s="14"/>
      <c r="H139" s="9"/>
    </row>
    <row r="140" spans="3:8" x14ac:dyDescent="0.25">
      <c r="C140" s="8"/>
      <c r="D140" s="2"/>
      <c r="E140" s="2"/>
      <c r="F140" s="4"/>
      <c r="G140" s="14"/>
      <c r="H140" s="9"/>
    </row>
    <row r="141" spans="3:8" ht="15.75" thickBot="1" x14ac:dyDescent="0.3">
      <c r="C141" s="10"/>
      <c r="D141" s="11"/>
      <c r="E141" s="11" t="s">
        <v>44</v>
      </c>
      <c r="F141" s="12">
        <f>SUM(F6:F140)</f>
        <v>19111.099999999999</v>
      </c>
      <c r="G141" s="15">
        <f>SUM(G6:G140)</f>
        <v>3282</v>
      </c>
      <c r="H141" s="13">
        <f>SUM(H6:H140)</f>
        <v>5768.5</v>
      </c>
    </row>
    <row r="144" spans="3:8" s="3" customFormat="1" ht="18.75" x14ac:dyDescent="0.3">
      <c r="C144" s="1"/>
      <c r="D144" s="1"/>
      <c r="E144" s="38" t="s">
        <v>49</v>
      </c>
      <c r="F144" s="39">
        <f>+H4+F141</f>
        <v>28861.989999999998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19A-D51F-4270-AF4B-E7E3240D2C2C}">
  <sheetPr codeName="Hoja42"/>
  <dimension ref="C2:H68"/>
  <sheetViews>
    <sheetView topLeftCell="A17" zoomScale="95" zoomScaleNormal="95" workbookViewId="0">
      <selection activeCell="D6" sqref="D6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5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3811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28861.99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3812</v>
      </c>
      <c r="E6" s="2" t="s">
        <v>1975</v>
      </c>
      <c r="F6" s="4"/>
      <c r="G6" s="14"/>
      <c r="H6" s="9">
        <v>2224.8000000000002</v>
      </c>
    </row>
    <row r="7" spans="3:8" x14ac:dyDescent="0.25">
      <c r="C7" s="8"/>
      <c r="D7" s="2" t="s">
        <v>3813</v>
      </c>
      <c r="E7" s="2" t="s">
        <v>3848</v>
      </c>
      <c r="F7" s="4">
        <v>47</v>
      </c>
      <c r="G7" s="14"/>
      <c r="H7" s="9"/>
    </row>
    <row r="8" spans="3:8" x14ac:dyDescent="0.25">
      <c r="C8" s="8"/>
      <c r="D8" s="2" t="s">
        <v>3814</v>
      </c>
      <c r="E8" s="2" t="s">
        <v>3847</v>
      </c>
      <c r="F8" s="4">
        <v>28</v>
      </c>
      <c r="G8" s="14"/>
      <c r="H8" s="9"/>
    </row>
    <row r="9" spans="3:8" x14ac:dyDescent="0.25">
      <c r="C9" s="8"/>
      <c r="D9" s="2" t="s">
        <v>3815</v>
      </c>
      <c r="E9" s="2" t="s">
        <v>48</v>
      </c>
      <c r="F9" s="4">
        <v>78.5</v>
      </c>
      <c r="G9" s="14"/>
      <c r="H9" s="9"/>
    </row>
    <row r="10" spans="3:8" x14ac:dyDescent="0.25">
      <c r="C10" s="8"/>
      <c r="D10" s="2" t="s">
        <v>3816</v>
      </c>
      <c r="E10" s="2" t="s">
        <v>48</v>
      </c>
      <c r="F10" s="4">
        <v>4</v>
      </c>
      <c r="G10" s="14"/>
      <c r="H10" s="9"/>
    </row>
    <row r="11" spans="3:8" x14ac:dyDescent="0.25">
      <c r="C11" s="8"/>
      <c r="D11" s="2" t="s">
        <v>3817</v>
      </c>
      <c r="E11" s="2" t="s">
        <v>48</v>
      </c>
      <c r="F11" s="4">
        <v>5</v>
      </c>
      <c r="G11" s="14"/>
      <c r="H11" s="9"/>
    </row>
    <row r="12" spans="3:8" x14ac:dyDescent="0.25">
      <c r="C12" s="8"/>
      <c r="D12" s="2" t="s">
        <v>3818</v>
      </c>
      <c r="E12" s="2" t="s">
        <v>48</v>
      </c>
      <c r="F12" s="4">
        <v>7</v>
      </c>
      <c r="G12" s="14"/>
      <c r="H12" s="9"/>
    </row>
    <row r="13" spans="3:8" x14ac:dyDescent="0.25">
      <c r="C13" s="8"/>
      <c r="D13" s="2" t="s">
        <v>3819</v>
      </c>
      <c r="E13" s="2" t="s">
        <v>48</v>
      </c>
      <c r="F13" s="4">
        <v>13.5</v>
      </c>
      <c r="G13" s="14"/>
      <c r="H13" s="9"/>
    </row>
    <row r="14" spans="3:8" x14ac:dyDescent="0.25">
      <c r="C14" s="8"/>
      <c r="D14" s="2" t="s">
        <v>3820</v>
      </c>
      <c r="E14" s="2" t="s">
        <v>48</v>
      </c>
      <c r="F14" s="4">
        <v>13</v>
      </c>
      <c r="G14" s="14"/>
      <c r="H14" s="9"/>
    </row>
    <row r="15" spans="3:8" x14ac:dyDescent="0.25">
      <c r="C15" s="8"/>
      <c r="D15" s="2" t="s">
        <v>3821</v>
      </c>
      <c r="E15" s="2" t="s">
        <v>48</v>
      </c>
      <c r="F15" s="4"/>
      <c r="G15" s="14"/>
      <c r="H15" s="9">
        <v>5</v>
      </c>
    </row>
    <row r="16" spans="3:8" x14ac:dyDescent="0.25">
      <c r="C16" s="8"/>
      <c r="D16" s="2" t="s">
        <v>3822</v>
      </c>
      <c r="E16" s="2" t="s">
        <v>3846</v>
      </c>
      <c r="F16" s="4"/>
      <c r="G16" s="14"/>
      <c r="H16" s="9">
        <v>80</v>
      </c>
    </row>
    <row r="17" spans="3:8" x14ac:dyDescent="0.25">
      <c r="C17" s="8"/>
      <c r="D17" s="2" t="s">
        <v>3823</v>
      </c>
      <c r="E17" s="2" t="s">
        <v>48</v>
      </c>
      <c r="F17" s="4">
        <v>3</v>
      </c>
      <c r="G17" s="14"/>
      <c r="H17" s="9"/>
    </row>
    <row r="18" spans="3:8" x14ac:dyDescent="0.25">
      <c r="C18" s="8"/>
      <c r="D18" s="2" t="s">
        <v>3824</v>
      </c>
      <c r="E18" s="2" t="s">
        <v>48</v>
      </c>
      <c r="F18" s="4">
        <v>14</v>
      </c>
      <c r="G18" s="14"/>
      <c r="H18" s="9"/>
    </row>
    <row r="19" spans="3:8" x14ac:dyDescent="0.25">
      <c r="C19" s="8"/>
      <c r="D19" s="2" t="s">
        <v>3825</v>
      </c>
      <c r="E19" s="2" t="s">
        <v>48</v>
      </c>
      <c r="F19" s="4">
        <v>32.5</v>
      </c>
      <c r="G19" s="14"/>
      <c r="H19" s="9"/>
    </row>
    <row r="20" spans="3:8" x14ac:dyDescent="0.25">
      <c r="C20" s="8"/>
      <c r="D20" s="2" t="s">
        <v>3826</v>
      </c>
      <c r="E20" s="2" t="s">
        <v>48</v>
      </c>
      <c r="F20" s="4">
        <v>11.5</v>
      </c>
      <c r="G20" s="14"/>
      <c r="H20" s="9"/>
    </row>
    <row r="21" spans="3:8" x14ac:dyDescent="0.25">
      <c r="C21" s="8"/>
      <c r="D21" s="2" t="s">
        <v>3827</v>
      </c>
      <c r="E21" s="2" t="s">
        <v>3845</v>
      </c>
      <c r="F21" s="4"/>
      <c r="G21" s="14"/>
      <c r="H21" s="9">
        <v>580.70000000000005</v>
      </c>
    </row>
    <row r="22" spans="3:8" x14ac:dyDescent="0.25">
      <c r="C22" s="8"/>
      <c r="D22" s="2" t="s">
        <v>3828</v>
      </c>
      <c r="E22" s="2" t="s">
        <v>48</v>
      </c>
      <c r="F22" s="4"/>
      <c r="G22" s="14"/>
      <c r="H22" s="9">
        <v>25.5</v>
      </c>
    </row>
    <row r="23" spans="3:8" x14ac:dyDescent="0.25">
      <c r="C23" s="8"/>
      <c r="D23" s="2" t="s">
        <v>3829</v>
      </c>
      <c r="E23" s="2" t="s">
        <v>212</v>
      </c>
      <c r="F23" s="4"/>
      <c r="G23" s="14"/>
      <c r="H23" s="9">
        <v>493</v>
      </c>
    </row>
    <row r="24" spans="3:8" x14ac:dyDescent="0.25">
      <c r="C24" s="8"/>
      <c r="D24" s="2" t="s">
        <v>3830</v>
      </c>
      <c r="E24" s="2" t="s">
        <v>48</v>
      </c>
      <c r="F24" s="4"/>
      <c r="G24" s="14"/>
      <c r="H24" s="9">
        <v>43.1</v>
      </c>
    </row>
    <row r="25" spans="3:8" x14ac:dyDescent="0.25">
      <c r="C25" s="8"/>
      <c r="D25" s="2" t="s">
        <v>3831</v>
      </c>
      <c r="E25" s="2" t="s">
        <v>48</v>
      </c>
      <c r="F25" s="4">
        <v>1</v>
      </c>
      <c r="G25" s="14"/>
      <c r="H25" s="9"/>
    </row>
    <row r="26" spans="3:8" x14ac:dyDescent="0.25">
      <c r="C26" s="8"/>
      <c r="D26" s="2" t="s">
        <v>3832</v>
      </c>
      <c r="E26" s="2" t="s">
        <v>48</v>
      </c>
      <c r="F26" s="4">
        <v>7.5</v>
      </c>
      <c r="G26" s="14"/>
      <c r="H26" s="9"/>
    </row>
    <row r="27" spans="3:8" x14ac:dyDescent="0.25">
      <c r="C27" s="8"/>
      <c r="D27" s="2" t="s">
        <v>3833</v>
      </c>
      <c r="E27" s="2" t="s">
        <v>164</v>
      </c>
      <c r="F27" s="4"/>
      <c r="G27" s="14">
        <v>4673.3</v>
      </c>
      <c r="H27" s="9"/>
    </row>
    <row r="28" spans="3:8" x14ac:dyDescent="0.25">
      <c r="C28" s="8"/>
      <c r="D28" s="2" t="s">
        <v>3834</v>
      </c>
      <c r="E28" s="2" t="s">
        <v>3845</v>
      </c>
      <c r="F28" s="4"/>
      <c r="G28" s="14"/>
      <c r="H28" s="9">
        <v>150</v>
      </c>
    </row>
    <row r="29" spans="3:8" x14ac:dyDescent="0.25">
      <c r="C29" s="8"/>
      <c r="D29" s="2" t="s">
        <v>3835</v>
      </c>
      <c r="E29" s="2" t="s">
        <v>48</v>
      </c>
      <c r="F29" s="4">
        <v>10</v>
      </c>
      <c r="G29" s="14"/>
      <c r="H29" s="9"/>
    </row>
    <row r="30" spans="3:8" x14ac:dyDescent="0.25">
      <c r="C30" s="8"/>
      <c r="D30" s="64" t="s">
        <v>3836</v>
      </c>
      <c r="E30" s="64" t="s">
        <v>3844</v>
      </c>
      <c r="F30" s="88"/>
      <c r="G30" s="54">
        <v>6194</v>
      </c>
      <c r="H30" s="9"/>
    </row>
    <row r="31" spans="3:8" x14ac:dyDescent="0.25">
      <c r="C31" s="8"/>
      <c r="D31" s="2" t="s">
        <v>3837</v>
      </c>
      <c r="E31" s="2" t="s">
        <v>48</v>
      </c>
      <c r="F31" s="4">
        <v>5</v>
      </c>
      <c r="G31" s="14"/>
      <c r="H31" s="9"/>
    </row>
    <row r="32" spans="3:8" x14ac:dyDescent="0.25">
      <c r="C32" s="8"/>
      <c r="D32" s="2" t="s">
        <v>3838</v>
      </c>
      <c r="E32" s="2" t="s">
        <v>48</v>
      </c>
      <c r="F32" s="4">
        <v>12.5</v>
      </c>
      <c r="G32" s="14"/>
      <c r="H32" s="9"/>
    </row>
    <row r="33" spans="3:8" x14ac:dyDescent="0.25">
      <c r="C33" s="8"/>
      <c r="D33" s="2" t="s">
        <v>3839</v>
      </c>
      <c r="E33" s="2" t="s">
        <v>48</v>
      </c>
      <c r="F33" s="4">
        <v>28.5</v>
      </c>
      <c r="G33" s="14"/>
      <c r="H33" s="9"/>
    </row>
    <row r="34" spans="3:8" x14ac:dyDescent="0.25">
      <c r="C34" s="8"/>
      <c r="D34" s="2" t="s">
        <v>3840</v>
      </c>
      <c r="E34" s="2" t="s">
        <v>48</v>
      </c>
      <c r="F34" s="4">
        <v>30</v>
      </c>
      <c r="G34" s="14"/>
      <c r="H34" s="9"/>
    </row>
    <row r="35" spans="3:8" x14ac:dyDescent="0.25">
      <c r="C35" s="8"/>
      <c r="D35" s="2" t="s">
        <v>3841</v>
      </c>
      <c r="E35" s="2" t="s">
        <v>48</v>
      </c>
      <c r="F35" s="4"/>
      <c r="G35" s="14"/>
      <c r="H35" s="9">
        <v>5.5</v>
      </c>
    </row>
    <row r="36" spans="3:8" x14ac:dyDescent="0.25">
      <c r="C36" s="8"/>
      <c r="D36" s="64" t="s">
        <v>3842</v>
      </c>
      <c r="E36" s="64" t="s">
        <v>1373</v>
      </c>
      <c r="F36" s="88"/>
      <c r="G36" s="54">
        <v>1839.6</v>
      </c>
      <c r="H36" s="9"/>
    </row>
    <row r="37" spans="3:8" x14ac:dyDescent="0.25">
      <c r="C37" s="8"/>
      <c r="D37" s="2" t="s">
        <v>3843</v>
      </c>
      <c r="E37" s="2" t="s">
        <v>1975</v>
      </c>
      <c r="F37" s="4"/>
      <c r="G37" s="14"/>
      <c r="H37" s="9">
        <v>52</v>
      </c>
    </row>
    <row r="38" spans="3:8" x14ac:dyDescent="0.25">
      <c r="C38" s="8"/>
      <c r="D38" s="2" t="s">
        <v>3850</v>
      </c>
      <c r="E38" s="2" t="s">
        <v>48</v>
      </c>
      <c r="F38" s="4">
        <v>13</v>
      </c>
      <c r="G38" s="14"/>
      <c r="H38" s="9"/>
    </row>
    <row r="39" spans="3:8" x14ac:dyDescent="0.25">
      <c r="C39" s="8"/>
      <c r="D39" s="2" t="s">
        <v>3853</v>
      </c>
      <c r="E39" s="2" t="s">
        <v>48</v>
      </c>
      <c r="F39" s="4">
        <v>5</v>
      </c>
      <c r="G39" s="14"/>
      <c r="H39" s="9"/>
    </row>
    <row r="40" spans="3:8" x14ac:dyDescent="0.25">
      <c r="C40" s="8"/>
      <c r="D40" s="64" t="s">
        <v>3854</v>
      </c>
      <c r="E40" s="64" t="s">
        <v>380</v>
      </c>
      <c r="F40" s="88"/>
      <c r="G40" s="54">
        <v>834</v>
      </c>
      <c r="H40" s="9"/>
    </row>
    <row r="41" spans="3:8" ht="13.5" customHeight="1" x14ac:dyDescent="0.25">
      <c r="C41" s="8"/>
      <c r="D41" s="2" t="s">
        <v>3855</v>
      </c>
      <c r="E41" s="2" t="s">
        <v>48</v>
      </c>
      <c r="F41" s="4">
        <v>9.5</v>
      </c>
      <c r="G41" s="14"/>
      <c r="H41" s="9"/>
    </row>
    <row r="42" spans="3:8" ht="16.5" customHeight="1" x14ac:dyDescent="0.25">
      <c r="C42" s="8"/>
      <c r="D42" s="2" t="s">
        <v>3856</v>
      </c>
      <c r="E42" s="2" t="s">
        <v>1373</v>
      </c>
      <c r="F42" s="4"/>
      <c r="G42" s="14">
        <v>4022</v>
      </c>
      <c r="H42" s="9"/>
    </row>
    <row r="43" spans="3:8" ht="13.5" customHeight="1" x14ac:dyDescent="0.25">
      <c r="C43" s="8"/>
      <c r="D43" s="2" t="s">
        <v>3857</v>
      </c>
      <c r="E43" s="2" t="s">
        <v>48</v>
      </c>
      <c r="F43" s="4"/>
      <c r="G43" s="14"/>
      <c r="H43" s="9">
        <v>34</v>
      </c>
    </row>
    <row r="44" spans="3:8" ht="13.5" customHeight="1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29"/>
      <c r="D46" s="30"/>
      <c r="E46" s="30" t="s">
        <v>60</v>
      </c>
      <c r="F46" s="4"/>
      <c r="G46" s="14"/>
      <c r="H46" s="9"/>
    </row>
    <row r="47" spans="3:8" x14ac:dyDescent="0.25">
      <c r="C47" s="8"/>
      <c r="D47" s="45"/>
      <c r="E47" s="68"/>
      <c r="F47" s="4"/>
      <c r="G47" s="14"/>
      <c r="H47" s="9"/>
    </row>
    <row r="48" spans="3:8" x14ac:dyDescent="0.25">
      <c r="C48" s="8"/>
      <c r="D48" s="45"/>
      <c r="E48" s="68"/>
      <c r="F48" s="4"/>
      <c r="G48" s="14"/>
      <c r="H48" s="9"/>
    </row>
    <row r="49" spans="3:8" x14ac:dyDescent="0.25">
      <c r="C49" s="8"/>
      <c r="D49" s="45"/>
      <c r="E49" s="68"/>
      <c r="F49" s="4"/>
      <c r="G49" s="14"/>
      <c r="H49" s="4"/>
    </row>
    <row r="50" spans="3:8" x14ac:dyDescent="0.25">
      <c r="C50" s="8"/>
      <c r="D50" s="2"/>
      <c r="E50" s="68"/>
      <c r="F50" s="4"/>
      <c r="G50" s="14"/>
      <c r="H50" s="9"/>
    </row>
    <row r="51" spans="3:8" x14ac:dyDescent="0.25">
      <c r="C51" s="16"/>
      <c r="D51" s="17"/>
      <c r="E51" s="17" t="s">
        <v>39</v>
      </c>
      <c r="F51" s="4"/>
      <c r="G51" s="14"/>
      <c r="H51" s="9"/>
    </row>
    <row r="52" spans="3:8" x14ac:dyDescent="0.25">
      <c r="C52" s="8"/>
      <c r="D52" s="2"/>
      <c r="E52" s="2" t="s">
        <v>3851</v>
      </c>
      <c r="F52" s="4">
        <v>187</v>
      </c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19"/>
      <c r="D55" s="20"/>
      <c r="E55" s="20" t="s">
        <v>42</v>
      </c>
      <c r="F55" s="4"/>
      <c r="G55" s="14"/>
      <c r="H55" s="9"/>
    </row>
    <row r="56" spans="3:8" x14ac:dyDescent="0.25">
      <c r="C56" s="34"/>
      <c r="D56" s="42"/>
      <c r="E56" s="2" t="s">
        <v>3849</v>
      </c>
      <c r="F56" s="14">
        <v>-10000</v>
      </c>
      <c r="G56" s="14"/>
      <c r="H56" s="9"/>
    </row>
    <row r="57" spans="3:8" x14ac:dyDescent="0.25">
      <c r="C57" s="8"/>
      <c r="D57" s="2"/>
      <c r="E57" s="2" t="s">
        <v>3858</v>
      </c>
      <c r="F57" s="14">
        <v>-220</v>
      </c>
      <c r="G57" s="14"/>
      <c r="H57" s="9"/>
    </row>
    <row r="58" spans="3:8" x14ac:dyDescent="0.25">
      <c r="C58" s="8"/>
      <c r="D58" s="2"/>
      <c r="E58" s="2"/>
      <c r="F58" s="14"/>
      <c r="G58" s="14"/>
      <c r="H58" s="9"/>
    </row>
    <row r="59" spans="3:8" x14ac:dyDescent="0.25">
      <c r="C59" s="8"/>
      <c r="D59" s="2"/>
      <c r="E59" s="2"/>
      <c r="F59" s="14"/>
      <c r="G59" s="14"/>
      <c r="H59" s="9"/>
    </row>
    <row r="60" spans="3:8" x14ac:dyDescent="0.25">
      <c r="C60" s="8"/>
      <c r="D60" s="2"/>
      <c r="E60" s="2"/>
      <c r="F60" s="14"/>
      <c r="G60" s="14"/>
      <c r="H60" s="9"/>
    </row>
    <row r="61" spans="3:8" x14ac:dyDescent="0.25">
      <c r="C61" s="8"/>
      <c r="D61" s="2"/>
      <c r="E61" s="2"/>
      <c r="F61" s="14"/>
      <c r="G61" s="14"/>
      <c r="H61" s="9"/>
    </row>
    <row r="62" spans="3:8" x14ac:dyDescent="0.25">
      <c r="C62" s="8"/>
      <c r="D62" s="2"/>
      <c r="E62" s="2"/>
      <c r="F62" s="14"/>
      <c r="G62" s="14"/>
      <c r="H62" s="9"/>
    </row>
    <row r="63" spans="3:8" x14ac:dyDescent="0.25">
      <c r="C63" s="8"/>
      <c r="D63" s="2"/>
      <c r="E63" s="2"/>
      <c r="F63" s="1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ht="15.75" thickBot="1" x14ac:dyDescent="0.3">
      <c r="C65" s="10"/>
      <c r="D65" s="11"/>
      <c r="E65" s="11" t="s">
        <v>44</v>
      </c>
      <c r="F65" s="12">
        <f>SUM(F6:F64)</f>
        <v>-9654</v>
      </c>
      <c r="G65" s="15">
        <f>SUM(G6:G64)</f>
        <v>17562.900000000001</v>
      </c>
      <c r="H65" s="13">
        <f>SUM(H6:H64)</f>
        <v>3693.6</v>
      </c>
    </row>
    <row r="68" spans="3:8" s="3" customFormat="1" ht="18.75" x14ac:dyDescent="0.3">
      <c r="C68" s="1"/>
      <c r="D68" s="1"/>
      <c r="E68" s="38" t="s">
        <v>49</v>
      </c>
      <c r="F68" s="39">
        <f>+H4+F65</f>
        <v>19207.990000000002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658E-A909-42A9-81C7-8ECEE3A1CC35}">
  <sheetPr codeName="Hoja43"/>
  <dimension ref="C2:H94"/>
  <sheetViews>
    <sheetView topLeftCell="A70" zoomScale="95" zoomScaleNormal="95" workbookViewId="0">
      <selection activeCell="F94" sqref="F94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5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3859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19207.990000000002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3864</v>
      </c>
      <c r="E6" s="2" t="s">
        <v>440</v>
      </c>
      <c r="F6" s="4">
        <v>5</v>
      </c>
      <c r="G6" s="14"/>
      <c r="H6" s="9"/>
    </row>
    <row r="7" spans="3:8" x14ac:dyDescent="0.25">
      <c r="C7" s="8"/>
      <c r="D7" s="2" t="s">
        <v>3865</v>
      </c>
      <c r="E7" s="2" t="s">
        <v>158</v>
      </c>
      <c r="F7" s="4"/>
      <c r="G7" s="14"/>
      <c r="H7" s="9">
        <v>369.6</v>
      </c>
    </row>
    <row r="8" spans="3:8" x14ac:dyDescent="0.25">
      <c r="C8" s="8"/>
      <c r="D8" s="2" t="s">
        <v>3866</v>
      </c>
      <c r="E8" s="2" t="s">
        <v>440</v>
      </c>
      <c r="F8" s="4">
        <v>5</v>
      </c>
      <c r="G8" s="14"/>
      <c r="H8" s="9"/>
    </row>
    <row r="9" spans="3:8" x14ac:dyDescent="0.25">
      <c r="C9" s="8"/>
      <c r="D9" s="2" t="s">
        <v>3867</v>
      </c>
      <c r="E9" s="2" t="s">
        <v>158</v>
      </c>
      <c r="F9" s="4"/>
      <c r="G9" s="14"/>
      <c r="H9" s="9">
        <v>660</v>
      </c>
    </row>
    <row r="10" spans="3:8" x14ac:dyDescent="0.25">
      <c r="C10" s="8"/>
      <c r="D10" s="2" t="s">
        <v>3868</v>
      </c>
      <c r="E10" s="2" t="s">
        <v>2881</v>
      </c>
      <c r="F10" s="4">
        <v>77</v>
      </c>
      <c r="G10" s="14"/>
      <c r="H10" s="9"/>
    </row>
    <row r="11" spans="3:8" x14ac:dyDescent="0.25">
      <c r="C11" s="8"/>
      <c r="D11" s="2" t="s">
        <v>3869</v>
      </c>
      <c r="E11" s="2" t="s">
        <v>3577</v>
      </c>
      <c r="F11" s="4"/>
      <c r="G11" s="14">
        <v>4</v>
      </c>
      <c r="H11" s="9"/>
    </row>
    <row r="12" spans="3:8" x14ac:dyDescent="0.25">
      <c r="C12" s="8"/>
      <c r="D12" s="2" t="s">
        <v>3870</v>
      </c>
      <c r="E12" s="2" t="s">
        <v>440</v>
      </c>
      <c r="F12" s="4"/>
      <c r="G12" s="14"/>
      <c r="H12" s="9">
        <v>33.5</v>
      </c>
    </row>
    <row r="13" spans="3:8" x14ac:dyDescent="0.25">
      <c r="C13" s="8"/>
      <c r="D13" s="2" t="s">
        <v>3871</v>
      </c>
      <c r="E13" s="2" t="s">
        <v>440</v>
      </c>
      <c r="F13" s="4">
        <v>20</v>
      </c>
      <c r="G13" s="14"/>
      <c r="H13" s="9"/>
    </row>
    <row r="14" spans="3:8" x14ac:dyDescent="0.25">
      <c r="C14" s="8"/>
      <c r="D14" s="2" t="s">
        <v>3872</v>
      </c>
      <c r="E14" s="2" t="s">
        <v>440</v>
      </c>
      <c r="F14" s="4"/>
      <c r="G14" s="14"/>
      <c r="H14" s="9">
        <v>24</v>
      </c>
    </row>
    <row r="15" spans="3:8" x14ac:dyDescent="0.25">
      <c r="C15" s="8"/>
      <c r="D15" s="2" t="s">
        <v>3873</v>
      </c>
      <c r="E15" s="2" t="s">
        <v>440</v>
      </c>
      <c r="F15" s="4"/>
      <c r="G15" s="14"/>
      <c r="H15" s="9">
        <v>27.5</v>
      </c>
    </row>
    <row r="16" spans="3:8" x14ac:dyDescent="0.25">
      <c r="C16" s="8"/>
      <c r="D16" s="2" t="s">
        <v>3874</v>
      </c>
      <c r="E16" s="2" t="s">
        <v>1476</v>
      </c>
      <c r="F16" s="4"/>
      <c r="G16" s="14"/>
      <c r="H16" s="9">
        <v>310</v>
      </c>
    </row>
    <row r="17" spans="3:8" x14ac:dyDescent="0.25">
      <c r="C17" s="8"/>
      <c r="D17" s="2" t="s">
        <v>3875</v>
      </c>
      <c r="E17" s="2" t="s">
        <v>440</v>
      </c>
      <c r="F17" s="4">
        <v>4</v>
      </c>
      <c r="G17" s="14"/>
      <c r="H17" s="9"/>
    </row>
    <row r="18" spans="3:8" x14ac:dyDescent="0.25">
      <c r="C18" s="8"/>
      <c r="D18" s="2" t="s">
        <v>3876</v>
      </c>
      <c r="E18" s="2" t="s">
        <v>440</v>
      </c>
      <c r="F18" s="4">
        <v>110</v>
      </c>
      <c r="G18" s="14"/>
      <c r="H18" s="9"/>
    </row>
    <row r="19" spans="3:8" x14ac:dyDescent="0.25">
      <c r="C19" s="8"/>
      <c r="D19" s="2" t="s">
        <v>3877</v>
      </c>
      <c r="E19" s="2" t="s">
        <v>440</v>
      </c>
      <c r="F19" s="4">
        <v>1</v>
      </c>
      <c r="G19" s="14"/>
      <c r="H19" s="9"/>
    </row>
    <row r="20" spans="3:8" x14ac:dyDescent="0.25">
      <c r="C20" s="8"/>
      <c r="D20" s="2" t="s">
        <v>3878</v>
      </c>
      <c r="E20" s="2" t="s">
        <v>440</v>
      </c>
      <c r="F20" s="4">
        <v>22.5</v>
      </c>
      <c r="G20" s="14"/>
      <c r="H20" s="9"/>
    </row>
    <row r="21" spans="3:8" x14ac:dyDescent="0.25">
      <c r="C21" s="8"/>
      <c r="D21" s="2" t="s">
        <v>3879</v>
      </c>
      <c r="E21" s="2" t="s">
        <v>440</v>
      </c>
      <c r="F21" s="4">
        <v>1</v>
      </c>
      <c r="G21" s="14"/>
      <c r="H21" s="9"/>
    </row>
    <row r="22" spans="3:8" x14ac:dyDescent="0.25">
      <c r="C22" s="8"/>
      <c r="D22" s="2" t="s">
        <v>3880</v>
      </c>
      <c r="E22" s="2" t="s">
        <v>440</v>
      </c>
      <c r="F22" s="4">
        <v>28.5</v>
      </c>
      <c r="G22" s="14"/>
      <c r="H22" s="9"/>
    </row>
    <row r="23" spans="3:8" x14ac:dyDescent="0.25">
      <c r="C23" s="8"/>
      <c r="D23" s="2" t="s">
        <v>3910</v>
      </c>
      <c r="E23" s="2" t="s">
        <v>440</v>
      </c>
      <c r="F23" s="4"/>
      <c r="G23" s="14"/>
      <c r="H23" s="9">
        <v>28</v>
      </c>
    </row>
    <row r="24" spans="3:8" x14ac:dyDescent="0.25">
      <c r="C24" s="8"/>
      <c r="D24" s="2" t="s">
        <v>3911</v>
      </c>
      <c r="E24" s="2" t="s">
        <v>3921</v>
      </c>
      <c r="F24" s="4"/>
      <c r="G24" s="14"/>
      <c r="H24" s="9">
        <v>242</v>
      </c>
    </row>
    <row r="25" spans="3:8" x14ac:dyDescent="0.25">
      <c r="C25" s="8"/>
      <c r="D25" s="2" t="s">
        <v>3912</v>
      </c>
      <c r="E25" s="2" t="s">
        <v>440</v>
      </c>
      <c r="F25" s="4"/>
      <c r="G25" s="14"/>
      <c r="H25" s="9">
        <v>100</v>
      </c>
    </row>
    <row r="26" spans="3:8" x14ac:dyDescent="0.25">
      <c r="C26" s="8"/>
      <c r="D26" s="2" t="s">
        <v>3913</v>
      </c>
      <c r="E26" s="2" t="s">
        <v>3920</v>
      </c>
      <c r="F26" s="4">
        <v>334.6</v>
      </c>
      <c r="G26" s="14"/>
      <c r="H26" s="9"/>
    </row>
    <row r="27" spans="3:8" x14ac:dyDescent="0.25">
      <c r="C27" s="8"/>
      <c r="D27" s="2" t="s">
        <v>3914</v>
      </c>
      <c r="E27" s="2" t="s">
        <v>1075</v>
      </c>
      <c r="F27" s="4"/>
      <c r="G27" s="14"/>
      <c r="H27" s="9">
        <v>570</v>
      </c>
    </row>
    <row r="28" spans="3:8" x14ac:dyDescent="0.25">
      <c r="C28" s="8"/>
      <c r="D28" s="2" t="s">
        <v>3915</v>
      </c>
      <c r="E28" s="2" t="s">
        <v>440</v>
      </c>
      <c r="F28" s="4"/>
      <c r="G28" s="14"/>
      <c r="H28" s="9">
        <v>6</v>
      </c>
    </row>
    <row r="29" spans="3:8" x14ac:dyDescent="0.25">
      <c r="C29" s="8"/>
      <c r="D29" s="2" t="s">
        <v>3916</v>
      </c>
      <c r="E29" s="2" t="s">
        <v>440</v>
      </c>
      <c r="F29" s="4">
        <v>7</v>
      </c>
      <c r="G29" s="14"/>
      <c r="H29" s="9"/>
    </row>
    <row r="30" spans="3:8" x14ac:dyDescent="0.25">
      <c r="C30" s="8"/>
      <c r="D30" s="2" t="s">
        <v>3917</v>
      </c>
      <c r="E30" s="2" t="s">
        <v>440</v>
      </c>
      <c r="F30" s="4">
        <v>4.5</v>
      </c>
      <c r="G30" s="14"/>
      <c r="H30" s="9"/>
    </row>
    <row r="31" spans="3:8" x14ac:dyDescent="0.25">
      <c r="C31" s="8"/>
      <c r="D31" s="2" t="s">
        <v>3918</v>
      </c>
      <c r="E31" s="2" t="s">
        <v>440</v>
      </c>
      <c r="F31" s="4">
        <v>5</v>
      </c>
      <c r="G31" s="14"/>
      <c r="H31" s="9"/>
    </row>
    <row r="32" spans="3:8" x14ac:dyDescent="0.25">
      <c r="C32" s="8"/>
      <c r="D32" s="2" t="s">
        <v>3919</v>
      </c>
      <c r="E32" s="2" t="s">
        <v>440</v>
      </c>
      <c r="F32" s="4">
        <v>7</v>
      </c>
      <c r="G32" s="14"/>
      <c r="H32" s="9"/>
    </row>
    <row r="33" spans="3:8" x14ac:dyDescent="0.25">
      <c r="C33" s="8"/>
      <c r="D33" s="2" t="s">
        <v>3936</v>
      </c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 t="s">
        <v>3881</v>
      </c>
      <c r="E35" s="2" t="s">
        <v>48</v>
      </c>
      <c r="F35" s="4">
        <v>12</v>
      </c>
      <c r="G35" s="14"/>
      <c r="H35" s="9"/>
    </row>
    <row r="36" spans="3:8" x14ac:dyDescent="0.25">
      <c r="C36" s="8"/>
      <c r="D36" s="2" t="s">
        <v>3882</v>
      </c>
      <c r="E36" s="2" t="s">
        <v>381</v>
      </c>
      <c r="F36" s="4"/>
      <c r="G36" s="14">
        <v>460.5</v>
      </c>
      <c r="H36" s="9"/>
    </row>
    <row r="37" spans="3:8" x14ac:dyDescent="0.25">
      <c r="C37" s="8"/>
      <c r="D37" s="2" t="s">
        <v>3883</v>
      </c>
      <c r="E37" s="2" t="s">
        <v>3388</v>
      </c>
      <c r="F37" s="4"/>
      <c r="G37" s="14"/>
      <c r="H37" s="9">
        <v>2577</v>
      </c>
    </row>
    <row r="38" spans="3:8" x14ac:dyDescent="0.25">
      <c r="C38" s="8"/>
      <c r="D38" s="2" t="s">
        <v>3884</v>
      </c>
      <c r="E38" s="2" t="s">
        <v>146</v>
      </c>
      <c r="F38" s="4"/>
      <c r="G38" s="14"/>
      <c r="H38" s="9">
        <v>504</v>
      </c>
    </row>
    <row r="39" spans="3:8" x14ac:dyDescent="0.25">
      <c r="C39" s="8"/>
      <c r="D39" s="2" t="s">
        <v>3885</v>
      </c>
      <c r="E39" s="2" t="s">
        <v>48</v>
      </c>
      <c r="F39" s="4"/>
      <c r="G39" s="14"/>
      <c r="H39" s="9">
        <v>2</v>
      </c>
    </row>
    <row r="40" spans="3:8" x14ac:dyDescent="0.25">
      <c r="C40" s="8"/>
      <c r="D40" s="2" t="s">
        <v>3886</v>
      </c>
      <c r="E40" s="2" t="s">
        <v>58</v>
      </c>
      <c r="F40" s="4"/>
      <c r="G40" s="14"/>
      <c r="H40" s="9">
        <v>27</v>
      </c>
    </row>
    <row r="41" spans="3:8" x14ac:dyDescent="0.25">
      <c r="C41" s="8"/>
      <c r="D41" s="2" t="s">
        <v>3887</v>
      </c>
      <c r="E41" s="2" t="s">
        <v>48</v>
      </c>
      <c r="F41" s="4">
        <v>17</v>
      </c>
      <c r="G41" s="14"/>
      <c r="H41" s="9"/>
    </row>
    <row r="42" spans="3:8" x14ac:dyDescent="0.25">
      <c r="C42" s="8"/>
      <c r="D42" s="2" t="s">
        <v>3888</v>
      </c>
      <c r="E42" s="2" t="s">
        <v>48</v>
      </c>
      <c r="F42" s="4">
        <v>31</v>
      </c>
      <c r="G42" s="14"/>
      <c r="H42" s="9"/>
    </row>
    <row r="43" spans="3:8" x14ac:dyDescent="0.25">
      <c r="C43" s="8"/>
      <c r="D43" s="2" t="s">
        <v>3889</v>
      </c>
      <c r="E43" s="2" t="s">
        <v>48</v>
      </c>
      <c r="F43" s="4">
        <v>2.5</v>
      </c>
      <c r="G43" s="14"/>
      <c r="H43" s="9"/>
    </row>
    <row r="44" spans="3:8" x14ac:dyDescent="0.25">
      <c r="C44" s="8"/>
      <c r="D44" s="2" t="s">
        <v>3890</v>
      </c>
      <c r="E44" s="2" t="s">
        <v>3909</v>
      </c>
      <c r="F44" s="4"/>
      <c r="G44" s="14"/>
      <c r="H44" s="9">
        <v>25</v>
      </c>
    </row>
    <row r="45" spans="3:8" x14ac:dyDescent="0.25">
      <c r="C45" s="8"/>
      <c r="D45" s="2" t="s">
        <v>3891</v>
      </c>
      <c r="E45" s="2" t="s">
        <v>48</v>
      </c>
      <c r="F45" s="4">
        <v>6</v>
      </c>
      <c r="G45" s="14"/>
      <c r="H45" s="9"/>
    </row>
    <row r="46" spans="3:8" x14ac:dyDescent="0.25">
      <c r="C46" s="8"/>
      <c r="D46" s="2" t="s">
        <v>3892</v>
      </c>
      <c r="E46" s="2" t="s">
        <v>48</v>
      </c>
      <c r="F46" s="4">
        <v>4.5</v>
      </c>
      <c r="G46" s="14"/>
      <c r="H46" s="9"/>
    </row>
    <row r="47" spans="3:8" x14ac:dyDescent="0.25">
      <c r="C47" s="8"/>
      <c r="D47" s="2" t="s">
        <v>3893</v>
      </c>
      <c r="E47" s="2" t="s">
        <v>48</v>
      </c>
      <c r="F47" s="4">
        <v>18</v>
      </c>
      <c r="G47" s="14"/>
      <c r="H47" s="9"/>
    </row>
    <row r="48" spans="3:8" x14ac:dyDescent="0.25">
      <c r="C48" s="8"/>
      <c r="D48" s="2" t="s">
        <v>3894</v>
      </c>
      <c r="E48" s="2" t="s">
        <v>48</v>
      </c>
      <c r="F48" s="4">
        <v>2</v>
      </c>
      <c r="G48" s="14"/>
      <c r="H48" s="9"/>
    </row>
    <row r="49" spans="3:8" x14ac:dyDescent="0.25">
      <c r="C49" s="8"/>
      <c r="D49" s="2" t="s">
        <v>3895</v>
      </c>
      <c r="E49" s="2" t="s">
        <v>48</v>
      </c>
      <c r="F49" s="4">
        <v>1.5</v>
      </c>
      <c r="G49" s="14"/>
      <c r="H49" s="9"/>
    </row>
    <row r="50" spans="3:8" x14ac:dyDescent="0.25">
      <c r="C50" s="8"/>
      <c r="D50" s="2" t="s">
        <v>3896</v>
      </c>
      <c r="E50" s="2" t="s">
        <v>48</v>
      </c>
      <c r="F50" s="4">
        <v>2</v>
      </c>
      <c r="G50" s="14"/>
      <c r="H50" s="9"/>
    </row>
    <row r="51" spans="3:8" x14ac:dyDescent="0.25">
      <c r="C51" s="8"/>
      <c r="D51" s="2" t="s">
        <v>3897</v>
      </c>
      <c r="E51" s="2" t="s">
        <v>48</v>
      </c>
      <c r="F51" s="4">
        <v>40</v>
      </c>
      <c r="G51" s="14"/>
      <c r="H51" s="9"/>
    </row>
    <row r="52" spans="3:8" x14ac:dyDescent="0.25">
      <c r="C52" s="8"/>
      <c r="D52" s="2" t="s">
        <v>3898</v>
      </c>
      <c r="E52" s="2" t="s">
        <v>158</v>
      </c>
      <c r="F52" s="4">
        <v>46.5</v>
      </c>
      <c r="G52" s="14"/>
      <c r="H52" s="9"/>
    </row>
    <row r="53" spans="3:8" x14ac:dyDescent="0.25">
      <c r="C53" s="8"/>
      <c r="D53" s="2" t="s">
        <v>3899</v>
      </c>
      <c r="E53" s="2" t="s">
        <v>48</v>
      </c>
      <c r="F53" s="4">
        <v>5</v>
      </c>
      <c r="G53" s="14"/>
      <c r="H53" s="9"/>
    </row>
    <row r="54" spans="3:8" x14ac:dyDescent="0.25">
      <c r="C54" s="8"/>
      <c r="D54" s="2" t="s">
        <v>3900</v>
      </c>
      <c r="E54" s="2" t="s">
        <v>3908</v>
      </c>
      <c r="F54" s="4">
        <v>7.5</v>
      </c>
      <c r="G54" s="14"/>
      <c r="H54" s="9"/>
    </row>
    <row r="55" spans="3:8" x14ac:dyDescent="0.25">
      <c r="C55" s="8"/>
      <c r="D55" s="2" t="s">
        <v>3901</v>
      </c>
      <c r="E55" s="2" t="s">
        <v>48</v>
      </c>
      <c r="F55" s="4">
        <v>5.5</v>
      </c>
      <c r="G55" s="14"/>
      <c r="H55" s="9"/>
    </row>
    <row r="56" spans="3:8" x14ac:dyDescent="0.25">
      <c r="C56" s="8"/>
      <c r="D56" s="2" t="s">
        <v>3902</v>
      </c>
      <c r="E56" s="2" t="s">
        <v>48</v>
      </c>
      <c r="F56" s="4"/>
      <c r="G56" s="14"/>
      <c r="H56" s="9">
        <v>17</v>
      </c>
    </row>
    <row r="57" spans="3:8" x14ac:dyDescent="0.25">
      <c r="C57" s="8"/>
      <c r="D57" s="2" t="s">
        <v>3903</v>
      </c>
      <c r="E57" s="2" t="s">
        <v>285</v>
      </c>
      <c r="F57" s="4"/>
      <c r="G57" s="14">
        <v>7265.5</v>
      </c>
      <c r="H57" s="9"/>
    </row>
    <row r="58" spans="3:8" x14ac:dyDescent="0.25">
      <c r="C58" s="8"/>
      <c r="D58" s="2" t="s">
        <v>3904</v>
      </c>
      <c r="E58" s="2" t="s">
        <v>3922</v>
      </c>
      <c r="F58" s="4">
        <v>500</v>
      </c>
      <c r="G58" s="14"/>
      <c r="H58" s="9">
        <v>1200</v>
      </c>
    </row>
    <row r="59" spans="3:8" x14ac:dyDescent="0.25">
      <c r="C59" s="8"/>
      <c r="D59" s="2" t="s">
        <v>3905</v>
      </c>
      <c r="E59" s="2" t="s">
        <v>3909</v>
      </c>
      <c r="F59" s="4"/>
      <c r="G59" s="14"/>
      <c r="H59" s="9">
        <v>248</v>
      </c>
    </row>
    <row r="60" spans="3:8" x14ac:dyDescent="0.25">
      <c r="C60" s="8"/>
      <c r="D60" s="2" t="s">
        <v>3927</v>
      </c>
      <c r="E60" s="2" t="s">
        <v>48</v>
      </c>
      <c r="F60" s="4">
        <v>17</v>
      </c>
      <c r="G60" s="14"/>
      <c r="H60" s="9"/>
    </row>
    <row r="61" spans="3:8" x14ac:dyDescent="0.25">
      <c r="C61" s="8"/>
      <c r="D61" s="2" t="s">
        <v>3963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3862</v>
      </c>
      <c r="E67" s="68" t="s">
        <v>3863</v>
      </c>
      <c r="F67" s="4">
        <v>391</v>
      </c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4"/>
    </row>
    <row r="70" spans="3:8" x14ac:dyDescent="0.25">
      <c r="C70" s="8"/>
      <c r="D70" s="2"/>
      <c r="E70" s="68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68" t="s">
        <v>3906</v>
      </c>
      <c r="F72" s="4">
        <v>1317.6</v>
      </c>
      <c r="G72" s="14"/>
      <c r="H72" s="9"/>
    </row>
    <row r="73" spans="3:8" x14ac:dyDescent="0.25">
      <c r="C73" s="8"/>
      <c r="D73" s="2"/>
      <c r="E73" s="68" t="s">
        <v>3907</v>
      </c>
      <c r="F73" s="4">
        <v>5994</v>
      </c>
      <c r="G73" s="14"/>
      <c r="H73" s="9"/>
    </row>
    <row r="74" spans="3:8" x14ac:dyDescent="0.25">
      <c r="C74" s="8"/>
      <c r="D74" s="2"/>
      <c r="E74" s="68" t="s">
        <v>3235</v>
      </c>
      <c r="F74" s="4">
        <v>5</v>
      </c>
      <c r="G74" s="14"/>
      <c r="H74" s="9"/>
    </row>
    <row r="75" spans="3:8" x14ac:dyDescent="0.25">
      <c r="C75" s="8"/>
      <c r="D75" s="2"/>
      <c r="E75" s="68" t="s">
        <v>3929</v>
      </c>
      <c r="F75" s="4">
        <v>250</v>
      </c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19"/>
      <c r="D77" s="20"/>
      <c r="E77" s="20" t="s">
        <v>42</v>
      </c>
      <c r="F77" s="4"/>
      <c r="G77" s="14"/>
      <c r="H77" s="9"/>
    </row>
    <row r="78" spans="3:8" x14ac:dyDescent="0.25">
      <c r="C78" s="34"/>
      <c r="D78" s="42"/>
      <c r="E78" s="2" t="s">
        <v>3860</v>
      </c>
      <c r="F78" s="14">
        <v>-96</v>
      </c>
      <c r="G78" s="14"/>
      <c r="H78" s="9"/>
    </row>
    <row r="79" spans="3:8" x14ac:dyDescent="0.25">
      <c r="C79" s="8"/>
      <c r="D79" s="2"/>
      <c r="E79" s="2" t="s">
        <v>3861</v>
      </c>
      <c r="F79" s="14">
        <v>-675</v>
      </c>
      <c r="G79" s="14"/>
      <c r="H79" s="9"/>
    </row>
    <row r="80" spans="3:8" x14ac:dyDescent="0.25">
      <c r="C80" s="8"/>
      <c r="D80" s="2"/>
      <c r="E80" s="2" t="s">
        <v>478</v>
      </c>
      <c r="F80" s="14">
        <v>-50</v>
      </c>
      <c r="G80" s="14"/>
      <c r="H80" s="9"/>
    </row>
    <row r="81" spans="3:8" x14ac:dyDescent="0.25">
      <c r="C81" s="8"/>
      <c r="D81" s="2"/>
      <c r="E81" s="2" t="s">
        <v>2609</v>
      </c>
      <c r="F81" s="14">
        <v>-100</v>
      </c>
      <c r="G81" s="14"/>
      <c r="H81" s="9"/>
    </row>
    <row r="82" spans="3:8" x14ac:dyDescent="0.25">
      <c r="C82" s="8"/>
      <c r="D82" s="2"/>
      <c r="E82" s="2" t="s">
        <v>1252</v>
      </c>
      <c r="F82" s="14">
        <v>-200</v>
      </c>
      <c r="G82" s="14"/>
      <c r="H82" s="9"/>
    </row>
    <row r="83" spans="3:8" x14ac:dyDescent="0.25">
      <c r="C83" s="8"/>
      <c r="D83" s="2"/>
      <c r="E83" s="2" t="s">
        <v>3923</v>
      </c>
      <c r="F83" s="14">
        <v>-7488.96</v>
      </c>
      <c r="G83" s="14"/>
      <c r="H83" s="9"/>
    </row>
    <row r="84" spans="3:8" ht="30" x14ac:dyDescent="0.25">
      <c r="C84" s="8"/>
      <c r="D84" s="2"/>
      <c r="E84" s="37" t="s">
        <v>3924</v>
      </c>
      <c r="F84" s="14">
        <v>-1500</v>
      </c>
      <c r="G84" s="14"/>
      <c r="H84" s="9"/>
    </row>
    <row r="85" spans="3:8" x14ac:dyDescent="0.25">
      <c r="C85" s="8"/>
      <c r="D85" s="2"/>
      <c r="E85" s="37" t="s">
        <v>3925</v>
      </c>
      <c r="F85" s="14">
        <v>-90</v>
      </c>
      <c r="G85" s="14"/>
      <c r="H85" s="9"/>
    </row>
    <row r="86" spans="3:8" x14ac:dyDescent="0.25">
      <c r="C86" s="8"/>
      <c r="D86" s="2"/>
      <c r="E86" s="37" t="s">
        <v>3926</v>
      </c>
      <c r="F86" s="14">
        <v>-20</v>
      </c>
      <c r="G86" s="14"/>
      <c r="H86" s="9"/>
    </row>
    <row r="87" spans="3:8" x14ac:dyDescent="0.25">
      <c r="C87" s="8"/>
      <c r="D87" s="2"/>
      <c r="E87" s="37" t="s">
        <v>1468</v>
      </c>
      <c r="F87" s="14">
        <v>-100</v>
      </c>
      <c r="G87" s="14"/>
      <c r="H87" s="9"/>
    </row>
    <row r="88" spans="3:8" x14ac:dyDescent="0.25">
      <c r="C88" s="8"/>
      <c r="D88" s="2"/>
      <c r="E88" s="37" t="s">
        <v>3928</v>
      </c>
      <c r="F88" s="14">
        <v>-1500</v>
      </c>
      <c r="G88" s="14"/>
      <c r="H88" s="9"/>
    </row>
    <row r="89" spans="3:8" x14ac:dyDescent="0.25">
      <c r="C89" s="8"/>
      <c r="D89" s="2"/>
      <c r="E89" s="2"/>
      <c r="F89" s="1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ht="15.75" thickBot="1" x14ac:dyDescent="0.3">
      <c r="C91" s="10"/>
      <c r="D91" s="11"/>
      <c r="E91" s="11" t="s">
        <v>44</v>
      </c>
      <c r="F91" s="12">
        <f>SUM(F6:F90)</f>
        <v>-2512.2599999999993</v>
      </c>
      <c r="G91" s="15">
        <f>SUM(G6:G90)</f>
        <v>7730</v>
      </c>
      <c r="H91" s="13">
        <f>SUM(H6:H90)</f>
        <v>6970.6</v>
      </c>
    </row>
    <row r="94" spans="3:8" s="3" customFormat="1" ht="18.75" x14ac:dyDescent="0.3">
      <c r="C94" s="1"/>
      <c r="D94" s="1"/>
      <c r="E94" s="38" t="s">
        <v>49</v>
      </c>
      <c r="F94" s="39">
        <f>+H4+F91</f>
        <v>16695.730000000003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6747-5A7B-4C9C-9EFF-EF242CD90890}">
  <sheetPr codeName="Hoja44"/>
  <dimension ref="C2:H98"/>
  <sheetViews>
    <sheetView topLeftCell="A71" zoomScale="95" zoomScaleNormal="95" workbookViewId="0">
      <selection activeCell="F98" sqref="F98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59.14062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3935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16695.73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3936</v>
      </c>
      <c r="E6" s="2" t="s">
        <v>2093</v>
      </c>
      <c r="F6" s="4"/>
      <c r="G6" s="14"/>
      <c r="H6" s="9">
        <v>224</v>
      </c>
    </row>
    <row r="7" spans="3:8" x14ac:dyDescent="0.25">
      <c r="C7" s="8"/>
      <c r="D7" s="2" t="s">
        <v>3937</v>
      </c>
      <c r="E7" s="2" t="s">
        <v>3962</v>
      </c>
      <c r="F7" s="4">
        <v>356</v>
      </c>
      <c r="G7" s="14"/>
      <c r="H7" s="9"/>
    </row>
    <row r="8" spans="3:8" x14ac:dyDescent="0.25">
      <c r="C8" s="8"/>
      <c r="D8" s="2" t="s">
        <v>3938</v>
      </c>
      <c r="E8" s="2" t="s">
        <v>440</v>
      </c>
      <c r="F8" s="4">
        <v>57</v>
      </c>
      <c r="G8" s="14"/>
      <c r="H8" s="9"/>
    </row>
    <row r="9" spans="3:8" x14ac:dyDescent="0.25">
      <c r="C9" s="8"/>
      <c r="D9" s="2" t="s">
        <v>3939</v>
      </c>
      <c r="E9" s="2" t="s">
        <v>3961</v>
      </c>
      <c r="F9" s="4">
        <v>1059</v>
      </c>
      <c r="G9" s="14"/>
      <c r="H9" s="9"/>
    </row>
    <row r="10" spans="3:8" x14ac:dyDescent="0.25">
      <c r="C10" s="8"/>
      <c r="D10" s="2" t="s">
        <v>3940</v>
      </c>
      <c r="E10" s="2" t="s">
        <v>440</v>
      </c>
      <c r="F10" s="4"/>
      <c r="G10" s="14"/>
      <c r="H10" s="9">
        <v>10</v>
      </c>
    </row>
    <row r="11" spans="3:8" x14ac:dyDescent="0.25">
      <c r="C11" s="8"/>
      <c r="D11" s="2" t="s">
        <v>3941</v>
      </c>
      <c r="E11" s="2" t="s">
        <v>440</v>
      </c>
      <c r="F11" s="4">
        <v>15</v>
      </c>
      <c r="G11" s="14"/>
      <c r="H11" s="9"/>
    </row>
    <row r="12" spans="3:8" x14ac:dyDescent="0.25">
      <c r="C12" s="8"/>
      <c r="D12" s="2" t="s">
        <v>3942</v>
      </c>
      <c r="E12" s="2" t="s">
        <v>440</v>
      </c>
      <c r="F12" s="4"/>
      <c r="G12" s="14"/>
      <c r="H12" s="9">
        <v>21</v>
      </c>
    </row>
    <row r="13" spans="3:8" x14ac:dyDescent="0.25">
      <c r="C13" s="8"/>
      <c r="D13" s="2" t="s">
        <v>3943</v>
      </c>
      <c r="E13" s="2" t="s">
        <v>440</v>
      </c>
      <c r="F13" s="4"/>
      <c r="G13" s="14"/>
      <c r="H13" s="9">
        <v>20.3</v>
      </c>
    </row>
    <row r="14" spans="3:8" x14ac:dyDescent="0.25">
      <c r="C14" s="8"/>
      <c r="D14" s="2" t="s">
        <v>3944</v>
      </c>
      <c r="E14" s="2" t="s">
        <v>440</v>
      </c>
      <c r="F14" s="4">
        <v>28</v>
      </c>
      <c r="G14" s="14"/>
      <c r="H14" s="9"/>
    </row>
    <row r="15" spans="3:8" x14ac:dyDescent="0.25">
      <c r="C15" s="8"/>
      <c r="D15" s="2" t="s">
        <v>3945</v>
      </c>
      <c r="E15" s="2" t="s">
        <v>440</v>
      </c>
      <c r="F15" s="4">
        <v>50</v>
      </c>
      <c r="G15" s="14"/>
      <c r="H15" s="9"/>
    </row>
    <row r="16" spans="3:8" x14ac:dyDescent="0.25">
      <c r="C16" s="8"/>
      <c r="D16" s="2" t="s">
        <v>3946</v>
      </c>
      <c r="E16" s="2" t="s">
        <v>440</v>
      </c>
      <c r="F16" s="4">
        <v>29</v>
      </c>
      <c r="G16" s="14"/>
      <c r="H16" s="9"/>
    </row>
    <row r="17" spans="3:8" x14ac:dyDescent="0.25">
      <c r="C17" s="8"/>
      <c r="D17" s="2" t="s">
        <v>3947</v>
      </c>
      <c r="E17" s="2" t="s">
        <v>3960</v>
      </c>
      <c r="F17" s="4">
        <v>820</v>
      </c>
      <c r="G17" s="14"/>
      <c r="H17" s="9"/>
    </row>
    <row r="18" spans="3:8" x14ac:dyDescent="0.25">
      <c r="C18" s="8"/>
      <c r="D18" s="2" t="s">
        <v>3948</v>
      </c>
      <c r="E18" s="2" t="s">
        <v>1598</v>
      </c>
      <c r="F18" s="4">
        <v>404.4</v>
      </c>
      <c r="G18" s="14"/>
      <c r="H18" s="9"/>
    </row>
    <row r="19" spans="3:8" x14ac:dyDescent="0.25">
      <c r="C19" s="8"/>
      <c r="D19" s="2" t="s">
        <v>3949</v>
      </c>
      <c r="E19" s="2" t="s">
        <v>440</v>
      </c>
      <c r="F19" s="4">
        <v>27</v>
      </c>
      <c r="G19" s="14"/>
      <c r="H19" s="9"/>
    </row>
    <row r="20" spans="3:8" x14ac:dyDescent="0.25">
      <c r="C20" s="8"/>
      <c r="D20" s="2" t="s">
        <v>3950</v>
      </c>
      <c r="E20" s="2" t="s">
        <v>440</v>
      </c>
      <c r="F20" s="4">
        <v>1</v>
      </c>
      <c r="G20" s="14"/>
      <c r="H20" s="9"/>
    </row>
    <row r="21" spans="3:8" x14ac:dyDescent="0.25">
      <c r="C21" s="8"/>
      <c r="D21" s="2" t="s">
        <v>3951</v>
      </c>
      <c r="E21" s="2" t="s">
        <v>440</v>
      </c>
      <c r="F21" s="4"/>
      <c r="G21" s="14"/>
      <c r="H21" s="9">
        <v>141.30000000000001</v>
      </c>
    </row>
    <row r="22" spans="3:8" x14ac:dyDescent="0.25">
      <c r="C22" s="8"/>
      <c r="D22" s="2" t="s">
        <v>3952</v>
      </c>
      <c r="E22" s="2" t="s">
        <v>440</v>
      </c>
      <c r="F22" s="4">
        <v>4</v>
      </c>
      <c r="G22" s="14"/>
      <c r="H22" s="9"/>
    </row>
    <row r="23" spans="3:8" x14ac:dyDescent="0.25">
      <c r="C23" s="8"/>
      <c r="D23" s="2" t="s">
        <v>3953</v>
      </c>
      <c r="E23" s="2" t="s">
        <v>440</v>
      </c>
      <c r="F23" s="4">
        <v>2</v>
      </c>
      <c r="G23" s="14"/>
      <c r="H23" s="9"/>
    </row>
    <row r="24" spans="3:8" x14ac:dyDescent="0.25">
      <c r="C24" s="8"/>
      <c r="D24" s="2" t="s">
        <v>3954</v>
      </c>
      <c r="E24" s="2" t="s">
        <v>1476</v>
      </c>
      <c r="F24" s="4"/>
      <c r="G24" s="14">
        <v>20</v>
      </c>
      <c r="H24" s="9"/>
    </row>
    <row r="25" spans="3:8" x14ac:dyDescent="0.25">
      <c r="C25" s="8"/>
      <c r="D25" s="2" t="s">
        <v>3955</v>
      </c>
      <c r="E25" s="2" t="s">
        <v>440</v>
      </c>
      <c r="F25" s="4">
        <v>10</v>
      </c>
      <c r="G25" s="14"/>
      <c r="H25" s="9"/>
    </row>
    <row r="26" spans="3:8" x14ac:dyDescent="0.25">
      <c r="C26" s="8"/>
      <c r="D26" s="2" t="s">
        <v>3956</v>
      </c>
      <c r="E26" s="2" t="s">
        <v>440</v>
      </c>
      <c r="F26" s="4">
        <v>4.5</v>
      </c>
      <c r="G26" s="14"/>
      <c r="H26" s="9"/>
    </row>
    <row r="27" spans="3:8" x14ac:dyDescent="0.25">
      <c r="C27" s="8"/>
      <c r="D27" s="2" t="s">
        <v>3957</v>
      </c>
      <c r="E27" s="2" t="s">
        <v>3959</v>
      </c>
      <c r="F27" s="4">
        <v>7047.5</v>
      </c>
      <c r="G27" s="14"/>
      <c r="H27" s="9"/>
    </row>
    <row r="28" spans="3:8" x14ac:dyDescent="0.25">
      <c r="C28" s="8"/>
      <c r="D28" s="2" t="s">
        <v>3958</v>
      </c>
      <c r="E28" s="2" t="s">
        <v>440</v>
      </c>
      <c r="F28" s="4">
        <v>10</v>
      </c>
      <c r="G28" s="14"/>
      <c r="H28" s="9"/>
    </row>
    <row r="29" spans="3:8" x14ac:dyDescent="0.25">
      <c r="C29" s="8"/>
      <c r="D29" s="2" t="s">
        <v>4007</v>
      </c>
      <c r="E29" s="2" t="s">
        <v>440</v>
      </c>
      <c r="F29" s="4">
        <v>45.5</v>
      </c>
      <c r="G29" s="14"/>
      <c r="H29" s="9"/>
    </row>
    <row r="30" spans="3:8" x14ac:dyDescent="0.25">
      <c r="C30" s="8"/>
      <c r="D30" s="2" t="s">
        <v>4008</v>
      </c>
      <c r="E30" s="2" t="s">
        <v>440</v>
      </c>
      <c r="F30" s="4">
        <v>17</v>
      </c>
      <c r="G30" s="14"/>
      <c r="H30" s="9"/>
    </row>
    <row r="31" spans="3:8" x14ac:dyDescent="0.25">
      <c r="C31" s="8"/>
      <c r="D31" s="2" t="s">
        <v>4015</v>
      </c>
      <c r="E31" s="2" t="s">
        <v>440</v>
      </c>
      <c r="F31" s="4">
        <v>4</v>
      </c>
      <c r="G31" s="14"/>
      <c r="H31" s="9"/>
    </row>
    <row r="32" spans="3:8" x14ac:dyDescent="0.25">
      <c r="C32" s="8"/>
      <c r="D32" s="2" t="s">
        <v>4017</v>
      </c>
      <c r="E32" s="2"/>
      <c r="F32" s="4"/>
      <c r="G32" s="14"/>
      <c r="H32" s="9"/>
    </row>
    <row r="33" spans="3:8" x14ac:dyDescent="0.25">
      <c r="C33" s="8"/>
      <c r="D33" s="2" t="s">
        <v>3963</v>
      </c>
      <c r="E33" s="2" t="s">
        <v>48</v>
      </c>
      <c r="F33" s="4">
        <v>9</v>
      </c>
      <c r="G33" s="14"/>
      <c r="H33" s="9"/>
    </row>
    <row r="34" spans="3:8" x14ac:dyDescent="0.25">
      <c r="C34" s="8"/>
      <c r="D34" s="2" t="s">
        <v>3964</v>
      </c>
      <c r="E34" s="2" t="s">
        <v>48</v>
      </c>
      <c r="F34" s="4">
        <v>59</v>
      </c>
      <c r="G34" s="14"/>
      <c r="H34" s="9"/>
    </row>
    <row r="35" spans="3:8" x14ac:dyDescent="0.25">
      <c r="C35" s="8"/>
      <c r="D35" s="2" t="s">
        <v>3965</v>
      </c>
      <c r="E35" s="2" t="s">
        <v>955</v>
      </c>
      <c r="F35" s="4"/>
      <c r="G35" s="14"/>
      <c r="H35" s="9">
        <v>3010.5</v>
      </c>
    </row>
    <row r="36" spans="3:8" x14ac:dyDescent="0.25">
      <c r="C36" s="8"/>
      <c r="D36" s="2" t="s">
        <v>3966</v>
      </c>
      <c r="E36" s="2" t="s">
        <v>48</v>
      </c>
      <c r="F36" s="4"/>
      <c r="G36" s="14"/>
      <c r="H36" s="9">
        <v>263.5</v>
      </c>
    </row>
    <row r="37" spans="3:8" x14ac:dyDescent="0.25">
      <c r="C37" s="8"/>
      <c r="D37" s="2" t="s">
        <v>3967</v>
      </c>
      <c r="E37" s="2" t="s">
        <v>3998</v>
      </c>
      <c r="F37" s="4"/>
      <c r="G37" s="14"/>
      <c r="H37" s="9">
        <v>6060</v>
      </c>
    </row>
    <row r="38" spans="3:8" x14ac:dyDescent="0.25">
      <c r="C38" s="8"/>
      <c r="D38" s="2" t="s">
        <v>3968</v>
      </c>
      <c r="E38" s="2" t="s">
        <v>3997</v>
      </c>
      <c r="F38" s="4"/>
      <c r="G38" s="14">
        <v>9736.5</v>
      </c>
      <c r="H38" s="9"/>
    </row>
    <row r="39" spans="3:8" x14ac:dyDescent="0.25">
      <c r="C39" s="8"/>
      <c r="D39" s="2" t="s">
        <v>3969</v>
      </c>
      <c r="E39" s="2" t="s">
        <v>3996</v>
      </c>
      <c r="F39" s="4"/>
      <c r="G39" s="14"/>
      <c r="H39" s="9">
        <v>100</v>
      </c>
    </row>
    <row r="40" spans="3:8" x14ac:dyDescent="0.25">
      <c r="C40" s="8"/>
      <c r="D40" s="2" t="s">
        <v>3970</v>
      </c>
      <c r="E40" s="2" t="s">
        <v>3995</v>
      </c>
      <c r="F40" s="4"/>
      <c r="G40" s="14"/>
      <c r="H40" s="9">
        <v>2</v>
      </c>
    </row>
    <row r="41" spans="3:8" x14ac:dyDescent="0.25">
      <c r="C41" s="8"/>
      <c r="D41" s="2" t="s">
        <v>3971</v>
      </c>
      <c r="E41" s="2" t="s">
        <v>285</v>
      </c>
      <c r="F41" s="4"/>
      <c r="G41" s="14">
        <v>22.5</v>
      </c>
      <c r="H41" s="9"/>
    </row>
    <row r="42" spans="3:8" x14ac:dyDescent="0.25">
      <c r="C42" s="8"/>
      <c r="D42" s="2" t="s">
        <v>3972</v>
      </c>
      <c r="E42" s="2" t="s">
        <v>3994</v>
      </c>
      <c r="F42" s="4">
        <v>194.5</v>
      </c>
      <c r="G42" s="14"/>
      <c r="H42" s="9">
        <v>300</v>
      </c>
    </row>
    <row r="43" spans="3:8" x14ac:dyDescent="0.25">
      <c r="C43" s="8"/>
      <c r="D43" s="2" t="s">
        <v>3973</v>
      </c>
      <c r="E43" s="2" t="s">
        <v>955</v>
      </c>
      <c r="F43" s="4"/>
      <c r="G43" s="14"/>
      <c r="H43" s="9">
        <v>8.5</v>
      </c>
    </row>
    <row r="44" spans="3:8" x14ac:dyDescent="0.25">
      <c r="C44" s="8"/>
      <c r="D44" s="2" t="s">
        <v>3974</v>
      </c>
      <c r="E44" s="2" t="s">
        <v>48</v>
      </c>
      <c r="F44" s="4">
        <v>7</v>
      </c>
      <c r="G44" s="14"/>
      <c r="H44" s="9"/>
    </row>
    <row r="45" spans="3:8" x14ac:dyDescent="0.25">
      <c r="C45" s="8"/>
      <c r="D45" s="2" t="s">
        <v>3975</v>
      </c>
      <c r="E45" s="2" t="s">
        <v>285</v>
      </c>
      <c r="F45" s="4"/>
      <c r="G45" s="14">
        <v>42.5</v>
      </c>
      <c r="H45" s="9"/>
    </row>
    <row r="46" spans="3:8" x14ac:dyDescent="0.25">
      <c r="C46" s="8"/>
      <c r="D46" s="2" t="s">
        <v>3976</v>
      </c>
      <c r="E46" s="2" t="s">
        <v>48</v>
      </c>
      <c r="F46" s="4">
        <v>1</v>
      </c>
      <c r="G46" s="14"/>
      <c r="H46" s="9"/>
    </row>
    <row r="47" spans="3:8" x14ac:dyDescent="0.25">
      <c r="C47" s="8"/>
      <c r="D47" s="2" t="s">
        <v>3977</v>
      </c>
      <c r="E47" s="2" t="s">
        <v>48</v>
      </c>
      <c r="F47" s="4">
        <v>5.5</v>
      </c>
      <c r="G47" s="14"/>
      <c r="H47" s="9"/>
    </row>
    <row r="48" spans="3:8" x14ac:dyDescent="0.25">
      <c r="C48" s="8"/>
      <c r="D48" s="2" t="s">
        <v>3978</v>
      </c>
      <c r="E48" s="2" t="s">
        <v>48</v>
      </c>
      <c r="F48" s="4"/>
      <c r="G48" s="14"/>
      <c r="H48" s="9">
        <v>10.5</v>
      </c>
    </row>
    <row r="49" spans="3:8" x14ac:dyDescent="0.25">
      <c r="C49" s="8"/>
      <c r="D49" s="2" t="s">
        <v>3979</v>
      </c>
      <c r="E49" s="2" t="s">
        <v>48</v>
      </c>
      <c r="F49" s="4"/>
      <c r="G49" s="14"/>
      <c r="H49" s="9">
        <v>3.5</v>
      </c>
    </row>
    <row r="50" spans="3:8" x14ac:dyDescent="0.25">
      <c r="C50" s="8"/>
      <c r="D50" s="2" t="s">
        <v>3980</v>
      </c>
      <c r="E50" s="2" t="s">
        <v>3993</v>
      </c>
      <c r="F50" s="4">
        <v>200</v>
      </c>
      <c r="G50" s="14"/>
      <c r="H50" s="9">
        <v>152</v>
      </c>
    </row>
    <row r="51" spans="3:8" x14ac:dyDescent="0.25">
      <c r="C51" s="8"/>
      <c r="D51" s="2" t="s">
        <v>3981</v>
      </c>
      <c r="E51" s="2" t="s">
        <v>48</v>
      </c>
      <c r="F51" s="4"/>
      <c r="G51" s="14"/>
      <c r="H51" s="9">
        <v>30</v>
      </c>
    </row>
    <row r="52" spans="3:8" x14ac:dyDescent="0.25">
      <c r="C52" s="8"/>
      <c r="D52" s="2" t="s">
        <v>3982</v>
      </c>
      <c r="E52" s="2" t="s">
        <v>3992</v>
      </c>
      <c r="F52" s="4"/>
      <c r="G52" s="14">
        <v>984</v>
      </c>
      <c r="H52" s="9"/>
    </row>
    <row r="53" spans="3:8" x14ac:dyDescent="0.25">
      <c r="C53" s="8"/>
      <c r="D53" s="2" t="s">
        <v>3983</v>
      </c>
      <c r="E53" s="2" t="s">
        <v>48</v>
      </c>
      <c r="F53" s="4">
        <v>5</v>
      </c>
      <c r="G53" s="14"/>
      <c r="H53" s="9"/>
    </row>
    <row r="54" spans="3:8" x14ac:dyDescent="0.25">
      <c r="C54" s="8"/>
      <c r="D54" s="2" t="s">
        <v>3984</v>
      </c>
      <c r="E54" s="2" t="s">
        <v>48</v>
      </c>
      <c r="F54" s="4">
        <v>25.5</v>
      </c>
      <c r="G54" s="14"/>
      <c r="H54" s="9"/>
    </row>
    <row r="55" spans="3:8" x14ac:dyDescent="0.25">
      <c r="C55" s="8"/>
      <c r="D55" s="2" t="s">
        <v>3985</v>
      </c>
      <c r="E55" s="2" t="s">
        <v>48</v>
      </c>
      <c r="F55" s="4">
        <v>10</v>
      </c>
      <c r="G55" s="14"/>
      <c r="H55" s="9"/>
    </row>
    <row r="56" spans="3:8" x14ac:dyDescent="0.25">
      <c r="C56" s="8"/>
      <c r="D56" s="2" t="s">
        <v>3986</v>
      </c>
      <c r="E56" s="2" t="s">
        <v>48</v>
      </c>
      <c r="F56" s="4"/>
      <c r="G56" s="14"/>
      <c r="H56" s="9">
        <v>23.5</v>
      </c>
    </row>
    <row r="57" spans="3:8" x14ac:dyDescent="0.25">
      <c r="C57" s="8"/>
      <c r="D57" s="2" t="s">
        <v>3987</v>
      </c>
      <c r="E57" s="2" t="s">
        <v>3388</v>
      </c>
      <c r="F57" s="4"/>
      <c r="G57" s="14"/>
      <c r="H57" s="9">
        <v>1895</v>
      </c>
    </row>
    <row r="58" spans="3:8" x14ac:dyDescent="0.25">
      <c r="C58" s="8"/>
      <c r="D58" s="2" t="s">
        <v>3988</v>
      </c>
      <c r="E58" s="2" t="s">
        <v>2762</v>
      </c>
      <c r="F58" s="4"/>
      <c r="G58" s="14">
        <v>1142</v>
      </c>
      <c r="H58" s="9"/>
    </row>
    <row r="59" spans="3:8" x14ac:dyDescent="0.25">
      <c r="C59" s="8"/>
      <c r="D59" s="2" t="s">
        <v>3989</v>
      </c>
      <c r="E59" s="2" t="s">
        <v>955</v>
      </c>
      <c r="F59" s="4"/>
      <c r="G59" s="14"/>
      <c r="H59" s="9">
        <v>300</v>
      </c>
    </row>
    <row r="60" spans="3:8" x14ac:dyDescent="0.25">
      <c r="C60" s="8"/>
      <c r="D60" s="2" t="s">
        <v>3990</v>
      </c>
      <c r="E60" s="2" t="s">
        <v>48</v>
      </c>
      <c r="F60" s="4">
        <v>5</v>
      </c>
      <c r="G60" s="14"/>
      <c r="H60" s="9"/>
    </row>
    <row r="61" spans="3:8" x14ac:dyDescent="0.25">
      <c r="C61" s="8"/>
      <c r="D61" s="2" t="s">
        <v>3991</v>
      </c>
      <c r="E61" s="2" t="s">
        <v>48</v>
      </c>
      <c r="F61" s="4">
        <v>5.5</v>
      </c>
      <c r="G61" s="14"/>
      <c r="H61" s="9"/>
    </row>
    <row r="62" spans="3:8" x14ac:dyDescent="0.25">
      <c r="C62" s="8"/>
      <c r="D62" s="2" t="s">
        <v>4041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29"/>
      <c r="D65" s="30"/>
      <c r="E65" s="30" t="s">
        <v>60</v>
      </c>
      <c r="F65" s="4"/>
      <c r="G65" s="14"/>
      <c r="H65" s="9"/>
    </row>
    <row r="66" spans="3:8" x14ac:dyDescent="0.25">
      <c r="C66" s="8"/>
      <c r="D66" s="45" t="s">
        <v>3934</v>
      </c>
      <c r="E66" s="68" t="s">
        <v>3933</v>
      </c>
      <c r="F66" s="4"/>
      <c r="G66" s="14"/>
      <c r="H66" s="9">
        <v>1980</v>
      </c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4"/>
    </row>
    <row r="69" spans="3:8" x14ac:dyDescent="0.25">
      <c r="C69" s="8"/>
      <c r="D69" s="2"/>
      <c r="E69" s="68"/>
      <c r="F69" s="4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68" t="s">
        <v>3999</v>
      </c>
      <c r="F71" s="4">
        <v>2880</v>
      </c>
      <c r="G71" s="14"/>
      <c r="H71" s="9"/>
    </row>
    <row r="72" spans="3:8" x14ac:dyDescent="0.25">
      <c r="C72" s="8"/>
      <c r="D72" s="2"/>
      <c r="E72" s="68" t="s">
        <v>4001</v>
      </c>
      <c r="F72" s="4">
        <v>2880</v>
      </c>
      <c r="G72" s="14"/>
      <c r="H72" s="9"/>
    </row>
    <row r="73" spans="3:8" x14ac:dyDescent="0.25">
      <c r="C73" s="8"/>
      <c r="D73" s="2"/>
      <c r="E73" s="68" t="s">
        <v>4002</v>
      </c>
      <c r="F73" s="4">
        <v>2304</v>
      </c>
      <c r="G73" s="14"/>
      <c r="H73" s="9"/>
    </row>
    <row r="74" spans="3:8" x14ac:dyDescent="0.25">
      <c r="C74" s="8"/>
      <c r="D74" s="2"/>
      <c r="E74" s="68" t="s">
        <v>4000</v>
      </c>
      <c r="F74" s="4">
        <v>30.5</v>
      </c>
      <c r="G74" s="14"/>
      <c r="H74" s="9"/>
    </row>
    <row r="75" spans="3:8" x14ac:dyDescent="0.25">
      <c r="C75" s="8"/>
      <c r="D75" s="2"/>
      <c r="E75" s="68" t="s">
        <v>4003</v>
      </c>
      <c r="F75" s="4">
        <v>834</v>
      </c>
      <c r="G75" s="14"/>
      <c r="H75" s="9"/>
    </row>
    <row r="76" spans="3:8" x14ac:dyDescent="0.25">
      <c r="C76" s="8"/>
      <c r="D76" s="2"/>
      <c r="E76" s="68" t="s">
        <v>4004</v>
      </c>
      <c r="F76" s="4">
        <v>1199.5999999999999</v>
      </c>
      <c r="G76" s="14"/>
      <c r="H76" s="9"/>
    </row>
    <row r="77" spans="3:8" x14ac:dyDescent="0.25">
      <c r="C77" s="8"/>
      <c r="D77" s="2"/>
      <c r="E77" s="68" t="s">
        <v>4005</v>
      </c>
      <c r="F77" s="4">
        <v>4022</v>
      </c>
      <c r="G77" s="14"/>
      <c r="H77" s="9"/>
    </row>
    <row r="78" spans="3:8" x14ac:dyDescent="0.25">
      <c r="C78" s="8"/>
      <c r="D78" s="2"/>
      <c r="E78" s="68" t="s">
        <v>4006</v>
      </c>
      <c r="F78" s="4">
        <v>5000</v>
      </c>
      <c r="G78" s="14"/>
      <c r="H78" s="9"/>
    </row>
    <row r="79" spans="3:8" x14ac:dyDescent="0.25">
      <c r="C79" s="8"/>
      <c r="D79" s="2"/>
      <c r="E79" s="68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9"/>
      <c r="D81" s="20"/>
      <c r="E81" s="20" t="s">
        <v>42</v>
      </c>
      <c r="F81" s="4"/>
      <c r="G81" s="14"/>
      <c r="H81" s="9"/>
    </row>
    <row r="82" spans="3:8" x14ac:dyDescent="0.25">
      <c r="C82" s="34"/>
      <c r="D82" s="42"/>
      <c r="E82" s="2" t="s">
        <v>3930</v>
      </c>
      <c r="F82" s="14">
        <v>-1995</v>
      </c>
      <c r="G82" s="14"/>
      <c r="H82" s="9"/>
    </row>
    <row r="83" spans="3:8" x14ac:dyDescent="0.25">
      <c r="C83" s="8"/>
      <c r="D83" s="2"/>
      <c r="E83" s="2" t="s">
        <v>3931</v>
      </c>
      <c r="F83" s="14">
        <v>-400</v>
      </c>
      <c r="G83" s="14"/>
      <c r="H83" s="9"/>
    </row>
    <row r="84" spans="3:8" x14ac:dyDescent="0.25">
      <c r="C84" s="8"/>
      <c r="D84" s="2"/>
      <c r="E84" s="2" t="s">
        <v>3932</v>
      </c>
      <c r="F84" s="14">
        <v>-435</v>
      </c>
      <c r="G84" s="14"/>
      <c r="H84" s="9"/>
    </row>
    <row r="85" spans="3:8" x14ac:dyDescent="0.25">
      <c r="C85" s="8"/>
      <c r="D85" s="2"/>
      <c r="E85" s="2" t="s">
        <v>4009</v>
      </c>
      <c r="F85" s="14">
        <v>-20</v>
      </c>
      <c r="G85" s="14"/>
      <c r="H85" s="9"/>
    </row>
    <row r="86" spans="3:8" ht="30" x14ac:dyDescent="0.25">
      <c r="C86" s="8"/>
      <c r="D86" s="2"/>
      <c r="E86" s="37" t="s">
        <v>4010</v>
      </c>
      <c r="F86" s="14">
        <v>-10</v>
      </c>
      <c r="G86" s="14"/>
      <c r="H86" s="9"/>
    </row>
    <row r="87" spans="3:8" ht="30" x14ac:dyDescent="0.25">
      <c r="C87" s="8"/>
      <c r="D87" s="2"/>
      <c r="E87" s="37" t="s">
        <v>4011</v>
      </c>
      <c r="F87" s="14">
        <v>-24960</v>
      </c>
      <c r="G87" s="14"/>
      <c r="H87" s="9"/>
    </row>
    <row r="88" spans="3:8" x14ac:dyDescent="0.25">
      <c r="C88" s="8"/>
      <c r="D88" s="2"/>
      <c r="E88" s="37" t="s">
        <v>4012</v>
      </c>
      <c r="F88" s="14">
        <v>-100</v>
      </c>
      <c r="G88" s="14"/>
      <c r="H88" s="9"/>
    </row>
    <row r="89" spans="3:8" ht="30" x14ac:dyDescent="0.25">
      <c r="C89" s="8"/>
      <c r="D89" s="2"/>
      <c r="E89" s="37" t="s">
        <v>4013</v>
      </c>
      <c r="F89" s="14">
        <v>-2000</v>
      </c>
      <c r="G89" s="14"/>
      <c r="H89" s="9"/>
    </row>
    <row r="90" spans="3:8" x14ac:dyDescent="0.25">
      <c r="C90" s="8"/>
      <c r="D90" s="2"/>
      <c r="E90" s="37" t="s">
        <v>4014</v>
      </c>
      <c r="F90" s="14">
        <v>-360</v>
      </c>
      <c r="G90" s="14"/>
      <c r="H90" s="9"/>
    </row>
    <row r="91" spans="3:8" x14ac:dyDescent="0.25">
      <c r="C91" s="8"/>
      <c r="D91" s="2"/>
      <c r="E91" s="37" t="s">
        <v>1274</v>
      </c>
      <c r="F91" s="14">
        <v>-4522</v>
      </c>
      <c r="G91" s="14"/>
      <c r="H91" s="9"/>
    </row>
    <row r="92" spans="3:8" x14ac:dyDescent="0.25">
      <c r="C92" s="8"/>
      <c r="D92" s="2"/>
      <c r="E92" s="37" t="s">
        <v>771</v>
      </c>
      <c r="F92" s="14">
        <v>-10.7</v>
      </c>
      <c r="G92" s="14"/>
      <c r="H92" s="9"/>
    </row>
    <row r="93" spans="3:8" x14ac:dyDescent="0.25">
      <c r="C93" s="8"/>
      <c r="D93" s="2"/>
      <c r="E93" s="2"/>
      <c r="F93" s="1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SUM(F6:F94)</f>
        <v>-5144.7</v>
      </c>
      <c r="G95" s="15">
        <f>SUM(G6:G94)</f>
        <v>11947.5</v>
      </c>
      <c r="H95" s="13">
        <f>SUM(H6:H94)</f>
        <v>14555.6</v>
      </c>
    </row>
    <row r="98" spans="3:6" s="3" customFormat="1" ht="18.75" x14ac:dyDescent="0.3">
      <c r="C98" s="1"/>
      <c r="D98" s="1"/>
      <c r="E98" s="38" t="s">
        <v>49</v>
      </c>
      <c r="F98" s="39">
        <f>+H4+F95</f>
        <v>11551.029999999999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A5F3-ED0C-42B6-9B23-B37CC68DC1A0}">
  <sheetPr codeName="Hoja45"/>
  <dimension ref="C2:H100"/>
  <sheetViews>
    <sheetView topLeftCell="A51" zoomScale="95" zoomScaleNormal="95" workbookViewId="0">
      <selection activeCell="D38" sqref="D38:D40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75.28515625" style="1" bestFit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4016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11551.03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4017</v>
      </c>
      <c r="E6" s="2" t="s">
        <v>3179</v>
      </c>
      <c r="F6" s="4"/>
      <c r="G6" s="14"/>
      <c r="H6" s="9">
        <v>156.4</v>
      </c>
    </row>
    <row r="7" spans="3:8" x14ac:dyDescent="0.25">
      <c r="C7" s="8"/>
      <c r="D7" s="2" t="s">
        <v>4018</v>
      </c>
      <c r="E7" s="2" t="s">
        <v>2605</v>
      </c>
      <c r="F7" s="4"/>
      <c r="G7" s="14">
        <v>6</v>
      </c>
      <c r="H7" s="9"/>
    </row>
    <row r="8" spans="3:8" x14ac:dyDescent="0.25">
      <c r="C8" s="8"/>
      <c r="D8" s="2" t="s">
        <v>4019</v>
      </c>
      <c r="E8" s="2" t="s">
        <v>440</v>
      </c>
      <c r="F8" s="4">
        <v>15</v>
      </c>
      <c r="G8" s="14"/>
      <c r="H8" s="9"/>
    </row>
    <row r="9" spans="3:8" x14ac:dyDescent="0.25">
      <c r="C9" s="8"/>
      <c r="D9" s="2" t="s">
        <v>4020</v>
      </c>
      <c r="E9" s="2" t="s">
        <v>440</v>
      </c>
      <c r="F9" s="4">
        <v>2.5</v>
      </c>
      <c r="G9" s="14"/>
      <c r="H9" s="9"/>
    </row>
    <row r="10" spans="3:8" x14ac:dyDescent="0.25">
      <c r="C10" s="8"/>
      <c r="D10" s="2" t="s">
        <v>4021</v>
      </c>
      <c r="E10" s="2" t="s">
        <v>440</v>
      </c>
      <c r="F10" s="4"/>
      <c r="G10" s="14"/>
      <c r="H10" s="9">
        <v>15</v>
      </c>
    </row>
    <row r="11" spans="3:8" x14ac:dyDescent="0.25">
      <c r="C11" s="8"/>
      <c r="D11" s="2" t="s">
        <v>4022</v>
      </c>
      <c r="E11" s="2" t="s">
        <v>4052</v>
      </c>
      <c r="F11" s="4">
        <v>1387</v>
      </c>
      <c r="G11" s="14"/>
      <c r="H11" s="9"/>
    </row>
    <row r="12" spans="3:8" x14ac:dyDescent="0.25">
      <c r="C12" s="8"/>
      <c r="D12" s="2" t="s">
        <v>4023</v>
      </c>
      <c r="E12" s="2" t="s">
        <v>440</v>
      </c>
      <c r="F12" s="4">
        <v>4</v>
      </c>
      <c r="G12" s="14"/>
      <c r="H12" s="9"/>
    </row>
    <row r="13" spans="3:8" x14ac:dyDescent="0.25">
      <c r="C13" s="8"/>
      <c r="D13" s="2" t="s">
        <v>4024</v>
      </c>
      <c r="E13" s="2" t="s">
        <v>3150</v>
      </c>
      <c r="F13" s="4"/>
      <c r="G13" s="14"/>
      <c r="H13" s="9">
        <v>1209</v>
      </c>
    </row>
    <row r="14" spans="3:8" x14ac:dyDescent="0.25">
      <c r="C14" s="8"/>
      <c r="D14" s="2" t="s">
        <v>4025</v>
      </c>
      <c r="E14" s="2" t="s">
        <v>266</v>
      </c>
      <c r="F14" s="4"/>
      <c r="G14" s="14">
        <v>48</v>
      </c>
      <c r="H14" s="9"/>
    </row>
    <row r="15" spans="3:8" x14ac:dyDescent="0.25">
      <c r="C15" s="8"/>
      <c r="D15" s="2" t="s">
        <v>4026</v>
      </c>
      <c r="E15" s="2" t="s">
        <v>440</v>
      </c>
      <c r="F15" s="4">
        <v>1</v>
      </c>
      <c r="G15" s="14"/>
      <c r="H15" s="9"/>
    </row>
    <row r="16" spans="3:8" x14ac:dyDescent="0.25">
      <c r="C16" s="8"/>
      <c r="D16" s="2" t="s">
        <v>4027</v>
      </c>
      <c r="E16" s="2" t="s">
        <v>583</v>
      </c>
      <c r="F16" s="4">
        <v>152.5</v>
      </c>
      <c r="G16" s="14"/>
      <c r="H16" s="9"/>
    </row>
    <row r="17" spans="3:8" x14ac:dyDescent="0.25">
      <c r="C17" s="8"/>
      <c r="D17" s="2" t="s">
        <v>4028</v>
      </c>
      <c r="E17" s="2" t="s">
        <v>212</v>
      </c>
      <c r="F17" s="4"/>
      <c r="G17" s="14"/>
      <c r="H17" s="9">
        <v>87</v>
      </c>
    </row>
    <row r="18" spans="3:8" x14ac:dyDescent="0.25">
      <c r="C18" s="8"/>
      <c r="D18" s="2" t="s">
        <v>4029</v>
      </c>
      <c r="E18" s="2" t="s">
        <v>440</v>
      </c>
      <c r="F18" s="4"/>
      <c r="G18" s="14"/>
      <c r="H18" s="9">
        <v>15</v>
      </c>
    </row>
    <row r="19" spans="3:8" x14ac:dyDescent="0.25">
      <c r="C19" s="8"/>
      <c r="D19" s="2" t="s">
        <v>4030</v>
      </c>
      <c r="E19" s="2" t="s">
        <v>440</v>
      </c>
      <c r="F19" s="4"/>
      <c r="G19" s="14"/>
      <c r="H19" s="9">
        <v>13</v>
      </c>
    </row>
    <row r="20" spans="3:8" x14ac:dyDescent="0.25">
      <c r="C20" s="8"/>
      <c r="D20" s="2" t="s">
        <v>4031</v>
      </c>
      <c r="E20" s="2" t="s">
        <v>440</v>
      </c>
      <c r="F20" s="4"/>
      <c r="G20" s="14"/>
      <c r="H20" s="9">
        <v>5</v>
      </c>
    </row>
    <row r="21" spans="3:8" x14ac:dyDescent="0.25">
      <c r="C21" s="8"/>
      <c r="D21" s="2" t="s">
        <v>4032</v>
      </c>
      <c r="E21" s="2" t="s">
        <v>440</v>
      </c>
      <c r="F21" s="4">
        <v>5</v>
      </c>
      <c r="G21" s="14"/>
      <c r="H21" s="9"/>
    </row>
    <row r="22" spans="3:8" x14ac:dyDescent="0.25">
      <c r="C22" s="8"/>
      <c r="D22" s="2" t="s">
        <v>4033</v>
      </c>
      <c r="E22" s="2" t="s">
        <v>440</v>
      </c>
      <c r="F22" s="4">
        <v>6</v>
      </c>
      <c r="G22" s="14"/>
      <c r="H22" s="9"/>
    </row>
    <row r="23" spans="3:8" x14ac:dyDescent="0.25">
      <c r="C23" s="8"/>
      <c r="D23" s="2" t="s">
        <v>4034</v>
      </c>
      <c r="E23" s="2" t="s">
        <v>440</v>
      </c>
      <c r="F23" s="4"/>
      <c r="G23" s="14"/>
      <c r="H23" s="9">
        <v>62</v>
      </c>
    </row>
    <row r="24" spans="3:8" x14ac:dyDescent="0.25">
      <c r="C24" s="8"/>
      <c r="D24" s="2" t="s">
        <v>4035</v>
      </c>
      <c r="E24" s="2" t="s">
        <v>440</v>
      </c>
      <c r="F24" s="4"/>
      <c r="G24" s="14"/>
      <c r="H24" s="9">
        <v>10</v>
      </c>
    </row>
    <row r="25" spans="3:8" x14ac:dyDescent="0.25">
      <c r="C25" s="8"/>
      <c r="D25" s="2" t="s">
        <v>4036</v>
      </c>
      <c r="E25" s="2" t="s">
        <v>440</v>
      </c>
      <c r="F25" s="4">
        <v>12.5</v>
      </c>
      <c r="G25" s="14"/>
      <c r="H25" s="9"/>
    </row>
    <row r="26" spans="3:8" x14ac:dyDescent="0.25">
      <c r="C26" s="8"/>
      <c r="D26" s="2" t="s">
        <v>4037</v>
      </c>
      <c r="E26" s="2" t="s">
        <v>440</v>
      </c>
      <c r="F26" s="4">
        <v>31</v>
      </c>
      <c r="G26" s="14"/>
      <c r="H26" s="9"/>
    </row>
    <row r="27" spans="3:8" x14ac:dyDescent="0.25">
      <c r="C27" s="8"/>
      <c r="D27" s="2" t="s">
        <v>4038</v>
      </c>
      <c r="E27" s="2" t="s">
        <v>4051</v>
      </c>
      <c r="F27" s="4"/>
      <c r="G27" s="14">
        <v>3450</v>
      </c>
      <c r="H27" s="9"/>
    </row>
    <row r="28" spans="3:8" x14ac:dyDescent="0.25">
      <c r="C28" s="8"/>
      <c r="D28" s="2" t="s">
        <v>4039</v>
      </c>
      <c r="E28" s="2" t="s">
        <v>440</v>
      </c>
      <c r="F28" s="4">
        <v>10</v>
      </c>
      <c r="G28" s="14"/>
      <c r="H28" s="9"/>
    </row>
    <row r="29" spans="3:8" x14ac:dyDescent="0.25">
      <c r="C29" s="8"/>
      <c r="D29" s="2" t="s">
        <v>4040</v>
      </c>
      <c r="E29" s="2" t="s">
        <v>440</v>
      </c>
      <c r="F29" s="4">
        <v>49</v>
      </c>
      <c r="G29" s="14"/>
      <c r="H29" s="9">
        <v>450</v>
      </c>
    </row>
    <row r="30" spans="3:8" x14ac:dyDescent="0.25">
      <c r="C30" s="8"/>
      <c r="D30" s="2" t="s">
        <v>4065</v>
      </c>
      <c r="E30" s="2" t="s">
        <v>440</v>
      </c>
      <c r="F30" s="4">
        <v>1.5</v>
      </c>
      <c r="G30" s="14"/>
      <c r="H30" s="9"/>
    </row>
    <row r="31" spans="3:8" x14ac:dyDescent="0.25">
      <c r="C31" s="8"/>
      <c r="D31" s="2" t="s">
        <v>4066</v>
      </c>
      <c r="E31" s="2" t="s">
        <v>440</v>
      </c>
      <c r="F31" s="4"/>
      <c r="G31" s="14"/>
      <c r="H31" s="9">
        <v>3.5</v>
      </c>
    </row>
    <row r="32" spans="3:8" x14ac:dyDescent="0.25">
      <c r="C32" s="8"/>
      <c r="D32" s="2" t="s">
        <v>4067</v>
      </c>
      <c r="E32" s="2" t="s">
        <v>440</v>
      </c>
      <c r="F32" s="4">
        <v>2</v>
      </c>
      <c r="G32" s="14"/>
      <c r="H32" s="9"/>
    </row>
    <row r="33" spans="3:8" x14ac:dyDescent="0.25">
      <c r="C33" s="8"/>
      <c r="D33" s="2" t="s">
        <v>4068</v>
      </c>
      <c r="E33" s="2" t="s">
        <v>440</v>
      </c>
      <c r="F33" s="4"/>
      <c r="G33" s="14"/>
      <c r="H33" s="9">
        <v>5</v>
      </c>
    </row>
    <row r="34" spans="3:8" x14ac:dyDescent="0.25">
      <c r="C34" s="8"/>
      <c r="D34" s="2" t="s">
        <v>4069</v>
      </c>
      <c r="E34" s="2" t="s">
        <v>440</v>
      </c>
      <c r="F34" s="4"/>
      <c r="G34" s="14"/>
      <c r="H34" s="9">
        <v>3</v>
      </c>
    </row>
    <row r="35" spans="3:8" x14ac:dyDescent="0.25">
      <c r="C35" s="8"/>
      <c r="D35" s="2" t="s">
        <v>4070</v>
      </c>
      <c r="E35" s="2" t="s">
        <v>440</v>
      </c>
      <c r="F35" s="4">
        <v>4.5</v>
      </c>
      <c r="G35" s="14"/>
      <c r="H35" s="9"/>
    </row>
    <row r="36" spans="3:8" x14ac:dyDescent="0.25">
      <c r="C36" s="8"/>
      <c r="D36" s="2" t="s">
        <v>4071</v>
      </c>
      <c r="E36" s="2" t="s">
        <v>440</v>
      </c>
      <c r="F36" s="4"/>
      <c r="G36" s="14"/>
      <c r="H36" s="9">
        <v>2</v>
      </c>
    </row>
    <row r="37" spans="3:8" x14ac:dyDescent="0.25">
      <c r="C37" s="8"/>
      <c r="D37" s="2" t="s">
        <v>4072</v>
      </c>
      <c r="E37" s="2" t="s">
        <v>440</v>
      </c>
      <c r="F37" s="4">
        <v>3</v>
      </c>
      <c r="G37" s="14"/>
      <c r="H37" s="9"/>
    </row>
    <row r="38" spans="3:8" x14ac:dyDescent="0.25">
      <c r="C38" s="8"/>
      <c r="D38" s="2" t="s">
        <v>4073</v>
      </c>
      <c r="E38" s="2" t="s">
        <v>1652</v>
      </c>
      <c r="F38" s="4"/>
      <c r="G38" s="14">
        <v>1938</v>
      </c>
      <c r="H38" s="9"/>
    </row>
    <row r="39" spans="3:8" x14ac:dyDescent="0.25">
      <c r="C39" s="8"/>
      <c r="D39" s="2" t="s">
        <v>4085</v>
      </c>
      <c r="E39" s="2"/>
      <c r="F39" s="4"/>
      <c r="G39" s="14"/>
      <c r="H39" s="9"/>
    </row>
    <row r="40" spans="3:8" x14ac:dyDescent="0.25">
      <c r="C40" s="8"/>
      <c r="D40" s="2" t="s">
        <v>4087</v>
      </c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 t="s">
        <v>4041</v>
      </c>
      <c r="E44" s="2" t="s">
        <v>1370</v>
      </c>
      <c r="F44" s="4"/>
      <c r="G44" s="14"/>
      <c r="H44" s="9">
        <v>94.5</v>
      </c>
    </row>
    <row r="45" spans="3:8" x14ac:dyDescent="0.25">
      <c r="C45" s="8"/>
      <c r="D45" s="2" t="s">
        <v>4042</v>
      </c>
      <c r="E45" s="2" t="s">
        <v>4050</v>
      </c>
      <c r="F45" s="4">
        <v>142.5</v>
      </c>
      <c r="G45" s="14"/>
      <c r="H45" s="9"/>
    </row>
    <row r="46" spans="3:8" x14ac:dyDescent="0.25">
      <c r="C46" s="8"/>
      <c r="D46" s="2" t="s">
        <v>4043</v>
      </c>
      <c r="E46" s="2" t="s">
        <v>48</v>
      </c>
      <c r="F46" s="4">
        <v>14</v>
      </c>
      <c r="G46" s="14"/>
      <c r="H46" s="9"/>
    </row>
    <row r="47" spans="3:8" x14ac:dyDescent="0.25">
      <c r="C47" s="8"/>
      <c r="D47" s="2" t="s">
        <v>4044</v>
      </c>
      <c r="E47" s="2" t="s">
        <v>48</v>
      </c>
      <c r="F47" s="4"/>
      <c r="G47" s="14"/>
      <c r="H47" s="9">
        <v>10.5</v>
      </c>
    </row>
    <row r="48" spans="3:8" x14ac:dyDescent="0.25">
      <c r="C48" s="8"/>
      <c r="D48" s="2" t="s">
        <v>4045</v>
      </c>
      <c r="E48" s="2" t="s">
        <v>48</v>
      </c>
      <c r="F48" s="4">
        <v>10</v>
      </c>
      <c r="G48" s="14"/>
      <c r="H48" s="9"/>
    </row>
    <row r="49" spans="3:8" x14ac:dyDescent="0.25">
      <c r="C49" s="8"/>
      <c r="D49" s="2" t="s">
        <v>4046</v>
      </c>
      <c r="E49" s="2" t="s">
        <v>4049</v>
      </c>
      <c r="F49" s="4"/>
      <c r="G49" s="14">
        <v>1215.5</v>
      </c>
      <c r="H49" s="9"/>
    </row>
    <row r="50" spans="3:8" x14ac:dyDescent="0.25">
      <c r="C50" s="8"/>
      <c r="D50" s="2" t="s">
        <v>4047</v>
      </c>
      <c r="E50" s="2" t="s">
        <v>48</v>
      </c>
      <c r="F50" s="4">
        <v>20.5</v>
      </c>
      <c r="G50" s="14"/>
      <c r="H50" s="9"/>
    </row>
    <row r="51" spans="3:8" x14ac:dyDescent="0.25">
      <c r="C51" s="8"/>
      <c r="D51" s="2" t="s">
        <v>4048</v>
      </c>
      <c r="E51" s="2" t="s">
        <v>48</v>
      </c>
      <c r="F51" s="4">
        <v>8</v>
      </c>
      <c r="G51" s="14"/>
      <c r="H51" s="9"/>
    </row>
    <row r="52" spans="3:8" x14ac:dyDescent="0.25">
      <c r="C52" s="8"/>
      <c r="D52" s="2" t="s">
        <v>4053</v>
      </c>
      <c r="E52" s="2" t="s">
        <v>48</v>
      </c>
      <c r="F52" s="4">
        <v>5.5</v>
      </c>
      <c r="G52" s="14"/>
      <c r="H52" s="9"/>
    </row>
    <row r="53" spans="3:8" x14ac:dyDescent="0.25">
      <c r="C53" s="8"/>
      <c r="D53" s="2" t="s">
        <v>4075</v>
      </c>
      <c r="E53" s="2" t="s">
        <v>48</v>
      </c>
      <c r="F53" s="4">
        <v>1.5</v>
      </c>
      <c r="G53" s="14"/>
      <c r="H53" s="9"/>
    </row>
    <row r="54" spans="3:8" x14ac:dyDescent="0.25">
      <c r="C54" s="8"/>
      <c r="D54" s="2" t="s">
        <v>4076</v>
      </c>
      <c r="E54" s="2" t="s">
        <v>4079</v>
      </c>
      <c r="F54" s="4"/>
      <c r="G54" s="14"/>
      <c r="H54" s="9">
        <v>2705.4</v>
      </c>
    </row>
    <row r="55" spans="3:8" x14ac:dyDescent="0.25">
      <c r="C55" s="8"/>
      <c r="D55" s="2" t="s">
        <v>4077</v>
      </c>
      <c r="E55" s="2" t="s">
        <v>4074</v>
      </c>
      <c r="F55" s="4"/>
      <c r="G55" s="14"/>
      <c r="H55" s="9">
        <v>5044.5</v>
      </c>
    </row>
    <row r="56" spans="3:8" x14ac:dyDescent="0.25">
      <c r="C56" s="8"/>
      <c r="D56" s="2" t="s">
        <v>4078</v>
      </c>
      <c r="E56" s="2" t="s">
        <v>4074</v>
      </c>
      <c r="F56" s="4"/>
      <c r="G56" s="14"/>
      <c r="H56" s="9">
        <v>87</v>
      </c>
    </row>
    <row r="57" spans="3:8" x14ac:dyDescent="0.25">
      <c r="C57" s="8"/>
      <c r="D57" s="2" t="s">
        <v>4104</v>
      </c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8" x14ac:dyDescent="0.25">
      <c r="C65" s="8"/>
      <c r="D65" s="45"/>
      <c r="E65" s="68" t="s">
        <v>4064</v>
      </c>
      <c r="F65" s="90"/>
      <c r="G65" s="14"/>
      <c r="H65" s="9">
        <v>10</v>
      </c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4"/>
    </row>
    <row r="68" spans="3:8" x14ac:dyDescent="0.25">
      <c r="C68" s="8"/>
      <c r="D68" s="2"/>
      <c r="E68" s="68"/>
      <c r="F68" s="4"/>
      <c r="G68" s="14"/>
      <c r="H68" s="9"/>
    </row>
    <row r="69" spans="3:8" x14ac:dyDescent="0.25">
      <c r="C69" s="16"/>
      <c r="D69" s="17"/>
      <c r="E69" s="17" t="s">
        <v>39</v>
      </c>
      <c r="F69" s="4"/>
      <c r="G69" s="14"/>
      <c r="H69" s="9"/>
    </row>
    <row r="70" spans="3:8" x14ac:dyDescent="0.25">
      <c r="C70" s="8"/>
      <c r="D70" s="2"/>
      <c r="E70" s="68" t="s">
        <v>4054</v>
      </c>
      <c r="F70" s="4">
        <v>984</v>
      </c>
      <c r="G70" s="14"/>
      <c r="H70" s="9"/>
    </row>
    <row r="71" spans="3:8" x14ac:dyDescent="0.25">
      <c r="C71" s="8"/>
      <c r="D71" s="2"/>
      <c r="E71" s="68" t="s">
        <v>4055</v>
      </c>
      <c r="F71" s="4">
        <v>1000</v>
      </c>
      <c r="G71" s="14"/>
      <c r="H71" s="9"/>
    </row>
    <row r="72" spans="3:8" x14ac:dyDescent="0.25">
      <c r="C72" s="8"/>
      <c r="D72" s="2"/>
      <c r="E72" s="68"/>
      <c r="F72" s="4"/>
      <c r="G72" s="14"/>
      <c r="H72" s="9"/>
    </row>
    <row r="73" spans="3:8" x14ac:dyDescent="0.25">
      <c r="C73" s="8"/>
      <c r="D73" s="2"/>
      <c r="E73" s="68"/>
      <c r="F73" s="4"/>
      <c r="G73" s="14"/>
      <c r="H73" s="9"/>
    </row>
    <row r="74" spans="3:8" x14ac:dyDescent="0.25">
      <c r="C74" s="8"/>
      <c r="D74" s="2"/>
      <c r="E74" s="68"/>
      <c r="F74" s="4"/>
      <c r="G74" s="14"/>
      <c r="H74" s="9"/>
    </row>
    <row r="75" spans="3:8" x14ac:dyDescent="0.25">
      <c r="C75" s="8"/>
      <c r="D75" s="2"/>
      <c r="E75" s="68"/>
      <c r="F75" s="4"/>
      <c r="G75" s="14"/>
      <c r="H75" s="9"/>
    </row>
    <row r="76" spans="3:8" x14ac:dyDescent="0.25">
      <c r="C76" s="8"/>
      <c r="D76" s="2"/>
      <c r="E76" s="68"/>
      <c r="F76" s="4"/>
      <c r="G76" s="14"/>
      <c r="H76" s="9"/>
    </row>
    <row r="77" spans="3:8" x14ac:dyDescent="0.25">
      <c r="C77" s="8"/>
      <c r="D77" s="2"/>
      <c r="E77" s="68"/>
      <c r="F77" s="4"/>
      <c r="G77" s="14"/>
      <c r="H77" s="9"/>
    </row>
    <row r="78" spans="3:8" x14ac:dyDescent="0.25">
      <c r="C78" s="8"/>
      <c r="D78" s="2"/>
      <c r="E78" s="68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19"/>
      <c r="D80" s="20"/>
      <c r="E80" s="20" t="s">
        <v>42</v>
      </c>
      <c r="F80" s="4"/>
      <c r="G80" s="14"/>
      <c r="H80" s="9"/>
    </row>
    <row r="81" spans="3:8" x14ac:dyDescent="0.25">
      <c r="C81" s="34"/>
      <c r="D81" s="42"/>
      <c r="E81" s="76" t="s">
        <v>4056</v>
      </c>
      <c r="F81" s="14">
        <v>-2</v>
      </c>
      <c r="G81" s="14"/>
      <c r="H81" s="9"/>
    </row>
    <row r="82" spans="3:8" x14ac:dyDescent="0.25">
      <c r="C82" s="8"/>
      <c r="D82" s="2"/>
      <c r="E82" s="76" t="s">
        <v>4057</v>
      </c>
      <c r="F82" s="14">
        <v>-105</v>
      </c>
      <c r="G82" s="14"/>
      <c r="H82" s="9"/>
    </row>
    <row r="83" spans="3:8" x14ac:dyDescent="0.25">
      <c r="C83" s="8"/>
      <c r="D83" s="2"/>
      <c r="E83" s="76" t="s">
        <v>4058</v>
      </c>
      <c r="F83" s="14">
        <v>-300</v>
      </c>
      <c r="G83" s="14"/>
      <c r="H83" s="9"/>
    </row>
    <row r="84" spans="3:8" x14ac:dyDescent="0.25">
      <c r="C84" s="8"/>
      <c r="D84" s="2"/>
      <c r="E84" s="76" t="s">
        <v>4059</v>
      </c>
      <c r="F84" s="14">
        <v>-30</v>
      </c>
      <c r="G84" s="14"/>
      <c r="H84" s="9"/>
    </row>
    <row r="85" spans="3:8" x14ac:dyDescent="0.25">
      <c r="C85" s="8"/>
      <c r="D85" s="2"/>
      <c r="E85" s="89" t="s">
        <v>4060</v>
      </c>
      <c r="F85" s="14">
        <v>-10</v>
      </c>
      <c r="G85" s="14"/>
      <c r="H85" s="9"/>
    </row>
    <row r="86" spans="3:8" x14ac:dyDescent="0.25">
      <c r="C86" s="8"/>
      <c r="D86" s="2"/>
      <c r="E86" s="89" t="s">
        <v>4061</v>
      </c>
      <c r="F86" s="14">
        <v>-13500</v>
      </c>
      <c r="G86" s="14"/>
      <c r="H86" s="9"/>
    </row>
    <row r="87" spans="3:8" x14ac:dyDescent="0.25">
      <c r="C87" s="8"/>
      <c r="D87" s="2"/>
      <c r="E87" s="89" t="s">
        <v>4062</v>
      </c>
      <c r="F87" s="14">
        <v>-80</v>
      </c>
      <c r="G87" s="14"/>
      <c r="H87" s="9"/>
    </row>
    <row r="88" spans="3:8" x14ac:dyDescent="0.25">
      <c r="C88" s="8"/>
      <c r="D88" s="2"/>
      <c r="E88" s="89" t="s">
        <v>4063</v>
      </c>
      <c r="F88" s="14">
        <v>-425</v>
      </c>
      <c r="G88" s="14"/>
      <c r="H88" s="9"/>
    </row>
    <row r="89" spans="3:8" x14ac:dyDescent="0.25">
      <c r="C89" s="8"/>
      <c r="D89" s="2"/>
      <c r="E89" s="89" t="s">
        <v>4082</v>
      </c>
      <c r="F89" s="14">
        <v>-100.8</v>
      </c>
      <c r="G89" s="14"/>
      <c r="H89" s="9"/>
    </row>
    <row r="90" spans="3:8" x14ac:dyDescent="0.25">
      <c r="C90" s="8"/>
      <c r="D90" s="2"/>
      <c r="E90" s="89" t="s">
        <v>1157</v>
      </c>
      <c r="F90" s="14">
        <v>-2</v>
      </c>
      <c r="G90" s="14"/>
      <c r="H90" s="9"/>
    </row>
    <row r="91" spans="3:8" x14ac:dyDescent="0.25">
      <c r="C91" s="8"/>
      <c r="D91" s="2"/>
      <c r="E91" s="89" t="s">
        <v>4080</v>
      </c>
      <c r="F91" s="14">
        <v>-100</v>
      </c>
      <c r="G91" s="14"/>
      <c r="H91" s="9"/>
    </row>
    <row r="92" spans="3:8" x14ac:dyDescent="0.25">
      <c r="C92" s="8"/>
      <c r="D92" s="2"/>
      <c r="E92" s="76" t="s">
        <v>4081</v>
      </c>
      <c r="F92" s="14">
        <v>-150</v>
      </c>
      <c r="G92" s="14"/>
      <c r="H92" s="9"/>
    </row>
    <row r="93" spans="3:8" x14ac:dyDescent="0.25">
      <c r="C93" s="8"/>
      <c r="D93" s="2"/>
      <c r="E93" s="76" t="s">
        <v>4083</v>
      </c>
      <c r="F93" s="14">
        <v>-450.5</v>
      </c>
      <c r="G93" s="14"/>
      <c r="H93" s="9"/>
    </row>
    <row r="94" spans="3:8" x14ac:dyDescent="0.25">
      <c r="C94" s="8"/>
      <c r="D94" s="2"/>
      <c r="E94" s="76"/>
      <c r="F94" s="14"/>
      <c r="G94" s="14"/>
      <c r="H94" s="9"/>
    </row>
    <row r="95" spans="3:8" x14ac:dyDescent="0.25">
      <c r="C95" s="8"/>
      <c r="D95" s="2"/>
      <c r="E95" s="76"/>
      <c r="F95" s="14"/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ht="15.75" thickBot="1" x14ac:dyDescent="0.3">
      <c r="C97" s="10"/>
      <c r="D97" s="11"/>
      <c r="E97" s="11" t="s">
        <v>44</v>
      </c>
      <c r="F97" s="12">
        <f>SUM(F6:F96)</f>
        <v>-11382.8</v>
      </c>
      <c r="G97" s="15">
        <f>SUM(G6:G96)</f>
        <v>6657.5</v>
      </c>
      <c r="H97" s="13">
        <f>SUM(H6:H96)</f>
        <v>9987.7999999999993</v>
      </c>
    </row>
    <row r="100" spans="3:8" s="3" customFormat="1" ht="18.75" x14ac:dyDescent="0.3">
      <c r="C100" s="1"/>
      <c r="D100" s="1"/>
      <c r="E100" s="38" t="s">
        <v>49</v>
      </c>
      <c r="F100" s="39">
        <f>+H4+F97</f>
        <v>168.23000000000138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A58A-2E10-43E8-A2A3-FC7EF618B3BF}">
  <sheetPr codeName="Hoja46"/>
  <dimension ref="C2:H87"/>
  <sheetViews>
    <sheetView topLeftCell="A61" zoomScale="95" zoomScaleNormal="95" workbookViewId="0">
      <selection activeCell="F87" sqref="F87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4084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168.23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4085</v>
      </c>
      <c r="E6" s="2" t="s">
        <v>440</v>
      </c>
      <c r="F6" s="4"/>
      <c r="G6" s="14"/>
      <c r="H6" s="9">
        <v>4</v>
      </c>
    </row>
    <row r="7" spans="3:8" x14ac:dyDescent="0.25">
      <c r="C7" s="8"/>
      <c r="D7" s="2" t="s">
        <v>4087</v>
      </c>
      <c r="E7" s="2" t="s">
        <v>440</v>
      </c>
      <c r="F7" s="4">
        <v>140</v>
      </c>
      <c r="G7" s="14"/>
      <c r="H7" s="9"/>
    </row>
    <row r="8" spans="3:8" x14ac:dyDescent="0.25">
      <c r="C8" s="8"/>
      <c r="D8" s="2" t="s">
        <v>4088</v>
      </c>
      <c r="E8" s="2" t="s">
        <v>440</v>
      </c>
      <c r="F8" s="4">
        <v>10</v>
      </c>
      <c r="G8" s="14"/>
      <c r="H8" s="9"/>
    </row>
    <row r="9" spans="3:8" x14ac:dyDescent="0.25">
      <c r="C9" s="8"/>
      <c r="D9" s="2" t="s">
        <v>4089</v>
      </c>
      <c r="E9" s="2" t="s">
        <v>440</v>
      </c>
      <c r="F9" s="4">
        <v>2.5</v>
      </c>
      <c r="G9" s="14"/>
      <c r="H9" s="9"/>
    </row>
    <row r="10" spans="3:8" x14ac:dyDescent="0.25">
      <c r="C10" s="8"/>
      <c r="D10" s="2" t="s">
        <v>4090</v>
      </c>
      <c r="E10" s="2" t="s">
        <v>4103</v>
      </c>
      <c r="F10" s="4">
        <v>427.5</v>
      </c>
      <c r="G10" s="14"/>
      <c r="H10" s="9"/>
    </row>
    <row r="11" spans="3:8" x14ac:dyDescent="0.25">
      <c r="C11" s="8"/>
      <c r="D11" s="2" t="s">
        <v>4091</v>
      </c>
      <c r="E11" s="2" t="s">
        <v>440</v>
      </c>
      <c r="F11" s="4">
        <v>156.5</v>
      </c>
      <c r="G11" s="14"/>
      <c r="H11" s="9"/>
    </row>
    <row r="12" spans="3:8" x14ac:dyDescent="0.25">
      <c r="C12" s="8"/>
      <c r="D12" s="2" t="s">
        <v>4092</v>
      </c>
      <c r="E12" s="2" t="s">
        <v>440</v>
      </c>
      <c r="F12" s="4"/>
      <c r="G12" s="14"/>
      <c r="H12" s="9">
        <v>31</v>
      </c>
    </row>
    <row r="13" spans="3:8" x14ac:dyDescent="0.25">
      <c r="C13" s="8"/>
      <c r="D13" s="2" t="s">
        <v>4093</v>
      </c>
      <c r="E13" s="2" t="s">
        <v>103</v>
      </c>
      <c r="F13" s="4"/>
      <c r="G13" s="14">
        <v>15</v>
      </c>
      <c r="H13" s="9"/>
    </row>
    <row r="14" spans="3:8" x14ac:dyDescent="0.25">
      <c r="C14" s="8"/>
      <c r="D14" s="2" t="s">
        <v>4094</v>
      </c>
      <c r="E14" s="2" t="s">
        <v>103</v>
      </c>
      <c r="F14" s="4"/>
      <c r="G14" s="14">
        <v>618</v>
      </c>
      <c r="H14" s="9"/>
    </row>
    <row r="15" spans="3:8" x14ac:dyDescent="0.25">
      <c r="C15" s="8"/>
      <c r="D15" s="2" t="s">
        <v>4095</v>
      </c>
      <c r="E15" s="2" t="s">
        <v>440</v>
      </c>
      <c r="F15" s="4"/>
      <c r="G15" s="14"/>
      <c r="H15" s="9">
        <v>9.5</v>
      </c>
    </row>
    <row r="16" spans="3:8" x14ac:dyDescent="0.25">
      <c r="C16" s="8"/>
      <c r="D16" s="2" t="s">
        <v>4096</v>
      </c>
      <c r="E16" s="2" t="s">
        <v>2670</v>
      </c>
      <c r="F16" s="4"/>
      <c r="G16" s="14"/>
      <c r="H16" s="9">
        <v>128</v>
      </c>
    </row>
    <row r="17" spans="3:8" x14ac:dyDescent="0.25">
      <c r="C17" s="8"/>
      <c r="D17" s="2" t="s">
        <v>4097</v>
      </c>
      <c r="E17" s="2" t="s">
        <v>440</v>
      </c>
      <c r="F17" s="4">
        <v>5</v>
      </c>
      <c r="G17" s="14"/>
      <c r="H17" s="9"/>
    </row>
    <row r="18" spans="3:8" x14ac:dyDescent="0.25">
      <c r="C18" s="8"/>
      <c r="D18" s="2" t="s">
        <v>4098</v>
      </c>
      <c r="E18" s="2" t="s">
        <v>440</v>
      </c>
      <c r="F18" s="4"/>
      <c r="G18" s="14"/>
      <c r="H18" s="9">
        <v>16.5</v>
      </c>
    </row>
    <row r="19" spans="3:8" x14ac:dyDescent="0.25">
      <c r="C19" s="8"/>
      <c r="D19" s="2" t="s">
        <v>4099</v>
      </c>
      <c r="E19" s="2" t="s">
        <v>440</v>
      </c>
      <c r="F19" s="4">
        <v>6</v>
      </c>
      <c r="G19" s="14"/>
      <c r="H19" s="9"/>
    </row>
    <row r="20" spans="3:8" x14ac:dyDescent="0.25">
      <c r="C20" s="8"/>
      <c r="D20" s="2" t="s">
        <v>4100</v>
      </c>
      <c r="E20" s="2" t="s">
        <v>440</v>
      </c>
      <c r="F20" s="4">
        <v>1</v>
      </c>
      <c r="G20" s="14"/>
      <c r="H20" s="9"/>
    </row>
    <row r="21" spans="3:8" x14ac:dyDescent="0.25">
      <c r="C21" s="8"/>
      <c r="D21" s="2" t="s">
        <v>4101</v>
      </c>
      <c r="E21" s="2" t="s">
        <v>1152</v>
      </c>
      <c r="F21" s="4"/>
      <c r="G21" s="14">
        <v>309.60000000000002</v>
      </c>
      <c r="H21" s="9"/>
    </row>
    <row r="22" spans="3:8" x14ac:dyDescent="0.25">
      <c r="C22" s="8"/>
      <c r="D22" s="2" t="s">
        <v>4102</v>
      </c>
      <c r="E22" s="2" t="s">
        <v>440</v>
      </c>
      <c r="F22" s="4">
        <v>50</v>
      </c>
      <c r="G22" s="14"/>
      <c r="H22" s="9"/>
    </row>
    <row r="23" spans="3:8" x14ac:dyDescent="0.25">
      <c r="C23" s="8"/>
      <c r="D23" s="2" t="s">
        <v>4121</v>
      </c>
      <c r="E23" s="2" t="s">
        <v>440</v>
      </c>
      <c r="F23" s="4">
        <v>11</v>
      </c>
      <c r="G23" s="14"/>
      <c r="H23" s="9"/>
    </row>
    <row r="24" spans="3:8" x14ac:dyDescent="0.25">
      <c r="C24" s="8"/>
      <c r="D24" s="2" t="s">
        <v>4122</v>
      </c>
      <c r="E24" s="2" t="s">
        <v>440</v>
      </c>
      <c r="F24" s="4">
        <v>23.5</v>
      </c>
      <c r="G24" s="14"/>
      <c r="H24" s="9"/>
    </row>
    <row r="25" spans="3:8" x14ac:dyDescent="0.25">
      <c r="C25" s="8"/>
      <c r="D25" s="2" t="s">
        <v>4123</v>
      </c>
      <c r="E25" s="2" t="s">
        <v>440</v>
      </c>
      <c r="F25" s="4">
        <v>1.8</v>
      </c>
      <c r="G25" s="14"/>
      <c r="H25" s="9"/>
    </row>
    <row r="26" spans="3:8" x14ac:dyDescent="0.25">
      <c r="C26" s="8"/>
      <c r="D26" s="2" t="s">
        <v>4124</v>
      </c>
      <c r="E26" s="2" t="s">
        <v>440</v>
      </c>
      <c r="F26" s="4">
        <v>21.5</v>
      </c>
      <c r="G26" s="14"/>
      <c r="H26" s="9"/>
    </row>
    <row r="27" spans="3:8" x14ac:dyDescent="0.25">
      <c r="C27" s="8"/>
      <c r="D27" s="2" t="s">
        <v>4125</v>
      </c>
      <c r="E27" s="2" t="s">
        <v>3150</v>
      </c>
      <c r="F27" s="4"/>
      <c r="G27" s="14"/>
      <c r="H27" s="9">
        <v>1630</v>
      </c>
    </row>
    <row r="28" spans="3:8" x14ac:dyDescent="0.25">
      <c r="C28" s="8"/>
      <c r="D28" s="2" t="s">
        <v>4150</v>
      </c>
      <c r="E28" s="2" t="s">
        <v>35</v>
      </c>
      <c r="F28" s="4"/>
      <c r="G28" s="14">
        <v>885</v>
      </c>
      <c r="H28" s="9"/>
    </row>
    <row r="29" spans="3:8" x14ac:dyDescent="0.25">
      <c r="C29" s="8"/>
      <c r="D29" s="2"/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 t="s">
        <v>4104</v>
      </c>
      <c r="E31" s="2" t="s">
        <v>1373</v>
      </c>
      <c r="F31" s="4"/>
      <c r="G31" s="14">
        <v>1535</v>
      </c>
      <c r="H31" s="9"/>
    </row>
    <row r="32" spans="3:8" x14ac:dyDescent="0.25">
      <c r="C32" s="8"/>
      <c r="D32" s="2" t="s">
        <v>4105</v>
      </c>
      <c r="E32" s="2" t="s">
        <v>1455</v>
      </c>
      <c r="F32" s="4">
        <v>290</v>
      </c>
      <c r="G32" s="14"/>
      <c r="H32" s="9"/>
    </row>
    <row r="33" spans="3:8" x14ac:dyDescent="0.25">
      <c r="C33" s="8"/>
      <c r="D33" s="2" t="s">
        <v>4106</v>
      </c>
      <c r="E33" s="2" t="s">
        <v>48</v>
      </c>
      <c r="F33" s="4"/>
      <c r="G33" s="14"/>
      <c r="H33" s="9">
        <v>5</v>
      </c>
    </row>
    <row r="34" spans="3:8" x14ac:dyDescent="0.25">
      <c r="C34" s="8"/>
      <c r="D34" s="2" t="s">
        <v>4107</v>
      </c>
      <c r="E34" s="2" t="s">
        <v>48</v>
      </c>
      <c r="F34" s="4">
        <v>2</v>
      </c>
      <c r="G34" s="14"/>
      <c r="H34" s="9"/>
    </row>
    <row r="35" spans="3:8" x14ac:dyDescent="0.25">
      <c r="C35" s="8"/>
      <c r="D35" s="2" t="s">
        <v>4108</v>
      </c>
      <c r="E35" s="2" t="s">
        <v>48</v>
      </c>
      <c r="F35" s="4">
        <v>17</v>
      </c>
      <c r="G35" s="14"/>
      <c r="H35" s="9"/>
    </row>
    <row r="36" spans="3:8" x14ac:dyDescent="0.25">
      <c r="C36" s="8"/>
      <c r="D36" s="2" t="s">
        <v>4109</v>
      </c>
      <c r="E36" s="2" t="s">
        <v>48</v>
      </c>
      <c r="F36" s="4">
        <v>15</v>
      </c>
      <c r="G36" s="14"/>
      <c r="H36" s="9"/>
    </row>
    <row r="37" spans="3:8" x14ac:dyDescent="0.25">
      <c r="C37" s="8"/>
      <c r="D37" s="2" t="s">
        <v>4110</v>
      </c>
      <c r="E37" s="2" t="s">
        <v>48</v>
      </c>
      <c r="F37" s="4">
        <v>23</v>
      </c>
      <c r="G37" s="14"/>
      <c r="H37" s="9"/>
    </row>
    <row r="38" spans="3:8" x14ac:dyDescent="0.25">
      <c r="C38" s="8"/>
      <c r="D38" s="2" t="s">
        <v>4111</v>
      </c>
      <c r="E38" s="2" t="s">
        <v>48</v>
      </c>
      <c r="F38" s="4">
        <v>7</v>
      </c>
      <c r="G38" s="14"/>
      <c r="H38" s="9"/>
    </row>
    <row r="39" spans="3:8" x14ac:dyDescent="0.25">
      <c r="C39" s="8"/>
      <c r="D39" s="2" t="s">
        <v>4112</v>
      </c>
      <c r="E39" s="2" t="s">
        <v>48</v>
      </c>
      <c r="F39" s="4"/>
      <c r="G39" s="14"/>
      <c r="H39" s="9">
        <v>35.5</v>
      </c>
    </row>
    <row r="40" spans="3:8" x14ac:dyDescent="0.25">
      <c r="C40" s="8"/>
      <c r="D40" s="2" t="s">
        <v>4113</v>
      </c>
      <c r="E40" s="2" t="s">
        <v>4117</v>
      </c>
      <c r="F40" s="4"/>
      <c r="G40" s="14"/>
      <c r="H40" s="9">
        <v>2120</v>
      </c>
    </row>
    <row r="41" spans="3:8" x14ac:dyDescent="0.25">
      <c r="C41" s="8"/>
      <c r="D41" s="2" t="s">
        <v>4114</v>
      </c>
      <c r="E41" s="2" t="s">
        <v>48</v>
      </c>
      <c r="F41" s="4">
        <v>20</v>
      </c>
      <c r="G41" s="14"/>
      <c r="H41" s="9"/>
    </row>
    <row r="42" spans="3:8" x14ac:dyDescent="0.25">
      <c r="C42" s="8"/>
      <c r="D42" s="2" t="s">
        <v>4115</v>
      </c>
      <c r="E42" s="2" t="s">
        <v>48</v>
      </c>
      <c r="F42" s="4"/>
      <c r="G42" s="14"/>
      <c r="H42" s="9">
        <v>136</v>
      </c>
    </row>
    <row r="43" spans="3:8" x14ac:dyDescent="0.25">
      <c r="C43" s="8"/>
      <c r="D43" s="2" t="s">
        <v>4116</v>
      </c>
      <c r="E43" s="2" t="s">
        <v>48</v>
      </c>
      <c r="F43" s="4"/>
      <c r="G43" s="14"/>
      <c r="H43" s="9">
        <v>12</v>
      </c>
    </row>
    <row r="44" spans="3:8" x14ac:dyDescent="0.25">
      <c r="C44" s="8"/>
      <c r="D44" s="2" t="s">
        <v>4119</v>
      </c>
      <c r="E44" s="2" t="s">
        <v>48</v>
      </c>
      <c r="F44" s="4">
        <v>6</v>
      </c>
      <c r="G44" s="14"/>
      <c r="H44" s="9"/>
    </row>
    <row r="45" spans="3:8" x14ac:dyDescent="0.25">
      <c r="C45" s="8"/>
      <c r="D45" s="2" t="s">
        <v>4120</v>
      </c>
      <c r="E45" s="2" t="s">
        <v>48</v>
      </c>
      <c r="F45" s="4"/>
      <c r="G45" s="14"/>
      <c r="H45" s="9">
        <v>10</v>
      </c>
    </row>
    <row r="46" spans="3:8" x14ac:dyDescent="0.25">
      <c r="C46" s="8"/>
      <c r="D46" s="2" t="s">
        <v>4126</v>
      </c>
      <c r="E46" s="2" t="s">
        <v>48</v>
      </c>
      <c r="F46" s="4">
        <v>24</v>
      </c>
      <c r="G46" s="14"/>
      <c r="H46" s="9"/>
    </row>
    <row r="47" spans="3:8" x14ac:dyDescent="0.25">
      <c r="C47" s="8"/>
      <c r="D47" s="2" t="s">
        <v>4127</v>
      </c>
      <c r="E47" s="2" t="s">
        <v>107</v>
      </c>
      <c r="F47" s="4"/>
      <c r="G47" s="14">
        <v>1080</v>
      </c>
      <c r="H47" s="9"/>
    </row>
    <row r="48" spans="3:8" x14ac:dyDescent="0.25">
      <c r="C48" s="8"/>
      <c r="D48" s="2" t="s">
        <v>4128</v>
      </c>
      <c r="E48" s="2" t="s">
        <v>48</v>
      </c>
      <c r="F48" s="4"/>
      <c r="G48" s="14"/>
      <c r="H48" s="9">
        <v>152.5</v>
      </c>
    </row>
    <row r="49" spans="3:8" x14ac:dyDescent="0.25">
      <c r="C49" s="8"/>
      <c r="D49" s="2" t="s">
        <v>4129</v>
      </c>
      <c r="E49" s="2" t="s">
        <v>48</v>
      </c>
      <c r="F49" s="4"/>
      <c r="G49" s="14"/>
      <c r="H49" s="9">
        <v>13</v>
      </c>
    </row>
    <row r="50" spans="3:8" x14ac:dyDescent="0.25">
      <c r="C50" s="8"/>
      <c r="D50" s="2" t="s">
        <v>4130</v>
      </c>
      <c r="E50" s="2" t="s">
        <v>285</v>
      </c>
      <c r="F50" s="4"/>
      <c r="G50" s="14">
        <v>2234</v>
      </c>
      <c r="H50" s="9"/>
    </row>
    <row r="51" spans="3:8" x14ac:dyDescent="0.25">
      <c r="C51" s="8"/>
      <c r="D51" s="2" t="s">
        <v>4131</v>
      </c>
      <c r="E51" s="2" t="s">
        <v>48</v>
      </c>
      <c r="F51" s="4">
        <v>5</v>
      </c>
      <c r="G51" s="14"/>
      <c r="H51" s="9"/>
    </row>
    <row r="52" spans="3:8" x14ac:dyDescent="0.25">
      <c r="C52" s="8"/>
      <c r="D52" s="2" t="s">
        <v>4142</v>
      </c>
      <c r="E52" s="2" t="s">
        <v>48</v>
      </c>
      <c r="F52" s="4">
        <v>5</v>
      </c>
      <c r="G52" s="14"/>
      <c r="H52" s="9"/>
    </row>
    <row r="53" spans="3:8" x14ac:dyDescent="0.25">
      <c r="C53" s="8"/>
      <c r="D53" s="2" t="s">
        <v>4144</v>
      </c>
      <c r="E53" s="2" t="s">
        <v>48</v>
      </c>
      <c r="F53" s="4">
        <v>2</v>
      </c>
      <c r="G53" s="14"/>
      <c r="H53" s="9"/>
    </row>
    <row r="54" spans="3:8" x14ac:dyDescent="0.25">
      <c r="C54" s="8"/>
      <c r="D54" s="2" t="s">
        <v>4145</v>
      </c>
      <c r="E54" s="2" t="s">
        <v>48</v>
      </c>
      <c r="F54" s="4">
        <v>5.5</v>
      </c>
      <c r="G54" s="14"/>
      <c r="H54" s="9"/>
    </row>
    <row r="55" spans="3:8" x14ac:dyDescent="0.25">
      <c r="C55" s="8"/>
      <c r="D55" s="2" t="s">
        <v>4175</v>
      </c>
      <c r="E55" s="2" t="s">
        <v>107</v>
      </c>
      <c r="F55" s="4"/>
      <c r="G55" s="14">
        <v>10783.3</v>
      </c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29"/>
      <c r="D57" s="30"/>
      <c r="E57" s="30" t="s">
        <v>60</v>
      </c>
      <c r="F57" s="4"/>
      <c r="G57" s="14"/>
      <c r="H57" s="9"/>
    </row>
    <row r="58" spans="3:8" x14ac:dyDescent="0.25">
      <c r="C58" s="8"/>
      <c r="D58" s="45" t="s">
        <v>4143</v>
      </c>
      <c r="E58" s="68" t="s">
        <v>1387</v>
      </c>
      <c r="F58" s="90"/>
      <c r="G58" s="14"/>
      <c r="H58" s="9">
        <v>355</v>
      </c>
    </row>
    <row r="59" spans="3:8" x14ac:dyDescent="0.25">
      <c r="C59" s="8"/>
      <c r="D59" s="45"/>
      <c r="E59" s="68"/>
      <c r="F59" s="4"/>
      <c r="G59" s="14"/>
      <c r="H59" s="9"/>
    </row>
    <row r="60" spans="3:8" x14ac:dyDescent="0.25">
      <c r="C60" s="8"/>
      <c r="D60" s="45"/>
      <c r="E60" s="68"/>
      <c r="F60" s="4"/>
      <c r="G60" s="14"/>
      <c r="H60" s="4"/>
    </row>
    <row r="61" spans="3:8" x14ac:dyDescent="0.25">
      <c r="C61" s="8"/>
      <c r="D61" s="2"/>
      <c r="E61" s="68"/>
      <c r="F61" s="4"/>
      <c r="G61" s="14"/>
      <c r="H61" s="9"/>
    </row>
    <row r="62" spans="3:8" x14ac:dyDescent="0.25">
      <c r="C62" s="16"/>
      <c r="D62" s="17"/>
      <c r="E62" s="17" t="s">
        <v>39</v>
      </c>
      <c r="F62" s="4"/>
      <c r="G62" s="14"/>
      <c r="H62" s="9"/>
    </row>
    <row r="63" spans="3:8" x14ac:dyDescent="0.25">
      <c r="C63" s="8"/>
      <c r="D63" s="2"/>
      <c r="E63" s="68" t="s">
        <v>4118</v>
      </c>
      <c r="F63" s="4">
        <v>10</v>
      </c>
      <c r="G63" s="14"/>
      <c r="H63" s="9"/>
    </row>
    <row r="64" spans="3:8" x14ac:dyDescent="0.25">
      <c r="C64" s="8"/>
      <c r="D64" s="2"/>
      <c r="E64" s="68" t="s">
        <v>4132</v>
      </c>
      <c r="F64" s="4">
        <v>22.5</v>
      </c>
      <c r="G64" s="14"/>
      <c r="H64" s="9"/>
    </row>
    <row r="65" spans="3:8" x14ac:dyDescent="0.25">
      <c r="C65" s="8"/>
      <c r="D65" s="2"/>
      <c r="E65" s="68" t="s">
        <v>4133</v>
      </c>
      <c r="F65" s="4">
        <v>32</v>
      </c>
      <c r="G65" s="14"/>
      <c r="H65" s="9"/>
    </row>
    <row r="66" spans="3:8" x14ac:dyDescent="0.25">
      <c r="C66" s="8"/>
      <c r="D66" s="2"/>
      <c r="E66" s="68" t="s">
        <v>4137</v>
      </c>
      <c r="F66" s="4">
        <v>42.5</v>
      </c>
      <c r="G66" s="14"/>
      <c r="H66" s="9"/>
    </row>
    <row r="67" spans="3:8" x14ac:dyDescent="0.25">
      <c r="C67" s="8"/>
      <c r="D67" s="2"/>
      <c r="E67" s="68" t="s">
        <v>4136</v>
      </c>
      <c r="F67" s="4">
        <v>52.5</v>
      </c>
      <c r="G67" s="14"/>
      <c r="H67" s="9"/>
    </row>
    <row r="68" spans="3:8" x14ac:dyDescent="0.25">
      <c r="C68" s="8"/>
      <c r="D68" s="2"/>
      <c r="E68" s="68" t="s">
        <v>4135</v>
      </c>
      <c r="F68" s="4">
        <v>1981</v>
      </c>
      <c r="G68" s="14"/>
      <c r="H68" s="9"/>
    </row>
    <row r="69" spans="3:8" x14ac:dyDescent="0.25">
      <c r="C69" s="8"/>
      <c r="D69" s="2"/>
      <c r="E69" s="68" t="s">
        <v>4006</v>
      </c>
      <c r="F69" s="4">
        <v>2265.5</v>
      </c>
      <c r="G69" s="14"/>
      <c r="H69" s="9"/>
    </row>
    <row r="70" spans="3:8" x14ac:dyDescent="0.25">
      <c r="C70" s="8"/>
      <c r="D70" s="2"/>
      <c r="E70" s="68" t="s">
        <v>4134</v>
      </c>
      <c r="F70" s="4">
        <v>4</v>
      </c>
      <c r="G70" s="14"/>
      <c r="H70" s="9"/>
    </row>
    <row r="71" spans="3:8" x14ac:dyDescent="0.25">
      <c r="C71" s="8"/>
      <c r="D71" s="2"/>
      <c r="E71" s="68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19"/>
      <c r="D73" s="20"/>
      <c r="E73" s="20" t="s">
        <v>42</v>
      </c>
      <c r="F73" s="4"/>
      <c r="G73" s="14"/>
      <c r="H73" s="9"/>
    </row>
    <row r="74" spans="3:8" x14ac:dyDescent="0.25">
      <c r="C74" s="34"/>
      <c r="D74" s="42"/>
      <c r="E74" s="76" t="s">
        <v>4086</v>
      </c>
      <c r="F74" s="14">
        <v>-629</v>
      </c>
      <c r="G74" s="14"/>
      <c r="H74" s="9"/>
    </row>
    <row r="75" spans="3:8" x14ac:dyDescent="0.25">
      <c r="C75" s="8"/>
      <c r="D75" s="2"/>
      <c r="E75" s="76" t="s">
        <v>385</v>
      </c>
      <c r="F75" s="14">
        <v>-400</v>
      </c>
      <c r="G75" s="14"/>
      <c r="H75" s="9"/>
    </row>
    <row r="76" spans="3:8" x14ac:dyDescent="0.25">
      <c r="C76" s="8"/>
      <c r="D76" s="2"/>
      <c r="E76" s="76" t="s">
        <v>1468</v>
      </c>
      <c r="F76" s="14">
        <v>-100</v>
      </c>
      <c r="G76" s="14"/>
      <c r="H76" s="9"/>
    </row>
    <row r="77" spans="3:8" x14ac:dyDescent="0.25">
      <c r="C77" s="8"/>
      <c r="D77" s="2"/>
      <c r="E77" s="76" t="s">
        <v>4138</v>
      </c>
      <c r="F77" s="14">
        <v>-120</v>
      </c>
      <c r="G77" s="14"/>
      <c r="H77" s="9"/>
    </row>
    <row r="78" spans="3:8" x14ac:dyDescent="0.25">
      <c r="C78" s="8"/>
      <c r="D78" s="2"/>
      <c r="E78" s="76" t="s">
        <v>4139</v>
      </c>
      <c r="F78" s="14">
        <v>-950</v>
      </c>
      <c r="G78" s="14"/>
      <c r="H78" s="9"/>
    </row>
    <row r="79" spans="3:8" x14ac:dyDescent="0.25">
      <c r="C79" s="8"/>
      <c r="D79" s="2"/>
      <c r="E79" s="76" t="s">
        <v>4140</v>
      </c>
      <c r="F79" s="14">
        <v>-40</v>
      </c>
      <c r="G79" s="14"/>
      <c r="H79" s="9"/>
    </row>
    <row r="80" spans="3:8" x14ac:dyDescent="0.25">
      <c r="C80" s="8"/>
      <c r="D80" s="2"/>
      <c r="E80" s="76" t="s">
        <v>4141</v>
      </c>
      <c r="F80" s="14">
        <v>-6.5</v>
      </c>
      <c r="G80" s="14"/>
      <c r="H80" s="9"/>
    </row>
    <row r="81" spans="3:8" x14ac:dyDescent="0.25">
      <c r="C81" s="8"/>
      <c r="D81" s="2"/>
      <c r="E81" s="76" t="s">
        <v>1274</v>
      </c>
      <c r="F81" s="14">
        <v>-2303</v>
      </c>
      <c r="G81" s="14"/>
      <c r="H81" s="9"/>
    </row>
    <row r="82" spans="3:8" x14ac:dyDescent="0.25">
      <c r="C82" s="8"/>
      <c r="D82" s="2"/>
      <c r="E82" s="76" t="s">
        <v>4146</v>
      </c>
      <c r="F82" s="14">
        <v>-78</v>
      </c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ht="15.75" thickBot="1" x14ac:dyDescent="0.3">
      <c r="C84" s="10"/>
      <c r="D84" s="11"/>
      <c r="E84" s="11" t="s">
        <v>44</v>
      </c>
      <c r="F84" s="12">
        <f>SUM(F6:F83)</f>
        <v>1061.3000000000002</v>
      </c>
      <c r="G84" s="15">
        <f>SUM(G6:G83)</f>
        <v>17459.900000000001</v>
      </c>
      <c r="H84" s="13">
        <f>SUM(H6:H83)</f>
        <v>4658</v>
      </c>
    </row>
    <row r="87" spans="3:8" s="3" customFormat="1" ht="18.75" x14ac:dyDescent="0.3">
      <c r="C87" s="1"/>
      <c r="D87" s="1"/>
      <c r="E87" s="38" t="s">
        <v>49</v>
      </c>
      <c r="F87" s="39">
        <f>+H4+F84</f>
        <v>1229.5300000000002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4D29-A465-415B-8FFA-4A9143235761}">
  <sheetPr codeName="Hoja47"/>
  <dimension ref="C2:H102"/>
  <sheetViews>
    <sheetView topLeftCell="A76" zoomScale="95" zoomScaleNormal="95" workbookViewId="0">
      <selection activeCell="F102" sqref="F102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4149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1229.53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4151</v>
      </c>
      <c r="E6" s="2" t="s">
        <v>3744</v>
      </c>
      <c r="F6" s="4"/>
      <c r="G6" s="14">
        <v>205</v>
      </c>
      <c r="H6" s="9"/>
    </row>
    <row r="7" spans="3:8" x14ac:dyDescent="0.25">
      <c r="C7" s="8"/>
      <c r="D7" s="2" t="s">
        <v>4152</v>
      </c>
      <c r="E7" s="2" t="s">
        <v>12</v>
      </c>
      <c r="F7" s="4"/>
      <c r="G7" s="14"/>
      <c r="H7" s="9">
        <v>11</v>
      </c>
    </row>
    <row r="8" spans="3:8" x14ac:dyDescent="0.25">
      <c r="C8" s="8"/>
      <c r="D8" s="2" t="s">
        <v>4153</v>
      </c>
      <c r="E8" s="2" t="s">
        <v>12</v>
      </c>
      <c r="F8" s="4">
        <v>32</v>
      </c>
      <c r="G8" s="14"/>
      <c r="H8" s="9"/>
    </row>
    <row r="9" spans="3:8" x14ac:dyDescent="0.25">
      <c r="C9" s="8"/>
      <c r="D9" s="2" t="s">
        <v>4154</v>
      </c>
      <c r="E9" s="2" t="s">
        <v>12</v>
      </c>
      <c r="F9" s="4">
        <v>10</v>
      </c>
      <c r="G9" s="14"/>
      <c r="H9" s="9"/>
    </row>
    <row r="10" spans="3:8" x14ac:dyDescent="0.25">
      <c r="C10" s="8"/>
      <c r="D10" s="2" t="s">
        <v>4155</v>
      </c>
      <c r="E10" s="2" t="s">
        <v>12</v>
      </c>
      <c r="F10" s="4">
        <v>38.5</v>
      </c>
      <c r="G10" s="14"/>
      <c r="H10" s="9"/>
    </row>
    <row r="11" spans="3:8" x14ac:dyDescent="0.25">
      <c r="C11" s="8"/>
      <c r="D11" s="2" t="s">
        <v>4156</v>
      </c>
      <c r="E11" s="2" t="s">
        <v>328</v>
      </c>
      <c r="F11" s="4">
        <v>300</v>
      </c>
      <c r="G11" s="14"/>
      <c r="H11" s="9">
        <v>50</v>
      </c>
    </row>
    <row r="12" spans="3:8" x14ac:dyDescent="0.25">
      <c r="C12" s="8"/>
      <c r="D12" s="2" t="s">
        <v>4157</v>
      </c>
      <c r="E12" s="2" t="s">
        <v>212</v>
      </c>
      <c r="F12" s="4"/>
      <c r="G12" s="14">
        <v>40</v>
      </c>
      <c r="H12" s="9"/>
    </row>
    <row r="13" spans="3:8" x14ac:dyDescent="0.25">
      <c r="C13" s="8"/>
      <c r="D13" s="2" t="s">
        <v>4158</v>
      </c>
      <c r="E13" s="2" t="s">
        <v>12</v>
      </c>
      <c r="F13" s="4">
        <v>16.5</v>
      </c>
      <c r="G13" s="14"/>
      <c r="H13" s="9"/>
    </row>
    <row r="14" spans="3:8" x14ac:dyDescent="0.25">
      <c r="C14" s="8"/>
      <c r="D14" s="2" t="s">
        <v>4159</v>
      </c>
      <c r="E14" s="2" t="s">
        <v>12</v>
      </c>
      <c r="F14" s="4">
        <v>2.5</v>
      </c>
      <c r="G14" s="14"/>
      <c r="H14" s="9"/>
    </row>
    <row r="15" spans="3:8" x14ac:dyDescent="0.25">
      <c r="C15" s="8"/>
      <c r="D15" s="2" t="s">
        <v>4160</v>
      </c>
      <c r="E15" s="2" t="s">
        <v>4174</v>
      </c>
      <c r="F15" s="4"/>
      <c r="G15" s="14"/>
      <c r="H15" s="9">
        <v>294</v>
      </c>
    </row>
    <row r="16" spans="3:8" x14ac:dyDescent="0.25">
      <c r="C16" s="8"/>
      <c r="D16" s="2" t="s">
        <v>4161</v>
      </c>
      <c r="E16" s="2" t="s">
        <v>35</v>
      </c>
      <c r="F16" s="4"/>
      <c r="G16" s="14">
        <v>135</v>
      </c>
      <c r="H16" s="9"/>
    </row>
    <row r="17" spans="3:8" x14ac:dyDescent="0.25">
      <c r="C17" s="8"/>
      <c r="D17" s="2" t="s">
        <v>4162</v>
      </c>
      <c r="E17" s="2" t="s">
        <v>12</v>
      </c>
      <c r="F17" s="4">
        <v>11</v>
      </c>
      <c r="G17" s="14"/>
      <c r="H17" s="9"/>
    </row>
    <row r="18" spans="3:8" x14ac:dyDescent="0.25">
      <c r="C18" s="8"/>
      <c r="D18" s="2" t="s">
        <v>4163</v>
      </c>
      <c r="E18" s="2" t="s">
        <v>12</v>
      </c>
      <c r="F18" s="4">
        <v>2</v>
      </c>
      <c r="G18" s="14"/>
      <c r="H18" s="9"/>
    </row>
    <row r="19" spans="3:8" x14ac:dyDescent="0.25">
      <c r="C19" s="8"/>
      <c r="D19" s="2" t="s">
        <v>4164</v>
      </c>
      <c r="E19" s="2" t="s">
        <v>12</v>
      </c>
      <c r="F19" s="4"/>
      <c r="G19" s="14"/>
      <c r="H19" s="9">
        <v>98.5</v>
      </c>
    </row>
    <row r="20" spans="3:8" x14ac:dyDescent="0.25">
      <c r="C20" s="8"/>
      <c r="D20" s="2" t="s">
        <v>4165</v>
      </c>
      <c r="E20" s="2" t="s">
        <v>12</v>
      </c>
      <c r="F20" s="4"/>
      <c r="G20" s="14"/>
      <c r="H20" s="9">
        <v>18</v>
      </c>
    </row>
    <row r="21" spans="3:8" x14ac:dyDescent="0.25">
      <c r="C21" s="8"/>
      <c r="D21" s="2" t="s">
        <v>4166</v>
      </c>
      <c r="E21" s="2" t="s">
        <v>12</v>
      </c>
      <c r="F21" s="4"/>
      <c r="G21" s="14"/>
      <c r="H21" s="9">
        <v>5</v>
      </c>
    </row>
    <row r="22" spans="3:8" x14ac:dyDescent="0.25">
      <c r="C22" s="8"/>
      <c r="D22" s="2" t="s">
        <v>4167</v>
      </c>
      <c r="E22" s="2" t="s">
        <v>12</v>
      </c>
      <c r="F22" s="4"/>
      <c r="G22" s="14"/>
      <c r="H22" s="9">
        <v>3.5</v>
      </c>
    </row>
    <row r="23" spans="3:8" x14ac:dyDescent="0.25">
      <c r="C23" s="8"/>
      <c r="D23" s="2" t="s">
        <v>4168</v>
      </c>
      <c r="E23" s="2" t="s">
        <v>12</v>
      </c>
      <c r="F23" s="4">
        <v>3</v>
      </c>
      <c r="G23" s="14"/>
      <c r="H23" s="9"/>
    </row>
    <row r="24" spans="3:8" x14ac:dyDescent="0.25">
      <c r="C24" s="8"/>
      <c r="D24" s="2" t="s">
        <v>4169</v>
      </c>
      <c r="E24" s="2" t="s">
        <v>4173</v>
      </c>
      <c r="F24" s="4">
        <v>180.5</v>
      </c>
      <c r="G24" s="14"/>
      <c r="H24" s="9"/>
    </row>
    <row r="25" spans="3:8" x14ac:dyDescent="0.25">
      <c r="C25" s="8"/>
      <c r="D25" s="2" t="s">
        <v>4170</v>
      </c>
      <c r="E25" s="2" t="s">
        <v>12</v>
      </c>
      <c r="F25" s="4">
        <v>6</v>
      </c>
      <c r="G25" s="14"/>
      <c r="H25" s="9"/>
    </row>
    <row r="26" spans="3:8" x14ac:dyDescent="0.25">
      <c r="C26" s="8"/>
      <c r="D26" s="2" t="s">
        <v>4171</v>
      </c>
      <c r="E26" s="2" t="s">
        <v>12</v>
      </c>
      <c r="F26" s="4">
        <v>10</v>
      </c>
      <c r="G26" s="14"/>
      <c r="H26" s="9"/>
    </row>
    <row r="27" spans="3:8" x14ac:dyDescent="0.25">
      <c r="C27" s="8"/>
      <c r="D27" s="2" t="s">
        <v>4172</v>
      </c>
      <c r="E27" s="2" t="s">
        <v>12</v>
      </c>
      <c r="F27" s="4">
        <v>50</v>
      </c>
      <c r="G27" s="14"/>
      <c r="H27" s="9"/>
    </row>
    <row r="28" spans="3:8" x14ac:dyDescent="0.25">
      <c r="C28" s="8"/>
      <c r="D28" s="2" t="s">
        <v>4198</v>
      </c>
      <c r="E28" s="2" t="s">
        <v>4204</v>
      </c>
      <c r="F28" s="4">
        <v>1415.5</v>
      </c>
      <c r="G28" s="14"/>
      <c r="H28" s="9"/>
    </row>
    <row r="29" spans="3:8" x14ac:dyDescent="0.25">
      <c r="C29" s="8"/>
      <c r="D29" s="2" t="s">
        <v>4199</v>
      </c>
      <c r="E29" s="2" t="s">
        <v>4203</v>
      </c>
      <c r="F29" s="4"/>
      <c r="G29" s="14"/>
      <c r="H29" s="9">
        <v>529</v>
      </c>
    </row>
    <row r="30" spans="3:8" x14ac:dyDescent="0.25">
      <c r="C30" s="8"/>
      <c r="D30" s="2" t="s">
        <v>4200</v>
      </c>
      <c r="E30" s="2" t="s">
        <v>12</v>
      </c>
      <c r="F30" s="4"/>
      <c r="G30" s="14"/>
      <c r="H30" s="9">
        <v>6</v>
      </c>
    </row>
    <row r="31" spans="3:8" x14ac:dyDescent="0.25">
      <c r="C31" s="8"/>
      <c r="D31" s="2" t="s">
        <v>4201</v>
      </c>
      <c r="E31" s="2" t="s">
        <v>12</v>
      </c>
      <c r="F31" s="4"/>
      <c r="G31" s="14"/>
      <c r="H31" s="9">
        <v>31</v>
      </c>
    </row>
    <row r="32" spans="3:8" x14ac:dyDescent="0.25">
      <c r="C32" s="8"/>
      <c r="D32" s="2" t="s">
        <v>4202</v>
      </c>
      <c r="E32" s="2" t="s">
        <v>12</v>
      </c>
      <c r="F32" s="4">
        <v>4</v>
      </c>
      <c r="G32" s="14"/>
      <c r="H32" s="9"/>
    </row>
    <row r="33" spans="3:8" x14ac:dyDescent="0.25">
      <c r="C33" s="8"/>
      <c r="D33" s="2" t="s">
        <v>4223</v>
      </c>
      <c r="E33" s="2" t="s">
        <v>12</v>
      </c>
      <c r="F33" s="4">
        <v>5</v>
      </c>
      <c r="G33" s="14"/>
      <c r="H33" s="9"/>
    </row>
    <row r="34" spans="3:8" x14ac:dyDescent="0.25">
      <c r="C34" s="8"/>
      <c r="D34" s="2" t="s">
        <v>4226</v>
      </c>
      <c r="E34" s="2" t="s">
        <v>12</v>
      </c>
      <c r="F34" s="4">
        <v>4</v>
      </c>
      <c r="G34" s="14"/>
      <c r="H34" s="9"/>
    </row>
    <row r="35" spans="3:8" x14ac:dyDescent="0.25">
      <c r="C35" s="8"/>
      <c r="D35" s="2" t="s">
        <v>4232</v>
      </c>
      <c r="E35" s="2" t="s">
        <v>750</v>
      </c>
      <c r="F35" s="4"/>
      <c r="G35" s="14"/>
      <c r="H35" s="9">
        <v>45</v>
      </c>
    </row>
    <row r="36" spans="3:8" x14ac:dyDescent="0.25">
      <c r="C36" s="8"/>
      <c r="D36" s="2" t="s">
        <v>4233</v>
      </c>
      <c r="E36" s="2" t="s">
        <v>1075</v>
      </c>
      <c r="F36" s="4"/>
      <c r="G36" s="14"/>
      <c r="H36" s="9">
        <v>300</v>
      </c>
    </row>
    <row r="37" spans="3:8" x14ac:dyDescent="0.25">
      <c r="C37" s="8"/>
      <c r="D37" s="2" t="s">
        <v>4234</v>
      </c>
      <c r="E37" s="2" t="s">
        <v>12</v>
      </c>
      <c r="F37" s="4"/>
      <c r="G37" s="14"/>
      <c r="H37" s="9">
        <v>4.5</v>
      </c>
    </row>
    <row r="38" spans="3:8" x14ac:dyDescent="0.25">
      <c r="C38" s="8"/>
      <c r="D38" s="2" t="s">
        <v>4235</v>
      </c>
      <c r="E38" s="2"/>
      <c r="F38" s="4"/>
      <c r="G38" s="14"/>
      <c r="H38" s="9"/>
    </row>
    <row r="39" spans="3:8" x14ac:dyDescent="0.25">
      <c r="C39" s="8"/>
      <c r="D39" s="2" t="s">
        <v>4176</v>
      </c>
      <c r="E39" s="2" t="s">
        <v>1370</v>
      </c>
      <c r="F39" s="4"/>
      <c r="G39" s="14"/>
      <c r="H39" s="9">
        <v>575</v>
      </c>
    </row>
    <row r="40" spans="3:8" x14ac:dyDescent="0.25">
      <c r="C40" s="8"/>
      <c r="D40" s="2" t="s">
        <v>4177</v>
      </c>
      <c r="E40" s="2" t="s">
        <v>48</v>
      </c>
      <c r="F40" s="4">
        <v>1</v>
      </c>
      <c r="G40" s="14"/>
      <c r="H40" s="9"/>
    </row>
    <row r="41" spans="3:8" x14ac:dyDescent="0.25">
      <c r="C41" s="8"/>
      <c r="D41" s="2" t="s">
        <v>4178</v>
      </c>
      <c r="E41" s="2" t="s">
        <v>48</v>
      </c>
      <c r="F41" s="4">
        <v>13</v>
      </c>
      <c r="G41" s="14"/>
      <c r="H41" s="9"/>
    </row>
    <row r="42" spans="3:8" x14ac:dyDescent="0.25">
      <c r="C42" s="8"/>
      <c r="D42" s="2" t="s">
        <v>4179</v>
      </c>
      <c r="E42" s="2" t="s">
        <v>48</v>
      </c>
      <c r="F42" s="4">
        <v>10</v>
      </c>
      <c r="G42" s="14"/>
      <c r="H42" s="9"/>
    </row>
    <row r="43" spans="3:8" x14ac:dyDescent="0.25">
      <c r="C43" s="8"/>
      <c r="D43" s="2" t="s">
        <v>4180</v>
      </c>
      <c r="E43" s="2" t="s">
        <v>4191</v>
      </c>
      <c r="F43" s="4"/>
      <c r="G43" s="14"/>
      <c r="H43" s="9">
        <v>851</v>
      </c>
    </row>
    <row r="44" spans="3:8" x14ac:dyDescent="0.25">
      <c r="C44" s="8"/>
      <c r="D44" s="2" t="s">
        <v>4181</v>
      </c>
      <c r="E44" s="2" t="s">
        <v>4050</v>
      </c>
      <c r="F44" s="4">
        <v>142.5</v>
      </c>
      <c r="G44" s="14"/>
      <c r="H44" s="9"/>
    </row>
    <row r="45" spans="3:8" x14ac:dyDescent="0.25">
      <c r="C45" s="8"/>
      <c r="D45" s="2" t="s">
        <v>4182</v>
      </c>
      <c r="E45" s="2" t="s">
        <v>48</v>
      </c>
      <c r="F45" s="4">
        <v>24</v>
      </c>
      <c r="G45" s="14"/>
      <c r="H45" s="9"/>
    </row>
    <row r="46" spans="3:8" x14ac:dyDescent="0.25">
      <c r="C46" s="8"/>
      <c r="D46" s="2" t="s">
        <v>4183</v>
      </c>
      <c r="E46" s="2" t="s">
        <v>48</v>
      </c>
      <c r="F46" s="4">
        <v>1</v>
      </c>
      <c r="G46" s="14"/>
      <c r="H46" s="9"/>
    </row>
    <row r="47" spans="3:8" x14ac:dyDescent="0.25">
      <c r="C47" s="8"/>
      <c r="D47" s="2" t="s">
        <v>4184</v>
      </c>
      <c r="E47" s="2" t="s">
        <v>48</v>
      </c>
      <c r="F47" s="4">
        <v>7</v>
      </c>
      <c r="G47" s="14"/>
      <c r="H47" s="9"/>
    </row>
    <row r="48" spans="3:8" x14ac:dyDescent="0.25">
      <c r="C48" s="8"/>
      <c r="D48" s="2" t="s">
        <v>4185</v>
      </c>
      <c r="E48" s="2" t="s">
        <v>4190</v>
      </c>
      <c r="F48" s="4"/>
      <c r="G48" s="14">
        <v>262</v>
      </c>
      <c r="H48" s="9"/>
    </row>
    <row r="49" spans="3:8" x14ac:dyDescent="0.25">
      <c r="C49" s="8"/>
      <c r="D49" s="2" t="s">
        <v>4186</v>
      </c>
      <c r="E49" s="2" t="s">
        <v>2671</v>
      </c>
      <c r="F49" s="4"/>
      <c r="G49" s="14">
        <v>18</v>
      </c>
      <c r="H49" s="9"/>
    </row>
    <row r="50" spans="3:8" x14ac:dyDescent="0.25">
      <c r="C50" s="8"/>
      <c r="D50" s="2" t="s">
        <v>4187</v>
      </c>
      <c r="E50" s="2" t="s">
        <v>48</v>
      </c>
      <c r="F50" s="4">
        <v>30</v>
      </c>
      <c r="G50" s="14"/>
      <c r="H50" s="9"/>
    </row>
    <row r="51" spans="3:8" x14ac:dyDescent="0.25">
      <c r="C51" s="8"/>
      <c r="D51" s="2" t="s">
        <v>4188</v>
      </c>
      <c r="E51" s="2" t="s">
        <v>48</v>
      </c>
      <c r="F51" s="4">
        <v>6</v>
      </c>
      <c r="G51" s="14"/>
      <c r="H51" s="9"/>
    </row>
    <row r="52" spans="3:8" x14ac:dyDescent="0.25">
      <c r="C52" s="8"/>
      <c r="D52" s="2" t="s">
        <v>4189</v>
      </c>
      <c r="E52" s="2" t="s">
        <v>48</v>
      </c>
      <c r="F52" s="4">
        <v>2</v>
      </c>
      <c r="G52" s="14"/>
      <c r="H52" s="9"/>
    </row>
    <row r="53" spans="3:8" x14ac:dyDescent="0.25">
      <c r="C53" s="8"/>
      <c r="D53" s="2" t="s">
        <v>4205</v>
      </c>
      <c r="E53" s="2" t="s">
        <v>4216</v>
      </c>
      <c r="F53" s="4"/>
      <c r="G53" s="14"/>
      <c r="H53" s="9">
        <v>609</v>
      </c>
    </row>
    <row r="54" spans="3:8" x14ac:dyDescent="0.25">
      <c r="C54" s="8"/>
      <c r="D54" s="2" t="s">
        <v>4206</v>
      </c>
      <c r="E54" s="2" t="s">
        <v>48</v>
      </c>
      <c r="F54" s="4">
        <v>10.5</v>
      </c>
      <c r="G54" s="14"/>
      <c r="H54" s="9"/>
    </row>
    <row r="55" spans="3:8" x14ac:dyDescent="0.25">
      <c r="C55" s="8"/>
      <c r="D55" s="2" t="s">
        <v>4207</v>
      </c>
      <c r="E55" s="2" t="s">
        <v>48</v>
      </c>
      <c r="F55" s="4">
        <v>5.5</v>
      </c>
      <c r="G55" s="14"/>
      <c r="H55" s="9"/>
    </row>
    <row r="56" spans="3:8" x14ac:dyDescent="0.25">
      <c r="C56" s="8"/>
      <c r="D56" s="2" t="s">
        <v>4208</v>
      </c>
      <c r="E56" s="2" t="s">
        <v>48</v>
      </c>
      <c r="F56" s="4">
        <v>16</v>
      </c>
      <c r="G56" s="14"/>
      <c r="H56" s="9"/>
    </row>
    <row r="57" spans="3:8" x14ac:dyDescent="0.25">
      <c r="C57" s="8"/>
      <c r="D57" s="2" t="s">
        <v>4209</v>
      </c>
      <c r="E57" s="2" t="s">
        <v>48</v>
      </c>
      <c r="F57" s="4">
        <v>1</v>
      </c>
      <c r="G57" s="14"/>
      <c r="H57" s="9"/>
    </row>
    <row r="58" spans="3:8" x14ac:dyDescent="0.25">
      <c r="C58" s="8"/>
      <c r="D58" s="2" t="s">
        <v>4210</v>
      </c>
      <c r="E58" s="2" t="s">
        <v>48</v>
      </c>
      <c r="F58" s="4"/>
      <c r="G58" s="14"/>
      <c r="H58" s="9">
        <v>157</v>
      </c>
    </row>
    <row r="59" spans="3:8" x14ac:dyDescent="0.25">
      <c r="C59" s="8"/>
      <c r="D59" s="2" t="s">
        <v>4211</v>
      </c>
      <c r="E59" s="2" t="s">
        <v>48</v>
      </c>
      <c r="F59" s="4"/>
      <c r="G59" s="14"/>
      <c r="H59" s="9">
        <v>20</v>
      </c>
    </row>
    <row r="60" spans="3:8" x14ac:dyDescent="0.25">
      <c r="C60" s="8"/>
      <c r="D60" s="2" t="s">
        <v>4212</v>
      </c>
      <c r="E60" s="2" t="s">
        <v>4217</v>
      </c>
      <c r="F60" s="4"/>
      <c r="G60" s="14"/>
      <c r="H60" s="9">
        <v>275</v>
      </c>
    </row>
    <row r="61" spans="3:8" x14ac:dyDescent="0.25">
      <c r="C61" s="8"/>
      <c r="D61" s="2" t="s">
        <v>4213</v>
      </c>
      <c r="E61" s="2" t="s">
        <v>1370</v>
      </c>
      <c r="F61" s="4"/>
      <c r="G61" s="14"/>
      <c r="H61" s="9">
        <v>580</v>
      </c>
    </row>
    <row r="62" spans="3:8" x14ac:dyDescent="0.25">
      <c r="C62" s="8"/>
      <c r="D62" s="2" t="s">
        <v>4214</v>
      </c>
      <c r="E62" s="2" t="s">
        <v>48</v>
      </c>
      <c r="F62" s="4"/>
      <c r="G62" s="14"/>
      <c r="H62" s="9">
        <v>40.5</v>
      </c>
    </row>
    <row r="63" spans="3:8" x14ac:dyDescent="0.25">
      <c r="C63" s="8"/>
      <c r="D63" s="2" t="s">
        <v>4215</v>
      </c>
      <c r="E63" s="2" t="s">
        <v>48</v>
      </c>
      <c r="F63" s="4">
        <v>2</v>
      </c>
      <c r="G63" s="14"/>
      <c r="H63" s="9"/>
    </row>
    <row r="64" spans="3:8" x14ac:dyDescent="0.25">
      <c r="C64" s="8"/>
      <c r="D64" s="2" t="s">
        <v>4228</v>
      </c>
      <c r="E64" s="2" t="s">
        <v>48</v>
      </c>
      <c r="F64" s="4">
        <v>5</v>
      </c>
      <c r="G64" s="14"/>
      <c r="H64" s="9"/>
    </row>
    <row r="65" spans="3:8" x14ac:dyDescent="0.25">
      <c r="C65" s="8"/>
      <c r="D65" s="2" t="s">
        <v>4255</v>
      </c>
      <c r="E65" s="2" t="s">
        <v>1230</v>
      </c>
      <c r="F65" s="4"/>
      <c r="G65" s="14">
        <v>7540</v>
      </c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29"/>
      <c r="D69" s="30"/>
      <c r="E69" s="30" t="s">
        <v>60</v>
      </c>
      <c r="F69" s="4"/>
      <c r="G69" s="14"/>
      <c r="H69" s="9"/>
    </row>
    <row r="70" spans="3:8" x14ac:dyDescent="0.25">
      <c r="C70" s="8"/>
      <c r="D70" s="45" t="s">
        <v>4222</v>
      </c>
      <c r="E70" s="68" t="s">
        <v>4221</v>
      </c>
      <c r="F70" s="90"/>
      <c r="G70" s="14">
        <v>950.03</v>
      </c>
      <c r="H70" s="9"/>
    </row>
    <row r="71" spans="3:8" x14ac:dyDescent="0.25">
      <c r="C71" s="8"/>
      <c r="D71" s="45"/>
      <c r="E71" s="68"/>
      <c r="F71" s="4"/>
      <c r="G71" s="14"/>
      <c r="H71" s="9"/>
    </row>
    <row r="72" spans="3:8" x14ac:dyDescent="0.25">
      <c r="C72" s="8"/>
      <c r="D72" s="45"/>
      <c r="E72" s="68"/>
      <c r="F72" s="4"/>
      <c r="G72" s="14"/>
      <c r="H72" s="4"/>
    </row>
    <row r="73" spans="3:8" x14ac:dyDescent="0.25">
      <c r="C73" s="8"/>
      <c r="D73" s="2"/>
      <c r="E73" s="68"/>
      <c r="F73" s="4"/>
      <c r="G73" s="14"/>
      <c r="H73" s="9"/>
    </row>
    <row r="74" spans="3:8" x14ac:dyDescent="0.25">
      <c r="C74" s="16"/>
      <c r="D74" s="17"/>
      <c r="E74" s="17" t="s">
        <v>39</v>
      </c>
      <c r="F74" s="4"/>
      <c r="G74" s="14"/>
      <c r="H74" s="9"/>
    </row>
    <row r="75" spans="3:8" x14ac:dyDescent="0.25">
      <c r="C75" s="8"/>
      <c r="D75" s="2"/>
      <c r="E75" s="68" t="s">
        <v>4196</v>
      </c>
      <c r="F75" s="4">
        <v>4</v>
      </c>
      <c r="G75" s="14"/>
      <c r="H75" s="9"/>
    </row>
    <row r="76" spans="3:8" x14ac:dyDescent="0.25">
      <c r="C76" s="8"/>
      <c r="D76" s="2"/>
      <c r="E76" s="68" t="s">
        <v>4218</v>
      </c>
      <c r="F76" s="4">
        <v>2779</v>
      </c>
      <c r="G76" s="14"/>
      <c r="H76" s="9"/>
    </row>
    <row r="77" spans="3:8" x14ac:dyDescent="0.25">
      <c r="C77" s="8"/>
      <c r="D77" s="2"/>
      <c r="E77" s="68" t="s">
        <v>4219</v>
      </c>
      <c r="F77" s="4">
        <v>1080</v>
      </c>
      <c r="G77" s="14"/>
      <c r="H77" s="9"/>
    </row>
    <row r="78" spans="3:8" x14ac:dyDescent="0.25">
      <c r="C78" s="8"/>
      <c r="D78" s="2"/>
      <c r="E78" s="68" t="s">
        <v>4224</v>
      </c>
      <c r="F78" s="4">
        <v>184.5</v>
      </c>
      <c r="G78" s="14"/>
      <c r="H78" s="9"/>
    </row>
    <row r="79" spans="3:8" x14ac:dyDescent="0.25">
      <c r="C79" s="8"/>
      <c r="D79" s="2"/>
      <c r="E79" s="68" t="s">
        <v>4225</v>
      </c>
      <c r="F79" s="4">
        <v>1215.5</v>
      </c>
      <c r="G79" s="14"/>
      <c r="H79" s="9"/>
    </row>
    <row r="80" spans="3:8" x14ac:dyDescent="0.25">
      <c r="C80" s="8"/>
      <c r="D80" s="2"/>
      <c r="E80" s="68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9"/>
      <c r="D82" s="20"/>
      <c r="E82" s="20" t="s">
        <v>42</v>
      </c>
      <c r="F82" s="4"/>
      <c r="G82" s="14"/>
      <c r="H82" s="9"/>
    </row>
    <row r="83" spans="3:8" x14ac:dyDescent="0.25">
      <c r="C83" s="34"/>
      <c r="D83" s="42"/>
      <c r="E83" s="76" t="s">
        <v>735</v>
      </c>
      <c r="F83" s="14">
        <v>-400</v>
      </c>
      <c r="G83" s="14"/>
      <c r="H83" s="9"/>
    </row>
    <row r="84" spans="3:8" x14ac:dyDescent="0.25">
      <c r="C84" s="8"/>
      <c r="D84" s="2"/>
      <c r="E84" s="76" t="s">
        <v>4192</v>
      </c>
      <c r="F84" s="14">
        <v>-10</v>
      </c>
      <c r="G84" s="14"/>
      <c r="H84" s="9"/>
    </row>
    <row r="85" spans="3:8" x14ac:dyDescent="0.25">
      <c r="C85" s="8"/>
      <c r="D85" s="2"/>
      <c r="E85" s="76" t="s">
        <v>4193</v>
      </c>
      <c r="F85" s="14">
        <v>-8</v>
      </c>
      <c r="G85" s="14"/>
      <c r="H85" s="9"/>
    </row>
    <row r="86" spans="3:8" x14ac:dyDescent="0.25">
      <c r="C86" s="8"/>
      <c r="D86" s="2"/>
      <c r="E86" s="76" t="s">
        <v>4194</v>
      </c>
      <c r="F86" s="14">
        <v>-10</v>
      </c>
      <c r="G86" s="14"/>
      <c r="H86" s="9"/>
    </row>
    <row r="87" spans="3:8" x14ac:dyDescent="0.25">
      <c r="C87" s="8"/>
      <c r="D87" s="2"/>
      <c r="E87" s="76" t="s">
        <v>4195</v>
      </c>
      <c r="F87" s="14">
        <v>-1190</v>
      </c>
      <c r="G87" s="14"/>
      <c r="H87" s="9"/>
    </row>
    <row r="88" spans="3:8" x14ac:dyDescent="0.25">
      <c r="C88" s="8"/>
      <c r="D88" s="2"/>
      <c r="E88" s="76" t="s">
        <v>4197</v>
      </c>
      <c r="F88" s="14">
        <v>-200</v>
      </c>
      <c r="G88" s="14"/>
      <c r="H88" s="9"/>
    </row>
    <row r="89" spans="3:8" x14ac:dyDescent="0.25">
      <c r="C89" s="8"/>
      <c r="D89" s="2"/>
      <c r="E89" s="76" t="s">
        <v>3405</v>
      </c>
      <c r="F89" s="14">
        <v>-40</v>
      </c>
      <c r="G89" s="14"/>
      <c r="H89" s="9"/>
    </row>
    <row r="90" spans="3:8" x14ac:dyDescent="0.25">
      <c r="C90" s="8"/>
      <c r="D90" s="2"/>
      <c r="E90" s="76" t="s">
        <v>4220</v>
      </c>
      <c r="F90" s="14">
        <v>-520</v>
      </c>
      <c r="G90" s="14"/>
      <c r="H90" s="9"/>
    </row>
    <row r="91" spans="3:8" ht="30" x14ac:dyDescent="0.25">
      <c r="C91" s="8"/>
      <c r="D91" s="2"/>
      <c r="E91" s="89" t="s">
        <v>4227</v>
      </c>
      <c r="F91" s="14">
        <v>-1061.5</v>
      </c>
      <c r="G91" s="14"/>
      <c r="H91" s="9"/>
    </row>
    <row r="92" spans="3:8" x14ac:dyDescent="0.25">
      <c r="C92" s="8"/>
      <c r="D92" s="2"/>
      <c r="E92" s="89" t="s">
        <v>4229</v>
      </c>
      <c r="F92" s="14">
        <v>-24</v>
      </c>
      <c r="G92" s="14"/>
      <c r="H92" s="9"/>
    </row>
    <row r="93" spans="3:8" x14ac:dyDescent="0.25">
      <c r="C93" s="8"/>
      <c r="D93" s="2"/>
      <c r="E93" s="89" t="s">
        <v>1274</v>
      </c>
      <c r="F93" s="14">
        <v>-2802.5</v>
      </c>
      <c r="G93" s="14"/>
      <c r="H93" s="9"/>
    </row>
    <row r="94" spans="3:8" x14ac:dyDescent="0.25">
      <c r="C94" s="8"/>
      <c r="D94" s="2"/>
      <c r="E94" s="89" t="s">
        <v>4230</v>
      </c>
      <c r="F94" s="14">
        <v>-20</v>
      </c>
      <c r="G94" s="14"/>
      <c r="H94" s="9"/>
    </row>
    <row r="95" spans="3:8" x14ac:dyDescent="0.25">
      <c r="C95" s="8"/>
      <c r="D95" s="2"/>
      <c r="E95" s="89"/>
      <c r="F95" s="14"/>
      <c r="G95" s="14"/>
      <c r="H95" s="9"/>
    </row>
    <row r="96" spans="3:8" x14ac:dyDescent="0.25">
      <c r="C96" s="8"/>
      <c r="D96" s="2"/>
      <c r="E96" s="89"/>
      <c r="F96" s="14"/>
      <c r="G96" s="14"/>
      <c r="H96" s="9"/>
    </row>
    <row r="97" spans="3:8" x14ac:dyDescent="0.25">
      <c r="C97" s="8"/>
      <c r="D97" s="2"/>
      <c r="E97" s="89"/>
      <c r="F97" s="14"/>
      <c r="G97" s="14"/>
      <c r="H97" s="9"/>
    </row>
    <row r="98" spans="3:8" x14ac:dyDescent="0.25">
      <c r="C98" s="8"/>
      <c r="D98" s="2"/>
      <c r="E98" s="2"/>
      <c r="F98" s="4"/>
      <c r="G98" s="14"/>
      <c r="H98" s="9"/>
    </row>
    <row r="99" spans="3:8" ht="15.75" thickBot="1" x14ac:dyDescent="0.3">
      <c r="C99" s="10"/>
      <c r="D99" s="11"/>
      <c r="E99" s="11" t="s">
        <v>44</v>
      </c>
      <c r="F99" s="12">
        <f>SUM(F6:F98)</f>
        <v>1344</v>
      </c>
      <c r="G99" s="15">
        <f>SUM(G6:G98)</f>
        <v>9150.0300000000007</v>
      </c>
      <c r="H99" s="13">
        <f>SUM(H6:H98)</f>
        <v>4503</v>
      </c>
    </row>
    <row r="102" spans="3:8" s="3" customFormat="1" ht="18.75" x14ac:dyDescent="0.3">
      <c r="C102" s="1"/>
      <c r="D102" s="1"/>
      <c r="E102" s="38" t="s">
        <v>49</v>
      </c>
      <c r="F102" s="39">
        <f>+H4+F99</f>
        <v>2573.5299999999997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FED2-2731-4536-BEB9-D9C1597BD16D}">
  <sheetPr codeName="Hoja48"/>
  <dimension ref="C2:H110"/>
  <sheetViews>
    <sheetView topLeftCell="A43" zoomScaleNormal="100" workbookViewId="0">
      <selection activeCell="D66" sqref="D66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4231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2573.5300000000002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4235</v>
      </c>
      <c r="E6" s="2" t="s">
        <v>12</v>
      </c>
      <c r="F6" s="4">
        <v>17.5</v>
      </c>
      <c r="G6" s="14"/>
      <c r="H6" s="9"/>
    </row>
    <row r="7" spans="3:8" x14ac:dyDescent="0.25">
      <c r="C7" s="8"/>
      <c r="D7" s="2" t="s">
        <v>4236</v>
      </c>
      <c r="E7" s="2" t="s">
        <v>12</v>
      </c>
      <c r="F7" s="4"/>
      <c r="G7" s="14"/>
      <c r="H7" s="9">
        <v>32</v>
      </c>
    </row>
    <row r="8" spans="3:8" x14ac:dyDescent="0.25">
      <c r="C8" s="8"/>
      <c r="D8" s="2" t="s">
        <v>4237</v>
      </c>
      <c r="E8" s="2" t="s">
        <v>3745</v>
      </c>
      <c r="F8" s="4">
        <v>975</v>
      </c>
      <c r="G8" s="14"/>
      <c r="H8" s="9"/>
    </row>
    <row r="9" spans="3:8" x14ac:dyDescent="0.25">
      <c r="C9" s="8"/>
      <c r="D9" s="2" t="s">
        <v>4238</v>
      </c>
      <c r="E9" s="2" t="s">
        <v>4254</v>
      </c>
      <c r="F9" s="4"/>
      <c r="G9" s="14"/>
      <c r="H9" s="9">
        <v>305.2</v>
      </c>
    </row>
    <row r="10" spans="3:8" x14ac:dyDescent="0.25">
      <c r="C10" s="8"/>
      <c r="D10" s="2" t="s">
        <v>4239</v>
      </c>
      <c r="E10" s="2" t="s">
        <v>12</v>
      </c>
      <c r="F10" s="4"/>
      <c r="G10" s="14"/>
      <c r="H10" s="9">
        <v>6</v>
      </c>
    </row>
    <row r="11" spans="3:8" x14ac:dyDescent="0.25">
      <c r="C11" s="8"/>
      <c r="D11" s="2" t="s">
        <v>4240</v>
      </c>
      <c r="E11" s="2" t="s">
        <v>12</v>
      </c>
      <c r="F11" s="4">
        <v>2</v>
      </c>
      <c r="G11" s="14"/>
      <c r="H11" s="9"/>
    </row>
    <row r="12" spans="3:8" x14ac:dyDescent="0.25">
      <c r="C12" s="8"/>
      <c r="D12" s="2" t="s">
        <v>4241</v>
      </c>
      <c r="E12" s="2" t="s">
        <v>12</v>
      </c>
      <c r="F12" s="4"/>
      <c r="G12" s="14"/>
      <c r="H12" s="9">
        <v>100</v>
      </c>
    </row>
    <row r="13" spans="3:8" x14ac:dyDescent="0.25">
      <c r="C13" s="8"/>
      <c r="D13" s="2" t="s">
        <v>4242</v>
      </c>
      <c r="E13" s="2" t="s">
        <v>12</v>
      </c>
      <c r="F13" s="4">
        <v>20</v>
      </c>
      <c r="G13" s="14"/>
      <c r="H13" s="9"/>
    </row>
    <row r="14" spans="3:8" x14ac:dyDescent="0.25">
      <c r="C14" s="8"/>
      <c r="D14" s="2" t="s">
        <v>4243</v>
      </c>
      <c r="E14" s="2" t="s">
        <v>12</v>
      </c>
      <c r="F14" s="4">
        <v>3</v>
      </c>
      <c r="G14" s="14"/>
      <c r="H14" s="9"/>
    </row>
    <row r="15" spans="3:8" x14ac:dyDescent="0.25">
      <c r="C15" s="8"/>
      <c r="D15" s="2" t="s">
        <v>4244</v>
      </c>
      <c r="E15" s="2" t="s">
        <v>3150</v>
      </c>
      <c r="F15" s="4"/>
      <c r="G15" s="14"/>
      <c r="H15" s="9">
        <v>8503</v>
      </c>
    </row>
    <row r="16" spans="3:8" x14ac:dyDescent="0.25">
      <c r="C16" s="8"/>
      <c r="D16" s="2" t="s">
        <v>4245</v>
      </c>
      <c r="E16" s="2" t="s">
        <v>3150</v>
      </c>
      <c r="F16" s="4"/>
      <c r="G16" s="14"/>
      <c r="H16" s="9">
        <v>158</v>
      </c>
    </row>
    <row r="17" spans="3:8" x14ac:dyDescent="0.25">
      <c r="C17" s="8"/>
      <c r="D17" s="2" t="s">
        <v>4246</v>
      </c>
      <c r="E17" s="2" t="s">
        <v>12</v>
      </c>
      <c r="F17" s="4">
        <v>28.5</v>
      </c>
      <c r="G17" s="14"/>
      <c r="H17" s="9"/>
    </row>
    <row r="18" spans="3:8" x14ac:dyDescent="0.25">
      <c r="C18" s="8"/>
      <c r="D18" s="2" t="s">
        <v>4247</v>
      </c>
      <c r="E18" s="2" t="s">
        <v>12</v>
      </c>
      <c r="F18" s="4"/>
      <c r="G18" s="14"/>
      <c r="H18" s="9">
        <v>10</v>
      </c>
    </row>
    <row r="19" spans="3:8" x14ac:dyDescent="0.25">
      <c r="C19" s="8"/>
      <c r="D19" s="2" t="s">
        <v>4248</v>
      </c>
      <c r="E19" s="2" t="s">
        <v>2671</v>
      </c>
      <c r="F19" s="4"/>
      <c r="G19" s="14"/>
      <c r="H19" s="9">
        <v>8</v>
      </c>
    </row>
    <row r="20" spans="3:8" x14ac:dyDescent="0.25">
      <c r="C20" s="8"/>
      <c r="D20" s="2" t="s">
        <v>4249</v>
      </c>
      <c r="E20" s="2" t="s">
        <v>212</v>
      </c>
      <c r="F20" s="4"/>
      <c r="G20" s="14"/>
      <c r="H20" s="9">
        <v>101</v>
      </c>
    </row>
    <row r="21" spans="3:8" x14ac:dyDescent="0.25">
      <c r="C21" s="8"/>
      <c r="D21" s="2" t="s">
        <v>4250</v>
      </c>
      <c r="E21" s="2" t="s">
        <v>12</v>
      </c>
      <c r="F21" s="4">
        <v>1</v>
      </c>
      <c r="G21" s="14"/>
      <c r="H21" s="9"/>
    </row>
    <row r="22" spans="3:8" x14ac:dyDescent="0.25">
      <c r="C22" s="8"/>
      <c r="D22" s="2" t="s">
        <v>4251</v>
      </c>
      <c r="E22" s="2" t="s">
        <v>12</v>
      </c>
      <c r="F22" s="4">
        <v>3</v>
      </c>
      <c r="G22" s="14"/>
      <c r="H22" s="9"/>
    </row>
    <row r="23" spans="3:8" x14ac:dyDescent="0.25">
      <c r="C23" s="8"/>
      <c r="D23" s="2" t="s">
        <v>4252</v>
      </c>
      <c r="E23" s="2" t="s">
        <v>12</v>
      </c>
      <c r="F23" s="4">
        <v>3</v>
      </c>
      <c r="G23" s="14"/>
      <c r="H23" s="9"/>
    </row>
    <row r="24" spans="3:8" x14ac:dyDescent="0.25">
      <c r="C24" s="8"/>
      <c r="D24" s="2" t="s">
        <v>4253</v>
      </c>
      <c r="E24" s="2" t="s">
        <v>12</v>
      </c>
      <c r="F24" s="4">
        <v>6</v>
      </c>
      <c r="G24" s="14"/>
      <c r="H24" s="9"/>
    </row>
    <row r="25" spans="3:8" x14ac:dyDescent="0.25">
      <c r="C25" s="8"/>
      <c r="D25" s="2" t="s">
        <v>4279</v>
      </c>
      <c r="E25" s="2" t="s">
        <v>12</v>
      </c>
      <c r="F25" s="4">
        <v>4</v>
      </c>
      <c r="G25" s="14"/>
      <c r="H25" s="9"/>
    </row>
    <row r="26" spans="3:8" x14ac:dyDescent="0.25">
      <c r="C26" s="8"/>
      <c r="D26" s="2" t="s">
        <v>4280</v>
      </c>
      <c r="E26" s="2" t="s">
        <v>12</v>
      </c>
      <c r="F26" s="4"/>
      <c r="G26" s="14"/>
      <c r="H26" s="9">
        <v>3</v>
      </c>
    </row>
    <row r="27" spans="3:8" x14ac:dyDescent="0.25">
      <c r="C27" s="8"/>
      <c r="D27" s="2" t="s">
        <v>4281</v>
      </c>
      <c r="E27" s="2" t="s">
        <v>12</v>
      </c>
      <c r="F27" s="4"/>
      <c r="G27" s="14"/>
      <c r="H27" s="9">
        <v>6</v>
      </c>
    </row>
    <row r="28" spans="3:8" x14ac:dyDescent="0.25">
      <c r="C28" s="8"/>
      <c r="D28" s="2" t="s">
        <v>4282</v>
      </c>
      <c r="E28" s="2" t="s">
        <v>4299</v>
      </c>
      <c r="F28" s="4"/>
      <c r="G28" s="14">
        <v>24</v>
      </c>
      <c r="H28" s="9"/>
    </row>
    <row r="29" spans="3:8" x14ac:dyDescent="0.25">
      <c r="C29" s="8"/>
      <c r="D29" s="2" t="s">
        <v>4291</v>
      </c>
      <c r="E29" s="2" t="s">
        <v>12</v>
      </c>
      <c r="F29" s="4">
        <v>36</v>
      </c>
      <c r="G29" s="14"/>
      <c r="H29" s="9"/>
    </row>
    <row r="30" spans="3:8" x14ac:dyDescent="0.25">
      <c r="C30" s="8"/>
      <c r="D30" s="2" t="s">
        <v>4292</v>
      </c>
      <c r="E30" s="2" t="s">
        <v>12</v>
      </c>
      <c r="F30" s="4">
        <v>882</v>
      </c>
      <c r="G30" s="14"/>
      <c r="H30" s="9"/>
    </row>
    <row r="31" spans="3:8" x14ac:dyDescent="0.25">
      <c r="C31" s="8"/>
      <c r="D31" s="2" t="s">
        <v>4293</v>
      </c>
      <c r="E31" s="2" t="s">
        <v>12</v>
      </c>
      <c r="F31" s="4">
        <v>2.5</v>
      </c>
      <c r="G31" s="14"/>
      <c r="H31" s="9"/>
    </row>
    <row r="32" spans="3:8" x14ac:dyDescent="0.25">
      <c r="C32" s="8"/>
      <c r="D32" s="2" t="s">
        <v>4294</v>
      </c>
      <c r="E32" s="2" t="s">
        <v>4299</v>
      </c>
      <c r="F32" s="4"/>
      <c r="G32" s="14">
        <v>1262</v>
      </c>
      <c r="H32" s="9"/>
    </row>
    <row r="33" spans="3:8" x14ac:dyDescent="0.25">
      <c r="C33" s="8"/>
      <c r="D33" s="2" t="s">
        <v>4295</v>
      </c>
      <c r="E33" s="2" t="s">
        <v>4298</v>
      </c>
      <c r="F33" s="4"/>
      <c r="G33" s="14"/>
      <c r="H33" s="9">
        <v>65</v>
      </c>
    </row>
    <row r="34" spans="3:8" x14ac:dyDescent="0.25">
      <c r="C34" s="8"/>
      <c r="D34" s="2" t="s">
        <v>4296</v>
      </c>
      <c r="E34" s="2" t="s">
        <v>12</v>
      </c>
      <c r="F34" s="4">
        <v>9</v>
      </c>
      <c r="G34" s="14"/>
      <c r="H34" s="9"/>
    </row>
    <row r="35" spans="3:8" x14ac:dyDescent="0.25">
      <c r="C35" s="8"/>
      <c r="D35" s="2" t="s">
        <v>4297</v>
      </c>
      <c r="E35" s="2" t="s">
        <v>12</v>
      </c>
      <c r="F35" s="4"/>
      <c r="G35" s="14"/>
      <c r="H35" s="9">
        <v>1</v>
      </c>
    </row>
    <row r="36" spans="3:8" x14ac:dyDescent="0.25">
      <c r="C36" s="8"/>
      <c r="D36" s="2" t="s">
        <v>4301</v>
      </c>
      <c r="E36" s="2" t="s">
        <v>12</v>
      </c>
      <c r="F36" s="4">
        <v>3</v>
      </c>
      <c r="G36" s="14"/>
      <c r="H36" s="9"/>
    </row>
    <row r="37" spans="3:8" x14ac:dyDescent="0.25">
      <c r="C37" s="8"/>
      <c r="D37" s="2" t="s">
        <v>4302</v>
      </c>
      <c r="E37" s="2" t="s">
        <v>12</v>
      </c>
      <c r="F37" s="4">
        <v>34</v>
      </c>
      <c r="G37" s="14"/>
      <c r="H37" s="9"/>
    </row>
    <row r="38" spans="3:8" x14ac:dyDescent="0.25">
      <c r="C38" s="8"/>
      <c r="D38" s="2" t="s">
        <v>4303</v>
      </c>
      <c r="E38" s="2" t="s">
        <v>12</v>
      </c>
      <c r="F38" s="4">
        <v>68</v>
      </c>
      <c r="G38" s="14"/>
      <c r="H38" s="9"/>
    </row>
    <row r="39" spans="3:8" x14ac:dyDescent="0.25">
      <c r="C39" s="8"/>
      <c r="D39" s="2" t="s">
        <v>4304</v>
      </c>
      <c r="E39" s="2" t="s">
        <v>12</v>
      </c>
      <c r="F39" s="4">
        <v>50</v>
      </c>
      <c r="G39" s="14"/>
      <c r="H39" s="9"/>
    </row>
    <row r="40" spans="3:8" x14ac:dyDescent="0.25">
      <c r="C40" s="8"/>
      <c r="D40" s="2" t="s">
        <v>4305</v>
      </c>
      <c r="E40" s="2" t="s">
        <v>12</v>
      </c>
      <c r="F40" s="4">
        <v>5.5</v>
      </c>
      <c r="G40" s="14"/>
      <c r="H40" s="9"/>
    </row>
    <row r="41" spans="3:8" x14ac:dyDescent="0.25">
      <c r="C41" s="8"/>
      <c r="D41" s="2" t="s">
        <v>4306</v>
      </c>
      <c r="E41" s="2" t="s">
        <v>1153</v>
      </c>
      <c r="F41" s="4"/>
      <c r="G41" s="14">
        <v>48</v>
      </c>
      <c r="H41" s="9"/>
    </row>
    <row r="42" spans="3:8" x14ac:dyDescent="0.25">
      <c r="C42" s="8"/>
      <c r="D42" s="2" t="s">
        <v>4307</v>
      </c>
      <c r="E42" s="2" t="s">
        <v>12</v>
      </c>
      <c r="F42" s="4">
        <v>475</v>
      </c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8"/>
      <c r="D48" s="2" t="s">
        <v>4256</v>
      </c>
      <c r="E48" s="2" t="s">
        <v>48</v>
      </c>
      <c r="F48" s="4">
        <v>2.5</v>
      </c>
      <c r="G48" s="14"/>
      <c r="H48" s="9"/>
    </row>
    <row r="49" spans="3:8" x14ac:dyDescent="0.25">
      <c r="C49" s="8"/>
      <c r="D49" s="2" t="s">
        <v>4257</v>
      </c>
      <c r="E49" s="2" t="s">
        <v>4314</v>
      </c>
      <c r="F49" s="4">
        <v>184</v>
      </c>
      <c r="G49" s="14"/>
      <c r="H49" s="9"/>
    </row>
    <row r="50" spans="3:8" x14ac:dyDescent="0.25">
      <c r="C50" s="8"/>
      <c r="D50" s="2" t="s">
        <v>4258</v>
      </c>
      <c r="E50" s="2" t="s">
        <v>106</v>
      </c>
      <c r="F50" s="4"/>
      <c r="G50" s="14"/>
      <c r="H50" s="9">
        <v>238</v>
      </c>
    </row>
    <row r="51" spans="3:8" x14ac:dyDescent="0.25">
      <c r="C51" s="8"/>
      <c r="D51" s="2" t="s">
        <v>4259</v>
      </c>
      <c r="E51" s="2" t="s">
        <v>48</v>
      </c>
      <c r="F51" s="4">
        <v>4</v>
      </c>
      <c r="G51" s="14"/>
      <c r="H51" s="9"/>
    </row>
    <row r="52" spans="3:8" x14ac:dyDescent="0.25">
      <c r="C52" s="8"/>
      <c r="D52" s="2" t="s">
        <v>4260</v>
      </c>
      <c r="E52" s="2" t="s">
        <v>3741</v>
      </c>
      <c r="F52" s="4">
        <v>6916.2</v>
      </c>
      <c r="G52" s="14"/>
      <c r="H52" s="9"/>
    </row>
    <row r="53" spans="3:8" x14ac:dyDescent="0.25">
      <c r="C53" s="8"/>
      <c r="D53" s="2" t="s">
        <v>4261</v>
      </c>
      <c r="E53" s="2" t="s">
        <v>1373</v>
      </c>
      <c r="F53" s="4"/>
      <c r="G53" s="14">
        <v>1475</v>
      </c>
      <c r="H53" s="9"/>
    </row>
    <row r="54" spans="3:8" x14ac:dyDescent="0.25">
      <c r="C54" s="8"/>
      <c r="D54" s="2" t="s">
        <v>4262</v>
      </c>
      <c r="E54" s="2" t="s">
        <v>48</v>
      </c>
      <c r="F54" s="4"/>
      <c r="G54" s="14"/>
      <c r="H54" s="9">
        <v>14.5</v>
      </c>
    </row>
    <row r="55" spans="3:8" x14ac:dyDescent="0.25">
      <c r="C55" s="8"/>
      <c r="D55" s="2" t="s">
        <v>4263</v>
      </c>
      <c r="E55" s="2" t="s">
        <v>4267</v>
      </c>
      <c r="F55" s="4"/>
      <c r="G55" s="14">
        <v>638</v>
      </c>
      <c r="H55" s="9"/>
    </row>
    <row r="56" spans="3:8" x14ac:dyDescent="0.25">
      <c r="C56" s="8"/>
      <c r="D56" s="2" t="s">
        <v>4264</v>
      </c>
      <c r="E56" s="2" t="s">
        <v>48</v>
      </c>
      <c r="F56" s="4"/>
      <c r="G56" s="14"/>
      <c r="H56" s="9">
        <v>18</v>
      </c>
    </row>
    <row r="57" spans="3:8" x14ac:dyDescent="0.25">
      <c r="C57" s="8"/>
      <c r="D57" s="2" t="s">
        <v>4265</v>
      </c>
      <c r="E57" s="2" t="s">
        <v>284</v>
      </c>
      <c r="F57" s="4">
        <v>680</v>
      </c>
      <c r="G57" s="14"/>
      <c r="H57" s="9"/>
    </row>
    <row r="58" spans="3:8" x14ac:dyDescent="0.25">
      <c r="C58" s="8"/>
      <c r="D58" s="2" t="s">
        <v>4266</v>
      </c>
      <c r="E58" s="2" t="s">
        <v>3465</v>
      </c>
      <c r="F58" s="4"/>
      <c r="G58" s="14"/>
      <c r="H58" s="9">
        <v>174.5</v>
      </c>
    </row>
    <row r="59" spans="3:8" x14ac:dyDescent="0.25">
      <c r="C59" s="8"/>
      <c r="D59" s="2" t="s">
        <v>4283</v>
      </c>
      <c r="E59" s="2" t="s">
        <v>2524</v>
      </c>
      <c r="F59" s="4">
        <v>102</v>
      </c>
      <c r="G59" s="14"/>
      <c r="H59" s="9"/>
    </row>
    <row r="60" spans="3:8" x14ac:dyDescent="0.25">
      <c r="C60" s="8"/>
      <c r="D60" s="2" t="s">
        <v>4284</v>
      </c>
      <c r="E60" s="2" t="s">
        <v>4308</v>
      </c>
      <c r="F60" s="4"/>
      <c r="G60" s="14"/>
      <c r="H60" s="9">
        <v>1200</v>
      </c>
    </row>
    <row r="61" spans="3:8" x14ac:dyDescent="0.25">
      <c r="C61" s="8"/>
      <c r="D61" s="2" t="s">
        <v>4285</v>
      </c>
      <c r="E61" s="2" t="s">
        <v>48</v>
      </c>
      <c r="F61" s="4">
        <v>12</v>
      </c>
      <c r="G61" s="14"/>
      <c r="H61" s="9"/>
    </row>
    <row r="62" spans="3:8" x14ac:dyDescent="0.25">
      <c r="C62" s="8"/>
      <c r="D62" s="2" t="s">
        <v>4286</v>
      </c>
      <c r="E62" s="2" t="s">
        <v>4309</v>
      </c>
      <c r="F62" s="4">
        <v>578.79999999999995</v>
      </c>
      <c r="G62" s="14"/>
      <c r="H62" s="9"/>
    </row>
    <row r="63" spans="3:8" x14ac:dyDescent="0.25">
      <c r="C63" s="8"/>
      <c r="D63" s="2" t="s">
        <v>4310</v>
      </c>
      <c r="E63" s="2" t="s">
        <v>48</v>
      </c>
      <c r="F63" s="4">
        <v>5</v>
      </c>
      <c r="G63" s="14"/>
      <c r="H63" s="9"/>
    </row>
    <row r="64" spans="3:8" x14ac:dyDescent="0.25">
      <c r="C64" s="8"/>
      <c r="D64" s="2" t="s">
        <v>4315</v>
      </c>
      <c r="E64" s="2" t="s">
        <v>48</v>
      </c>
      <c r="F64" s="4"/>
      <c r="G64" s="14"/>
      <c r="H64" s="9">
        <v>105</v>
      </c>
    </row>
    <row r="65" spans="3:8" x14ac:dyDescent="0.25">
      <c r="C65" s="8"/>
      <c r="D65" s="2" t="s">
        <v>4316</v>
      </c>
      <c r="E65" s="2" t="s">
        <v>4308</v>
      </c>
      <c r="F65" s="4"/>
      <c r="G65" s="14">
        <v>225</v>
      </c>
      <c r="H65" s="9"/>
    </row>
    <row r="66" spans="3:8" x14ac:dyDescent="0.25">
      <c r="C66" s="8"/>
      <c r="D66" s="2" t="s">
        <v>4394</v>
      </c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29"/>
      <c r="D68" s="30"/>
      <c r="E68" s="30" t="s">
        <v>60</v>
      </c>
      <c r="F68" s="4"/>
      <c r="G68" s="14"/>
      <c r="H68" s="9"/>
    </row>
    <row r="69" spans="3:8" x14ac:dyDescent="0.25">
      <c r="C69" s="8"/>
      <c r="D69" s="45" t="s">
        <v>4269</v>
      </c>
      <c r="E69" s="68" t="s">
        <v>4268</v>
      </c>
      <c r="F69" s="90"/>
      <c r="G69" s="14"/>
      <c r="H69" s="9">
        <v>80</v>
      </c>
    </row>
    <row r="70" spans="3:8" x14ac:dyDescent="0.25">
      <c r="C70" s="8"/>
      <c r="D70" s="45" t="s">
        <v>4287</v>
      </c>
      <c r="E70" s="68" t="s">
        <v>4288</v>
      </c>
      <c r="F70" s="4"/>
      <c r="G70" s="14">
        <v>320</v>
      </c>
      <c r="H70" s="9"/>
    </row>
    <row r="71" spans="3:8" x14ac:dyDescent="0.25">
      <c r="C71" s="8"/>
      <c r="D71" s="45" t="s">
        <v>4321</v>
      </c>
      <c r="E71" s="68"/>
      <c r="F71" s="4"/>
      <c r="G71" s="14"/>
      <c r="H71" s="4"/>
    </row>
    <row r="72" spans="3:8" x14ac:dyDescent="0.25">
      <c r="C72" s="8"/>
      <c r="D72" s="2"/>
      <c r="E72" s="68"/>
      <c r="F72" s="4"/>
      <c r="G72" s="14"/>
      <c r="H72" s="9"/>
    </row>
    <row r="73" spans="3:8" x14ac:dyDescent="0.25">
      <c r="C73" s="16"/>
      <c r="D73" s="17"/>
      <c r="E73" s="17" t="s">
        <v>39</v>
      </c>
      <c r="F73" s="4"/>
      <c r="G73" s="14"/>
      <c r="H73" s="9"/>
    </row>
    <row r="74" spans="3:8" x14ac:dyDescent="0.25">
      <c r="C74" s="8"/>
      <c r="D74" s="2"/>
      <c r="E74" s="68" t="s">
        <v>4270</v>
      </c>
      <c r="F74" s="4">
        <v>2851</v>
      </c>
      <c r="G74" s="14"/>
      <c r="H74" s="9"/>
    </row>
    <row r="75" spans="3:8" x14ac:dyDescent="0.25">
      <c r="C75" s="8"/>
      <c r="D75" s="2"/>
      <c r="E75" s="68" t="s">
        <v>4271</v>
      </c>
      <c r="F75" s="4">
        <v>6693</v>
      </c>
      <c r="G75" s="14"/>
      <c r="H75" s="9"/>
    </row>
    <row r="76" spans="3:8" x14ac:dyDescent="0.25">
      <c r="C76" s="8"/>
      <c r="D76" s="2"/>
      <c r="E76" s="68" t="s">
        <v>4273</v>
      </c>
      <c r="F76" s="4">
        <v>456</v>
      </c>
      <c r="G76" s="14"/>
      <c r="H76" s="9"/>
    </row>
    <row r="77" spans="3:8" x14ac:dyDescent="0.25">
      <c r="C77" s="8"/>
      <c r="D77" s="2"/>
      <c r="E77" s="68" t="s">
        <v>4272</v>
      </c>
      <c r="F77" s="4">
        <v>2012.9</v>
      </c>
      <c r="G77" s="14"/>
      <c r="H77" s="9"/>
    </row>
    <row r="78" spans="3:8" x14ac:dyDescent="0.25">
      <c r="C78" s="8"/>
      <c r="D78" s="2"/>
      <c r="E78" s="68" t="s">
        <v>4135</v>
      </c>
      <c r="F78" s="4">
        <v>253</v>
      </c>
      <c r="G78" s="14"/>
      <c r="H78" s="9"/>
    </row>
    <row r="79" spans="3:8" x14ac:dyDescent="0.25">
      <c r="C79" s="8"/>
      <c r="D79" s="2"/>
      <c r="E79" s="68" t="s">
        <v>4300</v>
      </c>
      <c r="F79" s="4">
        <v>6</v>
      </c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9"/>
      <c r="D81" s="20"/>
      <c r="E81" s="20" t="s">
        <v>42</v>
      </c>
      <c r="F81" s="4"/>
      <c r="G81" s="14"/>
      <c r="H81" s="9"/>
    </row>
    <row r="82" spans="3:8" x14ac:dyDescent="0.25">
      <c r="C82" s="34"/>
      <c r="D82" s="42"/>
      <c r="E82" s="76" t="s">
        <v>4274</v>
      </c>
      <c r="F82" s="14">
        <v>-100</v>
      </c>
      <c r="G82" s="14"/>
      <c r="H82" s="9"/>
    </row>
    <row r="83" spans="3:8" x14ac:dyDescent="0.25">
      <c r="C83" s="8"/>
      <c r="D83" s="2"/>
      <c r="E83" s="76" t="s">
        <v>4275</v>
      </c>
      <c r="F83" s="14">
        <v>-120</v>
      </c>
      <c r="G83" s="14"/>
      <c r="H83" s="9"/>
    </row>
    <row r="84" spans="3:8" x14ac:dyDescent="0.25">
      <c r="C84" s="8"/>
      <c r="D84" s="2" t="s">
        <v>546</v>
      </c>
      <c r="E84" s="76" t="s">
        <v>4276</v>
      </c>
      <c r="F84" s="14">
        <v>-100</v>
      </c>
      <c r="G84" s="14"/>
      <c r="H84" s="9"/>
    </row>
    <row r="85" spans="3:8" x14ac:dyDescent="0.25">
      <c r="C85" s="8"/>
      <c r="D85" s="2" t="s">
        <v>546</v>
      </c>
      <c r="E85" s="76" t="s">
        <v>4277</v>
      </c>
      <c r="F85" s="14">
        <v>-2975</v>
      </c>
      <c r="G85" s="14"/>
      <c r="H85" s="9"/>
    </row>
    <row r="86" spans="3:8" x14ac:dyDescent="0.25">
      <c r="C86" s="8"/>
      <c r="D86" s="2"/>
      <c r="E86" s="76" t="s">
        <v>4278</v>
      </c>
      <c r="F86" s="14">
        <v>-100</v>
      </c>
      <c r="G86" s="14"/>
      <c r="H86" s="9"/>
    </row>
    <row r="87" spans="3:8" x14ac:dyDescent="0.25">
      <c r="C87" s="8"/>
      <c r="D87" s="2" t="s">
        <v>3745</v>
      </c>
      <c r="E87" s="76" t="s">
        <v>4290</v>
      </c>
      <c r="F87" s="14">
        <v>-750</v>
      </c>
      <c r="G87" s="14"/>
      <c r="H87" s="9"/>
    </row>
    <row r="88" spans="3:8" x14ac:dyDescent="0.25">
      <c r="C88" s="8"/>
      <c r="D88" s="2" t="s">
        <v>160</v>
      </c>
      <c r="E88" s="76" t="s">
        <v>4289</v>
      </c>
      <c r="F88" s="14">
        <v>-1020</v>
      </c>
      <c r="G88" s="14"/>
      <c r="H88" s="9"/>
    </row>
    <row r="89" spans="3:8" x14ac:dyDescent="0.25">
      <c r="C89" s="8"/>
      <c r="D89" s="2"/>
      <c r="E89" s="76" t="s">
        <v>1274</v>
      </c>
      <c r="F89" s="14">
        <v>-6045</v>
      </c>
      <c r="G89" s="14"/>
      <c r="H89" s="9"/>
    </row>
    <row r="90" spans="3:8" x14ac:dyDescent="0.25">
      <c r="C90" s="8"/>
      <c r="D90" s="2"/>
      <c r="E90" s="89" t="s">
        <v>2167</v>
      </c>
      <c r="F90" s="14">
        <v>-240</v>
      </c>
      <c r="G90" s="14"/>
      <c r="H90" s="9"/>
    </row>
    <row r="91" spans="3:8" x14ac:dyDescent="0.25">
      <c r="C91" s="8"/>
      <c r="D91" s="2"/>
      <c r="E91" s="89" t="s">
        <v>759</v>
      </c>
      <c r="F91" s="14">
        <v>-500</v>
      </c>
      <c r="G91" s="14"/>
      <c r="H91" s="9"/>
    </row>
    <row r="92" spans="3:8" x14ac:dyDescent="0.25">
      <c r="C92" s="8"/>
      <c r="D92" s="2"/>
      <c r="E92" s="89" t="s">
        <v>4311</v>
      </c>
      <c r="F92" s="14">
        <v>-280</v>
      </c>
      <c r="G92" s="14"/>
      <c r="H92" s="9"/>
    </row>
    <row r="93" spans="3:8" x14ac:dyDescent="0.25">
      <c r="C93" s="8"/>
      <c r="D93" s="2"/>
      <c r="E93" s="89" t="s">
        <v>1486</v>
      </c>
      <c r="F93" s="14">
        <v>-440</v>
      </c>
      <c r="G93" s="14"/>
      <c r="H93" s="9"/>
    </row>
    <row r="94" spans="3:8" x14ac:dyDescent="0.25">
      <c r="C94" s="8"/>
      <c r="D94" s="2"/>
      <c r="E94" s="89" t="s">
        <v>1632</v>
      </c>
      <c r="F94" s="14">
        <v>-150</v>
      </c>
      <c r="G94" s="14"/>
      <c r="H94" s="9"/>
    </row>
    <row r="95" spans="3:8" x14ac:dyDescent="0.25">
      <c r="C95" s="8"/>
      <c r="D95" s="2"/>
      <c r="E95" s="89" t="s">
        <v>4312</v>
      </c>
      <c r="F95" s="14">
        <v>-785</v>
      </c>
      <c r="G95" s="14"/>
      <c r="H95" s="9"/>
    </row>
    <row r="96" spans="3:8" x14ac:dyDescent="0.25">
      <c r="C96" s="8"/>
      <c r="D96" s="2"/>
      <c r="E96" s="89" t="s">
        <v>760</v>
      </c>
      <c r="F96" s="14">
        <v>-390</v>
      </c>
      <c r="G96" s="14"/>
      <c r="H96" s="9"/>
    </row>
    <row r="97" spans="3:8" x14ac:dyDescent="0.25">
      <c r="C97" s="8"/>
      <c r="D97" s="2"/>
      <c r="E97" s="89" t="s">
        <v>753</v>
      </c>
      <c r="F97" s="14">
        <v>-380</v>
      </c>
      <c r="G97" s="14"/>
      <c r="H97" s="9"/>
    </row>
    <row r="98" spans="3:8" x14ac:dyDescent="0.25">
      <c r="C98" s="8"/>
      <c r="D98" s="2"/>
      <c r="E98" s="89" t="s">
        <v>2704</v>
      </c>
      <c r="F98" s="14">
        <v>-370</v>
      </c>
      <c r="G98" s="14"/>
      <c r="H98" s="9"/>
    </row>
    <row r="99" spans="3:8" x14ac:dyDescent="0.25">
      <c r="C99" s="8"/>
      <c r="D99" s="2"/>
      <c r="E99" s="89" t="s">
        <v>771</v>
      </c>
      <c r="F99" s="14">
        <v>-2.6</v>
      </c>
      <c r="G99" s="14"/>
      <c r="H99" s="9"/>
    </row>
    <row r="100" spans="3:8" x14ac:dyDescent="0.25">
      <c r="C100" s="8"/>
      <c r="D100" s="2"/>
      <c r="E100" s="89" t="s">
        <v>766</v>
      </c>
      <c r="F100" s="14">
        <v>-600</v>
      </c>
      <c r="G100" s="14"/>
      <c r="H100" s="9"/>
    </row>
    <row r="101" spans="3:8" x14ac:dyDescent="0.25">
      <c r="C101" s="8"/>
      <c r="D101" s="2"/>
      <c r="E101" s="89" t="s">
        <v>770</v>
      </c>
      <c r="F101" s="14">
        <v>-450</v>
      </c>
      <c r="G101" s="14"/>
      <c r="H101" s="9"/>
    </row>
    <row r="102" spans="3:8" x14ac:dyDescent="0.25">
      <c r="C102" s="8"/>
      <c r="D102" s="2"/>
      <c r="E102" s="89" t="s">
        <v>1553</v>
      </c>
      <c r="F102" s="14">
        <v>-450</v>
      </c>
      <c r="G102" s="14"/>
      <c r="H102" s="9"/>
    </row>
    <row r="103" spans="3:8" x14ac:dyDescent="0.25">
      <c r="C103" s="8"/>
      <c r="D103" s="2"/>
      <c r="E103" s="89" t="s">
        <v>4313</v>
      </c>
      <c r="F103" s="14">
        <v>-225</v>
      </c>
      <c r="G103" s="14"/>
      <c r="H103" s="9"/>
    </row>
    <row r="104" spans="3:8" x14ac:dyDescent="0.25">
      <c r="C104" s="8"/>
      <c r="D104" s="2"/>
      <c r="E104" s="89" t="s">
        <v>1491</v>
      </c>
      <c r="F104" s="14">
        <v>-350</v>
      </c>
      <c r="G104" s="14"/>
      <c r="H104" s="9"/>
    </row>
    <row r="105" spans="3:8" x14ac:dyDescent="0.25">
      <c r="C105" s="8"/>
      <c r="D105" s="2"/>
      <c r="E105" s="89"/>
      <c r="F105" s="14"/>
      <c r="G105" s="14"/>
      <c r="H105" s="9"/>
    </row>
    <row r="106" spans="3:8" x14ac:dyDescent="0.25">
      <c r="C106" s="8"/>
      <c r="D106" s="2"/>
      <c r="E106" s="2"/>
      <c r="F106" s="4"/>
      <c r="G106" s="14"/>
      <c r="H106" s="9"/>
    </row>
    <row r="107" spans="3:8" ht="15.75" thickBot="1" x14ac:dyDescent="0.3">
      <c r="C107" s="10"/>
      <c r="D107" s="11"/>
      <c r="E107" s="11" t="s">
        <v>44</v>
      </c>
      <c r="F107" s="12">
        <f>SUM(F6:F106)</f>
        <v>6561.8000000000011</v>
      </c>
      <c r="G107" s="15">
        <f>SUM(G6:G106)</f>
        <v>3992</v>
      </c>
      <c r="H107" s="13">
        <f>SUM(H6:H106)</f>
        <v>11128.2</v>
      </c>
    </row>
    <row r="110" spans="3:8" s="3" customFormat="1" ht="18.75" x14ac:dyDescent="0.3">
      <c r="C110" s="1"/>
      <c r="D110" s="1"/>
      <c r="E110" s="38" t="s">
        <v>49</v>
      </c>
      <c r="F110" s="39">
        <f>+H4+F107</f>
        <v>9135.3300000000017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DD97-F78B-46D0-B255-F00FF9013103}">
  <sheetPr codeName="Hoja49"/>
  <dimension ref="C2:H170"/>
  <sheetViews>
    <sheetView topLeftCell="A140" zoomScaleNormal="100" workbookViewId="0">
      <selection activeCell="F170" sqref="F170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4317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9135.33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4323</v>
      </c>
      <c r="E6" s="2" t="s">
        <v>4324</v>
      </c>
      <c r="F6" s="4">
        <v>120</v>
      </c>
      <c r="G6" s="14"/>
      <c r="H6" s="9"/>
    </row>
    <row r="7" spans="3:8" x14ac:dyDescent="0.25">
      <c r="C7" s="8"/>
      <c r="D7" s="2" t="s">
        <v>4325</v>
      </c>
      <c r="E7" s="2" t="s">
        <v>12</v>
      </c>
      <c r="F7" s="4">
        <v>16.5</v>
      </c>
      <c r="G7" s="14"/>
      <c r="H7" s="9"/>
    </row>
    <row r="8" spans="3:8" x14ac:dyDescent="0.25">
      <c r="C8" s="8"/>
      <c r="D8" s="2" t="s">
        <v>4326</v>
      </c>
      <c r="E8" s="2" t="s">
        <v>4393</v>
      </c>
      <c r="F8" s="4">
        <v>240</v>
      </c>
      <c r="G8" s="14"/>
      <c r="H8" s="9"/>
    </row>
    <row r="9" spans="3:8" x14ac:dyDescent="0.25">
      <c r="C9" s="8"/>
      <c r="D9" s="2" t="s">
        <v>4327</v>
      </c>
      <c r="E9" s="2" t="s">
        <v>12</v>
      </c>
      <c r="F9" s="4">
        <v>54.5</v>
      </c>
      <c r="G9" s="14"/>
      <c r="H9" s="9"/>
    </row>
    <row r="10" spans="3:8" x14ac:dyDescent="0.25">
      <c r="C10" s="8"/>
      <c r="D10" s="2" t="s">
        <v>4328</v>
      </c>
      <c r="E10" s="2" t="s">
        <v>12</v>
      </c>
      <c r="F10" s="4"/>
      <c r="G10" s="14"/>
      <c r="H10" s="9">
        <v>61</v>
      </c>
    </row>
    <row r="11" spans="3:8" x14ac:dyDescent="0.25">
      <c r="C11" s="8"/>
      <c r="D11" s="2" t="s">
        <v>4329</v>
      </c>
      <c r="E11" s="2" t="s">
        <v>12</v>
      </c>
      <c r="F11" s="4"/>
      <c r="G11" s="14"/>
      <c r="H11" s="9">
        <v>92</v>
      </c>
    </row>
    <row r="12" spans="3:8" x14ac:dyDescent="0.25">
      <c r="C12" s="8"/>
      <c r="D12" s="2" t="s">
        <v>4330</v>
      </c>
      <c r="E12" s="2" t="s">
        <v>4392</v>
      </c>
      <c r="F12" s="4"/>
      <c r="G12" s="14"/>
      <c r="H12" s="9">
        <v>2572.1999999999998</v>
      </c>
    </row>
    <row r="13" spans="3:8" x14ac:dyDescent="0.25">
      <c r="C13" s="8"/>
      <c r="D13" s="2" t="s">
        <v>4331</v>
      </c>
      <c r="E13" s="2" t="s">
        <v>4391</v>
      </c>
      <c r="F13" s="4"/>
      <c r="G13" s="14"/>
      <c r="H13" s="9">
        <v>700</v>
      </c>
    </row>
    <row r="14" spans="3:8" x14ac:dyDescent="0.25">
      <c r="C14" s="8"/>
      <c r="D14" s="2" t="s">
        <v>4332</v>
      </c>
      <c r="E14" s="2" t="s">
        <v>12</v>
      </c>
      <c r="F14" s="4">
        <v>27</v>
      </c>
      <c r="G14" s="14"/>
      <c r="H14" s="9"/>
    </row>
    <row r="15" spans="3:8" x14ac:dyDescent="0.25">
      <c r="C15" s="8"/>
      <c r="D15" s="2" t="s">
        <v>4333</v>
      </c>
      <c r="E15" s="2" t="s">
        <v>12</v>
      </c>
      <c r="F15" s="4">
        <v>9</v>
      </c>
      <c r="G15" s="14"/>
      <c r="H15" s="9">
        <v>30</v>
      </c>
    </row>
    <row r="16" spans="3:8" x14ac:dyDescent="0.25">
      <c r="C16" s="8"/>
      <c r="D16" s="2" t="s">
        <v>4334</v>
      </c>
      <c r="E16" s="2" t="s">
        <v>4390</v>
      </c>
      <c r="F16" s="4"/>
      <c r="G16" s="14"/>
      <c r="H16" s="9">
        <v>466.8</v>
      </c>
    </row>
    <row r="17" spans="3:8" x14ac:dyDescent="0.25">
      <c r="C17" s="8"/>
      <c r="D17" s="2" t="s">
        <v>4335</v>
      </c>
      <c r="E17" s="2" t="s">
        <v>4389</v>
      </c>
      <c r="F17" s="4">
        <v>183</v>
      </c>
      <c r="G17" s="14"/>
      <c r="H17" s="9">
        <v>400</v>
      </c>
    </row>
    <row r="18" spans="3:8" x14ac:dyDescent="0.25">
      <c r="C18" s="8"/>
      <c r="D18" s="2" t="s">
        <v>4336</v>
      </c>
      <c r="E18" s="2" t="s">
        <v>3179</v>
      </c>
      <c r="F18" s="4"/>
      <c r="G18" s="14"/>
      <c r="H18" s="9">
        <v>205.4</v>
      </c>
    </row>
    <row r="19" spans="3:8" x14ac:dyDescent="0.25">
      <c r="C19" s="8"/>
      <c r="D19" s="2" t="s">
        <v>4337</v>
      </c>
      <c r="E19" s="2" t="s">
        <v>12</v>
      </c>
      <c r="F19" s="4">
        <v>4</v>
      </c>
      <c r="G19" s="14"/>
      <c r="H19" s="9"/>
    </row>
    <row r="20" spans="3:8" x14ac:dyDescent="0.25">
      <c r="C20" s="8"/>
      <c r="D20" s="2" t="s">
        <v>4338</v>
      </c>
      <c r="E20" s="2" t="s">
        <v>12</v>
      </c>
      <c r="F20" s="4"/>
      <c r="G20" s="14"/>
      <c r="H20" s="9">
        <v>28</v>
      </c>
    </row>
    <row r="21" spans="3:8" x14ac:dyDescent="0.25">
      <c r="C21" s="8"/>
      <c r="D21" s="2" t="s">
        <v>4339</v>
      </c>
      <c r="E21" s="2" t="s">
        <v>4390</v>
      </c>
      <c r="F21" s="4"/>
      <c r="G21" s="14"/>
      <c r="H21" s="9">
        <v>55</v>
      </c>
    </row>
    <row r="22" spans="3:8" x14ac:dyDescent="0.25">
      <c r="C22" s="8"/>
      <c r="D22" s="2" t="s">
        <v>4340</v>
      </c>
      <c r="E22" s="2" t="s">
        <v>12</v>
      </c>
      <c r="F22" s="4">
        <v>46</v>
      </c>
      <c r="G22" s="14"/>
      <c r="H22" s="9"/>
    </row>
    <row r="23" spans="3:8" x14ac:dyDescent="0.25">
      <c r="C23" s="8"/>
      <c r="D23" s="2" t="s">
        <v>4341</v>
      </c>
      <c r="E23" s="2" t="s">
        <v>4389</v>
      </c>
      <c r="F23" s="4">
        <v>130</v>
      </c>
      <c r="G23" s="14"/>
      <c r="H23" s="9"/>
    </row>
    <row r="24" spans="3:8" x14ac:dyDescent="0.25">
      <c r="C24" s="8"/>
      <c r="D24" s="2" t="s">
        <v>4342</v>
      </c>
      <c r="E24" s="2" t="s">
        <v>12</v>
      </c>
      <c r="F24" s="4">
        <v>10</v>
      </c>
      <c r="G24" s="14"/>
      <c r="H24" s="9"/>
    </row>
    <row r="25" spans="3:8" x14ac:dyDescent="0.25">
      <c r="C25" s="8"/>
      <c r="D25" s="2" t="s">
        <v>4343</v>
      </c>
      <c r="E25" s="2" t="s">
        <v>141</v>
      </c>
      <c r="F25" s="4"/>
      <c r="G25" s="14"/>
      <c r="H25" s="9">
        <v>975</v>
      </c>
    </row>
    <row r="26" spans="3:8" x14ac:dyDescent="0.25">
      <c r="C26" s="8"/>
      <c r="D26" s="2" t="s">
        <v>4344</v>
      </c>
      <c r="E26" s="2" t="s">
        <v>12</v>
      </c>
      <c r="F26" s="4">
        <v>2</v>
      </c>
      <c r="G26" s="14"/>
      <c r="H26" s="9">
        <v>8</v>
      </c>
    </row>
    <row r="27" spans="3:8" x14ac:dyDescent="0.25">
      <c r="C27" s="8"/>
      <c r="D27" s="2" t="s">
        <v>4345</v>
      </c>
      <c r="E27" s="2" t="s">
        <v>12</v>
      </c>
      <c r="F27" s="4">
        <v>12</v>
      </c>
      <c r="G27" s="14"/>
      <c r="H27" s="9"/>
    </row>
    <row r="28" spans="3:8" x14ac:dyDescent="0.25">
      <c r="C28" s="8"/>
      <c r="D28" s="2" t="s">
        <v>4346</v>
      </c>
      <c r="E28" s="2" t="s">
        <v>12</v>
      </c>
      <c r="F28" s="4">
        <v>18</v>
      </c>
      <c r="G28" s="14"/>
      <c r="H28" s="9"/>
    </row>
    <row r="29" spans="3:8" x14ac:dyDescent="0.25">
      <c r="C29" s="8"/>
      <c r="D29" s="2" t="s">
        <v>4347</v>
      </c>
      <c r="E29" s="2" t="s">
        <v>12</v>
      </c>
      <c r="F29" s="4">
        <v>8</v>
      </c>
      <c r="G29" s="14"/>
      <c r="H29" s="9"/>
    </row>
    <row r="30" spans="3:8" x14ac:dyDescent="0.25">
      <c r="C30" s="8"/>
      <c r="D30" s="2" t="s">
        <v>4348</v>
      </c>
      <c r="E30" s="2" t="s">
        <v>12</v>
      </c>
      <c r="F30" s="4">
        <v>28</v>
      </c>
      <c r="G30" s="14"/>
      <c r="H30" s="9"/>
    </row>
    <row r="31" spans="3:8" x14ac:dyDescent="0.25">
      <c r="C31" s="8"/>
      <c r="D31" s="2" t="s">
        <v>4349</v>
      </c>
      <c r="E31" s="2" t="s">
        <v>4388</v>
      </c>
      <c r="F31" s="4">
        <v>623.20000000000005</v>
      </c>
      <c r="G31" s="14"/>
      <c r="H31" s="9"/>
    </row>
    <row r="32" spans="3:8" x14ac:dyDescent="0.25">
      <c r="C32" s="8"/>
      <c r="D32" s="2" t="s">
        <v>4350</v>
      </c>
      <c r="E32" s="2" t="s">
        <v>12</v>
      </c>
      <c r="F32" s="4">
        <v>33.799999999999997</v>
      </c>
      <c r="G32" s="14"/>
      <c r="H32" s="9"/>
    </row>
    <row r="33" spans="3:8" x14ac:dyDescent="0.25">
      <c r="C33" s="8"/>
      <c r="D33" s="2" t="s">
        <v>4351</v>
      </c>
      <c r="E33" s="2" t="s">
        <v>12</v>
      </c>
      <c r="F33" s="4"/>
      <c r="G33" s="14"/>
      <c r="H33" s="9">
        <v>25</v>
      </c>
    </row>
    <row r="34" spans="3:8" x14ac:dyDescent="0.25">
      <c r="C34" s="8"/>
      <c r="D34" s="2" t="s">
        <v>4352</v>
      </c>
      <c r="E34" s="2" t="s">
        <v>266</v>
      </c>
      <c r="F34" s="4"/>
      <c r="G34" s="14">
        <v>760.2</v>
      </c>
      <c r="H34" s="9"/>
    </row>
    <row r="35" spans="3:8" x14ac:dyDescent="0.25">
      <c r="C35" s="8"/>
      <c r="D35" s="2" t="s">
        <v>4353</v>
      </c>
      <c r="E35" s="2" t="s">
        <v>12</v>
      </c>
      <c r="F35" s="4">
        <v>17</v>
      </c>
      <c r="G35" s="14"/>
      <c r="H35" s="9"/>
    </row>
    <row r="36" spans="3:8" x14ac:dyDescent="0.25">
      <c r="C36" s="8"/>
      <c r="D36" s="2" t="s">
        <v>4354</v>
      </c>
      <c r="E36" s="2" t="s">
        <v>12</v>
      </c>
      <c r="F36" s="4">
        <v>20</v>
      </c>
      <c r="G36" s="14"/>
      <c r="H36" s="9"/>
    </row>
    <row r="37" spans="3:8" x14ac:dyDescent="0.25">
      <c r="C37" s="8"/>
      <c r="D37" s="2" t="s">
        <v>4355</v>
      </c>
      <c r="E37" s="2" t="s">
        <v>12</v>
      </c>
      <c r="F37" s="4">
        <v>19.5</v>
      </c>
      <c r="G37" s="14"/>
      <c r="H37" s="9"/>
    </row>
    <row r="38" spans="3:8" x14ac:dyDescent="0.25">
      <c r="C38" s="8"/>
      <c r="D38" s="2" t="s">
        <v>4356</v>
      </c>
      <c r="E38" s="2" t="s">
        <v>12</v>
      </c>
      <c r="F38" s="4">
        <v>698</v>
      </c>
      <c r="G38" s="14"/>
      <c r="H38" s="9"/>
    </row>
    <row r="39" spans="3:8" x14ac:dyDescent="0.25">
      <c r="C39" s="8"/>
      <c r="D39" s="2" t="s">
        <v>4357</v>
      </c>
      <c r="E39" s="2" t="s">
        <v>12</v>
      </c>
      <c r="F39" s="4">
        <v>5</v>
      </c>
      <c r="G39" s="14"/>
      <c r="H39" s="9"/>
    </row>
    <row r="40" spans="3:8" x14ac:dyDescent="0.25">
      <c r="C40" s="8"/>
      <c r="D40" s="2" t="s">
        <v>4358</v>
      </c>
      <c r="E40" s="2" t="s">
        <v>158</v>
      </c>
      <c r="F40" s="4"/>
      <c r="G40" s="14"/>
      <c r="H40" s="9">
        <v>1090</v>
      </c>
    </row>
    <row r="41" spans="3:8" x14ac:dyDescent="0.25">
      <c r="C41" s="8"/>
      <c r="D41" s="2" t="s">
        <v>4359</v>
      </c>
      <c r="E41" s="2" t="s">
        <v>4387</v>
      </c>
      <c r="F41" s="4"/>
      <c r="G41" s="14"/>
      <c r="H41" s="9">
        <v>315</v>
      </c>
    </row>
    <row r="42" spans="3:8" x14ac:dyDescent="0.25">
      <c r="C42" s="8"/>
      <c r="D42" s="2" t="s">
        <v>4360</v>
      </c>
      <c r="E42" s="2" t="s">
        <v>12</v>
      </c>
      <c r="F42" s="4">
        <v>24</v>
      </c>
      <c r="G42" s="14"/>
      <c r="H42" s="9"/>
    </row>
    <row r="43" spans="3:8" x14ac:dyDescent="0.25">
      <c r="C43" s="8"/>
      <c r="D43" s="2" t="s">
        <v>4361</v>
      </c>
      <c r="E43" s="2" t="s">
        <v>2671</v>
      </c>
      <c r="F43" s="4"/>
      <c r="G43" s="14">
        <v>18</v>
      </c>
      <c r="H43" s="9"/>
    </row>
    <row r="44" spans="3:8" x14ac:dyDescent="0.25">
      <c r="C44" s="8"/>
      <c r="D44" s="2" t="s">
        <v>4362</v>
      </c>
      <c r="E44" s="2" t="s">
        <v>605</v>
      </c>
      <c r="F44" s="4"/>
      <c r="G44" s="14">
        <v>412.5</v>
      </c>
      <c r="H44" s="9"/>
    </row>
    <row r="45" spans="3:8" x14ac:dyDescent="0.25">
      <c r="C45" s="8"/>
      <c r="D45" s="2" t="s">
        <v>4363</v>
      </c>
      <c r="E45" s="2" t="s">
        <v>4386</v>
      </c>
      <c r="F45" s="4">
        <v>1025</v>
      </c>
      <c r="G45" s="14"/>
      <c r="H45" s="9"/>
    </row>
    <row r="46" spans="3:8" x14ac:dyDescent="0.25">
      <c r="C46" s="8"/>
      <c r="D46" s="2" t="s">
        <v>4364</v>
      </c>
      <c r="E46" s="2" t="s">
        <v>12</v>
      </c>
      <c r="F46" s="4"/>
      <c r="G46" s="14"/>
      <c r="H46" s="9">
        <v>2.2999999999999998</v>
      </c>
    </row>
    <row r="47" spans="3:8" x14ac:dyDescent="0.25">
      <c r="C47" s="8"/>
      <c r="D47" s="2" t="s">
        <v>4365</v>
      </c>
      <c r="E47" s="2" t="s">
        <v>12</v>
      </c>
      <c r="F47" s="4">
        <v>77</v>
      </c>
      <c r="G47" s="14"/>
      <c r="H47" s="9"/>
    </row>
    <row r="48" spans="3:8" x14ac:dyDescent="0.25">
      <c r="C48" s="8"/>
      <c r="D48" s="2" t="s">
        <v>4366</v>
      </c>
      <c r="E48" s="2" t="s">
        <v>12</v>
      </c>
      <c r="F48" s="4">
        <v>6.6</v>
      </c>
      <c r="G48" s="14"/>
      <c r="H48" s="9"/>
    </row>
    <row r="49" spans="3:8" x14ac:dyDescent="0.25">
      <c r="C49" s="8"/>
      <c r="D49" s="2" t="s">
        <v>4367</v>
      </c>
      <c r="E49" s="2" t="s">
        <v>266</v>
      </c>
      <c r="F49" s="4"/>
      <c r="G49" s="14">
        <v>60.3</v>
      </c>
      <c r="H49" s="9"/>
    </row>
    <row r="50" spans="3:8" x14ac:dyDescent="0.25">
      <c r="C50" s="8"/>
      <c r="D50" s="2" t="s">
        <v>4368</v>
      </c>
      <c r="E50" s="2" t="s">
        <v>12</v>
      </c>
      <c r="F50" s="4"/>
      <c r="G50" s="14"/>
      <c r="H50" s="9">
        <v>46</v>
      </c>
    </row>
    <row r="51" spans="3:8" x14ac:dyDescent="0.25">
      <c r="C51" s="8"/>
      <c r="D51" s="2" t="s">
        <v>4369</v>
      </c>
      <c r="E51" s="2" t="s">
        <v>266</v>
      </c>
      <c r="F51" s="4"/>
      <c r="G51" s="14">
        <v>278</v>
      </c>
      <c r="H51" s="9"/>
    </row>
    <row r="52" spans="3:8" x14ac:dyDescent="0.25">
      <c r="C52" s="8"/>
      <c r="D52" s="2" t="s">
        <v>4370</v>
      </c>
      <c r="E52" s="2" t="s">
        <v>12</v>
      </c>
      <c r="F52" s="4">
        <v>3.5</v>
      </c>
      <c r="G52" s="14"/>
      <c r="H52" s="9"/>
    </row>
    <row r="53" spans="3:8" x14ac:dyDescent="0.25">
      <c r="C53" s="8"/>
      <c r="D53" s="2" t="s">
        <v>4371</v>
      </c>
      <c r="E53" s="2" t="s">
        <v>12</v>
      </c>
      <c r="F53" s="4"/>
      <c r="G53" s="14"/>
      <c r="H53" s="9">
        <v>2</v>
      </c>
    </row>
    <row r="54" spans="3:8" x14ac:dyDescent="0.25">
      <c r="C54" s="8"/>
      <c r="D54" s="2" t="s">
        <v>4372</v>
      </c>
      <c r="E54" s="2" t="s">
        <v>12</v>
      </c>
      <c r="F54" s="4"/>
      <c r="G54" s="14"/>
      <c r="H54" s="9">
        <v>19</v>
      </c>
    </row>
    <row r="55" spans="3:8" x14ac:dyDescent="0.25">
      <c r="C55" s="8"/>
      <c r="D55" s="2" t="s">
        <v>4373</v>
      </c>
      <c r="E55" s="2" t="s">
        <v>12</v>
      </c>
      <c r="F55" s="4"/>
      <c r="G55" s="14"/>
      <c r="H55" s="9">
        <v>58</v>
      </c>
    </row>
    <row r="56" spans="3:8" x14ac:dyDescent="0.25">
      <c r="C56" s="8"/>
      <c r="D56" s="2" t="s">
        <v>4374</v>
      </c>
      <c r="E56" s="2" t="s">
        <v>12</v>
      </c>
      <c r="F56" s="4"/>
      <c r="G56" s="14"/>
      <c r="H56" s="9">
        <v>19</v>
      </c>
    </row>
    <row r="57" spans="3:8" x14ac:dyDescent="0.25">
      <c r="C57" s="8"/>
      <c r="D57" s="2" t="s">
        <v>4375</v>
      </c>
      <c r="E57" s="2" t="s">
        <v>12</v>
      </c>
      <c r="F57" s="4">
        <v>9</v>
      </c>
      <c r="G57" s="14"/>
      <c r="H57" s="9"/>
    </row>
    <row r="58" spans="3:8" x14ac:dyDescent="0.25">
      <c r="C58" s="8"/>
      <c r="D58" s="2" t="s">
        <v>4376</v>
      </c>
      <c r="E58" s="2" t="s">
        <v>12</v>
      </c>
      <c r="F58" s="4">
        <v>4</v>
      </c>
      <c r="G58" s="14"/>
      <c r="H58" s="9"/>
    </row>
    <row r="59" spans="3:8" x14ac:dyDescent="0.25">
      <c r="C59" s="8"/>
      <c r="D59" s="2" t="s">
        <v>4377</v>
      </c>
      <c r="E59" s="2" t="s">
        <v>12</v>
      </c>
      <c r="F59" s="4">
        <v>100</v>
      </c>
      <c r="G59" s="14"/>
      <c r="H59" s="9">
        <v>12</v>
      </c>
    </row>
    <row r="60" spans="3:8" x14ac:dyDescent="0.25">
      <c r="C60" s="8"/>
      <c r="D60" s="2" t="s">
        <v>4378</v>
      </c>
      <c r="E60" s="2" t="s">
        <v>12</v>
      </c>
      <c r="F60" s="4">
        <v>3</v>
      </c>
      <c r="G60" s="14"/>
      <c r="H60" s="9"/>
    </row>
    <row r="61" spans="3:8" x14ac:dyDescent="0.25">
      <c r="C61" s="8"/>
      <c r="D61" s="2" t="s">
        <v>4379</v>
      </c>
      <c r="E61" s="2" t="s">
        <v>1075</v>
      </c>
      <c r="F61" s="4"/>
      <c r="G61" s="14"/>
      <c r="H61" s="9">
        <v>250</v>
      </c>
    </row>
    <row r="62" spans="3:8" x14ac:dyDescent="0.25">
      <c r="C62" s="8"/>
      <c r="D62" s="2" t="s">
        <v>4380</v>
      </c>
      <c r="E62" s="2" t="s">
        <v>3150</v>
      </c>
      <c r="F62" s="4"/>
      <c r="G62" s="14">
        <v>118</v>
      </c>
      <c r="H62" s="9"/>
    </row>
    <row r="63" spans="3:8" x14ac:dyDescent="0.25">
      <c r="C63" s="8"/>
      <c r="D63" s="2" t="s">
        <v>4381</v>
      </c>
      <c r="E63" s="2" t="s">
        <v>12</v>
      </c>
      <c r="F63" s="4">
        <v>20</v>
      </c>
      <c r="G63" s="14"/>
      <c r="H63" s="9"/>
    </row>
    <row r="64" spans="3:8" x14ac:dyDescent="0.25">
      <c r="C64" s="8"/>
      <c r="D64" s="2" t="s">
        <v>4382</v>
      </c>
      <c r="E64" s="2" t="s">
        <v>12</v>
      </c>
      <c r="F64" s="4"/>
      <c r="G64" s="14"/>
      <c r="H64" s="9">
        <v>1</v>
      </c>
    </row>
    <row r="65" spans="3:8" x14ac:dyDescent="0.25">
      <c r="C65" s="8"/>
      <c r="D65" s="2" t="s">
        <v>4383</v>
      </c>
      <c r="E65" s="2" t="s">
        <v>4385</v>
      </c>
      <c r="F65" s="4"/>
      <c r="G65" s="14"/>
      <c r="H65" s="9">
        <v>931.4</v>
      </c>
    </row>
    <row r="66" spans="3:8" x14ac:dyDescent="0.25">
      <c r="C66" s="8"/>
      <c r="D66" s="2" t="s">
        <v>4384</v>
      </c>
      <c r="E66" s="2" t="s">
        <v>4390</v>
      </c>
      <c r="F66" s="4"/>
      <c r="G66" s="14"/>
      <c r="H66" s="9">
        <v>289.2</v>
      </c>
    </row>
    <row r="67" spans="3:8" x14ac:dyDescent="0.25">
      <c r="C67" s="8"/>
      <c r="D67" s="2" t="s">
        <v>4451</v>
      </c>
      <c r="E67" s="2" t="s">
        <v>583</v>
      </c>
      <c r="F67" s="4">
        <v>280</v>
      </c>
      <c r="G67" s="14"/>
      <c r="H67" s="9"/>
    </row>
    <row r="68" spans="3:8" x14ac:dyDescent="0.25">
      <c r="C68" s="8"/>
      <c r="D68" s="2" t="s">
        <v>4452</v>
      </c>
      <c r="E68" s="2" t="s">
        <v>12</v>
      </c>
      <c r="F68" s="4"/>
      <c r="G68" s="14"/>
      <c r="H68" s="9">
        <v>3</v>
      </c>
    </row>
    <row r="69" spans="3:8" x14ac:dyDescent="0.25">
      <c r="C69" s="8"/>
      <c r="D69" s="2" t="s">
        <v>4453</v>
      </c>
      <c r="E69" s="2" t="s">
        <v>4462</v>
      </c>
      <c r="F69" s="4">
        <v>108</v>
      </c>
      <c r="G69" s="14"/>
      <c r="H69" s="9">
        <v>200.5</v>
      </c>
    </row>
    <row r="70" spans="3:8" x14ac:dyDescent="0.25">
      <c r="C70" s="8"/>
      <c r="D70" s="2" t="s">
        <v>4454</v>
      </c>
      <c r="E70" s="2" t="s">
        <v>12</v>
      </c>
      <c r="F70" s="4">
        <v>3</v>
      </c>
      <c r="G70" s="14"/>
      <c r="H70" s="9"/>
    </row>
    <row r="71" spans="3:8" x14ac:dyDescent="0.25">
      <c r="C71" s="8"/>
      <c r="D71" s="2" t="s">
        <v>4455</v>
      </c>
      <c r="E71" s="2" t="s">
        <v>12</v>
      </c>
      <c r="F71" s="4">
        <v>53</v>
      </c>
      <c r="G71" s="14"/>
      <c r="H71" s="9"/>
    </row>
    <row r="72" spans="3:8" x14ac:dyDescent="0.25">
      <c r="C72" s="8"/>
      <c r="D72" s="2" t="s">
        <v>4456</v>
      </c>
      <c r="E72" s="2" t="s">
        <v>12</v>
      </c>
      <c r="F72" s="4"/>
      <c r="G72" s="14"/>
      <c r="H72" s="9">
        <v>10</v>
      </c>
    </row>
    <row r="73" spans="3:8" x14ac:dyDescent="0.25">
      <c r="C73" s="8"/>
      <c r="D73" s="2" t="s">
        <v>4457</v>
      </c>
      <c r="E73" s="2" t="s">
        <v>12</v>
      </c>
      <c r="F73" s="4">
        <v>3</v>
      </c>
      <c r="G73" s="14"/>
      <c r="H73" s="9"/>
    </row>
    <row r="74" spans="3:8" x14ac:dyDescent="0.25">
      <c r="C74" s="8"/>
      <c r="D74" s="2" t="s">
        <v>4458</v>
      </c>
      <c r="E74" s="2" t="s">
        <v>12</v>
      </c>
      <c r="F74" s="4"/>
      <c r="G74" s="14"/>
      <c r="H74" s="9">
        <v>19</v>
      </c>
    </row>
    <row r="75" spans="3:8" x14ac:dyDescent="0.25">
      <c r="C75" s="8"/>
      <c r="D75" s="2" t="s">
        <v>4459</v>
      </c>
      <c r="E75" s="2" t="s">
        <v>4461</v>
      </c>
      <c r="F75" s="4">
        <v>970</v>
      </c>
      <c r="G75" s="14"/>
      <c r="H75" s="9">
        <v>74</v>
      </c>
    </row>
    <row r="76" spans="3:8" x14ac:dyDescent="0.25">
      <c r="C76" s="8"/>
      <c r="D76" s="2" t="s">
        <v>4460</v>
      </c>
      <c r="E76" s="2" t="s">
        <v>12</v>
      </c>
      <c r="F76" s="4">
        <v>8</v>
      </c>
      <c r="G76" s="14"/>
      <c r="H76" s="9"/>
    </row>
    <row r="77" spans="3:8" x14ac:dyDescent="0.25">
      <c r="C77" s="8"/>
      <c r="D77" s="2" t="s">
        <v>4472</v>
      </c>
      <c r="E77" s="2" t="s">
        <v>12</v>
      </c>
      <c r="F77" s="4">
        <v>5</v>
      </c>
      <c r="G77" s="14"/>
      <c r="H77" s="9"/>
    </row>
    <row r="78" spans="3:8" x14ac:dyDescent="0.25">
      <c r="C78" s="8"/>
      <c r="D78" s="2" t="s">
        <v>4477</v>
      </c>
      <c r="E78" s="2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8"/>
      <c r="D82" s="2" t="s">
        <v>4394</v>
      </c>
      <c r="E82" s="2" t="s">
        <v>4411</v>
      </c>
      <c r="F82" s="4"/>
      <c r="G82" s="14"/>
      <c r="H82" s="9">
        <v>760.5</v>
      </c>
    </row>
    <row r="83" spans="3:8" x14ac:dyDescent="0.25">
      <c r="C83" s="8"/>
      <c r="D83" s="2" t="s">
        <v>4395</v>
      </c>
      <c r="E83" s="2" t="s">
        <v>1631</v>
      </c>
      <c r="F83" s="4">
        <v>33</v>
      </c>
      <c r="G83" s="14"/>
      <c r="H83" s="9"/>
    </row>
    <row r="84" spans="3:8" x14ac:dyDescent="0.25">
      <c r="C84" s="8"/>
      <c r="D84" s="2" t="s">
        <v>4396</v>
      </c>
      <c r="E84" s="2" t="s">
        <v>4049</v>
      </c>
      <c r="F84" s="4">
        <v>175</v>
      </c>
      <c r="G84" s="14"/>
      <c r="H84" s="9"/>
    </row>
    <row r="85" spans="3:8" x14ac:dyDescent="0.25">
      <c r="C85" s="8"/>
      <c r="D85" s="2" t="s">
        <v>4397</v>
      </c>
      <c r="E85" s="2" t="s">
        <v>1631</v>
      </c>
      <c r="F85" s="4">
        <v>22</v>
      </c>
      <c r="G85" s="14"/>
      <c r="H85" s="9"/>
    </row>
    <row r="86" spans="3:8" x14ac:dyDescent="0.25">
      <c r="C86" s="8"/>
      <c r="D86" s="2" t="s">
        <v>4398</v>
      </c>
      <c r="E86" s="2" t="s">
        <v>3388</v>
      </c>
      <c r="F86" s="4"/>
      <c r="G86" s="14"/>
      <c r="H86" s="9">
        <v>2324.5</v>
      </c>
    </row>
    <row r="87" spans="3:8" x14ac:dyDescent="0.25">
      <c r="C87" s="8"/>
      <c r="D87" s="2" t="s">
        <v>4399</v>
      </c>
      <c r="E87" s="2" t="s">
        <v>3922</v>
      </c>
      <c r="F87" s="4">
        <v>2078.8000000000002</v>
      </c>
      <c r="G87" s="14"/>
      <c r="H87" s="9">
        <v>400</v>
      </c>
    </row>
    <row r="88" spans="3:8" x14ac:dyDescent="0.25">
      <c r="C88" s="8"/>
      <c r="D88" s="2" t="s">
        <v>4400</v>
      </c>
      <c r="E88" s="2" t="s">
        <v>1370</v>
      </c>
      <c r="F88" s="4"/>
      <c r="G88" s="14"/>
      <c r="H88" s="9">
        <v>72</v>
      </c>
    </row>
    <row r="89" spans="3:8" x14ac:dyDescent="0.25">
      <c r="C89" s="8"/>
      <c r="D89" s="2" t="s">
        <v>4401</v>
      </c>
      <c r="E89" s="2" t="s">
        <v>4411</v>
      </c>
      <c r="F89" s="4"/>
      <c r="G89" s="14"/>
      <c r="H89" s="9">
        <v>95</v>
      </c>
    </row>
    <row r="90" spans="3:8" x14ac:dyDescent="0.25">
      <c r="C90" s="8"/>
      <c r="D90" s="2" t="s">
        <v>4402</v>
      </c>
      <c r="E90" s="2" t="s">
        <v>4436</v>
      </c>
      <c r="F90" s="4">
        <v>278.5</v>
      </c>
      <c r="G90" s="14"/>
      <c r="H90" s="9"/>
    </row>
    <row r="91" spans="3:8" x14ac:dyDescent="0.25">
      <c r="C91" s="8"/>
      <c r="D91" s="2" t="s">
        <v>4403</v>
      </c>
      <c r="E91" s="2" t="s">
        <v>1631</v>
      </c>
      <c r="F91" s="4">
        <v>6</v>
      </c>
      <c r="G91" s="14"/>
      <c r="H91" s="9"/>
    </row>
    <row r="92" spans="3:8" x14ac:dyDescent="0.25">
      <c r="C92" s="8"/>
      <c r="D92" s="2" t="s">
        <v>4404</v>
      </c>
      <c r="E92" s="2" t="s">
        <v>4411</v>
      </c>
      <c r="F92" s="4"/>
      <c r="G92" s="14"/>
      <c r="H92" s="9">
        <v>1558.5</v>
      </c>
    </row>
    <row r="93" spans="3:8" x14ac:dyDescent="0.25">
      <c r="C93" s="8"/>
      <c r="D93" s="2" t="s">
        <v>4405</v>
      </c>
      <c r="E93" s="2" t="s">
        <v>3388</v>
      </c>
      <c r="F93" s="4"/>
      <c r="G93" s="14"/>
      <c r="H93" s="9">
        <v>678</v>
      </c>
    </row>
    <row r="94" spans="3:8" x14ac:dyDescent="0.25">
      <c r="C94" s="8"/>
      <c r="D94" s="2" t="s">
        <v>4406</v>
      </c>
      <c r="E94" s="2" t="s">
        <v>4411</v>
      </c>
      <c r="F94" s="4"/>
      <c r="G94" s="14"/>
      <c r="H94" s="9">
        <v>50</v>
      </c>
    </row>
    <row r="95" spans="3:8" x14ac:dyDescent="0.25">
      <c r="C95" s="8"/>
      <c r="D95" s="2" t="s">
        <v>4407</v>
      </c>
      <c r="E95" s="2" t="s">
        <v>1631</v>
      </c>
      <c r="F95" s="4">
        <v>3.5</v>
      </c>
      <c r="G95" s="14"/>
      <c r="H95" s="9"/>
    </row>
    <row r="96" spans="3:8" x14ac:dyDescent="0.25">
      <c r="C96" s="8"/>
      <c r="D96" s="2" t="s">
        <v>4408</v>
      </c>
      <c r="E96" s="2" t="s">
        <v>4433</v>
      </c>
      <c r="F96" s="4">
        <v>615</v>
      </c>
      <c r="G96" s="14"/>
      <c r="H96" s="9"/>
    </row>
    <row r="97" spans="3:8" x14ac:dyDescent="0.25">
      <c r="C97" s="8"/>
      <c r="D97" s="2" t="s">
        <v>4409</v>
      </c>
      <c r="E97" s="2" t="s">
        <v>3388</v>
      </c>
      <c r="F97" s="4"/>
      <c r="G97" s="14"/>
      <c r="H97" s="9">
        <v>150</v>
      </c>
    </row>
    <row r="98" spans="3:8" x14ac:dyDescent="0.25">
      <c r="C98" s="8"/>
      <c r="D98" s="2" t="s">
        <v>4410</v>
      </c>
      <c r="E98" s="2" t="s">
        <v>4049</v>
      </c>
      <c r="F98" s="4"/>
      <c r="G98" s="14">
        <v>160</v>
      </c>
      <c r="H98" s="9"/>
    </row>
    <row r="99" spans="3:8" x14ac:dyDescent="0.25">
      <c r="C99" s="8"/>
      <c r="D99" s="2" t="s">
        <v>4412</v>
      </c>
      <c r="E99" s="2" t="s">
        <v>1631</v>
      </c>
      <c r="F99" s="4"/>
      <c r="G99" s="14"/>
      <c r="H99" s="9">
        <v>420</v>
      </c>
    </row>
    <row r="100" spans="3:8" x14ac:dyDescent="0.25">
      <c r="C100" s="8"/>
      <c r="D100" s="2" t="s">
        <v>4413</v>
      </c>
      <c r="E100" s="2" t="s">
        <v>1631</v>
      </c>
      <c r="F100" s="4">
        <v>10</v>
      </c>
      <c r="G100" s="14"/>
      <c r="H100" s="9"/>
    </row>
    <row r="101" spans="3:8" x14ac:dyDescent="0.25">
      <c r="C101" s="8"/>
      <c r="D101" s="2" t="s">
        <v>4414</v>
      </c>
      <c r="E101" s="2" t="s">
        <v>4432</v>
      </c>
      <c r="F101" s="4">
        <v>617</v>
      </c>
      <c r="G101" s="14"/>
      <c r="H101" s="9"/>
    </row>
    <row r="102" spans="3:8" x14ac:dyDescent="0.25">
      <c r="C102" s="8"/>
      <c r="D102" s="2" t="s">
        <v>4415</v>
      </c>
      <c r="E102" s="2" t="s">
        <v>1631</v>
      </c>
      <c r="F102" s="4">
        <v>35</v>
      </c>
      <c r="G102" s="14"/>
      <c r="H102" s="9"/>
    </row>
    <row r="103" spans="3:8" x14ac:dyDescent="0.25">
      <c r="C103" s="8"/>
      <c r="D103" s="2" t="s">
        <v>4416</v>
      </c>
      <c r="E103" s="2" t="s">
        <v>1631</v>
      </c>
      <c r="F103" s="4">
        <v>5</v>
      </c>
      <c r="G103" s="14"/>
      <c r="H103" s="9"/>
    </row>
    <row r="104" spans="3:8" x14ac:dyDescent="0.25">
      <c r="C104" s="8"/>
      <c r="D104" s="2" t="s">
        <v>4417</v>
      </c>
      <c r="E104" s="2" t="s">
        <v>1631</v>
      </c>
      <c r="F104" s="4">
        <v>25</v>
      </c>
      <c r="G104" s="14"/>
      <c r="H104" s="9"/>
    </row>
    <row r="105" spans="3:8" x14ac:dyDescent="0.25">
      <c r="C105" s="8"/>
      <c r="D105" s="2" t="s">
        <v>4418</v>
      </c>
      <c r="E105" s="2" t="s">
        <v>1631</v>
      </c>
      <c r="F105" s="4">
        <v>21</v>
      </c>
      <c r="G105" s="14"/>
      <c r="H105" s="9"/>
    </row>
    <row r="106" spans="3:8" x14ac:dyDescent="0.25">
      <c r="C106" s="8"/>
      <c r="D106" s="2" t="s">
        <v>4419</v>
      </c>
      <c r="E106" s="2" t="s">
        <v>164</v>
      </c>
      <c r="F106" s="4">
        <v>3768</v>
      </c>
      <c r="G106" s="14"/>
      <c r="H106" s="9"/>
    </row>
    <row r="107" spans="3:8" x14ac:dyDescent="0.25">
      <c r="C107" s="8"/>
      <c r="D107" s="2" t="s">
        <v>4420</v>
      </c>
      <c r="E107" s="2" t="s">
        <v>1370</v>
      </c>
      <c r="F107" s="4"/>
      <c r="G107" s="14"/>
      <c r="H107" s="9">
        <v>380</v>
      </c>
    </row>
    <row r="108" spans="3:8" x14ac:dyDescent="0.25">
      <c r="C108" s="8"/>
      <c r="D108" s="2" t="s">
        <v>4421</v>
      </c>
      <c r="E108" s="2" t="s">
        <v>4049</v>
      </c>
      <c r="F108" s="4">
        <v>1187.5</v>
      </c>
      <c r="G108" s="14"/>
      <c r="H108" s="9"/>
    </row>
    <row r="109" spans="3:8" x14ac:dyDescent="0.25">
      <c r="C109" s="8"/>
      <c r="D109" s="2" t="s">
        <v>4422</v>
      </c>
      <c r="E109" s="2" t="s">
        <v>3388</v>
      </c>
      <c r="F109" s="4"/>
      <c r="G109" s="14"/>
      <c r="H109" s="9">
        <v>475</v>
      </c>
    </row>
    <row r="110" spans="3:8" x14ac:dyDescent="0.25">
      <c r="C110" s="8"/>
      <c r="D110" s="2" t="s">
        <v>4423</v>
      </c>
      <c r="E110" s="2" t="s">
        <v>1631</v>
      </c>
      <c r="F110" s="4">
        <v>5</v>
      </c>
      <c r="G110" s="14"/>
      <c r="H110" s="9"/>
    </row>
    <row r="111" spans="3:8" x14ac:dyDescent="0.25">
      <c r="C111" s="8"/>
      <c r="D111" s="2" t="s">
        <v>4424</v>
      </c>
      <c r="E111" s="2" t="s">
        <v>4431</v>
      </c>
      <c r="F111" s="4"/>
      <c r="G111" s="14"/>
      <c r="H111" s="9">
        <v>3754</v>
      </c>
    </row>
    <row r="112" spans="3:8" x14ac:dyDescent="0.25">
      <c r="C112" s="8"/>
      <c r="D112" s="2" t="s">
        <v>4425</v>
      </c>
      <c r="E112" s="2" t="s">
        <v>58</v>
      </c>
      <c r="F112" s="4"/>
      <c r="G112" s="14"/>
      <c r="H112" s="9">
        <v>10</v>
      </c>
    </row>
    <row r="113" spans="3:8" x14ac:dyDescent="0.25">
      <c r="C113" s="8"/>
      <c r="D113" s="2" t="s">
        <v>4426</v>
      </c>
      <c r="E113" s="2" t="s">
        <v>1631</v>
      </c>
      <c r="F113" s="4"/>
      <c r="G113" s="14"/>
      <c r="H113" s="9">
        <v>49.5</v>
      </c>
    </row>
    <row r="114" spans="3:8" x14ac:dyDescent="0.25">
      <c r="C114" s="8"/>
      <c r="D114" s="2" t="s">
        <v>4427</v>
      </c>
      <c r="E114" s="2" t="s">
        <v>1631</v>
      </c>
      <c r="F114" s="4">
        <v>22.5</v>
      </c>
      <c r="G114" s="14"/>
      <c r="H114" s="9"/>
    </row>
    <row r="115" spans="3:8" x14ac:dyDescent="0.25">
      <c r="C115" s="8"/>
      <c r="D115" s="2" t="s">
        <v>4428</v>
      </c>
      <c r="E115" s="2" t="s">
        <v>1370</v>
      </c>
      <c r="F115" s="4"/>
      <c r="G115" s="14"/>
      <c r="H115" s="9">
        <v>22.5</v>
      </c>
    </row>
    <row r="116" spans="3:8" x14ac:dyDescent="0.25">
      <c r="C116" s="8"/>
      <c r="D116" s="2" t="s">
        <v>4429</v>
      </c>
      <c r="E116" s="2" t="s">
        <v>1631</v>
      </c>
      <c r="F116" s="4"/>
      <c r="G116" s="14"/>
      <c r="H116" s="9">
        <v>6</v>
      </c>
    </row>
    <row r="117" spans="3:8" x14ac:dyDescent="0.25">
      <c r="C117" s="8"/>
      <c r="D117" s="2" t="s">
        <v>4430</v>
      </c>
      <c r="E117" s="2" t="s">
        <v>1631</v>
      </c>
      <c r="F117" s="4">
        <v>13</v>
      </c>
      <c r="G117" s="14"/>
      <c r="H117" s="9"/>
    </row>
    <row r="118" spans="3:8" x14ac:dyDescent="0.25">
      <c r="C118" s="8"/>
      <c r="D118" s="2" t="s">
        <v>4463</v>
      </c>
      <c r="E118" s="2" t="s">
        <v>1631</v>
      </c>
      <c r="F118" s="4">
        <v>21</v>
      </c>
      <c r="G118" s="14"/>
      <c r="H118" s="9"/>
    </row>
    <row r="119" spans="3:8" x14ac:dyDescent="0.25">
      <c r="C119" s="8"/>
      <c r="D119" s="2" t="s">
        <v>4464</v>
      </c>
      <c r="E119" s="2" t="s">
        <v>1631</v>
      </c>
      <c r="F119" s="4"/>
      <c r="G119" s="14"/>
      <c r="H119" s="9">
        <v>50</v>
      </c>
    </row>
    <row r="120" spans="3:8" x14ac:dyDescent="0.25">
      <c r="C120" s="8"/>
      <c r="D120" s="2" t="s">
        <v>4465</v>
      </c>
      <c r="E120" s="2" t="s">
        <v>1631</v>
      </c>
      <c r="F120" s="4"/>
      <c r="G120" s="14"/>
      <c r="H120" s="9">
        <v>1126</v>
      </c>
    </row>
    <row r="121" spans="3:8" x14ac:dyDescent="0.25">
      <c r="C121" s="8"/>
      <c r="D121" s="2" t="s">
        <v>4466</v>
      </c>
      <c r="E121" s="2" t="s">
        <v>1631</v>
      </c>
      <c r="F121" s="4">
        <v>8</v>
      </c>
      <c r="G121" s="14"/>
      <c r="H121" s="9"/>
    </row>
    <row r="122" spans="3:8" x14ac:dyDescent="0.25">
      <c r="C122" s="8"/>
      <c r="D122" s="2" t="s">
        <v>4467</v>
      </c>
      <c r="E122" s="2" t="s">
        <v>1631</v>
      </c>
      <c r="F122" s="4">
        <v>2.5</v>
      </c>
      <c r="G122" s="14"/>
      <c r="H122" s="9"/>
    </row>
    <row r="123" spans="3:8" x14ac:dyDescent="0.25">
      <c r="C123" s="8"/>
      <c r="D123" s="2" t="s">
        <v>4468</v>
      </c>
      <c r="E123" s="2" t="s">
        <v>4516</v>
      </c>
      <c r="F123" s="4"/>
      <c r="G123" s="14">
        <v>1432</v>
      </c>
      <c r="H123" s="9"/>
    </row>
    <row r="124" spans="3:8" x14ac:dyDescent="0.25">
      <c r="C124" s="8"/>
      <c r="D124" s="2"/>
      <c r="E124" s="2"/>
      <c r="F124" s="4"/>
      <c r="G124" s="14"/>
      <c r="H124" s="9"/>
    </row>
    <row r="125" spans="3:8" x14ac:dyDescent="0.25">
      <c r="C125" s="8"/>
      <c r="D125" s="2"/>
      <c r="E125" s="2"/>
      <c r="F125" s="4"/>
      <c r="G125" s="14"/>
      <c r="H125" s="9"/>
    </row>
    <row r="126" spans="3:8" x14ac:dyDescent="0.25">
      <c r="C126" s="8"/>
      <c r="D126" s="2"/>
      <c r="E126" s="2"/>
      <c r="F126" s="4"/>
      <c r="G126" s="14"/>
      <c r="H126" s="9"/>
    </row>
    <row r="127" spans="3:8" x14ac:dyDescent="0.25">
      <c r="C127" s="8"/>
      <c r="D127" s="2"/>
      <c r="E127" s="2"/>
      <c r="F127" s="4"/>
      <c r="G127" s="14"/>
      <c r="H127" s="9"/>
    </row>
    <row r="128" spans="3:8" x14ac:dyDescent="0.25">
      <c r="C128" s="29"/>
      <c r="D128" s="30"/>
      <c r="E128" s="30" t="s">
        <v>60</v>
      </c>
      <c r="F128" s="4"/>
      <c r="G128" s="14"/>
      <c r="H128" s="9"/>
    </row>
    <row r="129" spans="3:8" x14ac:dyDescent="0.25">
      <c r="C129" s="8"/>
      <c r="D129" s="45" t="s">
        <v>4321</v>
      </c>
      <c r="E129" s="68" t="s">
        <v>4322</v>
      </c>
      <c r="F129" s="90"/>
      <c r="G129" s="14"/>
      <c r="H129" s="9">
        <v>490</v>
      </c>
    </row>
    <row r="130" spans="3:8" x14ac:dyDescent="0.25">
      <c r="C130" s="8"/>
      <c r="D130" s="45" t="s">
        <v>4474</v>
      </c>
      <c r="E130" s="68" t="s">
        <v>4475</v>
      </c>
      <c r="F130" s="4"/>
      <c r="G130" s="14"/>
      <c r="H130" s="9">
        <v>3095</v>
      </c>
    </row>
    <row r="131" spans="3:8" x14ac:dyDescent="0.25">
      <c r="C131" s="8"/>
      <c r="D131" s="45"/>
      <c r="E131" s="68"/>
      <c r="F131" s="4"/>
      <c r="G131" s="14"/>
      <c r="H131" s="4"/>
    </row>
    <row r="132" spans="3:8" x14ac:dyDescent="0.25">
      <c r="C132" s="8"/>
      <c r="D132" s="2"/>
      <c r="E132" s="68"/>
      <c r="F132" s="4"/>
      <c r="G132" s="14"/>
      <c r="H132" s="9"/>
    </row>
    <row r="133" spans="3:8" x14ac:dyDescent="0.25">
      <c r="C133" s="16"/>
      <c r="D133" s="17"/>
      <c r="E133" s="17" t="s">
        <v>39</v>
      </c>
      <c r="F133" s="4"/>
      <c r="G133" s="14"/>
      <c r="H133" s="9"/>
    </row>
    <row r="134" spans="3:8" x14ac:dyDescent="0.25">
      <c r="C134" s="8"/>
      <c r="D134" s="2"/>
      <c r="E134" s="68" t="s">
        <v>4534</v>
      </c>
      <c r="F134" s="4">
        <v>2975</v>
      </c>
      <c r="G134" s="14"/>
      <c r="H134" s="9"/>
    </row>
    <row r="135" spans="3:8" x14ac:dyDescent="0.25">
      <c r="C135" s="8"/>
      <c r="D135" s="2"/>
      <c r="E135" s="68"/>
      <c r="F135" s="4"/>
      <c r="G135" s="14"/>
      <c r="H135" s="9"/>
    </row>
    <row r="136" spans="3:8" x14ac:dyDescent="0.25">
      <c r="C136" s="8"/>
      <c r="D136" s="2"/>
      <c r="E136" s="68"/>
      <c r="F136" s="4"/>
      <c r="G136" s="14"/>
      <c r="H136" s="9"/>
    </row>
    <row r="137" spans="3:8" x14ac:dyDescent="0.25">
      <c r="C137" s="8"/>
      <c r="D137" s="2"/>
      <c r="E137" s="68"/>
      <c r="F137" s="4"/>
      <c r="G137" s="14"/>
      <c r="H137" s="9"/>
    </row>
    <row r="138" spans="3:8" x14ac:dyDescent="0.25">
      <c r="C138" s="8"/>
      <c r="D138" s="2"/>
      <c r="E138" s="68"/>
      <c r="F138" s="4"/>
      <c r="G138" s="14"/>
      <c r="H138" s="9"/>
    </row>
    <row r="139" spans="3:8" x14ac:dyDescent="0.25">
      <c r="C139" s="8"/>
      <c r="D139" s="2"/>
      <c r="E139" s="68"/>
      <c r="F139" s="4"/>
      <c r="G139" s="14"/>
      <c r="H139" s="9"/>
    </row>
    <row r="140" spans="3:8" x14ac:dyDescent="0.25">
      <c r="C140" s="8"/>
      <c r="D140" s="2"/>
      <c r="E140" s="2"/>
      <c r="F140" s="4"/>
      <c r="G140" s="14"/>
      <c r="H140" s="9"/>
    </row>
    <row r="141" spans="3:8" x14ac:dyDescent="0.25">
      <c r="C141" s="19"/>
      <c r="D141" s="20"/>
      <c r="E141" s="20" t="s">
        <v>42</v>
      </c>
      <c r="F141" s="4"/>
      <c r="G141" s="14"/>
      <c r="H141" s="9"/>
    </row>
    <row r="142" spans="3:8" x14ac:dyDescent="0.25">
      <c r="C142" s="34">
        <v>46125</v>
      </c>
      <c r="D142" s="42" t="s">
        <v>45</v>
      </c>
      <c r="E142" s="76" t="s">
        <v>4318</v>
      </c>
      <c r="F142" s="14">
        <v>-875</v>
      </c>
      <c r="G142" s="14"/>
      <c r="H142" s="9"/>
    </row>
    <row r="143" spans="3:8" x14ac:dyDescent="0.25">
      <c r="C143" s="34">
        <v>46126</v>
      </c>
      <c r="D143" s="42" t="s">
        <v>45</v>
      </c>
      <c r="E143" s="76" t="s">
        <v>4319</v>
      </c>
      <c r="F143" s="14">
        <v>-2100</v>
      </c>
      <c r="G143" s="14"/>
      <c r="H143" s="9"/>
    </row>
    <row r="144" spans="3:8" x14ac:dyDescent="0.25">
      <c r="C144" s="34">
        <v>46125</v>
      </c>
      <c r="D144" s="2" t="s">
        <v>4320</v>
      </c>
      <c r="E144" s="76" t="s">
        <v>3393</v>
      </c>
      <c r="F144" s="14">
        <v>-450</v>
      </c>
      <c r="G144" s="14"/>
      <c r="H144" s="9"/>
    </row>
    <row r="145" spans="3:8" x14ac:dyDescent="0.25">
      <c r="C145" s="34">
        <v>46126</v>
      </c>
      <c r="D145" s="2" t="s">
        <v>45</v>
      </c>
      <c r="E145" s="76" t="s">
        <v>4446</v>
      </c>
      <c r="F145" s="14">
        <v>-1330</v>
      </c>
      <c r="G145" s="14"/>
      <c r="H145" s="9"/>
    </row>
    <row r="146" spans="3:8" x14ac:dyDescent="0.25">
      <c r="C146" s="34" t="s">
        <v>4448</v>
      </c>
      <c r="D146" s="2" t="s">
        <v>1491</v>
      </c>
      <c r="E146" s="76" t="s">
        <v>4447</v>
      </c>
      <c r="F146" s="14">
        <v>-160</v>
      </c>
      <c r="G146" s="14"/>
      <c r="H146" s="9"/>
    </row>
    <row r="147" spans="3:8" x14ac:dyDescent="0.25">
      <c r="C147" s="34">
        <v>46125</v>
      </c>
      <c r="D147" s="2" t="s">
        <v>764</v>
      </c>
      <c r="E147" s="89" t="s">
        <v>1274</v>
      </c>
      <c r="F147" s="14">
        <v>-1744</v>
      </c>
      <c r="G147" s="14"/>
      <c r="H147" s="9"/>
    </row>
    <row r="148" spans="3:8" x14ac:dyDescent="0.25">
      <c r="C148" s="34">
        <v>46126</v>
      </c>
      <c r="D148" s="2" t="s">
        <v>4435</v>
      </c>
      <c r="E148" s="89" t="s">
        <v>4434</v>
      </c>
      <c r="F148" s="14">
        <v>-850</v>
      </c>
      <c r="G148" s="14"/>
      <c r="H148" s="9"/>
    </row>
    <row r="149" spans="3:8" x14ac:dyDescent="0.25">
      <c r="C149" s="34"/>
      <c r="D149" s="2" t="s">
        <v>4450</v>
      </c>
      <c r="E149" s="89" t="s">
        <v>4449</v>
      </c>
      <c r="F149" s="14">
        <v>-323</v>
      </c>
      <c r="G149" s="14"/>
      <c r="H149" s="9"/>
    </row>
    <row r="150" spans="3:8" x14ac:dyDescent="0.25">
      <c r="C150" s="34"/>
      <c r="D150" s="2"/>
      <c r="E150" s="89" t="s">
        <v>4437</v>
      </c>
      <c r="F150" s="14">
        <v>-54</v>
      </c>
      <c r="G150" s="14"/>
      <c r="H150" s="9"/>
    </row>
    <row r="151" spans="3:8" x14ac:dyDescent="0.25">
      <c r="C151" s="34"/>
      <c r="D151" s="2"/>
      <c r="E151" s="89" t="s">
        <v>4438</v>
      </c>
      <c r="F151" s="14">
        <v>-100</v>
      </c>
      <c r="G151" s="14"/>
      <c r="H151" s="9"/>
    </row>
    <row r="152" spans="3:8" x14ac:dyDescent="0.25">
      <c r="C152" s="34"/>
      <c r="D152" s="2"/>
      <c r="E152" s="89" t="s">
        <v>4439</v>
      </c>
      <c r="F152" s="14">
        <v>-1000</v>
      </c>
      <c r="G152" s="14"/>
      <c r="H152" s="9"/>
    </row>
    <row r="153" spans="3:8" x14ac:dyDescent="0.25">
      <c r="C153" s="34"/>
      <c r="D153" s="2"/>
      <c r="E153" s="89" t="s">
        <v>4440</v>
      </c>
      <c r="F153" s="14">
        <v>-20</v>
      </c>
      <c r="G153" s="14"/>
      <c r="H153" s="9"/>
    </row>
    <row r="154" spans="3:8" x14ac:dyDescent="0.25">
      <c r="C154" s="34"/>
      <c r="D154" s="2"/>
      <c r="E154" s="89" t="s">
        <v>1726</v>
      </c>
      <c r="F154" s="14">
        <v>-100</v>
      </c>
      <c r="G154" s="14"/>
      <c r="H154" s="9"/>
    </row>
    <row r="155" spans="3:8" x14ac:dyDescent="0.25">
      <c r="C155" s="34"/>
      <c r="D155" s="2"/>
      <c r="E155" s="89" t="s">
        <v>4444</v>
      </c>
      <c r="F155" s="14">
        <v>-100</v>
      </c>
      <c r="G155" s="14"/>
      <c r="H155" s="9"/>
    </row>
    <row r="156" spans="3:8" x14ac:dyDescent="0.25">
      <c r="C156" s="34"/>
      <c r="D156" s="2"/>
      <c r="E156" s="89" t="s">
        <v>3403</v>
      </c>
      <c r="F156" s="14">
        <v>-40</v>
      </c>
      <c r="G156" s="14"/>
      <c r="H156" s="9"/>
    </row>
    <row r="157" spans="3:8" x14ac:dyDescent="0.25">
      <c r="C157" s="34"/>
      <c r="D157" s="2"/>
      <c r="E157" s="89" t="s">
        <v>4445</v>
      </c>
      <c r="F157" s="14">
        <v>-100</v>
      </c>
      <c r="G157" s="14"/>
      <c r="H157" s="9"/>
    </row>
    <row r="158" spans="3:8" x14ac:dyDescent="0.25">
      <c r="C158" s="34"/>
      <c r="D158" s="2"/>
      <c r="E158" s="89" t="s">
        <v>4441</v>
      </c>
      <c r="F158" s="14">
        <v>-30</v>
      </c>
      <c r="G158" s="14"/>
      <c r="H158" s="9"/>
    </row>
    <row r="159" spans="3:8" x14ac:dyDescent="0.25">
      <c r="C159" s="34"/>
      <c r="D159" s="2"/>
      <c r="E159" s="89" t="s">
        <v>4442</v>
      </c>
      <c r="F159" s="14">
        <v>-20</v>
      </c>
      <c r="G159" s="14"/>
      <c r="H159" s="9"/>
    </row>
    <row r="160" spans="3:8" x14ac:dyDescent="0.25">
      <c r="C160" s="8"/>
      <c r="D160" s="2"/>
      <c r="E160" s="89" t="s">
        <v>4443</v>
      </c>
      <c r="F160" s="14">
        <v>-432</v>
      </c>
      <c r="G160" s="14"/>
      <c r="H160" s="9"/>
    </row>
    <row r="161" spans="3:8" x14ac:dyDescent="0.25">
      <c r="C161" s="8"/>
      <c r="D161" s="2"/>
      <c r="E161" s="89" t="s">
        <v>4470</v>
      </c>
      <c r="F161" s="14">
        <v>-40</v>
      </c>
      <c r="G161" s="14"/>
      <c r="H161" s="9"/>
    </row>
    <row r="162" spans="3:8" x14ac:dyDescent="0.25">
      <c r="C162" s="8"/>
      <c r="D162" s="2" t="s">
        <v>139</v>
      </c>
      <c r="E162" s="89" t="s">
        <v>4471</v>
      </c>
      <c r="F162" s="14">
        <v>-300</v>
      </c>
      <c r="G162" s="14"/>
      <c r="H162" s="9"/>
    </row>
    <row r="163" spans="3:8" x14ac:dyDescent="0.25">
      <c r="C163" s="8"/>
      <c r="D163" s="2"/>
      <c r="E163" s="89" t="s">
        <v>1155</v>
      </c>
      <c r="F163" s="14">
        <v>-10</v>
      </c>
      <c r="G163" s="14"/>
      <c r="H163" s="9"/>
    </row>
    <row r="164" spans="3:8" x14ac:dyDescent="0.25">
      <c r="C164" s="8"/>
      <c r="D164" s="2"/>
      <c r="E164" s="89" t="s">
        <v>4473</v>
      </c>
      <c r="F164" s="14">
        <v>-6352</v>
      </c>
      <c r="G164" s="14"/>
      <c r="H164" s="9"/>
    </row>
    <row r="165" spans="3:8" x14ac:dyDescent="0.25">
      <c r="C165" s="8"/>
      <c r="D165" s="2"/>
      <c r="E165" s="89" t="s">
        <v>1274</v>
      </c>
      <c r="F165" s="14">
        <v>-2280</v>
      </c>
      <c r="G165" s="14"/>
      <c r="H165" s="9"/>
    </row>
    <row r="166" spans="3:8" x14ac:dyDescent="0.25">
      <c r="C166" s="8"/>
      <c r="D166" s="2"/>
      <c r="E166" s="2"/>
      <c r="F166" s="4"/>
      <c r="G166" s="14"/>
      <c r="H166" s="9"/>
    </row>
    <row r="167" spans="3:8" ht="15.75" thickBot="1" x14ac:dyDescent="0.3">
      <c r="C167" s="10"/>
      <c r="D167" s="11"/>
      <c r="E167" s="11" t="s">
        <v>44</v>
      </c>
      <c r="F167" s="12">
        <f>SUM(F6:F166)</f>
        <v>-1856.0999999999985</v>
      </c>
      <c r="G167" s="15">
        <f>SUM(G6:G166)</f>
        <v>3239</v>
      </c>
      <c r="H167" s="13">
        <f>SUM(H6:H166)</f>
        <v>24926.300000000003</v>
      </c>
    </row>
    <row r="170" spans="3:8" s="3" customFormat="1" ht="18.75" x14ac:dyDescent="0.3">
      <c r="C170" s="1"/>
      <c r="D170" s="1"/>
      <c r="E170" s="38" t="s">
        <v>49</v>
      </c>
      <c r="F170" s="39">
        <f>+H4+F167</f>
        <v>7279.2300000000014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7C53-8EC6-4154-BF99-078DFBF53301}">
  <sheetPr codeName="Hoja50"/>
  <dimension ref="C2:H97"/>
  <sheetViews>
    <sheetView topLeftCell="A73" zoomScaleNormal="100" workbookViewId="0">
      <selection activeCell="E101" sqref="E101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4476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7279.23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4477</v>
      </c>
      <c r="E6" s="2" t="s">
        <v>440</v>
      </c>
      <c r="F6" s="4">
        <v>175</v>
      </c>
      <c r="G6" s="14"/>
      <c r="H6" s="9"/>
    </row>
    <row r="7" spans="3:8" x14ac:dyDescent="0.25">
      <c r="C7" s="8"/>
      <c r="D7" s="2" t="s">
        <v>4488</v>
      </c>
      <c r="E7" s="2" t="s">
        <v>4485</v>
      </c>
      <c r="F7" s="4"/>
      <c r="G7" s="14">
        <v>900</v>
      </c>
      <c r="H7" s="9"/>
    </row>
    <row r="8" spans="3:8" x14ac:dyDescent="0.25">
      <c r="C8" s="8"/>
      <c r="D8" s="2" t="s">
        <v>4489</v>
      </c>
      <c r="E8" s="2" t="s">
        <v>440</v>
      </c>
      <c r="F8" s="4">
        <v>4</v>
      </c>
      <c r="G8" s="14"/>
      <c r="H8" s="9"/>
    </row>
    <row r="9" spans="3:8" x14ac:dyDescent="0.25">
      <c r="C9" s="8"/>
      <c r="D9" s="2" t="s">
        <v>4490</v>
      </c>
      <c r="E9" s="2" t="s">
        <v>266</v>
      </c>
      <c r="F9" s="4"/>
      <c r="G9" s="14">
        <v>1178</v>
      </c>
      <c r="H9" s="9"/>
    </row>
    <row r="10" spans="3:8" x14ac:dyDescent="0.25">
      <c r="C10" s="8"/>
      <c r="D10" s="2" t="s">
        <v>4491</v>
      </c>
      <c r="E10" s="2" t="s">
        <v>35</v>
      </c>
      <c r="F10" s="4"/>
      <c r="G10" s="14">
        <v>603.29999999999995</v>
      </c>
      <c r="H10" s="9"/>
    </row>
    <row r="11" spans="3:8" x14ac:dyDescent="0.25">
      <c r="C11" s="8"/>
      <c r="D11" s="2" t="s">
        <v>4492</v>
      </c>
      <c r="E11" s="2" t="s">
        <v>440</v>
      </c>
      <c r="F11" s="4"/>
      <c r="G11" s="14"/>
      <c r="H11" s="9">
        <v>124</v>
      </c>
    </row>
    <row r="12" spans="3:8" x14ac:dyDescent="0.25">
      <c r="C12" s="8"/>
      <c r="D12" s="2" t="s">
        <v>4493</v>
      </c>
      <c r="E12" s="2" t="s">
        <v>266</v>
      </c>
      <c r="F12" s="4"/>
      <c r="G12" s="14">
        <v>1694.5</v>
      </c>
      <c r="H12" s="9"/>
    </row>
    <row r="13" spans="3:8" x14ac:dyDescent="0.25">
      <c r="C13" s="8"/>
      <c r="D13" s="2" t="s">
        <v>4494</v>
      </c>
      <c r="E13" s="2" t="s">
        <v>440</v>
      </c>
      <c r="F13" s="4">
        <v>7.5</v>
      </c>
      <c r="G13" s="14"/>
      <c r="H13" s="9"/>
    </row>
    <row r="14" spans="3:8" x14ac:dyDescent="0.25">
      <c r="C14" s="8"/>
      <c r="D14" s="2" t="s">
        <v>4495</v>
      </c>
      <c r="E14" s="2" t="s">
        <v>440</v>
      </c>
      <c r="F14" s="4">
        <v>13</v>
      </c>
      <c r="G14" s="14"/>
      <c r="H14" s="9"/>
    </row>
    <row r="15" spans="3:8" x14ac:dyDescent="0.25">
      <c r="C15" s="8"/>
      <c r="D15" s="2" t="s">
        <v>4496</v>
      </c>
      <c r="E15" s="2" t="s">
        <v>440</v>
      </c>
      <c r="F15" s="4">
        <v>19.5</v>
      </c>
      <c r="G15" s="14"/>
      <c r="H15" s="9"/>
    </row>
    <row r="16" spans="3:8" x14ac:dyDescent="0.25">
      <c r="C16" s="8"/>
      <c r="D16" s="2" t="s">
        <v>4497</v>
      </c>
      <c r="E16" s="2" t="s">
        <v>4324</v>
      </c>
      <c r="F16" s="4"/>
      <c r="G16" s="14"/>
      <c r="H16" s="9">
        <v>55</v>
      </c>
    </row>
    <row r="17" spans="3:8" x14ac:dyDescent="0.25">
      <c r="C17" s="8"/>
      <c r="D17" s="2" t="s">
        <v>4498</v>
      </c>
      <c r="E17" s="2" t="s">
        <v>440</v>
      </c>
      <c r="F17" s="4"/>
      <c r="G17" s="14"/>
      <c r="H17" s="9">
        <v>49.3</v>
      </c>
    </row>
    <row r="18" spans="3:8" x14ac:dyDescent="0.25">
      <c r="C18" s="8"/>
      <c r="D18" s="2" t="s">
        <v>4499</v>
      </c>
      <c r="E18" s="2" t="s">
        <v>440</v>
      </c>
      <c r="F18" s="4"/>
      <c r="G18" s="14"/>
      <c r="H18" s="9">
        <v>6</v>
      </c>
    </row>
    <row r="19" spans="3:8" x14ac:dyDescent="0.25">
      <c r="C19" s="8"/>
      <c r="D19" s="2" t="s">
        <v>4500</v>
      </c>
      <c r="E19" s="2" t="s">
        <v>4515</v>
      </c>
      <c r="F19" s="4">
        <v>369</v>
      </c>
      <c r="G19" s="14"/>
      <c r="H19" s="9"/>
    </row>
    <row r="20" spans="3:8" x14ac:dyDescent="0.25">
      <c r="C20" s="8"/>
      <c r="D20" s="2" t="s">
        <v>4501</v>
      </c>
      <c r="E20" s="2" t="s">
        <v>440</v>
      </c>
      <c r="F20" s="4">
        <v>7.5</v>
      </c>
      <c r="G20" s="14"/>
      <c r="H20" s="9"/>
    </row>
    <row r="21" spans="3:8" x14ac:dyDescent="0.25">
      <c r="C21" s="8"/>
      <c r="D21" s="2" t="s">
        <v>4502</v>
      </c>
      <c r="E21" s="2" t="s">
        <v>440</v>
      </c>
      <c r="F21" s="4"/>
      <c r="G21" s="14"/>
      <c r="H21" s="9">
        <v>15</v>
      </c>
    </row>
    <row r="22" spans="3:8" x14ac:dyDescent="0.25">
      <c r="C22" s="8"/>
      <c r="D22" s="2" t="s">
        <v>4503</v>
      </c>
      <c r="E22" s="2" t="s">
        <v>440</v>
      </c>
      <c r="F22" s="4"/>
      <c r="G22" s="14"/>
      <c r="H22" s="9">
        <v>80</v>
      </c>
    </row>
    <row r="23" spans="3:8" x14ac:dyDescent="0.25">
      <c r="C23" s="8"/>
      <c r="D23" s="2" t="s">
        <v>4504</v>
      </c>
      <c r="E23" s="2" t="s">
        <v>440</v>
      </c>
      <c r="F23" s="4">
        <v>2</v>
      </c>
      <c r="G23" s="14"/>
      <c r="H23" s="9"/>
    </row>
    <row r="24" spans="3:8" x14ac:dyDescent="0.25">
      <c r="C24" s="8"/>
      <c r="D24" s="2" t="s">
        <v>4505</v>
      </c>
      <c r="E24" s="2" t="s">
        <v>440</v>
      </c>
      <c r="F24" s="4">
        <v>34</v>
      </c>
      <c r="G24" s="14"/>
      <c r="H24" s="9"/>
    </row>
    <row r="25" spans="3:8" x14ac:dyDescent="0.25">
      <c r="C25" s="8"/>
      <c r="D25" s="2" t="s">
        <v>4506</v>
      </c>
      <c r="E25" s="2" t="s">
        <v>4388</v>
      </c>
      <c r="F25" s="4">
        <v>439.7</v>
      </c>
      <c r="G25" s="14"/>
      <c r="H25" s="9">
        <v>100</v>
      </c>
    </row>
    <row r="26" spans="3:8" x14ac:dyDescent="0.25">
      <c r="C26" s="8"/>
      <c r="D26" s="2" t="s">
        <v>4507</v>
      </c>
      <c r="E26" s="2" t="s">
        <v>440</v>
      </c>
      <c r="F26" s="4"/>
      <c r="G26" s="14"/>
      <c r="H26" s="9">
        <v>5</v>
      </c>
    </row>
    <row r="27" spans="3:8" x14ac:dyDescent="0.25">
      <c r="C27" s="8"/>
      <c r="D27" s="2" t="s">
        <v>4508</v>
      </c>
      <c r="E27" s="2" t="s">
        <v>440</v>
      </c>
      <c r="F27" s="4"/>
      <c r="G27" s="14"/>
      <c r="H27" s="9">
        <v>3</v>
      </c>
    </row>
    <row r="28" spans="3:8" x14ac:dyDescent="0.25">
      <c r="C28" s="8"/>
      <c r="D28" s="2" t="s">
        <v>4509</v>
      </c>
      <c r="E28" s="2" t="s">
        <v>440</v>
      </c>
      <c r="F28" s="4"/>
      <c r="G28" s="14"/>
      <c r="H28" s="9">
        <v>7.5</v>
      </c>
    </row>
    <row r="29" spans="3:8" x14ac:dyDescent="0.25">
      <c r="C29" s="8"/>
      <c r="D29" s="2" t="s">
        <v>4510</v>
      </c>
      <c r="E29" s="2" t="s">
        <v>2701</v>
      </c>
      <c r="F29" s="4"/>
      <c r="G29" s="14"/>
      <c r="H29" s="9">
        <v>7566.8</v>
      </c>
    </row>
    <row r="30" spans="3:8" x14ac:dyDescent="0.25">
      <c r="C30" s="8"/>
      <c r="D30" s="2" t="s">
        <v>4511</v>
      </c>
      <c r="E30" s="2" t="s">
        <v>4514</v>
      </c>
      <c r="F30" s="4"/>
      <c r="G30" s="14"/>
      <c r="H30" s="9">
        <v>228</v>
      </c>
    </row>
    <row r="31" spans="3:8" x14ac:dyDescent="0.25">
      <c r="C31" s="8"/>
      <c r="D31" s="2" t="s">
        <v>4512</v>
      </c>
      <c r="E31" s="2" t="s">
        <v>440</v>
      </c>
      <c r="F31" s="4"/>
      <c r="G31" s="14"/>
      <c r="H31" s="9">
        <v>90</v>
      </c>
    </row>
    <row r="32" spans="3:8" x14ac:dyDescent="0.25">
      <c r="C32" s="8"/>
      <c r="D32" s="2" t="s">
        <v>4513</v>
      </c>
      <c r="E32" s="2" t="s">
        <v>4545</v>
      </c>
      <c r="F32" s="4"/>
      <c r="G32" s="14"/>
      <c r="H32" s="9">
        <v>2742.8</v>
      </c>
    </row>
    <row r="33" spans="3:8" x14ac:dyDescent="0.25">
      <c r="C33" s="8"/>
      <c r="D33" s="2" t="s">
        <v>4538</v>
      </c>
      <c r="E33" s="2" t="s">
        <v>4049</v>
      </c>
      <c r="F33" s="4">
        <v>534.5</v>
      </c>
      <c r="G33" s="14"/>
      <c r="H33" s="9"/>
    </row>
    <row r="34" spans="3:8" x14ac:dyDescent="0.25">
      <c r="C34" s="8"/>
      <c r="D34" s="2" t="s">
        <v>4539</v>
      </c>
      <c r="E34" s="2" t="s">
        <v>440</v>
      </c>
      <c r="F34" s="4">
        <v>6</v>
      </c>
      <c r="G34" s="14"/>
      <c r="H34" s="9"/>
    </row>
    <row r="35" spans="3:8" x14ac:dyDescent="0.25">
      <c r="C35" s="8"/>
      <c r="D35" s="2" t="s">
        <v>4540</v>
      </c>
      <c r="E35" s="2" t="s">
        <v>4546</v>
      </c>
      <c r="F35" s="4"/>
      <c r="G35" s="14"/>
      <c r="H35" s="9">
        <v>1053</v>
      </c>
    </row>
    <row r="36" spans="3:8" x14ac:dyDescent="0.25">
      <c r="C36" s="8"/>
      <c r="D36" s="2" t="s">
        <v>4541</v>
      </c>
      <c r="E36" s="2" t="s">
        <v>440</v>
      </c>
      <c r="F36" s="4">
        <v>98.4</v>
      </c>
      <c r="G36" s="14"/>
      <c r="H36" s="9"/>
    </row>
    <row r="37" spans="3:8" x14ac:dyDescent="0.25">
      <c r="C37" s="8"/>
      <c r="D37" s="2" t="s">
        <v>4542</v>
      </c>
      <c r="E37" s="2" t="s">
        <v>4547</v>
      </c>
      <c r="F37" s="4">
        <v>2666.7</v>
      </c>
      <c r="G37" s="14"/>
      <c r="H37" s="9">
        <v>1333.28</v>
      </c>
    </row>
    <row r="38" spans="3:8" x14ac:dyDescent="0.25">
      <c r="C38" s="8"/>
      <c r="D38" s="2" t="s">
        <v>4543</v>
      </c>
      <c r="E38" s="2" t="s">
        <v>266</v>
      </c>
      <c r="F38" s="4"/>
      <c r="G38" s="14">
        <v>2232</v>
      </c>
      <c r="H38" s="9"/>
    </row>
    <row r="39" spans="3:8" x14ac:dyDescent="0.25">
      <c r="C39" s="8"/>
      <c r="D39" s="2" t="s">
        <v>4544</v>
      </c>
      <c r="E39" s="2" t="s">
        <v>4562</v>
      </c>
      <c r="F39" s="4">
        <v>550</v>
      </c>
      <c r="G39" s="14"/>
      <c r="H39" s="9"/>
    </row>
    <row r="40" spans="3:8" x14ac:dyDescent="0.25">
      <c r="C40" s="8"/>
      <c r="D40" s="2" t="s">
        <v>4564</v>
      </c>
      <c r="E40" s="2"/>
      <c r="F40" s="4"/>
      <c r="G40" s="14"/>
      <c r="H40" s="9"/>
    </row>
    <row r="41" spans="3:8" x14ac:dyDescent="0.25">
      <c r="C41" s="8"/>
      <c r="D41" s="2" t="s">
        <v>4469</v>
      </c>
      <c r="E41" s="2" t="s">
        <v>4525</v>
      </c>
      <c r="F41" s="4">
        <v>148</v>
      </c>
      <c r="G41" s="14"/>
      <c r="H41" s="9"/>
    </row>
    <row r="42" spans="3:8" x14ac:dyDescent="0.25">
      <c r="C42" s="8"/>
      <c r="D42" s="2" t="s">
        <v>4517</v>
      </c>
      <c r="E42" s="2" t="s">
        <v>48</v>
      </c>
      <c r="F42" s="4">
        <v>4.5</v>
      </c>
      <c r="G42" s="14"/>
      <c r="H42" s="9"/>
    </row>
    <row r="43" spans="3:8" x14ac:dyDescent="0.25">
      <c r="C43" s="8"/>
      <c r="D43" s="2" t="s">
        <v>4518</v>
      </c>
      <c r="E43" s="2" t="s">
        <v>327</v>
      </c>
      <c r="F43" s="4"/>
      <c r="G43" s="14"/>
      <c r="H43" s="9">
        <v>150</v>
      </c>
    </row>
    <row r="44" spans="3:8" x14ac:dyDescent="0.25">
      <c r="C44" s="8"/>
      <c r="D44" s="2" t="s">
        <v>4519</v>
      </c>
      <c r="E44" s="2" t="s">
        <v>48</v>
      </c>
      <c r="F44" s="4">
        <v>18</v>
      </c>
      <c r="G44" s="14"/>
      <c r="H44" s="9"/>
    </row>
    <row r="45" spans="3:8" x14ac:dyDescent="0.25">
      <c r="C45" s="8"/>
      <c r="D45" s="2" t="s">
        <v>4520</v>
      </c>
      <c r="E45" s="2" t="s">
        <v>4533</v>
      </c>
      <c r="F45" s="4">
        <v>102</v>
      </c>
      <c r="G45" s="14"/>
      <c r="H45" s="9"/>
    </row>
    <row r="46" spans="3:8" x14ac:dyDescent="0.25">
      <c r="C46" s="8"/>
      <c r="D46" s="2" t="s">
        <v>4521</v>
      </c>
      <c r="E46" s="2" t="s">
        <v>48</v>
      </c>
      <c r="F46" s="4">
        <v>4</v>
      </c>
      <c r="G46" s="14"/>
      <c r="H46" s="9"/>
    </row>
    <row r="47" spans="3:8" x14ac:dyDescent="0.25">
      <c r="C47" s="8"/>
      <c r="D47" s="2" t="s">
        <v>4522</v>
      </c>
      <c r="E47" s="2" t="s">
        <v>4533</v>
      </c>
      <c r="F47" s="4">
        <v>70</v>
      </c>
      <c r="G47" s="14"/>
      <c r="H47" s="9"/>
    </row>
    <row r="48" spans="3:8" x14ac:dyDescent="0.25">
      <c r="C48" s="8"/>
      <c r="D48" s="2" t="s">
        <v>4523</v>
      </c>
      <c r="E48" s="2" t="s">
        <v>4049</v>
      </c>
      <c r="F48" s="4"/>
      <c r="G48" s="14">
        <v>417.5</v>
      </c>
      <c r="H48" s="9"/>
    </row>
    <row r="49" spans="3:8" x14ac:dyDescent="0.25">
      <c r="C49" s="8"/>
      <c r="D49" s="2" t="s">
        <v>4524</v>
      </c>
      <c r="E49" s="2" t="s">
        <v>48</v>
      </c>
      <c r="F49" s="4">
        <v>4.5</v>
      </c>
      <c r="G49" s="14"/>
      <c r="H49" s="9"/>
    </row>
    <row r="50" spans="3:8" x14ac:dyDescent="0.25">
      <c r="C50" s="8"/>
      <c r="D50" s="2" t="s">
        <v>4526</v>
      </c>
      <c r="E50" s="2" t="s">
        <v>3741</v>
      </c>
      <c r="F50" s="4">
        <v>729</v>
      </c>
      <c r="G50" s="14"/>
      <c r="H50" s="9"/>
    </row>
    <row r="51" spans="3:8" x14ac:dyDescent="0.25">
      <c r="C51" s="8"/>
      <c r="D51" s="2" t="s">
        <v>4527</v>
      </c>
      <c r="E51" s="2" t="s">
        <v>1370</v>
      </c>
      <c r="F51" s="4"/>
      <c r="G51" s="14">
        <v>30</v>
      </c>
      <c r="H51" s="9"/>
    </row>
    <row r="52" spans="3:8" x14ac:dyDescent="0.25">
      <c r="C52" s="8"/>
      <c r="D52" s="2" t="s">
        <v>4528</v>
      </c>
      <c r="E52" s="2" t="s">
        <v>48</v>
      </c>
      <c r="F52" s="4">
        <v>57</v>
      </c>
      <c r="G52" s="14"/>
      <c r="H52" s="9"/>
    </row>
    <row r="53" spans="3:8" x14ac:dyDescent="0.25">
      <c r="C53" s="8"/>
      <c r="D53" s="2" t="s">
        <v>4529</v>
      </c>
      <c r="E53" s="2" t="s">
        <v>48</v>
      </c>
      <c r="F53" s="4">
        <v>92</v>
      </c>
      <c r="G53" s="14"/>
      <c r="H53" s="9"/>
    </row>
    <row r="54" spans="3:8" x14ac:dyDescent="0.25">
      <c r="C54" s="8"/>
      <c r="D54" s="2" t="s">
        <v>4530</v>
      </c>
      <c r="E54" s="2" t="s">
        <v>48</v>
      </c>
      <c r="F54" s="4">
        <v>35.5</v>
      </c>
      <c r="G54" s="14"/>
      <c r="H54" s="9"/>
    </row>
    <row r="55" spans="3:8" x14ac:dyDescent="0.25">
      <c r="C55" s="8"/>
      <c r="D55" s="2" t="s">
        <v>4531</v>
      </c>
      <c r="E55" s="2" t="s">
        <v>48</v>
      </c>
      <c r="F55" s="4">
        <v>21</v>
      </c>
      <c r="G55" s="14"/>
      <c r="H55" s="9"/>
    </row>
    <row r="56" spans="3:8" x14ac:dyDescent="0.25">
      <c r="C56" s="8"/>
      <c r="D56" s="2" t="s">
        <v>4549</v>
      </c>
      <c r="E56" s="2" t="s">
        <v>48</v>
      </c>
      <c r="F56" s="4"/>
      <c r="G56" s="14"/>
      <c r="H56" s="9">
        <v>12</v>
      </c>
    </row>
    <row r="57" spans="3:8" x14ac:dyDescent="0.25">
      <c r="C57" s="8"/>
      <c r="D57" s="2" t="s">
        <v>4550</v>
      </c>
      <c r="E57" s="2" t="s">
        <v>48</v>
      </c>
      <c r="F57" s="4">
        <v>6.5</v>
      </c>
      <c r="G57" s="14"/>
      <c r="H57" s="9"/>
    </row>
    <row r="58" spans="3:8" x14ac:dyDescent="0.25">
      <c r="C58" s="8"/>
      <c r="D58" s="2" t="s">
        <v>4551</v>
      </c>
      <c r="E58" s="2" t="s">
        <v>48</v>
      </c>
      <c r="F58" s="4">
        <v>30</v>
      </c>
      <c r="G58" s="14"/>
      <c r="H58" s="9"/>
    </row>
    <row r="59" spans="3:8" x14ac:dyDescent="0.25">
      <c r="C59" s="8"/>
      <c r="D59" s="2" t="s">
        <v>4552</v>
      </c>
      <c r="E59" s="2" t="s">
        <v>48</v>
      </c>
      <c r="F59" s="4"/>
      <c r="G59" s="14"/>
      <c r="H59" s="9">
        <v>9</v>
      </c>
    </row>
    <row r="60" spans="3:8" x14ac:dyDescent="0.25">
      <c r="C60" s="8"/>
      <c r="D60" s="2" t="s">
        <v>4553</v>
      </c>
      <c r="E60" s="2" t="s">
        <v>4548</v>
      </c>
      <c r="F60" s="4"/>
      <c r="G60" s="14">
        <v>54</v>
      </c>
      <c r="H60" s="9"/>
    </row>
    <row r="61" spans="3:8" x14ac:dyDescent="0.25">
      <c r="C61" s="8"/>
      <c r="D61" s="2" t="s">
        <v>4554</v>
      </c>
      <c r="E61" s="2" t="s">
        <v>1456</v>
      </c>
      <c r="F61" s="4"/>
      <c r="G61" s="14">
        <v>18</v>
      </c>
      <c r="H61" s="9"/>
    </row>
    <row r="62" spans="3:8" x14ac:dyDescent="0.25">
      <c r="C62" s="8"/>
      <c r="D62" s="2" t="s">
        <v>4603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4480</v>
      </c>
      <c r="E67" s="68" t="s">
        <v>4322</v>
      </c>
      <c r="F67" s="90"/>
      <c r="G67" s="14"/>
      <c r="H67" s="9">
        <v>90</v>
      </c>
    </row>
    <row r="68" spans="3:8" x14ac:dyDescent="0.25">
      <c r="C68" s="8"/>
      <c r="D68" s="45" t="s">
        <v>4481</v>
      </c>
      <c r="E68" s="68" t="s">
        <v>4482</v>
      </c>
      <c r="F68" s="4"/>
      <c r="G68" s="14"/>
      <c r="H68" s="9">
        <v>176.2</v>
      </c>
    </row>
    <row r="69" spans="3:8" x14ac:dyDescent="0.25">
      <c r="C69" s="8"/>
      <c r="D69" s="45" t="s">
        <v>4483</v>
      </c>
      <c r="E69" s="68" t="s">
        <v>4482</v>
      </c>
      <c r="F69" s="4"/>
      <c r="G69" s="14"/>
      <c r="H69" s="63">
        <v>32.5</v>
      </c>
    </row>
    <row r="70" spans="3:8" x14ac:dyDescent="0.25">
      <c r="C70" s="8"/>
      <c r="D70" s="45" t="s">
        <v>4484</v>
      </c>
      <c r="E70" s="68" t="s">
        <v>4268</v>
      </c>
      <c r="F70" s="4"/>
      <c r="G70" s="14"/>
      <c r="H70" s="63">
        <v>1640</v>
      </c>
    </row>
    <row r="71" spans="3:8" x14ac:dyDescent="0.25">
      <c r="C71" s="8"/>
      <c r="D71" s="45" t="s">
        <v>4486</v>
      </c>
      <c r="E71" s="68" t="s">
        <v>4487</v>
      </c>
      <c r="F71" s="4"/>
      <c r="G71" s="14"/>
      <c r="H71" s="63">
        <v>760</v>
      </c>
    </row>
    <row r="72" spans="3:8" x14ac:dyDescent="0.25">
      <c r="C72" s="8"/>
      <c r="D72" s="45" t="s">
        <v>4535</v>
      </c>
      <c r="E72" s="68" t="s">
        <v>4322</v>
      </c>
      <c r="F72" s="4"/>
      <c r="G72" s="14"/>
      <c r="H72" s="63">
        <v>225</v>
      </c>
    </row>
    <row r="73" spans="3:8" x14ac:dyDescent="0.25">
      <c r="C73" s="8"/>
      <c r="D73" s="45" t="s">
        <v>4536</v>
      </c>
      <c r="E73" s="68" t="s">
        <v>4537</v>
      </c>
      <c r="F73" s="4">
        <v>90</v>
      </c>
      <c r="G73" s="14"/>
      <c r="H73" s="4"/>
    </row>
    <row r="74" spans="3:8" x14ac:dyDescent="0.25">
      <c r="C74" s="8"/>
      <c r="D74" s="2"/>
      <c r="E74" s="68"/>
      <c r="F74" s="4"/>
      <c r="G74" s="14"/>
      <c r="H74" s="9"/>
    </row>
    <row r="75" spans="3:8" x14ac:dyDescent="0.25">
      <c r="C75" s="16"/>
      <c r="D75" s="17"/>
      <c r="E75" s="17" t="s">
        <v>39</v>
      </c>
      <c r="F75" s="4"/>
      <c r="G75" s="14"/>
      <c r="H75" s="9"/>
    </row>
    <row r="76" spans="3:8" x14ac:dyDescent="0.25">
      <c r="C76" s="8"/>
      <c r="D76" s="2"/>
      <c r="E76" s="68" t="s">
        <v>4555</v>
      </c>
      <c r="F76" s="4">
        <v>50</v>
      </c>
      <c r="G76" s="14"/>
      <c r="H76" s="9"/>
    </row>
    <row r="77" spans="3:8" x14ac:dyDescent="0.25">
      <c r="C77" s="8"/>
      <c r="D77" s="2"/>
      <c r="E77" s="68" t="s">
        <v>4556</v>
      </c>
      <c r="F77" s="4">
        <v>620.70000000000005</v>
      </c>
      <c r="G77" s="14"/>
      <c r="H77" s="9"/>
    </row>
    <row r="78" spans="3:8" x14ac:dyDescent="0.25">
      <c r="C78" s="8"/>
      <c r="D78" s="2"/>
      <c r="E78" s="68" t="s">
        <v>402</v>
      </c>
      <c r="F78" s="4">
        <v>13.8</v>
      </c>
      <c r="G78" s="14"/>
      <c r="H78" s="9"/>
    </row>
    <row r="79" spans="3:8" x14ac:dyDescent="0.25">
      <c r="C79" s="8"/>
      <c r="D79" s="2"/>
      <c r="E79" s="68"/>
      <c r="F79" s="4"/>
      <c r="G79" s="14"/>
      <c r="H79" s="9"/>
    </row>
    <row r="80" spans="3:8" x14ac:dyDescent="0.25">
      <c r="C80" s="8"/>
      <c r="D80" s="2"/>
      <c r="E80" s="68"/>
      <c r="F80" s="4"/>
      <c r="G80" s="14"/>
      <c r="H80" s="9"/>
    </row>
    <row r="81" spans="3:8" x14ac:dyDescent="0.25">
      <c r="C81" s="8"/>
      <c r="D81" s="2"/>
      <c r="E81" s="68"/>
      <c r="F81" s="4"/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19"/>
      <c r="D83" s="20"/>
      <c r="E83" s="20" t="s">
        <v>42</v>
      </c>
      <c r="F83" s="4"/>
      <c r="G83" s="14"/>
      <c r="H83" s="9"/>
    </row>
    <row r="84" spans="3:8" x14ac:dyDescent="0.25">
      <c r="C84" s="34"/>
      <c r="D84" s="42" t="s">
        <v>160</v>
      </c>
      <c r="E84" s="76" t="s">
        <v>4478</v>
      </c>
      <c r="F84" s="14">
        <v>-646</v>
      </c>
      <c r="G84" s="14"/>
      <c r="H84" s="9"/>
    </row>
    <row r="85" spans="3:8" x14ac:dyDescent="0.25">
      <c r="C85" s="34"/>
      <c r="D85" s="42" t="s">
        <v>178</v>
      </c>
      <c r="E85" s="76" t="s">
        <v>4479</v>
      </c>
      <c r="F85" s="14">
        <v>-49.5</v>
      </c>
      <c r="G85" s="14"/>
      <c r="H85" s="9"/>
    </row>
    <row r="86" spans="3:8" x14ac:dyDescent="0.25">
      <c r="C86" s="34"/>
      <c r="D86" s="2"/>
      <c r="E86" s="76" t="s">
        <v>4532</v>
      </c>
      <c r="F86" s="14">
        <v>-30</v>
      </c>
      <c r="G86" s="14"/>
      <c r="H86" s="9"/>
    </row>
    <row r="87" spans="3:8" x14ac:dyDescent="0.25">
      <c r="C87" s="34"/>
      <c r="D87" s="2"/>
      <c r="E87" s="89" t="s">
        <v>4557</v>
      </c>
      <c r="F87" s="14">
        <v>-50</v>
      </c>
      <c r="G87" s="14"/>
      <c r="H87" s="9"/>
    </row>
    <row r="88" spans="3:8" x14ac:dyDescent="0.25">
      <c r="C88" s="34"/>
      <c r="D88" s="2"/>
      <c r="E88" s="89" t="s">
        <v>4558</v>
      </c>
      <c r="F88" s="14">
        <v>-3602.7</v>
      </c>
      <c r="G88" s="14"/>
      <c r="H88" s="9"/>
    </row>
    <row r="89" spans="3:8" x14ac:dyDescent="0.25">
      <c r="C89" s="8"/>
      <c r="D89" s="2"/>
      <c r="E89" s="89" t="s">
        <v>751</v>
      </c>
      <c r="F89" s="14">
        <v>-100</v>
      </c>
      <c r="G89" s="14"/>
      <c r="H89" s="9"/>
    </row>
    <row r="90" spans="3:8" x14ac:dyDescent="0.25">
      <c r="C90" s="8"/>
      <c r="D90" s="2"/>
      <c r="E90" s="89" t="s">
        <v>4559</v>
      </c>
      <c r="F90" s="14">
        <v>-7186.8</v>
      </c>
      <c r="G90" s="14"/>
      <c r="H90" s="9"/>
    </row>
    <row r="91" spans="3:8" x14ac:dyDescent="0.25">
      <c r="C91" s="8"/>
      <c r="D91" s="2"/>
      <c r="E91" s="89" t="s">
        <v>4561</v>
      </c>
      <c r="F91" s="14">
        <v>-3</v>
      </c>
      <c r="G91" s="14"/>
      <c r="H91" s="9"/>
    </row>
    <row r="92" spans="3:8" x14ac:dyDescent="0.25">
      <c r="C92" s="8"/>
      <c r="D92" s="2"/>
      <c r="E92" s="89"/>
      <c r="F92" s="1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ht="15.75" thickBot="1" x14ac:dyDescent="0.3">
      <c r="C94" s="10"/>
      <c r="D94" s="11"/>
      <c r="E94" s="11" t="s">
        <v>44</v>
      </c>
      <c r="F94" s="12">
        <f>SUM(F6:F93)</f>
        <v>-4644.7</v>
      </c>
      <c r="G94" s="15">
        <f>SUM(G6:G93)</f>
        <v>7127.3</v>
      </c>
      <c r="H94" s="13">
        <f>SUM(H6:H93)</f>
        <v>16553.380000000005</v>
      </c>
    </row>
    <row r="97" spans="3:6" s="3" customFormat="1" ht="18.75" x14ac:dyDescent="0.3">
      <c r="C97" s="1"/>
      <c r="D97" s="1"/>
      <c r="E97" s="38" t="s">
        <v>49</v>
      </c>
      <c r="F97" s="39">
        <f>+H4+F94</f>
        <v>2634.5299999999997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58D6-B51E-44B6-9589-9A98325B5270}">
  <sheetPr codeName="Hoja51"/>
  <dimension ref="C2:O107"/>
  <sheetViews>
    <sheetView zoomScaleNormal="100" workbookViewId="0">
      <selection activeCell="F107" sqref="F107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4563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2634.53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4564</v>
      </c>
      <c r="E6" s="2" t="s">
        <v>12</v>
      </c>
      <c r="F6" s="4">
        <v>6</v>
      </c>
      <c r="G6" s="14"/>
      <c r="H6" s="9"/>
    </row>
    <row r="7" spans="3:8" x14ac:dyDescent="0.25">
      <c r="C7" s="8"/>
      <c r="D7" s="2" t="s">
        <v>4569</v>
      </c>
      <c r="E7" s="2" t="s">
        <v>12</v>
      </c>
      <c r="F7" s="4"/>
      <c r="G7" s="14"/>
      <c r="H7" s="9">
        <v>4.5</v>
      </c>
    </row>
    <row r="8" spans="3:8" x14ac:dyDescent="0.25">
      <c r="C8" s="8"/>
      <c r="D8" s="2" t="s">
        <v>4570</v>
      </c>
      <c r="E8" s="2" t="s">
        <v>4173</v>
      </c>
      <c r="F8" s="4">
        <v>124</v>
      </c>
      <c r="G8" s="14"/>
      <c r="H8" s="9"/>
    </row>
    <row r="9" spans="3:8" x14ac:dyDescent="0.25">
      <c r="C9" s="8"/>
      <c r="D9" s="2" t="s">
        <v>4571</v>
      </c>
      <c r="E9" s="2" t="s">
        <v>4602</v>
      </c>
      <c r="F9" s="4">
        <v>20.5</v>
      </c>
      <c r="G9" s="14"/>
      <c r="H9" s="9"/>
    </row>
    <row r="10" spans="3:8" x14ac:dyDescent="0.25">
      <c r="C10" s="8"/>
      <c r="D10" s="2" t="s">
        <v>4572</v>
      </c>
      <c r="E10" s="2" t="s">
        <v>1152</v>
      </c>
      <c r="F10" s="4"/>
      <c r="G10" s="14">
        <v>186.1</v>
      </c>
      <c r="H10" s="9"/>
    </row>
    <row r="11" spans="3:8" x14ac:dyDescent="0.25">
      <c r="C11" s="8"/>
      <c r="D11" s="2" t="s">
        <v>4573</v>
      </c>
      <c r="E11" s="2" t="s">
        <v>12</v>
      </c>
      <c r="F11" s="4"/>
      <c r="G11" s="14"/>
      <c r="H11" s="9">
        <v>29.8</v>
      </c>
    </row>
    <row r="12" spans="3:8" x14ac:dyDescent="0.25">
      <c r="C12" s="8"/>
      <c r="D12" s="2" t="s">
        <v>4574</v>
      </c>
      <c r="E12" s="2" t="s">
        <v>12</v>
      </c>
      <c r="F12" s="4">
        <v>10</v>
      </c>
      <c r="G12" s="14"/>
      <c r="H12" s="9"/>
    </row>
    <row r="13" spans="3:8" x14ac:dyDescent="0.25">
      <c r="C13" s="8"/>
      <c r="D13" s="2" t="s">
        <v>4575</v>
      </c>
      <c r="E13" s="2" t="s">
        <v>4601</v>
      </c>
      <c r="F13" s="4"/>
      <c r="G13" s="14"/>
      <c r="H13" s="9">
        <v>858.3</v>
      </c>
    </row>
    <row r="14" spans="3:8" x14ac:dyDescent="0.25">
      <c r="C14" s="8"/>
      <c r="D14" s="2" t="s">
        <v>4576</v>
      </c>
      <c r="E14" s="2" t="s">
        <v>12</v>
      </c>
      <c r="F14" s="4">
        <v>24</v>
      </c>
      <c r="G14" s="14"/>
      <c r="H14" s="9"/>
    </row>
    <row r="15" spans="3:8" x14ac:dyDescent="0.25">
      <c r="C15" s="8"/>
      <c r="D15" s="2" t="s">
        <v>4577</v>
      </c>
      <c r="E15" s="2" t="s">
        <v>4600</v>
      </c>
      <c r="F15" s="4">
        <v>1102.9000000000001</v>
      </c>
      <c r="G15" s="14"/>
      <c r="H15" s="9"/>
    </row>
    <row r="16" spans="3:8" x14ac:dyDescent="0.25">
      <c r="C16" s="8"/>
      <c r="D16" s="2" t="s">
        <v>4578</v>
      </c>
      <c r="E16" s="2" t="s">
        <v>4599</v>
      </c>
      <c r="F16" s="4">
        <v>71</v>
      </c>
      <c r="G16" s="14"/>
      <c r="H16" s="9"/>
    </row>
    <row r="17" spans="3:15" x14ac:dyDescent="0.25">
      <c r="C17" s="8"/>
      <c r="D17" s="2" t="s">
        <v>4579</v>
      </c>
      <c r="E17" s="2" t="s">
        <v>4598</v>
      </c>
      <c r="F17" s="4">
        <v>116</v>
      </c>
      <c r="G17" s="14"/>
      <c r="H17" s="9"/>
    </row>
    <row r="18" spans="3:15" x14ac:dyDescent="0.25">
      <c r="C18" s="8"/>
      <c r="D18" s="2" t="s">
        <v>4580</v>
      </c>
      <c r="E18" s="2" t="s">
        <v>12</v>
      </c>
      <c r="F18" s="4">
        <v>10</v>
      </c>
      <c r="G18" s="14"/>
      <c r="H18" s="9"/>
    </row>
    <row r="19" spans="3:15" x14ac:dyDescent="0.25">
      <c r="C19" s="8"/>
      <c r="D19" s="2" t="s">
        <v>4581</v>
      </c>
      <c r="E19" s="2" t="s">
        <v>12</v>
      </c>
      <c r="F19" s="4">
        <v>2</v>
      </c>
      <c r="G19" s="14"/>
      <c r="H19" s="9"/>
    </row>
    <row r="20" spans="3:15" x14ac:dyDescent="0.25">
      <c r="C20" s="8"/>
      <c r="D20" s="2" t="s">
        <v>4582</v>
      </c>
      <c r="E20" s="2" t="s">
        <v>12</v>
      </c>
      <c r="F20" s="4">
        <v>2</v>
      </c>
      <c r="G20" s="14"/>
      <c r="H20" s="9"/>
    </row>
    <row r="21" spans="3:15" x14ac:dyDescent="0.25">
      <c r="C21" s="8"/>
      <c r="D21" s="2" t="s">
        <v>4583</v>
      </c>
      <c r="E21" s="2" t="s">
        <v>12</v>
      </c>
      <c r="F21" s="4">
        <v>61.2</v>
      </c>
      <c r="G21" s="14"/>
      <c r="H21" s="9"/>
      <c r="L21" s="36"/>
    </row>
    <row r="22" spans="3:15" x14ac:dyDescent="0.25">
      <c r="C22" s="8"/>
      <c r="D22" s="2" t="s">
        <v>4584</v>
      </c>
      <c r="E22" s="2" t="s">
        <v>12</v>
      </c>
      <c r="F22" s="4">
        <v>10</v>
      </c>
      <c r="G22" s="14"/>
      <c r="H22" s="9"/>
      <c r="O22">
        <f>1880182-1873207</f>
        <v>6975</v>
      </c>
    </row>
    <row r="23" spans="3:15" x14ac:dyDescent="0.25">
      <c r="C23" s="8"/>
      <c r="D23" s="2" t="s">
        <v>4585</v>
      </c>
      <c r="E23" s="2" t="s">
        <v>12</v>
      </c>
      <c r="F23" s="4">
        <v>2</v>
      </c>
      <c r="G23" s="14"/>
      <c r="H23" s="9"/>
    </row>
    <row r="24" spans="3:15" x14ac:dyDescent="0.25">
      <c r="C24" s="8"/>
      <c r="D24" s="2" t="s">
        <v>4586</v>
      </c>
      <c r="E24" s="2" t="s">
        <v>12</v>
      </c>
      <c r="F24" s="4">
        <v>38</v>
      </c>
      <c r="G24" s="14"/>
      <c r="H24" s="9"/>
    </row>
    <row r="25" spans="3:15" x14ac:dyDescent="0.25">
      <c r="C25" s="8"/>
      <c r="D25" s="2" t="s">
        <v>4587</v>
      </c>
      <c r="E25" s="2" t="s">
        <v>12</v>
      </c>
      <c r="F25" s="4"/>
      <c r="G25" s="14"/>
      <c r="H25" s="9">
        <v>4.5</v>
      </c>
    </row>
    <row r="26" spans="3:15" x14ac:dyDescent="0.25">
      <c r="C26" s="8"/>
      <c r="D26" s="2" t="s">
        <v>4588</v>
      </c>
      <c r="E26" s="2" t="s">
        <v>4597</v>
      </c>
      <c r="F26" s="4">
        <v>1700</v>
      </c>
      <c r="G26" s="14"/>
      <c r="H26" s="9">
        <v>63.7</v>
      </c>
    </row>
    <row r="27" spans="3:15" x14ac:dyDescent="0.25">
      <c r="C27" s="8"/>
      <c r="D27" s="2" t="s">
        <v>4589</v>
      </c>
      <c r="E27" s="2" t="s">
        <v>4596</v>
      </c>
      <c r="F27" s="4"/>
      <c r="G27" s="14">
        <v>1096</v>
      </c>
      <c r="H27" s="9"/>
    </row>
    <row r="28" spans="3:15" x14ac:dyDescent="0.25">
      <c r="C28" s="8"/>
      <c r="D28" s="2" t="s">
        <v>4590</v>
      </c>
      <c r="E28" s="2" t="s">
        <v>4595</v>
      </c>
      <c r="F28" s="4"/>
      <c r="G28" s="14">
        <v>1948</v>
      </c>
      <c r="H28" s="9"/>
    </row>
    <row r="29" spans="3:15" x14ac:dyDescent="0.25">
      <c r="C29" s="8"/>
      <c r="D29" s="2" t="s">
        <v>4591</v>
      </c>
      <c r="E29" s="2" t="s">
        <v>12</v>
      </c>
      <c r="F29" s="4">
        <v>5</v>
      </c>
      <c r="G29" s="14"/>
      <c r="H29" s="9"/>
    </row>
    <row r="30" spans="3:15" x14ac:dyDescent="0.25">
      <c r="C30" s="8"/>
      <c r="D30" s="2" t="s">
        <v>4592</v>
      </c>
      <c r="E30" s="2" t="s">
        <v>4635</v>
      </c>
      <c r="F30" s="4"/>
      <c r="G30" s="14">
        <v>10</v>
      </c>
      <c r="H30" s="9"/>
    </row>
    <row r="31" spans="3:15" x14ac:dyDescent="0.25">
      <c r="C31" s="8"/>
      <c r="D31" s="2" t="s">
        <v>4593</v>
      </c>
      <c r="E31" s="2" t="s">
        <v>4390</v>
      </c>
      <c r="F31" s="4"/>
      <c r="G31" s="14"/>
      <c r="H31" s="9">
        <v>83</v>
      </c>
    </row>
    <row r="32" spans="3:15" x14ac:dyDescent="0.25">
      <c r="C32" s="8"/>
      <c r="D32" s="2" t="s">
        <v>4594</v>
      </c>
      <c r="E32" s="2" t="s">
        <v>12</v>
      </c>
      <c r="F32" s="4">
        <v>1</v>
      </c>
      <c r="G32" s="14"/>
      <c r="H32" s="9"/>
    </row>
    <row r="33" spans="3:8" x14ac:dyDescent="0.25">
      <c r="C33" s="8"/>
      <c r="D33" s="2" t="s">
        <v>4633</v>
      </c>
      <c r="E33" s="2" t="s">
        <v>1679</v>
      </c>
      <c r="F33" s="4">
        <v>546</v>
      </c>
      <c r="G33" s="14"/>
      <c r="H33" s="9"/>
    </row>
    <row r="34" spans="3:8" x14ac:dyDescent="0.25">
      <c r="C34" s="8"/>
      <c r="D34" s="2" t="s">
        <v>4634</v>
      </c>
      <c r="E34" s="2" t="s">
        <v>12</v>
      </c>
      <c r="F34" s="4">
        <v>35</v>
      </c>
      <c r="G34" s="14"/>
      <c r="H34" s="9"/>
    </row>
    <row r="35" spans="3:8" x14ac:dyDescent="0.25">
      <c r="C35" s="8"/>
      <c r="D35" s="2" t="s">
        <v>4636</v>
      </c>
      <c r="E35" s="2" t="s">
        <v>12</v>
      </c>
      <c r="F35" s="4">
        <v>25</v>
      </c>
      <c r="G35" s="14"/>
      <c r="H35" s="9"/>
    </row>
    <row r="36" spans="3:8" x14ac:dyDescent="0.25">
      <c r="C36" s="8"/>
      <c r="D36" s="2" t="s">
        <v>4637</v>
      </c>
      <c r="E36" s="2" t="s">
        <v>12</v>
      </c>
      <c r="F36" s="4"/>
      <c r="G36" s="14"/>
      <c r="H36" s="9">
        <v>6</v>
      </c>
    </row>
    <row r="37" spans="3:8" x14ac:dyDescent="0.25">
      <c r="C37" s="8"/>
      <c r="D37" s="2" t="s">
        <v>4645</v>
      </c>
      <c r="E37" s="2" t="s">
        <v>12</v>
      </c>
      <c r="F37" s="4">
        <v>33</v>
      </c>
      <c r="G37" s="14"/>
      <c r="H37" s="9"/>
    </row>
    <row r="38" spans="3:8" x14ac:dyDescent="0.25">
      <c r="C38" s="8"/>
      <c r="D38" s="2" t="s">
        <v>4646</v>
      </c>
      <c r="E38" s="2" t="s">
        <v>106</v>
      </c>
      <c r="F38" s="4"/>
      <c r="G38" s="14"/>
      <c r="H38" s="9">
        <v>64</v>
      </c>
    </row>
    <row r="39" spans="3:8" x14ac:dyDescent="0.25">
      <c r="C39" s="8"/>
      <c r="D39" s="2" t="s">
        <v>4647</v>
      </c>
      <c r="E39" s="2" t="s">
        <v>12</v>
      </c>
      <c r="F39" s="4">
        <v>134</v>
      </c>
      <c r="G39" s="14"/>
      <c r="H39" s="9"/>
    </row>
    <row r="40" spans="3:8" x14ac:dyDescent="0.25">
      <c r="C40" s="8"/>
      <c r="D40" s="2" t="s">
        <v>4648</v>
      </c>
      <c r="E40" s="2" t="s">
        <v>12</v>
      </c>
      <c r="F40" s="4">
        <v>67</v>
      </c>
      <c r="G40" s="14"/>
      <c r="H40" s="9"/>
    </row>
    <row r="41" spans="3:8" x14ac:dyDescent="0.25">
      <c r="C41" s="8"/>
      <c r="D41" s="2" t="s">
        <v>4649</v>
      </c>
      <c r="E41" s="2" t="s">
        <v>12</v>
      </c>
      <c r="F41" s="4"/>
      <c r="G41" s="14"/>
      <c r="H41" s="9">
        <v>6.5</v>
      </c>
    </row>
    <row r="42" spans="3:8" x14ac:dyDescent="0.25">
      <c r="C42" s="8"/>
      <c r="D42" s="2" t="s">
        <v>4650</v>
      </c>
      <c r="E42" s="2" t="s">
        <v>328</v>
      </c>
      <c r="F42" s="4"/>
      <c r="G42" s="14">
        <v>1240</v>
      </c>
      <c r="H42" s="9"/>
    </row>
    <row r="43" spans="3:8" x14ac:dyDescent="0.25">
      <c r="C43" s="8"/>
      <c r="D43" s="2" t="s">
        <v>4651</v>
      </c>
      <c r="E43" s="2" t="s">
        <v>4388</v>
      </c>
      <c r="F43" s="4"/>
      <c r="G43" s="14"/>
      <c r="H43" s="9">
        <v>680</v>
      </c>
    </row>
    <row r="44" spans="3:8" x14ac:dyDescent="0.25">
      <c r="C44" s="8"/>
      <c r="D44" s="2" t="s">
        <v>4662</v>
      </c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 t="s">
        <v>4603</v>
      </c>
      <c r="E46" s="2" t="s">
        <v>48</v>
      </c>
      <c r="F46" s="4">
        <v>15.5</v>
      </c>
      <c r="G46" s="14"/>
      <c r="H46" s="9"/>
    </row>
    <row r="47" spans="3:8" x14ac:dyDescent="0.25">
      <c r="C47" s="8"/>
      <c r="D47" s="2" t="s">
        <v>4604</v>
      </c>
      <c r="E47" s="2" t="s">
        <v>4621</v>
      </c>
      <c r="F47" s="4">
        <v>424</v>
      </c>
      <c r="G47" s="14"/>
      <c r="H47" s="9"/>
    </row>
    <row r="48" spans="3:8" x14ac:dyDescent="0.25">
      <c r="C48" s="8"/>
      <c r="D48" s="2" t="s">
        <v>4605</v>
      </c>
      <c r="E48" s="2" t="s">
        <v>3438</v>
      </c>
      <c r="F48" s="4">
        <v>236</v>
      </c>
      <c r="G48" s="14"/>
      <c r="H48" s="9"/>
    </row>
    <row r="49" spans="3:8" x14ac:dyDescent="0.25">
      <c r="C49" s="8"/>
      <c r="D49" s="2" t="s">
        <v>4606</v>
      </c>
      <c r="E49" s="2" t="s">
        <v>4079</v>
      </c>
      <c r="F49" s="4"/>
      <c r="G49" s="14"/>
      <c r="H49" s="9">
        <v>2046</v>
      </c>
    </row>
    <row r="50" spans="3:8" x14ac:dyDescent="0.25">
      <c r="C50" s="8"/>
      <c r="D50" s="2" t="s">
        <v>4607</v>
      </c>
      <c r="E50" s="2" t="s">
        <v>4620</v>
      </c>
      <c r="F50" s="4"/>
      <c r="G50" s="14"/>
      <c r="H50" s="9">
        <v>2214</v>
      </c>
    </row>
    <row r="51" spans="3:8" x14ac:dyDescent="0.25">
      <c r="C51" s="8"/>
      <c r="D51" s="2" t="s">
        <v>4608</v>
      </c>
      <c r="E51" s="2" t="s">
        <v>48</v>
      </c>
      <c r="F51" s="4">
        <v>9</v>
      </c>
      <c r="G51" s="14"/>
      <c r="H51" s="9"/>
    </row>
    <row r="52" spans="3:8" x14ac:dyDescent="0.25">
      <c r="C52" s="8"/>
      <c r="D52" s="2" t="s">
        <v>4609</v>
      </c>
      <c r="E52" s="2" t="s">
        <v>4619</v>
      </c>
      <c r="F52" s="4"/>
      <c r="G52" s="14"/>
      <c r="H52" s="9">
        <v>8</v>
      </c>
    </row>
    <row r="53" spans="3:8" x14ac:dyDescent="0.25">
      <c r="C53" s="8"/>
      <c r="D53" s="2" t="s">
        <v>4610</v>
      </c>
      <c r="E53" s="2" t="s">
        <v>2527</v>
      </c>
      <c r="F53" s="4">
        <v>160</v>
      </c>
      <c r="G53" s="14"/>
      <c r="H53" s="9">
        <v>125</v>
      </c>
    </row>
    <row r="54" spans="3:8" x14ac:dyDescent="0.25">
      <c r="C54" s="8"/>
      <c r="D54" s="2" t="s">
        <v>4611</v>
      </c>
      <c r="E54" s="2" t="s">
        <v>4618</v>
      </c>
      <c r="F54" s="4"/>
      <c r="G54" s="14"/>
      <c r="H54" s="9">
        <v>45</v>
      </c>
    </row>
    <row r="55" spans="3:8" x14ac:dyDescent="0.25">
      <c r="C55" s="8"/>
      <c r="D55" s="2" t="s">
        <v>4612</v>
      </c>
      <c r="E55" s="2" t="s">
        <v>4617</v>
      </c>
      <c r="F55" s="4"/>
      <c r="G55" s="14"/>
      <c r="H55" s="9">
        <v>1002</v>
      </c>
    </row>
    <row r="56" spans="3:8" x14ac:dyDescent="0.25">
      <c r="C56" s="8"/>
      <c r="D56" s="2" t="s">
        <v>4613</v>
      </c>
      <c r="E56" s="2" t="s">
        <v>4049</v>
      </c>
      <c r="F56" s="4">
        <v>402</v>
      </c>
      <c r="G56" s="14"/>
      <c r="H56" s="9"/>
    </row>
    <row r="57" spans="3:8" x14ac:dyDescent="0.25">
      <c r="C57" s="8"/>
      <c r="D57" s="2" t="s">
        <v>4614</v>
      </c>
      <c r="E57" s="2" t="s">
        <v>48</v>
      </c>
      <c r="F57" s="4">
        <v>1.5</v>
      </c>
      <c r="G57" s="14"/>
      <c r="H57" s="9"/>
    </row>
    <row r="58" spans="3:8" x14ac:dyDescent="0.25">
      <c r="C58" s="8"/>
      <c r="D58" s="2" t="s">
        <v>4615</v>
      </c>
      <c r="E58" s="2" t="s">
        <v>48</v>
      </c>
      <c r="F58" s="4">
        <v>4.5</v>
      </c>
      <c r="G58" s="14"/>
      <c r="H58" s="9"/>
    </row>
    <row r="59" spans="3:8" x14ac:dyDescent="0.25">
      <c r="C59" s="8"/>
      <c r="D59" s="2" t="s">
        <v>4616</v>
      </c>
      <c r="E59" s="2" t="s">
        <v>48</v>
      </c>
      <c r="F59" s="4">
        <v>5</v>
      </c>
      <c r="G59" s="14"/>
      <c r="H59" s="9"/>
    </row>
    <row r="60" spans="3:8" x14ac:dyDescent="0.25">
      <c r="C60" s="8"/>
      <c r="D60" s="2" t="s">
        <v>4638</v>
      </c>
      <c r="E60" s="2" t="s">
        <v>48</v>
      </c>
      <c r="F60" s="4"/>
      <c r="G60" s="14"/>
      <c r="H60" s="9">
        <v>14</v>
      </c>
    </row>
    <row r="61" spans="3:8" x14ac:dyDescent="0.25">
      <c r="C61" s="8"/>
      <c r="D61" s="2" t="s">
        <v>4642</v>
      </c>
      <c r="E61" s="2" t="s">
        <v>4643</v>
      </c>
      <c r="F61" s="4">
        <v>1740.7</v>
      </c>
      <c r="G61" s="14"/>
      <c r="H61" s="9"/>
    </row>
    <row r="62" spans="3:8" x14ac:dyDescent="0.25">
      <c r="C62" s="8"/>
      <c r="D62" s="2" t="s">
        <v>4654</v>
      </c>
      <c r="E62" s="2" t="s">
        <v>1230</v>
      </c>
      <c r="F62" s="4"/>
      <c r="G62" s="14">
        <v>6875</v>
      </c>
      <c r="H62" s="9"/>
    </row>
    <row r="63" spans="3:8" x14ac:dyDescent="0.25">
      <c r="C63" s="8"/>
      <c r="D63" s="2" t="s">
        <v>4655</v>
      </c>
      <c r="E63" s="2" t="s">
        <v>48</v>
      </c>
      <c r="F63" s="4">
        <v>6.5</v>
      </c>
      <c r="G63" s="14"/>
      <c r="H63" s="9"/>
    </row>
    <row r="64" spans="3:8" x14ac:dyDescent="0.25">
      <c r="C64" s="8"/>
      <c r="D64" s="2" t="s">
        <v>4656</v>
      </c>
      <c r="E64" s="2" t="s">
        <v>4618</v>
      </c>
      <c r="F64" s="4"/>
      <c r="G64" s="14"/>
      <c r="H64" s="9">
        <v>170</v>
      </c>
    </row>
    <row r="65" spans="3:8" x14ac:dyDescent="0.25">
      <c r="C65" s="8"/>
      <c r="D65" s="2" t="s">
        <v>4657</v>
      </c>
      <c r="E65" s="2" t="s">
        <v>164</v>
      </c>
      <c r="F65" s="4"/>
      <c r="G65" s="14">
        <v>2967</v>
      </c>
      <c r="H65" s="9"/>
    </row>
    <row r="66" spans="3:8" x14ac:dyDescent="0.25">
      <c r="C66" s="8"/>
      <c r="D66" s="2" t="s">
        <v>4658</v>
      </c>
      <c r="E66" s="2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29"/>
      <c r="D71" s="30"/>
      <c r="E71" s="30" t="s">
        <v>60</v>
      </c>
      <c r="F71" s="4"/>
      <c r="G71" s="14"/>
      <c r="H71" s="9"/>
    </row>
    <row r="72" spans="3:8" x14ac:dyDescent="0.25">
      <c r="C72" s="8"/>
      <c r="D72" s="45" t="s">
        <v>4566</v>
      </c>
      <c r="E72" s="68" t="s">
        <v>4565</v>
      </c>
      <c r="F72" s="90">
        <v>525</v>
      </c>
      <c r="G72" s="14"/>
      <c r="H72" s="9"/>
    </row>
    <row r="73" spans="3:8" x14ac:dyDescent="0.25">
      <c r="C73" s="8"/>
      <c r="D73" s="45" t="s">
        <v>4568</v>
      </c>
      <c r="E73" s="68" t="s">
        <v>4567</v>
      </c>
      <c r="F73" s="4"/>
      <c r="G73" s="14"/>
      <c r="H73" s="95">
        <v>1852.5</v>
      </c>
    </row>
    <row r="74" spans="3:8" x14ac:dyDescent="0.25">
      <c r="C74" s="8"/>
      <c r="D74" s="45"/>
      <c r="E74" s="68"/>
      <c r="F74" s="4"/>
      <c r="G74" s="14"/>
      <c r="H74" s="63"/>
    </row>
    <row r="75" spans="3:8" x14ac:dyDescent="0.25">
      <c r="C75" s="8"/>
      <c r="D75" s="2"/>
      <c r="E75" s="68"/>
      <c r="F75" s="4"/>
      <c r="G75" s="14"/>
      <c r="H75" s="9"/>
    </row>
    <row r="76" spans="3:8" x14ac:dyDescent="0.25">
      <c r="C76" s="16"/>
      <c r="D76" s="17"/>
      <c r="E76" s="17" t="s">
        <v>39</v>
      </c>
      <c r="F76" s="4"/>
      <c r="G76" s="14"/>
      <c r="H76" s="9"/>
    </row>
    <row r="77" spans="3:8" x14ac:dyDescent="0.25">
      <c r="C77" s="8"/>
      <c r="D77" s="2"/>
      <c r="E77" s="68" t="s">
        <v>4622</v>
      </c>
      <c r="F77" s="4">
        <v>21</v>
      </c>
      <c r="G77" s="14"/>
      <c r="H77" s="9"/>
    </row>
    <row r="78" spans="3:8" x14ac:dyDescent="0.25">
      <c r="C78" s="8"/>
      <c r="D78" s="2"/>
      <c r="E78" s="68" t="s">
        <v>4623</v>
      </c>
      <c r="F78" s="4">
        <v>100</v>
      </c>
      <c r="G78" s="14"/>
      <c r="H78" s="9"/>
    </row>
    <row r="79" spans="3:8" x14ac:dyDescent="0.25">
      <c r="C79" s="8"/>
      <c r="D79" s="2"/>
      <c r="E79" s="68" t="s">
        <v>4624</v>
      </c>
      <c r="F79" s="4">
        <v>1260</v>
      </c>
      <c r="G79" s="14"/>
      <c r="H79" s="9"/>
    </row>
    <row r="80" spans="3:8" x14ac:dyDescent="0.25">
      <c r="C80" s="8"/>
      <c r="D80" s="2"/>
      <c r="E80" s="68" t="s">
        <v>4625</v>
      </c>
      <c r="F80" s="4">
        <v>18</v>
      </c>
      <c r="G80" s="14"/>
      <c r="H80" s="9"/>
    </row>
    <row r="81" spans="3:8" x14ac:dyDescent="0.25">
      <c r="C81" s="8"/>
      <c r="D81" s="2"/>
      <c r="E81" s="68" t="s">
        <v>4626</v>
      </c>
      <c r="F81" s="4">
        <v>2</v>
      </c>
      <c r="G81" s="14"/>
      <c r="H81" s="9"/>
    </row>
    <row r="82" spans="3:8" x14ac:dyDescent="0.25">
      <c r="C82" s="8"/>
      <c r="D82" s="2"/>
      <c r="E82" s="68" t="s">
        <v>4639</v>
      </c>
      <c r="F82" s="4">
        <v>320</v>
      </c>
      <c r="G82" s="14"/>
      <c r="H82" s="9"/>
    </row>
    <row r="83" spans="3:8" x14ac:dyDescent="0.25">
      <c r="C83" s="8"/>
      <c r="D83" s="2"/>
      <c r="E83" s="68" t="s">
        <v>4653</v>
      </c>
      <c r="F83" s="4">
        <v>6908</v>
      </c>
      <c r="G83" s="14"/>
      <c r="H83" s="9"/>
    </row>
    <row r="84" spans="3:8" x14ac:dyDescent="0.25">
      <c r="C84" s="8"/>
      <c r="D84" s="2"/>
      <c r="E84" s="68"/>
      <c r="F84" s="4"/>
      <c r="G84" s="14"/>
      <c r="H84" s="9"/>
    </row>
    <row r="85" spans="3:8" x14ac:dyDescent="0.25">
      <c r="C85" s="8"/>
      <c r="D85" s="2"/>
      <c r="E85" s="68"/>
      <c r="F85" s="4"/>
      <c r="G85" s="14"/>
      <c r="H85" s="9"/>
    </row>
    <row r="86" spans="3:8" x14ac:dyDescent="0.25">
      <c r="C86" s="19"/>
      <c r="D86" s="20"/>
      <c r="E86" s="20" t="s">
        <v>42</v>
      </c>
      <c r="F86" s="4"/>
      <c r="G86" s="14"/>
      <c r="H86" s="9"/>
    </row>
    <row r="87" spans="3:8" x14ac:dyDescent="0.25">
      <c r="C87" s="34"/>
      <c r="D87" s="42" t="s">
        <v>160</v>
      </c>
      <c r="E87" s="76" t="s">
        <v>4478</v>
      </c>
      <c r="F87" s="14">
        <v>-646</v>
      </c>
      <c r="G87" s="14"/>
      <c r="H87" s="9"/>
    </row>
    <row r="88" spans="3:8" x14ac:dyDescent="0.25">
      <c r="C88" s="34"/>
      <c r="D88" s="42" t="s">
        <v>3164</v>
      </c>
      <c r="E88" s="76" t="s">
        <v>4652</v>
      </c>
      <c r="F88" s="14">
        <v>-635</v>
      </c>
      <c r="G88" s="14"/>
      <c r="H88" s="9"/>
    </row>
    <row r="89" spans="3:8" x14ac:dyDescent="0.25">
      <c r="C89" s="34"/>
      <c r="D89" s="42"/>
      <c r="E89" s="76" t="s">
        <v>4627</v>
      </c>
      <c r="F89" s="14">
        <v>-10</v>
      </c>
      <c r="G89" s="14"/>
      <c r="H89" s="9"/>
    </row>
    <row r="90" spans="3:8" x14ac:dyDescent="0.25">
      <c r="C90" s="34"/>
      <c r="D90" s="2"/>
      <c r="E90" s="76" t="s">
        <v>4628</v>
      </c>
      <c r="F90" s="14">
        <v>-5</v>
      </c>
      <c r="G90" s="14"/>
      <c r="H90" s="9"/>
    </row>
    <row r="91" spans="3:8" x14ac:dyDescent="0.25">
      <c r="C91" s="34"/>
      <c r="D91" s="2"/>
      <c r="E91" s="89" t="s">
        <v>4629</v>
      </c>
      <c r="F91" s="14">
        <v>-35</v>
      </c>
      <c r="G91" s="14"/>
      <c r="H91" s="9"/>
    </row>
    <row r="92" spans="3:8" x14ac:dyDescent="0.25">
      <c r="C92" s="34"/>
      <c r="D92" s="2"/>
      <c r="E92" s="89" t="s">
        <v>4630</v>
      </c>
      <c r="F92" s="14">
        <v>-150</v>
      </c>
      <c r="G92" s="14"/>
      <c r="H92" s="9"/>
    </row>
    <row r="93" spans="3:8" x14ac:dyDescent="0.25">
      <c r="C93" s="8"/>
      <c r="D93" s="2"/>
      <c r="E93" s="89" t="s">
        <v>4631</v>
      </c>
      <c r="F93" s="14">
        <v>-146</v>
      </c>
      <c r="G93" s="14"/>
      <c r="H93" s="9"/>
    </row>
    <row r="94" spans="3:8" x14ac:dyDescent="0.25">
      <c r="C94" s="8"/>
      <c r="D94" s="2"/>
      <c r="E94" s="89" t="s">
        <v>4632</v>
      </c>
      <c r="F94" s="14">
        <v>-20</v>
      </c>
      <c r="G94" s="14"/>
      <c r="H94" s="9"/>
    </row>
    <row r="95" spans="3:8" x14ac:dyDescent="0.25">
      <c r="C95" s="8"/>
      <c r="D95" s="2"/>
      <c r="E95" s="89" t="s">
        <v>4661</v>
      </c>
      <c r="F95" s="14">
        <v>-435</v>
      </c>
      <c r="G95" s="14"/>
      <c r="H95" s="9"/>
    </row>
    <row r="96" spans="3:8" x14ac:dyDescent="0.25">
      <c r="C96" s="8"/>
      <c r="D96" s="2"/>
      <c r="E96" s="89" t="s">
        <v>4640</v>
      </c>
      <c r="F96" s="14">
        <v>-20</v>
      </c>
      <c r="G96" s="14"/>
      <c r="H96" s="9"/>
    </row>
    <row r="97" spans="3:8" x14ac:dyDescent="0.25">
      <c r="C97" s="8"/>
      <c r="D97" s="2"/>
      <c r="E97" s="68" t="s">
        <v>4641</v>
      </c>
      <c r="F97" s="14">
        <v>-1740.7</v>
      </c>
      <c r="G97" s="14"/>
      <c r="H97" s="9"/>
    </row>
    <row r="98" spans="3:8" x14ac:dyDescent="0.25">
      <c r="C98" s="8"/>
      <c r="D98" s="2"/>
      <c r="E98" s="68" t="s">
        <v>4644</v>
      </c>
      <c r="F98" s="14">
        <v>-20</v>
      </c>
      <c r="G98" s="14"/>
      <c r="H98" s="9"/>
    </row>
    <row r="99" spans="3:8" x14ac:dyDescent="0.25">
      <c r="C99" s="8"/>
      <c r="D99" s="2"/>
      <c r="E99" s="68" t="s">
        <v>4659</v>
      </c>
      <c r="F99" s="14">
        <v>-2.5</v>
      </c>
      <c r="G99" s="14"/>
      <c r="H99" s="9"/>
    </row>
    <row r="100" spans="3:8" x14ac:dyDescent="0.25">
      <c r="C100" s="8"/>
      <c r="D100" s="2"/>
      <c r="E100" s="68" t="s">
        <v>4660</v>
      </c>
      <c r="F100" s="14">
        <v>-50</v>
      </c>
      <c r="G100" s="14"/>
      <c r="H100" s="9"/>
    </row>
    <row r="101" spans="3:8" x14ac:dyDescent="0.25">
      <c r="C101" s="8"/>
      <c r="D101" s="2"/>
      <c r="E101" s="68" t="s">
        <v>1274</v>
      </c>
      <c r="F101" s="14">
        <v>-2139.5</v>
      </c>
      <c r="G101" s="14"/>
      <c r="H101" s="9"/>
    </row>
    <row r="102" spans="3:8" x14ac:dyDescent="0.25">
      <c r="C102" s="8"/>
      <c r="D102" s="2"/>
      <c r="E102" s="68"/>
      <c r="F102" s="14"/>
      <c r="G102" s="14"/>
      <c r="H102" s="9"/>
    </row>
    <row r="103" spans="3:8" x14ac:dyDescent="0.25">
      <c r="C103" s="8"/>
      <c r="D103" s="2"/>
      <c r="E103" s="2"/>
      <c r="F103" s="4"/>
      <c r="G103" s="14"/>
      <c r="H103" s="9"/>
    </row>
    <row r="104" spans="3:8" ht="15.75" thickBot="1" x14ac:dyDescent="0.3">
      <c r="C104" s="10"/>
      <c r="D104" s="11"/>
      <c r="E104" s="11" t="s">
        <v>44</v>
      </c>
      <c r="F104" s="12">
        <f>SUM(F6:F103)</f>
        <v>10249.599999999999</v>
      </c>
      <c r="G104" s="15">
        <f>SUM(G6:G103)</f>
        <v>14322.1</v>
      </c>
      <c r="H104" s="13">
        <f>SUM(H6:H103)</f>
        <v>9276.7999999999993</v>
      </c>
    </row>
    <row r="107" spans="3:8" s="3" customFormat="1" ht="18.75" x14ac:dyDescent="0.3">
      <c r="C107" s="1"/>
      <c r="D107" s="1"/>
      <c r="E107" s="38" t="s">
        <v>49</v>
      </c>
      <c r="F107" s="39">
        <f>+H4+F104</f>
        <v>12884.13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95CA-396D-4692-B8B8-11446218D625}">
  <sheetPr codeName="Hoja52"/>
  <dimension ref="C2:H90"/>
  <sheetViews>
    <sheetView topLeftCell="A28" zoomScaleNormal="100" workbookViewId="0">
      <selection activeCell="D58" sqref="D58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4708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12884.13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4662</v>
      </c>
      <c r="E6" s="2" t="s">
        <v>440</v>
      </c>
      <c r="F6" s="4">
        <v>68</v>
      </c>
      <c r="G6" s="14"/>
      <c r="H6" s="9"/>
    </row>
    <row r="7" spans="3:8" x14ac:dyDescent="0.25">
      <c r="C7" s="8"/>
      <c r="D7" s="2" t="s">
        <v>4668</v>
      </c>
      <c r="E7" s="2" t="s">
        <v>440</v>
      </c>
      <c r="F7" s="4">
        <v>5</v>
      </c>
      <c r="G7" s="14"/>
      <c r="H7" s="9"/>
    </row>
    <row r="8" spans="3:8" x14ac:dyDescent="0.25">
      <c r="C8" s="8"/>
      <c r="D8" s="2" t="s">
        <v>4669</v>
      </c>
      <c r="E8" s="2" t="s">
        <v>440</v>
      </c>
      <c r="F8" s="4">
        <v>37</v>
      </c>
      <c r="G8" s="14"/>
      <c r="H8" s="9"/>
    </row>
    <row r="9" spans="3:8" x14ac:dyDescent="0.25">
      <c r="C9" s="8"/>
      <c r="D9" s="2" t="s">
        <v>4670</v>
      </c>
      <c r="E9" s="2" t="s">
        <v>440</v>
      </c>
      <c r="F9" s="4">
        <v>13</v>
      </c>
      <c r="G9" s="14"/>
      <c r="H9" s="9"/>
    </row>
    <row r="10" spans="3:8" x14ac:dyDescent="0.25">
      <c r="C10" s="8"/>
      <c r="D10" s="2" t="s">
        <v>4671</v>
      </c>
      <c r="E10" s="2" t="s">
        <v>4667</v>
      </c>
      <c r="F10" s="4">
        <v>259</v>
      </c>
      <c r="G10" s="14"/>
      <c r="H10" s="9"/>
    </row>
    <row r="11" spans="3:8" x14ac:dyDescent="0.25">
      <c r="C11" s="8"/>
      <c r="D11" s="2" t="s">
        <v>4672</v>
      </c>
      <c r="E11" s="2" t="s">
        <v>4666</v>
      </c>
      <c r="F11" s="4"/>
      <c r="G11" s="14"/>
      <c r="H11" s="9">
        <v>250</v>
      </c>
    </row>
    <row r="12" spans="3:8" x14ac:dyDescent="0.25">
      <c r="C12" s="8"/>
      <c r="D12" s="2" t="s">
        <v>4673</v>
      </c>
      <c r="E12" s="2" t="s">
        <v>440</v>
      </c>
      <c r="F12" s="4">
        <v>6</v>
      </c>
      <c r="G12" s="14"/>
      <c r="H12" s="9"/>
    </row>
    <row r="13" spans="3:8" x14ac:dyDescent="0.25">
      <c r="C13" s="8"/>
      <c r="D13" s="2" t="s">
        <v>4674</v>
      </c>
      <c r="E13" s="2" t="s">
        <v>440</v>
      </c>
      <c r="F13" s="4">
        <v>5</v>
      </c>
      <c r="G13" s="14"/>
      <c r="H13" s="9"/>
    </row>
    <row r="14" spans="3:8" x14ac:dyDescent="0.25">
      <c r="C14" s="8"/>
      <c r="D14" s="2" t="s">
        <v>4675</v>
      </c>
      <c r="E14" s="2" t="s">
        <v>440</v>
      </c>
      <c r="F14" s="4">
        <v>4.5</v>
      </c>
      <c r="G14" s="14"/>
      <c r="H14" s="9"/>
    </row>
    <row r="15" spans="3:8" x14ac:dyDescent="0.25">
      <c r="C15" s="8"/>
      <c r="D15" s="2" t="s">
        <v>4676</v>
      </c>
      <c r="E15" s="2" t="s">
        <v>4665</v>
      </c>
      <c r="F15" s="4">
        <v>377</v>
      </c>
      <c r="G15" s="14"/>
      <c r="H15" s="9"/>
    </row>
    <row r="16" spans="3:8" x14ac:dyDescent="0.25">
      <c r="C16" s="8"/>
      <c r="D16" s="2" t="s">
        <v>4677</v>
      </c>
      <c r="E16" s="2" t="s">
        <v>440</v>
      </c>
      <c r="F16" s="4">
        <v>4.5</v>
      </c>
      <c r="G16" s="14"/>
      <c r="H16" s="9"/>
    </row>
    <row r="17" spans="3:8" x14ac:dyDescent="0.25">
      <c r="C17" s="8"/>
      <c r="D17" s="2" t="s">
        <v>4678</v>
      </c>
      <c r="E17" s="2" t="s">
        <v>158</v>
      </c>
      <c r="F17" s="4">
        <v>75</v>
      </c>
      <c r="G17" s="14"/>
      <c r="H17" s="9"/>
    </row>
    <row r="18" spans="3:8" x14ac:dyDescent="0.25">
      <c r="C18" s="8"/>
      <c r="D18" s="2" t="s">
        <v>4715</v>
      </c>
      <c r="E18" s="2" t="s">
        <v>440</v>
      </c>
      <c r="F18" s="4">
        <v>0.5</v>
      </c>
      <c r="G18" s="14"/>
      <c r="H18" s="9"/>
    </row>
    <row r="19" spans="3:8" x14ac:dyDescent="0.25">
      <c r="C19" s="8"/>
      <c r="D19" s="2" t="s">
        <v>4716</v>
      </c>
      <c r="E19" s="2" t="s">
        <v>440</v>
      </c>
      <c r="F19" s="4">
        <v>32.5</v>
      </c>
      <c r="G19" s="14"/>
      <c r="H19" s="9"/>
    </row>
    <row r="20" spans="3:8" x14ac:dyDescent="0.25">
      <c r="C20" s="8"/>
      <c r="D20" s="2" t="s">
        <v>4717</v>
      </c>
      <c r="E20" s="2" t="s">
        <v>440</v>
      </c>
      <c r="F20" s="4">
        <v>10</v>
      </c>
      <c r="G20" s="14"/>
      <c r="H20" s="9"/>
    </row>
    <row r="21" spans="3:8" x14ac:dyDescent="0.25">
      <c r="C21" s="8"/>
      <c r="D21" s="2" t="s">
        <v>4718</v>
      </c>
      <c r="E21" s="2" t="s">
        <v>440</v>
      </c>
      <c r="F21" s="4">
        <v>43</v>
      </c>
      <c r="G21" s="14"/>
      <c r="H21" s="9">
        <v>50</v>
      </c>
    </row>
    <row r="22" spans="3:8" x14ac:dyDescent="0.25">
      <c r="C22" s="8"/>
      <c r="D22" s="2" t="s">
        <v>4719</v>
      </c>
      <c r="E22" s="2" t="s">
        <v>440</v>
      </c>
      <c r="F22" s="4">
        <v>5</v>
      </c>
      <c r="G22" s="14"/>
      <c r="H22" s="9"/>
    </row>
    <row r="23" spans="3:8" x14ac:dyDescent="0.25">
      <c r="C23" s="8"/>
      <c r="D23" s="2" t="s">
        <v>4720</v>
      </c>
      <c r="E23" s="2" t="s">
        <v>440</v>
      </c>
      <c r="F23" s="4">
        <v>9</v>
      </c>
      <c r="G23" s="14"/>
      <c r="H23" s="9"/>
    </row>
    <row r="24" spans="3:8" x14ac:dyDescent="0.25">
      <c r="C24" s="8"/>
      <c r="D24" s="2" t="s">
        <v>4721</v>
      </c>
      <c r="E24" s="2" t="s">
        <v>440</v>
      </c>
      <c r="F24" s="4">
        <v>110</v>
      </c>
      <c r="G24" s="14"/>
      <c r="H24" s="9"/>
    </row>
    <row r="25" spans="3:8" x14ac:dyDescent="0.25">
      <c r="C25" s="8"/>
      <c r="D25" s="2" t="s">
        <v>4722</v>
      </c>
      <c r="E25" s="2" t="s">
        <v>440</v>
      </c>
      <c r="F25" s="4">
        <v>2</v>
      </c>
      <c r="G25" s="14"/>
      <c r="H25" s="9"/>
    </row>
    <row r="26" spans="3:8" x14ac:dyDescent="0.25">
      <c r="C26" s="8"/>
      <c r="D26" s="2" t="s">
        <v>4723</v>
      </c>
      <c r="E26" s="2" t="s">
        <v>440</v>
      </c>
      <c r="F26" s="4"/>
      <c r="G26" s="14"/>
      <c r="H26" s="9">
        <v>5.5</v>
      </c>
    </row>
    <row r="27" spans="3:8" x14ac:dyDescent="0.25">
      <c r="C27" s="8"/>
      <c r="D27" s="2" t="s">
        <v>4724</v>
      </c>
      <c r="E27" s="2" t="s">
        <v>440</v>
      </c>
      <c r="F27" s="4">
        <v>1</v>
      </c>
      <c r="G27" s="14"/>
      <c r="H27" s="9"/>
    </row>
    <row r="28" spans="3:8" x14ac:dyDescent="0.25">
      <c r="C28" s="8"/>
      <c r="D28" s="2" t="s">
        <v>4734</v>
      </c>
      <c r="E28" s="2" t="s">
        <v>440</v>
      </c>
      <c r="F28" s="4">
        <v>1</v>
      </c>
      <c r="G28" s="14"/>
      <c r="H28" s="9"/>
    </row>
    <row r="29" spans="3:8" x14ac:dyDescent="0.25">
      <c r="C29" s="8"/>
      <c r="D29" s="2" t="s">
        <v>4735</v>
      </c>
      <c r="E29" s="2" t="s">
        <v>440</v>
      </c>
      <c r="F29" s="4">
        <v>8</v>
      </c>
      <c r="G29" s="14"/>
      <c r="H29" s="9"/>
    </row>
    <row r="30" spans="3:8" x14ac:dyDescent="0.25">
      <c r="C30" s="8"/>
      <c r="D30" s="2" t="s">
        <v>4737</v>
      </c>
      <c r="E30" s="2" t="s">
        <v>766</v>
      </c>
      <c r="F30" s="4">
        <v>1350</v>
      </c>
      <c r="G30" s="14"/>
      <c r="H30" s="9"/>
    </row>
    <row r="31" spans="3:8" x14ac:dyDescent="0.25">
      <c r="C31" s="8"/>
      <c r="D31" s="2" t="s">
        <v>4738</v>
      </c>
      <c r="E31" s="2" t="s">
        <v>4736</v>
      </c>
      <c r="F31" s="4"/>
      <c r="G31" s="41">
        <v>1380</v>
      </c>
      <c r="H31" s="9"/>
    </row>
    <row r="32" spans="3:8" x14ac:dyDescent="0.25">
      <c r="C32" s="8"/>
      <c r="D32" s="2" t="s">
        <v>4741</v>
      </c>
      <c r="E32" s="2" t="s">
        <v>1679</v>
      </c>
      <c r="F32" s="4"/>
      <c r="G32" s="14">
        <v>654</v>
      </c>
      <c r="H32" s="9"/>
    </row>
    <row r="33" spans="3:8" x14ac:dyDescent="0.25">
      <c r="C33" s="8"/>
      <c r="D33" s="2" t="s">
        <v>4746</v>
      </c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 t="s">
        <v>4658</v>
      </c>
      <c r="E35" s="2" t="s">
        <v>48</v>
      </c>
      <c r="F35" s="4"/>
      <c r="G35" s="14"/>
      <c r="H35" s="9">
        <v>12.5</v>
      </c>
    </row>
    <row r="36" spans="3:8" x14ac:dyDescent="0.25">
      <c r="C36" s="8"/>
      <c r="D36" s="2" t="s">
        <v>4679</v>
      </c>
      <c r="E36" s="2" t="s">
        <v>4701</v>
      </c>
      <c r="F36" s="4">
        <v>87.5</v>
      </c>
      <c r="G36" s="14"/>
      <c r="H36" s="9"/>
    </row>
    <row r="37" spans="3:8" x14ac:dyDescent="0.25">
      <c r="C37" s="8"/>
      <c r="D37" s="2" t="s">
        <v>4680</v>
      </c>
      <c r="E37" s="2" t="s">
        <v>48</v>
      </c>
      <c r="F37" s="4">
        <v>18</v>
      </c>
      <c r="G37" s="14"/>
      <c r="H37" s="9"/>
    </row>
    <row r="38" spans="3:8" x14ac:dyDescent="0.25">
      <c r="C38" s="8"/>
      <c r="D38" s="2" t="s">
        <v>4681</v>
      </c>
      <c r="E38" s="2" t="s">
        <v>4700</v>
      </c>
      <c r="F38" s="4"/>
      <c r="G38" s="14"/>
      <c r="H38" s="9">
        <v>105</v>
      </c>
    </row>
    <row r="39" spans="3:8" x14ac:dyDescent="0.25">
      <c r="C39" s="8"/>
      <c r="D39" s="2" t="s">
        <v>4682</v>
      </c>
      <c r="E39" s="2" t="s">
        <v>4700</v>
      </c>
      <c r="F39" s="4"/>
      <c r="G39" s="14"/>
      <c r="H39" s="9">
        <v>100</v>
      </c>
    </row>
    <row r="40" spans="3:8" x14ac:dyDescent="0.25">
      <c r="C40" s="8"/>
      <c r="D40" s="2" t="s">
        <v>4683</v>
      </c>
      <c r="E40" s="2" t="s">
        <v>58</v>
      </c>
      <c r="F40" s="4"/>
      <c r="G40" s="14"/>
      <c r="H40" s="9">
        <v>11</v>
      </c>
    </row>
    <row r="41" spans="3:8" x14ac:dyDescent="0.25">
      <c r="C41" s="8"/>
      <c r="D41" s="2" t="s">
        <v>4684</v>
      </c>
      <c r="E41" s="2" t="s">
        <v>4699</v>
      </c>
      <c r="F41" s="4"/>
      <c r="G41" s="14">
        <v>240</v>
      </c>
      <c r="H41" s="9"/>
    </row>
    <row r="42" spans="3:8" x14ac:dyDescent="0.25">
      <c r="C42" s="8"/>
      <c r="D42" s="2" t="s">
        <v>4685</v>
      </c>
      <c r="E42" s="2" t="s">
        <v>4698</v>
      </c>
      <c r="F42" s="4"/>
      <c r="G42" s="14"/>
      <c r="H42" s="9">
        <v>2120</v>
      </c>
    </row>
    <row r="43" spans="3:8" x14ac:dyDescent="0.25">
      <c r="C43" s="8"/>
      <c r="D43" s="2" t="s">
        <v>4686</v>
      </c>
      <c r="E43" s="2" t="s">
        <v>48</v>
      </c>
      <c r="F43" s="4"/>
      <c r="G43" s="14"/>
      <c r="H43" s="9">
        <v>11.5</v>
      </c>
    </row>
    <row r="44" spans="3:8" x14ac:dyDescent="0.25">
      <c r="C44" s="8"/>
      <c r="D44" s="2" t="s">
        <v>4687</v>
      </c>
      <c r="E44" s="2" t="s">
        <v>48</v>
      </c>
      <c r="F44" s="4">
        <v>18</v>
      </c>
      <c r="G44" s="14"/>
      <c r="H44" s="9"/>
    </row>
    <row r="45" spans="3:8" x14ac:dyDescent="0.25">
      <c r="C45" s="8"/>
      <c r="D45" s="2" t="s">
        <v>4688</v>
      </c>
      <c r="E45" s="2" t="s">
        <v>48</v>
      </c>
      <c r="F45" s="4">
        <v>4</v>
      </c>
      <c r="G45" s="14"/>
      <c r="H45" s="9"/>
    </row>
    <row r="46" spans="3:8" x14ac:dyDescent="0.25">
      <c r="C46" s="8"/>
      <c r="D46" s="2" t="s">
        <v>4689</v>
      </c>
      <c r="E46" s="2" t="s">
        <v>48</v>
      </c>
      <c r="F46" s="4">
        <v>36</v>
      </c>
      <c r="G46" s="14"/>
      <c r="H46" s="9"/>
    </row>
    <row r="47" spans="3:8" x14ac:dyDescent="0.25">
      <c r="C47" s="8"/>
      <c r="D47" s="2" t="s">
        <v>4690</v>
      </c>
      <c r="E47" s="2" t="s">
        <v>48</v>
      </c>
      <c r="F47" s="4">
        <v>24</v>
      </c>
      <c r="G47" s="14"/>
      <c r="H47" s="9"/>
    </row>
    <row r="48" spans="3:8" x14ac:dyDescent="0.25">
      <c r="C48" s="8"/>
      <c r="D48" s="2" t="s">
        <v>4691</v>
      </c>
      <c r="E48" s="2" t="s">
        <v>4697</v>
      </c>
      <c r="F48" s="4">
        <v>120</v>
      </c>
      <c r="G48" s="14"/>
      <c r="H48" s="9"/>
    </row>
    <row r="49" spans="3:8" x14ac:dyDescent="0.25">
      <c r="C49" s="8"/>
      <c r="D49" s="2" t="s">
        <v>4692</v>
      </c>
      <c r="E49" s="2" t="s">
        <v>4696</v>
      </c>
      <c r="F49" s="4"/>
      <c r="G49" s="14">
        <v>325</v>
      </c>
      <c r="H49" s="9"/>
    </row>
    <row r="50" spans="3:8" x14ac:dyDescent="0.25">
      <c r="C50" s="8"/>
      <c r="D50" s="2" t="s">
        <v>4693</v>
      </c>
      <c r="E50" s="2" t="s">
        <v>4695</v>
      </c>
      <c r="F50" s="4"/>
      <c r="G50" s="14"/>
      <c r="H50" s="9">
        <v>153</v>
      </c>
    </row>
    <row r="51" spans="3:8" x14ac:dyDescent="0.25">
      <c r="C51" s="8"/>
      <c r="D51" s="2" t="s">
        <v>4694</v>
      </c>
      <c r="E51" s="2" t="s">
        <v>48</v>
      </c>
      <c r="F51" s="4">
        <v>28</v>
      </c>
      <c r="G51" s="14"/>
      <c r="H51" s="9"/>
    </row>
    <row r="52" spans="3:8" x14ac:dyDescent="0.25">
      <c r="C52" s="8"/>
      <c r="D52" s="2" t="s">
        <v>4725</v>
      </c>
      <c r="E52" s="2" t="s">
        <v>4732</v>
      </c>
      <c r="F52" s="4"/>
      <c r="G52" s="14">
        <v>40</v>
      </c>
      <c r="H52" s="9"/>
    </row>
    <row r="53" spans="3:8" x14ac:dyDescent="0.25">
      <c r="C53" s="8"/>
      <c r="D53" s="2" t="s">
        <v>4726</v>
      </c>
      <c r="E53" s="2" t="s">
        <v>48</v>
      </c>
      <c r="F53" s="4">
        <v>5</v>
      </c>
      <c r="G53" s="14"/>
      <c r="H53" s="9"/>
    </row>
    <row r="54" spans="3:8" x14ac:dyDescent="0.25">
      <c r="C54" s="8"/>
      <c r="D54" s="2" t="s">
        <v>4727</v>
      </c>
      <c r="E54" s="2" t="s">
        <v>48</v>
      </c>
      <c r="F54" s="4"/>
      <c r="G54" s="14"/>
      <c r="H54" s="9">
        <v>35</v>
      </c>
    </row>
    <row r="55" spans="3:8" x14ac:dyDescent="0.25">
      <c r="C55" s="8"/>
      <c r="D55" s="2" t="s">
        <v>4728</v>
      </c>
      <c r="E55" s="2" t="s">
        <v>4731</v>
      </c>
      <c r="F55" s="4"/>
      <c r="G55" s="14"/>
      <c r="H55" s="9">
        <v>19751.5</v>
      </c>
    </row>
    <row r="56" spans="3:8" x14ac:dyDescent="0.25">
      <c r="C56" s="8"/>
      <c r="D56" s="2" t="s">
        <v>4729</v>
      </c>
      <c r="E56" s="2" t="s">
        <v>4730</v>
      </c>
      <c r="F56" s="4"/>
      <c r="G56" s="14"/>
      <c r="H56" s="9">
        <v>25</v>
      </c>
    </row>
    <row r="57" spans="3:8" x14ac:dyDescent="0.25">
      <c r="C57" s="8"/>
      <c r="D57" s="2" t="s">
        <v>4742</v>
      </c>
      <c r="E57" s="2" t="s">
        <v>4743</v>
      </c>
      <c r="F57" s="4">
        <v>603.1</v>
      </c>
      <c r="G57" s="14"/>
      <c r="H57" s="9"/>
    </row>
    <row r="58" spans="3:8" x14ac:dyDescent="0.25">
      <c r="C58" s="8"/>
      <c r="D58" s="2" t="s">
        <v>4777</v>
      </c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45" t="s">
        <v>4710</v>
      </c>
      <c r="E61" s="2" t="s">
        <v>4712</v>
      </c>
      <c r="F61" s="4">
        <v>510</v>
      </c>
      <c r="G61" s="14"/>
      <c r="H61" s="9"/>
    </row>
    <row r="62" spans="3:8" x14ac:dyDescent="0.25">
      <c r="C62" s="8"/>
      <c r="D62" s="45" t="s">
        <v>4711</v>
      </c>
      <c r="E62" s="2" t="s">
        <v>4712</v>
      </c>
      <c r="F62" s="4"/>
      <c r="G62" s="14"/>
      <c r="H62" s="9">
        <v>140</v>
      </c>
    </row>
    <row r="63" spans="3:8" x14ac:dyDescent="0.25">
      <c r="C63" s="8"/>
      <c r="D63" s="45" t="s">
        <v>4714</v>
      </c>
      <c r="E63" s="2" t="s">
        <v>4713</v>
      </c>
      <c r="F63" s="4">
        <v>11</v>
      </c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16"/>
      <c r="D65" s="17"/>
      <c r="E65" s="17" t="s">
        <v>39</v>
      </c>
      <c r="F65" s="4"/>
      <c r="G65" s="14"/>
      <c r="H65" s="9"/>
    </row>
    <row r="66" spans="3:8" x14ac:dyDescent="0.25">
      <c r="C66" s="8"/>
      <c r="D66" s="2"/>
      <c r="E66" s="2" t="s">
        <v>4702</v>
      </c>
      <c r="F66" s="4">
        <v>6770</v>
      </c>
      <c r="G66" s="14"/>
      <c r="H66" s="9"/>
    </row>
    <row r="67" spans="3:8" x14ac:dyDescent="0.25">
      <c r="C67" s="8"/>
      <c r="D67" s="2"/>
      <c r="E67" s="2" t="s">
        <v>4703</v>
      </c>
      <c r="F67" s="4">
        <v>980</v>
      </c>
      <c r="G67" s="14"/>
      <c r="H67" s="9"/>
    </row>
    <row r="68" spans="3:8" x14ac:dyDescent="0.25">
      <c r="C68" s="8"/>
      <c r="D68" s="2"/>
      <c r="E68" s="2" t="s">
        <v>402</v>
      </c>
      <c r="F68" s="4">
        <v>6</v>
      </c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19"/>
      <c r="D73" s="20"/>
      <c r="E73" s="20" t="s">
        <v>42</v>
      </c>
      <c r="F73" s="4"/>
      <c r="G73" s="14"/>
      <c r="H73" s="9"/>
    </row>
    <row r="74" spans="3:8" x14ac:dyDescent="0.25">
      <c r="C74" s="34"/>
      <c r="D74" s="42" t="s">
        <v>160</v>
      </c>
      <c r="E74" s="2" t="s">
        <v>4663</v>
      </c>
      <c r="F74" s="14">
        <v>-340</v>
      </c>
      <c r="G74" s="14"/>
      <c r="H74" s="9"/>
    </row>
    <row r="75" spans="3:8" x14ac:dyDescent="0.25">
      <c r="C75" s="34"/>
      <c r="D75" s="42" t="s">
        <v>160</v>
      </c>
      <c r="E75" s="2" t="s">
        <v>4664</v>
      </c>
      <c r="F75" s="14">
        <v>-595</v>
      </c>
      <c r="G75" s="14"/>
      <c r="H75" s="9"/>
    </row>
    <row r="76" spans="3:8" x14ac:dyDescent="0.25">
      <c r="C76" s="34"/>
      <c r="D76" s="42"/>
      <c r="E76" s="2" t="s">
        <v>4709</v>
      </c>
      <c r="F76" s="14">
        <v>-570</v>
      </c>
      <c r="G76" s="14"/>
      <c r="H76" s="9"/>
    </row>
    <row r="77" spans="3:8" x14ac:dyDescent="0.25">
      <c r="C77" s="8"/>
      <c r="D77" s="2"/>
      <c r="E77" s="2" t="s">
        <v>4704</v>
      </c>
      <c r="F77" s="14">
        <v>-20</v>
      </c>
      <c r="G77" s="14"/>
      <c r="H77" s="9"/>
    </row>
    <row r="78" spans="3:8" x14ac:dyDescent="0.25">
      <c r="C78" s="8"/>
      <c r="D78" s="2"/>
      <c r="E78" s="2" t="s">
        <v>4705</v>
      </c>
      <c r="F78" s="14">
        <v>-150</v>
      </c>
      <c r="G78" s="14"/>
      <c r="H78" s="9"/>
    </row>
    <row r="79" spans="3:8" x14ac:dyDescent="0.25">
      <c r="C79" s="8"/>
      <c r="D79" s="2"/>
      <c r="E79" s="2" t="s">
        <v>4706</v>
      </c>
      <c r="F79" s="14">
        <v>-100</v>
      </c>
      <c r="G79" s="14"/>
      <c r="H79" s="9"/>
    </row>
    <row r="80" spans="3:8" x14ac:dyDescent="0.25">
      <c r="C80" s="8"/>
      <c r="D80" s="2"/>
      <c r="E80" s="2" t="s">
        <v>4707</v>
      </c>
      <c r="F80" s="14">
        <v>-2277</v>
      </c>
      <c r="G80" s="14"/>
      <c r="H80" s="9"/>
    </row>
    <row r="81" spans="3:8" x14ac:dyDescent="0.25">
      <c r="C81" s="8"/>
      <c r="D81" s="2"/>
      <c r="E81" s="2" t="s">
        <v>4733</v>
      </c>
      <c r="F81" s="14">
        <v>-40</v>
      </c>
      <c r="G81" s="14"/>
      <c r="H81" s="9"/>
    </row>
    <row r="82" spans="3:8" x14ac:dyDescent="0.25">
      <c r="C82" s="8"/>
      <c r="D82" s="2"/>
      <c r="E82" s="2" t="s">
        <v>1274</v>
      </c>
      <c r="F82" s="14">
        <v>-3004</v>
      </c>
      <c r="G82" s="14"/>
      <c r="H82" s="9"/>
    </row>
    <row r="83" spans="3:8" x14ac:dyDescent="0.25">
      <c r="C83" s="8"/>
      <c r="D83" s="2"/>
      <c r="E83" s="2" t="s">
        <v>4739</v>
      </c>
      <c r="F83" s="14">
        <v>-4000</v>
      </c>
      <c r="G83" s="14"/>
      <c r="H83" s="9"/>
    </row>
    <row r="84" spans="3:8" x14ac:dyDescent="0.25">
      <c r="C84" s="8"/>
      <c r="D84" s="2"/>
      <c r="E84" s="2" t="s">
        <v>4740</v>
      </c>
      <c r="F84" s="14">
        <v>-5</v>
      </c>
      <c r="G84" s="14"/>
      <c r="H84" s="9"/>
    </row>
    <row r="85" spans="3:8" x14ac:dyDescent="0.25">
      <c r="C85" s="8"/>
      <c r="D85" s="2"/>
      <c r="E85" s="68" t="s">
        <v>4744</v>
      </c>
      <c r="F85" s="14">
        <v>-603.1</v>
      </c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ht="15.75" thickBot="1" x14ac:dyDescent="0.3">
      <c r="C87" s="10"/>
      <c r="D87" s="11"/>
      <c r="E87" s="11" t="s">
        <v>44</v>
      </c>
      <c r="F87" s="12">
        <f>SUM(F6:F86)</f>
        <v>-57.499999999999659</v>
      </c>
      <c r="G87" s="15">
        <f>SUM(G6:G86)</f>
        <v>2639</v>
      </c>
      <c r="H87" s="13">
        <f>SUM(H6:H86)</f>
        <v>22770</v>
      </c>
    </row>
    <row r="90" spans="3:8" s="3" customFormat="1" ht="18.75" x14ac:dyDescent="0.3">
      <c r="C90" s="1"/>
      <c r="D90" s="1"/>
      <c r="E90" s="38" t="s">
        <v>49</v>
      </c>
      <c r="F90" s="39">
        <f>+H4+F87</f>
        <v>12826.63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CB9-8301-45ED-A09E-E8E1BCE25551}">
  <sheetPr codeName="Hoja53"/>
  <dimension ref="C2:H109"/>
  <sheetViews>
    <sheetView topLeftCell="A34" zoomScaleNormal="100" workbookViewId="0">
      <selection activeCell="D41" sqref="D41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4745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12826.63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4746</v>
      </c>
      <c r="E6" s="2" t="s">
        <v>440</v>
      </c>
      <c r="F6" s="4">
        <v>4</v>
      </c>
      <c r="G6" s="14"/>
      <c r="H6" s="9"/>
    </row>
    <row r="7" spans="3:8" x14ac:dyDescent="0.25">
      <c r="C7" s="8"/>
      <c r="D7" s="2" t="s">
        <v>4749</v>
      </c>
      <c r="E7" s="2" t="s">
        <v>4766</v>
      </c>
      <c r="F7" s="4">
        <v>154</v>
      </c>
      <c r="G7" s="14"/>
      <c r="H7" s="9"/>
    </row>
    <row r="8" spans="3:8" x14ac:dyDescent="0.25">
      <c r="C8" s="8"/>
      <c r="D8" s="2" t="s">
        <v>4750</v>
      </c>
      <c r="E8" s="2" t="s">
        <v>4766</v>
      </c>
      <c r="F8" s="4">
        <v>20</v>
      </c>
      <c r="G8" s="14"/>
      <c r="H8" s="9"/>
    </row>
    <row r="9" spans="3:8" x14ac:dyDescent="0.25">
      <c r="C9" s="8"/>
      <c r="D9" s="2" t="s">
        <v>4751</v>
      </c>
      <c r="E9" s="2" t="s">
        <v>440</v>
      </c>
      <c r="F9" s="4">
        <v>10</v>
      </c>
      <c r="G9" s="14"/>
      <c r="H9" s="9"/>
    </row>
    <row r="10" spans="3:8" x14ac:dyDescent="0.25">
      <c r="C10" s="8"/>
      <c r="D10" s="2" t="s">
        <v>4752</v>
      </c>
      <c r="E10" s="2" t="s">
        <v>440</v>
      </c>
      <c r="F10" s="4"/>
      <c r="G10" s="14"/>
      <c r="H10" s="9">
        <v>10</v>
      </c>
    </row>
    <row r="11" spans="3:8" x14ac:dyDescent="0.25">
      <c r="C11" s="8"/>
      <c r="D11" s="2" t="s">
        <v>4753</v>
      </c>
      <c r="E11" s="2" t="s">
        <v>4765</v>
      </c>
      <c r="F11" s="4">
        <v>50</v>
      </c>
      <c r="G11" s="14"/>
      <c r="H11" s="9">
        <v>22</v>
      </c>
    </row>
    <row r="12" spans="3:8" x14ac:dyDescent="0.25">
      <c r="C12" s="8"/>
      <c r="D12" s="2" t="s">
        <v>4754</v>
      </c>
      <c r="E12" s="2" t="s">
        <v>4635</v>
      </c>
      <c r="F12" s="4"/>
      <c r="G12" s="14">
        <v>52</v>
      </c>
      <c r="H12" s="9"/>
    </row>
    <row r="13" spans="3:8" x14ac:dyDescent="0.25">
      <c r="C13" s="8"/>
      <c r="D13" s="2" t="s">
        <v>4755</v>
      </c>
      <c r="E13" s="2" t="s">
        <v>440</v>
      </c>
      <c r="F13" s="4">
        <v>5</v>
      </c>
      <c r="G13" s="14"/>
      <c r="H13" s="9"/>
    </row>
    <row r="14" spans="3:8" x14ac:dyDescent="0.25">
      <c r="C14" s="8"/>
      <c r="D14" s="2" t="s">
        <v>4756</v>
      </c>
      <c r="E14" s="2" t="s">
        <v>440</v>
      </c>
      <c r="F14" s="4">
        <v>36</v>
      </c>
      <c r="G14" s="14"/>
      <c r="H14" s="9"/>
    </row>
    <row r="15" spans="3:8" x14ac:dyDescent="0.25">
      <c r="C15" s="8"/>
      <c r="D15" s="2" t="s">
        <v>4757</v>
      </c>
      <c r="E15" s="2" t="s">
        <v>440</v>
      </c>
      <c r="F15" s="4"/>
      <c r="G15" s="14"/>
      <c r="H15" s="9">
        <v>20</v>
      </c>
    </row>
    <row r="16" spans="3:8" x14ac:dyDescent="0.25">
      <c r="C16" s="8"/>
      <c r="D16" s="2" t="s">
        <v>4758</v>
      </c>
      <c r="E16" s="2" t="s">
        <v>440</v>
      </c>
      <c r="F16" s="4">
        <v>10</v>
      </c>
      <c r="G16" s="14"/>
      <c r="H16" s="9"/>
    </row>
    <row r="17" spans="3:8" x14ac:dyDescent="0.25">
      <c r="C17" s="8"/>
      <c r="D17" s="2" t="s">
        <v>4759</v>
      </c>
      <c r="E17" s="2" t="s">
        <v>440</v>
      </c>
      <c r="F17" s="4">
        <v>5</v>
      </c>
      <c r="G17" s="14"/>
      <c r="H17" s="9"/>
    </row>
    <row r="18" spans="3:8" x14ac:dyDescent="0.25">
      <c r="C18" s="8"/>
      <c r="D18" s="2" t="s">
        <v>4760</v>
      </c>
      <c r="E18" s="2" t="s">
        <v>440</v>
      </c>
      <c r="F18" s="4"/>
      <c r="G18" s="14"/>
      <c r="H18" s="9">
        <v>25</v>
      </c>
    </row>
    <row r="19" spans="3:8" x14ac:dyDescent="0.25">
      <c r="C19" s="8"/>
      <c r="D19" s="2" t="s">
        <v>4761</v>
      </c>
      <c r="E19" s="2" t="s">
        <v>440</v>
      </c>
      <c r="F19" s="4"/>
      <c r="G19" s="14"/>
      <c r="H19" s="9">
        <v>5.5</v>
      </c>
    </row>
    <row r="20" spans="3:8" x14ac:dyDescent="0.25">
      <c r="C20" s="8"/>
      <c r="D20" s="2" t="s">
        <v>4762</v>
      </c>
      <c r="E20" s="2" t="s">
        <v>440</v>
      </c>
      <c r="F20" s="4"/>
      <c r="G20" s="14"/>
      <c r="H20" s="9">
        <v>13</v>
      </c>
    </row>
    <row r="21" spans="3:8" x14ac:dyDescent="0.25">
      <c r="C21" s="8"/>
      <c r="D21" s="2" t="s">
        <v>4763</v>
      </c>
      <c r="E21" s="2" t="s">
        <v>440</v>
      </c>
      <c r="F21" s="4">
        <v>2.5</v>
      </c>
      <c r="G21" s="14"/>
      <c r="H21" s="9"/>
    </row>
    <row r="22" spans="3:8" x14ac:dyDescent="0.25">
      <c r="C22" s="8"/>
      <c r="D22" s="2" t="s">
        <v>4764</v>
      </c>
      <c r="E22" s="2" t="s">
        <v>440</v>
      </c>
      <c r="F22" s="4"/>
      <c r="G22" s="14"/>
      <c r="H22" s="9">
        <v>105</v>
      </c>
    </row>
    <row r="23" spans="3:8" x14ac:dyDescent="0.25">
      <c r="C23" s="8"/>
      <c r="D23" s="2" t="s">
        <v>4767</v>
      </c>
      <c r="E23" s="2" t="s">
        <v>440</v>
      </c>
      <c r="F23" s="4">
        <v>7.5</v>
      </c>
      <c r="G23" s="14"/>
      <c r="H23" s="9"/>
    </row>
    <row r="24" spans="3:8" x14ac:dyDescent="0.25">
      <c r="C24" s="8"/>
      <c r="D24" s="2" t="s">
        <v>4768</v>
      </c>
      <c r="E24" s="2" t="s">
        <v>440</v>
      </c>
      <c r="F24" s="4"/>
      <c r="G24" s="14"/>
      <c r="H24" s="9">
        <v>10</v>
      </c>
    </row>
    <row r="25" spans="3:8" x14ac:dyDescent="0.25">
      <c r="C25" s="8"/>
      <c r="D25" s="2" t="s">
        <v>4769</v>
      </c>
      <c r="E25" s="2" t="s">
        <v>1679</v>
      </c>
      <c r="F25" s="4"/>
      <c r="G25" s="14">
        <v>341.7</v>
      </c>
      <c r="H25" s="9"/>
    </row>
    <row r="26" spans="3:8" x14ac:dyDescent="0.25">
      <c r="C26" s="8"/>
      <c r="D26" s="2" t="s">
        <v>4770</v>
      </c>
      <c r="E26" s="2" t="s">
        <v>4771</v>
      </c>
      <c r="F26" s="4">
        <v>3320</v>
      </c>
      <c r="G26" s="14"/>
      <c r="H26" s="9"/>
    </row>
    <row r="27" spans="3:8" x14ac:dyDescent="0.25">
      <c r="C27" s="8"/>
      <c r="D27" s="2" t="s">
        <v>4772</v>
      </c>
      <c r="E27" s="2" t="s">
        <v>4773</v>
      </c>
      <c r="F27" s="4"/>
      <c r="G27" s="14"/>
      <c r="H27" s="9">
        <v>92.8</v>
      </c>
    </row>
    <row r="28" spans="3:8" x14ac:dyDescent="0.25">
      <c r="C28" s="8"/>
      <c r="D28" s="2" t="s">
        <v>4774</v>
      </c>
      <c r="E28" s="2" t="s">
        <v>440</v>
      </c>
      <c r="F28" s="4">
        <v>6</v>
      </c>
      <c r="G28" s="14"/>
      <c r="H28" s="9"/>
    </row>
    <row r="29" spans="3:8" x14ac:dyDescent="0.25">
      <c r="C29" s="8"/>
      <c r="D29" s="2" t="s">
        <v>4775</v>
      </c>
      <c r="E29" s="2" t="s">
        <v>440</v>
      </c>
      <c r="F29" s="4">
        <v>6</v>
      </c>
      <c r="G29" s="14"/>
      <c r="H29" s="9"/>
    </row>
    <row r="30" spans="3:8" x14ac:dyDescent="0.25">
      <c r="C30" s="8"/>
      <c r="D30" s="2" t="s">
        <v>4802</v>
      </c>
      <c r="E30" s="2" t="s">
        <v>4773</v>
      </c>
      <c r="F30" s="4"/>
      <c r="G30" s="14"/>
      <c r="H30" s="9">
        <v>40</v>
      </c>
    </row>
    <row r="31" spans="3:8" x14ac:dyDescent="0.25">
      <c r="C31" s="8"/>
      <c r="D31" s="2" t="s">
        <v>4803</v>
      </c>
      <c r="E31" s="2" t="s">
        <v>4807</v>
      </c>
      <c r="F31" s="4"/>
      <c r="G31" s="14"/>
      <c r="H31" s="9">
        <v>896.5</v>
      </c>
    </row>
    <row r="32" spans="3:8" x14ac:dyDescent="0.25">
      <c r="C32" s="8"/>
      <c r="D32" s="2" t="s">
        <v>4808</v>
      </c>
      <c r="E32" s="2" t="s">
        <v>440</v>
      </c>
      <c r="F32" s="4"/>
      <c r="G32" s="14"/>
      <c r="H32" s="9">
        <v>52</v>
      </c>
    </row>
    <row r="33" spans="3:8" x14ac:dyDescent="0.25">
      <c r="C33" s="8"/>
      <c r="D33" s="2" t="s">
        <v>4809</v>
      </c>
      <c r="E33" s="2" t="s">
        <v>212</v>
      </c>
      <c r="F33" s="4"/>
      <c r="G33" s="14">
        <v>655</v>
      </c>
      <c r="H33" s="9"/>
    </row>
    <row r="34" spans="3:8" x14ac:dyDescent="0.25">
      <c r="C34" s="8"/>
      <c r="D34" s="2" t="s">
        <v>4810</v>
      </c>
      <c r="E34" s="2" t="s">
        <v>4811</v>
      </c>
      <c r="F34" s="4"/>
      <c r="G34" s="14">
        <v>1000</v>
      </c>
      <c r="H34" s="9">
        <v>2869.8</v>
      </c>
    </row>
    <row r="35" spans="3:8" x14ac:dyDescent="0.25">
      <c r="C35" s="8"/>
      <c r="D35" s="2" t="s">
        <v>4812</v>
      </c>
      <c r="E35" s="2" t="s">
        <v>440</v>
      </c>
      <c r="F35" s="4">
        <v>5</v>
      </c>
      <c r="G35" s="14"/>
      <c r="H35" s="9"/>
    </row>
    <row r="36" spans="3:8" x14ac:dyDescent="0.25">
      <c r="C36" s="8"/>
      <c r="D36" s="2" t="s">
        <v>4813</v>
      </c>
      <c r="E36" s="2" t="s">
        <v>440</v>
      </c>
      <c r="F36" s="4">
        <v>93</v>
      </c>
      <c r="G36" s="14"/>
      <c r="H36" s="9"/>
    </row>
    <row r="37" spans="3:8" x14ac:dyDescent="0.25">
      <c r="C37" s="8"/>
      <c r="D37" s="2" t="s">
        <v>4825</v>
      </c>
      <c r="E37" s="2" t="s">
        <v>4597</v>
      </c>
      <c r="F37" s="4">
        <v>1626</v>
      </c>
      <c r="G37" s="14"/>
      <c r="H37" s="9"/>
    </row>
    <row r="38" spans="3:8" x14ac:dyDescent="0.25">
      <c r="C38" s="8"/>
      <c r="D38" s="2" t="s">
        <v>4826</v>
      </c>
      <c r="E38" s="2" t="s">
        <v>4830</v>
      </c>
      <c r="F38" s="4"/>
      <c r="G38" s="14"/>
      <c r="H38" s="9">
        <v>1008</v>
      </c>
    </row>
    <row r="39" spans="3:8" x14ac:dyDescent="0.25">
      <c r="C39" s="8"/>
      <c r="D39" s="2" t="s">
        <v>4828</v>
      </c>
      <c r="E39" s="2" t="s">
        <v>4831</v>
      </c>
      <c r="F39" s="4"/>
      <c r="G39" s="14"/>
      <c r="H39" s="9">
        <v>322</v>
      </c>
    </row>
    <row r="40" spans="3:8" x14ac:dyDescent="0.25">
      <c r="C40" s="8"/>
      <c r="D40" s="2" t="s">
        <v>4829</v>
      </c>
      <c r="E40" s="2" t="s">
        <v>440</v>
      </c>
      <c r="F40" s="4"/>
      <c r="G40" s="14"/>
      <c r="H40" s="9">
        <v>25</v>
      </c>
    </row>
    <row r="41" spans="3:8" x14ac:dyDescent="0.25">
      <c r="C41" s="8"/>
      <c r="D41" s="2" t="s">
        <v>4886</v>
      </c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 t="s">
        <v>4777</v>
      </c>
      <c r="E44" s="2" t="s">
        <v>4776</v>
      </c>
      <c r="F44" s="4"/>
      <c r="G44" s="14"/>
      <c r="H44" s="9">
        <v>465</v>
      </c>
    </row>
    <row r="45" spans="3:8" x14ac:dyDescent="0.25">
      <c r="C45" s="8"/>
      <c r="D45" s="2" t="s">
        <v>4791</v>
      </c>
      <c r="E45" s="2" t="s">
        <v>4617</v>
      </c>
      <c r="F45" s="4"/>
      <c r="G45" s="14"/>
      <c r="H45" s="9">
        <v>5018</v>
      </c>
    </row>
    <row r="46" spans="3:8" x14ac:dyDescent="0.25">
      <c r="C46" s="8"/>
      <c r="D46" s="2" t="s">
        <v>4792</v>
      </c>
      <c r="E46" s="2" t="s">
        <v>4778</v>
      </c>
      <c r="F46" s="4">
        <v>750</v>
      </c>
      <c r="G46" s="14"/>
      <c r="H46" s="9"/>
    </row>
    <row r="47" spans="3:8" x14ac:dyDescent="0.25">
      <c r="C47" s="8"/>
      <c r="D47" s="2" t="s">
        <v>4793</v>
      </c>
      <c r="E47" s="2" t="s">
        <v>4779</v>
      </c>
      <c r="F47" s="4"/>
      <c r="G47" s="14"/>
      <c r="H47" s="9">
        <v>210</v>
      </c>
    </row>
    <row r="48" spans="3:8" x14ac:dyDescent="0.25">
      <c r="C48" s="8"/>
      <c r="D48" s="2" t="s">
        <v>4794</v>
      </c>
      <c r="E48" s="2" t="s">
        <v>4780</v>
      </c>
      <c r="F48" s="4"/>
      <c r="G48" s="14"/>
      <c r="H48" s="9">
        <v>97.5</v>
      </c>
    </row>
    <row r="49" spans="3:8" x14ac:dyDescent="0.25">
      <c r="C49" s="8"/>
      <c r="D49" s="2" t="s">
        <v>4795</v>
      </c>
      <c r="E49" s="2" t="s">
        <v>4781</v>
      </c>
      <c r="F49" s="4"/>
      <c r="G49" s="14"/>
      <c r="H49" s="9">
        <v>1262</v>
      </c>
    </row>
    <row r="50" spans="3:8" x14ac:dyDescent="0.25">
      <c r="C50" s="8"/>
      <c r="D50" s="2" t="s">
        <v>4796</v>
      </c>
      <c r="E50" s="2" t="s">
        <v>4782</v>
      </c>
      <c r="F50" s="4">
        <v>300</v>
      </c>
      <c r="G50" s="14"/>
      <c r="H50" s="9">
        <v>109.8</v>
      </c>
    </row>
    <row r="51" spans="3:8" x14ac:dyDescent="0.25">
      <c r="C51" s="8"/>
      <c r="D51" s="2" t="s">
        <v>4797</v>
      </c>
      <c r="E51" s="2" t="s">
        <v>4783</v>
      </c>
      <c r="F51" s="4">
        <v>7382</v>
      </c>
      <c r="G51" s="14"/>
      <c r="H51" s="9"/>
    </row>
    <row r="52" spans="3:8" x14ac:dyDescent="0.25">
      <c r="C52" s="8"/>
      <c r="D52" s="2" t="s">
        <v>4798</v>
      </c>
      <c r="E52" s="2" t="s">
        <v>4784</v>
      </c>
      <c r="F52" s="4">
        <v>1800</v>
      </c>
      <c r="G52" s="14"/>
      <c r="H52" s="9">
        <v>138</v>
      </c>
    </row>
    <row r="53" spans="3:8" x14ac:dyDescent="0.25">
      <c r="C53" s="8"/>
      <c r="D53" s="2" t="s">
        <v>4799</v>
      </c>
      <c r="E53" s="2" t="s">
        <v>4785</v>
      </c>
      <c r="F53" s="4"/>
      <c r="G53" s="14"/>
      <c r="H53" s="9">
        <v>22.5</v>
      </c>
    </row>
    <row r="54" spans="3:8" x14ac:dyDescent="0.25">
      <c r="C54" s="8"/>
      <c r="D54" s="2" t="s">
        <v>4800</v>
      </c>
      <c r="E54" s="2" t="s">
        <v>4786</v>
      </c>
      <c r="F54" s="4"/>
      <c r="G54" s="14"/>
      <c r="H54" s="9">
        <v>60</v>
      </c>
    </row>
    <row r="55" spans="3:8" x14ac:dyDescent="0.25">
      <c r="C55" s="8"/>
      <c r="D55" s="2" t="s">
        <v>4801</v>
      </c>
      <c r="E55" s="2" t="s">
        <v>4787</v>
      </c>
      <c r="F55" s="4"/>
      <c r="G55" s="14"/>
      <c r="H55" s="9">
        <v>17</v>
      </c>
    </row>
    <row r="56" spans="3:8" x14ac:dyDescent="0.25">
      <c r="C56" s="8"/>
      <c r="D56" s="2" t="s">
        <v>4815</v>
      </c>
      <c r="E56" s="2" t="s">
        <v>676</v>
      </c>
      <c r="F56" s="4"/>
      <c r="G56" s="14">
        <v>544</v>
      </c>
      <c r="H56" s="9"/>
    </row>
    <row r="57" spans="3:8" x14ac:dyDescent="0.25">
      <c r="C57" s="8"/>
      <c r="D57" s="2" t="s">
        <v>4816</v>
      </c>
      <c r="E57" s="2" t="s">
        <v>4785</v>
      </c>
      <c r="F57" s="4">
        <v>7.5</v>
      </c>
      <c r="G57" s="14"/>
      <c r="H57" s="9"/>
    </row>
    <row r="58" spans="3:8" x14ac:dyDescent="0.25">
      <c r="C58" s="8"/>
      <c r="D58" s="2" t="s">
        <v>4817</v>
      </c>
      <c r="E58" s="2" t="s">
        <v>4785</v>
      </c>
      <c r="F58" s="4">
        <v>11</v>
      </c>
      <c r="G58" s="14"/>
      <c r="H58" s="9"/>
    </row>
    <row r="59" spans="3:8" x14ac:dyDescent="0.25">
      <c r="C59" s="8"/>
      <c r="D59" s="2" t="s">
        <v>4818</v>
      </c>
      <c r="E59" s="2" t="s">
        <v>4785</v>
      </c>
      <c r="F59" s="4">
        <v>6</v>
      </c>
      <c r="G59" s="14"/>
      <c r="H59" s="9"/>
    </row>
    <row r="60" spans="3:8" x14ac:dyDescent="0.25">
      <c r="C60" s="8"/>
      <c r="D60" s="2" t="s">
        <v>4819</v>
      </c>
      <c r="E60" s="2" t="s">
        <v>4832</v>
      </c>
      <c r="F60" s="4">
        <v>757.4</v>
      </c>
      <c r="G60" s="14"/>
      <c r="H60" s="9"/>
    </row>
    <row r="61" spans="3:8" x14ac:dyDescent="0.25">
      <c r="C61" s="8"/>
      <c r="D61" s="2" t="s">
        <v>4820</v>
      </c>
      <c r="E61" s="2" t="s">
        <v>4785</v>
      </c>
      <c r="F61" s="4">
        <v>14</v>
      </c>
      <c r="G61" s="14"/>
      <c r="H61" s="9"/>
    </row>
    <row r="62" spans="3:8" x14ac:dyDescent="0.25">
      <c r="C62" s="8"/>
      <c r="D62" s="2" t="s">
        <v>4840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4804</v>
      </c>
      <c r="E67" s="2" t="s">
        <v>4748</v>
      </c>
      <c r="F67" s="4"/>
      <c r="G67" s="14"/>
      <c r="H67" s="97">
        <v>128</v>
      </c>
    </row>
    <row r="68" spans="3:8" x14ac:dyDescent="0.25">
      <c r="C68" s="8"/>
      <c r="D68" s="45" t="s">
        <v>4805</v>
      </c>
      <c r="E68" s="2" t="s">
        <v>4748</v>
      </c>
      <c r="F68" s="4"/>
      <c r="G68" s="14"/>
      <c r="H68" s="97">
        <v>128</v>
      </c>
    </row>
    <row r="69" spans="3:8" x14ac:dyDescent="0.25">
      <c r="C69" s="8"/>
      <c r="D69" s="45" t="s">
        <v>4806</v>
      </c>
      <c r="E69" s="2" t="s">
        <v>4748</v>
      </c>
      <c r="F69" s="4"/>
      <c r="G69" s="14"/>
      <c r="H69" s="97">
        <v>320</v>
      </c>
    </row>
    <row r="70" spans="3:8" x14ac:dyDescent="0.25">
      <c r="C70" s="8"/>
      <c r="D70" s="45" t="s">
        <v>4835</v>
      </c>
      <c r="E70" s="2" t="s">
        <v>4834</v>
      </c>
      <c r="F70" s="98">
        <v>25</v>
      </c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2"/>
      <c r="E73" s="2" t="s">
        <v>164</v>
      </c>
      <c r="F73" s="4">
        <v>1896.5</v>
      </c>
      <c r="G73" s="14"/>
      <c r="H73" s="9"/>
    </row>
    <row r="74" spans="3:8" x14ac:dyDescent="0.25">
      <c r="C74" s="8"/>
      <c r="D74" s="2"/>
      <c r="E74" s="2" t="s">
        <v>402</v>
      </c>
      <c r="F74" s="4">
        <v>3</v>
      </c>
      <c r="G74" s="14"/>
      <c r="H74" s="9"/>
    </row>
    <row r="75" spans="3:8" x14ac:dyDescent="0.25">
      <c r="C75" s="8"/>
      <c r="D75" s="2"/>
      <c r="E75" s="2" t="s">
        <v>4822</v>
      </c>
      <c r="F75" s="4">
        <v>77.5</v>
      </c>
      <c r="G75" s="14"/>
      <c r="H75" s="9"/>
    </row>
    <row r="76" spans="3:8" x14ac:dyDescent="0.25">
      <c r="C76" s="8"/>
      <c r="D76" s="2"/>
      <c r="E76" s="2" t="s">
        <v>4823</v>
      </c>
      <c r="F76" s="4">
        <v>160</v>
      </c>
      <c r="G76" s="14"/>
      <c r="H76" s="9"/>
    </row>
    <row r="77" spans="3:8" x14ac:dyDescent="0.25">
      <c r="C77" s="8"/>
      <c r="D77" s="2"/>
      <c r="E77" s="2" t="s">
        <v>4824</v>
      </c>
      <c r="F77" s="4">
        <v>417.5</v>
      </c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9"/>
      <c r="D79" s="20"/>
      <c r="E79" s="20" t="s">
        <v>42</v>
      </c>
      <c r="F79" s="4"/>
      <c r="G79" s="14"/>
      <c r="H79" s="9"/>
    </row>
    <row r="80" spans="3:8" x14ac:dyDescent="0.25">
      <c r="C80" s="34"/>
      <c r="D80" s="42"/>
      <c r="E80" s="68" t="s">
        <v>4747</v>
      </c>
      <c r="F80" s="14">
        <v>-875</v>
      </c>
      <c r="G80" s="14"/>
      <c r="H80" s="9"/>
    </row>
    <row r="81" spans="3:8" x14ac:dyDescent="0.25">
      <c r="C81" s="34"/>
      <c r="D81" s="42"/>
      <c r="E81" s="68" t="s">
        <v>4557</v>
      </c>
      <c r="F81" s="14">
        <v>-20</v>
      </c>
      <c r="G81" s="14"/>
      <c r="H81" s="9"/>
    </row>
    <row r="82" spans="3:8" x14ac:dyDescent="0.25">
      <c r="C82" s="34"/>
      <c r="D82" s="42"/>
      <c r="E82" s="68" t="s">
        <v>4837</v>
      </c>
      <c r="F82" s="14">
        <v>-280</v>
      </c>
      <c r="G82" s="14"/>
      <c r="H82" s="9"/>
    </row>
    <row r="83" spans="3:8" x14ac:dyDescent="0.25">
      <c r="C83" s="34"/>
      <c r="D83" s="42"/>
      <c r="E83" s="68" t="s">
        <v>4788</v>
      </c>
      <c r="F83" s="14">
        <v>-442</v>
      </c>
      <c r="G83" s="14"/>
      <c r="H83" s="9"/>
    </row>
    <row r="84" spans="3:8" x14ac:dyDescent="0.25">
      <c r="C84" s="8"/>
      <c r="D84" s="2"/>
      <c r="E84" s="68" t="s">
        <v>4836</v>
      </c>
      <c r="F84" s="14">
        <v>-151</v>
      </c>
      <c r="G84" s="14"/>
      <c r="H84" s="9"/>
    </row>
    <row r="85" spans="3:8" x14ac:dyDescent="0.25">
      <c r="C85" s="8"/>
      <c r="D85" s="2"/>
      <c r="E85" s="68" t="s">
        <v>4789</v>
      </c>
      <c r="F85" s="14">
        <v>-10</v>
      </c>
      <c r="G85" s="14"/>
      <c r="H85" s="9"/>
    </row>
    <row r="86" spans="3:8" x14ac:dyDescent="0.25">
      <c r="C86" s="8"/>
      <c r="D86" s="2"/>
      <c r="E86" s="96" t="s">
        <v>4790</v>
      </c>
      <c r="F86" s="14">
        <v>-1500</v>
      </c>
      <c r="G86" s="14"/>
      <c r="H86" s="9"/>
    </row>
    <row r="87" spans="3:8" x14ac:dyDescent="0.25">
      <c r="C87" s="8"/>
      <c r="D87" s="2"/>
      <c r="E87" s="96" t="s">
        <v>753</v>
      </c>
      <c r="F87" s="14">
        <v>-150</v>
      </c>
      <c r="G87" s="14"/>
      <c r="H87" s="9"/>
    </row>
    <row r="88" spans="3:8" x14ac:dyDescent="0.25">
      <c r="C88" s="8"/>
      <c r="D88" s="2"/>
      <c r="E88" s="96" t="s">
        <v>2167</v>
      </c>
      <c r="F88" s="14">
        <v>-170</v>
      </c>
      <c r="G88" s="14"/>
      <c r="H88" s="9"/>
    </row>
    <row r="89" spans="3:8" x14ac:dyDescent="0.25">
      <c r="C89" s="8"/>
      <c r="D89" s="2"/>
      <c r="E89" s="96" t="s">
        <v>3747</v>
      </c>
      <c r="F89" s="14">
        <v>-60</v>
      </c>
      <c r="G89" s="14"/>
      <c r="H89" s="9"/>
    </row>
    <row r="90" spans="3:8" x14ac:dyDescent="0.25">
      <c r="C90" s="8"/>
      <c r="D90" s="2"/>
      <c r="E90" s="68" t="s">
        <v>760</v>
      </c>
      <c r="F90" s="14">
        <v>-380</v>
      </c>
      <c r="G90" s="14"/>
      <c r="H90" s="9"/>
    </row>
    <row r="91" spans="3:8" x14ac:dyDescent="0.25">
      <c r="C91" s="8"/>
      <c r="D91" s="2"/>
      <c r="E91" s="68" t="s">
        <v>4814</v>
      </c>
      <c r="F91" s="14">
        <v>-1400</v>
      </c>
      <c r="G91" s="14"/>
      <c r="H91" s="9"/>
    </row>
    <row r="92" spans="3:8" x14ac:dyDescent="0.25">
      <c r="C92" s="8"/>
      <c r="D92" s="2"/>
      <c r="E92" s="68" t="s">
        <v>4821</v>
      </c>
      <c r="F92" s="14">
        <v>-500</v>
      </c>
      <c r="G92" s="14"/>
      <c r="H92" s="9"/>
    </row>
    <row r="93" spans="3:8" x14ac:dyDescent="0.25">
      <c r="C93" s="8"/>
      <c r="D93" s="2"/>
      <c r="E93" s="68" t="s">
        <v>756</v>
      </c>
      <c r="F93" s="14">
        <v>-300</v>
      </c>
      <c r="G93" s="14"/>
      <c r="H93" s="9"/>
    </row>
    <row r="94" spans="3:8" x14ac:dyDescent="0.25">
      <c r="C94" s="8"/>
      <c r="D94" s="2"/>
      <c r="E94" s="68" t="s">
        <v>1481</v>
      </c>
      <c r="F94" s="14">
        <v>-400</v>
      </c>
      <c r="G94" s="14"/>
      <c r="H94" s="9"/>
    </row>
    <row r="95" spans="3:8" x14ac:dyDescent="0.25">
      <c r="C95" s="8"/>
      <c r="D95" s="2"/>
      <c r="E95" s="68" t="s">
        <v>4827</v>
      </c>
      <c r="F95" s="14">
        <v>-545</v>
      </c>
      <c r="G95" s="14"/>
      <c r="H95" s="9"/>
    </row>
    <row r="96" spans="3:8" x14ac:dyDescent="0.25">
      <c r="C96" s="8"/>
      <c r="D96" s="2"/>
      <c r="E96" s="68" t="s">
        <v>759</v>
      </c>
      <c r="F96" s="14">
        <v>-520</v>
      </c>
      <c r="G96" s="14"/>
      <c r="H96" s="9"/>
    </row>
    <row r="97" spans="3:8" x14ac:dyDescent="0.25">
      <c r="C97" s="8"/>
      <c r="D97" s="2"/>
      <c r="E97" s="68" t="s">
        <v>752</v>
      </c>
      <c r="F97" s="14">
        <v>-450</v>
      </c>
      <c r="G97" s="14"/>
      <c r="H97" s="9"/>
    </row>
    <row r="98" spans="3:8" x14ac:dyDescent="0.25">
      <c r="C98" s="8"/>
      <c r="D98" s="2"/>
      <c r="E98" s="68" t="s">
        <v>4833</v>
      </c>
      <c r="F98" s="14">
        <v>-757.4</v>
      </c>
      <c r="G98" s="14"/>
      <c r="H98" s="9"/>
    </row>
    <row r="99" spans="3:8" x14ac:dyDescent="0.25">
      <c r="C99" s="8"/>
      <c r="D99" s="2"/>
      <c r="E99" s="68" t="s">
        <v>4838</v>
      </c>
      <c r="F99" s="14">
        <v>-350</v>
      </c>
      <c r="G99" s="14"/>
      <c r="H99" s="9"/>
    </row>
    <row r="100" spans="3:8" x14ac:dyDescent="0.25">
      <c r="C100" s="8"/>
      <c r="D100" s="2"/>
      <c r="E100" s="68" t="s">
        <v>1274</v>
      </c>
      <c r="F100" s="14">
        <v>-1829</v>
      </c>
      <c r="G100" s="14"/>
      <c r="H100" s="9"/>
    </row>
    <row r="101" spans="3:8" x14ac:dyDescent="0.25">
      <c r="C101" s="8"/>
      <c r="D101" s="2"/>
      <c r="E101" s="68" t="s">
        <v>3772</v>
      </c>
      <c r="F101" s="14">
        <v>-450</v>
      </c>
      <c r="G101" s="14"/>
      <c r="H101" s="9"/>
    </row>
    <row r="102" spans="3:8" x14ac:dyDescent="0.25">
      <c r="C102" s="8"/>
      <c r="D102" s="2"/>
      <c r="E102" s="68" t="s">
        <v>1487</v>
      </c>
      <c r="F102" s="14">
        <v>-450</v>
      </c>
      <c r="G102" s="14"/>
      <c r="H102" s="9"/>
    </row>
    <row r="103" spans="3:8" x14ac:dyDescent="0.25">
      <c r="C103" s="8"/>
      <c r="D103" s="2"/>
      <c r="E103" s="68" t="s">
        <v>766</v>
      </c>
      <c r="F103" s="14">
        <v>-300</v>
      </c>
      <c r="G103" s="14"/>
      <c r="H103" s="9"/>
    </row>
    <row r="104" spans="3:8" x14ac:dyDescent="0.25">
      <c r="C104" s="8"/>
      <c r="D104" s="2"/>
      <c r="E104" s="68" t="s">
        <v>3264</v>
      </c>
      <c r="F104" s="14">
        <v>-270</v>
      </c>
      <c r="G104" s="14"/>
      <c r="H104" s="9"/>
    </row>
    <row r="105" spans="3:8" x14ac:dyDescent="0.25">
      <c r="C105" s="8"/>
      <c r="D105" s="2"/>
      <c r="E105" s="2"/>
      <c r="F105" s="4"/>
      <c r="G105" s="14"/>
      <c r="H105" s="9"/>
    </row>
    <row r="106" spans="3:8" ht="15.75" thickBot="1" x14ac:dyDescent="0.3">
      <c r="C106" s="10"/>
      <c r="D106" s="11"/>
      <c r="E106" s="11" t="s">
        <v>44</v>
      </c>
      <c r="F106" s="12">
        <f>SUM(F6:F105)</f>
        <v>6408.0000000000018</v>
      </c>
      <c r="G106" s="15">
        <f>SUM(G6:G105)</f>
        <v>2592.6999999999998</v>
      </c>
      <c r="H106" s="13">
        <f>SUM(H6:H105)</f>
        <v>13492.4</v>
      </c>
    </row>
    <row r="109" spans="3:8" s="3" customFormat="1" ht="18.75" x14ac:dyDescent="0.3">
      <c r="C109" s="1"/>
      <c r="D109" s="1"/>
      <c r="E109" s="38" t="s">
        <v>49</v>
      </c>
      <c r="F109" s="39">
        <f>+H4+F106</f>
        <v>19234.63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B7C0-246D-4F36-B9FA-02E332872D68}">
  <sheetPr codeName="Hoja54"/>
  <dimension ref="C2:H70"/>
  <sheetViews>
    <sheetView topLeftCell="A44" zoomScaleNormal="100" workbookViewId="0">
      <selection activeCell="E61" sqref="E61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4839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19234.63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4840</v>
      </c>
      <c r="E6" s="2" t="s">
        <v>48</v>
      </c>
      <c r="F6" s="4">
        <v>38.5</v>
      </c>
      <c r="G6" s="14"/>
      <c r="H6" s="9"/>
    </row>
    <row r="7" spans="3:8" x14ac:dyDescent="0.25">
      <c r="C7" s="8"/>
      <c r="D7" s="2" t="s">
        <v>4843</v>
      </c>
      <c r="E7" s="2" t="s">
        <v>48</v>
      </c>
      <c r="F7" s="4">
        <v>8.5</v>
      </c>
      <c r="G7" s="14"/>
      <c r="H7" s="9"/>
    </row>
    <row r="8" spans="3:8" x14ac:dyDescent="0.25">
      <c r="C8" s="8"/>
      <c r="D8" s="2" t="s">
        <v>4844</v>
      </c>
      <c r="E8" s="2" t="s">
        <v>48</v>
      </c>
      <c r="F8" s="4">
        <v>11.5</v>
      </c>
      <c r="G8" s="14"/>
      <c r="H8" s="9"/>
    </row>
    <row r="9" spans="3:8" x14ac:dyDescent="0.25">
      <c r="C9" s="8"/>
      <c r="D9" s="2" t="s">
        <v>4845</v>
      </c>
      <c r="E9" s="2" t="s">
        <v>48</v>
      </c>
      <c r="F9" s="4">
        <v>10</v>
      </c>
      <c r="G9" s="14"/>
      <c r="H9" s="9"/>
    </row>
    <row r="10" spans="3:8" x14ac:dyDescent="0.25">
      <c r="C10" s="8"/>
      <c r="D10" s="2" t="s">
        <v>4846</v>
      </c>
      <c r="E10" s="2" t="s">
        <v>2919</v>
      </c>
      <c r="F10" s="4">
        <v>25</v>
      </c>
      <c r="G10" s="14"/>
      <c r="H10" s="9"/>
    </row>
    <row r="11" spans="3:8" x14ac:dyDescent="0.25">
      <c r="C11" s="8"/>
      <c r="D11" s="2" t="s">
        <v>4847</v>
      </c>
      <c r="E11" s="2" t="s">
        <v>48</v>
      </c>
      <c r="F11" s="4"/>
      <c r="G11" s="14"/>
      <c r="H11" s="9">
        <v>33.5</v>
      </c>
    </row>
    <row r="12" spans="3:8" x14ac:dyDescent="0.25">
      <c r="C12" s="8"/>
      <c r="D12" s="2" t="s">
        <v>4848</v>
      </c>
      <c r="E12" s="2" t="s">
        <v>4855</v>
      </c>
      <c r="F12" s="4">
        <v>140</v>
      </c>
      <c r="G12" s="14"/>
      <c r="H12" s="9"/>
    </row>
    <row r="13" spans="3:8" x14ac:dyDescent="0.25">
      <c r="C13" s="8"/>
      <c r="D13" s="2" t="s">
        <v>4849</v>
      </c>
      <c r="E13" s="2" t="s">
        <v>48</v>
      </c>
      <c r="F13" s="4">
        <v>1</v>
      </c>
      <c r="G13" s="14"/>
      <c r="H13" s="9"/>
    </row>
    <row r="14" spans="3:8" x14ac:dyDescent="0.25">
      <c r="C14" s="8"/>
      <c r="D14" s="2" t="s">
        <v>4850</v>
      </c>
      <c r="E14" s="2" t="s">
        <v>4597</v>
      </c>
      <c r="F14" s="4">
        <v>1489</v>
      </c>
      <c r="G14" s="14"/>
      <c r="H14" s="9"/>
    </row>
    <row r="15" spans="3:8" x14ac:dyDescent="0.25">
      <c r="C15" s="8"/>
      <c r="D15" s="2" t="s">
        <v>4851</v>
      </c>
      <c r="E15" s="2" t="s">
        <v>48</v>
      </c>
      <c r="F15" s="4">
        <v>20</v>
      </c>
      <c r="G15" s="14"/>
      <c r="H15" s="9"/>
    </row>
    <row r="16" spans="3:8" x14ac:dyDescent="0.25">
      <c r="C16" s="8"/>
      <c r="D16" s="2" t="s">
        <v>4852</v>
      </c>
      <c r="E16" s="2" t="s">
        <v>4854</v>
      </c>
      <c r="F16" s="4"/>
      <c r="G16" s="14"/>
      <c r="H16" s="9">
        <v>40.5</v>
      </c>
    </row>
    <row r="17" spans="3:8" x14ac:dyDescent="0.25">
      <c r="C17" s="8"/>
      <c r="D17" s="2" t="s">
        <v>4853</v>
      </c>
      <c r="E17" s="2" t="s">
        <v>48</v>
      </c>
      <c r="F17" s="4">
        <v>10</v>
      </c>
      <c r="G17" s="14"/>
      <c r="H17" s="9"/>
    </row>
    <row r="18" spans="3:8" x14ac:dyDescent="0.25">
      <c r="C18" s="8"/>
      <c r="D18" s="2" t="s">
        <v>4861</v>
      </c>
      <c r="E18" s="2" t="s">
        <v>48</v>
      </c>
      <c r="F18" s="4">
        <v>8.5</v>
      </c>
      <c r="G18" s="14"/>
      <c r="H18" s="9"/>
    </row>
    <row r="19" spans="3:8" x14ac:dyDescent="0.25">
      <c r="C19" s="8"/>
      <c r="D19" s="2" t="s">
        <v>4862</v>
      </c>
      <c r="E19" s="2" t="s">
        <v>48</v>
      </c>
      <c r="F19" s="4">
        <v>39</v>
      </c>
      <c r="G19" s="14"/>
      <c r="H19" s="9"/>
    </row>
    <row r="20" spans="3:8" x14ac:dyDescent="0.25">
      <c r="C20" s="8"/>
      <c r="D20" s="2" t="s">
        <v>4863</v>
      </c>
      <c r="E20" s="2" t="s">
        <v>48</v>
      </c>
      <c r="F20" s="4">
        <v>16.5</v>
      </c>
      <c r="G20" s="14"/>
      <c r="H20" s="9"/>
    </row>
    <row r="21" spans="3:8" x14ac:dyDescent="0.25">
      <c r="C21" s="8"/>
      <c r="D21" s="2" t="s">
        <v>4864</v>
      </c>
      <c r="E21" s="2" t="s">
        <v>48</v>
      </c>
      <c r="F21" s="4"/>
      <c r="G21" s="14"/>
      <c r="H21" s="9">
        <v>44.5</v>
      </c>
    </row>
    <row r="22" spans="3:8" x14ac:dyDescent="0.25">
      <c r="C22" s="8"/>
      <c r="D22" s="2" t="s">
        <v>4865</v>
      </c>
      <c r="E22" s="2" t="s">
        <v>48</v>
      </c>
      <c r="F22" s="4">
        <v>12.5</v>
      </c>
      <c r="G22" s="14"/>
      <c r="H22" s="9"/>
    </row>
    <row r="23" spans="3:8" x14ac:dyDescent="0.25">
      <c r="C23" s="8"/>
      <c r="D23" s="2" t="s">
        <v>4866</v>
      </c>
      <c r="E23" s="2" t="s">
        <v>48</v>
      </c>
      <c r="F23" s="4"/>
      <c r="G23" s="14"/>
      <c r="H23" s="9">
        <v>7</v>
      </c>
    </row>
    <row r="24" spans="3:8" x14ac:dyDescent="0.25">
      <c r="C24" s="8"/>
      <c r="D24" s="2" t="s">
        <v>4867</v>
      </c>
      <c r="E24" s="2" t="s">
        <v>48</v>
      </c>
      <c r="F24" s="4">
        <v>59.5</v>
      </c>
      <c r="G24" s="14"/>
      <c r="H24" s="9"/>
    </row>
    <row r="25" spans="3:8" x14ac:dyDescent="0.25">
      <c r="C25" s="8"/>
      <c r="D25" s="2" t="s">
        <v>4868</v>
      </c>
      <c r="E25" s="2" t="s">
        <v>48</v>
      </c>
      <c r="F25" s="4">
        <v>15</v>
      </c>
      <c r="G25" s="14"/>
      <c r="H25" s="9"/>
    </row>
    <row r="26" spans="3:8" x14ac:dyDescent="0.25">
      <c r="C26" s="8"/>
      <c r="D26" s="2" t="s">
        <v>4869</v>
      </c>
      <c r="E26" s="2" t="s">
        <v>48</v>
      </c>
      <c r="F26" s="4">
        <v>16.5</v>
      </c>
      <c r="G26" s="14"/>
      <c r="H26" s="9"/>
    </row>
    <row r="27" spans="3:8" x14ac:dyDescent="0.25">
      <c r="C27" s="8"/>
      <c r="D27" s="2" t="s">
        <v>4870</v>
      </c>
      <c r="E27" s="2" t="s">
        <v>4872</v>
      </c>
      <c r="F27" s="4">
        <v>500</v>
      </c>
      <c r="G27" s="14">
        <v>279</v>
      </c>
      <c r="H27" s="9"/>
    </row>
    <row r="28" spans="3:8" x14ac:dyDescent="0.25">
      <c r="C28" s="8"/>
      <c r="D28" s="2" t="s">
        <v>4871</v>
      </c>
      <c r="E28" s="2" t="s">
        <v>48</v>
      </c>
      <c r="F28" s="4">
        <v>1.5</v>
      </c>
      <c r="G28" s="14"/>
      <c r="H28" s="9"/>
    </row>
    <row r="29" spans="3:8" x14ac:dyDescent="0.25">
      <c r="C29" s="8"/>
      <c r="D29" s="2" t="s">
        <v>4873</v>
      </c>
      <c r="E29" s="2" t="s">
        <v>48</v>
      </c>
      <c r="F29" s="4"/>
      <c r="G29" s="14"/>
      <c r="H29" s="9">
        <v>8</v>
      </c>
    </row>
    <row r="30" spans="3:8" x14ac:dyDescent="0.25">
      <c r="C30" s="8"/>
      <c r="D30" s="2" t="s">
        <v>4874</v>
      </c>
      <c r="E30" s="2" t="s">
        <v>48</v>
      </c>
      <c r="F30" s="4">
        <v>20</v>
      </c>
      <c r="G30" s="14"/>
      <c r="H30" s="9"/>
    </row>
    <row r="31" spans="3:8" x14ac:dyDescent="0.25">
      <c r="C31" s="8"/>
      <c r="D31" s="2" t="s">
        <v>4875</v>
      </c>
      <c r="E31" s="2" t="s">
        <v>48</v>
      </c>
      <c r="F31" s="4">
        <v>9</v>
      </c>
      <c r="G31" s="14"/>
      <c r="H31" s="9"/>
    </row>
    <row r="32" spans="3:8" x14ac:dyDescent="0.25">
      <c r="C32" s="8"/>
      <c r="D32" s="2" t="s">
        <v>4876</v>
      </c>
      <c r="E32" s="2" t="s">
        <v>48</v>
      </c>
      <c r="F32" s="4"/>
      <c r="G32" s="14"/>
      <c r="H32" s="9">
        <v>67.400000000000006</v>
      </c>
    </row>
    <row r="33" spans="3:8" x14ac:dyDescent="0.25">
      <c r="C33" s="8"/>
      <c r="D33" s="2" t="s">
        <v>4877</v>
      </c>
      <c r="E33" s="2" t="s">
        <v>48</v>
      </c>
      <c r="F33" s="4"/>
      <c r="G33" s="14"/>
      <c r="H33" s="9">
        <v>6</v>
      </c>
    </row>
    <row r="34" spans="3:8" x14ac:dyDescent="0.25">
      <c r="C34" s="8"/>
      <c r="D34" s="2" t="s">
        <v>4878</v>
      </c>
      <c r="E34" s="2" t="s">
        <v>48</v>
      </c>
      <c r="F34" s="4"/>
      <c r="G34" s="14"/>
      <c r="H34" s="9">
        <v>102</v>
      </c>
    </row>
    <row r="35" spans="3:8" x14ac:dyDescent="0.25">
      <c r="C35" s="8"/>
      <c r="D35" s="2" t="s">
        <v>4879</v>
      </c>
      <c r="E35" s="2" t="s">
        <v>48</v>
      </c>
      <c r="F35" s="4"/>
      <c r="G35" s="14"/>
      <c r="H35" s="9">
        <v>20.5</v>
      </c>
    </row>
    <row r="36" spans="3:8" x14ac:dyDescent="0.25">
      <c r="C36" s="8"/>
      <c r="D36" s="2" t="s">
        <v>4934</v>
      </c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29"/>
      <c r="D41" s="30"/>
      <c r="E41" s="30" t="s">
        <v>60</v>
      </c>
      <c r="F41" s="4"/>
      <c r="G41" s="14"/>
      <c r="H41" s="9"/>
    </row>
    <row r="42" spans="3:8" x14ac:dyDescent="0.25">
      <c r="C42" s="8"/>
      <c r="D42" s="45" t="s">
        <v>4842</v>
      </c>
      <c r="E42" s="2" t="s">
        <v>4841</v>
      </c>
      <c r="F42" s="4">
        <v>14.5</v>
      </c>
      <c r="G42" s="14"/>
      <c r="H42" s="9"/>
    </row>
    <row r="43" spans="3:8" x14ac:dyDescent="0.25">
      <c r="C43" s="8"/>
      <c r="D43" s="45"/>
      <c r="E43" s="2"/>
      <c r="F43" s="4"/>
      <c r="G43" s="14"/>
      <c r="H43" s="9"/>
    </row>
    <row r="44" spans="3:8" x14ac:dyDescent="0.25">
      <c r="C44" s="8"/>
      <c r="D44" s="45"/>
      <c r="E44" s="2"/>
      <c r="F44" s="4"/>
      <c r="G44" s="14"/>
      <c r="H44" s="9"/>
    </row>
    <row r="45" spans="3:8" x14ac:dyDescent="0.25">
      <c r="C45" s="8"/>
      <c r="D45" s="45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16"/>
      <c r="D47" s="17"/>
      <c r="E47" s="17" t="s">
        <v>39</v>
      </c>
      <c r="F47" s="4"/>
      <c r="G47" s="14"/>
      <c r="H47" s="9"/>
    </row>
    <row r="48" spans="3:8" x14ac:dyDescent="0.25">
      <c r="C48" s="8"/>
      <c r="D48" s="2"/>
      <c r="E48" s="2" t="s">
        <v>4856</v>
      </c>
      <c r="F48" s="4">
        <v>325</v>
      </c>
      <c r="G48" s="14"/>
      <c r="H48" s="9"/>
    </row>
    <row r="49" spans="3:8" x14ac:dyDescent="0.25">
      <c r="C49" s="8"/>
      <c r="D49" s="2"/>
      <c r="E49" s="2" t="s">
        <v>4857</v>
      </c>
      <c r="F49" s="4">
        <v>544</v>
      </c>
      <c r="G49" s="14"/>
      <c r="H49" s="9"/>
    </row>
    <row r="50" spans="3:8" x14ac:dyDescent="0.25">
      <c r="C50" s="8"/>
      <c r="D50" s="2"/>
      <c r="E50" s="2" t="s">
        <v>4858</v>
      </c>
      <c r="F50" s="4">
        <v>6</v>
      </c>
      <c r="G50" s="14"/>
      <c r="H50" s="9"/>
    </row>
    <row r="51" spans="3:8" x14ac:dyDescent="0.25">
      <c r="C51" s="8"/>
      <c r="D51" s="2"/>
      <c r="E51" s="2" t="s">
        <v>4859</v>
      </c>
      <c r="F51" s="4">
        <v>54</v>
      </c>
      <c r="G51" s="14"/>
      <c r="H51" s="9"/>
    </row>
    <row r="52" spans="3:8" x14ac:dyDescent="0.25">
      <c r="C52" s="8"/>
      <c r="D52" s="2"/>
      <c r="E52" s="2" t="s">
        <v>4860</v>
      </c>
      <c r="F52" s="4">
        <v>655</v>
      </c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19"/>
      <c r="D54" s="20"/>
      <c r="E54" s="20" t="s">
        <v>42</v>
      </c>
      <c r="F54" s="4"/>
      <c r="G54" s="14"/>
      <c r="H54" s="9"/>
    </row>
    <row r="55" spans="3:8" x14ac:dyDescent="0.25">
      <c r="C55" s="34"/>
      <c r="D55" s="42"/>
      <c r="E55" s="68" t="s">
        <v>1728</v>
      </c>
      <c r="F55" s="14">
        <v>-20</v>
      </c>
      <c r="G55" s="14"/>
      <c r="H55" s="9"/>
    </row>
    <row r="56" spans="3:8" x14ac:dyDescent="0.25">
      <c r="C56" s="34"/>
      <c r="D56" s="42"/>
      <c r="E56" s="68" t="s">
        <v>3747</v>
      </c>
      <c r="F56" s="14">
        <v>-20</v>
      </c>
      <c r="G56" s="14"/>
      <c r="H56" s="9"/>
    </row>
    <row r="57" spans="3:8" x14ac:dyDescent="0.25">
      <c r="C57" s="34"/>
      <c r="D57" s="42"/>
      <c r="E57" s="68" t="s">
        <v>1553</v>
      </c>
      <c r="F57" s="14">
        <v>-40</v>
      </c>
      <c r="G57" s="14"/>
      <c r="H57" s="9"/>
    </row>
    <row r="58" spans="3:8" x14ac:dyDescent="0.25">
      <c r="C58" s="34"/>
      <c r="D58" s="42"/>
      <c r="E58" s="68" t="s">
        <v>478</v>
      </c>
      <c r="F58" s="14">
        <v>-40</v>
      </c>
      <c r="G58" s="14"/>
      <c r="H58" s="9"/>
    </row>
    <row r="59" spans="3:8" x14ac:dyDescent="0.25">
      <c r="C59" s="34"/>
      <c r="D59" s="42"/>
      <c r="E59" s="68" t="s">
        <v>4880</v>
      </c>
      <c r="F59" s="14">
        <v>-40</v>
      </c>
      <c r="G59" s="14"/>
      <c r="H59" s="9"/>
    </row>
    <row r="60" spans="3:8" x14ac:dyDescent="0.25">
      <c r="C60" s="34"/>
      <c r="D60" s="42"/>
      <c r="E60" s="68" t="s">
        <v>1486</v>
      </c>
      <c r="F60" s="14">
        <v>-50</v>
      </c>
      <c r="G60" s="14"/>
      <c r="H60" s="9"/>
    </row>
    <row r="61" spans="3:8" x14ac:dyDescent="0.25">
      <c r="C61" s="34"/>
      <c r="D61" s="42"/>
      <c r="E61" s="68" t="s">
        <v>4881</v>
      </c>
      <c r="F61" s="14">
        <v>-200</v>
      </c>
      <c r="G61" s="14"/>
      <c r="H61" s="9"/>
    </row>
    <row r="62" spans="3:8" x14ac:dyDescent="0.25">
      <c r="C62" s="34"/>
      <c r="D62" s="42"/>
      <c r="E62" s="68" t="s">
        <v>760</v>
      </c>
      <c r="F62" s="14">
        <v>-15</v>
      </c>
      <c r="G62" s="14"/>
      <c r="H62" s="9"/>
    </row>
    <row r="63" spans="3:8" x14ac:dyDescent="0.25">
      <c r="C63" s="34"/>
      <c r="D63" s="42"/>
      <c r="E63" s="68" t="s">
        <v>4882</v>
      </c>
      <c r="F63" s="14">
        <v>-65</v>
      </c>
      <c r="G63" s="14"/>
      <c r="H63" s="9"/>
    </row>
    <row r="64" spans="3:8" x14ac:dyDescent="0.25">
      <c r="C64" s="34"/>
      <c r="D64" s="42" t="s">
        <v>4884</v>
      </c>
      <c r="E64" s="68" t="s">
        <v>4883</v>
      </c>
      <c r="F64" s="14">
        <v>-360</v>
      </c>
      <c r="G64" s="14"/>
      <c r="H64" s="9"/>
    </row>
    <row r="65" spans="3:8" x14ac:dyDescent="0.25">
      <c r="C65" s="8"/>
      <c r="D65" s="2"/>
      <c r="E65" s="68"/>
      <c r="F65" s="1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ht="15.75" thickBot="1" x14ac:dyDescent="0.3">
      <c r="C67" s="10"/>
      <c r="D67" s="11"/>
      <c r="E67" s="11" t="s">
        <v>44</v>
      </c>
      <c r="F67" s="12">
        <f>SUM(F6:F66)</f>
        <v>3200</v>
      </c>
      <c r="G67" s="15">
        <f>SUM(G6:G66)</f>
        <v>279</v>
      </c>
      <c r="H67" s="13">
        <f>SUM(H6:H66)</f>
        <v>329.4</v>
      </c>
    </row>
    <row r="70" spans="3:8" s="3" customFormat="1" ht="18.75" x14ac:dyDescent="0.3">
      <c r="C70" s="1"/>
      <c r="D70" s="1"/>
      <c r="E70" s="38" t="s">
        <v>49</v>
      </c>
      <c r="F70" s="39">
        <f>+H4+F67</f>
        <v>22434.63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807A-9BAD-4A9C-8F26-BC0F12D945D7}">
  <sheetPr codeName="Hoja55"/>
  <dimension ref="C2:H112"/>
  <sheetViews>
    <sheetView topLeftCell="A82" zoomScaleNormal="100" workbookViewId="0">
      <selection activeCell="F112" sqref="F112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4885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22434.63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4886</v>
      </c>
      <c r="E6" s="2" t="s">
        <v>440</v>
      </c>
      <c r="F6" s="4">
        <v>39</v>
      </c>
      <c r="G6" s="14"/>
      <c r="H6" s="9"/>
    </row>
    <row r="7" spans="3:8" x14ac:dyDescent="0.25">
      <c r="C7" s="8"/>
      <c r="D7" s="2" t="s">
        <v>4894</v>
      </c>
      <c r="E7" s="2" t="s">
        <v>440</v>
      </c>
      <c r="F7" s="4">
        <v>6</v>
      </c>
      <c r="G7" s="14"/>
      <c r="H7" s="9"/>
    </row>
    <row r="8" spans="3:8" x14ac:dyDescent="0.25">
      <c r="C8" s="8"/>
      <c r="D8" s="2" t="s">
        <v>4895</v>
      </c>
      <c r="E8" s="2" t="s">
        <v>440</v>
      </c>
      <c r="F8" s="4"/>
      <c r="G8" s="14"/>
      <c r="H8" s="9">
        <v>18</v>
      </c>
    </row>
    <row r="9" spans="3:8" x14ac:dyDescent="0.25">
      <c r="C9" s="8"/>
      <c r="D9" s="2" t="s">
        <v>4896</v>
      </c>
      <c r="E9" s="2" t="s">
        <v>440</v>
      </c>
      <c r="F9" s="4">
        <v>5</v>
      </c>
      <c r="G9" s="14"/>
      <c r="H9" s="9"/>
    </row>
    <row r="10" spans="3:8" x14ac:dyDescent="0.25">
      <c r="C10" s="8"/>
      <c r="D10" s="2" t="s">
        <v>4897</v>
      </c>
      <c r="E10" s="2" t="s">
        <v>440</v>
      </c>
      <c r="F10" s="4">
        <v>59</v>
      </c>
      <c r="G10" s="14"/>
      <c r="H10" s="9"/>
    </row>
    <row r="11" spans="3:8" x14ac:dyDescent="0.25">
      <c r="C11" s="8"/>
      <c r="D11" s="2" t="s">
        <v>4898</v>
      </c>
      <c r="E11" s="2" t="s">
        <v>440</v>
      </c>
      <c r="F11" s="4">
        <v>24</v>
      </c>
      <c r="G11" s="14"/>
      <c r="H11" s="9"/>
    </row>
    <row r="12" spans="3:8" x14ac:dyDescent="0.25">
      <c r="C12" s="8"/>
      <c r="D12" s="2" t="s">
        <v>4899</v>
      </c>
      <c r="E12" s="2" t="s">
        <v>4941</v>
      </c>
      <c r="F12" s="4">
        <v>316.2</v>
      </c>
      <c r="G12" s="14"/>
      <c r="H12" s="9"/>
    </row>
    <row r="13" spans="3:8" x14ac:dyDescent="0.25">
      <c r="C13" s="8"/>
      <c r="D13" s="2" t="s">
        <v>4900</v>
      </c>
      <c r="E13" s="2" t="s">
        <v>4602</v>
      </c>
      <c r="F13" s="4"/>
      <c r="G13" s="14">
        <v>84</v>
      </c>
      <c r="H13" s="9"/>
    </row>
    <row r="14" spans="3:8" x14ac:dyDescent="0.25">
      <c r="C14" s="8"/>
      <c r="D14" s="2" t="s">
        <v>4901</v>
      </c>
      <c r="E14" s="2" t="s">
        <v>3391</v>
      </c>
      <c r="F14" s="4"/>
      <c r="G14" s="14">
        <v>12</v>
      </c>
      <c r="H14" s="9"/>
    </row>
    <row r="15" spans="3:8" x14ac:dyDescent="0.25">
      <c r="C15" s="8"/>
      <c r="D15" s="2" t="s">
        <v>4902</v>
      </c>
      <c r="E15" s="2" t="s">
        <v>4942</v>
      </c>
      <c r="F15" s="4">
        <v>105</v>
      </c>
      <c r="G15" s="14"/>
      <c r="H15" s="9"/>
    </row>
    <row r="16" spans="3:8" x14ac:dyDescent="0.25">
      <c r="C16" s="8"/>
      <c r="D16" s="2" t="s">
        <v>4903</v>
      </c>
      <c r="E16" s="2" t="s">
        <v>440</v>
      </c>
      <c r="F16" s="4"/>
      <c r="G16" s="14"/>
      <c r="H16" s="9">
        <v>10</v>
      </c>
    </row>
    <row r="17" spans="3:8" x14ac:dyDescent="0.25">
      <c r="C17" s="8"/>
      <c r="D17" s="2" t="s">
        <v>4904</v>
      </c>
      <c r="E17" s="2" t="s">
        <v>440</v>
      </c>
      <c r="F17" s="4">
        <v>2</v>
      </c>
      <c r="G17" s="14"/>
      <c r="H17" s="9"/>
    </row>
    <row r="18" spans="3:8" x14ac:dyDescent="0.25">
      <c r="C18" s="8"/>
      <c r="D18" s="2" t="s">
        <v>4905</v>
      </c>
      <c r="E18" s="2" t="s">
        <v>440</v>
      </c>
      <c r="F18" s="4"/>
      <c r="G18" s="14"/>
      <c r="H18" s="9">
        <v>60.9</v>
      </c>
    </row>
    <row r="19" spans="3:8" x14ac:dyDescent="0.25">
      <c r="C19" s="8"/>
      <c r="D19" s="2" t="s">
        <v>4906</v>
      </c>
      <c r="E19" s="2" t="s">
        <v>4943</v>
      </c>
      <c r="F19" s="4">
        <v>308.5</v>
      </c>
      <c r="G19" s="14"/>
      <c r="H19" s="9"/>
    </row>
    <row r="20" spans="3:8" x14ac:dyDescent="0.25">
      <c r="C20" s="8"/>
      <c r="D20" s="2" t="s">
        <v>4907</v>
      </c>
      <c r="E20" s="2" t="s">
        <v>440</v>
      </c>
      <c r="F20" s="4">
        <v>44.5</v>
      </c>
      <c r="G20" s="14"/>
      <c r="H20" s="9"/>
    </row>
    <row r="21" spans="3:8" x14ac:dyDescent="0.25">
      <c r="C21" s="8"/>
      <c r="D21" s="2" t="s">
        <v>4908</v>
      </c>
      <c r="E21" s="2" t="s">
        <v>440</v>
      </c>
      <c r="F21" s="4">
        <v>4</v>
      </c>
      <c r="G21" s="14"/>
      <c r="H21" s="9"/>
    </row>
    <row r="22" spans="3:8" x14ac:dyDescent="0.25">
      <c r="C22" s="8"/>
      <c r="D22" s="2" t="s">
        <v>4909</v>
      </c>
      <c r="E22" s="2" t="s">
        <v>440</v>
      </c>
      <c r="F22" s="4"/>
      <c r="G22" s="14"/>
      <c r="H22" s="9">
        <v>9</v>
      </c>
    </row>
    <row r="23" spans="3:8" x14ac:dyDescent="0.25">
      <c r="C23" s="8"/>
      <c r="D23" s="2" t="s">
        <v>4910</v>
      </c>
      <c r="E23" s="2" t="s">
        <v>440</v>
      </c>
      <c r="F23" s="4">
        <v>5</v>
      </c>
      <c r="G23" s="14"/>
      <c r="H23" s="9"/>
    </row>
    <row r="24" spans="3:8" x14ac:dyDescent="0.25">
      <c r="C24" s="8"/>
      <c r="D24" s="2" t="s">
        <v>4911</v>
      </c>
      <c r="E24" s="2" t="s">
        <v>440</v>
      </c>
      <c r="F24" s="4">
        <v>7</v>
      </c>
      <c r="G24" s="14"/>
      <c r="H24" s="9"/>
    </row>
    <row r="25" spans="3:8" x14ac:dyDescent="0.25">
      <c r="C25" s="8"/>
      <c r="D25" s="2" t="s">
        <v>4912</v>
      </c>
      <c r="E25" s="2" t="s">
        <v>440</v>
      </c>
      <c r="F25" s="4">
        <v>69</v>
      </c>
      <c r="G25" s="14"/>
      <c r="H25" s="9"/>
    </row>
    <row r="26" spans="3:8" x14ac:dyDescent="0.25">
      <c r="C26" s="8"/>
      <c r="D26" s="2" t="s">
        <v>4913</v>
      </c>
      <c r="E26" s="2" t="s">
        <v>4776</v>
      </c>
      <c r="F26" s="4"/>
      <c r="G26" s="14"/>
      <c r="H26" s="9">
        <v>621.5</v>
      </c>
    </row>
    <row r="27" spans="3:8" x14ac:dyDescent="0.25">
      <c r="C27" s="8"/>
      <c r="D27" s="2" t="s">
        <v>4914</v>
      </c>
      <c r="E27" s="2" t="s">
        <v>440</v>
      </c>
      <c r="F27" s="4"/>
      <c r="G27" s="14"/>
      <c r="H27" s="9">
        <v>12</v>
      </c>
    </row>
    <row r="28" spans="3:8" x14ac:dyDescent="0.25">
      <c r="C28" s="8"/>
      <c r="D28" s="2" t="s">
        <v>4915</v>
      </c>
      <c r="E28" s="2" t="s">
        <v>440</v>
      </c>
      <c r="F28" s="4">
        <v>83.5</v>
      </c>
      <c r="G28" s="14"/>
      <c r="H28" s="9"/>
    </row>
    <row r="29" spans="3:8" x14ac:dyDescent="0.25">
      <c r="C29" s="8"/>
      <c r="D29" s="2" t="s">
        <v>4916</v>
      </c>
      <c r="E29" s="2" t="s">
        <v>440</v>
      </c>
      <c r="F29" s="4">
        <v>13</v>
      </c>
      <c r="G29" s="14"/>
      <c r="H29" s="9"/>
    </row>
    <row r="30" spans="3:8" x14ac:dyDescent="0.25">
      <c r="C30" s="8"/>
      <c r="D30" s="2" t="s">
        <v>4917</v>
      </c>
      <c r="E30" s="2" t="s">
        <v>440</v>
      </c>
      <c r="F30" s="4">
        <v>5</v>
      </c>
      <c r="G30" s="14"/>
      <c r="H30" s="9"/>
    </row>
    <row r="31" spans="3:8" x14ac:dyDescent="0.25">
      <c r="C31" s="8"/>
      <c r="D31" s="2" t="s">
        <v>4918</v>
      </c>
      <c r="E31" s="2" t="s">
        <v>4944</v>
      </c>
      <c r="F31" s="4">
        <v>100</v>
      </c>
      <c r="G31" s="14"/>
      <c r="H31" s="9">
        <v>498.5</v>
      </c>
    </row>
    <row r="32" spans="3:8" x14ac:dyDescent="0.25">
      <c r="C32" s="8"/>
      <c r="D32" s="2" t="s">
        <v>4919</v>
      </c>
      <c r="E32" s="2" t="s">
        <v>4945</v>
      </c>
      <c r="F32" s="4"/>
      <c r="G32" s="14"/>
      <c r="H32" s="9">
        <v>578</v>
      </c>
    </row>
    <row r="33" spans="3:8" x14ac:dyDescent="0.25">
      <c r="C33" s="8"/>
      <c r="D33" s="2" t="s">
        <v>4920</v>
      </c>
      <c r="E33" s="2" t="s">
        <v>440</v>
      </c>
      <c r="F33" s="4"/>
      <c r="G33" s="14"/>
      <c r="H33" s="9">
        <v>13</v>
      </c>
    </row>
    <row r="34" spans="3:8" x14ac:dyDescent="0.25">
      <c r="C34" s="8"/>
      <c r="D34" s="2" t="s">
        <v>4921</v>
      </c>
      <c r="E34" s="2" t="s">
        <v>4946</v>
      </c>
      <c r="F34" s="4">
        <v>360</v>
      </c>
      <c r="G34" s="14"/>
      <c r="H34" s="9"/>
    </row>
    <row r="35" spans="3:8" x14ac:dyDescent="0.25">
      <c r="C35" s="8"/>
      <c r="D35" s="2" t="s">
        <v>4922</v>
      </c>
      <c r="E35" s="2" t="s">
        <v>440</v>
      </c>
      <c r="F35" s="4"/>
      <c r="G35" s="14"/>
      <c r="H35" s="9">
        <v>44</v>
      </c>
    </row>
    <row r="36" spans="3:8" x14ac:dyDescent="0.25">
      <c r="C36" s="8"/>
      <c r="D36" s="2" t="s">
        <v>4923</v>
      </c>
      <c r="E36" s="2" t="s">
        <v>4947</v>
      </c>
      <c r="F36" s="4">
        <v>273.5</v>
      </c>
      <c r="G36" s="14"/>
      <c r="H36" s="9"/>
    </row>
    <row r="37" spans="3:8" x14ac:dyDescent="0.25">
      <c r="C37" s="8"/>
      <c r="D37" s="2" t="s">
        <v>4924</v>
      </c>
      <c r="E37" s="2" t="s">
        <v>440</v>
      </c>
      <c r="F37" s="4"/>
      <c r="G37" s="14"/>
      <c r="H37" s="9">
        <v>5</v>
      </c>
    </row>
    <row r="38" spans="3:8" x14ac:dyDescent="0.25">
      <c r="C38" s="8"/>
      <c r="D38" s="2" t="s">
        <v>4925</v>
      </c>
      <c r="E38" s="2" t="s">
        <v>4811</v>
      </c>
      <c r="F38" s="4">
        <v>90</v>
      </c>
      <c r="G38" s="14"/>
      <c r="H38" s="9"/>
    </row>
    <row r="39" spans="3:8" x14ac:dyDescent="0.25">
      <c r="C39" s="8"/>
      <c r="D39" s="2" t="s">
        <v>4926</v>
      </c>
      <c r="E39" s="2" t="s">
        <v>440</v>
      </c>
      <c r="F39" s="4">
        <v>6</v>
      </c>
      <c r="G39" s="14"/>
      <c r="H39" s="9"/>
    </row>
    <row r="40" spans="3:8" x14ac:dyDescent="0.25">
      <c r="C40" s="8"/>
      <c r="D40" s="2" t="s">
        <v>4927</v>
      </c>
      <c r="E40" s="2" t="s">
        <v>440</v>
      </c>
      <c r="F40" s="4">
        <v>64</v>
      </c>
      <c r="G40" s="14"/>
      <c r="H40" s="9"/>
    </row>
    <row r="41" spans="3:8" x14ac:dyDescent="0.25">
      <c r="C41" s="8"/>
      <c r="D41" s="2" t="s">
        <v>4928</v>
      </c>
      <c r="E41" s="2" t="s">
        <v>4948</v>
      </c>
      <c r="F41" s="4">
        <v>390</v>
      </c>
      <c r="G41" s="14"/>
      <c r="H41" s="9"/>
    </row>
    <row r="42" spans="3:8" x14ac:dyDescent="0.25">
      <c r="C42" s="8"/>
      <c r="D42" s="2" t="s">
        <v>4929</v>
      </c>
      <c r="E42" s="2" t="s">
        <v>440</v>
      </c>
      <c r="F42" s="4">
        <v>4</v>
      </c>
      <c r="G42" s="14"/>
      <c r="H42" s="9"/>
    </row>
    <row r="43" spans="3:8" x14ac:dyDescent="0.25">
      <c r="C43" s="8"/>
      <c r="D43" s="2" t="s">
        <v>4930</v>
      </c>
      <c r="E43" s="2" t="s">
        <v>4958</v>
      </c>
      <c r="F43" s="4">
        <v>1199.98</v>
      </c>
      <c r="G43" s="14"/>
      <c r="H43" s="9"/>
    </row>
    <row r="44" spans="3:8" x14ac:dyDescent="0.25">
      <c r="C44" s="8"/>
      <c r="D44" s="2" t="s">
        <v>4931</v>
      </c>
      <c r="E44" s="2" t="s">
        <v>440</v>
      </c>
      <c r="F44" s="4">
        <v>89</v>
      </c>
      <c r="G44" s="14"/>
      <c r="H44" s="9"/>
    </row>
    <row r="45" spans="3:8" x14ac:dyDescent="0.25">
      <c r="C45" s="8"/>
      <c r="D45" s="2" t="s">
        <v>4932</v>
      </c>
      <c r="E45" s="2" t="s">
        <v>440</v>
      </c>
      <c r="F45" s="4"/>
      <c r="G45" s="14"/>
      <c r="H45" s="9">
        <v>4</v>
      </c>
    </row>
    <row r="46" spans="3:8" x14ac:dyDescent="0.25">
      <c r="C46" s="8"/>
      <c r="D46" s="2" t="s">
        <v>4933</v>
      </c>
      <c r="E46" s="43" t="s">
        <v>4987</v>
      </c>
      <c r="F46" s="4"/>
      <c r="G46" s="14"/>
      <c r="H46" s="9"/>
    </row>
    <row r="47" spans="3:8" x14ac:dyDescent="0.25">
      <c r="C47" s="8"/>
      <c r="D47" s="2" t="s">
        <v>4970</v>
      </c>
      <c r="E47" s="2" t="s">
        <v>4971</v>
      </c>
      <c r="F47" s="4">
        <v>4</v>
      </c>
      <c r="G47" s="14"/>
      <c r="H47" s="9"/>
    </row>
    <row r="48" spans="3:8" x14ac:dyDescent="0.25">
      <c r="C48" s="8"/>
      <c r="D48" s="2" t="s">
        <v>4973</v>
      </c>
      <c r="E48" s="2" t="s">
        <v>4971</v>
      </c>
      <c r="F48" s="4">
        <v>4</v>
      </c>
      <c r="G48" s="14"/>
      <c r="H48" s="9"/>
    </row>
    <row r="49" spans="3:8" x14ac:dyDescent="0.25">
      <c r="C49" s="8"/>
      <c r="D49" s="2" t="s">
        <v>4974</v>
      </c>
      <c r="E49" s="2" t="s">
        <v>4971</v>
      </c>
      <c r="F49" s="4"/>
      <c r="G49" s="14"/>
      <c r="H49" s="9">
        <v>5</v>
      </c>
    </row>
    <row r="50" spans="3:8" x14ac:dyDescent="0.25">
      <c r="C50" s="8"/>
      <c r="D50" s="2" t="s">
        <v>4975</v>
      </c>
      <c r="E50" s="2" t="s">
        <v>4971</v>
      </c>
      <c r="F50" s="4">
        <v>8.5</v>
      </c>
      <c r="G50" s="14"/>
      <c r="H50" s="9"/>
    </row>
    <row r="51" spans="3:8" x14ac:dyDescent="0.25">
      <c r="C51" s="8"/>
      <c r="D51" s="2" t="s">
        <v>4976</v>
      </c>
      <c r="E51" s="2" t="s">
        <v>4666</v>
      </c>
      <c r="F51" s="4"/>
      <c r="G51" s="14"/>
      <c r="H51" s="9">
        <v>160</v>
      </c>
    </row>
    <row r="52" spans="3:8" x14ac:dyDescent="0.25">
      <c r="C52" s="8"/>
      <c r="D52" s="2" t="s">
        <v>4977</v>
      </c>
      <c r="E52" s="2" t="s">
        <v>1679</v>
      </c>
      <c r="F52" s="4"/>
      <c r="G52" s="14">
        <v>913</v>
      </c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 t="s">
        <v>4934</v>
      </c>
      <c r="E56" s="2" t="s">
        <v>3438</v>
      </c>
      <c r="F56" s="4">
        <v>100</v>
      </c>
      <c r="G56" s="14"/>
      <c r="H56" s="9">
        <v>117</v>
      </c>
    </row>
    <row r="57" spans="3:8" x14ac:dyDescent="0.25">
      <c r="C57" s="8"/>
      <c r="D57" s="2" t="s">
        <v>4935</v>
      </c>
      <c r="E57" s="2" t="s">
        <v>4959</v>
      </c>
      <c r="F57" s="4">
        <v>51</v>
      </c>
      <c r="G57" s="14"/>
      <c r="H57" s="9"/>
    </row>
    <row r="58" spans="3:8" x14ac:dyDescent="0.25">
      <c r="C58" s="8"/>
      <c r="D58" s="2" t="s">
        <v>4936</v>
      </c>
      <c r="E58" s="2" t="s">
        <v>285</v>
      </c>
      <c r="F58" s="4"/>
      <c r="G58" s="14">
        <v>882.9</v>
      </c>
      <c r="H58" s="9"/>
    </row>
    <row r="59" spans="3:8" x14ac:dyDescent="0.25">
      <c r="C59" s="8"/>
      <c r="D59" s="2" t="s">
        <v>4937</v>
      </c>
      <c r="E59" s="2" t="s">
        <v>4960</v>
      </c>
      <c r="F59" s="4"/>
      <c r="G59" s="14">
        <v>440</v>
      </c>
      <c r="H59" s="9">
        <v>2000</v>
      </c>
    </row>
    <row r="60" spans="3:8" x14ac:dyDescent="0.25">
      <c r="C60" s="8"/>
      <c r="D60" s="2" t="s">
        <v>4938</v>
      </c>
      <c r="E60" s="2" t="s">
        <v>48</v>
      </c>
      <c r="F60" s="4">
        <v>28</v>
      </c>
      <c r="G60" s="14"/>
      <c r="H60" s="9"/>
    </row>
    <row r="61" spans="3:8" x14ac:dyDescent="0.25">
      <c r="C61" s="8"/>
      <c r="D61" s="2" t="s">
        <v>4939</v>
      </c>
      <c r="E61" s="2" t="s">
        <v>4961</v>
      </c>
      <c r="F61" s="4"/>
      <c r="G61" s="14">
        <v>11</v>
      </c>
      <c r="H61" s="9"/>
    </row>
    <row r="62" spans="3:8" x14ac:dyDescent="0.25">
      <c r="C62" s="8"/>
      <c r="D62" s="2" t="s">
        <v>4940</v>
      </c>
      <c r="E62" s="2" t="s">
        <v>48</v>
      </c>
      <c r="F62" s="4">
        <v>12</v>
      </c>
      <c r="G62" s="14"/>
      <c r="H62" s="9"/>
    </row>
    <row r="63" spans="3:8" x14ac:dyDescent="0.25">
      <c r="C63" s="8"/>
      <c r="D63" s="2" t="s">
        <v>4949</v>
      </c>
      <c r="E63" s="2" t="s">
        <v>48</v>
      </c>
      <c r="F63" s="4">
        <v>22</v>
      </c>
      <c r="G63" s="14"/>
      <c r="H63" s="9"/>
    </row>
    <row r="64" spans="3:8" x14ac:dyDescent="0.25">
      <c r="C64" s="8"/>
      <c r="D64" s="2" t="s">
        <v>4950</v>
      </c>
      <c r="E64" s="2" t="s">
        <v>48</v>
      </c>
      <c r="F64" s="4">
        <v>2.5</v>
      </c>
      <c r="G64" s="14"/>
      <c r="H64" s="9"/>
    </row>
    <row r="65" spans="3:8" x14ac:dyDescent="0.25">
      <c r="C65" s="8"/>
      <c r="D65" s="2" t="s">
        <v>4951</v>
      </c>
      <c r="E65" s="2" t="s">
        <v>48</v>
      </c>
      <c r="F65" s="4"/>
      <c r="G65" s="14"/>
      <c r="H65" s="9">
        <v>21</v>
      </c>
    </row>
    <row r="66" spans="3:8" x14ac:dyDescent="0.25">
      <c r="C66" s="8"/>
      <c r="D66" s="2" t="s">
        <v>4952</v>
      </c>
      <c r="E66" s="2" t="s">
        <v>48</v>
      </c>
      <c r="F66" s="4">
        <v>84</v>
      </c>
      <c r="G66" s="14"/>
      <c r="H66" s="9"/>
    </row>
    <row r="67" spans="3:8" x14ac:dyDescent="0.25">
      <c r="C67" s="8"/>
      <c r="D67" s="2" t="s">
        <v>4953</v>
      </c>
      <c r="E67" s="2" t="s">
        <v>48</v>
      </c>
      <c r="F67" s="4"/>
      <c r="G67" s="14"/>
      <c r="H67" s="9">
        <v>64.5</v>
      </c>
    </row>
    <row r="68" spans="3:8" x14ac:dyDescent="0.25">
      <c r="C68" s="8"/>
      <c r="D68" s="2" t="s">
        <v>4954</v>
      </c>
      <c r="E68" s="2" t="s">
        <v>48</v>
      </c>
      <c r="F68" s="4"/>
      <c r="G68" s="14"/>
      <c r="H68" s="9">
        <v>15</v>
      </c>
    </row>
    <row r="69" spans="3:8" x14ac:dyDescent="0.25">
      <c r="C69" s="8"/>
      <c r="D69" s="2" t="s">
        <v>4955</v>
      </c>
      <c r="E69" s="2" t="s">
        <v>4731</v>
      </c>
      <c r="F69" s="4"/>
      <c r="G69" s="14"/>
      <c r="H69" s="9">
        <v>226</v>
      </c>
    </row>
    <row r="70" spans="3:8" x14ac:dyDescent="0.25">
      <c r="C70" s="8"/>
      <c r="D70" s="2" t="s">
        <v>4956</v>
      </c>
      <c r="E70" s="2" t="s">
        <v>48</v>
      </c>
      <c r="F70" s="4">
        <v>8.5</v>
      </c>
      <c r="G70" s="14"/>
      <c r="H70" s="9"/>
    </row>
    <row r="71" spans="3:8" x14ac:dyDescent="0.25">
      <c r="C71" s="8"/>
      <c r="D71" s="2" t="s">
        <v>4957</v>
      </c>
      <c r="E71" s="2" t="s">
        <v>4962</v>
      </c>
      <c r="F71" s="4"/>
      <c r="G71" s="14"/>
      <c r="H71" s="9">
        <v>1328.5</v>
      </c>
    </row>
    <row r="72" spans="3:8" x14ac:dyDescent="0.25">
      <c r="C72" s="8"/>
      <c r="D72" s="2" t="s">
        <v>4963</v>
      </c>
      <c r="E72" s="2" t="s">
        <v>4962</v>
      </c>
      <c r="F72" s="4"/>
      <c r="G72" s="14"/>
      <c r="H72" s="9">
        <v>50</v>
      </c>
    </row>
    <row r="73" spans="3:8" x14ac:dyDescent="0.25">
      <c r="C73" s="8"/>
      <c r="D73" s="2" t="s">
        <v>4964</v>
      </c>
      <c r="E73" s="2" t="s">
        <v>48</v>
      </c>
      <c r="F73" s="4">
        <v>5</v>
      </c>
      <c r="G73" s="14"/>
      <c r="H73" s="9"/>
    </row>
    <row r="74" spans="3:8" x14ac:dyDescent="0.25">
      <c r="C74" s="8"/>
      <c r="D74" s="2" t="s">
        <v>4972</v>
      </c>
      <c r="E74" s="2" t="s">
        <v>48</v>
      </c>
      <c r="F74" s="4">
        <v>47.3</v>
      </c>
      <c r="G74" s="14"/>
      <c r="H74" s="9"/>
    </row>
    <row r="75" spans="3:8" x14ac:dyDescent="0.25">
      <c r="C75" s="8"/>
      <c r="D75" s="2" t="s">
        <v>4978</v>
      </c>
      <c r="E75" s="2" t="s">
        <v>164</v>
      </c>
      <c r="F75" s="4"/>
      <c r="G75" s="14">
        <v>2930</v>
      </c>
      <c r="H75" s="9"/>
    </row>
    <row r="76" spans="3:8" x14ac:dyDescent="0.25">
      <c r="C76" s="8"/>
      <c r="D76" s="2" t="s">
        <v>4979</v>
      </c>
      <c r="E76" s="2" t="s">
        <v>4947</v>
      </c>
      <c r="F76" s="4"/>
      <c r="G76" s="14"/>
      <c r="H76" s="9">
        <v>75</v>
      </c>
    </row>
    <row r="77" spans="3:8" x14ac:dyDescent="0.25">
      <c r="C77" s="8"/>
      <c r="D77" s="2" t="s">
        <v>4980</v>
      </c>
      <c r="E77" s="2" t="s">
        <v>4981</v>
      </c>
      <c r="F77" s="4"/>
      <c r="G77" s="14">
        <v>15952</v>
      </c>
      <c r="H77" s="9"/>
    </row>
    <row r="78" spans="3:8" x14ac:dyDescent="0.25">
      <c r="C78" s="8"/>
      <c r="D78" s="2" t="s">
        <v>4982</v>
      </c>
      <c r="E78" s="2" t="s">
        <v>4983</v>
      </c>
      <c r="F78" s="4">
        <v>102.1</v>
      </c>
      <c r="G78" s="14"/>
      <c r="H78" s="9"/>
    </row>
    <row r="79" spans="3:8" x14ac:dyDescent="0.25">
      <c r="C79" s="8"/>
      <c r="D79" s="2" t="s">
        <v>5021</v>
      </c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29"/>
      <c r="D81" s="30"/>
      <c r="E81" s="30" t="s">
        <v>60</v>
      </c>
      <c r="F81" s="4"/>
      <c r="G81" s="14"/>
      <c r="H81" s="9"/>
    </row>
    <row r="82" spans="3:8" x14ac:dyDescent="0.25">
      <c r="C82" s="8"/>
      <c r="D82" s="45" t="s">
        <v>4891</v>
      </c>
      <c r="E82" s="2" t="s">
        <v>4712</v>
      </c>
      <c r="F82" s="4"/>
      <c r="G82" s="14"/>
      <c r="H82" s="9">
        <v>288</v>
      </c>
    </row>
    <row r="83" spans="3:8" x14ac:dyDescent="0.25">
      <c r="C83" s="8"/>
      <c r="D83" s="45" t="s">
        <v>4892</v>
      </c>
      <c r="E83" s="2" t="s">
        <v>4893</v>
      </c>
      <c r="F83" s="4">
        <v>100</v>
      </c>
      <c r="G83" s="14"/>
      <c r="H83" s="9">
        <v>35</v>
      </c>
    </row>
    <row r="84" spans="3:8" x14ac:dyDescent="0.25">
      <c r="C84" s="8"/>
      <c r="D84" s="45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16"/>
      <c r="D86" s="17"/>
      <c r="E86" s="17" t="s">
        <v>39</v>
      </c>
      <c r="F86" s="4"/>
      <c r="G86" s="14"/>
      <c r="H86" s="9"/>
    </row>
    <row r="87" spans="3:8" x14ac:dyDescent="0.25">
      <c r="C87" s="8"/>
      <c r="D87" s="2"/>
      <c r="E87" s="2" t="s">
        <v>4984</v>
      </c>
      <c r="F87" s="4">
        <v>10283.299999999999</v>
      </c>
      <c r="G87" s="14"/>
      <c r="H87" s="9"/>
    </row>
    <row r="88" spans="3:8" x14ac:dyDescent="0.25">
      <c r="C88" s="8"/>
      <c r="D88" s="2"/>
      <c r="E88" s="2" t="s">
        <v>4986</v>
      </c>
      <c r="F88" s="4">
        <v>10</v>
      </c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19"/>
      <c r="D93" s="20"/>
      <c r="E93" s="20" t="s">
        <v>42</v>
      </c>
      <c r="F93" s="4"/>
      <c r="G93" s="14"/>
      <c r="H93" s="9"/>
    </row>
    <row r="94" spans="3:8" x14ac:dyDescent="0.25">
      <c r="C94" s="34"/>
      <c r="D94" s="42"/>
      <c r="E94" s="68" t="s">
        <v>4887</v>
      </c>
      <c r="F94" s="14">
        <v>-2784</v>
      </c>
      <c r="G94" s="14"/>
      <c r="H94" s="9"/>
    </row>
    <row r="95" spans="3:8" x14ac:dyDescent="0.25">
      <c r="C95" s="34"/>
      <c r="D95" s="42"/>
      <c r="E95" s="68" t="s">
        <v>4888</v>
      </c>
      <c r="F95" s="14">
        <v>-700</v>
      </c>
      <c r="G95" s="14"/>
      <c r="H95" s="9"/>
    </row>
    <row r="96" spans="3:8" x14ac:dyDescent="0.25">
      <c r="C96" s="34"/>
      <c r="D96" s="42" t="s">
        <v>58</v>
      </c>
      <c r="E96" s="68" t="s">
        <v>4889</v>
      </c>
      <c r="F96" s="14">
        <v>-50</v>
      </c>
      <c r="G96" s="14"/>
      <c r="H96" s="9"/>
    </row>
    <row r="97" spans="3:8" x14ac:dyDescent="0.25">
      <c r="C97" s="34"/>
      <c r="D97" s="42" t="s">
        <v>1151</v>
      </c>
      <c r="E97" s="68" t="s">
        <v>4890</v>
      </c>
      <c r="F97" s="14">
        <v>-20.3</v>
      </c>
      <c r="G97" s="14"/>
      <c r="H97" s="9"/>
    </row>
    <row r="98" spans="3:8" x14ac:dyDescent="0.25">
      <c r="C98" s="34"/>
      <c r="D98" s="42"/>
      <c r="E98" s="68" t="s">
        <v>4965</v>
      </c>
      <c r="F98" s="14">
        <v>-100</v>
      </c>
      <c r="G98" s="14"/>
      <c r="H98" s="9"/>
    </row>
    <row r="99" spans="3:8" x14ac:dyDescent="0.25">
      <c r="C99" s="34"/>
      <c r="D99" s="42"/>
      <c r="E99" s="68" t="s">
        <v>4966</v>
      </c>
      <c r="F99" s="14">
        <v>-20</v>
      </c>
      <c r="G99" s="14"/>
      <c r="H99" s="9"/>
    </row>
    <row r="100" spans="3:8" x14ac:dyDescent="0.25">
      <c r="C100" s="34"/>
      <c r="D100" s="42"/>
      <c r="E100" s="68" t="s">
        <v>4967</v>
      </c>
      <c r="F100" s="14">
        <v>-10</v>
      </c>
      <c r="G100" s="14"/>
      <c r="H100" s="9"/>
    </row>
    <row r="101" spans="3:8" x14ac:dyDescent="0.25">
      <c r="C101" s="34"/>
      <c r="D101" s="42"/>
      <c r="E101" s="68" t="s">
        <v>4968</v>
      </c>
      <c r="F101" s="14">
        <v>-5</v>
      </c>
      <c r="G101" s="14"/>
      <c r="H101" s="9"/>
    </row>
    <row r="102" spans="3:8" x14ac:dyDescent="0.25">
      <c r="C102" s="8"/>
      <c r="D102" s="2"/>
      <c r="E102" s="68" t="s">
        <v>4969</v>
      </c>
      <c r="F102" s="14">
        <v>-481.8</v>
      </c>
      <c r="G102" s="14"/>
      <c r="H102" s="9"/>
    </row>
    <row r="103" spans="3:8" x14ac:dyDescent="0.25">
      <c r="C103" s="8"/>
      <c r="D103" s="2"/>
      <c r="E103" s="68" t="s">
        <v>4985</v>
      </c>
      <c r="F103" s="14">
        <v>-102.1</v>
      </c>
      <c r="G103" s="14"/>
      <c r="H103" s="9"/>
    </row>
    <row r="104" spans="3:8" x14ac:dyDescent="0.25">
      <c r="C104" s="8"/>
      <c r="D104" s="2"/>
      <c r="E104" s="68" t="s">
        <v>1274</v>
      </c>
      <c r="F104" s="14">
        <v>-5119.3999999999996</v>
      </c>
      <c r="G104" s="14"/>
      <c r="H104" s="9"/>
    </row>
    <row r="105" spans="3:8" x14ac:dyDescent="0.25">
      <c r="C105" s="8"/>
      <c r="D105" s="2"/>
      <c r="E105" s="68" t="s">
        <v>1274</v>
      </c>
      <c r="F105" s="14">
        <v>-455</v>
      </c>
      <c r="G105" s="14"/>
      <c r="H105" s="9"/>
    </row>
    <row r="106" spans="3:8" x14ac:dyDescent="0.25">
      <c r="C106" s="8"/>
      <c r="D106" s="2"/>
      <c r="E106" s="68"/>
      <c r="F106" s="14"/>
      <c r="G106" s="14"/>
      <c r="H106" s="9"/>
    </row>
    <row r="107" spans="3:8" x14ac:dyDescent="0.25">
      <c r="C107" s="8"/>
      <c r="D107" s="2"/>
      <c r="E107" s="68"/>
      <c r="F107" s="14"/>
      <c r="G107" s="14"/>
      <c r="H107" s="9"/>
    </row>
    <row r="108" spans="3:8" x14ac:dyDescent="0.25">
      <c r="C108" s="8"/>
      <c r="D108" s="2"/>
      <c r="E108" s="2"/>
      <c r="F108" s="4"/>
      <c r="G108" s="14"/>
      <c r="H108" s="9"/>
    </row>
    <row r="109" spans="3:8" ht="15.75" thickBot="1" x14ac:dyDescent="0.3">
      <c r="C109" s="10"/>
      <c r="D109" s="11"/>
      <c r="E109" s="11" t="s">
        <v>44</v>
      </c>
      <c r="F109" s="12">
        <f>SUM(F6:F108)</f>
        <v>4696.7800000000007</v>
      </c>
      <c r="G109" s="15">
        <f>SUM(G6:G108)</f>
        <v>21224.9</v>
      </c>
      <c r="H109" s="13">
        <f>SUM(H6:H108)</f>
        <v>6258.9</v>
      </c>
    </row>
    <row r="112" spans="3:8" s="3" customFormat="1" ht="18.75" x14ac:dyDescent="0.3">
      <c r="C112" s="1"/>
      <c r="D112" s="1"/>
      <c r="E112" s="38" t="s">
        <v>49</v>
      </c>
      <c r="F112" s="39">
        <f>+H4+F109</f>
        <v>27131.410000000003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0257-EF42-4290-934F-2A36D4EB07C2}">
  <sheetPr codeName="Hoja56"/>
  <dimension ref="C2:H110"/>
  <sheetViews>
    <sheetView topLeftCell="A85" zoomScaleNormal="100" workbookViewId="0">
      <selection activeCell="F110" sqref="F110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4988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27131.41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4992</v>
      </c>
      <c r="E6" s="2" t="s">
        <v>440</v>
      </c>
      <c r="F6" s="4">
        <v>172.5</v>
      </c>
      <c r="G6" s="14"/>
      <c r="H6" s="9"/>
    </row>
    <row r="7" spans="3:8" x14ac:dyDescent="0.25">
      <c r="C7" s="8"/>
      <c r="D7" s="2" t="s">
        <v>4993</v>
      </c>
      <c r="E7" s="2" t="s">
        <v>440</v>
      </c>
      <c r="F7" s="4">
        <v>37.5</v>
      </c>
      <c r="G7" s="14"/>
      <c r="H7" s="9"/>
    </row>
    <row r="8" spans="3:8" x14ac:dyDescent="0.25">
      <c r="C8" s="8"/>
      <c r="D8" s="2" t="s">
        <v>4994</v>
      </c>
      <c r="E8" s="2" t="s">
        <v>5017</v>
      </c>
      <c r="F8" s="4">
        <v>89</v>
      </c>
      <c r="G8" s="14"/>
      <c r="H8" s="9"/>
    </row>
    <row r="9" spans="3:8" x14ac:dyDescent="0.25">
      <c r="C9" s="8"/>
      <c r="D9" s="2" t="s">
        <v>4995</v>
      </c>
      <c r="E9" s="2" t="s">
        <v>5018</v>
      </c>
      <c r="F9" s="4"/>
      <c r="G9" s="14">
        <v>320</v>
      </c>
      <c r="H9" s="9"/>
    </row>
    <row r="10" spans="3:8" x14ac:dyDescent="0.25">
      <c r="C10" s="8"/>
      <c r="D10" s="2" t="s">
        <v>4996</v>
      </c>
      <c r="E10" s="2" t="s">
        <v>440</v>
      </c>
      <c r="F10" s="4">
        <v>69</v>
      </c>
      <c r="G10" s="14"/>
      <c r="H10" s="9"/>
    </row>
    <row r="11" spans="3:8" x14ac:dyDescent="0.25">
      <c r="C11" s="8"/>
      <c r="D11" s="2" t="s">
        <v>4997</v>
      </c>
      <c r="E11" s="2" t="s">
        <v>440</v>
      </c>
      <c r="F11" s="4">
        <v>1</v>
      </c>
      <c r="G11" s="14"/>
      <c r="H11" s="9"/>
    </row>
    <row r="12" spans="3:8" x14ac:dyDescent="0.25">
      <c r="C12" s="8"/>
      <c r="D12" s="2" t="s">
        <v>4998</v>
      </c>
      <c r="E12" s="2" t="s">
        <v>5019</v>
      </c>
      <c r="F12" s="4"/>
      <c r="G12" s="14"/>
      <c r="H12" s="9">
        <v>245.5</v>
      </c>
    </row>
    <row r="13" spans="3:8" x14ac:dyDescent="0.25">
      <c r="C13" s="8"/>
      <c r="D13" s="2" t="s">
        <v>4999</v>
      </c>
      <c r="E13" s="2" t="s">
        <v>158</v>
      </c>
      <c r="F13" s="4"/>
      <c r="G13" s="14"/>
      <c r="H13" s="9">
        <v>1701.3</v>
      </c>
    </row>
    <row r="14" spans="3:8" x14ac:dyDescent="0.25">
      <c r="C14" s="8"/>
      <c r="D14" s="2" t="s">
        <v>5000</v>
      </c>
      <c r="E14" s="2" t="s">
        <v>723</v>
      </c>
      <c r="F14" s="4"/>
      <c r="G14" s="14"/>
      <c r="H14" s="9">
        <v>200.4</v>
      </c>
    </row>
    <row r="15" spans="3:8" x14ac:dyDescent="0.25">
      <c r="C15" s="8"/>
      <c r="D15" s="2" t="s">
        <v>5001</v>
      </c>
      <c r="E15" s="2" t="s">
        <v>440</v>
      </c>
      <c r="F15" s="4">
        <v>6</v>
      </c>
      <c r="G15" s="14"/>
      <c r="H15" s="9"/>
    </row>
    <row r="16" spans="3:8" x14ac:dyDescent="0.25">
      <c r="C16" s="8"/>
      <c r="D16" s="2" t="s">
        <v>5002</v>
      </c>
      <c r="E16" s="2" t="s">
        <v>5016</v>
      </c>
      <c r="F16" s="4"/>
      <c r="G16" s="14">
        <v>340</v>
      </c>
      <c r="H16" s="9"/>
    </row>
    <row r="17" spans="3:8" x14ac:dyDescent="0.25">
      <c r="C17" s="8"/>
      <c r="D17" s="2" t="s">
        <v>5003</v>
      </c>
      <c r="E17" s="2" t="s">
        <v>440</v>
      </c>
      <c r="F17" s="4"/>
      <c r="G17" s="14"/>
      <c r="H17" s="9">
        <v>14</v>
      </c>
    </row>
    <row r="18" spans="3:8" x14ac:dyDescent="0.25">
      <c r="C18" s="8"/>
      <c r="D18" s="2" t="s">
        <v>5004</v>
      </c>
      <c r="E18" s="2" t="s">
        <v>4545</v>
      </c>
      <c r="F18" s="4"/>
      <c r="G18" s="14"/>
      <c r="H18" s="9">
        <v>2236.6</v>
      </c>
    </row>
    <row r="19" spans="3:8" x14ac:dyDescent="0.25">
      <c r="C19" s="8"/>
      <c r="D19" s="2" t="s">
        <v>5005</v>
      </c>
      <c r="E19" s="2" t="s">
        <v>5015</v>
      </c>
      <c r="F19" s="4"/>
      <c r="G19" s="14">
        <v>205</v>
      </c>
      <c r="H19" s="9"/>
    </row>
    <row r="20" spans="3:8" x14ac:dyDescent="0.25">
      <c r="C20" s="8"/>
      <c r="D20" s="2" t="s">
        <v>5006</v>
      </c>
      <c r="E20" s="2" t="s">
        <v>5014</v>
      </c>
      <c r="F20" s="4">
        <v>320</v>
      </c>
      <c r="G20" s="14"/>
      <c r="H20" s="9"/>
    </row>
    <row r="21" spans="3:8" x14ac:dyDescent="0.25">
      <c r="C21" s="8"/>
      <c r="D21" s="2" t="s">
        <v>5007</v>
      </c>
      <c r="E21" s="2" t="s">
        <v>440</v>
      </c>
      <c r="F21" s="4"/>
      <c r="G21" s="14"/>
      <c r="H21" s="9">
        <v>14.5</v>
      </c>
    </row>
    <row r="22" spans="3:8" x14ac:dyDescent="0.25">
      <c r="C22" s="8"/>
      <c r="D22" s="2" t="s">
        <v>5008</v>
      </c>
      <c r="E22" s="2" t="s">
        <v>35</v>
      </c>
      <c r="F22" s="4"/>
      <c r="G22" s="14">
        <v>1128.5</v>
      </c>
      <c r="H22" s="9"/>
    </row>
    <row r="23" spans="3:8" x14ac:dyDescent="0.25">
      <c r="C23" s="8"/>
      <c r="D23" s="2" t="s">
        <v>5009</v>
      </c>
      <c r="E23" s="2" t="s">
        <v>440</v>
      </c>
      <c r="F23" s="4"/>
      <c r="G23" s="14"/>
      <c r="H23" s="9">
        <v>6</v>
      </c>
    </row>
    <row r="24" spans="3:8" x14ac:dyDescent="0.25">
      <c r="C24" s="8"/>
      <c r="D24" s="2" t="s">
        <v>5010</v>
      </c>
      <c r="E24" s="2" t="s">
        <v>3743</v>
      </c>
      <c r="F24" s="4"/>
      <c r="G24" s="14"/>
      <c r="H24" s="9">
        <v>1700</v>
      </c>
    </row>
    <row r="25" spans="3:8" x14ac:dyDescent="0.25">
      <c r="C25" s="8"/>
      <c r="D25" s="2" t="s">
        <v>5011</v>
      </c>
      <c r="E25" s="2" t="s">
        <v>440</v>
      </c>
      <c r="F25" s="4">
        <v>2</v>
      </c>
      <c r="G25" s="14"/>
      <c r="H25" s="9"/>
    </row>
    <row r="26" spans="3:8" x14ac:dyDescent="0.25">
      <c r="C26" s="8"/>
      <c r="D26" s="2" t="s">
        <v>5012</v>
      </c>
      <c r="E26" s="2" t="s">
        <v>440</v>
      </c>
      <c r="F26" s="4"/>
      <c r="G26" s="14"/>
      <c r="H26" s="9">
        <v>10</v>
      </c>
    </row>
    <row r="27" spans="3:8" x14ac:dyDescent="0.25">
      <c r="C27" s="8"/>
      <c r="D27" s="2" t="s">
        <v>5013</v>
      </c>
      <c r="E27" s="2" t="s">
        <v>440</v>
      </c>
      <c r="F27" s="4">
        <v>9</v>
      </c>
      <c r="G27" s="14"/>
      <c r="H27" s="9"/>
    </row>
    <row r="28" spans="3:8" x14ac:dyDescent="0.25">
      <c r="C28" s="8"/>
      <c r="D28" s="2" t="s">
        <v>5020</v>
      </c>
      <c r="E28" s="2" t="s">
        <v>440</v>
      </c>
      <c r="F28" s="4">
        <v>24</v>
      </c>
      <c r="G28" s="14"/>
      <c r="H28" s="9"/>
    </row>
    <row r="29" spans="3:8" x14ac:dyDescent="0.25">
      <c r="C29" s="8"/>
      <c r="D29" s="2" t="s">
        <v>5067</v>
      </c>
      <c r="E29" s="2" t="s">
        <v>440</v>
      </c>
      <c r="F29" s="4">
        <v>1.6</v>
      </c>
      <c r="G29" s="14"/>
      <c r="H29" s="9"/>
    </row>
    <row r="30" spans="3:8" x14ac:dyDescent="0.25">
      <c r="C30" s="8"/>
      <c r="D30" s="2" t="s">
        <v>5068</v>
      </c>
      <c r="E30" s="2" t="s">
        <v>5069</v>
      </c>
      <c r="F30" s="4"/>
      <c r="G30" s="14">
        <v>3159.25</v>
      </c>
      <c r="H30" s="9"/>
    </row>
    <row r="31" spans="3:8" x14ac:dyDescent="0.25">
      <c r="C31" s="8"/>
      <c r="D31" s="2" t="s">
        <v>5070</v>
      </c>
      <c r="E31" s="2" t="s">
        <v>5072</v>
      </c>
      <c r="F31" s="4"/>
      <c r="G31" s="14"/>
      <c r="H31" s="9">
        <v>6975</v>
      </c>
    </row>
    <row r="32" spans="3:8" x14ac:dyDescent="0.25">
      <c r="C32" s="8"/>
      <c r="D32" s="2" t="s">
        <v>5071</v>
      </c>
      <c r="E32" s="2" t="s">
        <v>440</v>
      </c>
      <c r="F32" s="4">
        <v>45</v>
      </c>
      <c r="G32" s="14"/>
      <c r="H32" s="9"/>
    </row>
    <row r="33" spans="3:8" x14ac:dyDescent="0.25">
      <c r="C33" s="8"/>
      <c r="D33" s="2" t="s">
        <v>5084</v>
      </c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/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 t="s">
        <v>5021</v>
      </c>
      <c r="E40" s="2" t="s">
        <v>5022</v>
      </c>
      <c r="F40" s="4"/>
      <c r="G40" s="14"/>
      <c r="H40" s="9">
        <v>240</v>
      </c>
    </row>
    <row r="41" spans="3:8" x14ac:dyDescent="0.25">
      <c r="C41" s="8"/>
      <c r="D41" s="2" t="s">
        <v>5023</v>
      </c>
      <c r="E41" s="2" t="s">
        <v>48</v>
      </c>
      <c r="F41" s="4"/>
      <c r="G41" s="14"/>
      <c r="H41" s="9">
        <v>24</v>
      </c>
    </row>
    <row r="42" spans="3:8" x14ac:dyDescent="0.25">
      <c r="C42" s="8"/>
      <c r="D42" s="2" t="s">
        <v>5024</v>
      </c>
      <c r="E42" s="2" t="s">
        <v>164</v>
      </c>
      <c r="F42" s="4">
        <v>5000</v>
      </c>
      <c r="G42" s="14">
        <v>2675</v>
      </c>
      <c r="H42" s="9"/>
    </row>
    <row r="43" spans="3:8" x14ac:dyDescent="0.25">
      <c r="C43" s="8"/>
      <c r="D43" s="2" t="s">
        <v>5025</v>
      </c>
      <c r="E43" s="2" t="s">
        <v>5035</v>
      </c>
      <c r="F43" s="4"/>
      <c r="G43" s="14">
        <v>995</v>
      </c>
      <c r="H43" s="9"/>
    </row>
    <row r="44" spans="3:8" x14ac:dyDescent="0.25">
      <c r="C44" s="8"/>
      <c r="D44" s="2" t="s">
        <v>5026</v>
      </c>
      <c r="E44" s="2" t="s">
        <v>5036</v>
      </c>
      <c r="F44" s="4"/>
      <c r="G44" s="14"/>
      <c r="H44" s="9">
        <v>58.5</v>
      </c>
    </row>
    <row r="45" spans="3:8" x14ac:dyDescent="0.25">
      <c r="C45" s="8"/>
      <c r="D45" s="2" t="s">
        <v>5027</v>
      </c>
      <c r="E45" s="2" t="s">
        <v>48</v>
      </c>
      <c r="F45" s="4">
        <v>16</v>
      </c>
      <c r="G45" s="14"/>
      <c r="H45" s="9"/>
    </row>
    <row r="46" spans="3:8" x14ac:dyDescent="0.25">
      <c r="C46" s="8"/>
      <c r="D46" s="2" t="s">
        <v>5028</v>
      </c>
      <c r="E46" s="2" t="s">
        <v>48</v>
      </c>
      <c r="F46" s="4">
        <v>4.5</v>
      </c>
      <c r="G46" s="14"/>
      <c r="H46" s="9"/>
    </row>
    <row r="47" spans="3:8" x14ac:dyDescent="0.25">
      <c r="C47" s="8"/>
      <c r="D47" s="2" t="s">
        <v>5029</v>
      </c>
      <c r="E47" s="2" t="s">
        <v>5037</v>
      </c>
      <c r="F47" s="4"/>
      <c r="G47" s="14"/>
      <c r="H47" s="9">
        <v>175</v>
      </c>
    </row>
    <row r="48" spans="3:8" x14ac:dyDescent="0.25">
      <c r="C48" s="8"/>
      <c r="D48" s="2" t="s">
        <v>5030</v>
      </c>
      <c r="E48" s="2" t="s">
        <v>5056</v>
      </c>
      <c r="F48" s="4"/>
      <c r="G48" s="14">
        <v>1346</v>
      </c>
      <c r="H48" s="9"/>
    </row>
    <row r="49" spans="3:8" x14ac:dyDescent="0.25">
      <c r="C49" s="8"/>
      <c r="D49" s="2" t="s">
        <v>5031</v>
      </c>
      <c r="E49" s="2" t="s">
        <v>4619</v>
      </c>
      <c r="F49" s="4"/>
      <c r="G49" s="14"/>
      <c r="H49" s="9">
        <v>10</v>
      </c>
    </row>
    <row r="50" spans="3:8" x14ac:dyDescent="0.25">
      <c r="C50" s="8"/>
      <c r="D50" s="2" t="s">
        <v>5032</v>
      </c>
      <c r="E50" s="2" t="s">
        <v>48</v>
      </c>
      <c r="F50" s="4">
        <v>7</v>
      </c>
      <c r="G50" s="14"/>
      <c r="H50" s="9"/>
    </row>
    <row r="51" spans="3:8" x14ac:dyDescent="0.25">
      <c r="C51" s="8"/>
      <c r="D51" s="2" t="s">
        <v>5033</v>
      </c>
      <c r="E51" s="2" t="s">
        <v>5055</v>
      </c>
      <c r="F51" s="4"/>
      <c r="G51" s="14"/>
      <c r="H51" s="9">
        <v>1835</v>
      </c>
    </row>
    <row r="52" spans="3:8" x14ac:dyDescent="0.25">
      <c r="C52" s="8"/>
      <c r="D52" s="2" t="s">
        <v>5034</v>
      </c>
      <c r="E52" s="2" t="s">
        <v>5054</v>
      </c>
      <c r="F52" s="4"/>
      <c r="G52" s="14"/>
      <c r="H52" s="9">
        <v>150</v>
      </c>
    </row>
    <row r="53" spans="3:8" x14ac:dyDescent="0.25">
      <c r="C53" s="8"/>
      <c r="D53" s="2" t="s">
        <v>5038</v>
      </c>
      <c r="E53" s="2" t="s">
        <v>58</v>
      </c>
      <c r="F53" s="4"/>
      <c r="G53" s="14"/>
      <c r="H53" s="9">
        <v>124</v>
      </c>
    </row>
    <row r="54" spans="3:8" x14ac:dyDescent="0.25">
      <c r="C54" s="8"/>
      <c r="D54" s="2" t="s">
        <v>5039</v>
      </c>
      <c r="E54" s="2" t="s">
        <v>5053</v>
      </c>
      <c r="F54" s="4"/>
      <c r="G54" s="14"/>
      <c r="H54" s="9">
        <v>380</v>
      </c>
    </row>
    <row r="55" spans="3:8" x14ac:dyDescent="0.25">
      <c r="C55" s="8"/>
      <c r="D55" s="2" t="s">
        <v>5040</v>
      </c>
      <c r="E55" s="2" t="s">
        <v>48</v>
      </c>
      <c r="F55" s="4">
        <v>5.5</v>
      </c>
      <c r="G55" s="14"/>
      <c r="H55" s="9"/>
    </row>
    <row r="56" spans="3:8" x14ac:dyDescent="0.25">
      <c r="C56" s="8"/>
      <c r="D56" s="2" t="s">
        <v>5041</v>
      </c>
      <c r="E56" s="2" t="s">
        <v>48</v>
      </c>
      <c r="F56" s="4">
        <v>2.5</v>
      </c>
      <c r="G56" s="14"/>
      <c r="H56" s="9"/>
    </row>
    <row r="57" spans="3:8" x14ac:dyDescent="0.25">
      <c r="C57" s="8"/>
      <c r="D57" s="2" t="s">
        <v>5042</v>
      </c>
      <c r="E57" s="2" t="s">
        <v>48</v>
      </c>
      <c r="F57" s="4"/>
      <c r="G57" s="14"/>
      <c r="H57" s="9">
        <v>105</v>
      </c>
    </row>
    <row r="58" spans="3:8" x14ac:dyDescent="0.25">
      <c r="C58" s="8"/>
      <c r="D58" s="2" t="s">
        <v>5043</v>
      </c>
      <c r="E58" s="2" t="s">
        <v>48</v>
      </c>
      <c r="F58" s="4">
        <v>5</v>
      </c>
      <c r="G58" s="14"/>
      <c r="H58" s="9"/>
    </row>
    <row r="59" spans="3:8" x14ac:dyDescent="0.25">
      <c r="C59" s="8"/>
      <c r="D59" s="2" t="s">
        <v>5044</v>
      </c>
      <c r="E59" s="2" t="s">
        <v>5052</v>
      </c>
      <c r="F59" s="4">
        <v>300</v>
      </c>
      <c r="G59" s="14"/>
      <c r="H59" s="9">
        <v>85</v>
      </c>
    </row>
    <row r="60" spans="3:8" x14ac:dyDescent="0.25">
      <c r="C60" s="8"/>
      <c r="D60" s="2" t="s">
        <v>5045</v>
      </c>
      <c r="E60" s="2" t="s">
        <v>48</v>
      </c>
      <c r="F60" s="4">
        <v>43.5</v>
      </c>
      <c r="G60" s="14"/>
      <c r="H60" s="9"/>
    </row>
    <row r="61" spans="3:8" x14ac:dyDescent="0.25">
      <c r="C61" s="8"/>
      <c r="D61" s="2" t="s">
        <v>5046</v>
      </c>
      <c r="E61" s="2" t="s">
        <v>48</v>
      </c>
      <c r="F61" s="4">
        <v>8.5</v>
      </c>
      <c r="G61" s="14"/>
      <c r="H61" s="9"/>
    </row>
    <row r="62" spans="3:8" x14ac:dyDescent="0.25">
      <c r="C62" s="8"/>
      <c r="D62" s="2" t="s">
        <v>5047</v>
      </c>
      <c r="E62" s="2" t="s">
        <v>48</v>
      </c>
      <c r="F62" s="4">
        <v>30</v>
      </c>
      <c r="G62" s="14"/>
      <c r="H62" s="9"/>
    </row>
    <row r="63" spans="3:8" x14ac:dyDescent="0.25">
      <c r="C63" s="8"/>
      <c r="D63" s="2" t="s">
        <v>5048</v>
      </c>
      <c r="E63" s="2" t="s">
        <v>48</v>
      </c>
      <c r="F63" s="4"/>
      <c r="G63" s="14"/>
      <c r="H63" s="9">
        <v>6</v>
      </c>
    </row>
    <row r="64" spans="3:8" x14ac:dyDescent="0.25">
      <c r="C64" s="8"/>
      <c r="D64" s="2" t="s">
        <v>5049</v>
      </c>
      <c r="E64" s="2" t="s">
        <v>48</v>
      </c>
      <c r="F64" s="4">
        <v>4</v>
      </c>
      <c r="G64" s="14"/>
      <c r="H64" s="9"/>
    </row>
    <row r="65" spans="3:8" x14ac:dyDescent="0.25">
      <c r="C65" s="8"/>
      <c r="D65" s="2" t="s">
        <v>5050</v>
      </c>
      <c r="E65" s="2" t="s">
        <v>48</v>
      </c>
      <c r="F65" s="4">
        <v>3</v>
      </c>
      <c r="G65" s="14"/>
      <c r="H65" s="9"/>
    </row>
    <row r="66" spans="3:8" x14ac:dyDescent="0.25">
      <c r="C66" s="8"/>
      <c r="D66" s="2" t="s">
        <v>5051</v>
      </c>
      <c r="E66" s="2" t="s">
        <v>48</v>
      </c>
      <c r="F66" s="4">
        <v>6</v>
      </c>
      <c r="G66" s="14"/>
      <c r="H66" s="9"/>
    </row>
    <row r="67" spans="3:8" x14ac:dyDescent="0.25">
      <c r="C67" s="8"/>
      <c r="D67" s="2" t="s">
        <v>5059</v>
      </c>
      <c r="E67" s="2" t="s">
        <v>48</v>
      </c>
      <c r="F67" s="4"/>
      <c r="G67" s="14"/>
      <c r="H67" s="9">
        <v>45.5</v>
      </c>
    </row>
    <row r="68" spans="3:8" x14ac:dyDescent="0.25">
      <c r="C68" s="8"/>
      <c r="D68" s="2" t="s">
        <v>5066</v>
      </c>
      <c r="E68" s="2" t="s">
        <v>48</v>
      </c>
      <c r="F68" s="4">
        <v>5</v>
      </c>
      <c r="G68" s="14"/>
      <c r="H68" s="9"/>
    </row>
    <row r="69" spans="3:8" x14ac:dyDescent="0.25">
      <c r="C69" s="8"/>
      <c r="D69" s="2" t="s">
        <v>5073</v>
      </c>
      <c r="E69" s="2" t="s">
        <v>4779</v>
      </c>
      <c r="F69" s="4"/>
      <c r="G69" s="14"/>
      <c r="H69" s="9">
        <v>1815</v>
      </c>
    </row>
    <row r="70" spans="3:8" x14ac:dyDescent="0.25">
      <c r="C70" s="8"/>
      <c r="D70" s="2" t="s">
        <v>5074</v>
      </c>
      <c r="E70" s="2" t="s">
        <v>5081</v>
      </c>
      <c r="F70" s="4">
        <v>498.7</v>
      </c>
      <c r="G70" s="14"/>
      <c r="H70" s="9"/>
    </row>
    <row r="71" spans="3:8" x14ac:dyDescent="0.25">
      <c r="C71" s="8"/>
      <c r="D71" s="2" t="s">
        <v>5113</v>
      </c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29"/>
      <c r="D75" s="30"/>
      <c r="E75" s="30" t="s">
        <v>60</v>
      </c>
      <c r="F75" s="4"/>
      <c r="G75" s="14"/>
      <c r="H75" s="9"/>
    </row>
    <row r="76" spans="3:8" x14ac:dyDescent="0.25">
      <c r="C76" s="8"/>
      <c r="D76" s="45" t="s">
        <v>4991</v>
      </c>
      <c r="E76" s="2" t="s">
        <v>4322</v>
      </c>
      <c r="F76" s="4"/>
      <c r="G76" s="14"/>
      <c r="H76" s="9">
        <v>150</v>
      </c>
    </row>
    <row r="77" spans="3:8" x14ac:dyDescent="0.25">
      <c r="C77" s="8"/>
      <c r="D77" s="45"/>
      <c r="E77" s="2"/>
      <c r="F77" s="4"/>
      <c r="G77" s="14"/>
      <c r="H77" s="9"/>
    </row>
    <row r="78" spans="3:8" x14ac:dyDescent="0.25">
      <c r="C78" s="8"/>
      <c r="D78" s="45"/>
      <c r="E78" s="2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16"/>
      <c r="D80" s="17"/>
      <c r="E80" s="17" t="s">
        <v>39</v>
      </c>
      <c r="F80" s="4"/>
      <c r="G80" s="14"/>
      <c r="H80" s="9"/>
    </row>
    <row r="81" spans="3:8" x14ac:dyDescent="0.25">
      <c r="C81" s="8"/>
      <c r="D81" s="2"/>
      <c r="E81" s="2" t="s">
        <v>5057</v>
      </c>
      <c r="F81" s="4">
        <v>84</v>
      </c>
      <c r="G81" s="14"/>
      <c r="H81" s="9"/>
    </row>
    <row r="82" spans="3:8" x14ac:dyDescent="0.25">
      <c r="C82" s="8"/>
      <c r="D82" s="2"/>
      <c r="E82" s="2"/>
      <c r="F82" s="4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19"/>
      <c r="D87" s="20"/>
      <c r="E87" s="20" t="s">
        <v>42</v>
      </c>
      <c r="F87" s="4"/>
      <c r="G87" s="14"/>
      <c r="H87" s="9"/>
    </row>
    <row r="88" spans="3:8" x14ac:dyDescent="0.25">
      <c r="C88" s="34"/>
      <c r="D88" s="42" t="s">
        <v>4884</v>
      </c>
      <c r="E88" s="68" t="s">
        <v>4989</v>
      </c>
      <c r="F88" s="14">
        <v>-75</v>
      </c>
      <c r="G88" s="14"/>
      <c r="H88" s="9"/>
    </row>
    <row r="89" spans="3:8" x14ac:dyDescent="0.25">
      <c r="C89" s="34"/>
      <c r="D89" s="42" t="s">
        <v>178</v>
      </c>
      <c r="E89" s="68" t="s">
        <v>4990</v>
      </c>
      <c r="F89" s="14">
        <v>-256</v>
      </c>
      <c r="G89" s="14"/>
      <c r="H89" s="9"/>
    </row>
    <row r="90" spans="3:8" x14ac:dyDescent="0.25">
      <c r="C90" s="34"/>
      <c r="D90" s="42"/>
      <c r="E90" s="68" t="s">
        <v>5058</v>
      </c>
      <c r="F90" s="14">
        <v>-10</v>
      </c>
      <c r="G90" s="14"/>
      <c r="H90" s="9"/>
    </row>
    <row r="91" spans="3:8" x14ac:dyDescent="0.25">
      <c r="C91" s="34"/>
      <c r="D91" s="42"/>
      <c r="E91" s="68" t="s">
        <v>5060</v>
      </c>
      <c r="F91" s="14">
        <v>-200</v>
      </c>
      <c r="G91" s="14"/>
      <c r="H91" s="9"/>
    </row>
    <row r="92" spans="3:8" x14ac:dyDescent="0.25">
      <c r="C92" s="34"/>
      <c r="D92" s="42"/>
      <c r="E92" s="68" t="s">
        <v>5061</v>
      </c>
      <c r="F92" s="14">
        <v>-50</v>
      </c>
      <c r="G92" s="14"/>
      <c r="H92" s="9"/>
    </row>
    <row r="93" spans="3:8" x14ac:dyDescent="0.25">
      <c r="C93" s="34"/>
      <c r="D93" s="42"/>
      <c r="E93" s="68" t="s">
        <v>5062</v>
      </c>
      <c r="F93" s="14">
        <v>-10</v>
      </c>
      <c r="G93" s="14"/>
      <c r="H93" s="9"/>
    </row>
    <row r="94" spans="3:8" x14ac:dyDescent="0.25">
      <c r="C94" s="34"/>
      <c r="D94" s="42"/>
      <c r="E94" s="68" t="s">
        <v>5063</v>
      </c>
      <c r="F94" s="14">
        <v>-5</v>
      </c>
      <c r="G94" s="14"/>
      <c r="H94" s="9"/>
    </row>
    <row r="95" spans="3:8" x14ac:dyDescent="0.25">
      <c r="C95" s="34"/>
      <c r="D95" s="42"/>
      <c r="E95" s="68" t="s">
        <v>5064</v>
      </c>
      <c r="F95" s="14">
        <v>-50</v>
      </c>
      <c r="G95" s="14"/>
      <c r="H95" s="9"/>
    </row>
    <row r="96" spans="3:8" x14ac:dyDescent="0.25">
      <c r="C96" s="8"/>
      <c r="D96" s="2"/>
      <c r="E96" s="68" t="s">
        <v>5065</v>
      </c>
      <c r="F96" s="14">
        <v>-2060</v>
      </c>
      <c r="G96" s="14"/>
      <c r="H96" s="9"/>
    </row>
    <row r="97" spans="3:8" x14ac:dyDescent="0.25">
      <c r="C97" s="8"/>
      <c r="D97" s="2"/>
      <c r="E97" s="68" t="s">
        <v>5075</v>
      </c>
      <c r="F97" s="14">
        <v>-100</v>
      </c>
      <c r="G97" s="14"/>
      <c r="H97" s="9"/>
    </row>
    <row r="98" spans="3:8" x14ac:dyDescent="0.25">
      <c r="C98" s="8"/>
      <c r="D98" s="2"/>
      <c r="E98" s="68" t="s">
        <v>5076</v>
      </c>
      <c r="F98" s="14">
        <v>-22</v>
      </c>
      <c r="G98" s="14"/>
      <c r="H98" s="9"/>
    </row>
    <row r="99" spans="3:8" x14ac:dyDescent="0.25">
      <c r="C99" s="8"/>
      <c r="D99" s="2"/>
      <c r="E99" s="68" t="s">
        <v>5077</v>
      </c>
      <c r="F99" s="14">
        <v>-30</v>
      </c>
      <c r="G99" s="14"/>
      <c r="H99" s="9"/>
    </row>
    <row r="100" spans="3:8" x14ac:dyDescent="0.25">
      <c r="C100" s="8"/>
      <c r="D100" s="2"/>
      <c r="E100" s="68" t="s">
        <v>5078</v>
      </c>
      <c r="F100" s="14">
        <v>-30</v>
      </c>
      <c r="G100" s="14"/>
      <c r="H100" s="9"/>
    </row>
    <row r="101" spans="3:8" x14ac:dyDescent="0.25">
      <c r="C101" s="8"/>
      <c r="D101" s="2"/>
      <c r="E101" s="68" t="s">
        <v>5079</v>
      </c>
      <c r="F101" s="14">
        <v>-180</v>
      </c>
      <c r="G101" s="14"/>
      <c r="H101" s="9"/>
    </row>
    <row r="102" spans="3:8" x14ac:dyDescent="0.25">
      <c r="C102" s="8"/>
      <c r="D102" s="2"/>
      <c r="E102" s="68" t="s">
        <v>5080</v>
      </c>
      <c r="F102" s="14">
        <v>-4410</v>
      </c>
      <c r="G102" s="14"/>
      <c r="H102" s="9"/>
    </row>
    <row r="103" spans="3:8" x14ac:dyDescent="0.25">
      <c r="C103" s="8"/>
      <c r="D103" s="2"/>
      <c r="E103" s="68" t="s">
        <v>5081</v>
      </c>
      <c r="F103" s="14">
        <v>-498.7</v>
      </c>
      <c r="G103" s="14"/>
      <c r="H103" s="9"/>
    </row>
    <row r="104" spans="3:8" x14ac:dyDescent="0.25">
      <c r="C104" s="8"/>
      <c r="D104" s="2"/>
      <c r="E104" s="68" t="s">
        <v>5082</v>
      </c>
      <c r="F104" s="14">
        <v>-20</v>
      </c>
      <c r="G104" s="14"/>
      <c r="H104" s="9"/>
    </row>
    <row r="105" spans="3:8" x14ac:dyDescent="0.25">
      <c r="C105" s="99"/>
      <c r="D105" s="100"/>
      <c r="E105" s="104" t="s">
        <v>1274</v>
      </c>
      <c r="F105" s="102">
        <v>-6137.5</v>
      </c>
      <c r="G105" s="102"/>
      <c r="H105" s="103"/>
    </row>
    <row r="106" spans="3:8" x14ac:dyDescent="0.25">
      <c r="C106" s="99"/>
      <c r="D106" s="100"/>
      <c r="E106" s="100"/>
      <c r="F106" s="101"/>
      <c r="G106" s="102"/>
      <c r="H106" s="103"/>
    </row>
    <row r="107" spans="3:8" ht="15.75" thickBot="1" x14ac:dyDescent="0.3">
      <c r="C107" s="10"/>
      <c r="D107" s="11"/>
      <c r="E107" s="11" t="s">
        <v>44</v>
      </c>
      <c r="F107" s="12">
        <f>SUM(F6:F105)</f>
        <v>-7344.4</v>
      </c>
      <c r="G107" s="15">
        <f>SUM(G6:G104)</f>
        <v>10168.75</v>
      </c>
      <c r="H107" s="13">
        <f>SUM(H6:H104)</f>
        <v>18306.3</v>
      </c>
    </row>
    <row r="110" spans="3:8" s="3" customFormat="1" ht="18.75" x14ac:dyDescent="0.3">
      <c r="C110" s="1"/>
      <c r="D110" s="1"/>
      <c r="E110" s="38" t="s">
        <v>49</v>
      </c>
      <c r="F110" s="39">
        <f>+H4+F107</f>
        <v>19787.010000000002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2EF3-657E-4AE9-A5C8-7303EDC59528}">
  <sheetPr codeName="Hoja57"/>
  <dimension ref="C2:H102"/>
  <sheetViews>
    <sheetView topLeftCell="A74" zoomScaleNormal="100" workbookViewId="0">
      <selection activeCell="F102" sqref="F102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5083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19787.009999999998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5084</v>
      </c>
      <c r="E6" s="2" t="s">
        <v>440</v>
      </c>
      <c r="F6" s="4">
        <v>10</v>
      </c>
      <c r="G6" s="14"/>
      <c r="H6" s="9"/>
    </row>
    <row r="7" spans="3:8" x14ac:dyDescent="0.25">
      <c r="C7" s="8"/>
      <c r="D7" s="2" t="s">
        <v>5094</v>
      </c>
      <c r="E7" s="2" t="s">
        <v>440</v>
      </c>
      <c r="F7" s="4"/>
      <c r="G7" s="14"/>
      <c r="H7" s="9">
        <v>135.5</v>
      </c>
    </row>
    <row r="8" spans="3:8" x14ac:dyDescent="0.25">
      <c r="C8" s="8"/>
      <c r="D8" s="2" t="s">
        <v>5095</v>
      </c>
      <c r="E8" s="2" t="s">
        <v>628</v>
      </c>
      <c r="F8" s="4"/>
      <c r="G8" s="14">
        <v>2681.4</v>
      </c>
      <c r="H8" s="9"/>
    </row>
    <row r="9" spans="3:8" x14ac:dyDescent="0.25">
      <c r="C9" s="8"/>
      <c r="D9" s="2" t="s">
        <v>5096</v>
      </c>
      <c r="E9" s="2" t="s">
        <v>440</v>
      </c>
      <c r="F9" s="4"/>
      <c r="G9" s="14"/>
      <c r="H9" s="9">
        <v>34.5</v>
      </c>
    </row>
    <row r="10" spans="3:8" x14ac:dyDescent="0.25">
      <c r="C10" s="8"/>
      <c r="D10" s="2" t="s">
        <v>5097</v>
      </c>
      <c r="E10" s="2" t="s">
        <v>440</v>
      </c>
      <c r="F10" s="4">
        <v>20</v>
      </c>
      <c r="G10" s="14"/>
      <c r="H10" s="9"/>
    </row>
    <row r="11" spans="3:8" x14ac:dyDescent="0.25">
      <c r="C11" s="8"/>
      <c r="D11" s="2" t="s">
        <v>5098</v>
      </c>
      <c r="E11" s="2" t="s">
        <v>440</v>
      </c>
      <c r="F11" s="4">
        <v>18</v>
      </c>
      <c r="G11" s="14"/>
      <c r="H11" s="9"/>
    </row>
    <row r="12" spans="3:8" x14ac:dyDescent="0.25">
      <c r="C12" s="8"/>
      <c r="D12" s="2" t="s">
        <v>5099</v>
      </c>
      <c r="E12" s="2" t="s">
        <v>723</v>
      </c>
      <c r="F12" s="4"/>
      <c r="G12" s="14"/>
      <c r="H12" s="9">
        <v>600</v>
      </c>
    </row>
    <row r="13" spans="3:8" x14ac:dyDescent="0.25">
      <c r="C13" s="8"/>
      <c r="D13" s="2" t="s">
        <v>5100</v>
      </c>
      <c r="E13" s="2" t="s">
        <v>440</v>
      </c>
      <c r="F13" s="4">
        <v>98.5</v>
      </c>
      <c r="G13" s="14"/>
      <c r="H13" s="9"/>
    </row>
    <row r="14" spans="3:8" x14ac:dyDescent="0.25">
      <c r="C14" s="8"/>
      <c r="D14" s="2" t="s">
        <v>5101</v>
      </c>
      <c r="E14" s="2" t="s">
        <v>440</v>
      </c>
      <c r="F14" s="4">
        <v>5</v>
      </c>
      <c r="G14" s="14"/>
      <c r="H14" s="9"/>
    </row>
    <row r="15" spans="3:8" x14ac:dyDescent="0.25">
      <c r="C15" s="8"/>
      <c r="D15" s="2" t="s">
        <v>5102</v>
      </c>
      <c r="E15" s="2" t="s">
        <v>440</v>
      </c>
      <c r="F15" s="4">
        <v>6</v>
      </c>
      <c r="G15" s="14"/>
      <c r="H15" s="9"/>
    </row>
    <row r="16" spans="3:8" x14ac:dyDescent="0.25">
      <c r="C16" s="8"/>
      <c r="D16" s="2" t="s">
        <v>5103</v>
      </c>
      <c r="E16" s="2" t="s">
        <v>440</v>
      </c>
      <c r="F16" s="4"/>
      <c r="G16" s="14"/>
      <c r="H16" s="9">
        <v>4</v>
      </c>
    </row>
    <row r="17" spans="3:8" x14ac:dyDescent="0.25">
      <c r="C17" s="8"/>
      <c r="D17" s="2" t="s">
        <v>5104</v>
      </c>
      <c r="E17" s="2" t="s">
        <v>5018</v>
      </c>
      <c r="F17" s="4">
        <v>1673.1</v>
      </c>
      <c r="G17" s="14"/>
      <c r="H17" s="9"/>
    </row>
    <row r="18" spans="3:8" x14ac:dyDescent="0.25">
      <c r="C18" s="8"/>
      <c r="D18" s="2" t="s">
        <v>5105</v>
      </c>
      <c r="E18" s="2" t="s">
        <v>440</v>
      </c>
      <c r="F18" s="4">
        <v>25</v>
      </c>
      <c r="G18" s="14"/>
      <c r="H18" s="9"/>
    </row>
    <row r="19" spans="3:8" x14ac:dyDescent="0.25">
      <c r="C19" s="8"/>
      <c r="D19" s="2" t="s">
        <v>5106</v>
      </c>
      <c r="E19" s="2" t="s">
        <v>440</v>
      </c>
      <c r="F19" s="4">
        <v>0.5</v>
      </c>
      <c r="G19" s="14"/>
      <c r="H19" s="9"/>
    </row>
    <row r="20" spans="3:8" x14ac:dyDescent="0.25">
      <c r="C20" s="8"/>
      <c r="D20" s="2" t="s">
        <v>5107</v>
      </c>
      <c r="E20" s="2" t="s">
        <v>440</v>
      </c>
      <c r="F20" s="4">
        <v>3</v>
      </c>
      <c r="G20" s="14"/>
      <c r="H20" s="9"/>
    </row>
    <row r="21" spans="3:8" x14ac:dyDescent="0.25">
      <c r="C21" s="8"/>
      <c r="D21" s="2" t="s">
        <v>5108</v>
      </c>
      <c r="E21" s="2" t="s">
        <v>5112</v>
      </c>
      <c r="F21" s="4">
        <v>5998</v>
      </c>
      <c r="G21" s="14"/>
      <c r="H21" s="9"/>
    </row>
    <row r="22" spans="3:8" x14ac:dyDescent="0.25">
      <c r="C22" s="8"/>
      <c r="D22" s="2" t="s">
        <v>5109</v>
      </c>
      <c r="E22" s="2" t="s">
        <v>5112</v>
      </c>
      <c r="F22" s="4">
        <v>625.5</v>
      </c>
      <c r="G22" s="14"/>
      <c r="H22" s="9"/>
    </row>
    <row r="23" spans="3:8" x14ac:dyDescent="0.25">
      <c r="C23" s="8"/>
      <c r="D23" s="2" t="s">
        <v>5110</v>
      </c>
      <c r="E23" s="2" t="s">
        <v>440</v>
      </c>
      <c r="F23" s="4"/>
      <c r="G23" s="14"/>
      <c r="H23" s="9">
        <v>11</v>
      </c>
    </row>
    <row r="24" spans="3:8" x14ac:dyDescent="0.25">
      <c r="C24" s="8"/>
      <c r="D24" s="2" t="s">
        <v>5111</v>
      </c>
      <c r="E24" s="2" t="s">
        <v>5018</v>
      </c>
      <c r="F24" s="4">
        <v>640</v>
      </c>
      <c r="G24" s="14"/>
      <c r="H24" s="9"/>
    </row>
    <row r="25" spans="3:8" x14ac:dyDescent="0.25">
      <c r="C25" s="8"/>
      <c r="D25" s="2" t="s">
        <v>5150</v>
      </c>
      <c r="E25" s="2" t="s">
        <v>440</v>
      </c>
      <c r="F25" s="4">
        <v>5</v>
      </c>
      <c r="G25" s="14"/>
      <c r="H25" s="9"/>
    </row>
    <row r="26" spans="3:8" x14ac:dyDescent="0.25">
      <c r="C26" s="8"/>
      <c r="D26" s="2" t="s">
        <v>5153</v>
      </c>
      <c r="E26" s="2" t="s">
        <v>5158</v>
      </c>
      <c r="F26" s="4"/>
      <c r="G26" s="14"/>
      <c r="H26" s="9">
        <v>159</v>
      </c>
    </row>
    <row r="27" spans="3:8" x14ac:dyDescent="0.25">
      <c r="C27" s="8"/>
      <c r="D27" s="2" t="s">
        <v>5154</v>
      </c>
      <c r="E27" s="2" t="s">
        <v>5159</v>
      </c>
      <c r="F27" s="4"/>
      <c r="G27" s="14"/>
      <c r="H27" s="9">
        <v>436.5</v>
      </c>
    </row>
    <row r="28" spans="3:8" x14ac:dyDescent="0.25">
      <c r="C28" s="8"/>
      <c r="D28" s="2" t="s">
        <v>5155</v>
      </c>
      <c r="E28" s="2" t="s">
        <v>212</v>
      </c>
      <c r="F28" s="4"/>
      <c r="G28" s="14"/>
      <c r="H28" s="9">
        <v>405</v>
      </c>
    </row>
    <row r="29" spans="3:8" x14ac:dyDescent="0.25">
      <c r="C29" s="8"/>
      <c r="D29" s="2" t="s">
        <v>5156</v>
      </c>
      <c r="E29" s="2" t="s">
        <v>440</v>
      </c>
      <c r="F29" s="4"/>
      <c r="G29" s="14"/>
      <c r="H29" s="9">
        <v>40</v>
      </c>
    </row>
    <row r="30" spans="3:8" x14ac:dyDescent="0.25">
      <c r="C30" s="8"/>
      <c r="D30" s="2" t="s">
        <v>5157</v>
      </c>
      <c r="E30" s="2" t="s">
        <v>440</v>
      </c>
      <c r="F30" s="4">
        <v>6</v>
      </c>
      <c r="G30" s="14"/>
      <c r="H30" s="9"/>
    </row>
    <row r="31" spans="3:8" x14ac:dyDescent="0.25">
      <c r="C31" s="8"/>
      <c r="D31" s="2" t="s">
        <v>5160</v>
      </c>
      <c r="E31" s="2" t="s">
        <v>440</v>
      </c>
      <c r="F31" s="4"/>
      <c r="G31" s="14"/>
      <c r="H31" s="9">
        <v>7.5</v>
      </c>
    </row>
    <row r="32" spans="3:8" x14ac:dyDescent="0.25">
      <c r="C32" s="8"/>
      <c r="D32" s="2" t="s">
        <v>5161</v>
      </c>
      <c r="E32" s="2" t="s">
        <v>5163</v>
      </c>
      <c r="F32" s="4"/>
      <c r="G32" s="14"/>
      <c r="H32" s="9">
        <v>18164</v>
      </c>
    </row>
    <row r="33" spans="3:8" x14ac:dyDescent="0.25">
      <c r="C33" s="8"/>
      <c r="D33" s="2" t="s">
        <v>5162</v>
      </c>
      <c r="E33" s="76" t="s">
        <v>5170</v>
      </c>
      <c r="F33" s="4"/>
      <c r="G33" s="14">
        <v>7290</v>
      </c>
      <c r="H33" s="9"/>
    </row>
    <row r="34" spans="3:8" x14ac:dyDescent="0.25">
      <c r="C34" s="8"/>
      <c r="D34" s="2" t="s">
        <v>5175</v>
      </c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 t="s">
        <v>5113</v>
      </c>
      <c r="E36" s="2" t="s">
        <v>5134</v>
      </c>
      <c r="F36" s="4">
        <v>25</v>
      </c>
      <c r="G36" s="14"/>
      <c r="H36" s="9"/>
    </row>
    <row r="37" spans="3:8" x14ac:dyDescent="0.25">
      <c r="C37" s="8"/>
      <c r="D37" s="2" t="s">
        <v>5114</v>
      </c>
      <c r="E37" s="2" t="s">
        <v>48</v>
      </c>
      <c r="F37" s="4">
        <v>5.5</v>
      </c>
      <c r="G37" s="14"/>
      <c r="H37" s="9"/>
    </row>
    <row r="38" spans="3:8" x14ac:dyDescent="0.25">
      <c r="C38" s="8"/>
      <c r="D38" s="2" t="s">
        <v>5115</v>
      </c>
      <c r="E38" s="2" t="s">
        <v>48</v>
      </c>
      <c r="F38" s="4"/>
      <c r="G38" s="14"/>
      <c r="H38" s="9">
        <v>16</v>
      </c>
    </row>
    <row r="39" spans="3:8" x14ac:dyDescent="0.25">
      <c r="C39" s="8"/>
      <c r="D39" s="2" t="s">
        <v>5116</v>
      </c>
      <c r="E39" s="2" t="s">
        <v>48</v>
      </c>
      <c r="F39" s="4">
        <v>4.5</v>
      </c>
      <c r="G39" s="14"/>
      <c r="H39" s="9"/>
    </row>
    <row r="40" spans="3:8" x14ac:dyDescent="0.25">
      <c r="C40" s="8"/>
      <c r="D40" s="2" t="s">
        <v>5117</v>
      </c>
      <c r="E40" s="2" t="s">
        <v>48</v>
      </c>
      <c r="F40" s="4">
        <v>10</v>
      </c>
      <c r="G40" s="14"/>
      <c r="H40" s="9"/>
    </row>
    <row r="41" spans="3:8" x14ac:dyDescent="0.25">
      <c r="C41" s="8"/>
      <c r="D41" s="2" t="s">
        <v>5118</v>
      </c>
      <c r="E41" s="2" t="s">
        <v>5133</v>
      </c>
      <c r="F41" s="4"/>
      <c r="G41" s="14"/>
      <c r="H41" s="9">
        <v>304.5</v>
      </c>
    </row>
    <row r="42" spans="3:8" x14ac:dyDescent="0.25">
      <c r="C42" s="8"/>
      <c r="D42" s="2" t="s">
        <v>5119</v>
      </c>
      <c r="E42" s="2" t="s">
        <v>48</v>
      </c>
      <c r="F42" s="4">
        <v>8</v>
      </c>
      <c r="G42" s="14"/>
      <c r="H42" s="9"/>
    </row>
    <row r="43" spans="3:8" x14ac:dyDescent="0.25">
      <c r="C43" s="8"/>
      <c r="D43" s="2" t="s">
        <v>5120</v>
      </c>
      <c r="E43" s="2" t="s">
        <v>48</v>
      </c>
      <c r="F43" s="4">
        <v>5</v>
      </c>
      <c r="G43" s="14"/>
      <c r="H43" s="9"/>
    </row>
    <row r="44" spans="3:8" x14ac:dyDescent="0.25">
      <c r="C44" s="8"/>
      <c r="D44" s="2" t="s">
        <v>5121</v>
      </c>
      <c r="E44" s="2" t="s">
        <v>48</v>
      </c>
      <c r="F44" s="4">
        <v>13</v>
      </c>
      <c r="G44" s="14"/>
      <c r="H44" s="9"/>
    </row>
    <row r="45" spans="3:8" x14ac:dyDescent="0.25">
      <c r="C45" s="8"/>
      <c r="D45" s="2" t="s">
        <v>5122</v>
      </c>
      <c r="E45" s="2" t="s">
        <v>4618</v>
      </c>
      <c r="F45" s="4"/>
      <c r="G45" s="14"/>
      <c r="H45" s="9">
        <v>44.2</v>
      </c>
    </row>
    <row r="46" spans="3:8" x14ac:dyDescent="0.25">
      <c r="C46" s="8"/>
      <c r="D46" s="2" t="s">
        <v>5123</v>
      </c>
      <c r="E46" s="2" t="s">
        <v>48</v>
      </c>
      <c r="F46" s="4">
        <v>45.5</v>
      </c>
      <c r="G46" s="14"/>
      <c r="H46" s="9"/>
    </row>
    <row r="47" spans="3:8" x14ac:dyDescent="0.25">
      <c r="C47" s="8"/>
      <c r="D47" s="2" t="s">
        <v>5124</v>
      </c>
      <c r="E47" s="2" t="s">
        <v>48</v>
      </c>
      <c r="F47" s="4">
        <v>2.5</v>
      </c>
      <c r="G47" s="14"/>
      <c r="H47" s="9"/>
    </row>
    <row r="48" spans="3:8" x14ac:dyDescent="0.25">
      <c r="C48" s="8"/>
      <c r="D48" s="2" t="s">
        <v>5125</v>
      </c>
      <c r="E48" s="2" t="s">
        <v>48</v>
      </c>
      <c r="F48" s="4">
        <v>16.5</v>
      </c>
      <c r="G48" s="14"/>
      <c r="H48" s="9"/>
    </row>
    <row r="49" spans="3:8" x14ac:dyDescent="0.25">
      <c r="C49" s="8"/>
      <c r="D49" s="2" t="s">
        <v>5126</v>
      </c>
      <c r="E49" s="2" t="s">
        <v>676</v>
      </c>
      <c r="F49" s="4">
        <v>334</v>
      </c>
      <c r="G49" s="14"/>
      <c r="H49" s="9"/>
    </row>
    <row r="50" spans="3:8" x14ac:dyDescent="0.25">
      <c r="C50" s="8"/>
      <c r="D50" s="2" t="s">
        <v>5127</v>
      </c>
      <c r="E50" s="2" t="s">
        <v>48</v>
      </c>
      <c r="F50" s="4">
        <v>3</v>
      </c>
      <c r="G50" s="14"/>
      <c r="H50" s="9"/>
    </row>
    <row r="51" spans="3:8" x14ac:dyDescent="0.25">
      <c r="C51" s="8"/>
      <c r="D51" s="2" t="s">
        <v>5128</v>
      </c>
      <c r="E51" s="2" t="s">
        <v>5132</v>
      </c>
      <c r="F51" s="4"/>
      <c r="G51" s="14"/>
      <c r="H51" s="9">
        <v>119</v>
      </c>
    </row>
    <row r="52" spans="3:8" x14ac:dyDescent="0.25">
      <c r="C52" s="8"/>
      <c r="D52" s="2" t="s">
        <v>5129</v>
      </c>
      <c r="E52" s="2" t="s">
        <v>2527</v>
      </c>
      <c r="F52" s="4">
        <v>10</v>
      </c>
      <c r="G52" s="14"/>
      <c r="H52" s="9"/>
    </row>
    <row r="53" spans="3:8" x14ac:dyDescent="0.25">
      <c r="C53" s="8"/>
      <c r="D53" s="2" t="s">
        <v>5130</v>
      </c>
      <c r="E53" s="2" t="s">
        <v>48</v>
      </c>
      <c r="F53" s="4">
        <v>4</v>
      </c>
      <c r="G53" s="14"/>
      <c r="H53" s="9"/>
    </row>
    <row r="54" spans="3:8" x14ac:dyDescent="0.25">
      <c r="C54" s="8"/>
      <c r="D54" s="2" t="s">
        <v>5131</v>
      </c>
      <c r="E54" s="2" t="s">
        <v>48</v>
      </c>
      <c r="F54" s="4"/>
      <c r="G54" s="14"/>
      <c r="H54" s="9">
        <v>18</v>
      </c>
    </row>
    <row r="55" spans="3:8" x14ac:dyDescent="0.25">
      <c r="C55" s="8"/>
      <c r="D55" s="2" t="s">
        <v>5143</v>
      </c>
      <c r="E55" s="2" t="s">
        <v>4620</v>
      </c>
      <c r="F55" s="4"/>
      <c r="G55" s="14">
        <v>470</v>
      </c>
      <c r="H55" s="9"/>
    </row>
    <row r="56" spans="3:8" x14ac:dyDescent="0.25">
      <c r="C56" s="8"/>
      <c r="D56" s="2" t="s">
        <v>5144</v>
      </c>
      <c r="E56" s="2" t="s">
        <v>48</v>
      </c>
      <c r="F56" s="4">
        <v>1</v>
      </c>
      <c r="G56" s="14"/>
      <c r="H56" s="9"/>
    </row>
    <row r="57" spans="3:8" x14ac:dyDescent="0.25">
      <c r="C57" s="8"/>
      <c r="D57" s="2" t="s">
        <v>5145</v>
      </c>
      <c r="E57" s="2" t="s">
        <v>48</v>
      </c>
      <c r="F57" s="4">
        <v>5</v>
      </c>
      <c r="G57" s="14"/>
      <c r="H57" s="9"/>
    </row>
    <row r="58" spans="3:8" x14ac:dyDescent="0.25">
      <c r="C58" s="8"/>
      <c r="D58" s="2" t="s">
        <v>5146</v>
      </c>
      <c r="E58" s="2" t="s">
        <v>5147</v>
      </c>
      <c r="F58" s="4">
        <v>7700</v>
      </c>
      <c r="G58" s="14"/>
      <c r="H58" s="9">
        <v>25.6</v>
      </c>
    </row>
    <row r="59" spans="3:8" x14ac:dyDescent="0.25">
      <c r="C59" s="8"/>
      <c r="D59" s="2" t="s">
        <v>5151</v>
      </c>
      <c r="E59" s="2" t="s">
        <v>3998</v>
      </c>
      <c r="F59" s="4"/>
      <c r="G59" s="14"/>
      <c r="H59" s="9">
        <v>8040</v>
      </c>
    </row>
    <row r="60" spans="3:8" x14ac:dyDescent="0.25">
      <c r="C60" s="8"/>
      <c r="D60" s="2" t="s">
        <v>5152</v>
      </c>
      <c r="E60" s="2" t="s">
        <v>48</v>
      </c>
      <c r="F60" s="4">
        <v>10.5</v>
      </c>
      <c r="G60" s="14"/>
      <c r="H60" s="9"/>
    </row>
    <row r="61" spans="3:8" x14ac:dyDescent="0.25">
      <c r="C61" s="8"/>
      <c r="D61" s="2" t="s">
        <v>5166</v>
      </c>
      <c r="E61" s="2" t="s">
        <v>48</v>
      </c>
      <c r="F61" s="4"/>
      <c r="G61" s="14"/>
      <c r="H61" s="9">
        <v>105</v>
      </c>
    </row>
    <row r="62" spans="3:8" x14ac:dyDescent="0.25">
      <c r="C62" s="8"/>
      <c r="D62" s="2" t="s">
        <v>5167</v>
      </c>
      <c r="E62" s="2" t="s">
        <v>48</v>
      </c>
      <c r="F62" s="4">
        <v>34</v>
      </c>
      <c r="G62" s="14"/>
      <c r="H62" s="9"/>
    </row>
    <row r="63" spans="3:8" x14ac:dyDescent="0.25">
      <c r="C63" s="8"/>
      <c r="D63" s="2" t="s">
        <v>5209</v>
      </c>
      <c r="E63" s="2" t="s">
        <v>5210</v>
      </c>
      <c r="F63" s="4">
        <v>375.3</v>
      </c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 t="s">
        <v>5087</v>
      </c>
      <c r="E67" s="2" t="s">
        <v>4268</v>
      </c>
      <c r="F67" s="4"/>
      <c r="G67" s="14"/>
      <c r="H67" s="9">
        <v>76</v>
      </c>
    </row>
    <row r="68" spans="3:8" x14ac:dyDescent="0.25">
      <c r="C68" s="8"/>
      <c r="D68" s="45" t="s">
        <v>5088</v>
      </c>
      <c r="E68" s="2" t="s">
        <v>5089</v>
      </c>
      <c r="F68" s="4"/>
      <c r="G68" s="14"/>
      <c r="H68" s="9">
        <v>14</v>
      </c>
    </row>
    <row r="69" spans="3:8" x14ac:dyDescent="0.25">
      <c r="C69" s="8"/>
      <c r="D69" s="45" t="s">
        <v>5090</v>
      </c>
      <c r="E69" s="2" t="s">
        <v>5092</v>
      </c>
      <c r="F69" s="4"/>
      <c r="G69" s="14"/>
      <c r="H69" s="9">
        <v>69</v>
      </c>
    </row>
    <row r="70" spans="3:8" x14ac:dyDescent="0.25">
      <c r="C70" s="8"/>
      <c r="D70" s="45" t="s">
        <v>5091</v>
      </c>
      <c r="E70" s="2" t="s">
        <v>5093</v>
      </c>
      <c r="F70" s="4"/>
      <c r="G70" s="14"/>
      <c r="H70" s="9">
        <v>380</v>
      </c>
    </row>
    <row r="71" spans="3:8" x14ac:dyDescent="0.25">
      <c r="C71" s="8"/>
      <c r="D71" s="45" t="s">
        <v>5165</v>
      </c>
      <c r="E71" s="2" t="s">
        <v>5164</v>
      </c>
      <c r="F71" s="4"/>
      <c r="G71" s="14">
        <v>102</v>
      </c>
      <c r="H71" s="9"/>
    </row>
    <row r="72" spans="3:8" x14ac:dyDescent="0.25">
      <c r="C72" s="8"/>
      <c r="D72" s="45"/>
      <c r="E72" s="2"/>
      <c r="F72" s="4"/>
      <c r="G72" s="14"/>
      <c r="H72" s="9"/>
    </row>
    <row r="73" spans="3:8" x14ac:dyDescent="0.25">
      <c r="C73" s="8"/>
      <c r="D73" s="45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16"/>
      <c r="D75" s="17"/>
      <c r="E75" s="17" t="s">
        <v>39</v>
      </c>
      <c r="F75" s="4"/>
      <c r="G75" s="14"/>
      <c r="H75" s="9"/>
    </row>
    <row r="76" spans="3:8" x14ac:dyDescent="0.25">
      <c r="C76" s="8"/>
      <c r="D76" s="2"/>
      <c r="E76" s="2" t="s">
        <v>5135</v>
      </c>
      <c r="F76" s="4">
        <v>205</v>
      </c>
      <c r="G76" s="14"/>
      <c r="H76" s="9"/>
    </row>
    <row r="77" spans="3:8" x14ac:dyDescent="0.25">
      <c r="C77" s="8"/>
      <c r="D77" s="2"/>
      <c r="E77" s="2" t="s">
        <v>5136</v>
      </c>
      <c r="F77" s="4">
        <v>340</v>
      </c>
      <c r="G77" s="14"/>
      <c r="H77" s="9"/>
    </row>
    <row r="78" spans="3:8" x14ac:dyDescent="0.25">
      <c r="C78" s="8"/>
      <c r="D78" s="2"/>
      <c r="E78" s="2" t="s">
        <v>5142</v>
      </c>
      <c r="F78" s="4">
        <v>1346</v>
      </c>
      <c r="G78" s="14"/>
      <c r="H78" s="9"/>
    </row>
    <row r="79" spans="3:8" x14ac:dyDescent="0.25">
      <c r="C79" s="8"/>
      <c r="D79" s="2"/>
      <c r="E79" s="2" t="s">
        <v>5168</v>
      </c>
      <c r="F79" s="4">
        <v>320</v>
      </c>
      <c r="G79" s="14"/>
      <c r="H79" s="9"/>
    </row>
    <row r="80" spans="3:8" x14ac:dyDescent="0.25">
      <c r="C80" s="8"/>
      <c r="D80" s="2"/>
      <c r="E80" s="2" t="s">
        <v>402</v>
      </c>
      <c r="F80" s="4">
        <v>13</v>
      </c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9"/>
      <c r="D82" s="20"/>
      <c r="E82" s="20" t="s">
        <v>42</v>
      </c>
      <c r="F82" s="4"/>
      <c r="G82" s="14"/>
      <c r="H82" s="9"/>
    </row>
    <row r="83" spans="3:8" x14ac:dyDescent="0.25">
      <c r="C83" s="34"/>
      <c r="D83" s="42"/>
      <c r="E83" s="68" t="s">
        <v>5085</v>
      </c>
      <c r="F83" s="14">
        <v>-646</v>
      </c>
      <c r="G83" s="14"/>
      <c r="H83" s="9"/>
    </row>
    <row r="84" spans="3:8" x14ac:dyDescent="0.25">
      <c r="C84" s="34"/>
      <c r="D84" s="42" t="s">
        <v>3633</v>
      </c>
      <c r="E84" s="68" t="s">
        <v>5086</v>
      </c>
      <c r="F84" s="14">
        <v>-1000</v>
      </c>
      <c r="G84" s="14"/>
      <c r="H84" s="9"/>
    </row>
    <row r="85" spans="3:8" x14ac:dyDescent="0.25">
      <c r="C85" s="34"/>
      <c r="D85" s="42"/>
      <c r="E85" s="68" t="s">
        <v>5137</v>
      </c>
      <c r="F85" s="14">
        <v>-11</v>
      </c>
      <c r="G85" s="14"/>
      <c r="H85" s="9"/>
    </row>
    <row r="86" spans="3:8" x14ac:dyDescent="0.25">
      <c r="C86" s="34"/>
      <c r="D86" s="42"/>
      <c r="E86" s="68" t="s">
        <v>5138</v>
      </c>
      <c r="F86" s="14">
        <v>-100</v>
      </c>
      <c r="G86" s="14"/>
      <c r="H86" s="9"/>
    </row>
    <row r="87" spans="3:8" x14ac:dyDescent="0.25">
      <c r="C87" s="34"/>
      <c r="D87" s="42"/>
      <c r="E87" s="68" t="s">
        <v>5139</v>
      </c>
      <c r="F87" s="14">
        <v>-10</v>
      </c>
      <c r="G87" s="14"/>
      <c r="H87" s="9"/>
    </row>
    <row r="88" spans="3:8" x14ac:dyDescent="0.25">
      <c r="C88" s="34"/>
      <c r="D88" s="42"/>
      <c r="E88" s="68" t="s">
        <v>5140</v>
      </c>
      <c r="F88" s="14">
        <v>-4</v>
      </c>
      <c r="G88" s="14"/>
      <c r="H88" s="9"/>
    </row>
    <row r="89" spans="3:8" x14ac:dyDescent="0.25">
      <c r="C89" s="34"/>
      <c r="D89" s="42"/>
      <c r="E89" s="68" t="s">
        <v>5141</v>
      </c>
      <c r="F89" s="14">
        <v>-15</v>
      </c>
      <c r="G89" s="14"/>
      <c r="H89" s="9"/>
    </row>
    <row r="90" spans="3:8" x14ac:dyDescent="0.25">
      <c r="C90" s="34"/>
      <c r="D90" s="42"/>
      <c r="E90" s="68" t="s">
        <v>5148</v>
      </c>
      <c r="F90" s="14">
        <v>-430</v>
      </c>
      <c r="G90" s="14"/>
      <c r="H90" s="9"/>
    </row>
    <row r="91" spans="3:8" x14ac:dyDescent="0.25">
      <c r="C91" s="8"/>
      <c r="D91" s="2"/>
      <c r="E91" s="68" t="s">
        <v>5149</v>
      </c>
      <c r="F91" s="14">
        <v>-20</v>
      </c>
      <c r="G91" s="14"/>
      <c r="H91" s="9"/>
    </row>
    <row r="92" spans="3:8" x14ac:dyDescent="0.25">
      <c r="C92" s="8"/>
      <c r="D92" s="2"/>
      <c r="E92" s="68" t="s">
        <v>1274</v>
      </c>
      <c r="F92" s="14">
        <v>-2367.5</v>
      </c>
      <c r="G92" s="14"/>
      <c r="H92" s="9"/>
    </row>
    <row r="93" spans="3:8" x14ac:dyDescent="0.25">
      <c r="C93" s="8"/>
      <c r="D93" s="2"/>
      <c r="E93" s="68" t="s">
        <v>5169</v>
      </c>
      <c r="F93" s="14">
        <v>-16323</v>
      </c>
      <c r="G93" s="14"/>
      <c r="H93" s="9"/>
    </row>
    <row r="94" spans="3:8" x14ac:dyDescent="0.25">
      <c r="C94" s="8"/>
      <c r="D94" s="2"/>
      <c r="E94" s="68" t="s">
        <v>5171</v>
      </c>
      <c r="F94" s="14">
        <v>-60</v>
      </c>
      <c r="G94" s="14"/>
      <c r="H94" s="9"/>
    </row>
    <row r="95" spans="3:8" x14ac:dyDescent="0.25">
      <c r="C95" s="8"/>
      <c r="D95" s="2"/>
      <c r="E95" s="68" t="s">
        <v>5172</v>
      </c>
      <c r="F95" s="14">
        <v>-70</v>
      </c>
      <c r="G95" s="14"/>
      <c r="H95" s="9"/>
    </row>
    <row r="96" spans="3:8" x14ac:dyDescent="0.25">
      <c r="C96" s="8"/>
      <c r="D96" s="2"/>
      <c r="E96" s="68" t="s">
        <v>5173</v>
      </c>
      <c r="F96" s="14">
        <v>-550</v>
      </c>
      <c r="G96" s="14"/>
      <c r="H96" s="9"/>
    </row>
    <row r="97" spans="3:8" x14ac:dyDescent="0.25">
      <c r="C97" s="99"/>
      <c r="D97" s="100"/>
      <c r="E97" s="104" t="s">
        <v>5211</v>
      </c>
      <c r="F97" s="102">
        <v>-375.3</v>
      </c>
      <c r="G97" s="102"/>
      <c r="H97" s="103"/>
    </row>
    <row r="98" spans="3:8" x14ac:dyDescent="0.25">
      <c r="C98" s="99"/>
      <c r="D98" s="100"/>
      <c r="E98" s="100"/>
      <c r="F98" s="101"/>
      <c r="G98" s="102"/>
      <c r="H98" s="103"/>
    </row>
    <row r="99" spans="3:8" ht="15.75" thickBot="1" x14ac:dyDescent="0.3">
      <c r="C99" s="10"/>
      <c r="D99" s="11"/>
      <c r="E99" s="11" t="s">
        <v>44</v>
      </c>
      <c r="F99" s="12">
        <f>SUM(F6:F97)</f>
        <v>-2011.9000000000021</v>
      </c>
      <c r="G99" s="15">
        <f>SUM(G6:G96)</f>
        <v>10543.4</v>
      </c>
      <c r="H99" s="13">
        <f>SUM(H6:H96)</f>
        <v>29208.3</v>
      </c>
    </row>
    <row r="102" spans="3:8" s="3" customFormat="1" ht="18.75" x14ac:dyDescent="0.3">
      <c r="C102" s="1"/>
      <c r="D102" s="1"/>
      <c r="E102" s="38" t="s">
        <v>49</v>
      </c>
      <c r="F102" s="39">
        <f>+H4+F99</f>
        <v>17775.109999999997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DE3D-76F9-41B8-ABB4-87588F5AA4A9}">
  <sheetPr codeName="Hoja58"/>
  <dimension ref="C2:K87"/>
  <sheetViews>
    <sheetView topLeftCell="A56" zoomScaleNormal="100" workbookViewId="0">
      <selection activeCell="F74" sqref="F74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5174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17775.11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5175</v>
      </c>
      <c r="E6" s="2" t="s">
        <v>5208</v>
      </c>
      <c r="F6" s="4"/>
      <c r="G6" s="14"/>
      <c r="H6" s="9">
        <v>110</v>
      </c>
    </row>
    <row r="7" spans="3:8" x14ac:dyDescent="0.25">
      <c r="C7" s="8"/>
      <c r="D7" s="2" t="s">
        <v>5193</v>
      </c>
      <c r="E7" s="2" t="s">
        <v>3744</v>
      </c>
      <c r="F7" s="4">
        <v>50</v>
      </c>
      <c r="G7" s="14"/>
      <c r="H7" s="9"/>
    </row>
    <row r="8" spans="3:8" x14ac:dyDescent="0.25">
      <c r="C8" s="8"/>
      <c r="D8" s="2" t="s">
        <v>5194</v>
      </c>
      <c r="E8" s="2" t="s">
        <v>5207</v>
      </c>
      <c r="F8" s="4"/>
      <c r="G8" s="14"/>
      <c r="H8" s="9">
        <v>953</v>
      </c>
    </row>
    <row r="9" spans="3:8" x14ac:dyDescent="0.25">
      <c r="C9" s="8"/>
      <c r="D9" s="2" t="s">
        <v>5195</v>
      </c>
      <c r="E9" s="2" t="s">
        <v>4971</v>
      </c>
      <c r="F9" s="4">
        <v>32</v>
      </c>
      <c r="G9" s="14"/>
      <c r="H9" s="9"/>
    </row>
    <row r="10" spans="3:8" x14ac:dyDescent="0.25">
      <c r="C10" s="8"/>
      <c r="D10" s="2" t="s">
        <v>5196</v>
      </c>
      <c r="E10" s="2" t="s">
        <v>4971</v>
      </c>
      <c r="F10" s="4">
        <v>4</v>
      </c>
      <c r="G10" s="14"/>
      <c r="H10" s="9"/>
    </row>
    <row r="11" spans="3:8" x14ac:dyDescent="0.25">
      <c r="C11" s="8"/>
      <c r="D11" s="2" t="s">
        <v>5197</v>
      </c>
      <c r="E11" s="2" t="s">
        <v>4971</v>
      </c>
      <c r="F11" s="4">
        <v>2</v>
      </c>
      <c r="G11" s="14"/>
      <c r="H11" s="9"/>
    </row>
    <row r="12" spans="3:8" x14ac:dyDescent="0.25">
      <c r="C12" s="8"/>
      <c r="D12" s="2" t="s">
        <v>5198</v>
      </c>
      <c r="E12" s="2" t="s">
        <v>4971</v>
      </c>
      <c r="F12" s="4"/>
      <c r="G12" s="14"/>
      <c r="H12" s="9">
        <v>6.5</v>
      </c>
    </row>
    <row r="13" spans="3:8" x14ac:dyDescent="0.25">
      <c r="C13" s="8"/>
      <c r="D13" s="2" t="s">
        <v>5199</v>
      </c>
      <c r="E13" s="2" t="s">
        <v>4971</v>
      </c>
      <c r="F13" s="4"/>
      <c r="G13" s="14"/>
      <c r="H13" s="9">
        <v>84</v>
      </c>
    </row>
    <row r="14" spans="3:8" x14ac:dyDescent="0.25">
      <c r="C14" s="8"/>
      <c r="D14" s="2" t="s">
        <v>5200</v>
      </c>
      <c r="E14" s="2" t="s">
        <v>5206</v>
      </c>
      <c r="F14" s="4"/>
      <c r="G14" s="14"/>
      <c r="H14" s="9">
        <v>6175.2</v>
      </c>
    </row>
    <row r="15" spans="3:8" x14ac:dyDescent="0.25">
      <c r="C15" s="8"/>
      <c r="D15" s="2" t="s">
        <v>5201</v>
      </c>
      <c r="E15" s="2" t="s">
        <v>4971</v>
      </c>
      <c r="F15" s="4">
        <v>4</v>
      </c>
      <c r="G15" s="14"/>
      <c r="H15" s="9"/>
    </row>
    <row r="16" spans="3:8" x14ac:dyDescent="0.25">
      <c r="C16" s="8"/>
      <c r="D16" s="2" t="s">
        <v>5202</v>
      </c>
      <c r="E16" s="2" t="s">
        <v>4971</v>
      </c>
      <c r="F16" s="4">
        <v>17</v>
      </c>
      <c r="G16" s="14"/>
      <c r="H16" s="9"/>
    </row>
    <row r="17" spans="3:8" x14ac:dyDescent="0.25">
      <c r="C17" s="8"/>
      <c r="D17" s="2" t="s">
        <v>5203</v>
      </c>
      <c r="E17" s="2" t="s">
        <v>4971</v>
      </c>
      <c r="F17" s="4">
        <v>10.5</v>
      </c>
      <c r="G17" s="14"/>
      <c r="H17" s="9"/>
    </row>
    <row r="18" spans="3:8" x14ac:dyDescent="0.25">
      <c r="C18" s="8"/>
      <c r="D18" s="2" t="s">
        <v>5204</v>
      </c>
      <c r="E18" s="2" t="s">
        <v>5238</v>
      </c>
      <c r="F18" s="4"/>
      <c r="G18" s="14"/>
      <c r="H18" s="9">
        <v>110</v>
      </c>
    </row>
    <row r="19" spans="3:8" x14ac:dyDescent="0.25">
      <c r="C19" s="8"/>
      <c r="D19" s="2" t="s">
        <v>5205</v>
      </c>
      <c r="E19" s="2" t="s">
        <v>5240</v>
      </c>
      <c r="F19" s="4">
        <v>56.5</v>
      </c>
      <c r="G19" s="14"/>
      <c r="H19" s="9"/>
    </row>
    <row r="20" spans="3:8" x14ac:dyDescent="0.25">
      <c r="C20" s="8"/>
      <c r="D20" s="2" t="s">
        <v>5239</v>
      </c>
      <c r="E20" s="2" t="s">
        <v>4971</v>
      </c>
      <c r="F20" s="4">
        <v>7.5</v>
      </c>
      <c r="G20" s="14"/>
      <c r="H20" s="9"/>
    </row>
    <row r="21" spans="3:8" x14ac:dyDescent="0.25">
      <c r="C21" s="8"/>
      <c r="D21" s="2" t="s">
        <v>5243</v>
      </c>
      <c r="E21" s="2" t="s">
        <v>4971</v>
      </c>
      <c r="F21" s="4">
        <v>2</v>
      </c>
      <c r="G21" s="14"/>
      <c r="H21" s="9"/>
    </row>
    <row r="22" spans="3:8" x14ac:dyDescent="0.25">
      <c r="C22" s="8"/>
      <c r="D22" s="2" t="s">
        <v>5244</v>
      </c>
      <c r="E22" s="2" t="s">
        <v>4971</v>
      </c>
      <c r="F22" s="4">
        <v>8</v>
      </c>
      <c r="G22" s="14"/>
      <c r="H22" s="9"/>
    </row>
    <row r="23" spans="3:8" x14ac:dyDescent="0.25">
      <c r="C23" s="8"/>
      <c r="D23" s="2" t="s">
        <v>5245</v>
      </c>
      <c r="E23" s="2" t="s">
        <v>5246</v>
      </c>
      <c r="F23" s="4"/>
      <c r="G23" s="14"/>
      <c r="H23" s="9">
        <v>119</v>
      </c>
    </row>
    <row r="24" spans="3:8" x14ac:dyDescent="0.25">
      <c r="C24" s="8"/>
      <c r="D24" s="2" t="s">
        <v>5268</v>
      </c>
      <c r="E24" s="2"/>
      <c r="F24" s="4"/>
      <c r="G24" s="14"/>
      <c r="H24" s="9"/>
    </row>
    <row r="25" spans="3:8" x14ac:dyDescent="0.25">
      <c r="C25" s="8"/>
      <c r="D25" s="2"/>
      <c r="E25" s="2"/>
      <c r="F25" s="4"/>
      <c r="G25" s="14"/>
      <c r="H25" s="9"/>
    </row>
    <row r="26" spans="3:8" x14ac:dyDescent="0.25">
      <c r="C26" s="8"/>
      <c r="D26" s="2" t="s">
        <v>5212</v>
      </c>
      <c r="E26" s="2" t="s">
        <v>5231</v>
      </c>
      <c r="F26" s="4"/>
      <c r="G26" s="14"/>
      <c r="H26" s="9">
        <v>14</v>
      </c>
    </row>
    <row r="27" spans="3:8" x14ac:dyDescent="0.25">
      <c r="C27" s="8"/>
      <c r="D27" s="2" t="s">
        <v>5213</v>
      </c>
      <c r="E27" s="2" t="s">
        <v>5231</v>
      </c>
      <c r="F27" s="4"/>
      <c r="G27" s="14"/>
      <c r="H27" s="9">
        <v>5</v>
      </c>
    </row>
    <row r="28" spans="3:8" x14ac:dyDescent="0.25">
      <c r="C28" s="8"/>
      <c r="D28" s="2" t="s">
        <v>5214</v>
      </c>
      <c r="E28" s="2" t="s">
        <v>5237</v>
      </c>
      <c r="F28" s="4"/>
      <c r="G28" s="14"/>
      <c r="H28" s="9">
        <v>278.3</v>
      </c>
    </row>
    <row r="29" spans="3:8" x14ac:dyDescent="0.25">
      <c r="C29" s="8"/>
      <c r="D29" s="2" t="s">
        <v>5215</v>
      </c>
      <c r="E29" s="2" t="s">
        <v>5235</v>
      </c>
      <c r="F29" s="4">
        <v>353.1</v>
      </c>
      <c r="G29" s="14"/>
      <c r="H29" s="9"/>
    </row>
    <row r="30" spans="3:8" x14ac:dyDescent="0.25">
      <c r="C30" s="8"/>
      <c r="D30" s="2" t="s">
        <v>5216</v>
      </c>
      <c r="E30" s="2" t="s">
        <v>5231</v>
      </c>
      <c r="F30" s="4"/>
      <c r="G30" s="14"/>
      <c r="H30" s="9">
        <v>2</v>
      </c>
    </row>
    <row r="31" spans="3:8" x14ac:dyDescent="0.25">
      <c r="C31" s="8"/>
      <c r="D31" s="2" t="s">
        <v>5217</v>
      </c>
      <c r="E31" s="2" t="s">
        <v>5236</v>
      </c>
      <c r="F31" s="4"/>
      <c r="G31" s="14">
        <v>21</v>
      </c>
      <c r="H31" s="9"/>
    </row>
    <row r="32" spans="3:8" x14ac:dyDescent="0.25">
      <c r="C32" s="8"/>
      <c r="D32" s="2" t="s">
        <v>5218</v>
      </c>
      <c r="E32" s="2" t="s">
        <v>5231</v>
      </c>
      <c r="F32" s="4">
        <v>21.5</v>
      </c>
      <c r="G32" s="14"/>
      <c r="H32" s="9"/>
    </row>
    <row r="33" spans="3:8" x14ac:dyDescent="0.25">
      <c r="C33" s="8"/>
      <c r="D33" s="2" t="s">
        <v>5219</v>
      </c>
      <c r="E33" s="2" t="s">
        <v>5231</v>
      </c>
      <c r="F33" s="4">
        <v>25</v>
      </c>
      <c r="G33" s="14"/>
      <c r="H33" s="9"/>
    </row>
    <row r="34" spans="3:8" x14ac:dyDescent="0.25">
      <c r="C34" s="8"/>
      <c r="D34" s="2" t="s">
        <v>5220</v>
      </c>
      <c r="E34" s="2" t="s">
        <v>5234</v>
      </c>
      <c r="F34" s="4"/>
      <c r="G34" s="14"/>
      <c r="H34" s="9">
        <v>236</v>
      </c>
    </row>
    <row r="35" spans="3:8" x14ac:dyDescent="0.25">
      <c r="C35" s="8"/>
      <c r="D35" s="2" t="s">
        <v>5221</v>
      </c>
      <c r="E35" s="2" t="s">
        <v>5231</v>
      </c>
      <c r="F35" s="4">
        <v>4</v>
      </c>
      <c r="G35" s="14"/>
      <c r="H35" s="9"/>
    </row>
    <row r="36" spans="3:8" x14ac:dyDescent="0.25">
      <c r="C36" s="8"/>
      <c r="D36" s="2" t="s">
        <v>5222</v>
      </c>
      <c r="E36" s="2" t="s">
        <v>5231</v>
      </c>
      <c r="F36" s="4"/>
      <c r="G36" s="14"/>
      <c r="H36" s="9">
        <v>22</v>
      </c>
    </row>
    <row r="37" spans="3:8" x14ac:dyDescent="0.25">
      <c r="C37" s="8"/>
      <c r="D37" s="2" t="s">
        <v>5223</v>
      </c>
      <c r="E37" s="2" t="s">
        <v>5233</v>
      </c>
      <c r="F37" s="4">
        <v>10000</v>
      </c>
      <c r="G37" s="14">
        <v>17262</v>
      </c>
      <c r="H37" s="9"/>
    </row>
    <row r="38" spans="3:8" x14ac:dyDescent="0.25">
      <c r="C38" s="8"/>
      <c r="D38" s="2" t="s">
        <v>5224</v>
      </c>
      <c r="E38" s="2" t="s">
        <v>5232</v>
      </c>
      <c r="F38" s="4"/>
      <c r="G38" s="14"/>
      <c r="H38" s="9">
        <v>306.5</v>
      </c>
    </row>
    <row r="39" spans="3:8" x14ac:dyDescent="0.25">
      <c r="C39" s="8"/>
      <c r="D39" s="2" t="s">
        <v>5225</v>
      </c>
      <c r="E39" s="2" t="s">
        <v>5231</v>
      </c>
      <c r="F39" s="4">
        <v>3</v>
      </c>
      <c r="G39" s="14"/>
      <c r="H39" s="9"/>
    </row>
    <row r="40" spans="3:8" x14ac:dyDescent="0.25">
      <c r="C40" s="8"/>
      <c r="D40" s="2" t="s">
        <v>5226</v>
      </c>
      <c r="E40" s="2" t="s">
        <v>5231</v>
      </c>
      <c r="F40" s="4">
        <v>18</v>
      </c>
      <c r="G40" s="14"/>
      <c r="H40" s="9"/>
    </row>
    <row r="41" spans="3:8" x14ac:dyDescent="0.25">
      <c r="C41" s="8"/>
      <c r="D41" s="2" t="s">
        <v>5247</v>
      </c>
      <c r="E41" s="2" t="s">
        <v>2358</v>
      </c>
      <c r="F41" s="4"/>
      <c r="G41" s="14"/>
      <c r="H41" s="9">
        <v>30</v>
      </c>
    </row>
    <row r="42" spans="3:8" x14ac:dyDescent="0.25">
      <c r="C42" s="8"/>
      <c r="D42" s="2" t="s">
        <v>5248</v>
      </c>
      <c r="E42" s="2" t="s">
        <v>5231</v>
      </c>
      <c r="F42" s="4">
        <v>182.5</v>
      </c>
      <c r="G42" s="14"/>
      <c r="H42" s="9"/>
    </row>
    <row r="43" spans="3:8" x14ac:dyDescent="0.25">
      <c r="C43" s="8"/>
      <c r="D43" s="2" t="s">
        <v>5249</v>
      </c>
      <c r="E43" s="2" t="s">
        <v>5231</v>
      </c>
      <c r="F43" s="4">
        <v>10</v>
      </c>
      <c r="G43" s="14"/>
      <c r="H43" s="9"/>
    </row>
    <row r="44" spans="3:8" x14ac:dyDescent="0.25">
      <c r="C44" s="8"/>
      <c r="D44" s="2" t="s">
        <v>5252</v>
      </c>
      <c r="E44" s="2" t="s">
        <v>4643</v>
      </c>
      <c r="F44" s="4">
        <v>392.9</v>
      </c>
      <c r="G44" s="14"/>
      <c r="H44" s="9"/>
    </row>
    <row r="45" spans="3:8" x14ac:dyDescent="0.25">
      <c r="C45" s="8"/>
      <c r="D45" s="2" t="s">
        <v>5254</v>
      </c>
      <c r="E45" s="2" t="s">
        <v>5256</v>
      </c>
      <c r="F45" s="4"/>
      <c r="G45" s="14">
        <v>464.5</v>
      </c>
      <c r="H45" s="9"/>
    </row>
    <row r="46" spans="3:8" x14ac:dyDescent="0.25">
      <c r="C46" s="8"/>
      <c r="D46" s="2" t="s">
        <v>5255</v>
      </c>
      <c r="E46" s="2" t="s">
        <v>5256</v>
      </c>
      <c r="F46" s="4"/>
      <c r="G46" s="14">
        <v>9</v>
      </c>
      <c r="H46" s="9"/>
    </row>
    <row r="47" spans="3:8" x14ac:dyDescent="0.25">
      <c r="C47" s="8"/>
      <c r="D47" s="2" t="s">
        <v>5291</v>
      </c>
      <c r="E47" s="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29"/>
      <c r="D49" s="30"/>
      <c r="E49" s="30" t="s">
        <v>60</v>
      </c>
      <c r="F49" s="4"/>
      <c r="G49" s="14"/>
      <c r="H49" s="9"/>
    </row>
    <row r="50" spans="3:8" x14ac:dyDescent="0.25">
      <c r="C50" s="8"/>
      <c r="D50" s="45" t="s">
        <v>5181</v>
      </c>
      <c r="E50" s="2" t="s">
        <v>5182</v>
      </c>
      <c r="F50" s="4"/>
      <c r="G50" s="14"/>
      <c r="H50" s="9">
        <v>79</v>
      </c>
    </row>
    <row r="51" spans="3:8" x14ac:dyDescent="0.25">
      <c r="C51" s="8"/>
      <c r="D51" s="45" t="s">
        <v>5183</v>
      </c>
      <c r="E51" s="2" t="s">
        <v>4268</v>
      </c>
      <c r="F51" s="4"/>
      <c r="G51" s="14"/>
      <c r="H51" s="9">
        <v>100</v>
      </c>
    </row>
    <row r="52" spans="3:8" x14ac:dyDescent="0.25">
      <c r="C52" s="8"/>
      <c r="D52" s="45" t="s">
        <v>5184</v>
      </c>
      <c r="E52" s="2" t="s">
        <v>5189</v>
      </c>
      <c r="F52" s="4"/>
      <c r="G52" s="14"/>
      <c r="H52" s="9">
        <v>3451.6</v>
      </c>
    </row>
    <row r="53" spans="3:8" x14ac:dyDescent="0.25">
      <c r="C53" s="8"/>
      <c r="D53" s="45" t="s">
        <v>5185</v>
      </c>
      <c r="E53" s="2" t="s">
        <v>5190</v>
      </c>
      <c r="F53" s="4"/>
      <c r="G53" s="14"/>
      <c r="H53" s="9">
        <v>43</v>
      </c>
    </row>
    <row r="54" spans="3:8" x14ac:dyDescent="0.25">
      <c r="C54" s="8"/>
      <c r="D54" s="45" t="s">
        <v>5186</v>
      </c>
      <c r="E54" s="2" t="s">
        <v>5191</v>
      </c>
      <c r="F54" s="4"/>
      <c r="G54" s="14">
        <v>1081</v>
      </c>
      <c r="H54" s="9"/>
    </row>
    <row r="55" spans="3:8" x14ac:dyDescent="0.25">
      <c r="C55" s="8"/>
      <c r="D55" s="45" t="s">
        <v>5187</v>
      </c>
      <c r="E55" s="2" t="s">
        <v>5192</v>
      </c>
      <c r="F55" s="4"/>
      <c r="G55" s="14"/>
      <c r="H55" s="9">
        <v>577.5</v>
      </c>
    </row>
    <row r="56" spans="3:8" x14ac:dyDescent="0.25">
      <c r="C56" s="8"/>
      <c r="D56" s="45" t="s">
        <v>5188</v>
      </c>
      <c r="E56" s="2" t="s">
        <v>5192</v>
      </c>
      <c r="F56" s="4"/>
      <c r="G56" s="14"/>
      <c r="H56" s="9">
        <v>2.5</v>
      </c>
    </row>
    <row r="57" spans="3:8" x14ac:dyDescent="0.25">
      <c r="C57" s="8"/>
      <c r="D57" s="45"/>
      <c r="E57" s="2"/>
      <c r="F57" s="4"/>
      <c r="G57" s="14"/>
      <c r="H57" s="9"/>
    </row>
    <row r="58" spans="3:8" x14ac:dyDescent="0.25">
      <c r="C58" s="8"/>
      <c r="D58" s="45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16"/>
      <c r="D60" s="17"/>
      <c r="E60" s="17" t="s">
        <v>39</v>
      </c>
      <c r="F60" s="4"/>
      <c r="G60" s="14"/>
      <c r="H60" s="9"/>
    </row>
    <row r="61" spans="3:8" x14ac:dyDescent="0.25">
      <c r="C61" s="8"/>
      <c r="D61" s="2"/>
      <c r="E61" s="2" t="s">
        <v>5227</v>
      </c>
      <c r="F61" s="4">
        <v>2930</v>
      </c>
      <c r="G61" s="14"/>
      <c r="H61" s="9"/>
    </row>
    <row r="62" spans="3:8" x14ac:dyDescent="0.25">
      <c r="C62" s="8"/>
      <c r="D62" s="2"/>
      <c r="E62" s="2" t="s">
        <v>5228</v>
      </c>
      <c r="F62" s="4">
        <v>2675</v>
      </c>
      <c r="G62" s="14"/>
      <c r="H62" s="9"/>
    </row>
    <row r="63" spans="3:8" x14ac:dyDescent="0.25">
      <c r="C63" s="8"/>
      <c r="D63" s="2"/>
      <c r="E63" s="2" t="s">
        <v>5229</v>
      </c>
      <c r="F63" s="4">
        <v>840</v>
      </c>
      <c r="G63" s="14"/>
      <c r="H63" s="9"/>
    </row>
    <row r="64" spans="3:8" x14ac:dyDescent="0.25">
      <c r="C64" s="8"/>
      <c r="D64" s="2"/>
      <c r="E64" s="2" t="s">
        <v>5230</v>
      </c>
      <c r="F64" s="4">
        <v>224</v>
      </c>
      <c r="G64" s="14"/>
      <c r="H64" s="9"/>
    </row>
    <row r="65" spans="3:11" x14ac:dyDescent="0.25">
      <c r="C65" s="8"/>
      <c r="D65" s="2"/>
      <c r="E65" s="2"/>
      <c r="F65" s="4"/>
      <c r="G65" s="14"/>
      <c r="H65" s="9"/>
    </row>
    <row r="66" spans="3:11" x14ac:dyDescent="0.25">
      <c r="C66" s="8"/>
      <c r="D66" s="2"/>
      <c r="E66" s="2"/>
      <c r="F66" s="4"/>
      <c r="G66" s="14"/>
      <c r="H66" s="9"/>
    </row>
    <row r="67" spans="3:11" x14ac:dyDescent="0.25">
      <c r="C67" s="19"/>
      <c r="D67" s="20"/>
      <c r="E67" s="20" t="s">
        <v>42</v>
      </c>
      <c r="F67" s="4"/>
      <c r="G67" s="14"/>
      <c r="H67" s="9"/>
    </row>
    <row r="68" spans="3:11" x14ac:dyDescent="0.25">
      <c r="C68" s="34"/>
      <c r="D68" s="42"/>
      <c r="E68" s="68" t="s">
        <v>5176</v>
      </c>
      <c r="F68" s="14">
        <v>-1330</v>
      </c>
      <c r="G68" s="14"/>
      <c r="H68" s="9"/>
    </row>
    <row r="69" spans="3:11" x14ac:dyDescent="0.25">
      <c r="C69" s="34"/>
      <c r="D69" s="42" t="s">
        <v>2453</v>
      </c>
      <c r="E69" s="68" t="s">
        <v>5177</v>
      </c>
      <c r="F69" s="14">
        <v>-3100</v>
      </c>
      <c r="G69" s="14"/>
      <c r="H69" s="9"/>
    </row>
    <row r="70" spans="3:11" x14ac:dyDescent="0.25">
      <c r="C70" s="34"/>
      <c r="D70" s="42" t="s">
        <v>5179</v>
      </c>
      <c r="E70" s="68" t="s">
        <v>5178</v>
      </c>
      <c r="F70" s="14">
        <v>-335</v>
      </c>
      <c r="G70" s="14"/>
      <c r="H70" s="9"/>
    </row>
    <row r="71" spans="3:11" x14ac:dyDescent="0.25">
      <c r="C71" s="34"/>
      <c r="D71" s="42"/>
      <c r="E71" s="68" t="s">
        <v>5176</v>
      </c>
      <c r="F71" s="14">
        <v>-1330</v>
      </c>
      <c r="G71" s="14"/>
      <c r="H71" s="9"/>
    </row>
    <row r="72" spans="3:11" x14ac:dyDescent="0.25">
      <c r="C72" s="34"/>
      <c r="D72" s="42"/>
      <c r="E72" s="68" t="s">
        <v>5180</v>
      </c>
      <c r="F72" s="14">
        <v>-246</v>
      </c>
      <c r="G72" s="14"/>
      <c r="H72" s="9"/>
    </row>
    <row r="73" spans="3:11" x14ac:dyDescent="0.25">
      <c r="C73" s="34"/>
      <c r="D73" s="42"/>
      <c r="E73" s="68" t="s">
        <v>5241</v>
      </c>
      <c r="F73" s="14">
        <v>-20</v>
      </c>
      <c r="G73" s="14"/>
      <c r="H73" s="9"/>
    </row>
    <row r="74" spans="3:11" ht="30" x14ac:dyDescent="0.25">
      <c r="C74" s="34"/>
      <c r="D74" s="42"/>
      <c r="E74" s="96" t="s">
        <v>5242</v>
      </c>
      <c r="F74" s="14">
        <v>-10116</v>
      </c>
      <c r="G74" s="14"/>
      <c r="H74" s="9"/>
    </row>
    <row r="75" spans="3:11" x14ac:dyDescent="0.25">
      <c r="C75" s="34"/>
      <c r="D75" s="42"/>
      <c r="E75" s="68" t="s">
        <v>5258</v>
      </c>
      <c r="F75" s="14">
        <v>-17500</v>
      </c>
      <c r="G75" s="14"/>
      <c r="H75" s="9"/>
    </row>
    <row r="76" spans="3:11" x14ac:dyDescent="0.25">
      <c r="C76" s="8"/>
      <c r="D76" s="2"/>
      <c r="E76" s="68" t="s">
        <v>5250</v>
      </c>
      <c r="F76" s="14">
        <v>-50</v>
      </c>
      <c r="G76" s="14"/>
      <c r="H76" s="9"/>
    </row>
    <row r="77" spans="3:11" x14ac:dyDescent="0.25">
      <c r="C77" s="8"/>
      <c r="D77" s="2"/>
      <c r="E77" s="68" t="s">
        <v>5251</v>
      </c>
      <c r="F77" s="14">
        <v>-108</v>
      </c>
      <c r="G77" s="14"/>
      <c r="H77" s="9"/>
    </row>
    <row r="78" spans="3:11" x14ac:dyDescent="0.25">
      <c r="C78" s="8"/>
      <c r="D78" s="2"/>
      <c r="E78" s="68" t="s">
        <v>5253</v>
      </c>
      <c r="F78" s="14">
        <v>-392.9</v>
      </c>
      <c r="G78" s="14"/>
      <c r="H78" s="9"/>
    </row>
    <row r="79" spans="3:11" x14ac:dyDescent="0.25">
      <c r="C79" s="8"/>
      <c r="D79" s="2"/>
      <c r="E79" s="68" t="s">
        <v>5257</v>
      </c>
      <c r="F79" s="14">
        <v>-20</v>
      </c>
      <c r="G79" s="14"/>
      <c r="H79" s="9"/>
      <c r="K79">
        <f>10116+3100</f>
        <v>13216</v>
      </c>
    </row>
    <row r="80" spans="3:11" x14ac:dyDescent="0.25">
      <c r="C80" s="8"/>
      <c r="D80" s="2"/>
      <c r="E80" s="68"/>
      <c r="F80" s="14"/>
      <c r="G80" s="14"/>
      <c r="H80" s="9"/>
    </row>
    <row r="81" spans="3:8" x14ac:dyDescent="0.25">
      <c r="C81" s="8"/>
      <c r="D81" s="2"/>
      <c r="E81" s="68"/>
      <c r="F81" s="14"/>
      <c r="G81" s="14"/>
      <c r="H81" s="9"/>
    </row>
    <row r="82" spans="3:8" x14ac:dyDescent="0.25">
      <c r="C82" s="99"/>
      <c r="D82" s="100"/>
      <c r="E82" s="104"/>
      <c r="F82" s="102"/>
      <c r="G82" s="102"/>
      <c r="H82" s="103"/>
    </row>
    <row r="83" spans="3:8" x14ac:dyDescent="0.25">
      <c r="C83" s="99"/>
      <c r="D83" s="100"/>
      <c r="E83" s="100"/>
      <c r="F83" s="101"/>
      <c r="G83" s="102"/>
      <c r="H83" s="103"/>
    </row>
    <row r="84" spans="3:8" ht="15.75" thickBot="1" x14ac:dyDescent="0.3">
      <c r="C84" s="10"/>
      <c r="D84" s="11"/>
      <c r="E84" s="11" t="s">
        <v>44</v>
      </c>
      <c r="F84" s="12">
        <f>SUM(F6:F82)</f>
        <v>-16675.400000000001</v>
      </c>
      <c r="G84" s="15">
        <f>SUM(G6:G81)</f>
        <v>18837.5</v>
      </c>
      <c r="H84" s="13">
        <f>SUM(H6:H81)</f>
        <v>12705.1</v>
      </c>
    </row>
    <row r="87" spans="3:8" s="3" customFormat="1" ht="18.75" x14ac:dyDescent="0.3">
      <c r="C87" s="1"/>
      <c r="D87" s="1"/>
      <c r="E87" s="38" t="s">
        <v>49</v>
      </c>
      <c r="F87" s="39">
        <f>+H4+F84</f>
        <v>1099.7099999999991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AC81-D625-46BA-81D1-4944D348C241}">
  <sheetPr codeName="Hoja59"/>
  <dimension ref="C2:H105"/>
  <sheetViews>
    <sheetView topLeftCell="A57" zoomScaleNormal="100" workbookViewId="0">
      <selection activeCell="F105" sqref="F105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1.42578125" style="3"/>
    <col min="8" max="8" width="15.5703125" style="3" bestFit="1" customWidth="1"/>
  </cols>
  <sheetData>
    <row r="2" spans="3:8" ht="15.75" thickBot="1" x14ac:dyDescent="0.3"/>
    <row r="3" spans="3:8" x14ac:dyDescent="0.25">
      <c r="C3" s="143" t="s">
        <v>5259</v>
      </c>
      <c r="D3" s="144"/>
      <c r="E3" s="144"/>
      <c r="F3" s="144"/>
      <c r="G3" s="145"/>
      <c r="H3" s="46" t="s">
        <v>0</v>
      </c>
    </row>
    <row r="4" spans="3:8" ht="15.75" thickBot="1" x14ac:dyDescent="0.3">
      <c r="C4" s="146"/>
      <c r="D4" s="147"/>
      <c r="E4" s="147"/>
      <c r="F4" s="147"/>
      <c r="G4" s="148"/>
      <c r="H4" s="13">
        <v>1099.71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5268</v>
      </c>
      <c r="E6" s="2" t="s">
        <v>4961</v>
      </c>
      <c r="F6" s="4"/>
      <c r="G6" s="14">
        <v>3.5</v>
      </c>
      <c r="H6" s="9"/>
    </row>
    <row r="7" spans="3:8" x14ac:dyDescent="0.25">
      <c r="C7" s="8"/>
      <c r="D7" s="2" t="s">
        <v>5269</v>
      </c>
      <c r="E7" s="2" t="s">
        <v>440</v>
      </c>
      <c r="F7" s="4"/>
      <c r="G7" s="14"/>
      <c r="H7" s="9">
        <v>4.5</v>
      </c>
    </row>
    <row r="8" spans="3:8" x14ac:dyDescent="0.25">
      <c r="C8" s="8"/>
      <c r="D8" s="2" t="s">
        <v>5270</v>
      </c>
      <c r="E8" s="2" t="s">
        <v>5290</v>
      </c>
      <c r="F8" s="4"/>
      <c r="G8" s="14">
        <v>180</v>
      </c>
      <c r="H8" s="9"/>
    </row>
    <row r="9" spans="3:8" x14ac:dyDescent="0.25">
      <c r="C9" s="8"/>
      <c r="D9" s="2" t="s">
        <v>5271</v>
      </c>
      <c r="E9" s="2" t="s">
        <v>4602</v>
      </c>
      <c r="F9" s="4">
        <v>63</v>
      </c>
      <c r="G9" s="14"/>
      <c r="H9" s="9"/>
    </row>
    <row r="10" spans="3:8" x14ac:dyDescent="0.25">
      <c r="C10" s="8"/>
      <c r="D10" s="2" t="s">
        <v>5272</v>
      </c>
      <c r="E10" s="2" t="s">
        <v>5289</v>
      </c>
      <c r="F10" s="4">
        <v>1400</v>
      </c>
      <c r="G10" s="14"/>
      <c r="H10" s="9">
        <v>270</v>
      </c>
    </row>
    <row r="11" spans="3:8" x14ac:dyDescent="0.25">
      <c r="C11" s="8"/>
      <c r="D11" s="2" t="s">
        <v>5273</v>
      </c>
      <c r="E11" s="2" t="s">
        <v>5288</v>
      </c>
      <c r="F11" s="4"/>
      <c r="G11" s="14"/>
      <c r="H11" s="9">
        <v>4.5999999999999996</v>
      </c>
    </row>
    <row r="12" spans="3:8" x14ac:dyDescent="0.25">
      <c r="C12" s="8"/>
      <c r="D12" s="2" t="s">
        <v>5274</v>
      </c>
      <c r="E12" s="2" t="s">
        <v>440</v>
      </c>
      <c r="F12" s="4">
        <v>4.5</v>
      </c>
      <c r="G12" s="14"/>
      <c r="H12" s="9"/>
    </row>
    <row r="13" spans="3:8" x14ac:dyDescent="0.25">
      <c r="C13" s="8"/>
      <c r="D13" s="2" t="s">
        <v>5275</v>
      </c>
      <c r="E13" s="2" t="s">
        <v>440</v>
      </c>
      <c r="F13" s="4"/>
      <c r="G13" s="14"/>
      <c r="H13" s="9">
        <v>4.5</v>
      </c>
    </row>
    <row r="14" spans="3:8" x14ac:dyDescent="0.25">
      <c r="C14" s="8"/>
      <c r="D14" s="2" t="s">
        <v>5276</v>
      </c>
      <c r="E14" s="2" t="s">
        <v>440</v>
      </c>
      <c r="F14" s="4"/>
      <c r="G14" s="14"/>
      <c r="H14" s="9">
        <v>19</v>
      </c>
    </row>
    <row r="15" spans="3:8" x14ac:dyDescent="0.25">
      <c r="C15" s="8"/>
      <c r="D15" s="2" t="s">
        <v>5277</v>
      </c>
      <c r="E15" s="2" t="s">
        <v>440</v>
      </c>
      <c r="F15" s="4">
        <v>27</v>
      </c>
      <c r="G15" s="14"/>
      <c r="H15" s="9"/>
    </row>
    <row r="16" spans="3:8" x14ac:dyDescent="0.25">
      <c r="C16" s="8"/>
      <c r="D16" s="2" t="s">
        <v>5278</v>
      </c>
      <c r="E16" s="2" t="s">
        <v>440</v>
      </c>
      <c r="F16" s="4">
        <v>15</v>
      </c>
      <c r="G16" s="14"/>
      <c r="H16" s="9"/>
    </row>
    <row r="17" spans="3:8" x14ac:dyDescent="0.25">
      <c r="C17" s="8"/>
      <c r="D17" s="2" t="s">
        <v>5279</v>
      </c>
      <c r="E17" s="2" t="s">
        <v>5208</v>
      </c>
      <c r="F17" s="4"/>
      <c r="G17" s="14"/>
      <c r="H17" s="9">
        <v>345</v>
      </c>
    </row>
    <row r="18" spans="3:8" x14ac:dyDescent="0.25">
      <c r="C18" s="8"/>
      <c r="D18" s="2" t="s">
        <v>5280</v>
      </c>
      <c r="E18" s="2" t="s">
        <v>440</v>
      </c>
      <c r="F18" s="4"/>
      <c r="G18" s="14"/>
      <c r="H18" s="9">
        <v>5.5</v>
      </c>
    </row>
    <row r="19" spans="3:8" x14ac:dyDescent="0.25">
      <c r="C19" s="8"/>
      <c r="D19" s="2" t="s">
        <v>5281</v>
      </c>
      <c r="E19" s="2" t="s">
        <v>440</v>
      </c>
      <c r="F19" s="4"/>
      <c r="G19" s="14"/>
      <c r="H19" s="9">
        <v>7</v>
      </c>
    </row>
    <row r="20" spans="3:8" x14ac:dyDescent="0.25">
      <c r="C20" s="8"/>
      <c r="D20" s="2" t="s">
        <v>5282</v>
      </c>
      <c r="E20" s="2" t="s">
        <v>1075</v>
      </c>
      <c r="F20" s="4"/>
      <c r="G20" s="14"/>
      <c r="H20" s="9">
        <v>250</v>
      </c>
    </row>
    <row r="21" spans="3:8" x14ac:dyDescent="0.25">
      <c r="C21" s="8"/>
      <c r="D21" s="2" t="s">
        <v>5283</v>
      </c>
      <c r="E21" s="2" t="s">
        <v>440</v>
      </c>
      <c r="F21" s="4">
        <v>14</v>
      </c>
      <c r="G21" s="14"/>
      <c r="H21" s="9"/>
    </row>
    <row r="22" spans="3:8" x14ac:dyDescent="0.25">
      <c r="C22" s="8"/>
      <c r="D22" s="2" t="s">
        <v>5284</v>
      </c>
      <c r="E22" s="2" t="s">
        <v>5287</v>
      </c>
      <c r="F22" s="4">
        <v>100</v>
      </c>
      <c r="G22" s="14"/>
      <c r="H22" s="9">
        <v>5</v>
      </c>
    </row>
    <row r="23" spans="3:8" x14ac:dyDescent="0.25">
      <c r="C23" s="8"/>
      <c r="D23" s="2" t="s">
        <v>5285</v>
      </c>
      <c r="E23" s="2" t="s">
        <v>440</v>
      </c>
      <c r="F23" s="4">
        <v>18</v>
      </c>
      <c r="G23" s="14"/>
      <c r="H23" s="9"/>
    </row>
    <row r="24" spans="3:8" x14ac:dyDescent="0.25">
      <c r="C24" s="8"/>
      <c r="D24" s="2" t="s">
        <v>5286</v>
      </c>
      <c r="E24" s="2" t="s">
        <v>440</v>
      </c>
      <c r="F24" s="4">
        <v>7</v>
      </c>
      <c r="G24" s="14"/>
      <c r="H24" s="9"/>
    </row>
    <row r="25" spans="3:8" x14ac:dyDescent="0.25">
      <c r="C25" s="8"/>
      <c r="D25" s="2" t="s">
        <v>5323</v>
      </c>
      <c r="E25" s="2" t="s">
        <v>440</v>
      </c>
      <c r="F25" s="4"/>
      <c r="G25" s="14"/>
      <c r="H25" s="9">
        <v>73</v>
      </c>
    </row>
    <row r="26" spans="3:8" x14ac:dyDescent="0.25">
      <c r="C26" s="8"/>
      <c r="D26" s="2" t="s">
        <v>5324</v>
      </c>
      <c r="E26" s="2" t="s">
        <v>440</v>
      </c>
      <c r="F26" s="4">
        <v>14</v>
      </c>
      <c r="G26" s="14"/>
      <c r="H26" s="9"/>
    </row>
    <row r="27" spans="3:8" x14ac:dyDescent="0.25">
      <c r="C27" s="8"/>
      <c r="D27" s="2" t="s">
        <v>5325</v>
      </c>
      <c r="E27" s="2" t="s">
        <v>5329</v>
      </c>
      <c r="F27" s="4"/>
      <c r="G27" s="14"/>
      <c r="H27" s="9">
        <v>1728</v>
      </c>
    </row>
    <row r="28" spans="3:8" x14ac:dyDescent="0.25">
      <c r="C28" s="8"/>
      <c r="D28" s="2" t="s">
        <v>5326</v>
      </c>
      <c r="E28" s="2" t="s">
        <v>5330</v>
      </c>
      <c r="F28" s="4">
        <v>900</v>
      </c>
      <c r="G28" s="14"/>
      <c r="H28" s="9"/>
    </row>
    <row r="29" spans="3:8" x14ac:dyDescent="0.25">
      <c r="C29" s="8"/>
      <c r="D29" s="2" t="s">
        <v>5327</v>
      </c>
      <c r="E29" s="2" t="s">
        <v>5331</v>
      </c>
      <c r="F29" s="4"/>
      <c r="G29" s="14"/>
      <c r="H29" s="9">
        <v>12757.5</v>
      </c>
    </row>
    <row r="30" spans="3:8" x14ac:dyDescent="0.25">
      <c r="C30" s="8"/>
      <c r="D30" s="2" t="s">
        <v>5328</v>
      </c>
      <c r="E30" s="2" t="s">
        <v>440</v>
      </c>
      <c r="F30" s="4">
        <v>34.5</v>
      </c>
      <c r="G30" s="14"/>
      <c r="H30" s="9"/>
    </row>
    <row r="31" spans="3:8" x14ac:dyDescent="0.25">
      <c r="C31" s="8"/>
      <c r="D31" s="2" t="s">
        <v>5333</v>
      </c>
      <c r="E31" s="2" t="s">
        <v>5332</v>
      </c>
      <c r="F31" s="4"/>
      <c r="G31" s="14">
        <v>387.84</v>
      </c>
      <c r="H31" s="9"/>
    </row>
    <row r="32" spans="3:8" x14ac:dyDescent="0.25">
      <c r="C32" s="8"/>
      <c r="D32" s="2" t="s">
        <v>5334</v>
      </c>
      <c r="E32" s="2" t="s">
        <v>4643</v>
      </c>
      <c r="F32" s="4">
        <v>191.4</v>
      </c>
      <c r="G32" s="14"/>
      <c r="H32" s="9"/>
    </row>
    <row r="33" spans="3:8" x14ac:dyDescent="0.25">
      <c r="C33" s="8"/>
      <c r="D33" s="2" t="s">
        <v>5335</v>
      </c>
      <c r="E33" s="2" t="s">
        <v>5350</v>
      </c>
      <c r="F33" s="4"/>
      <c r="G33" s="14"/>
      <c r="H33" s="9">
        <v>2446</v>
      </c>
    </row>
    <row r="34" spans="3:8" x14ac:dyDescent="0.25">
      <c r="C34" s="8"/>
      <c r="D34" s="2" t="s">
        <v>5353</v>
      </c>
      <c r="E34" s="2"/>
      <c r="F34" s="4"/>
      <c r="G34" s="14"/>
      <c r="H34" s="9"/>
    </row>
    <row r="35" spans="3:8" x14ac:dyDescent="0.25">
      <c r="C35" s="8"/>
      <c r="D35" s="2" t="s">
        <v>5291</v>
      </c>
      <c r="E35" s="2" t="s">
        <v>5292</v>
      </c>
      <c r="F35" s="4"/>
      <c r="G35" s="14"/>
      <c r="H35" s="9">
        <v>433.6</v>
      </c>
    </row>
    <row r="36" spans="3:8" x14ac:dyDescent="0.25">
      <c r="C36" s="8"/>
      <c r="D36" s="2" t="s">
        <v>5295</v>
      </c>
      <c r="E36" s="2" t="s">
        <v>5293</v>
      </c>
      <c r="F36" s="4">
        <v>746</v>
      </c>
      <c r="G36" s="14"/>
      <c r="H36" s="9"/>
    </row>
    <row r="37" spans="3:8" x14ac:dyDescent="0.25">
      <c r="C37" s="8"/>
      <c r="D37" s="2" t="s">
        <v>5296</v>
      </c>
      <c r="E37" s="2" t="s">
        <v>5294</v>
      </c>
      <c r="F37" s="4">
        <v>4814</v>
      </c>
      <c r="G37" s="14"/>
      <c r="H37" s="9"/>
    </row>
    <row r="38" spans="3:8" x14ac:dyDescent="0.25">
      <c r="C38" s="8"/>
      <c r="D38" s="2" t="s">
        <v>5297</v>
      </c>
      <c r="E38" s="2" t="s">
        <v>5308</v>
      </c>
      <c r="F38" s="4"/>
      <c r="G38" s="14"/>
      <c r="H38" s="9">
        <v>49.5</v>
      </c>
    </row>
    <row r="39" spans="3:8" x14ac:dyDescent="0.25">
      <c r="C39" s="8"/>
      <c r="D39" s="2" t="s">
        <v>5298</v>
      </c>
      <c r="E39" s="2" t="s">
        <v>5055</v>
      </c>
      <c r="F39" s="4"/>
      <c r="G39" s="14"/>
      <c r="H39" s="9">
        <v>2018.1</v>
      </c>
    </row>
    <row r="40" spans="3:8" x14ac:dyDescent="0.25">
      <c r="C40" s="8"/>
      <c r="D40" s="2" t="s">
        <v>5299</v>
      </c>
      <c r="E40" s="2" t="s">
        <v>4696</v>
      </c>
      <c r="F40" s="4">
        <v>18</v>
      </c>
      <c r="G40" s="14"/>
      <c r="H40" s="9"/>
    </row>
    <row r="41" spans="3:8" x14ac:dyDescent="0.25">
      <c r="C41" s="8"/>
      <c r="D41" s="2" t="s">
        <v>5300</v>
      </c>
      <c r="E41" s="2" t="s">
        <v>1631</v>
      </c>
      <c r="F41" s="4">
        <v>7.5</v>
      </c>
      <c r="G41" s="14"/>
      <c r="H41" s="9"/>
    </row>
    <row r="42" spans="3:8" x14ac:dyDescent="0.25">
      <c r="C42" s="8"/>
      <c r="D42" s="2" t="s">
        <v>5301</v>
      </c>
      <c r="E42" s="2" t="s">
        <v>5055</v>
      </c>
      <c r="F42" s="4"/>
      <c r="G42" s="14"/>
      <c r="H42" s="9">
        <v>441.6</v>
      </c>
    </row>
    <row r="43" spans="3:8" x14ac:dyDescent="0.25">
      <c r="C43" s="8"/>
      <c r="D43" s="2" t="s">
        <v>5302</v>
      </c>
      <c r="E43" s="2" t="s">
        <v>5307</v>
      </c>
      <c r="F43" s="4"/>
      <c r="G43" s="14"/>
      <c r="H43" s="9">
        <v>143</v>
      </c>
    </row>
    <row r="44" spans="3:8" x14ac:dyDescent="0.25">
      <c r="C44" s="8"/>
      <c r="D44" s="2" t="s">
        <v>5303</v>
      </c>
      <c r="E44" s="2" t="s">
        <v>1631</v>
      </c>
      <c r="F44" s="4"/>
      <c r="G44" s="14"/>
      <c r="H44" s="9">
        <v>10</v>
      </c>
    </row>
    <row r="45" spans="3:8" x14ac:dyDescent="0.25">
      <c r="C45" s="8"/>
      <c r="D45" s="2" t="s">
        <v>5304</v>
      </c>
      <c r="E45" s="2" t="s">
        <v>1631</v>
      </c>
      <c r="F45" s="4">
        <v>34.5</v>
      </c>
      <c r="G45" s="14"/>
      <c r="H45" s="9"/>
    </row>
    <row r="46" spans="3:8" x14ac:dyDescent="0.25">
      <c r="C46" s="8"/>
      <c r="D46" s="2" t="s">
        <v>5305</v>
      </c>
      <c r="E46" s="2" t="s">
        <v>1631</v>
      </c>
      <c r="F46" s="4">
        <v>10.5</v>
      </c>
      <c r="G46" s="14"/>
      <c r="H46" s="9"/>
    </row>
    <row r="47" spans="3:8" x14ac:dyDescent="0.25">
      <c r="C47" s="8"/>
      <c r="D47" s="2" t="s">
        <v>5306</v>
      </c>
      <c r="E47" s="2" t="s">
        <v>4322</v>
      </c>
      <c r="F47" s="4"/>
      <c r="G47" s="14"/>
      <c r="H47" s="9">
        <v>130</v>
      </c>
    </row>
    <row r="48" spans="3:8" x14ac:dyDescent="0.25">
      <c r="C48" s="8"/>
      <c r="D48" s="2" t="s">
        <v>5316</v>
      </c>
      <c r="E48" s="2" t="s">
        <v>1631</v>
      </c>
      <c r="F48" s="4">
        <v>39.5</v>
      </c>
      <c r="G48" s="14"/>
      <c r="H48" s="9"/>
    </row>
    <row r="49" spans="3:8" x14ac:dyDescent="0.25">
      <c r="C49" s="8"/>
      <c r="D49" s="2" t="s">
        <v>5317</v>
      </c>
      <c r="E49" s="2" t="s">
        <v>1631</v>
      </c>
      <c r="F49" s="4">
        <v>6</v>
      </c>
      <c r="G49" s="14"/>
      <c r="H49" s="9"/>
    </row>
    <row r="50" spans="3:8" x14ac:dyDescent="0.25">
      <c r="C50" s="8"/>
      <c r="D50" s="2" t="s">
        <v>5318</v>
      </c>
      <c r="E50" s="2" t="s">
        <v>1631</v>
      </c>
      <c r="F50" s="4"/>
      <c r="G50" s="14"/>
      <c r="H50" s="9">
        <v>12</v>
      </c>
    </row>
    <row r="51" spans="3:8" x14ac:dyDescent="0.25">
      <c r="C51" s="8"/>
      <c r="D51" s="2" t="s">
        <v>5319</v>
      </c>
      <c r="E51" s="2" t="s">
        <v>2358</v>
      </c>
      <c r="F51" s="4"/>
      <c r="G51" s="14"/>
      <c r="H51" s="9">
        <v>853</v>
      </c>
    </row>
    <row r="52" spans="3:8" x14ac:dyDescent="0.25">
      <c r="C52" s="8"/>
      <c r="D52" s="2" t="s">
        <v>5320</v>
      </c>
      <c r="E52" s="2" t="s">
        <v>5341</v>
      </c>
      <c r="F52" s="4"/>
      <c r="G52" s="14">
        <v>4405.5</v>
      </c>
      <c r="H52" s="9"/>
    </row>
    <row r="53" spans="3:8" x14ac:dyDescent="0.25">
      <c r="C53" s="8"/>
      <c r="D53" s="2" t="s">
        <v>5342</v>
      </c>
      <c r="E53" s="2" t="s">
        <v>1631</v>
      </c>
      <c r="F53" s="4"/>
      <c r="G53" s="14"/>
      <c r="H53" s="9">
        <v>4</v>
      </c>
    </row>
    <row r="54" spans="3:8" x14ac:dyDescent="0.25">
      <c r="C54" s="8"/>
      <c r="D54" s="2" t="s">
        <v>5343</v>
      </c>
      <c r="E54" s="2" t="s">
        <v>1631</v>
      </c>
      <c r="F54" s="4">
        <v>4.5</v>
      </c>
      <c r="G54" s="14"/>
      <c r="H54" s="9"/>
    </row>
    <row r="55" spans="3:8" x14ac:dyDescent="0.25">
      <c r="C55" s="8"/>
      <c r="D55" s="2" t="s">
        <v>5344</v>
      </c>
      <c r="E55" s="2" t="s">
        <v>164</v>
      </c>
      <c r="F55" s="4"/>
      <c r="G55" s="14">
        <v>484.5</v>
      </c>
      <c r="H55" s="9"/>
    </row>
    <row r="56" spans="3:8" x14ac:dyDescent="0.25">
      <c r="C56" s="8"/>
      <c r="D56" s="2" t="s">
        <v>5352</v>
      </c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29"/>
      <c r="D58" s="30"/>
      <c r="E58" s="30" t="s">
        <v>60</v>
      </c>
      <c r="F58" s="4"/>
      <c r="G58" s="14"/>
      <c r="H58" s="9"/>
    </row>
    <row r="59" spans="3:8" x14ac:dyDescent="0.25">
      <c r="C59" s="8"/>
      <c r="D59" s="45" t="s">
        <v>5262</v>
      </c>
      <c r="E59" s="2" t="s">
        <v>5265</v>
      </c>
      <c r="F59" s="4"/>
      <c r="G59" s="14"/>
      <c r="H59" s="9">
        <v>12</v>
      </c>
    </row>
    <row r="60" spans="3:8" x14ac:dyDescent="0.25">
      <c r="C60" s="8"/>
      <c r="D60" s="45" t="s">
        <v>5263</v>
      </c>
      <c r="E60" s="2" t="s">
        <v>5266</v>
      </c>
      <c r="F60" s="4"/>
      <c r="G60" s="14"/>
      <c r="H60" s="9">
        <v>25.5</v>
      </c>
    </row>
    <row r="61" spans="3:8" x14ac:dyDescent="0.25">
      <c r="C61" s="8"/>
      <c r="D61" s="45" t="s">
        <v>5264</v>
      </c>
      <c r="E61" s="2" t="s">
        <v>5267</v>
      </c>
      <c r="F61" s="4"/>
      <c r="G61" s="14"/>
      <c r="H61" s="9">
        <v>1590</v>
      </c>
    </row>
    <row r="62" spans="3:8" x14ac:dyDescent="0.25">
      <c r="C62" s="8"/>
      <c r="D62" s="45" t="s">
        <v>5337</v>
      </c>
      <c r="E62" s="2" t="s">
        <v>5339</v>
      </c>
      <c r="F62" s="4"/>
      <c r="G62" s="14"/>
      <c r="H62" s="9">
        <v>1725</v>
      </c>
    </row>
    <row r="63" spans="3:8" x14ac:dyDescent="0.25">
      <c r="C63" s="8"/>
      <c r="D63" s="45" t="s">
        <v>5338</v>
      </c>
      <c r="E63" s="2" t="s">
        <v>5340</v>
      </c>
      <c r="F63" s="4"/>
      <c r="G63" s="14"/>
      <c r="H63" s="9">
        <v>90</v>
      </c>
    </row>
    <row r="64" spans="3:8" x14ac:dyDescent="0.25">
      <c r="C64" s="8"/>
      <c r="D64" s="45"/>
      <c r="E64" s="2"/>
      <c r="F64" s="4"/>
      <c r="G64" s="14"/>
      <c r="H64" s="9"/>
    </row>
    <row r="65" spans="3:8" x14ac:dyDescent="0.25">
      <c r="C65" s="8"/>
      <c r="D65" s="45" t="s">
        <v>5322</v>
      </c>
      <c r="E65" s="2" t="s">
        <v>5321</v>
      </c>
      <c r="F65" s="4"/>
      <c r="G65" s="14"/>
      <c r="H65" s="9">
        <v>180</v>
      </c>
    </row>
    <row r="66" spans="3:8" x14ac:dyDescent="0.25">
      <c r="C66" s="8"/>
      <c r="D66" s="45"/>
      <c r="E66" s="2"/>
      <c r="F66" s="4"/>
      <c r="G66" s="14"/>
      <c r="H66" s="9"/>
    </row>
    <row r="67" spans="3:8" x14ac:dyDescent="0.25">
      <c r="C67" s="8"/>
      <c r="D67" s="45"/>
      <c r="E67" s="2"/>
      <c r="F67" s="4"/>
      <c r="G67" s="14"/>
      <c r="H67" s="9"/>
    </row>
    <row r="68" spans="3:8" x14ac:dyDescent="0.25">
      <c r="C68" s="8"/>
      <c r="D68" s="45"/>
      <c r="E68" s="2"/>
      <c r="F68" s="4"/>
      <c r="G68" s="14"/>
      <c r="H68" s="9"/>
    </row>
    <row r="69" spans="3:8" x14ac:dyDescent="0.25">
      <c r="C69" s="8"/>
      <c r="D69" s="45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2" t="s">
        <v>5309</v>
      </c>
      <c r="F72" s="4">
        <v>464.5</v>
      </c>
      <c r="G72" s="14"/>
      <c r="H72" s="9"/>
    </row>
    <row r="73" spans="3:8" x14ac:dyDescent="0.25">
      <c r="C73" s="8"/>
      <c r="D73" s="2"/>
      <c r="E73" s="2" t="s">
        <v>5310</v>
      </c>
      <c r="F73" s="4">
        <v>9</v>
      </c>
      <c r="G73" s="14"/>
      <c r="H73" s="9"/>
    </row>
    <row r="74" spans="3:8" x14ac:dyDescent="0.25">
      <c r="C74" s="8"/>
      <c r="D74" s="2"/>
      <c r="E74" s="2" t="s">
        <v>5311</v>
      </c>
      <c r="F74" s="4">
        <v>54</v>
      </c>
      <c r="G74" s="14"/>
      <c r="H74" s="9"/>
    </row>
    <row r="75" spans="3:8" x14ac:dyDescent="0.25">
      <c r="C75" s="8"/>
      <c r="D75" s="2"/>
      <c r="E75" s="2" t="s">
        <v>5345</v>
      </c>
      <c r="F75" s="4">
        <v>50</v>
      </c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9"/>
      <c r="D82" s="20"/>
      <c r="E82" s="20" t="s">
        <v>42</v>
      </c>
      <c r="F82" s="4"/>
      <c r="G82" s="14"/>
      <c r="H82" s="9"/>
    </row>
    <row r="83" spans="3:8" x14ac:dyDescent="0.25">
      <c r="C83" s="34"/>
      <c r="D83" s="42"/>
      <c r="E83" s="68" t="s">
        <v>5260</v>
      </c>
      <c r="F83" s="14">
        <v>-1080</v>
      </c>
      <c r="G83" s="14"/>
      <c r="H83" s="9"/>
    </row>
    <row r="84" spans="3:8" x14ac:dyDescent="0.25">
      <c r="C84" s="34"/>
      <c r="D84" s="42"/>
      <c r="E84" s="68" t="s">
        <v>5261</v>
      </c>
      <c r="F84" s="14">
        <v>-237</v>
      </c>
      <c r="G84" s="14"/>
      <c r="H84" s="9"/>
    </row>
    <row r="85" spans="3:8" x14ac:dyDescent="0.25">
      <c r="C85" s="34"/>
      <c r="D85" s="42"/>
      <c r="E85" s="68" t="s">
        <v>5336</v>
      </c>
      <c r="F85" s="14">
        <v>-395.56</v>
      </c>
      <c r="G85" s="14"/>
      <c r="H85" s="9"/>
    </row>
    <row r="86" spans="3:8" x14ac:dyDescent="0.25">
      <c r="C86" s="34"/>
      <c r="D86" s="42"/>
      <c r="E86" s="68" t="s">
        <v>5336</v>
      </c>
      <c r="F86" s="14">
        <v>-2913.7</v>
      </c>
      <c r="G86" s="14"/>
      <c r="H86" s="9"/>
    </row>
    <row r="87" spans="3:8" x14ac:dyDescent="0.25">
      <c r="C87" s="34"/>
      <c r="D87" s="42"/>
      <c r="E87" s="68"/>
      <c r="F87" s="14"/>
      <c r="G87" s="14"/>
      <c r="H87" s="9"/>
    </row>
    <row r="88" spans="3:8" x14ac:dyDescent="0.25">
      <c r="C88" s="34"/>
      <c r="D88" s="42"/>
      <c r="E88" s="68" t="s">
        <v>5312</v>
      </c>
      <c r="F88" s="14">
        <v>-2</v>
      </c>
      <c r="G88" s="14"/>
      <c r="H88" s="9"/>
    </row>
    <row r="89" spans="3:8" x14ac:dyDescent="0.25">
      <c r="C89" s="34"/>
      <c r="D89" s="42"/>
      <c r="E89" s="68" t="s">
        <v>5313</v>
      </c>
      <c r="F89" s="14">
        <v>-100</v>
      </c>
      <c r="G89" s="14"/>
      <c r="H89" s="9"/>
    </row>
    <row r="90" spans="3:8" x14ac:dyDescent="0.25">
      <c r="C90" s="34"/>
      <c r="D90" s="42"/>
      <c r="E90" s="68" t="s">
        <v>5314</v>
      </c>
      <c r="F90" s="14">
        <v>-40</v>
      </c>
      <c r="G90" s="14"/>
      <c r="H90" s="9"/>
    </row>
    <row r="91" spans="3:8" x14ac:dyDescent="0.25">
      <c r="C91" s="34"/>
      <c r="D91" s="42"/>
      <c r="E91" s="68" t="s">
        <v>5315</v>
      </c>
      <c r="F91" s="14">
        <v>-35</v>
      </c>
      <c r="G91" s="14"/>
      <c r="H91" s="9"/>
    </row>
    <row r="92" spans="3:8" x14ac:dyDescent="0.25">
      <c r="C92" s="34"/>
      <c r="D92" s="42"/>
      <c r="E92" s="96" t="s">
        <v>5346</v>
      </c>
      <c r="F92" s="14">
        <v>-200</v>
      </c>
      <c r="G92" s="14"/>
      <c r="H92" s="9"/>
    </row>
    <row r="93" spans="3:8" x14ac:dyDescent="0.25">
      <c r="C93" s="34"/>
      <c r="D93" s="42"/>
      <c r="E93" s="68" t="s">
        <v>5347</v>
      </c>
      <c r="F93" s="14">
        <v>-33</v>
      </c>
      <c r="G93" s="14"/>
      <c r="H93" s="9"/>
    </row>
    <row r="94" spans="3:8" x14ac:dyDescent="0.25">
      <c r="C94" s="8"/>
      <c r="D94" s="2"/>
      <c r="E94" s="68" t="s">
        <v>5348</v>
      </c>
      <c r="F94" s="14">
        <v>-191.9</v>
      </c>
      <c r="G94" s="14"/>
      <c r="H94" s="9"/>
    </row>
    <row r="95" spans="3:8" x14ac:dyDescent="0.25">
      <c r="C95" s="8"/>
      <c r="D95" s="2"/>
      <c r="E95" s="68" t="s">
        <v>5349</v>
      </c>
      <c r="F95" s="14">
        <v>-1040</v>
      </c>
      <c r="G95" s="14"/>
      <c r="H95" s="9"/>
    </row>
    <row r="96" spans="3:8" x14ac:dyDescent="0.25">
      <c r="C96" s="8"/>
      <c r="D96" s="2"/>
      <c r="E96" s="68"/>
      <c r="F96" s="14"/>
      <c r="G96" s="14"/>
      <c r="H96" s="9"/>
    </row>
    <row r="97" spans="3:8" x14ac:dyDescent="0.25">
      <c r="C97" s="8"/>
      <c r="D97" s="2"/>
      <c r="E97" s="68"/>
      <c r="F97" s="14"/>
      <c r="G97" s="14"/>
      <c r="H97" s="9"/>
    </row>
    <row r="98" spans="3:8" x14ac:dyDescent="0.25">
      <c r="C98" s="8"/>
      <c r="D98" s="2"/>
      <c r="E98" s="68"/>
      <c r="F98" s="14"/>
      <c r="G98" s="14"/>
      <c r="H98" s="9"/>
    </row>
    <row r="99" spans="3:8" x14ac:dyDescent="0.25">
      <c r="C99" s="8"/>
      <c r="D99" s="2"/>
      <c r="E99" s="68"/>
      <c r="F99" s="14"/>
      <c r="G99" s="14"/>
      <c r="H99" s="9"/>
    </row>
    <row r="100" spans="3:8" x14ac:dyDescent="0.25">
      <c r="C100" s="99"/>
      <c r="D100" s="100"/>
      <c r="E100" s="104"/>
      <c r="F100" s="102"/>
      <c r="G100" s="102"/>
      <c r="H100" s="103"/>
    </row>
    <row r="101" spans="3:8" x14ac:dyDescent="0.25">
      <c r="C101" s="99"/>
      <c r="D101" s="100"/>
      <c r="E101" s="100"/>
      <c r="F101" s="101"/>
      <c r="G101" s="102"/>
      <c r="H101" s="103"/>
    </row>
    <row r="102" spans="3:8" ht="15.75" thickBot="1" x14ac:dyDescent="0.3">
      <c r="C102" s="10"/>
      <c r="D102" s="11"/>
      <c r="E102" s="11" t="s">
        <v>44</v>
      </c>
      <c r="F102" s="12">
        <f>SUM(F6:F100)</f>
        <v>2778.2399999999993</v>
      </c>
      <c r="G102" s="15">
        <f>SUM(G6:G99)</f>
        <v>5461.34</v>
      </c>
      <c r="H102" s="13">
        <f>SUM(H6:H99)</f>
        <v>25636.899999999994</v>
      </c>
    </row>
    <row r="105" spans="3:8" s="3" customFormat="1" ht="18.75" x14ac:dyDescent="0.3">
      <c r="C105" s="1"/>
      <c r="D105" s="1"/>
      <c r="E105" s="38" t="s">
        <v>49</v>
      </c>
      <c r="F105" s="39">
        <f>+H4+F102</f>
        <v>3877.9499999999994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7912-8023-432C-93C7-C987A5D459FA}">
  <sheetPr codeName="Hoja60"/>
  <dimension ref="C2:M115"/>
  <sheetViews>
    <sheetView topLeftCell="A70" zoomScaleNormal="100" workbookViewId="0">
      <selection activeCell="D62" sqref="D62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5351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3877.95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5353</v>
      </c>
      <c r="E6" s="2" t="s">
        <v>440</v>
      </c>
      <c r="F6" s="4"/>
      <c r="G6" s="14"/>
      <c r="H6" s="9">
        <v>117</v>
      </c>
    </row>
    <row r="7" spans="3:8" x14ac:dyDescent="0.25">
      <c r="C7" s="8"/>
      <c r="D7" s="2" t="s">
        <v>5360</v>
      </c>
      <c r="E7" s="2" t="s">
        <v>440</v>
      </c>
      <c r="F7" s="4"/>
      <c r="G7" s="14"/>
      <c r="H7" s="9">
        <v>63</v>
      </c>
    </row>
    <row r="8" spans="3:8" x14ac:dyDescent="0.25">
      <c r="C8" s="8"/>
      <c r="D8" s="2" t="s">
        <v>5361</v>
      </c>
      <c r="E8" s="2" t="s">
        <v>5266</v>
      </c>
      <c r="F8" s="4"/>
      <c r="G8" s="14"/>
      <c r="H8" s="9">
        <v>9</v>
      </c>
    </row>
    <row r="9" spans="3:8" x14ac:dyDescent="0.25">
      <c r="C9" s="8"/>
      <c r="D9" s="2" t="s">
        <v>5362</v>
      </c>
      <c r="E9" s="2" t="s">
        <v>440</v>
      </c>
      <c r="F9" s="4">
        <v>8</v>
      </c>
      <c r="G9" s="14"/>
      <c r="H9" s="9"/>
    </row>
    <row r="10" spans="3:8" x14ac:dyDescent="0.25">
      <c r="C10" s="8"/>
      <c r="D10" s="2" t="s">
        <v>5363</v>
      </c>
      <c r="E10" s="2" t="s">
        <v>4602</v>
      </c>
      <c r="F10" s="4"/>
      <c r="G10" s="14">
        <v>21</v>
      </c>
      <c r="H10" s="9"/>
    </row>
    <row r="11" spans="3:8" x14ac:dyDescent="0.25">
      <c r="C11" s="8"/>
      <c r="D11" s="2" t="s">
        <v>5364</v>
      </c>
      <c r="E11" s="2" t="s">
        <v>440</v>
      </c>
      <c r="F11" s="4"/>
      <c r="G11" s="14"/>
      <c r="H11" s="9">
        <v>34.5</v>
      </c>
    </row>
    <row r="12" spans="3:8" x14ac:dyDescent="0.25">
      <c r="C12" s="8"/>
      <c r="D12" s="2" t="s">
        <v>5365</v>
      </c>
      <c r="E12" s="2" t="s">
        <v>5393</v>
      </c>
      <c r="F12" s="4">
        <v>1728</v>
      </c>
      <c r="G12" s="14"/>
      <c r="H12" s="9"/>
    </row>
    <row r="13" spans="3:8" x14ac:dyDescent="0.25">
      <c r="C13" s="8"/>
      <c r="D13" s="2" t="s">
        <v>5366</v>
      </c>
      <c r="E13" s="2" t="s">
        <v>5392</v>
      </c>
      <c r="F13" s="4">
        <v>100</v>
      </c>
      <c r="G13" s="14"/>
      <c r="H13" s="9"/>
    </row>
    <row r="14" spans="3:8" x14ac:dyDescent="0.25">
      <c r="C14" s="8"/>
      <c r="D14" s="2" t="s">
        <v>5367</v>
      </c>
      <c r="E14" s="2" t="s">
        <v>5391</v>
      </c>
      <c r="F14" s="4">
        <v>340</v>
      </c>
      <c r="G14" s="14"/>
      <c r="H14" s="9"/>
    </row>
    <row r="15" spans="3:8" x14ac:dyDescent="0.25">
      <c r="C15" s="8"/>
      <c r="D15" s="2" t="s">
        <v>5368</v>
      </c>
      <c r="E15" s="2" t="s">
        <v>440</v>
      </c>
      <c r="F15" s="4">
        <v>1</v>
      </c>
      <c r="G15" s="14"/>
      <c r="H15" s="9"/>
    </row>
    <row r="16" spans="3:8" x14ac:dyDescent="0.25">
      <c r="C16" s="8"/>
      <c r="D16" s="2" t="s">
        <v>5369</v>
      </c>
      <c r="E16" s="2" t="s">
        <v>5390</v>
      </c>
      <c r="F16" s="4">
        <v>1976.8</v>
      </c>
      <c r="G16" s="14"/>
      <c r="H16" s="9"/>
    </row>
    <row r="17" spans="3:8" x14ac:dyDescent="0.25">
      <c r="C17" s="8"/>
      <c r="D17" s="2" t="s">
        <v>5370</v>
      </c>
      <c r="E17" s="2" t="s">
        <v>440</v>
      </c>
      <c r="F17" s="4">
        <v>10</v>
      </c>
      <c r="G17" s="14"/>
      <c r="H17" s="9"/>
    </row>
    <row r="18" spans="3:8" x14ac:dyDescent="0.25">
      <c r="C18" s="8"/>
      <c r="D18" s="2" t="s">
        <v>5371</v>
      </c>
      <c r="E18" s="2" t="s">
        <v>440</v>
      </c>
      <c r="F18" s="4">
        <v>6</v>
      </c>
      <c r="G18" s="14"/>
      <c r="H18" s="9"/>
    </row>
    <row r="19" spans="3:8" x14ac:dyDescent="0.25">
      <c r="C19" s="8"/>
      <c r="D19" s="2" t="s">
        <v>5372</v>
      </c>
      <c r="E19" s="2" t="s">
        <v>440</v>
      </c>
      <c r="F19" s="4">
        <v>6</v>
      </c>
      <c r="G19" s="14"/>
      <c r="H19" s="9"/>
    </row>
    <row r="20" spans="3:8" x14ac:dyDescent="0.25">
      <c r="C20" s="8"/>
      <c r="D20" s="2" t="s">
        <v>5373</v>
      </c>
      <c r="E20" s="2" t="s">
        <v>440</v>
      </c>
      <c r="F20" s="4">
        <v>40</v>
      </c>
      <c r="G20" s="14"/>
      <c r="H20" s="9"/>
    </row>
    <row r="21" spans="3:8" x14ac:dyDescent="0.25">
      <c r="C21" s="8"/>
      <c r="D21" s="2" t="s">
        <v>5374</v>
      </c>
      <c r="E21" s="2" t="s">
        <v>440</v>
      </c>
      <c r="F21" s="4"/>
      <c r="G21" s="14"/>
      <c r="H21" s="9">
        <v>25</v>
      </c>
    </row>
    <row r="22" spans="3:8" x14ac:dyDescent="0.25">
      <c r="C22" s="8"/>
      <c r="D22" s="2" t="s">
        <v>5375</v>
      </c>
      <c r="E22" s="2" t="s">
        <v>440</v>
      </c>
      <c r="F22" s="4"/>
      <c r="G22" s="14"/>
      <c r="H22" s="9">
        <v>10</v>
      </c>
    </row>
    <row r="23" spans="3:8" x14ac:dyDescent="0.25">
      <c r="C23" s="8"/>
      <c r="D23" s="2" t="s">
        <v>5376</v>
      </c>
      <c r="E23" s="2" t="s">
        <v>440</v>
      </c>
      <c r="F23" s="4">
        <v>6</v>
      </c>
      <c r="G23" s="14"/>
      <c r="H23" s="9"/>
    </row>
    <row r="24" spans="3:8" x14ac:dyDescent="0.25">
      <c r="C24" s="8"/>
      <c r="D24" s="2" t="s">
        <v>5377</v>
      </c>
      <c r="E24" s="2" t="s">
        <v>440</v>
      </c>
      <c r="F24" s="4">
        <v>10.4</v>
      </c>
      <c r="G24" s="14"/>
      <c r="H24" s="9"/>
    </row>
    <row r="25" spans="3:8" x14ac:dyDescent="0.25">
      <c r="C25" s="8"/>
      <c r="D25" s="2" t="s">
        <v>5378</v>
      </c>
      <c r="E25" s="2" t="s">
        <v>440</v>
      </c>
      <c r="F25" s="4">
        <v>15</v>
      </c>
      <c r="G25" s="14"/>
      <c r="H25" s="9"/>
    </row>
    <row r="26" spans="3:8" x14ac:dyDescent="0.25">
      <c r="C26" s="8"/>
      <c r="D26" s="2" t="s">
        <v>5379</v>
      </c>
      <c r="E26" s="2" t="s">
        <v>440</v>
      </c>
      <c r="F26" s="4">
        <v>10</v>
      </c>
      <c r="G26" s="14"/>
      <c r="H26" s="9"/>
    </row>
    <row r="27" spans="3:8" x14ac:dyDescent="0.25">
      <c r="C27" s="8"/>
      <c r="D27" s="2" t="s">
        <v>5380</v>
      </c>
      <c r="E27" s="2" t="s">
        <v>440</v>
      </c>
      <c r="F27" s="4">
        <v>10</v>
      </c>
      <c r="G27" s="14"/>
      <c r="H27" s="9"/>
    </row>
    <row r="28" spans="3:8" x14ac:dyDescent="0.25">
      <c r="C28" s="8"/>
      <c r="D28" s="2" t="s">
        <v>5381</v>
      </c>
      <c r="E28" s="2" t="s">
        <v>440</v>
      </c>
      <c r="F28" s="4">
        <v>19</v>
      </c>
      <c r="G28" s="14"/>
      <c r="H28" s="9"/>
    </row>
    <row r="29" spans="3:8" x14ac:dyDescent="0.25">
      <c r="C29" s="8"/>
      <c r="D29" s="2" t="s">
        <v>5382</v>
      </c>
      <c r="E29" s="2" t="s">
        <v>5389</v>
      </c>
      <c r="F29" s="4"/>
      <c r="G29" s="14"/>
      <c r="H29" s="9">
        <v>266.5</v>
      </c>
    </row>
    <row r="30" spans="3:8" x14ac:dyDescent="0.25">
      <c r="C30" s="8"/>
      <c r="D30" s="2" t="s">
        <v>5383</v>
      </c>
      <c r="E30" s="2" t="s">
        <v>5388</v>
      </c>
      <c r="F30" s="4">
        <v>700</v>
      </c>
      <c r="G30" s="14"/>
      <c r="H30" s="9"/>
    </row>
    <row r="31" spans="3:8" x14ac:dyDescent="0.25">
      <c r="C31" s="8"/>
      <c r="D31" s="2" t="s">
        <v>5384</v>
      </c>
      <c r="E31" s="2" t="s">
        <v>5387</v>
      </c>
      <c r="F31" s="4">
        <v>24</v>
      </c>
      <c r="G31" s="14"/>
      <c r="H31" s="9"/>
    </row>
    <row r="32" spans="3:8" x14ac:dyDescent="0.25">
      <c r="C32" s="8"/>
      <c r="D32" s="2" t="s">
        <v>5385</v>
      </c>
      <c r="E32" s="2" t="s">
        <v>5159</v>
      </c>
      <c r="F32" s="4">
        <v>200</v>
      </c>
      <c r="G32" s="14"/>
      <c r="H32" s="9">
        <v>140</v>
      </c>
    </row>
    <row r="33" spans="3:8" x14ac:dyDescent="0.25">
      <c r="C33" s="8"/>
      <c r="D33" s="2" t="s">
        <v>5386</v>
      </c>
      <c r="E33" s="2" t="s">
        <v>440</v>
      </c>
      <c r="F33" s="4">
        <v>4.5</v>
      </c>
      <c r="G33" s="14"/>
      <c r="H33" s="9"/>
    </row>
    <row r="34" spans="3:8" x14ac:dyDescent="0.25">
      <c r="C34" s="8"/>
      <c r="D34" s="2" t="s">
        <v>5441</v>
      </c>
      <c r="E34" s="2" t="s">
        <v>440</v>
      </c>
      <c r="F34" s="4">
        <v>10</v>
      </c>
      <c r="G34" s="14"/>
      <c r="H34" s="9"/>
    </row>
    <row r="35" spans="3:8" x14ac:dyDescent="0.25">
      <c r="C35" s="8"/>
      <c r="D35" s="2" t="s">
        <v>5449</v>
      </c>
      <c r="E35" s="2" t="s">
        <v>4635</v>
      </c>
      <c r="F35" s="4"/>
      <c r="G35" s="14">
        <v>17.5</v>
      </c>
      <c r="H35" s="9"/>
    </row>
    <row r="36" spans="3:8" x14ac:dyDescent="0.25">
      <c r="C36" s="8"/>
      <c r="D36" s="2" t="s">
        <v>5450</v>
      </c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 t="s">
        <v>5352</v>
      </c>
      <c r="E38" s="2" t="s">
        <v>5394</v>
      </c>
      <c r="F38" s="4"/>
      <c r="G38" s="14"/>
      <c r="H38" s="9">
        <v>4</v>
      </c>
    </row>
    <row r="39" spans="3:8" x14ac:dyDescent="0.25">
      <c r="C39" s="8"/>
      <c r="D39" s="2" t="s">
        <v>5395</v>
      </c>
      <c r="E39" s="2" t="s">
        <v>5394</v>
      </c>
      <c r="F39" s="4">
        <v>119</v>
      </c>
      <c r="G39" s="14"/>
      <c r="H39" s="9"/>
    </row>
    <row r="40" spans="3:8" x14ac:dyDescent="0.25">
      <c r="C40" s="8"/>
      <c r="D40" s="2" t="s">
        <v>5396</v>
      </c>
      <c r="E40" s="2" t="s">
        <v>5232</v>
      </c>
      <c r="F40" s="4"/>
      <c r="G40" s="14"/>
      <c r="H40" s="9">
        <v>685</v>
      </c>
    </row>
    <row r="41" spans="3:8" x14ac:dyDescent="0.25">
      <c r="C41" s="8"/>
      <c r="D41" s="2" t="s">
        <v>5397</v>
      </c>
      <c r="E41" s="2" t="s">
        <v>5394</v>
      </c>
      <c r="F41" s="4">
        <v>8.5</v>
      </c>
      <c r="G41" s="14"/>
      <c r="H41" s="9"/>
    </row>
    <row r="42" spans="3:8" x14ac:dyDescent="0.25">
      <c r="C42" s="8"/>
      <c r="D42" s="2" t="s">
        <v>5398</v>
      </c>
      <c r="E42" s="2" t="s">
        <v>5394</v>
      </c>
      <c r="F42" s="4"/>
      <c r="G42" s="14"/>
      <c r="H42" s="9">
        <v>23</v>
      </c>
    </row>
    <row r="43" spans="3:8" x14ac:dyDescent="0.25">
      <c r="C43" s="8"/>
      <c r="D43" s="2" t="s">
        <v>5399</v>
      </c>
      <c r="E43" s="2" t="s">
        <v>5394</v>
      </c>
      <c r="F43" s="4">
        <v>40</v>
      </c>
      <c r="G43" s="14"/>
      <c r="H43" s="9"/>
    </row>
    <row r="44" spans="3:8" x14ac:dyDescent="0.25">
      <c r="C44" s="8"/>
      <c r="D44" s="2" t="s">
        <v>5400</v>
      </c>
      <c r="E44" s="2" t="s">
        <v>5422</v>
      </c>
      <c r="F44" s="4"/>
      <c r="G44" s="14"/>
      <c r="H44" s="9">
        <v>178</v>
      </c>
    </row>
    <row r="45" spans="3:8" x14ac:dyDescent="0.25">
      <c r="C45" s="8"/>
      <c r="D45" s="2" t="s">
        <v>5401</v>
      </c>
      <c r="E45" s="2" t="s">
        <v>5394</v>
      </c>
      <c r="F45" s="4">
        <v>29</v>
      </c>
      <c r="G45" s="14"/>
      <c r="H45" s="9"/>
    </row>
    <row r="46" spans="3:8" x14ac:dyDescent="0.25">
      <c r="C46" s="8"/>
      <c r="D46" s="2" t="s">
        <v>5402</v>
      </c>
      <c r="E46" s="2" t="s">
        <v>5394</v>
      </c>
      <c r="F46" s="4">
        <v>94</v>
      </c>
      <c r="G46" s="14"/>
      <c r="H46" s="9"/>
    </row>
    <row r="47" spans="3:8" x14ac:dyDescent="0.25">
      <c r="C47" s="8"/>
      <c r="D47" s="2" t="s">
        <v>5403</v>
      </c>
      <c r="E47" s="2" t="s">
        <v>5421</v>
      </c>
      <c r="F47" s="4">
        <v>246.5</v>
      </c>
      <c r="G47" s="14"/>
      <c r="H47" s="9"/>
    </row>
    <row r="48" spans="3:8" x14ac:dyDescent="0.25">
      <c r="C48" s="8"/>
      <c r="D48" s="2" t="s">
        <v>5404</v>
      </c>
      <c r="E48" s="2" t="s">
        <v>5420</v>
      </c>
      <c r="F48" s="4">
        <v>2481</v>
      </c>
      <c r="G48" s="14"/>
      <c r="H48" s="9">
        <v>200</v>
      </c>
    </row>
    <row r="49" spans="3:8" x14ac:dyDescent="0.25">
      <c r="C49" s="8"/>
      <c r="D49" s="2" t="s">
        <v>5405</v>
      </c>
      <c r="E49" s="2" t="s">
        <v>5394</v>
      </c>
      <c r="F49" s="4">
        <v>33.700000000000003</v>
      </c>
      <c r="G49" s="14"/>
      <c r="H49" s="9"/>
    </row>
    <row r="50" spans="3:8" x14ac:dyDescent="0.25">
      <c r="C50" s="8"/>
      <c r="D50" s="2" t="s">
        <v>5406</v>
      </c>
      <c r="E50" s="2" t="s">
        <v>5419</v>
      </c>
      <c r="F50" s="4">
        <v>4</v>
      </c>
      <c r="G50" s="14"/>
      <c r="H50" s="9">
        <v>64.5</v>
      </c>
    </row>
    <row r="51" spans="3:8" x14ac:dyDescent="0.25">
      <c r="C51" s="8"/>
      <c r="D51" s="2" t="s">
        <v>5407</v>
      </c>
      <c r="E51" s="2" t="s">
        <v>5394</v>
      </c>
      <c r="F51" s="4">
        <v>6</v>
      </c>
      <c r="G51" s="14"/>
      <c r="H51" s="9"/>
    </row>
    <row r="52" spans="3:8" x14ac:dyDescent="0.25">
      <c r="C52" s="8"/>
      <c r="D52" s="2" t="s">
        <v>5408</v>
      </c>
      <c r="E52" s="2" t="s">
        <v>5394</v>
      </c>
      <c r="F52" s="4"/>
      <c r="G52" s="14"/>
      <c r="H52" s="9">
        <v>18</v>
      </c>
    </row>
    <row r="53" spans="3:8" x14ac:dyDescent="0.25">
      <c r="C53" s="8"/>
      <c r="D53" s="2" t="s">
        <v>5409</v>
      </c>
      <c r="E53" s="2" t="s">
        <v>5418</v>
      </c>
      <c r="F53" s="4">
        <v>1270</v>
      </c>
      <c r="G53" s="14"/>
      <c r="H53" s="9">
        <v>2</v>
      </c>
    </row>
    <row r="54" spans="3:8" x14ac:dyDescent="0.25">
      <c r="C54" s="8"/>
      <c r="D54" s="2" t="s">
        <v>5410</v>
      </c>
      <c r="E54" s="2" t="s">
        <v>5417</v>
      </c>
      <c r="F54" s="4"/>
      <c r="G54" s="14">
        <v>4057.2</v>
      </c>
      <c r="H54" s="9"/>
    </row>
    <row r="55" spans="3:8" x14ac:dyDescent="0.25">
      <c r="C55" s="8"/>
      <c r="D55" s="2" t="s">
        <v>5411</v>
      </c>
      <c r="E55" s="2" t="s">
        <v>5416</v>
      </c>
      <c r="F55" s="4"/>
      <c r="G55" s="14"/>
      <c r="H55" s="9">
        <v>240</v>
      </c>
    </row>
    <row r="56" spans="3:8" x14ac:dyDescent="0.25">
      <c r="C56" s="8"/>
      <c r="D56" s="2" t="s">
        <v>5412</v>
      </c>
      <c r="E56" s="2" t="s">
        <v>5415</v>
      </c>
      <c r="F56" s="4"/>
      <c r="G56" s="14"/>
      <c r="H56" s="9">
        <v>843.5</v>
      </c>
    </row>
    <row r="57" spans="3:8" x14ac:dyDescent="0.25">
      <c r="C57" s="8"/>
      <c r="D57" s="2" t="s">
        <v>5413</v>
      </c>
      <c r="E57" s="2" t="s">
        <v>5414</v>
      </c>
      <c r="F57" s="4"/>
      <c r="G57" s="41">
        <v>42075</v>
      </c>
      <c r="H57" s="9"/>
    </row>
    <row r="58" spans="3:8" x14ac:dyDescent="0.25">
      <c r="C58" s="8"/>
      <c r="D58" s="2" t="s">
        <v>5437</v>
      </c>
      <c r="E58" s="2" t="s">
        <v>5436</v>
      </c>
      <c r="F58" s="4">
        <v>167.6</v>
      </c>
      <c r="G58" s="14"/>
      <c r="H58" s="9"/>
    </row>
    <row r="59" spans="3:8" x14ac:dyDescent="0.25">
      <c r="C59" s="8"/>
      <c r="D59" s="2" t="s">
        <v>5438</v>
      </c>
      <c r="E59" s="2" t="s">
        <v>5394</v>
      </c>
      <c r="F59" s="4"/>
      <c r="G59" s="14"/>
      <c r="H59" s="9">
        <v>28</v>
      </c>
    </row>
    <row r="60" spans="3:8" x14ac:dyDescent="0.25">
      <c r="C60" s="8"/>
      <c r="D60" s="2" t="s">
        <v>5439</v>
      </c>
      <c r="E60" s="2" t="s">
        <v>58</v>
      </c>
      <c r="F60" s="4"/>
      <c r="G60" s="14"/>
      <c r="H60" s="9">
        <v>337</v>
      </c>
    </row>
    <row r="61" spans="3:8" x14ac:dyDescent="0.25">
      <c r="C61" s="8"/>
      <c r="D61" s="2" t="s">
        <v>5440</v>
      </c>
      <c r="E61" s="2" t="s">
        <v>766</v>
      </c>
      <c r="F61" s="4">
        <v>31.5</v>
      </c>
      <c r="G61" s="14"/>
      <c r="H61" s="9"/>
    </row>
    <row r="62" spans="3:8" x14ac:dyDescent="0.25">
      <c r="C62" s="8"/>
      <c r="D62" s="2" t="s">
        <v>5530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29"/>
      <c r="D65" s="30"/>
      <c r="E65" s="30" t="s">
        <v>60</v>
      </c>
      <c r="F65" s="4"/>
      <c r="G65" s="14"/>
      <c r="H65" s="9"/>
    </row>
    <row r="66" spans="3:8" x14ac:dyDescent="0.25">
      <c r="C66" s="8"/>
      <c r="D66" s="45" t="s">
        <v>5358</v>
      </c>
      <c r="E66" s="2" t="s">
        <v>5357</v>
      </c>
      <c r="F66" s="4"/>
      <c r="G66" s="14"/>
      <c r="H66" s="9">
        <v>13.5</v>
      </c>
    </row>
    <row r="67" spans="3:8" x14ac:dyDescent="0.25">
      <c r="C67" s="8"/>
      <c r="D67" s="45" t="s">
        <v>5359</v>
      </c>
      <c r="E67" s="2" t="s">
        <v>562</v>
      </c>
      <c r="F67" s="4"/>
      <c r="G67" s="14"/>
      <c r="H67" s="9">
        <v>780</v>
      </c>
    </row>
    <row r="68" spans="3:8" x14ac:dyDescent="0.25">
      <c r="C68" s="8"/>
      <c r="D68" s="45"/>
      <c r="E68" s="2"/>
      <c r="F68" s="4"/>
      <c r="G68" s="14"/>
      <c r="H68" s="9"/>
    </row>
    <row r="69" spans="3:8" x14ac:dyDescent="0.25">
      <c r="C69" s="8"/>
      <c r="D69" s="45"/>
      <c r="E69" s="2"/>
      <c r="F69" s="4"/>
      <c r="G69" s="14"/>
      <c r="H69" s="9"/>
    </row>
    <row r="70" spans="3:8" x14ac:dyDescent="0.25">
      <c r="C70" s="8"/>
      <c r="D70" s="45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2"/>
      <c r="E73" s="2" t="s">
        <v>5423</v>
      </c>
      <c r="F73" s="4">
        <v>995</v>
      </c>
      <c r="G73" s="14"/>
      <c r="H73" s="9"/>
    </row>
    <row r="74" spans="3:8" x14ac:dyDescent="0.25">
      <c r="C74" s="8"/>
      <c r="D74" s="2"/>
      <c r="E74" s="30" t="s">
        <v>5424</v>
      </c>
      <c r="F74" s="31">
        <v>6900</v>
      </c>
      <c r="G74" s="14"/>
      <c r="H74" s="9"/>
    </row>
    <row r="75" spans="3:8" x14ac:dyDescent="0.25">
      <c r="C75" s="8"/>
      <c r="D75" s="2"/>
      <c r="E75" s="2" t="s">
        <v>5425</v>
      </c>
      <c r="F75" s="4">
        <v>2.2000000000000002</v>
      </c>
      <c r="G75" s="14"/>
      <c r="H75" s="9"/>
    </row>
    <row r="76" spans="3:8" x14ac:dyDescent="0.25">
      <c r="C76" s="8"/>
      <c r="D76" s="2"/>
      <c r="E76" s="2" t="s">
        <v>5426</v>
      </c>
      <c r="F76" s="4">
        <v>882.9</v>
      </c>
      <c r="G76" s="14"/>
      <c r="H76" s="9"/>
    </row>
    <row r="77" spans="3:8" x14ac:dyDescent="0.25">
      <c r="C77" s="8"/>
      <c r="D77" s="2"/>
      <c r="E77" s="2" t="s">
        <v>5433</v>
      </c>
      <c r="F77" s="4">
        <v>341.7</v>
      </c>
      <c r="G77" s="14"/>
      <c r="H77" s="9"/>
    </row>
    <row r="78" spans="3:8" x14ac:dyDescent="0.25">
      <c r="C78" s="8"/>
      <c r="D78" s="2"/>
      <c r="E78" s="2" t="s">
        <v>5434</v>
      </c>
      <c r="F78" s="4">
        <v>654</v>
      </c>
      <c r="G78" s="14"/>
      <c r="H78" s="9"/>
    </row>
    <row r="79" spans="3:8" x14ac:dyDescent="0.25">
      <c r="C79" s="8"/>
      <c r="D79" s="2"/>
      <c r="E79" s="2" t="s">
        <v>5442</v>
      </c>
      <c r="F79" s="4">
        <v>11</v>
      </c>
      <c r="G79" s="14"/>
      <c r="H79" s="9"/>
    </row>
    <row r="80" spans="3:8" x14ac:dyDescent="0.25">
      <c r="C80" s="8"/>
      <c r="D80" s="2"/>
      <c r="E80" s="2" t="s">
        <v>5443</v>
      </c>
      <c r="F80" s="4">
        <v>21</v>
      </c>
      <c r="G80" s="14"/>
      <c r="H80" s="9"/>
    </row>
    <row r="81" spans="3:13" x14ac:dyDescent="0.25">
      <c r="C81" s="8"/>
      <c r="D81" s="2"/>
      <c r="E81" s="2" t="s">
        <v>5444</v>
      </c>
      <c r="F81" s="4">
        <v>3.5</v>
      </c>
      <c r="G81" s="14"/>
      <c r="H81" s="9"/>
    </row>
    <row r="82" spans="3:13" x14ac:dyDescent="0.25">
      <c r="C82" s="8"/>
      <c r="D82" s="2"/>
      <c r="E82" s="2" t="s">
        <v>5445</v>
      </c>
      <c r="F82" s="4">
        <v>40</v>
      </c>
      <c r="G82" s="14"/>
      <c r="H82" s="9"/>
    </row>
    <row r="83" spans="3:13" x14ac:dyDescent="0.25">
      <c r="C83" s="8"/>
      <c r="D83" s="2"/>
      <c r="E83" s="2" t="s">
        <v>5447</v>
      </c>
      <c r="F83" s="4">
        <v>10</v>
      </c>
      <c r="G83" s="14"/>
      <c r="H83" s="9"/>
    </row>
    <row r="84" spans="3:13" x14ac:dyDescent="0.25">
      <c r="C84" s="8"/>
      <c r="D84" s="2"/>
      <c r="E84" s="2" t="s">
        <v>5448</v>
      </c>
      <c r="F84" s="4">
        <v>12</v>
      </c>
      <c r="G84" s="14"/>
      <c r="H84" s="9"/>
    </row>
    <row r="85" spans="3:13" x14ac:dyDescent="0.25">
      <c r="C85" s="8"/>
      <c r="D85" s="2"/>
      <c r="E85" s="2" t="s">
        <v>5451</v>
      </c>
      <c r="F85" s="4">
        <v>205</v>
      </c>
      <c r="G85" s="14"/>
      <c r="H85" s="9"/>
    </row>
    <row r="86" spans="3:13" x14ac:dyDescent="0.25">
      <c r="C86" s="8"/>
      <c r="D86" s="2"/>
      <c r="E86" s="2" t="s">
        <v>5455</v>
      </c>
      <c r="F86" s="4">
        <v>102</v>
      </c>
      <c r="G86" s="14"/>
      <c r="H86" s="9"/>
    </row>
    <row r="87" spans="3:13" x14ac:dyDescent="0.25">
      <c r="C87" s="8"/>
      <c r="D87" s="2"/>
      <c r="E87" s="2"/>
      <c r="F87" s="4"/>
      <c r="G87" s="14"/>
      <c r="H87" s="9"/>
    </row>
    <row r="88" spans="3:13" x14ac:dyDescent="0.25">
      <c r="C88" s="19"/>
      <c r="D88" s="20"/>
      <c r="E88" s="20" t="s">
        <v>42</v>
      </c>
      <c r="F88" s="4"/>
      <c r="G88" s="14"/>
      <c r="H88" s="9"/>
      <c r="M88">
        <f>875+340</f>
        <v>1215</v>
      </c>
    </row>
    <row r="89" spans="3:13" x14ac:dyDescent="0.25">
      <c r="C89" s="34"/>
      <c r="D89" s="42"/>
      <c r="E89" s="68" t="s">
        <v>5354</v>
      </c>
      <c r="F89" s="14">
        <v>-1215</v>
      </c>
      <c r="G89" s="14"/>
      <c r="H89" s="9"/>
    </row>
    <row r="90" spans="3:13" x14ac:dyDescent="0.25">
      <c r="C90" s="34"/>
      <c r="D90" s="42"/>
      <c r="E90" s="68" t="s">
        <v>5355</v>
      </c>
      <c r="F90" s="14">
        <v>-1658.07</v>
      </c>
      <c r="G90" s="14"/>
      <c r="H90" s="9"/>
    </row>
    <row r="91" spans="3:13" x14ac:dyDescent="0.25">
      <c r="C91" s="34"/>
      <c r="D91" s="42"/>
      <c r="E91" s="68" t="s">
        <v>5356</v>
      </c>
      <c r="F91" s="14">
        <v>-55.68</v>
      </c>
      <c r="G91" s="14"/>
      <c r="H91" s="9"/>
    </row>
    <row r="92" spans="3:13" x14ac:dyDescent="0.25">
      <c r="C92" s="34"/>
      <c r="D92" s="42"/>
      <c r="E92" s="68"/>
      <c r="F92" s="14"/>
      <c r="G92" s="14"/>
      <c r="H92" s="9"/>
    </row>
    <row r="93" spans="3:13" x14ac:dyDescent="0.25">
      <c r="C93" s="34"/>
      <c r="D93" s="42"/>
      <c r="E93" s="68" t="s">
        <v>5427</v>
      </c>
      <c r="F93" s="14">
        <v>-290</v>
      </c>
      <c r="G93" s="14"/>
      <c r="H93" s="9"/>
    </row>
    <row r="94" spans="3:13" x14ac:dyDescent="0.25">
      <c r="C94" s="34"/>
      <c r="D94" s="42"/>
      <c r="E94" s="68" t="s">
        <v>5428</v>
      </c>
      <c r="F94" s="14">
        <v>-30</v>
      </c>
      <c r="G94" s="14"/>
      <c r="H94" s="9"/>
    </row>
    <row r="95" spans="3:13" x14ac:dyDescent="0.25">
      <c r="C95" s="34"/>
      <c r="D95" s="42"/>
      <c r="E95" s="68" t="s">
        <v>5429</v>
      </c>
      <c r="F95" s="14">
        <v>-100</v>
      </c>
      <c r="G95" s="14"/>
      <c r="H95" s="9"/>
    </row>
    <row r="96" spans="3:13" x14ac:dyDescent="0.25">
      <c r="C96" s="34"/>
      <c r="D96" s="42"/>
      <c r="E96" s="68" t="s">
        <v>5430</v>
      </c>
      <c r="F96" s="14">
        <v>-2</v>
      </c>
      <c r="G96" s="14"/>
      <c r="H96" s="9"/>
    </row>
    <row r="97" spans="3:8" x14ac:dyDescent="0.25">
      <c r="C97" s="34"/>
      <c r="D97" s="42"/>
      <c r="E97" s="96" t="s">
        <v>5457</v>
      </c>
      <c r="F97" s="14">
        <v>-10000</v>
      </c>
      <c r="G97" s="14"/>
      <c r="H97" s="9"/>
    </row>
    <row r="98" spans="3:8" x14ac:dyDescent="0.25">
      <c r="C98" s="34"/>
      <c r="D98" s="42"/>
      <c r="E98" s="68" t="s">
        <v>5431</v>
      </c>
      <c r="F98" s="14">
        <v>-20</v>
      </c>
      <c r="G98" s="14"/>
      <c r="H98" s="9"/>
    </row>
    <row r="99" spans="3:8" x14ac:dyDescent="0.25">
      <c r="C99" s="8"/>
      <c r="D99" s="2"/>
      <c r="E99" s="68" t="s">
        <v>5432</v>
      </c>
      <c r="F99" s="14">
        <v>-260</v>
      </c>
      <c r="G99" s="14"/>
      <c r="H99" s="9"/>
    </row>
    <row r="100" spans="3:8" x14ac:dyDescent="0.25">
      <c r="C100" s="8"/>
      <c r="D100" s="2"/>
      <c r="E100" s="68" t="s">
        <v>5435</v>
      </c>
      <c r="F100" s="14">
        <v>-3791</v>
      </c>
      <c r="G100" s="14"/>
      <c r="H100" s="9"/>
    </row>
    <row r="101" spans="3:8" x14ac:dyDescent="0.25">
      <c r="C101" s="8"/>
      <c r="D101" s="2"/>
      <c r="E101" s="68" t="s">
        <v>5436</v>
      </c>
      <c r="F101" s="14">
        <v>-167.6</v>
      </c>
      <c r="G101" s="14"/>
      <c r="H101" s="9"/>
    </row>
    <row r="102" spans="3:8" x14ac:dyDescent="0.25">
      <c r="C102" s="8"/>
      <c r="D102" s="2"/>
      <c r="E102" s="68" t="s">
        <v>5456</v>
      </c>
      <c r="F102" s="14">
        <v>-2000</v>
      </c>
      <c r="G102" s="14"/>
      <c r="H102" s="9"/>
    </row>
    <row r="103" spans="3:8" x14ac:dyDescent="0.25">
      <c r="C103" s="8"/>
      <c r="D103" s="2"/>
      <c r="E103" s="68" t="s">
        <v>5446</v>
      </c>
      <c r="F103" s="14">
        <v>-370</v>
      </c>
      <c r="G103" s="14"/>
      <c r="H103" s="9"/>
    </row>
    <row r="104" spans="3:8" x14ac:dyDescent="0.25">
      <c r="C104" s="8"/>
      <c r="D104" s="2"/>
      <c r="E104" s="68" t="s">
        <v>1486</v>
      </c>
      <c r="F104" s="14">
        <v>-400</v>
      </c>
      <c r="G104" s="14"/>
      <c r="H104" s="9"/>
    </row>
    <row r="105" spans="3:8" x14ac:dyDescent="0.25">
      <c r="C105" s="99"/>
      <c r="D105" s="100"/>
      <c r="E105" s="104" t="s">
        <v>760</v>
      </c>
      <c r="F105" s="102">
        <v>-390</v>
      </c>
      <c r="G105" s="102"/>
      <c r="H105" s="103"/>
    </row>
    <row r="106" spans="3:8" x14ac:dyDescent="0.25">
      <c r="C106" s="99"/>
      <c r="D106" s="100"/>
      <c r="E106" s="104" t="s">
        <v>759</v>
      </c>
      <c r="F106" s="102">
        <v>-530</v>
      </c>
      <c r="G106" s="102"/>
      <c r="H106" s="103"/>
    </row>
    <row r="107" spans="3:8" x14ac:dyDescent="0.25">
      <c r="C107" s="99"/>
      <c r="D107" s="100"/>
      <c r="E107" s="104" t="s">
        <v>5452</v>
      </c>
      <c r="F107" s="102">
        <v>-280</v>
      </c>
      <c r="G107" s="102"/>
      <c r="H107" s="103"/>
    </row>
    <row r="108" spans="3:8" x14ac:dyDescent="0.25">
      <c r="C108" s="99"/>
      <c r="D108" s="100"/>
      <c r="E108" s="104" t="s">
        <v>5453</v>
      </c>
      <c r="F108" s="102">
        <v>-1000</v>
      </c>
      <c r="G108" s="102"/>
      <c r="H108" s="103"/>
    </row>
    <row r="109" spans="3:8" x14ac:dyDescent="0.25">
      <c r="C109" s="99"/>
      <c r="D109" s="100"/>
      <c r="E109" s="104" t="s">
        <v>5454</v>
      </c>
      <c r="F109" s="102">
        <v>-690</v>
      </c>
      <c r="G109" s="102"/>
      <c r="H109" s="103"/>
    </row>
    <row r="110" spans="3:8" x14ac:dyDescent="0.25">
      <c r="C110" s="99"/>
      <c r="D110" s="100"/>
      <c r="E110" s="104"/>
      <c r="F110" s="102"/>
      <c r="G110" s="102"/>
      <c r="H110" s="103"/>
    </row>
    <row r="111" spans="3:8" x14ac:dyDescent="0.25">
      <c r="C111" s="99"/>
      <c r="D111" s="100"/>
      <c r="E111" s="100"/>
      <c r="F111" s="101"/>
      <c r="G111" s="102"/>
      <c r="H111" s="103"/>
    </row>
    <row r="112" spans="3:8" ht="15.75" thickBot="1" x14ac:dyDescent="0.3">
      <c r="C112" s="10"/>
      <c r="D112" s="11"/>
      <c r="E112" s="11" t="s">
        <v>44</v>
      </c>
      <c r="F112" s="12">
        <f>SUM(F6:F110)</f>
        <v>-3313.549999999997</v>
      </c>
      <c r="G112" s="15">
        <f>SUM(G6:G104)</f>
        <v>46170.7</v>
      </c>
      <c r="H112" s="13">
        <f>SUM(H6:H104)</f>
        <v>4081.5</v>
      </c>
    </row>
    <row r="115" spans="3:6" s="3" customFormat="1" ht="18.75" x14ac:dyDescent="0.3">
      <c r="C115" s="1"/>
      <c r="D115" s="1"/>
      <c r="E115" s="38" t="s">
        <v>49</v>
      </c>
      <c r="F115" s="39">
        <f>+H4+F112</f>
        <v>564.40000000000282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B074-F23E-4147-B4A1-063D96F6DF68}">
  <sheetPr codeName="Hoja61"/>
  <dimension ref="C2:H56"/>
  <sheetViews>
    <sheetView topLeftCell="A22" zoomScaleNormal="100" workbookViewId="0">
      <selection activeCell="F56" sqref="F56"/>
    </sheetView>
  </sheetViews>
  <sheetFormatPr baseColWidth="10" defaultRowHeight="15" x14ac:dyDescent="0.25"/>
  <cols>
    <col min="3" max="3" width="11" style="1" customWidth="1"/>
    <col min="4" max="4" width="24" style="1" bestFit="1" customWidth="1"/>
    <col min="5" max="5" width="61.710937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5458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564.4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5450</v>
      </c>
      <c r="E6" s="2" t="s">
        <v>440</v>
      </c>
      <c r="F6" s="4">
        <v>9</v>
      </c>
      <c r="G6" s="14"/>
      <c r="H6" s="9"/>
    </row>
    <row r="7" spans="3:8" x14ac:dyDescent="0.25">
      <c r="C7" s="8"/>
      <c r="D7" s="2" t="s">
        <v>5459</v>
      </c>
      <c r="E7" s="2" t="s">
        <v>5489</v>
      </c>
      <c r="F7" s="4"/>
      <c r="G7" s="14"/>
      <c r="H7" s="9">
        <v>158</v>
      </c>
    </row>
    <row r="8" spans="3:8" x14ac:dyDescent="0.25">
      <c r="C8" s="8"/>
      <c r="D8" s="2" t="s">
        <v>5460</v>
      </c>
      <c r="E8" s="2" t="s">
        <v>440</v>
      </c>
      <c r="F8" s="4">
        <v>3</v>
      </c>
      <c r="G8" s="14"/>
      <c r="H8" s="9"/>
    </row>
    <row r="9" spans="3:8" x14ac:dyDescent="0.25">
      <c r="C9" s="8"/>
      <c r="D9" s="2" t="s">
        <v>5461</v>
      </c>
      <c r="E9" s="2" t="s">
        <v>440</v>
      </c>
      <c r="F9" s="4">
        <v>177.5</v>
      </c>
      <c r="G9" s="14"/>
      <c r="H9" s="9"/>
    </row>
    <row r="10" spans="3:8" x14ac:dyDescent="0.25">
      <c r="C10" s="8"/>
      <c r="D10" s="2" t="s">
        <v>5462</v>
      </c>
      <c r="E10" s="2" t="s">
        <v>4701</v>
      </c>
      <c r="F10" s="4"/>
      <c r="G10" s="14"/>
      <c r="H10" s="9">
        <v>40</v>
      </c>
    </row>
    <row r="11" spans="3:8" x14ac:dyDescent="0.25">
      <c r="C11" s="8"/>
      <c r="D11" s="2" t="s">
        <v>5463</v>
      </c>
      <c r="E11" s="2" t="s">
        <v>440</v>
      </c>
      <c r="F11" s="4">
        <v>15</v>
      </c>
      <c r="G11" s="14"/>
      <c r="H11" s="9"/>
    </row>
    <row r="12" spans="3:8" x14ac:dyDescent="0.25">
      <c r="C12" s="8"/>
      <c r="D12" s="2" t="s">
        <v>5464</v>
      </c>
      <c r="E12" s="2" t="s">
        <v>440</v>
      </c>
      <c r="F12" s="4">
        <v>8</v>
      </c>
      <c r="G12" s="14"/>
      <c r="H12" s="9"/>
    </row>
    <row r="13" spans="3:8" x14ac:dyDescent="0.25">
      <c r="C13" s="8"/>
      <c r="D13" s="2" t="s">
        <v>5465</v>
      </c>
      <c r="E13" s="2" t="s">
        <v>440</v>
      </c>
      <c r="F13" s="4"/>
      <c r="G13" s="14"/>
      <c r="H13" s="9">
        <v>86</v>
      </c>
    </row>
    <row r="14" spans="3:8" x14ac:dyDescent="0.25">
      <c r="C14" s="8"/>
      <c r="D14" s="2" t="s">
        <v>5466</v>
      </c>
      <c r="E14" s="2" t="s">
        <v>440</v>
      </c>
      <c r="F14" s="4">
        <v>22</v>
      </c>
      <c r="G14" s="14"/>
      <c r="H14" s="9"/>
    </row>
    <row r="15" spans="3:8" x14ac:dyDescent="0.25">
      <c r="C15" s="8"/>
      <c r="D15" s="2" t="s">
        <v>5467</v>
      </c>
      <c r="E15" s="2" t="s">
        <v>440</v>
      </c>
      <c r="F15" s="4">
        <v>7.5</v>
      </c>
      <c r="G15" s="14"/>
      <c r="H15" s="9"/>
    </row>
    <row r="16" spans="3:8" x14ac:dyDescent="0.25">
      <c r="C16" s="8"/>
      <c r="D16" s="2" t="s">
        <v>5468</v>
      </c>
      <c r="E16" s="2" t="s">
        <v>440</v>
      </c>
      <c r="F16" s="4"/>
      <c r="G16" s="14"/>
      <c r="H16" s="9">
        <v>14</v>
      </c>
    </row>
    <row r="17" spans="3:8" x14ac:dyDescent="0.25">
      <c r="C17" s="8"/>
      <c r="D17" s="2" t="s">
        <v>5469</v>
      </c>
      <c r="E17" s="2" t="s">
        <v>440</v>
      </c>
      <c r="F17" s="4"/>
      <c r="G17" s="14"/>
      <c r="H17" s="9">
        <v>10</v>
      </c>
    </row>
    <row r="18" spans="3:8" x14ac:dyDescent="0.25">
      <c r="C18" s="8"/>
      <c r="D18" s="2" t="s">
        <v>5470</v>
      </c>
      <c r="E18" s="2" t="s">
        <v>440</v>
      </c>
      <c r="F18" s="4">
        <v>13.5</v>
      </c>
      <c r="G18" s="14"/>
      <c r="H18" s="9"/>
    </row>
    <row r="19" spans="3:8" x14ac:dyDescent="0.25">
      <c r="C19" s="8"/>
      <c r="D19" s="2" t="s">
        <v>5471</v>
      </c>
      <c r="E19" s="2" t="s">
        <v>440</v>
      </c>
      <c r="F19" s="4">
        <v>34.5</v>
      </c>
      <c r="G19" s="14"/>
      <c r="H19" s="9"/>
    </row>
    <row r="20" spans="3:8" x14ac:dyDescent="0.25">
      <c r="C20" s="8"/>
      <c r="D20" s="2" t="s">
        <v>5472</v>
      </c>
      <c r="E20" s="2" t="s">
        <v>440</v>
      </c>
      <c r="F20" s="4">
        <v>94.5</v>
      </c>
      <c r="G20" s="14"/>
      <c r="H20" s="9"/>
    </row>
    <row r="21" spans="3:8" x14ac:dyDescent="0.25">
      <c r="C21" s="8"/>
      <c r="D21" s="2" t="s">
        <v>5473</v>
      </c>
      <c r="E21" s="2" t="s">
        <v>440</v>
      </c>
      <c r="F21" s="4"/>
      <c r="G21" s="14"/>
      <c r="H21" s="9">
        <v>7</v>
      </c>
    </row>
    <row r="22" spans="3:8" x14ac:dyDescent="0.25">
      <c r="C22" s="8"/>
      <c r="D22" s="2" t="s">
        <v>5474</v>
      </c>
      <c r="E22" s="2" t="s">
        <v>440</v>
      </c>
      <c r="F22" s="4">
        <v>50</v>
      </c>
      <c r="G22" s="14"/>
      <c r="H22" s="9">
        <v>12</v>
      </c>
    </row>
    <row r="23" spans="3:8" x14ac:dyDescent="0.25">
      <c r="C23" s="8"/>
      <c r="D23" s="2" t="s">
        <v>5475</v>
      </c>
      <c r="E23" s="2" t="s">
        <v>440</v>
      </c>
      <c r="F23" s="4">
        <v>3.5</v>
      </c>
      <c r="G23" s="14"/>
      <c r="H23" s="9"/>
    </row>
    <row r="24" spans="3:8" x14ac:dyDescent="0.25">
      <c r="C24" s="8"/>
      <c r="D24" s="2" t="s">
        <v>5476</v>
      </c>
      <c r="E24" s="2" t="s">
        <v>440</v>
      </c>
      <c r="F24" s="4">
        <v>34.5</v>
      </c>
      <c r="G24" s="14"/>
      <c r="H24" s="9"/>
    </row>
    <row r="25" spans="3:8" x14ac:dyDescent="0.25">
      <c r="C25" s="8"/>
      <c r="D25" s="2" t="s">
        <v>5477</v>
      </c>
      <c r="E25" s="2" t="s">
        <v>440</v>
      </c>
      <c r="F25" s="4"/>
      <c r="G25" s="14"/>
      <c r="H25" s="9">
        <v>15</v>
      </c>
    </row>
    <row r="26" spans="3:8" x14ac:dyDescent="0.25">
      <c r="C26" s="8"/>
      <c r="D26" s="2" t="s">
        <v>5478</v>
      </c>
      <c r="E26" s="2" t="s">
        <v>440</v>
      </c>
      <c r="F26" s="4"/>
      <c r="G26" s="14"/>
      <c r="H26" s="9">
        <v>22</v>
      </c>
    </row>
    <row r="27" spans="3:8" x14ac:dyDescent="0.25">
      <c r="C27" s="8"/>
      <c r="D27" s="2" t="s">
        <v>5479</v>
      </c>
      <c r="E27" s="2" t="s">
        <v>440</v>
      </c>
      <c r="F27" s="4">
        <v>3</v>
      </c>
      <c r="G27" s="14"/>
      <c r="H27" s="9"/>
    </row>
    <row r="28" spans="3:8" x14ac:dyDescent="0.25">
      <c r="C28" s="8"/>
      <c r="D28" s="2" t="s">
        <v>5480</v>
      </c>
      <c r="E28" s="2" t="s">
        <v>440</v>
      </c>
      <c r="F28" s="4"/>
      <c r="G28" s="14"/>
      <c r="H28" s="9">
        <v>6</v>
      </c>
    </row>
    <row r="29" spans="3:8" x14ac:dyDescent="0.25">
      <c r="C29" s="8"/>
      <c r="D29" s="2" t="s">
        <v>5481</v>
      </c>
      <c r="E29" s="2" t="s">
        <v>440</v>
      </c>
      <c r="F29" s="4"/>
      <c r="G29" s="14"/>
      <c r="H29" s="9">
        <v>29.5</v>
      </c>
    </row>
    <row r="30" spans="3:8" x14ac:dyDescent="0.25">
      <c r="C30" s="8"/>
      <c r="D30" s="2" t="s">
        <v>5482</v>
      </c>
      <c r="E30" s="2" t="s">
        <v>440</v>
      </c>
      <c r="F30" s="4">
        <v>2.5</v>
      </c>
      <c r="G30" s="14"/>
      <c r="H30" s="9"/>
    </row>
    <row r="31" spans="3:8" x14ac:dyDescent="0.25">
      <c r="C31" s="8"/>
      <c r="D31" s="2" t="s">
        <v>5483</v>
      </c>
      <c r="E31" s="2" t="s">
        <v>5488</v>
      </c>
      <c r="F31" s="4">
        <v>10</v>
      </c>
      <c r="G31" s="14"/>
      <c r="H31" s="9"/>
    </row>
    <row r="32" spans="3:8" x14ac:dyDescent="0.25">
      <c r="C32" s="8"/>
      <c r="D32" s="2" t="s">
        <v>5484</v>
      </c>
      <c r="E32" s="2" t="s">
        <v>5487</v>
      </c>
      <c r="F32" s="4">
        <v>48</v>
      </c>
      <c r="G32" s="14"/>
      <c r="H32" s="9"/>
    </row>
    <row r="33" spans="3:8" x14ac:dyDescent="0.25">
      <c r="C33" s="8"/>
      <c r="D33" s="2" t="s">
        <v>5503</v>
      </c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29"/>
      <c r="D35" s="30"/>
      <c r="E35" s="30" t="s">
        <v>60</v>
      </c>
      <c r="F35" s="4"/>
      <c r="G35" s="14"/>
      <c r="H35" s="9"/>
    </row>
    <row r="36" spans="3:8" x14ac:dyDescent="0.25">
      <c r="C36" s="8"/>
      <c r="D36" s="45"/>
      <c r="E36" s="2"/>
      <c r="F36" s="4"/>
      <c r="G36" s="14"/>
      <c r="H36" s="9"/>
    </row>
    <row r="37" spans="3:8" x14ac:dyDescent="0.25">
      <c r="C37" s="8"/>
      <c r="D37" s="45"/>
      <c r="E37" s="2"/>
      <c r="F37" s="4"/>
      <c r="G37" s="14"/>
      <c r="H37" s="9"/>
    </row>
    <row r="38" spans="3:8" x14ac:dyDescent="0.25">
      <c r="C38" s="8"/>
      <c r="D38" s="45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16"/>
      <c r="D40" s="17"/>
      <c r="E40" s="17" t="s">
        <v>39</v>
      </c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19"/>
      <c r="D45" s="20"/>
      <c r="E45" s="20" t="s">
        <v>42</v>
      </c>
      <c r="F45" s="4"/>
      <c r="G45" s="14"/>
      <c r="H45" s="9"/>
    </row>
    <row r="46" spans="3:8" x14ac:dyDescent="0.25">
      <c r="C46" s="34"/>
      <c r="D46" s="42"/>
      <c r="E46" s="68" t="s">
        <v>5485</v>
      </c>
      <c r="F46" s="14">
        <v>-40</v>
      </c>
      <c r="G46" s="14"/>
      <c r="H46" s="9"/>
    </row>
    <row r="47" spans="3:8" x14ac:dyDescent="0.25">
      <c r="C47" s="34"/>
      <c r="D47" s="42"/>
      <c r="E47" s="68" t="s">
        <v>5486</v>
      </c>
      <c r="F47" s="14">
        <v>-120</v>
      </c>
      <c r="G47" s="14"/>
      <c r="H47" s="9"/>
    </row>
    <row r="48" spans="3:8" x14ac:dyDescent="0.25">
      <c r="C48" s="34"/>
      <c r="D48" s="42"/>
      <c r="E48" s="68"/>
      <c r="F48" s="14"/>
      <c r="G48" s="14"/>
      <c r="H48" s="9"/>
    </row>
    <row r="49" spans="3:8" x14ac:dyDescent="0.25">
      <c r="C49" s="34"/>
      <c r="D49" s="42"/>
      <c r="E49" s="68"/>
      <c r="F49" s="14"/>
      <c r="G49" s="14"/>
      <c r="H49" s="9"/>
    </row>
    <row r="50" spans="3:8" x14ac:dyDescent="0.25">
      <c r="C50" s="34"/>
      <c r="D50" s="42"/>
      <c r="E50" s="68"/>
      <c r="F50" s="14"/>
      <c r="G50" s="14"/>
      <c r="H50" s="9"/>
    </row>
    <row r="51" spans="3:8" x14ac:dyDescent="0.25">
      <c r="C51" s="34"/>
      <c r="D51" s="42"/>
      <c r="E51" s="68"/>
      <c r="F51" s="14"/>
      <c r="G51" s="14"/>
      <c r="H51" s="9"/>
    </row>
    <row r="52" spans="3:8" x14ac:dyDescent="0.25">
      <c r="C52" s="34"/>
      <c r="D52" s="42"/>
      <c r="E52" s="68"/>
      <c r="F52" s="14"/>
      <c r="G52" s="14"/>
      <c r="H52" s="9"/>
    </row>
    <row r="53" spans="3:8" ht="15.75" thickBot="1" x14ac:dyDescent="0.3">
      <c r="C53" s="10"/>
      <c r="D53" s="11"/>
      <c r="E53" s="11" t="s">
        <v>44</v>
      </c>
      <c r="F53" s="12">
        <f>SUM(F6:F52)</f>
        <v>376</v>
      </c>
      <c r="G53" s="15">
        <f>SUM(G6:G52)</f>
        <v>0</v>
      </c>
      <c r="H53" s="13">
        <f>SUM(H6:H52)</f>
        <v>399.5</v>
      </c>
    </row>
    <row r="56" spans="3:8" s="3" customFormat="1" ht="18.75" x14ac:dyDescent="0.3">
      <c r="C56" s="1"/>
      <c r="D56" s="1"/>
      <c r="E56" s="38" t="s">
        <v>49</v>
      </c>
      <c r="F56" s="39">
        <f>+H4+F53</f>
        <v>940.4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A201-D938-49D7-B92D-7F37FE7EB6A4}">
  <sheetPr codeName="Hoja62"/>
  <dimension ref="C2:H92"/>
  <sheetViews>
    <sheetView topLeftCell="A61" zoomScaleNormal="100" workbookViewId="0">
      <selection activeCell="E74" sqref="E74:F74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73.710937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5490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940.4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5503</v>
      </c>
      <c r="E6" s="2" t="s">
        <v>5529</v>
      </c>
      <c r="F6" s="4">
        <v>1650</v>
      </c>
      <c r="G6" s="14"/>
      <c r="H6" s="9"/>
    </row>
    <row r="7" spans="3:8" x14ac:dyDescent="0.25">
      <c r="C7" s="8"/>
      <c r="D7" s="2" t="s">
        <v>5504</v>
      </c>
      <c r="E7" s="2" t="s">
        <v>440</v>
      </c>
      <c r="F7" s="4"/>
      <c r="G7" s="14"/>
      <c r="H7" s="9">
        <v>6</v>
      </c>
    </row>
    <row r="8" spans="3:8" x14ac:dyDescent="0.25">
      <c r="C8" s="8"/>
      <c r="D8" s="2" t="s">
        <v>5505</v>
      </c>
      <c r="E8" s="2" t="s">
        <v>440</v>
      </c>
      <c r="F8" s="4">
        <v>2</v>
      </c>
      <c r="G8" s="14"/>
      <c r="H8" s="9"/>
    </row>
    <row r="9" spans="3:8" x14ac:dyDescent="0.25">
      <c r="C9" s="8"/>
      <c r="D9" s="2" t="s">
        <v>5506</v>
      </c>
      <c r="E9" s="2" t="s">
        <v>440</v>
      </c>
      <c r="F9" s="4">
        <v>40</v>
      </c>
      <c r="G9" s="14"/>
      <c r="H9" s="9"/>
    </row>
    <row r="10" spans="3:8" x14ac:dyDescent="0.25">
      <c r="C10" s="8"/>
      <c r="D10" s="2" t="s">
        <v>5507</v>
      </c>
      <c r="E10" s="2" t="s">
        <v>5240</v>
      </c>
      <c r="F10" s="4"/>
      <c r="G10" s="14">
        <v>685</v>
      </c>
      <c r="H10" s="9"/>
    </row>
    <row r="11" spans="3:8" x14ac:dyDescent="0.25">
      <c r="C11" s="8"/>
      <c r="D11" s="2" t="s">
        <v>5508</v>
      </c>
      <c r="E11" s="2" t="s">
        <v>440</v>
      </c>
      <c r="F11" s="4"/>
      <c r="G11" s="14"/>
      <c r="H11" s="9">
        <v>8</v>
      </c>
    </row>
    <row r="12" spans="3:8" x14ac:dyDescent="0.25">
      <c r="C12" s="8"/>
      <c r="D12" s="2" t="s">
        <v>5509</v>
      </c>
      <c r="E12" s="2" t="s">
        <v>5528</v>
      </c>
      <c r="F12" s="4"/>
      <c r="G12" s="14">
        <v>259.8</v>
      </c>
      <c r="H12" s="9"/>
    </row>
    <row r="13" spans="3:8" x14ac:dyDescent="0.25">
      <c r="C13" s="8"/>
      <c r="D13" s="2" t="s">
        <v>5510</v>
      </c>
      <c r="E13" s="2" t="s">
        <v>35</v>
      </c>
      <c r="F13" s="4"/>
      <c r="G13" s="14">
        <v>100</v>
      </c>
      <c r="H13" s="9"/>
    </row>
    <row r="14" spans="3:8" x14ac:dyDescent="0.25">
      <c r="C14" s="8"/>
      <c r="D14" s="2" t="s">
        <v>5511</v>
      </c>
      <c r="E14" s="2" t="s">
        <v>5527</v>
      </c>
      <c r="F14" s="4"/>
      <c r="G14" s="14"/>
      <c r="H14" s="9">
        <v>276</v>
      </c>
    </row>
    <row r="15" spans="3:8" x14ac:dyDescent="0.25">
      <c r="C15" s="8"/>
      <c r="D15" s="2" t="s">
        <v>5512</v>
      </c>
      <c r="E15" s="2" t="s">
        <v>5526</v>
      </c>
      <c r="F15" s="4">
        <v>34.5</v>
      </c>
      <c r="G15" s="14"/>
      <c r="H15" s="9"/>
    </row>
    <row r="16" spans="3:8" x14ac:dyDescent="0.25">
      <c r="C16" s="8"/>
      <c r="D16" s="2" t="s">
        <v>5513</v>
      </c>
      <c r="E16" s="2" t="s">
        <v>440</v>
      </c>
      <c r="F16" s="4">
        <v>14</v>
      </c>
      <c r="G16" s="14"/>
      <c r="H16" s="9"/>
    </row>
    <row r="17" spans="3:8" x14ac:dyDescent="0.25">
      <c r="C17" s="8"/>
      <c r="D17" s="2" t="s">
        <v>5514</v>
      </c>
      <c r="E17" s="2" t="s">
        <v>5525</v>
      </c>
      <c r="F17" s="4">
        <v>239.5</v>
      </c>
      <c r="G17" s="14"/>
      <c r="H17" s="9"/>
    </row>
    <row r="18" spans="3:8" x14ac:dyDescent="0.25">
      <c r="C18" s="8"/>
      <c r="D18" s="2" t="s">
        <v>5515</v>
      </c>
      <c r="E18" s="2" t="s">
        <v>440</v>
      </c>
      <c r="F18" s="4"/>
      <c r="G18" s="14"/>
      <c r="H18" s="9">
        <v>12</v>
      </c>
    </row>
    <row r="19" spans="3:8" x14ac:dyDescent="0.25">
      <c r="C19" s="8"/>
      <c r="D19" s="2" t="s">
        <v>5516</v>
      </c>
      <c r="E19" s="2" t="s">
        <v>5524</v>
      </c>
      <c r="F19" s="4">
        <v>600</v>
      </c>
      <c r="G19" s="14"/>
      <c r="H19" s="9">
        <v>81.5</v>
      </c>
    </row>
    <row r="20" spans="3:8" x14ac:dyDescent="0.25">
      <c r="C20" s="8"/>
      <c r="D20" s="2" t="s">
        <v>5517</v>
      </c>
      <c r="E20" s="2" t="s">
        <v>440</v>
      </c>
      <c r="F20" s="4">
        <v>10</v>
      </c>
      <c r="G20" s="14"/>
      <c r="H20" s="9"/>
    </row>
    <row r="21" spans="3:8" x14ac:dyDescent="0.25">
      <c r="C21" s="8"/>
      <c r="D21" s="2" t="s">
        <v>5518</v>
      </c>
      <c r="E21" s="2" t="s">
        <v>440</v>
      </c>
      <c r="F21" s="4"/>
      <c r="G21" s="14"/>
      <c r="H21" s="9">
        <v>13</v>
      </c>
    </row>
    <row r="22" spans="3:8" x14ac:dyDescent="0.25">
      <c r="C22" s="8"/>
      <c r="D22" s="2" t="s">
        <v>5519</v>
      </c>
      <c r="E22" s="2" t="s">
        <v>5523</v>
      </c>
      <c r="F22" s="4"/>
      <c r="G22" s="14"/>
      <c r="H22" s="9">
        <v>8500</v>
      </c>
    </row>
    <row r="23" spans="3:8" x14ac:dyDescent="0.25">
      <c r="C23" s="8"/>
      <c r="D23" s="2" t="s">
        <v>5520</v>
      </c>
      <c r="E23" s="2" t="s">
        <v>440</v>
      </c>
      <c r="F23" s="4">
        <v>255</v>
      </c>
      <c r="G23" s="14"/>
      <c r="H23" s="9"/>
    </row>
    <row r="24" spans="3:8" x14ac:dyDescent="0.25">
      <c r="C24" s="8"/>
      <c r="D24" s="2" t="s">
        <v>5521</v>
      </c>
      <c r="E24" s="2" t="s">
        <v>440</v>
      </c>
      <c r="F24" s="4"/>
      <c r="G24" s="14"/>
      <c r="H24" s="9">
        <v>20</v>
      </c>
    </row>
    <row r="25" spans="3:8" x14ac:dyDescent="0.25">
      <c r="C25" s="8"/>
      <c r="D25" s="2" t="s">
        <v>5522</v>
      </c>
      <c r="E25" s="2" t="s">
        <v>5568</v>
      </c>
      <c r="F25" s="4">
        <v>524</v>
      </c>
      <c r="G25" s="14"/>
      <c r="H25" s="9"/>
    </row>
    <row r="26" spans="3:8" x14ac:dyDescent="0.25">
      <c r="C26" s="8"/>
      <c r="D26" s="2" t="s">
        <v>5560</v>
      </c>
      <c r="E26" s="2" t="s">
        <v>5567</v>
      </c>
      <c r="F26" s="4">
        <v>445</v>
      </c>
      <c r="G26" s="14"/>
      <c r="H26" s="9"/>
    </row>
    <row r="27" spans="3:8" x14ac:dyDescent="0.25">
      <c r="C27" s="8"/>
      <c r="D27" s="2" t="s">
        <v>5561</v>
      </c>
      <c r="E27" s="2" t="s">
        <v>5566</v>
      </c>
      <c r="F27" s="4"/>
      <c r="G27" s="14">
        <v>8828</v>
      </c>
      <c r="H27" s="9"/>
    </row>
    <row r="28" spans="3:8" x14ac:dyDescent="0.25">
      <c r="C28" s="8"/>
      <c r="D28" s="2" t="s">
        <v>5562</v>
      </c>
      <c r="E28" s="2" t="s">
        <v>440</v>
      </c>
      <c r="F28" s="4">
        <v>34</v>
      </c>
      <c r="G28" s="14"/>
      <c r="H28" s="9"/>
    </row>
    <row r="29" spans="3:8" x14ac:dyDescent="0.25">
      <c r="C29" s="8"/>
      <c r="D29" s="2" t="s">
        <v>5563</v>
      </c>
      <c r="E29" s="2" t="s">
        <v>440</v>
      </c>
      <c r="F29" s="4">
        <v>11</v>
      </c>
      <c r="G29" s="14"/>
      <c r="H29" s="9"/>
    </row>
    <row r="30" spans="3:8" x14ac:dyDescent="0.25">
      <c r="C30" s="8"/>
      <c r="D30" s="2" t="s">
        <v>5564</v>
      </c>
      <c r="E30" s="2" t="s">
        <v>440</v>
      </c>
      <c r="F30" s="4">
        <v>15</v>
      </c>
      <c r="G30" s="14"/>
      <c r="H30" s="9"/>
    </row>
    <row r="31" spans="3:8" x14ac:dyDescent="0.25">
      <c r="C31" s="8"/>
      <c r="D31" s="2" t="s">
        <v>5565</v>
      </c>
      <c r="E31" s="2" t="s">
        <v>5574</v>
      </c>
      <c r="F31" s="4"/>
      <c r="G31" s="14">
        <v>372</v>
      </c>
      <c r="H31" s="9"/>
    </row>
    <row r="32" spans="3:8" x14ac:dyDescent="0.25">
      <c r="C32" s="8"/>
      <c r="D32" s="2" t="s">
        <v>5582</v>
      </c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 t="s">
        <v>5530</v>
      </c>
      <c r="E34" s="2" t="s">
        <v>5546</v>
      </c>
      <c r="F34" s="4">
        <v>60</v>
      </c>
      <c r="G34" s="14"/>
      <c r="H34" s="9"/>
    </row>
    <row r="35" spans="3:8" x14ac:dyDescent="0.25">
      <c r="C35" s="8"/>
      <c r="D35" s="2" t="s">
        <v>5531</v>
      </c>
      <c r="E35" s="2" t="s">
        <v>48</v>
      </c>
      <c r="F35" s="4">
        <v>9</v>
      </c>
      <c r="G35" s="14"/>
      <c r="H35" s="9"/>
    </row>
    <row r="36" spans="3:8" x14ac:dyDescent="0.25">
      <c r="C36" s="8"/>
      <c r="D36" s="2" t="s">
        <v>5532</v>
      </c>
      <c r="E36" s="2" t="s">
        <v>48</v>
      </c>
      <c r="F36" s="4">
        <v>55.5</v>
      </c>
      <c r="G36" s="14"/>
      <c r="H36" s="9"/>
    </row>
    <row r="37" spans="3:8" x14ac:dyDescent="0.25">
      <c r="C37" s="8"/>
      <c r="D37" s="2" t="s">
        <v>5533</v>
      </c>
      <c r="E37" s="2" t="s">
        <v>4288</v>
      </c>
      <c r="F37" s="4"/>
      <c r="G37" s="14">
        <v>1380</v>
      </c>
      <c r="H37" s="9"/>
    </row>
    <row r="38" spans="3:8" x14ac:dyDescent="0.25">
      <c r="C38" s="8"/>
      <c r="D38" s="2" t="s">
        <v>5534</v>
      </c>
      <c r="E38" s="2" t="s">
        <v>48</v>
      </c>
      <c r="F38" s="4">
        <v>19</v>
      </c>
      <c r="G38" s="14"/>
      <c r="H38" s="9"/>
    </row>
    <row r="39" spans="3:8" x14ac:dyDescent="0.25">
      <c r="C39" s="8"/>
      <c r="D39" s="2" t="s">
        <v>5535</v>
      </c>
      <c r="E39" s="2" t="s">
        <v>48</v>
      </c>
      <c r="F39" s="4"/>
      <c r="G39" s="14"/>
      <c r="H39" s="9">
        <v>120</v>
      </c>
    </row>
    <row r="40" spans="3:8" x14ac:dyDescent="0.25">
      <c r="C40" s="8"/>
      <c r="D40" s="2" t="s">
        <v>5536</v>
      </c>
      <c r="E40" s="2" t="s">
        <v>48</v>
      </c>
      <c r="F40" s="4"/>
      <c r="G40" s="14"/>
      <c r="H40" s="9">
        <v>68</v>
      </c>
    </row>
    <row r="41" spans="3:8" x14ac:dyDescent="0.25">
      <c r="C41" s="8"/>
      <c r="D41" s="2" t="s">
        <v>5537</v>
      </c>
      <c r="E41" s="2" t="s">
        <v>48</v>
      </c>
      <c r="F41" s="4">
        <v>7</v>
      </c>
      <c r="G41" s="14"/>
      <c r="H41" s="9"/>
    </row>
    <row r="42" spans="3:8" x14ac:dyDescent="0.25">
      <c r="C42" s="8"/>
      <c r="D42" s="2" t="s">
        <v>5538</v>
      </c>
      <c r="E42" s="2" t="s">
        <v>48</v>
      </c>
      <c r="F42" s="4">
        <v>1</v>
      </c>
      <c r="G42" s="14"/>
      <c r="H42" s="9"/>
    </row>
    <row r="43" spans="3:8" x14ac:dyDescent="0.25">
      <c r="C43" s="8"/>
      <c r="D43" s="2" t="s">
        <v>5539</v>
      </c>
      <c r="E43" s="2" t="s">
        <v>48</v>
      </c>
      <c r="F43" s="4"/>
      <c r="G43" s="14"/>
      <c r="H43" s="9">
        <v>79</v>
      </c>
    </row>
    <row r="44" spans="3:8" x14ac:dyDescent="0.25">
      <c r="C44" s="8"/>
      <c r="D44" s="2" t="s">
        <v>5540</v>
      </c>
      <c r="E44" s="2" t="s">
        <v>48</v>
      </c>
      <c r="F44" s="4">
        <v>10</v>
      </c>
      <c r="G44" s="14"/>
      <c r="H44" s="9"/>
    </row>
    <row r="45" spans="3:8" x14ac:dyDescent="0.25">
      <c r="C45" s="8"/>
      <c r="D45" s="2" t="s">
        <v>5541</v>
      </c>
      <c r="E45" s="2" t="s">
        <v>48</v>
      </c>
      <c r="F45" s="4">
        <v>15</v>
      </c>
      <c r="G45" s="14"/>
      <c r="H45" s="9"/>
    </row>
    <row r="46" spans="3:8" x14ac:dyDescent="0.25">
      <c r="C46" s="8"/>
      <c r="D46" s="2" t="s">
        <v>5542</v>
      </c>
      <c r="E46" s="2" t="s">
        <v>48</v>
      </c>
      <c r="F46" s="4"/>
      <c r="G46" s="14"/>
      <c r="H46" s="9">
        <v>110</v>
      </c>
    </row>
    <row r="47" spans="3:8" x14ac:dyDescent="0.25">
      <c r="C47" s="8"/>
      <c r="D47" s="2" t="s">
        <v>5543</v>
      </c>
      <c r="E47" s="2" t="s">
        <v>4783</v>
      </c>
      <c r="G47" s="14"/>
      <c r="H47" s="9"/>
    </row>
    <row r="48" spans="3:8" x14ac:dyDescent="0.25">
      <c r="C48" s="8"/>
      <c r="D48" s="2" t="s">
        <v>5544</v>
      </c>
      <c r="E48" s="2" t="s">
        <v>4191</v>
      </c>
      <c r="F48" s="4">
        <v>560</v>
      </c>
      <c r="G48" s="14"/>
      <c r="H48" s="9">
        <v>620</v>
      </c>
    </row>
    <row r="49" spans="3:8" x14ac:dyDescent="0.25">
      <c r="C49" s="8"/>
      <c r="D49" s="2" t="s">
        <v>5545</v>
      </c>
      <c r="E49" s="2" t="s">
        <v>48</v>
      </c>
      <c r="F49" s="4"/>
      <c r="G49" s="14"/>
      <c r="H49" s="9">
        <v>13.3</v>
      </c>
    </row>
    <row r="50" spans="3:8" x14ac:dyDescent="0.25">
      <c r="C50" s="8"/>
      <c r="D50" s="2" t="s">
        <v>5558</v>
      </c>
      <c r="E50" s="2" t="s">
        <v>48</v>
      </c>
      <c r="F50" s="4">
        <v>4</v>
      </c>
      <c r="G50" s="14"/>
      <c r="H50" s="9"/>
    </row>
    <row r="51" spans="3:8" x14ac:dyDescent="0.25">
      <c r="C51" s="8"/>
      <c r="D51" s="2" t="s">
        <v>5569</v>
      </c>
      <c r="E51" s="43" t="s">
        <v>5570</v>
      </c>
      <c r="F51" s="4"/>
      <c r="G51" s="14"/>
      <c r="H51" s="9"/>
    </row>
    <row r="52" spans="3:8" x14ac:dyDescent="0.25">
      <c r="C52" s="8"/>
      <c r="D52" s="2" t="s">
        <v>5571</v>
      </c>
      <c r="E52" s="40" t="s">
        <v>5081</v>
      </c>
      <c r="F52" s="4">
        <v>137.5</v>
      </c>
      <c r="G52" s="14"/>
      <c r="H52" s="9"/>
    </row>
    <row r="53" spans="3:8" x14ac:dyDescent="0.25">
      <c r="C53" s="8"/>
      <c r="D53" s="2" t="s">
        <v>5575</v>
      </c>
      <c r="E53" s="40" t="s">
        <v>5576</v>
      </c>
      <c r="F53" s="4"/>
      <c r="G53" s="14"/>
      <c r="H53" s="9">
        <v>633.6</v>
      </c>
    </row>
    <row r="54" spans="3:8" x14ac:dyDescent="0.25">
      <c r="C54" s="8"/>
      <c r="D54" s="2" t="s">
        <v>5601</v>
      </c>
      <c r="E54" s="2"/>
      <c r="F54" s="4"/>
      <c r="G54" s="14"/>
      <c r="H54" s="9"/>
    </row>
    <row r="55" spans="3:8" x14ac:dyDescent="0.25">
      <c r="C55" s="29"/>
      <c r="D55" s="30"/>
      <c r="E55" s="30" t="s">
        <v>60</v>
      </c>
      <c r="F55" s="4"/>
      <c r="G55" s="14"/>
      <c r="H55" s="9"/>
    </row>
    <row r="56" spans="3:8" x14ac:dyDescent="0.25">
      <c r="C56" s="8"/>
      <c r="D56" s="45" t="s">
        <v>5498</v>
      </c>
      <c r="E56" s="68" t="s">
        <v>5497</v>
      </c>
      <c r="F56" s="4"/>
      <c r="G56" s="14">
        <v>420</v>
      </c>
      <c r="H56" s="9"/>
    </row>
    <row r="57" spans="3:8" x14ac:dyDescent="0.25">
      <c r="C57" s="8"/>
      <c r="D57" s="45" t="s">
        <v>5499</v>
      </c>
      <c r="E57" s="68" t="s">
        <v>5500</v>
      </c>
      <c r="F57" s="4"/>
      <c r="G57" s="14"/>
      <c r="H57" s="9">
        <v>50</v>
      </c>
    </row>
    <row r="58" spans="3:8" x14ac:dyDescent="0.25">
      <c r="C58" s="8"/>
      <c r="D58" s="45" t="s">
        <v>5501</v>
      </c>
      <c r="E58" s="68" t="s">
        <v>5502</v>
      </c>
      <c r="F58" s="4">
        <v>1023</v>
      </c>
      <c r="G58" s="14"/>
      <c r="H58" s="9"/>
    </row>
    <row r="59" spans="3:8" x14ac:dyDescent="0.25">
      <c r="C59" s="8"/>
      <c r="D59" s="45"/>
      <c r="E59" s="68"/>
      <c r="F59" s="4"/>
      <c r="G59" s="14"/>
      <c r="H59" s="9"/>
    </row>
    <row r="60" spans="3:8" x14ac:dyDescent="0.25">
      <c r="C60" s="8"/>
      <c r="D60" s="45"/>
      <c r="E60" s="68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16"/>
      <c r="D62" s="17"/>
      <c r="E62" s="17" t="s">
        <v>39</v>
      </c>
      <c r="F62" s="4"/>
      <c r="G62" s="14"/>
      <c r="H62" s="9"/>
    </row>
    <row r="63" spans="3:8" x14ac:dyDescent="0.25">
      <c r="C63" s="8"/>
      <c r="D63" s="2"/>
      <c r="E63" s="2" t="s">
        <v>5547</v>
      </c>
      <c r="F63" s="4">
        <v>2050.04</v>
      </c>
      <c r="G63" s="14"/>
      <c r="H63" s="9"/>
    </row>
    <row r="64" spans="3:8" x14ac:dyDescent="0.25">
      <c r="C64" s="8"/>
      <c r="D64" s="2"/>
      <c r="E64" s="2" t="s">
        <v>5548</v>
      </c>
      <c r="F64" s="4">
        <v>1450</v>
      </c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19"/>
      <c r="D67" s="20"/>
      <c r="E67" s="20" t="s">
        <v>42</v>
      </c>
      <c r="F67" s="4"/>
      <c r="G67" s="14"/>
      <c r="H67" s="9"/>
    </row>
    <row r="68" spans="3:8" x14ac:dyDescent="0.25">
      <c r="C68" s="34"/>
      <c r="D68" s="42" t="s">
        <v>158</v>
      </c>
      <c r="E68" s="68" t="s">
        <v>5491</v>
      </c>
      <c r="F68" s="14">
        <v>-26</v>
      </c>
      <c r="G68" s="14"/>
      <c r="H68" s="9"/>
    </row>
    <row r="69" spans="3:8" x14ac:dyDescent="0.25">
      <c r="C69" s="34"/>
      <c r="D69" s="42" t="s">
        <v>158</v>
      </c>
      <c r="E69" s="68" t="s">
        <v>5492</v>
      </c>
      <c r="F69" s="14">
        <v>-10</v>
      </c>
      <c r="G69" s="14"/>
      <c r="H69" s="9"/>
    </row>
    <row r="70" spans="3:8" x14ac:dyDescent="0.25">
      <c r="C70" s="34"/>
      <c r="D70" s="42" t="s">
        <v>628</v>
      </c>
      <c r="E70" s="68" t="s">
        <v>5493</v>
      </c>
      <c r="F70" s="14">
        <v>-2021.76</v>
      </c>
      <c r="G70" s="14"/>
      <c r="H70" s="9"/>
    </row>
    <row r="71" spans="3:8" x14ac:dyDescent="0.25">
      <c r="C71" s="34"/>
      <c r="D71" s="42" t="s">
        <v>5494</v>
      </c>
      <c r="E71" s="68" t="s">
        <v>5577</v>
      </c>
      <c r="F71" s="14">
        <v>-350</v>
      </c>
      <c r="G71" s="14"/>
      <c r="H71" s="9"/>
    </row>
    <row r="72" spans="3:8" x14ac:dyDescent="0.25">
      <c r="C72" s="34"/>
      <c r="D72" s="42" t="s">
        <v>5559</v>
      </c>
      <c r="E72" s="68" t="s">
        <v>3931</v>
      </c>
      <c r="F72" s="14">
        <v>-400</v>
      </c>
      <c r="G72" s="14"/>
      <c r="H72" s="9"/>
    </row>
    <row r="73" spans="3:8" x14ac:dyDescent="0.25">
      <c r="C73" s="34"/>
      <c r="D73" s="42" t="s">
        <v>5496</v>
      </c>
      <c r="E73" s="68" t="s">
        <v>5495</v>
      </c>
      <c r="F73" s="14">
        <v>-40</v>
      </c>
      <c r="G73" s="14"/>
      <c r="H73" s="9"/>
    </row>
    <row r="74" spans="3:8" x14ac:dyDescent="0.25">
      <c r="C74" s="34"/>
      <c r="D74" s="42"/>
      <c r="E74" s="68" t="s">
        <v>5549</v>
      </c>
      <c r="F74" s="14">
        <v>-4125</v>
      </c>
      <c r="G74" s="14"/>
      <c r="H74" s="9"/>
    </row>
    <row r="75" spans="3:8" x14ac:dyDescent="0.25">
      <c r="C75" s="34"/>
      <c r="D75" s="42"/>
      <c r="E75" s="68" t="s">
        <v>5550</v>
      </c>
      <c r="F75" s="14">
        <v>-460</v>
      </c>
      <c r="G75" s="14"/>
      <c r="H75" s="9"/>
    </row>
    <row r="76" spans="3:8" x14ac:dyDescent="0.25">
      <c r="C76" s="34"/>
      <c r="D76" s="42"/>
      <c r="E76" s="68" t="s">
        <v>5313</v>
      </c>
      <c r="F76" s="14">
        <v>-100</v>
      </c>
      <c r="G76" s="14"/>
      <c r="H76" s="9"/>
    </row>
    <row r="77" spans="3:8" x14ac:dyDescent="0.25">
      <c r="C77" s="34"/>
      <c r="D77" s="42"/>
      <c r="E77" s="68" t="s">
        <v>5551</v>
      </c>
      <c r="F77" s="14">
        <v>-100</v>
      </c>
      <c r="G77" s="14"/>
      <c r="H77" s="9"/>
    </row>
    <row r="78" spans="3:8" x14ac:dyDescent="0.25">
      <c r="C78" s="34"/>
      <c r="D78" s="42"/>
      <c r="E78" s="68" t="s">
        <v>5552</v>
      </c>
      <c r="F78" s="14">
        <v>-50</v>
      </c>
      <c r="G78" s="14"/>
      <c r="H78" s="9"/>
    </row>
    <row r="79" spans="3:8" x14ac:dyDescent="0.25">
      <c r="C79" s="34"/>
      <c r="D79" s="42"/>
      <c r="E79" s="68" t="s">
        <v>5553</v>
      </c>
      <c r="F79" s="14">
        <v>-120</v>
      </c>
      <c r="G79" s="14"/>
      <c r="H79" s="9"/>
    </row>
    <row r="80" spans="3:8" x14ac:dyDescent="0.25">
      <c r="C80" s="34"/>
      <c r="D80" s="42"/>
      <c r="E80" s="68" t="s">
        <v>5554</v>
      </c>
      <c r="F80" s="14">
        <v>-144</v>
      </c>
      <c r="G80" s="14"/>
      <c r="H80" s="9"/>
    </row>
    <row r="81" spans="3:8" x14ac:dyDescent="0.25">
      <c r="C81" s="34"/>
      <c r="D81" s="42"/>
      <c r="E81" s="68" t="s">
        <v>5555</v>
      </c>
      <c r="F81" s="14">
        <v>-100</v>
      </c>
      <c r="G81" s="14"/>
      <c r="H81" s="9"/>
    </row>
    <row r="82" spans="3:8" x14ac:dyDescent="0.25">
      <c r="C82" s="34"/>
      <c r="D82" s="42"/>
      <c r="E82" s="68" t="s">
        <v>5556</v>
      </c>
      <c r="F82" s="14">
        <v>-45</v>
      </c>
      <c r="G82" s="14"/>
      <c r="H82" s="9"/>
    </row>
    <row r="83" spans="3:8" x14ac:dyDescent="0.25">
      <c r="C83" s="34"/>
      <c r="D83" s="42"/>
      <c r="E83" s="68" t="s">
        <v>5557</v>
      </c>
      <c r="F83" s="14">
        <v>-138</v>
      </c>
      <c r="G83" s="14"/>
      <c r="H83" s="9"/>
    </row>
    <row r="84" spans="3:8" x14ac:dyDescent="0.25">
      <c r="C84" s="34"/>
      <c r="D84" s="42"/>
      <c r="E84" s="105" t="s">
        <v>5081</v>
      </c>
      <c r="F84" s="14">
        <v>-137.5</v>
      </c>
      <c r="G84" s="14"/>
      <c r="H84" s="9"/>
    </row>
    <row r="85" spans="3:8" x14ac:dyDescent="0.25">
      <c r="C85" s="34"/>
      <c r="D85" s="42"/>
      <c r="E85" s="68" t="s">
        <v>5572</v>
      </c>
      <c r="F85" s="14">
        <v>-147.5</v>
      </c>
      <c r="G85" s="14"/>
      <c r="H85" s="9"/>
    </row>
    <row r="86" spans="3:8" x14ac:dyDescent="0.25">
      <c r="C86" s="34"/>
      <c r="D86" s="42"/>
      <c r="E86" s="68" t="s">
        <v>5573</v>
      </c>
      <c r="F86" s="14">
        <v>-350</v>
      </c>
      <c r="G86" s="14"/>
      <c r="H86" s="9"/>
    </row>
    <row r="87" spans="3:8" x14ac:dyDescent="0.25">
      <c r="C87" s="34"/>
      <c r="D87" s="42"/>
      <c r="E87" s="68" t="s">
        <v>1274</v>
      </c>
      <c r="F87" s="14">
        <v>-774.4</v>
      </c>
      <c r="G87" s="14"/>
      <c r="H87" s="9"/>
    </row>
    <row r="88" spans="3:8" x14ac:dyDescent="0.25">
      <c r="C88" s="34"/>
      <c r="D88" s="42"/>
      <c r="E88" s="68"/>
      <c r="F88" s="14"/>
      <c r="G88" s="14"/>
      <c r="H88" s="9"/>
    </row>
    <row r="89" spans="3:8" ht="15.75" thickBot="1" x14ac:dyDescent="0.3">
      <c r="C89" s="10"/>
      <c r="D89" s="11"/>
      <c r="E89" s="11" t="s">
        <v>44</v>
      </c>
      <c r="F89" s="12">
        <f>SUM(F6:F88)</f>
        <v>-364.11999999999932</v>
      </c>
      <c r="G89" s="15">
        <f>SUM(G6:G88)</f>
        <v>12044.8</v>
      </c>
      <c r="H89" s="13">
        <f>SUM(H6:H88)</f>
        <v>10610.4</v>
      </c>
    </row>
    <row r="92" spans="3:8" s="3" customFormat="1" ht="18.75" x14ac:dyDescent="0.3">
      <c r="C92" s="1"/>
      <c r="D92" s="1"/>
      <c r="E92" s="38" t="s">
        <v>49</v>
      </c>
      <c r="F92" s="39">
        <f>+H4+F89</f>
        <v>576.28000000000065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5C77-8329-48F4-A67C-51B0F9C5DC41}">
  <sheetPr codeName="Hoja63"/>
  <dimension ref="C2:J89"/>
  <sheetViews>
    <sheetView topLeftCell="A55" zoomScaleNormal="100" workbookViewId="0">
      <selection activeCell="G73" sqref="G73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73.710937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5647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576.28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5582</v>
      </c>
      <c r="E6" s="2" t="s">
        <v>12</v>
      </c>
      <c r="F6" s="4">
        <v>4</v>
      </c>
      <c r="G6" s="14"/>
      <c r="H6" s="9"/>
    </row>
    <row r="7" spans="3:8" x14ac:dyDescent="0.25">
      <c r="C7" s="8"/>
      <c r="D7" s="2" t="s">
        <v>5583</v>
      </c>
      <c r="E7" s="2" t="s">
        <v>12</v>
      </c>
      <c r="F7" s="4">
        <v>8</v>
      </c>
      <c r="G7" s="14"/>
      <c r="H7" s="9"/>
    </row>
    <row r="8" spans="3:8" x14ac:dyDescent="0.25">
      <c r="C8" s="8"/>
      <c r="D8" s="2" t="s">
        <v>5584</v>
      </c>
      <c r="E8" s="2" t="s">
        <v>12</v>
      </c>
      <c r="F8" s="4">
        <v>10</v>
      </c>
      <c r="G8" s="14"/>
      <c r="H8" s="9"/>
    </row>
    <row r="9" spans="3:8" x14ac:dyDescent="0.25">
      <c r="C9" s="8"/>
      <c r="D9" s="2" t="s">
        <v>5585</v>
      </c>
      <c r="E9" s="2" t="s">
        <v>12</v>
      </c>
      <c r="F9" s="4">
        <v>7</v>
      </c>
      <c r="G9" s="14"/>
      <c r="H9" s="9"/>
    </row>
    <row r="10" spans="3:8" x14ac:dyDescent="0.25">
      <c r="C10" s="8"/>
      <c r="D10" s="2" t="s">
        <v>5586</v>
      </c>
      <c r="E10" s="2" t="s">
        <v>12</v>
      </c>
      <c r="F10" s="4">
        <v>6</v>
      </c>
      <c r="G10" s="14"/>
      <c r="H10" s="9"/>
    </row>
    <row r="11" spans="3:8" x14ac:dyDescent="0.25">
      <c r="C11" s="8"/>
      <c r="D11" s="2" t="s">
        <v>5587</v>
      </c>
      <c r="E11" s="2" t="s">
        <v>12</v>
      </c>
      <c r="F11" s="4">
        <v>4.5</v>
      </c>
      <c r="G11" s="14"/>
      <c r="H11" s="9"/>
    </row>
    <row r="12" spans="3:8" x14ac:dyDescent="0.25">
      <c r="C12" s="8"/>
      <c r="D12" s="2" t="s">
        <v>5588</v>
      </c>
      <c r="E12" s="2" t="s">
        <v>12</v>
      </c>
      <c r="F12" s="4">
        <v>6.5</v>
      </c>
      <c r="G12" s="14"/>
      <c r="H12" s="9"/>
    </row>
    <row r="13" spans="3:8" x14ac:dyDescent="0.25">
      <c r="C13" s="8"/>
      <c r="D13" s="2" t="s">
        <v>5589</v>
      </c>
      <c r="E13" s="2" t="s">
        <v>5528</v>
      </c>
      <c r="F13" s="4"/>
      <c r="G13" s="14">
        <v>10</v>
      </c>
      <c r="H13" s="9"/>
    </row>
    <row r="14" spans="3:8" x14ac:dyDescent="0.25">
      <c r="C14" s="8"/>
      <c r="D14" s="2" t="s">
        <v>5590</v>
      </c>
      <c r="E14" s="2" t="s">
        <v>12</v>
      </c>
      <c r="F14" s="4">
        <v>11.5</v>
      </c>
      <c r="G14" s="14"/>
      <c r="H14" s="9"/>
    </row>
    <row r="15" spans="3:8" x14ac:dyDescent="0.25">
      <c r="C15" s="8"/>
      <c r="D15" s="2" t="s">
        <v>5591</v>
      </c>
      <c r="E15" s="2" t="s">
        <v>12</v>
      </c>
      <c r="F15" s="4">
        <v>44.5</v>
      </c>
      <c r="G15" s="14"/>
      <c r="H15" s="9"/>
    </row>
    <row r="16" spans="3:8" x14ac:dyDescent="0.25">
      <c r="C16" s="8"/>
      <c r="D16" s="2" t="s">
        <v>5592</v>
      </c>
      <c r="E16" s="2" t="s">
        <v>12</v>
      </c>
      <c r="F16" s="4">
        <v>159</v>
      </c>
      <c r="G16" s="14"/>
      <c r="H16" s="9"/>
    </row>
    <row r="17" spans="3:8" x14ac:dyDescent="0.25">
      <c r="C17" s="8"/>
      <c r="D17" s="2" t="s">
        <v>5593</v>
      </c>
      <c r="E17" s="2" t="s">
        <v>12</v>
      </c>
      <c r="F17" s="4">
        <v>1</v>
      </c>
      <c r="G17" s="14"/>
      <c r="H17" s="9"/>
    </row>
    <row r="18" spans="3:8" x14ac:dyDescent="0.25">
      <c r="C18" s="8"/>
      <c r="D18" s="2" t="s">
        <v>5594</v>
      </c>
      <c r="E18" s="2" t="s">
        <v>12</v>
      </c>
      <c r="F18" s="4">
        <v>1</v>
      </c>
      <c r="G18" s="14"/>
      <c r="H18" s="9"/>
    </row>
    <row r="19" spans="3:8" x14ac:dyDescent="0.25">
      <c r="C19" s="8"/>
      <c r="D19" s="2" t="s">
        <v>5595</v>
      </c>
      <c r="E19" s="2" t="s">
        <v>5599</v>
      </c>
      <c r="F19" s="4">
        <v>171</v>
      </c>
      <c r="G19" s="14"/>
      <c r="H19" s="9"/>
    </row>
    <row r="20" spans="3:8" x14ac:dyDescent="0.25">
      <c r="C20" s="8"/>
      <c r="D20" s="2" t="s">
        <v>5596</v>
      </c>
      <c r="E20" s="2" t="s">
        <v>12</v>
      </c>
      <c r="F20" s="4"/>
      <c r="G20" s="14"/>
      <c r="H20" s="9">
        <v>14</v>
      </c>
    </row>
    <row r="21" spans="3:8" x14ac:dyDescent="0.25">
      <c r="C21" s="8"/>
      <c r="D21" s="2" t="s">
        <v>5597</v>
      </c>
      <c r="E21" s="2" t="s">
        <v>12</v>
      </c>
      <c r="F21" s="4">
        <v>4</v>
      </c>
      <c r="G21" s="14"/>
      <c r="H21" s="9"/>
    </row>
    <row r="22" spans="3:8" x14ac:dyDescent="0.25">
      <c r="C22" s="8"/>
      <c r="D22" s="2" t="s">
        <v>5598</v>
      </c>
      <c r="E22" s="2" t="s">
        <v>3960</v>
      </c>
      <c r="F22" s="4">
        <v>315</v>
      </c>
      <c r="G22" s="14"/>
      <c r="H22" s="9"/>
    </row>
    <row r="23" spans="3:8" x14ac:dyDescent="0.25">
      <c r="C23" s="8"/>
      <c r="D23" s="2" t="s">
        <v>5600</v>
      </c>
      <c r="E23" s="2" t="s">
        <v>605</v>
      </c>
      <c r="F23" s="4"/>
      <c r="G23" s="14">
        <v>518</v>
      </c>
      <c r="H23" s="9"/>
    </row>
    <row r="24" spans="3:8" x14ac:dyDescent="0.25">
      <c r="C24" s="8"/>
      <c r="D24" s="2" t="s">
        <v>5623</v>
      </c>
      <c r="E24" s="2" t="s">
        <v>12</v>
      </c>
      <c r="F24" s="4">
        <v>2</v>
      </c>
      <c r="G24" s="14"/>
      <c r="H24" s="9"/>
    </row>
    <row r="25" spans="3:8" x14ac:dyDescent="0.25">
      <c r="C25" s="8"/>
      <c r="D25" s="2" t="s">
        <v>5625</v>
      </c>
      <c r="E25" s="2" t="s">
        <v>12</v>
      </c>
      <c r="F25" s="4">
        <v>13</v>
      </c>
      <c r="G25" s="14"/>
      <c r="H25" s="9"/>
    </row>
    <row r="26" spans="3:8" x14ac:dyDescent="0.25">
      <c r="C26" s="8"/>
      <c r="D26" s="2" t="s">
        <v>5626</v>
      </c>
      <c r="E26" s="2" t="s">
        <v>5631</v>
      </c>
      <c r="F26" s="4">
        <v>2406.6999999999998</v>
      </c>
      <c r="G26" s="14"/>
      <c r="H26" s="9"/>
    </row>
    <row r="27" spans="3:8" x14ac:dyDescent="0.25">
      <c r="C27" s="8"/>
      <c r="D27" s="2" t="s">
        <v>5627</v>
      </c>
      <c r="E27" s="2" t="s">
        <v>12</v>
      </c>
      <c r="F27" s="4">
        <v>9</v>
      </c>
      <c r="G27" s="14"/>
      <c r="H27" s="9"/>
    </row>
    <row r="28" spans="3:8" x14ac:dyDescent="0.25">
      <c r="C28" s="8"/>
      <c r="D28" s="2" t="s">
        <v>5628</v>
      </c>
      <c r="E28" s="2" t="s">
        <v>12</v>
      </c>
      <c r="F28" s="4">
        <v>5</v>
      </c>
      <c r="G28" s="14"/>
      <c r="H28" s="9"/>
    </row>
    <row r="29" spans="3:8" x14ac:dyDescent="0.25">
      <c r="C29" s="8"/>
      <c r="D29" s="2" t="s">
        <v>5629</v>
      </c>
      <c r="E29" s="2" t="s">
        <v>5638</v>
      </c>
      <c r="F29" s="4"/>
      <c r="G29" s="14"/>
      <c r="H29" s="9">
        <v>7293.5</v>
      </c>
    </row>
    <row r="30" spans="3:8" x14ac:dyDescent="0.25">
      <c r="C30" s="8"/>
      <c r="D30" s="2" t="s">
        <v>5630</v>
      </c>
      <c r="E30" s="2" t="s">
        <v>5644</v>
      </c>
      <c r="F30" s="4"/>
      <c r="G30" s="14"/>
      <c r="H30" s="9">
        <v>686</v>
      </c>
    </row>
    <row r="31" spans="3:8" x14ac:dyDescent="0.25">
      <c r="C31" s="8"/>
      <c r="D31" s="2" t="s">
        <v>5648</v>
      </c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 t="s">
        <v>5601</v>
      </c>
      <c r="E36" s="2" t="s">
        <v>1631</v>
      </c>
      <c r="F36" s="4">
        <v>106</v>
      </c>
      <c r="G36" s="14"/>
      <c r="H36" s="9"/>
    </row>
    <row r="37" spans="3:8" x14ac:dyDescent="0.25">
      <c r="C37" s="8"/>
      <c r="D37" s="2" t="s">
        <v>5602</v>
      </c>
      <c r="E37" s="2" t="s">
        <v>5236</v>
      </c>
      <c r="F37" s="4"/>
      <c r="G37" s="14">
        <v>10</v>
      </c>
      <c r="H37" s="9"/>
    </row>
    <row r="38" spans="3:8" x14ac:dyDescent="0.25">
      <c r="C38" s="8"/>
      <c r="D38" s="2" t="s">
        <v>5603</v>
      </c>
      <c r="E38" s="2" t="s">
        <v>5612</v>
      </c>
      <c r="F38" s="4"/>
      <c r="G38" s="14"/>
      <c r="H38" s="9">
        <v>2787</v>
      </c>
    </row>
    <row r="39" spans="3:8" x14ac:dyDescent="0.25">
      <c r="C39" s="8"/>
      <c r="D39" s="2" t="s">
        <v>5604</v>
      </c>
      <c r="E39" s="2" t="s">
        <v>4079</v>
      </c>
      <c r="F39" s="4"/>
      <c r="G39" s="14"/>
      <c r="H39" s="9">
        <v>271</v>
      </c>
    </row>
    <row r="40" spans="3:8" x14ac:dyDescent="0.25">
      <c r="C40" s="8"/>
      <c r="D40" s="2" t="s">
        <v>5605</v>
      </c>
      <c r="E40" s="2" t="s">
        <v>48</v>
      </c>
      <c r="F40" s="4">
        <v>2</v>
      </c>
      <c r="G40" s="14"/>
      <c r="H40" s="9"/>
    </row>
    <row r="41" spans="3:8" x14ac:dyDescent="0.25">
      <c r="C41" s="8"/>
      <c r="D41" s="2" t="s">
        <v>5606</v>
      </c>
      <c r="E41" s="2" t="s">
        <v>5055</v>
      </c>
      <c r="F41" s="4">
        <v>324</v>
      </c>
      <c r="G41" s="14"/>
      <c r="H41" s="9"/>
    </row>
    <row r="42" spans="3:8" x14ac:dyDescent="0.25">
      <c r="C42" s="8"/>
      <c r="D42" s="2" t="s">
        <v>5607</v>
      </c>
      <c r="E42" s="2" t="s">
        <v>1631</v>
      </c>
      <c r="F42" s="4"/>
      <c r="G42" s="14"/>
      <c r="H42" s="9">
        <v>11</v>
      </c>
    </row>
    <row r="43" spans="3:8" x14ac:dyDescent="0.25">
      <c r="C43" s="8"/>
      <c r="D43" s="2" t="s">
        <v>5608</v>
      </c>
      <c r="E43" s="2" t="s">
        <v>1631</v>
      </c>
      <c r="F43" s="4">
        <v>7.5</v>
      </c>
      <c r="G43" s="14"/>
      <c r="H43" s="9"/>
    </row>
    <row r="44" spans="3:8" x14ac:dyDescent="0.25">
      <c r="C44" s="8"/>
      <c r="D44" s="2" t="s">
        <v>5609</v>
      </c>
      <c r="E44" s="2" t="s">
        <v>1631</v>
      </c>
      <c r="F44" s="4">
        <v>5</v>
      </c>
      <c r="G44" s="14"/>
      <c r="H44" s="9"/>
    </row>
    <row r="45" spans="3:8" x14ac:dyDescent="0.25">
      <c r="C45" s="8"/>
      <c r="D45" s="2" t="s">
        <v>5610</v>
      </c>
      <c r="E45" s="2" t="s">
        <v>1631</v>
      </c>
      <c r="F45" s="4"/>
      <c r="G45" s="14"/>
      <c r="H45" s="9">
        <v>10</v>
      </c>
    </row>
    <row r="46" spans="3:8" x14ac:dyDescent="0.25">
      <c r="C46" s="8"/>
      <c r="D46" s="2" t="s">
        <v>5611</v>
      </c>
      <c r="E46" s="2" t="s">
        <v>3998</v>
      </c>
      <c r="F46" s="4"/>
      <c r="G46" s="14"/>
      <c r="H46" s="9">
        <v>4900</v>
      </c>
    </row>
    <row r="47" spans="3:8" x14ac:dyDescent="0.25">
      <c r="C47" s="8"/>
      <c r="D47" s="2" t="s">
        <v>5632</v>
      </c>
      <c r="E47" s="2" t="s">
        <v>5635</v>
      </c>
      <c r="F47" s="4"/>
      <c r="G47" s="14"/>
      <c r="H47" s="9">
        <v>273.2</v>
      </c>
    </row>
    <row r="48" spans="3:8" x14ac:dyDescent="0.25">
      <c r="C48" s="8"/>
      <c r="D48" s="2" t="s">
        <v>5633</v>
      </c>
      <c r="E48" s="2" t="s">
        <v>1631</v>
      </c>
      <c r="F48" s="4"/>
      <c r="G48" s="14"/>
      <c r="H48" s="9">
        <v>7</v>
      </c>
    </row>
    <row r="49" spans="3:8" x14ac:dyDescent="0.25">
      <c r="C49" s="8"/>
      <c r="D49" s="2" t="s">
        <v>5634</v>
      </c>
      <c r="E49" s="106" t="s">
        <v>5636</v>
      </c>
      <c r="F49" s="4">
        <v>120.4</v>
      </c>
      <c r="G49" s="14"/>
      <c r="H49" s="9"/>
    </row>
    <row r="50" spans="3:8" x14ac:dyDescent="0.25">
      <c r="C50" s="8"/>
      <c r="D50" s="2" t="s">
        <v>5681</v>
      </c>
      <c r="E50" s="2"/>
      <c r="F50" s="4"/>
      <c r="G50" s="14"/>
      <c r="H50" s="9"/>
    </row>
    <row r="51" spans="3:8" x14ac:dyDescent="0.25">
      <c r="C51" s="8"/>
      <c r="D51" s="2"/>
      <c r="E51" s="40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29"/>
      <c r="D53" s="30"/>
      <c r="E53" s="30" t="s">
        <v>60</v>
      </c>
      <c r="F53" s="4"/>
      <c r="G53" s="14"/>
      <c r="H53" s="9"/>
    </row>
    <row r="54" spans="3:8" x14ac:dyDescent="0.25">
      <c r="C54" s="8"/>
      <c r="D54" s="45" t="s">
        <v>5581</v>
      </c>
      <c r="E54" s="68" t="s">
        <v>5189</v>
      </c>
      <c r="F54" s="4"/>
      <c r="G54" s="14"/>
      <c r="H54" s="9">
        <v>5385</v>
      </c>
    </row>
    <row r="55" spans="3:8" x14ac:dyDescent="0.25">
      <c r="C55" s="8"/>
      <c r="D55" s="45" t="s">
        <v>5639</v>
      </c>
      <c r="E55" s="68" t="s">
        <v>5640</v>
      </c>
      <c r="F55" s="4"/>
      <c r="G55" s="14"/>
      <c r="H55" s="9">
        <v>15.5</v>
      </c>
    </row>
    <row r="56" spans="3:8" x14ac:dyDescent="0.25">
      <c r="C56" s="8"/>
      <c r="D56" s="45"/>
      <c r="E56" s="68"/>
      <c r="F56" s="4"/>
      <c r="G56" s="14"/>
      <c r="H56" s="9"/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45"/>
      <c r="E58" s="68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16"/>
      <c r="D60" s="17"/>
      <c r="E60" s="17" t="s">
        <v>39</v>
      </c>
      <c r="F60" s="4"/>
      <c r="G60" s="14"/>
      <c r="H60" s="9"/>
    </row>
    <row r="61" spans="3:8" x14ac:dyDescent="0.25">
      <c r="C61" s="8"/>
      <c r="D61" s="2"/>
      <c r="E61" s="2" t="s">
        <v>5613</v>
      </c>
      <c r="F61" s="4">
        <v>279</v>
      </c>
      <c r="G61" s="14"/>
      <c r="H61" s="9"/>
    </row>
    <row r="62" spans="3:8" x14ac:dyDescent="0.25">
      <c r="C62" s="8"/>
      <c r="D62" s="2"/>
      <c r="E62" s="2" t="s">
        <v>5614</v>
      </c>
      <c r="F62" s="4">
        <v>772</v>
      </c>
      <c r="G62" s="14"/>
      <c r="H62" s="9"/>
    </row>
    <row r="63" spans="3:8" x14ac:dyDescent="0.25">
      <c r="C63" s="8"/>
      <c r="D63" s="2"/>
      <c r="E63" s="2" t="s">
        <v>5615</v>
      </c>
      <c r="F63" s="4">
        <v>8828</v>
      </c>
      <c r="G63" s="14"/>
      <c r="H63" s="9"/>
    </row>
    <row r="64" spans="3:8" x14ac:dyDescent="0.25">
      <c r="C64" s="8"/>
      <c r="D64" s="2"/>
      <c r="E64" s="2" t="s">
        <v>5616</v>
      </c>
      <c r="F64" s="4">
        <v>412.5</v>
      </c>
      <c r="G64" s="14"/>
      <c r="H64" s="9"/>
    </row>
    <row r="65" spans="3:10" x14ac:dyDescent="0.25">
      <c r="C65" s="8"/>
      <c r="D65" s="2"/>
      <c r="E65" s="2" t="s">
        <v>5617</v>
      </c>
      <c r="F65" s="4">
        <v>0.5</v>
      </c>
      <c r="G65" s="14"/>
      <c r="H65" s="9"/>
    </row>
    <row r="66" spans="3:10" x14ac:dyDescent="0.25">
      <c r="C66" s="8"/>
      <c r="D66" s="2"/>
      <c r="E66" s="2" t="s">
        <v>5641</v>
      </c>
      <c r="F66" s="4">
        <v>92.5</v>
      </c>
      <c r="G66" s="14"/>
      <c r="H66" s="9"/>
    </row>
    <row r="67" spans="3:10" x14ac:dyDescent="0.25">
      <c r="C67" s="8"/>
      <c r="D67" s="2"/>
      <c r="E67" s="2" t="s">
        <v>5642</v>
      </c>
      <c r="F67" s="4">
        <v>4000</v>
      </c>
      <c r="G67" s="14"/>
      <c r="H67" s="9"/>
    </row>
    <row r="68" spans="3:10" x14ac:dyDescent="0.25">
      <c r="C68" s="8"/>
      <c r="D68" s="2"/>
      <c r="E68" s="2" t="s">
        <v>402</v>
      </c>
      <c r="F68" s="4">
        <v>39</v>
      </c>
      <c r="G68" s="14"/>
      <c r="H68" s="9"/>
    </row>
    <row r="69" spans="3:10" x14ac:dyDescent="0.25">
      <c r="C69" s="8"/>
      <c r="D69" s="2"/>
      <c r="E69" s="2"/>
      <c r="F69" s="4"/>
      <c r="G69" s="14"/>
      <c r="H69" s="9"/>
    </row>
    <row r="70" spans="3:10" x14ac:dyDescent="0.25">
      <c r="C70" s="19"/>
      <c r="D70" s="20"/>
      <c r="E70" s="20" t="s">
        <v>42</v>
      </c>
      <c r="F70" s="4"/>
      <c r="G70" s="14"/>
      <c r="H70" s="9"/>
    </row>
    <row r="71" spans="3:10" x14ac:dyDescent="0.25">
      <c r="C71" s="34"/>
      <c r="D71" s="42" t="s">
        <v>5580</v>
      </c>
      <c r="E71" s="68" t="s">
        <v>5578</v>
      </c>
      <c r="F71" s="14">
        <v>-550</v>
      </c>
      <c r="G71" s="14"/>
      <c r="H71" s="9"/>
      <c r="J71">
        <f>27.5*20</f>
        <v>550</v>
      </c>
    </row>
    <row r="72" spans="3:10" x14ac:dyDescent="0.25">
      <c r="C72" s="34"/>
      <c r="D72" s="42" t="s">
        <v>5580</v>
      </c>
      <c r="E72" s="68" t="s">
        <v>5579</v>
      </c>
      <c r="F72" s="14">
        <v>-275</v>
      </c>
      <c r="G72" s="14"/>
      <c r="H72" s="9"/>
    </row>
    <row r="73" spans="3:10" x14ac:dyDescent="0.25">
      <c r="C73" s="34"/>
      <c r="D73" s="42"/>
      <c r="E73" s="68" t="s">
        <v>5618</v>
      </c>
      <c r="F73" s="14">
        <v>-80</v>
      </c>
      <c r="G73" s="14"/>
      <c r="H73" s="9"/>
    </row>
    <row r="74" spans="3:10" x14ac:dyDescent="0.25">
      <c r="C74" s="34"/>
      <c r="D74" s="42"/>
      <c r="E74" s="68" t="s">
        <v>5619</v>
      </c>
      <c r="F74" s="14">
        <v>-60</v>
      </c>
      <c r="G74" s="14"/>
      <c r="H74" s="9"/>
    </row>
    <row r="75" spans="3:10" x14ac:dyDescent="0.25">
      <c r="C75" s="34"/>
      <c r="D75" s="42"/>
      <c r="E75" s="68" t="s">
        <v>5620</v>
      </c>
      <c r="F75" s="14">
        <v>-300</v>
      </c>
      <c r="G75" s="14"/>
      <c r="H75" s="9"/>
    </row>
    <row r="76" spans="3:10" x14ac:dyDescent="0.25">
      <c r="C76" s="34"/>
      <c r="D76" s="42"/>
      <c r="E76" s="68" t="s">
        <v>5621</v>
      </c>
      <c r="F76" s="14">
        <v>-50</v>
      </c>
      <c r="G76" s="14"/>
      <c r="H76" s="9"/>
    </row>
    <row r="77" spans="3:10" x14ac:dyDescent="0.25">
      <c r="C77" s="34"/>
      <c r="D77" s="42"/>
      <c r="E77" s="68" t="s">
        <v>5622</v>
      </c>
      <c r="F77" s="14">
        <v>-21.3</v>
      </c>
      <c r="G77" s="14"/>
      <c r="H77" s="9"/>
    </row>
    <row r="78" spans="3:10" x14ac:dyDescent="0.25">
      <c r="C78" s="34"/>
      <c r="D78" s="42"/>
      <c r="E78" s="68" t="s">
        <v>5624</v>
      </c>
      <c r="F78" s="14">
        <v>-10</v>
      </c>
      <c r="G78" s="14"/>
      <c r="H78" s="9"/>
    </row>
    <row r="79" spans="3:10" x14ac:dyDescent="0.25">
      <c r="C79" s="34"/>
      <c r="D79" s="42"/>
      <c r="E79" s="68" t="s">
        <v>5637</v>
      </c>
      <c r="F79" s="14">
        <v>-110</v>
      </c>
      <c r="G79" s="14"/>
      <c r="H79" s="9"/>
    </row>
    <row r="80" spans="3:10" x14ac:dyDescent="0.25">
      <c r="C80" s="34"/>
      <c r="D80" s="42"/>
      <c r="E80" s="68" t="s">
        <v>5636</v>
      </c>
      <c r="F80" s="14">
        <v>-120.4</v>
      </c>
      <c r="G80" s="14"/>
      <c r="H80" s="9"/>
    </row>
    <row r="81" spans="3:8" x14ac:dyDescent="0.25">
      <c r="C81" s="34"/>
      <c r="D81" s="42"/>
      <c r="E81" s="68" t="s">
        <v>5643</v>
      </c>
      <c r="F81" s="14">
        <v>-32.5</v>
      </c>
      <c r="G81" s="14"/>
      <c r="H81" s="9"/>
    </row>
    <row r="82" spans="3:8" x14ac:dyDescent="0.25">
      <c r="C82" s="34"/>
      <c r="D82" s="42"/>
      <c r="E82" s="68" t="s">
        <v>5645</v>
      </c>
      <c r="F82" s="14">
        <v>-6318</v>
      </c>
      <c r="G82" s="14"/>
      <c r="H82" s="9"/>
    </row>
    <row r="83" spans="3:8" x14ac:dyDescent="0.25">
      <c r="C83" s="34"/>
      <c r="D83" s="42"/>
      <c r="E83" s="68" t="s">
        <v>1274</v>
      </c>
      <c r="F83" s="14">
        <v>-3942.8</v>
      </c>
      <c r="G83" s="14"/>
      <c r="H83" s="9"/>
    </row>
    <row r="84" spans="3:8" x14ac:dyDescent="0.25">
      <c r="C84" s="34"/>
      <c r="D84" s="42"/>
      <c r="E84" s="68"/>
      <c r="F84" s="14"/>
      <c r="G84" s="14"/>
      <c r="H84" s="9"/>
    </row>
    <row r="85" spans="3:8" x14ac:dyDescent="0.25">
      <c r="C85" s="34"/>
      <c r="D85" s="42"/>
      <c r="E85" s="68"/>
      <c r="F85" s="14"/>
      <c r="G85" s="14"/>
      <c r="H85" s="9"/>
    </row>
    <row r="86" spans="3:8" ht="15.75" thickBot="1" x14ac:dyDescent="0.3">
      <c r="C86" s="10"/>
      <c r="D86" s="11"/>
      <c r="E86" s="11" t="s">
        <v>44</v>
      </c>
      <c r="F86" s="12">
        <f>SUM(F6:F85)</f>
        <v>6307.0999999999976</v>
      </c>
      <c r="G86" s="15">
        <f>SUM(G6:G85)</f>
        <v>538</v>
      </c>
      <c r="H86" s="13">
        <f>SUM(H6:H85)</f>
        <v>21653.200000000001</v>
      </c>
    </row>
    <row r="89" spans="3:8" s="3" customFormat="1" ht="18.75" x14ac:dyDescent="0.3">
      <c r="C89" s="1"/>
      <c r="D89" s="1"/>
      <c r="E89" s="38" t="s">
        <v>49</v>
      </c>
      <c r="F89" s="39">
        <f>+H4+F86</f>
        <v>6883.3799999999974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2881-7D8D-4FC4-8FAD-B6D697545A04}">
  <sheetPr codeName="Hoja64"/>
  <dimension ref="C2:H118"/>
  <sheetViews>
    <sheetView topLeftCell="B79" zoomScaleNormal="100" workbookViewId="0">
      <selection activeCell="E103" sqref="E103:F103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73.710937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5646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6883.38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5648</v>
      </c>
      <c r="E6" s="2" t="s">
        <v>5678</v>
      </c>
      <c r="F6" s="4">
        <v>6</v>
      </c>
      <c r="G6" s="14"/>
      <c r="H6" s="9"/>
    </row>
    <row r="7" spans="3:8" x14ac:dyDescent="0.25">
      <c r="C7" s="8"/>
      <c r="D7" s="2" t="s">
        <v>5653</v>
      </c>
      <c r="E7" s="2" t="s">
        <v>5680</v>
      </c>
      <c r="F7" s="4">
        <v>746.3</v>
      </c>
      <c r="G7" s="14"/>
      <c r="H7" s="9"/>
    </row>
    <row r="8" spans="3:8" x14ac:dyDescent="0.25">
      <c r="C8" s="8"/>
      <c r="D8" s="2" t="s">
        <v>5654</v>
      </c>
      <c r="E8" s="2" t="s">
        <v>5678</v>
      </c>
      <c r="F8" s="4"/>
      <c r="G8" s="14"/>
      <c r="H8" s="9">
        <v>40</v>
      </c>
    </row>
    <row r="9" spans="3:8" x14ac:dyDescent="0.25">
      <c r="C9" s="8"/>
      <c r="D9" s="2" t="s">
        <v>5655</v>
      </c>
      <c r="E9" s="2" t="s">
        <v>5678</v>
      </c>
      <c r="F9" s="4">
        <v>40</v>
      </c>
      <c r="G9" s="14"/>
      <c r="H9" s="9"/>
    </row>
    <row r="10" spans="3:8" x14ac:dyDescent="0.25">
      <c r="C10" s="8"/>
      <c r="D10" s="2" t="s">
        <v>5656</v>
      </c>
      <c r="E10" s="2" t="s">
        <v>5678</v>
      </c>
      <c r="F10" s="4"/>
      <c r="G10" s="14"/>
      <c r="H10" s="9">
        <v>34.5</v>
      </c>
    </row>
    <row r="11" spans="3:8" x14ac:dyDescent="0.25">
      <c r="C11" s="8"/>
      <c r="D11" s="2" t="s">
        <v>5657</v>
      </c>
      <c r="E11" s="2" t="s">
        <v>5678</v>
      </c>
      <c r="F11" s="4">
        <v>5</v>
      </c>
      <c r="G11" s="14"/>
      <c r="H11" s="9"/>
    </row>
    <row r="12" spans="3:8" x14ac:dyDescent="0.25">
      <c r="C12" s="8"/>
      <c r="D12" s="2" t="s">
        <v>5658</v>
      </c>
      <c r="E12" s="2" t="s">
        <v>5678</v>
      </c>
      <c r="F12" s="4"/>
      <c r="G12" s="14"/>
      <c r="H12" s="9">
        <v>10.5</v>
      </c>
    </row>
    <row r="13" spans="3:8" x14ac:dyDescent="0.25">
      <c r="C13" s="8"/>
      <c r="D13" s="2" t="s">
        <v>5659</v>
      </c>
      <c r="E13" s="2" t="s">
        <v>5678</v>
      </c>
      <c r="F13" s="4"/>
      <c r="G13" s="14"/>
      <c r="H13" s="9">
        <v>17</v>
      </c>
    </row>
    <row r="14" spans="3:8" x14ac:dyDescent="0.25">
      <c r="C14" s="8"/>
      <c r="D14" s="2" t="s">
        <v>5660</v>
      </c>
      <c r="E14" s="2" t="s">
        <v>5678</v>
      </c>
      <c r="F14" s="4">
        <v>4</v>
      </c>
      <c r="G14" s="14"/>
      <c r="H14" s="9"/>
    </row>
    <row r="15" spans="3:8" x14ac:dyDescent="0.25">
      <c r="C15" s="8"/>
      <c r="D15" s="2" t="s">
        <v>5661</v>
      </c>
      <c r="E15" s="2" t="s">
        <v>5679</v>
      </c>
      <c r="F15" s="4">
        <v>612</v>
      </c>
      <c r="G15" s="14"/>
      <c r="H15" s="9"/>
    </row>
    <row r="16" spans="3:8" x14ac:dyDescent="0.25">
      <c r="C16" s="8"/>
      <c r="D16" s="2" t="s">
        <v>5662</v>
      </c>
      <c r="E16" s="2" t="s">
        <v>5678</v>
      </c>
      <c r="F16" s="4"/>
      <c r="G16" s="14"/>
      <c r="H16" s="9">
        <v>12.5</v>
      </c>
    </row>
    <row r="17" spans="3:8" x14ac:dyDescent="0.25">
      <c r="C17" s="8"/>
      <c r="D17" s="2" t="s">
        <v>5663</v>
      </c>
      <c r="E17" s="2" t="s">
        <v>5678</v>
      </c>
      <c r="F17" s="4">
        <v>13</v>
      </c>
      <c r="G17" s="14"/>
      <c r="H17" s="9"/>
    </row>
    <row r="18" spans="3:8" x14ac:dyDescent="0.25">
      <c r="C18" s="8"/>
      <c r="D18" s="2" t="s">
        <v>5664</v>
      </c>
      <c r="E18" s="2" t="s">
        <v>5678</v>
      </c>
      <c r="F18" s="4">
        <v>1</v>
      </c>
      <c r="G18" s="14"/>
      <c r="H18" s="9"/>
    </row>
    <row r="19" spans="3:8" x14ac:dyDescent="0.25">
      <c r="C19" s="8"/>
      <c r="D19" s="2" t="s">
        <v>5665</v>
      </c>
      <c r="E19" s="2" t="s">
        <v>5678</v>
      </c>
      <c r="F19" s="4">
        <v>200</v>
      </c>
      <c r="G19" s="14"/>
      <c r="H19" s="9">
        <v>145</v>
      </c>
    </row>
    <row r="20" spans="3:8" x14ac:dyDescent="0.25">
      <c r="C20" s="8"/>
      <c r="D20" s="2" t="s">
        <v>5666</v>
      </c>
      <c r="E20" s="2" t="s">
        <v>5678</v>
      </c>
      <c r="F20" s="4"/>
      <c r="G20" s="14"/>
      <c r="H20" s="9">
        <v>42</v>
      </c>
    </row>
    <row r="21" spans="3:8" x14ac:dyDescent="0.25">
      <c r="C21" s="8"/>
      <c r="D21" s="2" t="s">
        <v>5667</v>
      </c>
      <c r="E21" s="2" t="s">
        <v>5678</v>
      </c>
      <c r="F21" s="4">
        <v>6</v>
      </c>
      <c r="G21" s="14"/>
      <c r="H21" s="9"/>
    </row>
    <row r="22" spans="3:8" x14ac:dyDescent="0.25">
      <c r="C22" s="8"/>
      <c r="D22" s="2" t="s">
        <v>5668</v>
      </c>
      <c r="E22" s="2" t="s">
        <v>5678</v>
      </c>
      <c r="F22" s="4"/>
      <c r="G22" s="14"/>
      <c r="H22" s="9">
        <v>8</v>
      </c>
    </row>
    <row r="23" spans="3:8" x14ac:dyDescent="0.25">
      <c r="C23" s="8"/>
      <c r="D23" s="2" t="s">
        <v>5669</v>
      </c>
      <c r="E23" s="2" t="s">
        <v>5678</v>
      </c>
      <c r="F23" s="4">
        <v>12.5</v>
      </c>
      <c r="G23" s="14"/>
      <c r="H23" s="9"/>
    </row>
    <row r="24" spans="3:8" x14ac:dyDescent="0.25">
      <c r="C24" s="8"/>
      <c r="D24" s="2" t="s">
        <v>5670</v>
      </c>
      <c r="E24" s="2" t="s">
        <v>5678</v>
      </c>
      <c r="F24" s="4">
        <v>5</v>
      </c>
      <c r="G24" s="14"/>
      <c r="H24" s="9"/>
    </row>
    <row r="25" spans="3:8" x14ac:dyDescent="0.25">
      <c r="C25" s="8"/>
      <c r="D25" s="2" t="s">
        <v>5671</v>
      </c>
      <c r="E25" s="2" t="s">
        <v>4597</v>
      </c>
      <c r="F25" s="4">
        <v>715</v>
      </c>
      <c r="G25" s="14"/>
      <c r="H25" s="9"/>
    </row>
    <row r="26" spans="3:8" x14ac:dyDescent="0.25">
      <c r="C26" s="8"/>
      <c r="D26" s="2" t="s">
        <v>5672</v>
      </c>
      <c r="E26" s="2" t="s">
        <v>5678</v>
      </c>
      <c r="F26" s="4"/>
      <c r="G26" s="14"/>
      <c r="H26" s="9">
        <v>9.5</v>
      </c>
    </row>
    <row r="27" spans="3:8" x14ac:dyDescent="0.25">
      <c r="C27" s="8"/>
      <c r="D27" s="2" t="s">
        <v>5673</v>
      </c>
      <c r="E27" s="2" t="s">
        <v>5678</v>
      </c>
      <c r="F27" s="4">
        <v>9</v>
      </c>
      <c r="G27" s="14"/>
      <c r="H27" s="9"/>
    </row>
    <row r="28" spans="3:8" x14ac:dyDescent="0.25">
      <c r="C28" s="8"/>
      <c r="D28" s="2" t="s">
        <v>5674</v>
      </c>
      <c r="E28" s="2" t="s">
        <v>5678</v>
      </c>
      <c r="F28" s="4">
        <v>6</v>
      </c>
      <c r="G28" s="14"/>
      <c r="H28" s="9"/>
    </row>
    <row r="29" spans="3:8" x14ac:dyDescent="0.25">
      <c r="C29" s="8"/>
      <c r="D29" s="2" t="s">
        <v>5675</v>
      </c>
      <c r="E29" s="2" t="s">
        <v>5678</v>
      </c>
      <c r="F29" s="4">
        <v>2</v>
      </c>
      <c r="G29" s="14"/>
      <c r="H29" s="9"/>
    </row>
    <row r="30" spans="3:8" x14ac:dyDescent="0.25">
      <c r="C30" s="8"/>
      <c r="D30" s="2" t="s">
        <v>5676</v>
      </c>
      <c r="E30" s="2" t="s">
        <v>5678</v>
      </c>
      <c r="F30" s="4">
        <v>2.5</v>
      </c>
      <c r="G30" s="14"/>
      <c r="H30" s="9"/>
    </row>
    <row r="31" spans="3:8" x14ac:dyDescent="0.25">
      <c r="C31" s="8"/>
      <c r="D31" s="2" t="s">
        <v>5677</v>
      </c>
      <c r="E31" s="2" t="s">
        <v>5678</v>
      </c>
      <c r="F31" s="4"/>
      <c r="G31" s="14"/>
      <c r="H31" s="9">
        <v>7</v>
      </c>
    </row>
    <row r="32" spans="3:8" x14ac:dyDescent="0.25">
      <c r="C32" s="8"/>
      <c r="D32" s="2" t="s">
        <v>5699</v>
      </c>
      <c r="E32" s="2" t="s">
        <v>5678</v>
      </c>
      <c r="F32" s="4">
        <v>13</v>
      </c>
      <c r="G32" s="14"/>
      <c r="H32" s="9"/>
    </row>
    <row r="33" spans="3:8" x14ac:dyDescent="0.25">
      <c r="C33" s="8"/>
      <c r="D33" s="2" t="s">
        <v>5700</v>
      </c>
      <c r="E33" s="2" t="s">
        <v>5638</v>
      </c>
      <c r="F33" s="4"/>
      <c r="G33" s="14"/>
      <c r="H33" s="9">
        <v>5039</v>
      </c>
    </row>
    <row r="34" spans="3:8" x14ac:dyDescent="0.25">
      <c r="C34" s="8"/>
      <c r="D34" s="2" t="s">
        <v>5701</v>
      </c>
      <c r="E34" s="2" t="s">
        <v>5678</v>
      </c>
      <c r="F34" s="4"/>
      <c r="G34" s="14"/>
      <c r="H34" s="9">
        <v>35</v>
      </c>
    </row>
    <row r="35" spans="3:8" x14ac:dyDescent="0.25">
      <c r="C35" s="8"/>
      <c r="D35" s="2" t="s">
        <v>5702</v>
      </c>
      <c r="E35" s="2" t="s">
        <v>5727</v>
      </c>
      <c r="F35" s="4">
        <v>18</v>
      </c>
      <c r="G35" s="14"/>
      <c r="H35" s="9"/>
    </row>
    <row r="36" spans="3:8" x14ac:dyDescent="0.25">
      <c r="C36" s="8"/>
      <c r="D36" s="2" t="s">
        <v>5703</v>
      </c>
      <c r="E36" s="2" t="s">
        <v>5733</v>
      </c>
      <c r="F36" s="4"/>
      <c r="G36" s="14">
        <v>479</v>
      </c>
      <c r="H36" s="9"/>
    </row>
    <row r="37" spans="3:8" x14ac:dyDescent="0.25">
      <c r="C37" s="8"/>
      <c r="D37" s="2" t="s">
        <v>5729</v>
      </c>
      <c r="E37" s="2" t="s">
        <v>5678</v>
      </c>
      <c r="F37" s="4">
        <v>20</v>
      </c>
      <c r="G37" s="14"/>
      <c r="H37" s="9"/>
    </row>
    <row r="38" spans="3:8" x14ac:dyDescent="0.25">
      <c r="C38" s="8"/>
      <c r="D38" s="2" t="s">
        <v>5730</v>
      </c>
      <c r="E38" s="2" t="s">
        <v>5678</v>
      </c>
      <c r="F38" s="4">
        <v>56</v>
      </c>
      <c r="G38" s="14"/>
      <c r="H38" s="9"/>
    </row>
    <row r="39" spans="3:8" x14ac:dyDescent="0.25">
      <c r="C39" s="8"/>
      <c r="D39" s="2" t="s">
        <v>5731</v>
      </c>
      <c r="E39" s="2" t="s">
        <v>5678</v>
      </c>
      <c r="F39" s="4">
        <v>2.5</v>
      </c>
      <c r="G39" s="14"/>
      <c r="H39" s="9"/>
    </row>
    <row r="40" spans="3:8" x14ac:dyDescent="0.25">
      <c r="C40" s="8"/>
      <c r="D40" s="2" t="s">
        <v>5732</v>
      </c>
      <c r="E40" s="2" t="s">
        <v>5678</v>
      </c>
      <c r="F40" s="4">
        <v>3</v>
      </c>
      <c r="G40" s="14"/>
      <c r="H40" s="9"/>
    </row>
    <row r="41" spans="3:8" x14ac:dyDescent="0.25">
      <c r="C41" s="8"/>
      <c r="D41" s="2" t="s">
        <v>5734</v>
      </c>
      <c r="E41" s="2" t="s">
        <v>5678</v>
      </c>
      <c r="F41" s="4">
        <v>8</v>
      </c>
      <c r="G41" s="14"/>
      <c r="H41" s="9"/>
    </row>
    <row r="42" spans="3:8" x14ac:dyDescent="0.25">
      <c r="C42" s="8"/>
      <c r="D42" s="2" t="s">
        <v>5735</v>
      </c>
      <c r="E42" s="2" t="s">
        <v>5678</v>
      </c>
      <c r="F42" s="4">
        <v>10</v>
      </c>
      <c r="G42" s="14"/>
      <c r="H42" s="9">
        <v>7</v>
      </c>
    </row>
    <row r="43" spans="3:8" x14ac:dyDescent="0.25">
      <c r="C43" s="8"/>
      <c r="D43" s="2" t="s">
        <v>5736</v>
      </c>
      <c r="E43" s="2" t="s">
        <v>5737</v>
      </c>
      <c r="F43" s="4"/>
      <c r="G43" s="14"/>
      <c r="H43" s="9">
        <v>1539.6</v>
      </c>
    </row>
    <row r="44" spans="3:8" x14ac:dyDescent="0.25">
      <c r="C44" s="8"/>
      <c r="D44" s="2" t="s">
        <v>5752</v>
      </c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 t="s">
        <v>5681</v>
      </c>
      <c r="E47" s="2" t="s">
        <v>48</v>
      </c>
      <c r="F47" s="4">
        <v>5.5</v>
      </c>
      <c r="G47" s="14"/>
      <c r="H47" s="9"/>
    </row>
    <row r="48" spans="3:8" x14ac:dyDescent="0.25">
      <c r="C48" s="8"/>
      <c r="D48" s="2" t="s">
        <v>5682</v>
      </c>
      <c r="E48" s="2" t="s">
        <v>5704</v>
      </c>
      <c r="F48" s="4"/>
      <c r="G48" s="14"/>
      <c r="H48" s="9">
        <v>713.9</v>
      </c>
    </row>
    <row r="49" spans="3:8" x14ac:dyDescent="0.25">
      <c r="C49" s="8"/>
      <c r="D49" s="2" t="s">
        <v>5683</v>
      </c>
      <c r="E49" s="2" t="s">
        <v>5705</v>
      </c>
      <c r="F49" s="4"/>
      <c r="G49" s="14"/>
      <c r="H49" s="9">
        <v>80</v>
      </c>
    </row>
    <row r="50" spans="3:8" x14ac:dyDescent="0.25">
      <c r="C50" s="8"/>
      <c r="D50" s="2" t="s">
        <v>5684</v>
      </c>
      <c r="E50" s="2" t="s">
        <v>5705</v>
      </c>
      <c r="F50" s="4"/>
      <c r="G50" s="14"/>
      <c r="H50" s="9">
        <v>912.5</v>
      </c>
    </row>
    <row r="51" spans="3:8" x14ac:dyDescent="0.25">
      <c r="C51" s="8"/>
      <c r="D51" s="2" t="s">
        <v>5685</v>
      </c>
      <c r="E51" s="2" t="s">
        <v>48</v>
      </c>
      <c r="F51" s="4">
        <v>9</v>
      </c>
      <c r="G51" s="14"/>
      <c r="H51" s="9"/>
    </row>
    <row r="52" spans="3:8" x14ac:dyDescent="0.25">
      <c r="C52" s="8"/>
      <c r="D52" s="2" t="s">
        <v>5686</v>
      </c>
      <c r="E52" s="2" t="s">
        <v>48</v>
      </c>
      <c r="F52" s="4">
        <v>10</v>
      </c>
      <c r="G52" s="14"/>
      <c r="H52" s="9"/>
    </row>
    <row r="53" spans="3:8" x14ac:dyDescent="0.25">
      <c r="C53" s="8"/>
      <c r="D53" s="2" t="s">
        <v>5687</v>
      </c>
      <c r="E53" s="2" t="s">
        <v>5706</v>
      </c>
      <c r="F53" s="4"/>
      <c r="G53" s="14"/>
      <c r="H53" s="9">
        <v>18</v>
      </c>
    </row>
    <row r="54" spans="3:8" x14ac:dyDescent="0.25">
      <c r="C54" s="8"/>
      <c r="D54" s="2" t="s">
        <v>5688</v>
      </c>
      <c r="E54" s="2" t="s">
        <v>5707</v>
      </c>
      <c r="F54" s="4"/>
      <c r="G54" s="14"/>
      <c r="H54" s="9">
        <v>42</v>
      </c>
    </row>
    <row r="55" spans="3:8" x14ac:dyDescent="0.25">
      <c r="C55" s="8"/>
      <c r="D55" s="2" t="s">
        <v>5689</v>
      </c>
      <c r="E55" s="2" t="s">
        <v>5708</v>
      </c>
      <c r="F55" s="4">
        <v>26</v>
      </c>
      <c r="G55" s="14"/>
      <c r="H55" s="9"/>
    </row>
    <row r="56" spans="3:8" x14ac:dyDescent="0.25">
      <c r="C56" s="8"/>
      <c r="D56" s="2" t="s">
        <v>5690</v>
      </c>
      <c r="E56" s="2" t="s">
        <v>5706</v>
      </c>
      <c r="F56" s="4"/>
      <c r="G56" s="14"/>
      <c r="H56" s="9">
        <v>369</v>
      </c>
    </row>
    <row r="57" spans="3:8" x14ac:dyDescent="0.25">
      <c r="C57" s="8"/>
      <c r="D57" s="2" t="s">
        <v>5691</v>
      </c>
      <c r="E57" s="2" t="s">
        <v>5709</v>
      </c>
      <c r="F57" s="4"/>
      <c r="G57" s="14"/>
      <c r="H57" s="9">
        <v>659.5</v>
      </c>
    </row>
    <row r="58" spans="3:8" x14ac:dyDescent="0.25">
      <c r="C58" s="8"/>
      <c r="D58" s="2" t="s">
        <v>5692</v>
      </c>
      <c r="E58" s="2" t="s">
        <v>5710</v>
      </c>
      <c r="F58" s="4"/>
      <c r="G58" s="14">
        <v>2241</v>
      </c>
      <c r="H58" s="9"/>
    </row>
    <row r="59" spans="3:8" x14ac:dyDescent="0.25">
      <c r="C59" s="8"/>
      <c r="D59" s="2" t="s">
        <v>5693</v>
      </c>
      <c r="E59" s="2" t="s">
        <v>5708</v>
      </c>
      <c r="F59" s="4"/>
      <c r="G59" s="14"/>
      <c r="H59" s="9">
        <v>31.5</v>
      </c>
    </row>
    <row r="60" spans="3:8" x14ac:dyDescent="0.25">
      <c r="C60" s="8"/>
      <c r="D60" s="2" t="s">
        <v>5694</v>
      </c>
      <c r="E60" s="2" t="s">
        <v>5708</v>
      </c>
      <c r="F60" s="4">
        <v>1</v>
      </c>
      <c r="G60" s="14"/>
      <c r="H60" s="9"/>
    </row>
    <row r="61" spans="3:8" x14ac:dyDescent="0.25">
      <c r="C61" s="8"/>
      <c r="D61" s="2" t="s">
        <v>5695</v>
      </c>
      <c r="E61" s="2" t="s">
        <v>5708</v>
      </c>
      <c r="F61" s="4">
        <v>1</v>
      </c>
      <c r="G61" s="14"/>
      <c r="H61" s="9"/>
    </row>
    <row r="62" spans="3:8" x14ac:dyDescent="0.25">
      <c r="C62" s="8"/>
      <c r="D62" s="2" t="s">
        <v>5696</v>
      </c>
      <c r="E62" s="2" t="s">
        <v>4700</v>
      </c>
      <c r="F62" s="4"/>
      <c r="G62" s="14"/>
      <c r="H62" s="9">
        <v>147</v>
      </c>
    </row>
    <row r="63" spans="3:8" x14ac:dyDescent="0.25">
      <c r="C63" s="8"/>
      <c r="D63" s="2" t="s">
        <v>5697</v>
      </c>
      <c r="E63" s="2" t="s">
        <v>5708</v>
      </c>
      <c r="F63" s="4">
        <v>5.5</v>
      </c>
      <c r="G63" s="14"/>
      <c r="H63" s="9"/>
    </row>
    <row r="64" spans="3:8" x14ac:dyDescent="0.25">
      <c r="C64" s="8"/>
      <c r="D64" s="2" t="s">
        <v>5698</v>
      </c>
      <c r="E64" s="2" t="s">
        <v>5708</v>
      </c>
      <c r="F64" s="4"/>
      <c r="G64" s="14"/>
      <c r="H64" s="9">
        <v>22</v>
      </c>
    </row>
    <row r="65" spans="3:8" x14ac:dyDescent="0.25">
      <c r="C65" s="8"/>
      <c r="D65" s="2" t="s">
        <v>5711</v>
      </c>
      <c r="E65" s="2" t="s">
        <v>5708</v>
      </c>
      <c r="F65" s="4"/>
      <c r="G65" s="14"/>
      <c r="H65" s="9">
        <v>30</v>
      </c>
    </row>
    <row r="66" spans="3:8" x14ac:dyDescent="0.25">
      <c r="C66" s="8"/>
      <c r="D66" s="2" t="s">
        <v>5712</v>
      </c>
      <c r="E66" s="2" t="s">
        <v>5708</v>
      </c>
      <c r="F66" s="4">
        <v>15</v>
      </c>
      <c r="G66" s="14"/>
      <c r="H66" s="9"/>
    </row>
    <row r="67" spans="3:8" x14ac:dyDescent="0.25">
      <c r="C67" s="8"/>
      <c r="D67" s="2" t="s">
        <v>5713</v>
      </c>
      <c r="E67" s="2" t="s">
        <v>5708</v>
      </c>
      <c r="F67" s="4">
        <v>4</v>
      </c>
      <c r="G67" s="14"/>
      <c r="H67" s="9"/>
    </row>
    <row r="68" spans="3:8" x14ac:dyDescent="0.25">
      <c r="C68" s="8"/>
      <c r="D68" s="2" t="s">
        <v>5714</v>
      </c>
      <c r="E68" s="2" t="s">
        <v>5708</v>
      </c>
      <c r="F68" s="4"/>
      <c r="G68" s="14"/>
      <c r="H68" s="9">
        <v>6.5</v>
      </c>
    </row>
    <row r="69" spans="3:8" x14ac:dyDescent="0.25">
      <c r="C69" s="8"/>
      <c r="D69" s="2" t="s">
        <v>5715</v>
      </c>
      <c r="E69" s="2" t="s">
        <v>5708</v>
      </c>
      <c r="F69" s="4">
        <v>6</v>
      </c>
      <c r="G69" s="14"/>
      <c r="H69" s="9"/>
    </row>
    <row r="70" spans="3:8" x14ac:dyDescent="0.25">
      <c r="C70" s="8"/>
      <c r="D70" s="2" t="s">
        <v>5716</v>
      </c>
      <c r="E70" s="2" t="s">
        <v>5708</v>
      </c>
      <c r="F70" s="4"/>
      <c r="G70" s="14"/>
      <c r="H70" s="9">
        <v>44</v>
      </c>
    </row>
    <row r="71" spans="3:8" x14ac:dyDescent="0.25">
      <c r="C71" s="8"/>
      <c r="D71" s="2" t="s">
        <v>5717</v>
      </c>
      <c r="E71" s="2" t="s">
        <v>5704</v>
      </c>
      <c r="F71" s="4"/>
      <c r="G71" s="14"/>
      <c r="H71" s="9">
        <v>179</v>
      </c>
    </row>
    <row r="72" spans="3:8" x14ac:dyDescent="0.25">
      <c r="C72" s="8"/>
      <c r="D72" s="2" t="s">
        <v>5738</v>
      </c>
      <c r="E72" s="2" t="s">
        <v>5708</v>
      </c>
      <c r="F72" s="4"/>
      <c r="G72" s="14"/>
      <c r="H72" s="9">
        <v>15.5</v>
      </c>
    </row>
    <row r="73" spans="3:8" x14ac:dyDescent="0.25">
      <c r="C73" s="8"/>
      <c r="D73" s="2" t="s">
        <v>5739</v>
      </c>
      <c r="E73" s="2" t="s">
        <v>5708</v>
      </c>
      <c r="F73" s="4">
        <v>33</v>
      </c>
      <c r="G73" s="14"/>
      <c r="H73" s="9"/>
    </row>
    <row r="74" spans="3:8" x14ac:dyDescent="0.25">
      <c r="C74" s="8"/>
      <c r="D74" s="2" t="s">
        <v>5745</v>
      </c>
      <c r="E74" s="2" t="s">
        <v>5747</v>
      </c>
      <c r="F74" s="4"/>
      <c r="G74" s="14"/>
      <c r="H74" s="9">
        <v>3067</v>
      </c>
    </row>
    <row r="75" spans="3:8" x14ac:dyDescent="0.25">
      <c r="C75" s="8"/>
      <c r="D75" s="2" t="s">
        <v>5746</v>
      </c>
      <c r="E75" s="2" t="s">
        <v>4643</v>
      </c>
      <c r="F75" s="4">
        <v>308.60000000000002</v>
      </c>
      <c r="G75" s="14"/>
      <c r="H75" s="9"/>
    </row>
    <row r="76" spans="3:8" x14ac:dyDescent="0.25">
      <c r="C76" s="8"/>
      <c r="D76" s="2" t="s">
        <v>5771</v>
      </c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8"/>
      <c r="D80" s="2"/>
      <c r="E80" s="40"/>
      <c r="F80" s="4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29"/>
      <c r="D82" s="30"/>
      <c r="E82" s="30" t="s">
        <v>60</v>
      </c>
      <c r="F82" s="4"/>
      <c r="G82" s="14"/>
      <c r="H82" s="9"/>
    </row>
    <row r="83" spans="3:8" x14ac:dyDescent="0.25">
      <c r="C83" s="8"/>
      <c r="D83" s="45" t="s">
        <v>5652</v>
      </c>
      <c r="E83" s="68" t="s">
        <v>5651</v>
      </c>
      <c r="F83" s="4"/>
      <c r="G83" s="14"/>
      <c r="H83" s="9">
        <v>40.6</v>
      </c>
    </row>
    <row r="84" spans="3:8" x14ac:dyDescent="0.25">
      <c r="C84" s="8"/>
      <c r="D84" s="45"/>
      <c r="E84" s="68"/>
      <c r="F84" s="4"/>
      <c r="G84" s="14"/>
      <c r="H84" s="9"/>
    </row>
    <row r="85" spans="3:8" x14ac:dyDescent="0.25">
      <c r="C85" s="8"/>
      <c r="D85" s="45"/>
      <c r="E85" s="68"/>
      <c r="F85" s="4"/>
      <c r="G85" s="14"/>
      <c r="H85" s="9"/>
    </row>
    <row r="86" spans="3:8" x14ac:dyDescent="0.25">
      <c r="C86" s="8"/>
      <c r="D86" s="45"/>
      <c r="E86" s="68"/>
      <c r="F86" s="4"/>
      <c r="G86" s="14"/>
      <c r="H86" s="9"/>
    </row>
    <row r="87" spans="3:8" x14ac:dyDescent="0.25">
      <c r="C87" s="8"/>
      <c r="D87" s="45"/>
      <c r="E87" s="68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16"/>
      <c r="D89" s="17"/>
      <c r="E89" s="17" t="s">
        <v>39</v>
      </c>
      <c r="F89" s="4"/>
      <c r="G89" s="14"/>
      <c r="H89" s="9"/>
    </row>
    <row r="90" spans="3:8" x14ac:dyDescent="0.25">
      <c r="C90" s="8"/>
      <c r="D90" s="2"/>
      <c r="E90" s="2" t="s">
        <v>5718</v>
      </c>
      <c r="F90" s="4">
        <v>84</v>
      </c>
      <c r="G90" s="14"/>
      <c r="H90" s="9"/>
    </row>
    <row r="91" spans="3:8" x14ac:dyDescent="0.25">
      <c r="C91" s="8"/>
      <c r="D91" s="2"/>
      <c r="E91" s="2" t="s">
        <v>4597</v>
      </c>
      <c r="F91" s="4">
        <v>685</v>
      </c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8"/>
      <c r="D93" s="2"/>
      <c r="E93" s="2"/>
      <c r="F93" s="4"/>
      <c r="G93" s="14"/>
      <c r="H93" s="9"/>
    </row>
    <row r="94" spans="3:8" x14ac:dyDescent="0.25">
      <c r="C94" s="8"/>
      <c r="D94" s="2"/>
      <c r="E94" s="2"/>
      <c r="F94" s="4"/>
      <c r="G94" s="14"/>
      <c r="H94" s="9"/>
    </row>
    <row r="95" spans="3:8" x14ac:dyDescent="0.25">
      <c r="C95" s="19"/>
      <c r="D95" s="20"/>
      <c r="E95" s="20" t="s">
        <v>42</v>
      </c>
      <c r="F95" s="4"/>
      <c r="G95" s="14"/>
      <c r="H95" s="9"/>
    </row>
    <row r="96" spans="3:8" x14ac:dyDescent="0.25">
      <c r="C96" s="34"/>
      <c r="D96" s="42"/>
      <c r="E96" s="68" t="s">
        <v>4446</v>
      </c>
      <c r="F96" s="14">
        <v>-1330</v>
      </c>
      <c r="G96" s="14"/>
      <c r="H96" s="9"/>
    </row>
    <row r="97" spans="3:8" x14ac:dyDescent="0.25">
      <c r="C97" s="34"/>
      <c r="D97" s="42"/>
      <c r="E97" s="68" t="s">
        <v>5649</v>
      </c>
      <c r="F97" s="14">
        <v>-123.6</v>
      </c>
      <c r="G97" s="14"/>
      <c r="H97" s="9"/>
    </row>
    <row r="98" spans="3:8" x14ac:dyDescent="0.25">
      <c r="C98" s="34"/>
      <c r="D98" s="42"/>
      <c r="E98" s="68" t="s">
        <v>5650</v>
      </c>
      <c r="F98" s="14">
        <v>-48</v>
      </c>
      <c r="G98" s="14"/>
      <c r="H98" s="9"/>
    </row>
    <row r="99" spans="3:8" x14ac:dyDescent="0.25">
      <c r="C99" s="34"/>
      <c r="D99" s="42"/>
      <c r="E99" s="68" t="s">
        <v>5719</v>
      </c>
      <c r="F99" s="14">
        <v>-5</v>
      </c>
      <c r="G99" s="14"/>
      <c r="H99" s="9"/>
    </row>
    <row r="100" spans="3:8" x14ac:dyDescent="0.25">
      <c r="C100" s="34"/>
      <c r="D100" s="42"/>
      <c r="E100" s="68" t="s">
        <v>5720</v>
      </c>
      <c r="F100" s="14">
        <v>-17</v>
      </c>
      <c r="G100" s="14"/>
      <c r="H100" s="9"/>
    </row>
    <row r="101" spans="3:8" x14ac:dyDescent="0.25">
      <c r="C101" s="34"/>
      <c r="D101" s="42"/>
      <c r="E101" s="68" t="s">
        <v>5721</v>
      </c>
      <c r="F101" s="14">
        <v>-50</v>
      </c>
      <c r="G101" s="14"/>
      <c r="H101" s="9"/>
    </row>
    <row r="102" spans="3:8" x14ac:dyDescent="0.25">
      <c r="C102" s="34"/>
      <c r="D102" s="42"/>
      <c r="E102" s="68" t="s">
        <v>1468</v>
      </c>
      <c r="F102" s="14">
        <v>-100</v>
      </c>
      <c r="G102" s="14"/>
      <c r="H102" s="9"/>
    </row>
    <row r="103" spans="3:8" x14ac:dyDescent="0.25">
      <c r="C103" s="34"/>
      <c r="D103" s="42"/>
      <c r="E103" s="68" t="s">
        <v>5722</v>
      </c>
      <c r="F103" s="14">
        <v>-6800</v>
      </c>
      <c r="G103" s="14"/>
      <c r="H103" s="9"/>
    </row>
    <row r="104" spans="3:8" x14ac:dyDescent="0.25">
      <c r="C104" s="34"/>
      <c r="D104" s="42"/>
      <c r="E104" s="68" t="s">
        <v>5723</v>
      </c>
      <c r="F104" s="14">
        <v>-81</v>
      </c>
      <c r="G104" s="14"/>
      <c r="H104" s="9"/>
    </row>
    <row r="105" spans="3:8" x14ac:dyDescent="0.25">
      <c r="C105" s="34"/>
      <c r="D105" s="42"/>
      <c r="E105" s="68" t="s">
        <v>5724</v>
      </c>
      <c r="F105" s="14">
        <v>-50</v>
      </c>
      <c r="G105" s="14"/>
      <c r="H105" s="9"/>
    </row>
    <row r="106" spans="3:8" x14ac:dyDescent="0.25">
      <c r="C106" s="34"/>
      <c r="D106" s="42"/>
      <c r="E106" s="68" t="s">
        <v>5725</v>
      </c>
      <c r="F106" s="14">
        <v>-300</v>
      </c>
      <c r="G106" s="14"/>
      <c r="H106" s="9"/>
    </row>
    <row r="107" spans="3:8" x14ac:dyDescent="0.25">
      <c r="C107" s="34"/>
      <c r="D107" s="42"/>
      <c r="E107" s="68" t="s">
        <v>5726</v>
      </c>
      <c r="F107" s="14">
        <v>-618</v>
      </c>
      <c r="G107" s="14"/>
      <c r="H107" s="9"/>
    </row>
    <row r="108" spans="3:8" x14ac:dyDescent="0.25">
      <c r="C108" s="34"/>
      <c r="D108" s="42"/>
      <c r="E108" s="68" t="s">
        <v>5728</v>
      </c>
      <c r="F108" s="14">
        <v>-10</v>
      </c>
      <c r="G108" s="14"/>
      <c r="H108" s="9"/>
    </row>
    <row r="109" spans="3:8" x14ac:dyDescent="0.25">
      <c r="C109" s="34"/>
      <c r="D109" s="42"/>
      <c r="E109" s="68" t="s">
        <v>5740</v>
      </c>
      <c r="F109" s="14">
        <v>-10</v>
      </c>
      <c r="G109" s="14"/>
      <c r="H109" s="9"/>
    </row>
    <row r="110" spans="3:8" x14ac:dyDescent="0.25">
      <c r="C110" s="34"/>
      <c r="D110" s="42"/>
      <c r="E110" s="68" t="s">
        <v>5741</v>
      </c>
      <c r="F110" s="14">
        <v>-40</v>
      </c>
      <c r="G110" s="14"/>
      <c r="H110" s="9"/>
    </row>
    <row r="111" spans="3:8" x14ac:dyDescent="0.25">
      <c r="C111" s="34"/>
      <c r="D111" s="42"/>
      <c r="E111" s="68" t="s">
        <v>4643</v>
      </c>
      <c r="F111" s="14">
        <v>-308.60000000000002</v>
      </c>
      <c r="G111" s="14"/>
      <c r="H111" s="9"/>
    </row>
    <row r="112" spans="3:8" x14ac:dyDescent="0.25">
      <c r="C112" s="34"/>
      <c r="D112" s="42"/>
      <c r="E112" s="68"/>
      <c r="F112" s="14"/>
      <c r="G112" s="14"/>
      <c r="H112" s="9"/>
    </row>
    <row r="113" spans="3:8" x14ac:dyDescent="0.25">
      <c r="C113" s="34"/>
      <c r="D113" s="42"/>
      <c r="E113" s="68"/>
      <c r="F113" s="14"/>
      <c r="G113" s="14"/>
      <c r="H113" s="9"/>
    </row>
    <row r="114" spans="3:8" x14ac:dyDescent="0.25">
      <c r="C114" s="34"/>
      <c r="D114" s="42"/>
      <c r="E114" s="68"/>
      <c r="F114" s="14"/>
      <c r="G114" s="14"/>
      <c r="H114" s="9"/>
    </row>
    <row r="115" spans="3:8" ht="15.75" thickBot="1" x14ac:dyDescent="0.3">
      <c r="C115" s="10"/>
      <c r="D115" s="11"/>
      <c r="E115" s="11" t="s">
        <v>44</v>
      </c>
      <c r="F115" s="12">
        <f>SUM(F6:F114)</f>
        <v>-6181.8</v>
      </c>
      <c r="G115" s="15">
        <f>SUM(G6:G114)</f>
        <v>2720</v>
      </c>
      <c r="H115" s="13">
        <f>SUM(H6:H114)</f>
        <v>13324.6</v>
      </c>
    </row>
    <row r="118" spans="3:8" s="3" customFormat="1" ht="18.75" x14ac:dyDescent="0.3">
      <c r="C118" s="1"/>
      <c r="D118" s="1"/>
      <c r="E118" s="38" t="s">
        <v>49</v>
      </c>
      <c r="F118" s="39">
        <f>+H4+F115</f>
        <v>701.57999999999993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9626-91E2-4DFA-AAF2-B64AC3732D98}">
  <sheetPr codeName="Hoja65"/>
  <dimension ref="C2:H90"/>
  <sheetViews>
    <sheetView topLeftCell="B61" zoomScaleNormal="100" workbookViewId="0">
      <selection activeCell="E49" sqref="E49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5749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701.58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5752</v>
      </c>
      <c r="E6" s="2" t="s">
        <v>12</v>
      </c>
      <c r="F6" s="4">
        <v>8.5</v>
      </c>
      <c r="G6" s="14"/>
      <c r="H6" s="9"/>
    </row>
    <row r="7" spans="3:8" x14ac:dyDescent="0.25">
      <c r="C7" s="8"/>
      <c r="D7" s="2" t="s">
        <v>5753</v>
      </c>
      <c r="E7" s="2" t="s">
        <v>12</v>
      </c>
      <c r="F7" s="4">
        <v>4.5</v>
      </c>
      <c r="G7" s="14"/>
      <c r="H7" s="9"/>
    </row>
    <row r="8" spans="3:8" x14ac:dyDescent="0.25">
      <c r="C8" s="8"/>
      <c r="D8" s="2" t="s">
        <v>5754</v>
      </c>
      <c r="E8" s="2" t="s">
        <v>12</v>
      </c>
      <c r="F8" s="4"/>
      <c r="G8" s="14"/>
      <c r="H8" s="9">
        <v>21.5</v>
      </c>
    </row>
    <row r="9" spans="3:8" x14ac:dyDescent="0.25">
      <c r="C9" s="8"/>
      <c r="D9" s="2" t="s">
        <v>5755</v>
      </c>
      <c r="E9" s="2" t="s">
        <v>12</v>
      </c>
      <c r="F9" s="4">
        <v>9</v>
      </c>
      <c r="G9" s="14"/>
      <c r="H9" s="9"/>
    </row>
    <row r="10" spans="3:8" x14ac:dyDescent="0.25">
      <c r="C10" s="8"/>
      <c r="D10" s="2" t="s">
        <v>5756</v>
      </c>
      <c r="E10" s="2" t="s">
        <v>12</v>
      </c>
      <c r="F10" s="4">
        <v>10</v>
      </c>
      <c r="G10" s="14"/>
      <c r="H10" s="9"/>
    </row>
    <row r="11" spans="3:8" x14ac:dyDescent="0.25">
      <c r="C11" s="8"/>
      <c r="D11" s="2" t="s">
        <v>5757</v>
      </c>
      <c r="E11" s="2" t="s">
        <v>5809</v>
      </c>
      <c r="F11" s="4"/>
      <c r="G11" s="14"/>
      <c r="H11" s="9">
        <v>1390</v>
      </c>
    </row>
    <row r="12" spans="3:8" x14ac:dyDescent="0.25">
      <c r="C12" s="8"/>
      <c r="D12" s="2" t="s">
        <v>5758</v>
      </c>
      <c r="E12" s="2" t="s">
        <v>12</v>
      </c>
      <c r="F12" s="4"/>
      <c r="G12" s="14"/>
      <c r="H12" s="9">
        <v>4.5</v>
      </c>
    </row>
    <row r="13" spans="3:8" x14ac:dyDescent="0.25">
      <c r="C13" s="8"/>
      <c r="D13" s="2" t="s">
        <v>5759</v>
      </c>
      <c r="E13" s="2" t="s">
        <v>12</v>
      </c>
      <c r="F13" s="4">
        <v>31.5</v>
      </c>
      <c r="G13" s="14"/>
      <c r="H13" s="9"/>
    </row>
    <row r="14" spans="3:8" x14ac:dyDescent="0.25">
      <c r="C14" s="8"/>
      <c r="D14" s="2" t="s">
        <v>5760</v>
      </c>
      <c r="E14" s="2" t="s">
        <v>12</v>
      </c>
      <c r="F14" s="4">
        <v>39</v>
      </c>
      <c r="G14" s="14"/>
      <c r="H14" s="9"/>
    </row>
    <row r="15" spans="3:8" x14ac:dyDescent="0.25">
      <c r="C15" s="8"/>
      <c r="D15" s="2" t="s">
        <v>5761</v>
      </c>
      <c r="E15" s="2" t="s">
        <v>12</v>
      </c>
      <c r="F15" s="4"/>
      <c r="G15" s="14"/>
      <c r="H15" s="9">
        <v>12.5</v>
      </c>
    </row>
    <row r="16" spans="3:8" x14ac:dyDescent="0.25">
      <c r="C16" s="8"/>
      <c r="D16" s="2" t="s">
        <v>5762</v>
      </c>
      <c r="E16" s="2" t="s">
        <v>12</v>
      </c>
      <c r="F16" s="4">
        <v>2</v>
      </c>
      <c r="G16" s="14"/>
      <c r="H16" s="9"/>
    </row>
    <row r="17" spans="3:8" x14ac:dyDescent="0.25">
      <c r="C17" s="8"/>
      <c r="D17" s="2" t="s">
        <v>5763</v>
      </c>
      <c r="E17" s="2" t="s">
        <v>266</v>
      </c>
      <c r="F17" s="4"/>
      <c r="G17" s="14">
        <v>50</v>
      </c>
      <c r="H17" s="9"/>
    </row>
    <row r="18" spans="3:8" x14ac:dyDescent="0.25">
      <c r="C18" s="8"/>
      <c r="D18" s="2" t="s">
        <v>5764</v>
      </c>
      <c r="E18" s="2" t="s">
        <v>12</v>
      </c>
      <c r="F18" s="4">
        <v>6</v>
      </c>
      <c r="G18" s="14"/>
      <c r="H18" s="9"/>
    </row>
    <row r="19" spans="3:8" x14ac:dyDescent="0.25">
      <c r="C19" s="8"/>
      <c r="D19" s="2" t="s">
        <v>5765</v>
      </c>
      <c r="E19" s="2" t="s">
        <v>12</v>
      </c>
      <c r="F19" s="4"/>
      <c r="G19" s="14"/>
      <c r="H19" s="9">
        <v>3</v>
      </c>
    </row>
    <row r="20" spans="3:8" x14ac:dyDescent="0.25">
      <c r="C20" s="8"/>
      <c r="D20" s="2" t="s">
        <v>5766</v>
      </c>
      <c r="E20" s="2" t="s">
        <v>12</v>
      </c>
      <c r="F20" s="4">
        <v>47</v>
      </c>
      <c r="G20" s="14"/>
      <c r="H20" s="9"/>
    </row>
    <row r="21" spans="3:8" x14ac:dyDescent="0.25">
      <c r="C21" s="8"/>
      <c r="D21" s="2" t="s">
        <v>5767</v>
      </c>
      <c r="E21" s="2" t="s">
        <v>12</v>
      </c>
      <c r="F21" s="4"/>
      <c r="G21" s="14"/>
      <c r="H21" s="9">
        <v>75</v>
      </c>
    </row>
    <row r="22" spans="3:8" x14ac:dyDescent="0.25">
      <c r="C22" s="8"/>
      <c r="D22" s="2" t="s">
        <v>5768</v>
      </c>
      <c r="E22" s="2" t="s">
        <v>4546</v>
      </c>
      <c r="F22" s="4"/>
      <c r="G22" s="14">
        <v>159</v>
      </c>
      <c r="H22" s="9"/>
    </row>
    <row r="23" spans="3:8" x14ac:dyDescent="0.25">
      <c r="C23" s="8"/>
      <c r="D23" s="2" t="s">
        <v>5769</v>
      </c>
      <c r="E23" s="2" t="s">
        <v>5810</v>
      </c>
      <c r="F23" s="4">
        <v>65</v>
      </c>
      <c r="G23" s="14"/>
      <c r="H23" s="9"/>
    </row>
    <row r="24" spans="3:8" x14ac:dyDescent="0.25">
      <c r="C24" s="8"/>
      <c r="D24" s="2" t="s">
        <v>5770</v>
      </c>
      <c r="E24" s="2" t="s">
        <v>5811</v>
      </c>
      <c r="F24" s="4"/>
      <c r="G24" s="14"/>
      <c r="H24" s="9">
        <v>122</v>
      </c>
    </row>
    <row r="25" spans="3:8" x14ac:dyDescent="0.25">
      <c r="C25" s="8"/>
      <c r="D25" s="2" t="s">
        <v>5824</v>
      </c>
      <c r="E25" s="2" t="s">
        <v>5825</v>
      </c>
      <c r="F25" s="4"/>
      <c r="G25" s="14"/>
      <c r="H25" s="9"/>
    </row>
    <row r="26" spans="3:8" x14ac:dyDescent="0.25">
      <c r="C26" s="8"/>
      <c r="D26" s="2" t="s">
        <v>5771</v>
      </c>
      <c r="E26" s="2" t="s">
        <v>48</v>
      </c>
      <c r="F26" s="4">
        <v>3</v>
      </c>
      <c r="G26" s="14"/>
      <c r="H26" s="9"/>
    </row>
    <row r="27" spans="3:8" x14ac:dyDescent="0.25">
      <c r="C27" s="8"/>
      <c r="D27" s="2" t="s">
        <v>5772</v>
      </c>
      <c r="E27" s="64" t="s">
        <v>5235</v>
      </c>
      <c r="F27" s="4">
        <v>752.9</v>
      </c>
      <c r="G27" s="14"/>
      <c r="H27" s="9"/>
    </row>
    <row r="28" spans="3:8" x14ac:dyDescent="0.25">
      <c r="C28" s="8"/>
      <c r="D28" s="2" t="s">
        <v>5773</v>
      </c>
      <c r="E28" s="2" t="s">
        <v>5804</v>
      </c>
      <c r="F28" s="4"/>
      <c r="G28" s="14"/>
      <c r="H28" s="9">
        <v>18.5</v>
      </c>
    </row>
    <row r="29" spans="3:8" x14ac:dyDescent="0.25">
      <c r="C29" s="8"/>
      <c r="D29" s="2" t="s">
        <v>5774</v>
      </c>
      <c r="E29" s="2" t="s">
        <v>5798</v>
      </c>
      <c r="F29" s="4">
        <v>5</v>
      </c>
      <c r="G29" s="14"/>
      <c r="H29" s="9"/>
    </row>
    <row r="30" spans="3:8" x14ac:dyDescent="0.25">
      <c r="C30" s="8"/>
      <c r="D30" s="2" t="s">
        <v>5775</v>
      </c>
      <c r="E30" s="2" t="s">
        <v>5798</v>
      </c>
      <c r="F30" s="4">
        <v>33.5</v>
      </c>
      <c r="G30" s="14"/>
      <c r="H30" s="9"/>
    </row>
    <row r="31" spans="3:8" x14ac:dyDescent="0.25">
      <c r="C31" s="8"/>
      <c r="D31" s="2" t="s">
        <v>5776</v>
      </c>
      <c r="E31" s="2" t="s">
        <v>5798</v>
      </c>
      <c r="F31" s="4">
        <v>10</v>
      </c>
      <c r="G31" s="14"/>
      <c r="H31" s="9"/>
    </row>
    <row r="32" spans="3:8" x14ac:dyDescent="0.25">
      <c r="C32" s="8"/>
      <c r="D32" s="2" t="s">
        <v>5777</v>
      </c>
      <c r="E32" s="2" t="s">
        <v>5798</v>
      </c>
      <c r="F32" s="4"/>
      <c r="G32" s="14"/>
      <c r="H32" s="9">
        <v>65</v>
      </c>
    </row>
    <row r="33" spans="3:8" x14ac:dyDescent="0.25">
      <c r="C33" s="8"/>
      <c r="D33" s="2" t="s">
        <v>5778</v>
      </c>
      <c r="E33" s="2" t="s">
        <v>5798</v>
      </c>
      <c r="F33" s="4">
        <v>46</v>
      </c>
      <c r="G33" s="14"/>
      <c r="H33" s="9"/>
    </row>
    <row r="34" spans="3:8" x14ac:dyDescent="0.25">
      <c r="C34" s="8"/>
      <c r="D34" s="2" t="s">
        <v>5779</v>
      </c>
      <c r="E34" s="2" t="s">
        <v>5798</v>
      </c>
      <c r="F34" s="4">
        <v>20</v>
      </c>
      <c r="G34" s="14"/>
      <c r="H34" s="9"/>
    </row>
    <row r="35" spans="3:8" x14ac:dyDescent="0.25">
      <c r="C35" s="8"/>
      <c r="D35" s="2" t="s">
        <v>5780</v>
      </c>
      <c r="E35" s="64" t="s">
        <v>4079</v>
      </c>
      <c r="F35" s="4"/>
      <c r="G35" s="14"/>
      <c r="H35" s="9">
        <v>20</v>
      </c>
    </row>
    <row r="36" spans="3:8" x14ac:dyDescent="0.25">
      <c r="C36" s="8"/>
      <c r="D36" s="2" t="s">
        <v>5781</v>
      </c>
      <c r="E36" s="2" t="s">
        <v>4079</v>
      </c>
      <c r="F36" s="4"/>
      <c r="G36" s="14"/>
      <c r="H36" s="9">
        <v>50.5</v>
      </c>
    </row>
    <row r="37" spans="3:8" x14ac:dyDescent="0.25">
      <c r="C37" s="8"/>
      <c r="D37" s="2" t="s">
        <v>5782</v>
      </c>
      <c r="E37" s="2" t="s">
        <v>58</v>
      </c>
      <c r="F37" s="4"/>
      <c r="G37" s="14"/>
      <c r="H37" s="9">
        <v>15.5</v>
      </c>
    </row>
    <row r="38" spans="3:8" x14ac:dyDescent="0.25">
      <c r="C38" s="8"/>
      <c r="D38" s="2" t="s">
        <v>5783</v>
      </c>
      <c r="E38" s="2" t="s">
        <v>5803</v>
      </c>
      <c r="F38" s="4"/>
      <c r="G38" s="14"/>
      <c r="H38" s="9">
        <v>349</v>
      </c>
    </row>
    <row r="39" spans="3:8" x14ac:dyDescent="0.25">
      <c r="C39" s="8"/>
      <c r="D39" s="2" t="s">
        <v>5784</v>
      </c>
      <c r="E39" s="2" t="s">
        <v>5308</v>
      </c>
      <c r="F39" s="4"/>
      <c r="G39" s="14"/>
      <c r="H39" s="9">
        <v>465</v>
      </c>
    </row>
    <row r="40" spans="3:8" x14ac:dyDescent="0.25">
      <c r="C40" s="8"/>
      <c r="D40" s="2" t="s">
        <v>5785</v>
      </c>
      <c r="E40" s="2" t="s">
        <v>5798</v>
      </c>
      <c r="F40" s="4">
        <v>5</v>
      </c>
      <c r="G40" s="14"/>
      <c r="H40" s="9"/>
    </row>
    <row r="41" spans="3:8" x14ac:dyDescent="0.25">
      <c r="C41" s="8"/>
      <c r="D41" s="2" t="s">
        <v>5786</v>
      </c>
      <c r="E41" s="2" t="s">
        <v>5798</v>
      </c>
      <c r="F41" s="4"/>
      <c r="G41" s="14"/>
      <c r="H41" s="9">
        <v>69</v>
      </c>
    </row>
    <row r="42" spans="3:8" x14ac:dyDescent="0.25">
      <c r="C42" s="8"/>
      <c r="D42" s="2" t="s">
        <v>5787</v>
      </c>
      <c r="E42" s="2" t="s">
        <v>5802</v>
      </c>
      <c r="F42" s="4">
        <v>140</v>
      </c>
      <c r="G42" s="14"/>
      <c r="H42" s="9"/>
    </row>
    <row r="43" spans="3:8" x14ac:dyDescent="0.25">
      <c r="C43" s="8"/>
      <c r="D43" s="2" t="s">
        <v>5788</v>
      </c>
      <c r="E43" s="2" t="s">
        <v>5798</v>
      </c>
      <c r="F43" s="4">
        <v>10</v>
      </c>
      <c r="G43" s="14"/>
      <c r="H43" s="9"/>
    </row>
    <row r="44" spans="3:8" x14ac:dyDescent="0.25">
      <c r="C44" s="8"/>
      <c r="D44" s="2" t="s">
        <v>5789</v>
      </c>
      <c r="E44" s="2" t="s">
        <v>5798</v>
      </c>
      <c r="F44" s="4">
        <v>5</v>
      </c>
      <c r="G44" s="14"/>
      <c r="H44" s="9"/>
    </row>
    <row r="45" spans="3:8" x14ac:dyDescent="0.25">
      <c r="C45" s="8"/>
      <c r="D45" s="2" t="s">
        <v>5790</v>
      </c>
      <c r="E45" s="2" t="s">
        <v>5798</v>
      </c>
      <c r="F45" s="4"/>
      <c r="G45" s="14"/>
      <c r="H45" s="9">
        <v>63.6</v>
      </c>
    </row>
    <row r="46" spans="3:8" x14ac:dyDescent="0.25">
      <c r="C46" s="8"/>
      <c r="D46" s="2" t="s">
        <v>5791</v>
      </c>
      <c r="E46" s="2" t="s">
        <v>723</v>
      </c>
      <c r="F46" s="4"/>
      <c r="G46" s="14"/>
      <c r="H46" s="9">
        <v>176</v>
      </c>
    </row>
    <row r="47" spans="3:8" x14ac:dyDescent="0.25">
      <c r="C47" s="8"/>
      <c r="D47" s="2" t="s">
        <v>5792</v>
      </c>
      <c r="E47" s="2" t="s">
        <v>5801</v>
      </c>
      <c r="F47" s="4"/>
      <c r="G47" s="14">
        <v>1950</v>
      </c>
      <c r="H47" s="9"/>
    </row>
    <row r="48" spans="3:8" x14ac:dyDescent="0.25">
      <c r="C48" s="8"/>
      <c r="D48" s="2" t="s">
        <v>5793</v>
      </c>
      <c r="E48" s="2" t="s">
        <v>5800</v>
      </c>
      <c r="F48" s="4"/>
      <c r="G48" s="14">
        <v>493</v>
      </c>
      <c r="H48" s="9"/>
    </row>
    <row r="49" spans="3:8" x14ac:dyDescent="0.25">
      <c r="C49" s="8"/>
      <c r="D49" s="2" t="s">
        <v>5794</v>
      </c>
      <c r="E49" s="64" t="s">
        <v>5799</v>
      </c>
      <c r="F49" s="4"/>
      <c r="G49" s="14"/>
      <c r="H49" s="9">
        <v>1276</v>
      </c>
    </row>
    <row r="50" spans="3:8" x14ac:dyDescent="0.25">
      <c r="C50" s="8"/>
      <c r="D50" s="2" t="s">
        <v>5795</v>
      </c>
      <c r="E50" s="2" t="s">
        <v>5798</v>
      </c>
      <c r="F50" s="4">
        <v>6</v>
      </c>
      <c r="G50" s="14"/>
      <c r="H50" s="9"/>
    </row>
    <row r="51" spans="3:8" x14ac:dyDescent="0.25">
      <c r="C51" s="8"/>
      <c r="D51" s="2" t="s">
        <v>5796</v>
      </c>
      <c r="E51" s="2" t="s">
        <v>3388</v>
      </c>
      <c r="F51" s="4"/>
      <c r="G51" s="14"/>
      <c r="H51" s="9">
        <v>6.8</v>
      </c>
    </row>
    <row r="52" spans="3:8" x14ac:dyDescent="0.25">
      <c r="C52" s="8"/>
      <c r="D52" s="2" t="s">
        <v>5797</v>
      </c>
      <c r="E52" s="2" t="s">
        <v>4981</v>
      </c>
      <c r="F52" s="4"/>
      <c r="G52" s="14">
        <v>10380</v>
      </c>
      <c r="H52" s="9"/>
    </row>
    <row r="53" spans="3:8" x14ac:dyDescent="0.25">
      <c r="C53" s="8"/>
      <c r="D53" s="2" t="s">
        <v>5841</v>
      </c>
      <c r="E53" s="2" t="s">
        <v>5861</v>
      </c>
      <c r="F53" s="4"/>
      <c r="G53" s="14"/>
      <c r="H53" s="9">
        <v>3335</v>
      </c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40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29"/>
      <c r="D57" s="30"/>
      <c r="E57" s="30" t="s">
        <v>60</v>
      </c>
      <c r="F57" s="4"/>
      <c r="G57" s="14"/>
      <c r="H57" s="9"/>
    </row>
    <row r="58" spans="3:8" x14ac:dyDescent="0.25">
      <c r="C58" s="8"/>
      <c r="D58" s="45" t="s">
        <v>5807</v>
      </c>
      <c r="E58" s="68" t="s">
        <v>5806</v>
      </c>
      <c r="F58" s="4"/>
      <c r="G58" s="14"/>
      <c r="H58" s="9">
        <v>60</v>
      </c>
    </row>
    <row r="59" spans="3:8" x14ac:dyDescent="0.25">
      <c r="C59" s="8"/>
      <c r="D59" s="45" t="s">
        <v>5808</v>
      </c>
      <c r="E59" s="68" t="s">
        <v>5806</v>
      </c>
      <c r="F59" s="4"/>
      <c r="G59" s="14"/>
      <c r="H59" s="9">
        <v>140</v>
      </c>
    </row>
    <row r="60" spans="3:8" x14ac:dyDescent="0.25">
      <c r="C60" s="8"/>
      <c r="D60" s="45" t="s">
        <v>5750</v>
      </c>
      <c r="E60" s="2" t="s">
        <v>5751</v>
      </c>
      <c r="F60" s="4"/>
      <c r="G60" s="14"/>
      <c r="H60" s="9">
        <v>129</v>
      </c>
    </row>
    <row r="61" spans="3:8" x14ac:dyDescent="0.25">
      <c r="C61" s="8"/>
      <c r="D61" s="45"/>
      <c r="E61" s="68"/>
      <c r="F61" s="4"/>
      <c r="G61" s="14"/>
      <c r="H61" s="9"/>
    </row>
    <row r="62" spans="3:8" x14ac:dyDescent="0.25">
      <c r="C62" s="8"/>
      <c r="D62" s="45"/>
      <c r="E62" s="68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16"/>
      <c r="D64" s="17"/>
      <c r="E64" s="17" t="s">
        <v>39</v>
      </c>
      <c r="F64" s="4"/>
      <c r="G64" s="14"/>
      <c r="H64" s="9"/>
    </row>
    <row r="65" spans="3:8" x14ac:dyDescent="0.25">
      <c r="C65" s="8"/>
      <c r="D65" s="2"/>
      <c r="E65" s="2" t="s">
        <v>5812</v>
      </c>
      <c r="F65" s="4">
        <v>21</v>
      </c>
      <c r="G65" s="14"/>
      <c r="H65" s="9"/>
    </row>
    <row r="66" spans="3:8" x14ac:dyDescent="0.25">
      <c r="C66" s="8"/>
      <c r="D66" s="2"/>
      <c r="E66" s="2" t="s">
        <v>5813</v>
      </c>
      <c r="F66" s="4">
        <v>15952</v>
      </c>
      <c r="G66" s="14"/>
      <c r="H66" s="9"/>
    </row>
    <row r="67" spans="3:8" x14ac:dyDescent="0.25">
      <c r="C67" s="8"/>
      <c r="D67" s="2"/>
      <c r="E67" s="2" t="s">
        <v>5814</v>
      </c>
      <c r="F67" s="4">
        <v>17.5</v>
      </c>
      <c r="G67" s="14"/>
      <c r="H67" s="9"/>
    </row>
    <row r="68" spans="3:8" x14ac:dyDescent="0.25">
      <c r="C68" s="8"/>
      <c r="D68" s="2"/>
      <c r="E68" s="2" t="s">
        <v>402</v>
      </c>
      <c r="F68" s="4">
        <v>12</v>
      </c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19"/>
      <c r="D73" s="20"/>
      <c r="E73" s="20" t="s">
        <v>42</v>
      </c>
      <c r="F73" s="4"/>
      <c r="G73" s="14"/>
      <c r="H73" s="9"/>
    </row>
    <row r="74" spans="3:8" x14ac:dyDescent="0.25">
      <c r="C74" s="34"/>
      <c r="D74" s="42"/>
      <c r="E74" s="68" t="s">
        <v>5805</v>
      </c>
      <c r="F74" s="14">
        <v>-204</v>
      </c>
      <c r="G74" s="14"/>
      <c r="H74" s="9"/>
    </row>
    <row r="75" spans="3:8" x14ac:dyDescent="0.25">
      <c r="C75" s="34"/>
      <c r="D75" s="42"/>
      <c r="E75" s="68" t="s">
        <v>5815</v>
      </c>
      <c r="F75" s="14">
        <v>-4</v>
      </c>
      <c r="G75" s="14"/>
      <c r="H75" s="9"/>
    </row>
    <row r="76" spans="3:8" x14ac:dyDescent="0.25">
      <c r="C76" s="34"/>
      <c r="D76" s="42"/>
      <c r="E76" s="68" t="s">
        <v>5816</v>
      </c>
      <c r="F76" s="14">
        <v>-15500</v>
      </c>
      <c r="G76" s="14"/>
      <c r="H76" s="9"/>
    </row>
    <row r="77" spans="3:8" x14ac:dyDescent="0.25">
      <c r="C77" s="34"/>
      <c r="D77" s="42"/>
      <c r="E77" s="68" t="s">
        <v>5817</v>
      </c>
      <c r="F77" s="14">
        <v>-40</v>
      </c>
      <c r="G77" s="14"/>
      <c r="H77" s="9"/>
    </row>
    <row r="78" spans="3:8" x14ac:dyDescent="0.25">
      <c r="C78" s="34"/>
      <c r="D78" s="42"/>
      <c r="E78" s="68" t="s">
        <v>5818</v>
      </c>
      <c r="F78" s="14">
        <v>-20</v>
      </c>
      <c r="G78" s="14"/>
      <c r="H78" s="9"/>
    </row>
    <row r="79" spans="3:8" x14ac:dyDescent="0.25">
      <c r="C79" s="34"/>
      <c r="D79" s="42"/>
      <c r="E79" s="68" t="s">
        <v>5819</v>
      </c>
      <c r="F79" s="14">
        <v>-100</v>
      </c>
      <c r="G79" s="14"/>
      <c r="H79" s="9"/>
    </row>
    <row r="80" spans="3:8" x14ac:dyDescent="0.25">
      <c r="C80" s="34"/>
      <c r="D80" s="42"/>
      <c r="E80" s="68" t="s">
        <v>5820</v>
      </c>
      <c r="F80" s="14">
        <v>-16</v>
      </c>
      <c r="G80" s="14"/>
      <c r="H80" s="9"/>
    </row>
    <row r="81" spans="3:8" x14ac:dyDescent="0.25">
      <c r="C81" s="34"/>
      <c r="D81" s="42"/>
      <c r="E81" s="68" t="s">
        <v>5821</v>
      </c>
      <c r="F81" s="14">
        <v>-1000</v>
      </c>
      <c r="G81" s="14"/>
      <c r="H81" s="9"/>
    </row>
    <row r="82" spans="3:8" x14ac:dyDescent="0.25">
      <c r="C82" s="34"/>
      <c r="D82" s="42"/>
      <c r="E82" s="68" t="s">
        <v>5822</v>
      </c>
      <c r="F82" s="14">
        <v>-176</v>
      </c>
      <c r="G82" s="14"/>
      <c r="H82" s="9"/>
    </row>
    <row r="83" spans="3:8" x14ac:dyDescent="0.25">
      <c r="C83" s="34"/>
      <c r="D83" s="42"/>
      <c r="E83" s="68" t="s">
        <v>5823</v>
      </c>
      <c r="F83" s="14">
        <v>-20</v>
      </c>
      <c r="G83" s="14"/>
      <c r="H83" s="9"/>
    </row>
    <row r="84" spans="3:8" x14ac:dyDescent="0.25">
      <c r="C84" s="34"/>
      <c r="D84" s="42"/>
      <c r="E84" s="68"/>
      <c r="F84" s="14"/>
      <c r="G84" s="14"/>
      <c r="H84" s="9"/>
    </row>
    <row r="85" spans="3:8" x14ac:dyDescent="0.25">
      <c r="C85" s="34"/>
      <c r="D85" s="42"/>
      <c r="E85" s="68"/>
      <c r="F85" s="14"/>
      <c r="G85" s="14"/>
      <c r="H85" s="9"/>
    </row>
    <row r="86" spans="3:8" x14ac:dyDescent="0.25">
      <c r="C86" s="34"/>
      <c r="D86" s="42"/>
      <c r="E86" s="68"/>
      <c r="F86" s="14"/>
      <c r="G86" s="14"/>
      <c r="H86" s="9"/>
    </row>
    <row r="87" spans="3:8" ht="15.75" thickBot="1" x14ac:dyDescent="0.3">
      <c r="C87" s="10"/>
      <c r="D87" s="11"/>
      <c r="E87" s="11" t="s">
        <v>44</v>
      </c>
      <c r="F87" s="12">
        <f>SUM(F6:F86)</f>
        <v>181.40000000000146</v>
      </c>
      <c r="G87" s="15">
        <f>SUM(G6:G86)</f>
        <v>13032</v>
      </c>
      <c r="H87" s="13">
        <f>SUM(H6:H86)</f>
        <v>7867.4000000000005</v>
      </c>
    </row>
    <row r="90" spans="3:8" s="3" customFormat="1" ht="18.75" x14ac:dyDescent="0.3">
      <c r="C90" s="1"/>
      <c r="D90" s="1"/>
      <c r="E90" s="38" t="s">
        <v>49</v>
      </c>
      <c r="F90" s="39">
        <f>+H4+F87</f>
        <v>882.9800000000015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AC4B-EC9F-4F5A-B24D-8D3C0829308C}">
  <sheetPr codeName="Hoja66"/>
  <dimension ref="C2:H56"/>
  <sheetViews>
    <sheetView topLeftCell="B28" zoomScaleNormal="100" workbookViewId="0">
      <selection activeCell="F56" sqref="F56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5863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882.98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5826</v>
      </c>
      <c r="E6" s="2" t="s">
        <v>5827</v>
      </c>
      <c r="F6" s="4">
        <v>840</v>
      </c>
      <c r="G6" s="14"/>
      <c r="H6" s="9"/>
    </row>
    <row r="7" spans="3:8" x14ac:dyDescent="0.25">
      <c r="C7" s="8"/>
      <c r="D7" s="2" t="s">
        <v>5828</v>
      </c>
      <c r="E7" s="2" t="s">
        <v>5850</v>
      </c>
      <c r="F7" s="4">
        <v>8</v>
      </c>
      <c r="G7" s="14"/>
      <c r="H7" s="9"/>
    </row>
    <row r="8" spans="3:8" x14ac:dyDescent="0.25">
      <c r="C8" s="8"/>
      <c r="D8" s="2" t="s">
        <v>5829</v>
      </c>
      <c r="E8" s="2" t="s">
        <v>5850</v>
      </c>
      <c r="F8" s="4">
        <v>11</v>
      </c>
      <c r="G8" s="14"/>
      <c r="H8" s="9"/>
    </row>
    <row r="9" spans="3:8" x14ac:dyDescent="0.25">
      <c r="C9" s="8"/>
      <c r="D9" s="2" t="s">
        <v>5830</v>
      </c>
      <c r="E9" s="2" t="s">
        <v>4597</v>
      </c>
      <c r="F9" s="4"/>
      <c r="G9" s="14">
        <v>272</v>
      </c>
      <c r="H9" s="9"/>
    </row>
    <row r="10" spans="3:8" x14ac:dyDescent="0.25">
      <c r="C10" s="8"/>
      <c r="D10" s="2" t="s">
        <v>5831</v>
      </c>
      <c r="E10" s="2" t="s">
        <v>5850</v>
      </c>
      <c r="F10" s="4">
        <v>2.5</v>
      </c>
      <c r="G10" s="14"/>
      <c r="H10" s="9"/>
    </row>
    <row r="11" spans="3:8" x14ac:dyDescent="0.25">
      <c r="C11" s="8"/>
      <c r="D11" s="2" t="s">
        <v>5832</v>
      </c>
      <c r="E11" s="2" t="s">
        <v>5850</v>
      </c>
      <c r="F11" s="4">
        <v>5</v>
      </c>
      <c r="G11" s="14"/>
      <c r="H11" s="9"/>
    </row>
    <row r="12" spans="3:8" x14ac:dyDescent="0.25">
      <c r="C12" s="8"/>
      <c r="D12" s="2" t="s">
        <v>5833</v>
      </c>
      <c r="E12" s="2" t="s">
        <v>5850</v>
      </c>
      <c r="F12" s="4">
        <v>8</v>
      </c>
      <c r="G12" s="14"/>
      <c r="H12" s="9"/>
    </row>
    <row r="13" spans="3:8" x14ac:dyDescent="0.25">
      <c r="C13" s="8"/>
      <c r="D13" s="2" t="s">
        <v>5834</v>
      </c>
      <c r="E13" s="2" t="s">
        <v>5849</v>
      </c>
      <c r="F13" s="4"/>
      <c r="G13" s="14"/>
      <c r="H13" s="9">
        <v>315</v>
      </c>
    </row>
    <row r="14" spans="3:8" x14ac:dyDescent="0.25">
      <c r="C14" s="8"/>
      <c r="D14" s="2" t="s">
        <v>5835</v>
      </c>
      <c r="E14" s="2" t="s">
        <v>5850</v>
      </c>
      <c r="F14" s="4"/>
      <c r="G14" s="14"/>
      <c r="H14" s="9">
        <v>1</v>
      </c>
    </row>
    <row r="15" spans="3:8" x14ac:dyDescent="0.25">
      <c r="C15" s="8"/>
      <c r="D15" s="2" t="s">
        <v>5836</v>
      </c>
      <c r="E15" s="2" t="s">
        <v>5850</v>
      </c>
      <c r="F15" s="4">
        <v>3</v>
      </c>
      <c r="G15" s="14"/>
      <c r="H15" s="9"/>
    </row>
    <row r="16" spans="3:8" x14ac:dyDescent="0.25">
      <c r="C16" s="8"/>
      <c r="D16" s="2" t="s">
        <v>5837</v>
      </c>
      <c r="E16" s="2" t="s">
        <v>5850</v>
      </c>
      <c r="F16" s="4"/>
      <c r="G16" s="14"/>
      <c r="H16" s="9">
        <v>57</v>
      </c>
    </row>
    <row r="17" spans="3:8" x14ac:dyDescent="0.25">
      <c r="C17" s="8"/>
      <c r="D17" s="2" t="s">
        <v>5838</v>
      </c>
      <c r="E17" s="2" t="s">
        <v>5850</v>
      </c>
      <c r="F17" s="4">
        <v>9</v>
      </c>
      <c r="G17" s="14"/>
      <c r="H17" s="9"/>
    </row>
    <row r="18" spans="3:8" x14ac:dyDescent="0.25">
      <c r="C18" s="8"/>
      <c r="D18" s="2" t="s">
        <v>5839</v>
      </c>
      <c r="E18" s="2" t="s">
        <v>5850</v>
      </c>
      <c r="F18" s="4"/>
      <c r="G18" s="14"/>
      <c r="H18" s="9">
        <v>65</v>
      </c>
    </row>
    <row r="19" spans="3:8" x14ac:dyDescent="0.25">
      <c r="C19" s="8"/>
      <c r="D19" s="2" t="s">
        <v>5840</v>
      </c>
      <c r="E19" s="2" t="s">
        <v>5848</v>
      </c>
      <c r="F19" s="4"/>
      <c r="G19" s="14">
        <v>720</v>
      </c>
      <c r="H19" s="9"/>
    </row>
    <row r="20" spans="3:8" x14ac:dyDescent="0.25">
      <c r="C20" s="8"/>
      <c r="D20" s="2" t="s">
        <v>5853</v>
      </c>
      <c r="E20" s="2" t="s">
        <v>1679</v>
      </c>
      <c r="F20" s="4"/>
      <c r="G20" s="14">
        <v>215</v>
      </c>
      <c r="H20" s="9"/>
    </row>
    <row r="21" spans="3:8" x14ac:dyDescent="0.25">
      <c r="C21" s="8"/>
      <c r="D21" s="2" t="s">
        <v>5854</v>
      </c>
      <c r="E21" s="2" t="s">
        <v>4787</v>
      </c>
      <c r="F21" s="4">
        <v>6</v>
      </c>
      <c r="G21" s="14"/>
      <c r="H21" s="9"/>
    </row>
    <row r="22" spans="3:8" x14ac:dyDescent="0.25">
      <c r="C22" s="8"/>
      <c r="D22" s="2" t="s">
        <v>5857</v>
      </c>
      <c r="E22" s="2" t="s">
        <v>4787</v>
      </c>
      <c r="F22" s="4">
        <v>3</v>
      </c>
      <c r="G22" s="14"/>
      <c r="H22" s="9"/>
    </row>
    <row r="23" spans="3:8" x14ac:dyDescent="0.25">
      <c r="C23" s="8"/>
      <c r="D23" s="2" t="s">
        <v>5864</v>
      </c>
      <c r="E23" s="2"/>
      <c r="F23" s="4"/>
      <c r="G23" s="14"/>
      <c r="H23" s="9"/>
    </row>
    <row r="24" spans="3:8" x14ac:dyDescent="0.25">
      <c r="C24" s="8"/>
      <c r="D24" s="2" t="s">
        <v>5843</v>
      </c>
      <c r="E24" s="2" t="s">
        <v>5847</v>
      </c>
      <c r="F24" s="4">
        <v>12</v>
      </c>
      <c r="G24" s="14"/>
      <c r="H24" s="9"/>
    </row>
    <row r="25" spans="3:8" x14ac:dyDescent="0.25">
      <c r="C25" s="8"/>
      <c r="D25" s="2" t="s">
        <v>5844</v>
      </c>
      <c r="E25" s="2" t="s">
        <v>5847</v>
      </c>
      <c r="F25" s="4">
        <v>6</v>
      </c>
      <c r="G25" s="14"/>
      <c r="H25" s="9"/>
    </row>
    <row r="26" spans="3:8" x14ac:dyDescent="0.25">
      <c r="C26" s="8"/>
      <c r="D26" s="2" t="s">
        <v>5845</v>
      </c>
      <c r="E26" s="2" t="s">
        <v>5842</v>
      </c>
      <c r="F26" s="4"/>
      <c r="G26" s="14">
        <v>780</v>
      </c>
      <c r="H26" s="9"/>
    </row>
    <row r="27" spans="3:8" x14ac:dyDescent="0.25">
      <c r="C27" s="8"/>
      <c r="D27" s="2" t="s">
        <v>5846</v>
      </c>
      <c r="E27" s="2" t="s">
        <v>5847</v>
      </c>
      <c r="F27" s="4">
        <v>1</v>
      </c>
      <c r="G27" s="14"/>
      <c r="H27" s="9"/>
    </row>
    <row r="28" spans="3:8" x14ac:dyDescent="0.25">
      <c r="C28" s="8"/>
      <c r="D28" s="2" t="s">
        <v>5860</v>
      </c>
      <c r="E28" s="2" t="s">
        <v>5847</v>
      </c>
      <c r="F28" s="4"/>
      <c r="G28" s="14"/>
      <c r="H28" s="9">
        <v>16</v>
      </c>
    </row>
    <row r="29" spans="3:8" x14ac:dyDescent="0.25">
      <c r="C29" s="8"/>
      <c r="D29" s="2" t="s">
        <v>5891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40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29"/>
      <c r="D33" s="30"/>
      <c r="E33" s="30" t="s">
        <v>60</v>
      </c>
      <c r="F33" s="4"/>
      <c r="G33" s="14"/>
      <c r="H33" s="9">
        <v>3135</v>
      </c>
    </row>
    <row r="34" spans="3:8" x14ac:dyDescent="0.25">
      <c r="C34" s="8"/>
      <c r="D34" s="45" t="s">
        <v>5859</v>
      </c>
      <c r="E34" s="68" t="s">
        <v>5858</v>
      </c>
      <c r="F34" s="4"/>
      <c r="G34" s="14"/>
      <c r="H34" s="9"/>
    </row>
    <row r="35" spans="3:8" x14ac:dyDescent="0.25">
      <c r="C35" s="8"/>
      <c r="D35" s="45"/>
      <c r="E35" s="68"/>
      <c r="F35" s="4"/>
      <c r="G35" s="14"/>
      <c r="H35" s="9"/>
    </row>
    <row r="36" spans="3:8" x14ac:dyDescent="0.25">
      <c r="C36" s="8"/>
      <c r="D36" s="45"/>
      <c r="E36" s="2"/>
      <c r="F36" s="4"/>
      <c r="G36" s="14"/>
      <c r="H36" s="9"/>
    </row>
    <row r="37" spans="3:8" x14ac:dyDescent="0.25">
      <c r="C37" s="8"/>
      <c r="D37" s="45"/>
      <c r="E37" s="68"/>
      <c r="F37" s="4"/>
      <c r="G37" s="14"/>
      <c r="H37" s="9"/>
    </row>
    <row r="38" spans="3:8" x14ac:dyDescent="0.25">
      <c r="C38" s="8"/>
      <c r="D38" s="45"/>
      <c r="E38" s="68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16"/>
      <c r="D40" s="17"/>
      <c r="E40" s="17" t="s">
        <v>39</v>
      </c>
      <c r="F40" s="4"/>
      <c r="G40" s="14"/>
      <c r="H40" s="9"/>
    </row>
    <row r="41" spans="3:8" x14ac:dyDescent="0.25">
      <c r="C41" s="8"/>
      <c r="D41" s="2"/>
      <c r="E41" s="2" t="s">
        <v>5851</v>
      </c>
      <c r="F41" s="4">
        <v>1950</v>
      </c>
      <c r="G41" s="14"/>
      <c r="H41" s="9"/>
    </row>
    <row r="42" spans="3:8" x14ac:dyDescent="0.25">
      <c r="C42" s="8"/>
      <c r="D42" s="2"/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19"/>
      <c r="D45" s="20"/>
      <c r="E45" s="20" t="s">
        <v>42</v>
      </c>
      <c r="F45" s="4"/>
      <c r="G45" s="14"/>
      <c r="H45" s="9"/>
    </row>
    <row r="46" spans="3:8" x14ac:dyDescent="0.25">
      <c r="C46" s="34"/>
      <c r="D46" s="42"/>
      <c r="E46" s="68" t="s">
        <v>5852</v>
      </c>
      <c r="F46" s="14">
        <v>-60</v>
      </c>
      <c r="G46" s="14"/>
      <c r="H46" s="9"/>
    </row>
    <row r="47" spans="3:8" x14ac:dyDescent="0.25">
      <c r="C47" s="34"/>
      <c r="D47" s="42"/>
      <c r="E47" s="68" t="s">
        <v>5855</v>
      </c>
      <c r="F47" s="14">
        <v>-1100</v>
      </c>
      <c r="G47" s="14"/>
      <c r="H47" s="9"/>
    </row>
    <row r="48" spans="3:8" x14ac:dyDescent="0.25">
      <c r="C48" s="34"/>
      <c r="D48" s="42"/>
      <c r="E48" s="68" t="s">
        <v>5856</v>
      </c>
      <c r="F48" s="14">
        <v>-20</v>
      </c>
      <c r="G48" s="14"/>
      <c r="H48" s="9"/>
    </row>
    <row r="49" spans="3:8" x14ac:dyDescent="0.25">
      <c r="C49" s="34"/>
      <c r="D49" s="42"/>
      <c r="E49" s="68" t="s">
        <v>5862</v>
      </c>
      <c r="F49" s="14">
        <v>-250</v>
      </c>
      <c r="G49" s="14"/>
      <c r="H49" s="9"/>
    </row>
    <row r="50" spans="3:8" x14ac:dyDescent="0.25">
      <c r="C50" s="34"/>
      <c r="D50" s="42"/>
      <c r="E50" s="68"/>
      <c r="F50" s="14"/>
      <c r="G50" s="14"/>
      <c r="H50" s="9"/>
    </row>
    <row r="51" spans="3:8" x14ac:dyDescent="0.25">
      <c r="C51" s="34"/>
      <c r="D51" s="42"/>
      <c r="E51" s="68"/>
      <c r="F51" s="14"/>
      <c r="G51" s="14"/>
      <c r="H51" s="9"/>
    </row>
    <row r="52" spans="3:8" x14ac:dyDescent="0.25">
      <c r="C52" s="34"/>
      <c r="D52" s="42"/>
      <c r="E52" s="68"/>
      <c r="F52" s="14"/>
      <c r="G52" s="14"/>
      <c r="H52" s="9"/>
    </row>
    <row r="53" spans="3:8" ht="15.75" thickBot="1" x14ac:dyDescent="0.3">
      <c r="C53" s="10"/>
      <c r="D53" s="11"/>
      <c r="E53" s="11" t="s">
        <v>44</v>
      </c>
      <c r="F53" s="12">
        <f>SUM(F6:F52)</f>
        <v>1434.5</v>
      </c>
      <c r="G53" s="15">
        <f>SUM(G6:G52)</f>
        <v>1987</v>
      </c>
      <c r="H53" s="13">
        <f>SUM(H6:H52)</f>
        <v>3589</v>
      </c>
    </row>
    <row r="56" spans="3:8" s="3" customFormat="1" ht="18.75" x14ac:dyDescent="0.3">
      <c r="C56" s="1"/>
      <c r="D56" s="1"/>
      <c r="E56" s="38" t="s">
        <v>49</v>
      </c>
      <c r="F56" s="39">
        <f>+H4+F53</f>
        <v>2317.48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91A8-B170-4FB0-AFB2-BBC965E9CC3F}">
  <sheetPr codeName="Hoja67"/>
  <dimension ref="C2:H132"/>
  <sheetViews>
    <sheetView topLeftCell="A82" zoomScale="85" zoomScaleNormal="85" workbookViewId="0">
      <selection activeCell="D43" sqref="D43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5863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2317.48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8"/>
      <c r="D6" s="2" t="s">
        <v>5864</v>
      </c>
      <c r="E6" s="2" t="s">
        <v>5918</v>
      </c>
      <c r="F6" s="4">
        <v>9</v>
      </c>
      <c r="G6" s="14"/>
      <c r="H6" s="9"/>
    </row>
    <row r="7" spans="3:8" x14ac:dyDescent="0.25">
      <c r="C7" s="8"/>
      <c r="D7" s="2" t="s">
        <v>5871</v>
      </c>
      <c r="E7" s="2" t="s">
        <v>5918</v>
      </c>
      <c r="F7" s="4"/>
      <c r="G7" s="14"/>
      <c r="H7" s="9">
        <v>53</v>
      </c>
    </row>
    <row r="8" spans="3:8" x14ac:dyDescent="0.25">
      <c r="C8" s="8"/>
      <c r="D8" s="2" t="s">
        <v>5872</v>
      </c>
      <c r="E8" s="2" t="s">
        <v>5918</v>
      </c>
      <c r="F8" s="4">
        <v>6</v>
      </c>
      <c r="G8" s="14"/>
      <c r="H8" s="9"/>
    </row>
    <row r="9" spans="3:8" x14ac:dyDescent="0.25">
      <c r="C9" s="8"/>
      <c r="D9" s="2" t="s">
        <v>5873</v>
      </c>
      <c r="E9" s="2" t="s">
        <v>5917</v>
      </c>
      <c r="F9" s="4">
        <v>870</v>
      </c>
      <c r="G9" s="14"/>
      <c r="H9" s="9"/>
    </row>
    <row r="10" spans="3:8" x14ac:dyDescent="0.25">
      <c r="C10" s="8"/>
      <c r="D10" s="2" t="s">
        <v>5874</v>
      </c>
      <c r="E10" s="2" t="s">
        <v>5159</v>
      </c>
      <c r="F10" s="4">
        <v>313</v>
      </c>
      <c r="G10" s="14"/>
      <c r="H10" s="9"/>
    </row>
    <row r="11" spans="3:8" x14ac:dyDescent="0.25">
      <c r="C11" s="8"/>
      <c r="D11" s="2" t="s">
        <v>5875</v>
      </c>
      <c r="E11" s="2" t="s">
        <v>5918</v>
      </c>
      <c r="F11" s="4"/>
      <c r="G11" s="14"/>
      <c r="H11" s="9">
        <v>1.5</v>
      </c>
    </row>
    <row r="12" spans="3:8" x14ac:dyDescent="0.25">
      <c r="C12" s="8"/>
      <c r="D12" s="2" t="s">
        <v>5876</v>
      </c>
      <c r="E12" s="2" t="s">
        <v>5680</v>
      </c>
      <c r="F12" s="4">
        <v>1545.5</v>
      </c>
      <c r="G12" s="14"/>
      <c r="H12" s="9"/>
    </row>
    <row r="13" spans="3:8" x14ac:dyDescent="0.25">
      <c r="C13" s="8"/>
      <c r="D13" s="2" t="s">
        <v>5877</v>
      </c>
      <c r="E13" s="2" t="s">
        <v>5916</v>
      </c>
      <c r="F13" s="4">
        <v>422.5</v>
      </c>
      <c r="G13" s="14"/>
      <c r="H13" s="9"/>
    </row>
    <row r="14" spans="3:8" x14ac:dyDescent="0.25">
      <c r="C14" s="8"/>
      <c r="D14" s="2" t="s">
        <v>5878</v>
      </c>
      <c r="E14" s="2" t="s">
        <v>5915</v>
      </c>
      <c r="F14" s="4">
        <v>117</v>
      </c>
      <c r="G14" s="14"/>
      <c r="H14" s="9"/>
    </row>
    <row r="15" spans="3:8" x14ac:dyDescent="0.25">
      <c r="C15" s="8"/>
      <c r="D15" s="2" t="s">
        <v>5879</v>
      </c>
      <c r="E15" s="2" t="s">
        <v>5918</v>
      </c>
      <c r="F15" s="4"/>
      <c r="G15" s="14"/>
      <c r="H15" s="9">
        <v>10</v>
      </c>
    </row>
    <row r="16" spans="3:8" x14ac:dyDescent="0.25">
      <c r="C16" s="8"/>
      <c r="D16" s="2" t="s">
        <v>5880</v>
      </c>
      <c r="E16" s="2" t="s">
        <v>5914</v>
      </c>
      <c r="F16" s="4">
        <v>267</v>
      </c>
      <c r="G16" s="14"/>
      <c r="H16" s="9"/>
    </row>
    <row r="17" spans="3:8" x14ac:dyDescent="0.25">
      <c r="C17" s="8"/>
      <c r="D17" s="2" t="s">
        <v>5881</v>
      </c>
      <c r="E17" s="2" t="s">
        <v>5918</v>
      </c>
      <c r="F17" s="4">
        <v>9</v>
      </c>
      <c r="G17" s="14"/>
      <c r="H17" s="9"/>
    </row>
    <row r="18" spans="3:8" x14ac:dyDescent="0.25">
      <c r="C18" s="8"/>
      <c r="D18" s="2" t="s">
        <v>5882</v>
      </c>
      <c r="E18" s="2" t="s">
        <v>5918</v>
      </c>
      <c r="F18" s="4">
        <v>187</v>
      </c>
      <c r="G18" s="14"/>
      <c r="H18" s="9"/>
    </row>
    <row r="19" spans="3:8" x14ac:dyDescent="0.25">
      <c r="C19" s="8"/>
      <c r="D19" s="2" t="s">
        <v>5883</v>
      </c>
      <c r="E19" s="2" t="s">
        <v>5913</v>
      </c>
      <c r="F19" s="4">
        <v>48</v>
      </c>
      <c r="G19" s="14"/>
      <c r="H19" s="9"/>
    </row>
    <row r="20" spans="3:8" x14ac:dyDescent="0.25">
      <c r="C20" s="8"/>
      <c r="D20" s="2" t="s">
        <v>5884</v>
      </c>
      <c r="E20" s="2" t="s">
        <v>5390</v>
      </c>
      <c r="F20" s="4">
        <v>2137.9</v>
      </c>
      <c r="G20" s="14"/>
      <c r="H20" s="9"/>
    </row>
    <row r="21" spans="3:8" x14ac:dyDescent="0.25">
      <c r="C21" s="8"/>
      <c r="D21" s="2" t="s">
        <v>5885</v>
      </c>
      <c r="E21" s="2" t="s">
        <v>5388</v>
      </c>
      <c r="F21" s="4">
        <v>96</v>
      </c>
      <c r="G21" s="14"/>
      <c r="H21" s="9"/>
    </row>
    <row r="22" spans="3:8" x14ac:dyDescent="0.25">
      <c r="C22" s="8"/>
      <c r="D22" s="2" t="s">
        <v>5886</v>
      </c>
      <c r="E22" s="2" t="s">
        <v>5918</v>
      </c>
      <c r="F22" s="4">
        <v>9</v>
      </c>
      <c r="G22" s="14"/>
      <c r="H22" s="9"/>
    </row>
    <row r="23" spans="3:8" x14ac:dyDescent="0.25">
      <c r="C23" s="8"/>
      <c r="D23" s="2" t="s">
        <v>5887</v>
      </c>
      <c r="E23" s="2" t="s">
        <v>5912</v>
      </c>
      <c r="F23" s="4"/>
      <c r="G23" s="14"/>
      <c r="H23" s="9">
        <v>39.5</v>
      </c>
    </row>
    <row r="24" spans="3:8" x14ac:dyDescent="0.25">
      <c r="C24" s="8"/>
      <c r="D24" s="2" t="s">
        <v>5888</v>
      </c>
      <c r="E24" s="2" t="s">
        <v>628</v>
      </c>
      <c r="F24" s="4"/>
      <c r="G24" s="14">
        <v>225</v>
      </c>
      <c r="H24" s="9"/>
    </row>
    <row r="25" spans="3:8" x14ac:dyDescent="0.25">
      <c r="C25" s="8"/>
      <c r="D25" s="2" t="s">
        <v>5889</v>
      </c>
      <c r="E25" s="2" t="s">
        <v>5678</v>
      </c>
      <c r="F25" s="4">
        <v>4</v>
      </c>
      <c r="G25" s="14"/>
      <c r="H25" s="9"/>
    </row>
    <row r="26" spans="3:8" x14ac:dyDescent="0.25">
      <c r="C26" s="8"/>
      <c r="D26" s="2" t="s">
        <v>5890</v>
      </c>
      <c r="E26" s="2" t="s">
        <v>5678</v>
      </c>
      <c r="F26" s="4">
        <v>81.5</v>
      </c>
      <c r="G26" s="14"/>
      <c r="H26" s="9"/>
    </row>
    <row r="27" spans="3:8" x14ac:dyDescent="0.25">
      <c r="C27" s="8"/>
      <c r="D27" s="2" t="s">
        <v>5907</v>
      </c>
      <c r="E27" s="2" t="s">
        <v>5678</v>
      </c>
      <c r="F27" s="4">
        <v>10</v>
      </c>
      <c r="G27" s="14"/>
      <c r="H27" s="9"/>
    </row>
    <row r="28" spans="3:8" x14ac:dyDescent="0.25">
      <c r="C28" s="8"/>
      <c r="D28" s="2" t="s">
        <v>5923</v>
      </c>
      <c r="E28" s="2" t="s">
        <v>5935</v>
      </c>
      <c r="F28" s="4">
        <v>3166.56</v>
      </c>
      <c r="G28" s="14"/>
      <c r="H28" s="9"/>
    </row>
    <row r="29" spans="3:8" x14ac:dyDescent="0.25">
      <c r="C29" s="8"/>
      <c r="D29" s="2" t="s">
        <v>5924</v>
      </c>
      <c r="E29" s="2" t="s">
        <v>5678</v>
      </c>
      <c r="F29" s="4"/>
      <c r="G29" s="14"/>
      <c r="H29" s="9">
        <v>5</v>
      </c>
    </row>
    <row r="30" spans="3:8" x14ac:dyDescent="0.25">
      <c r="C30" s="8"/>
      <c r="D30" s="2" t="s">
        <v>5925</v>
      </c>
      <c r="E30" s="2" t="s">
        <v>5678</v>
      </c>
      <c r="F30" s="4">
        <v>4.5</v>
      </c>
      <c r="G30" s="14"/>
      <c r="H30" s="9"/>
    </row>
    <row r="31" spans="3:8" x14ac:dyDescent="0.25">
      <c r="C31" s="8"/>
      <c r="D31" s="2" t="s">
        <v>5926</v>
      </c>
      <c r="E31" s="2" t="s">
        <v>5678</v>
      </c>
      <c r="F31" s="4"/>
      <c r="G31" s="14"/>
      <c r="H31" s="9">
        <v>7</v>
      </c>
    </row>
    <row r="32" spans="3:8" x14ac:dyDescent="0.25">
      <c r="C32" s="8"/>
      <c r="D32" s="2" t="s">
        <v>5927</v>
      </c>
      <c r="E32" s="2" t="s">
        <v>5678</v>
      </c>
      <c r="F32" s="4">
        <v>6</v>
      </c>
      <c r="G32" s="14"/>
      <c r="H32" s="9"/>
    </row>
    <row r="33" spans="3:8" x14ac:dyDescent="0.25">
      <c r="C33" s="8"/>
      <c r="D33" s="2" t="s">
        <v>5928</v>
      </c>
      <c r="E33" s="2" t="s">
        <v>5941</v>
      </c>
      <c r="F33" s="4">
        <v>17070</v>
      </c>
      <c r="G33" s="14"/>
      <c r="H33" s="9"/>
    </row>
    <row r="34" spans="3:8" x14ac:dyDescent="0.25">
      <c r="C34" s="8"/>
      <c r="D34" s="2" t="s">
        <v>5929</v>
      </c>
      <c r="E34" s="2" t="s">
        <v>5940</v>
      </c>
      <c r="F34" s="4"/>
      <c r="G34" s="14">
        <v>1772.5</v>
      </c>
      <c r="H34" s="9"/>
    </row>
    <row r="35" spans="3:8" x14ac:dyDescent="0.25">
      <c r="C35" s="8"/>
      <c r="D35" s="2" t="s">
        <v>5930</v>
      </c>
      <c r="E35" s="2" t="s">
        <v>5678</v>
      </c>
      <c r="F35" s="4"/>
      <c r="G35" s="14"/>
      <c r="H35" s="9">
        <v>7.5</v>
      </c>
    </row>
    <row r="36" spans="3:8" x14ac:dyDescent="0.25">
      <c r="C36" s="8"/>
      <c r="D36" s="2" t="s">
        <v>5931</v>
      </c>
      <c r="E36" s="2" t="s">
        <v>5678</v>
      </c>
      <c r="F36" s="4">
        <v>4</v>
      </c>
      <c r="G36" s="14"/>
      <c r="H36" s="9"/>
    </row>
    <row r="37" spans="3:8" x14ac:dyDescent="0.25">
      <c r="C37" s="8"/>
      <c r="D37" s="2" t="s">
        <v>5936</v>
      </c>
      <c r="E37" s="2" t="s">
        <v>5678</v>
      </c>
      <c r="F37" s="4"/>
      <c r="G37" s="14"/>
      <c r="H37" s="9">
        <v>4</v>
      </c>
    </row>
    <row r="38" spans="3:8" x14ac:dyDescent="0.25">
      <c r="C38" s="8"/>
      <c r="D38" s="2" t="s">
        <v>5937</v>
      </c>
      <c r="E38" s="2" t="s">
        <v>5678</v>
      </c>
      <c r="F38" s="4"/>
      <c r="G38" s="14"/>
      <c r="H38" s="9">
        <v>8</v>
      </c>
    </row>
    <row r="39" spans="3:8" x14ac:dyDescent="0.25">
      <c r="C39" s="8"/>
      <c r="D39" s="2" t="s">
        <v>5938</v>
      </c>
      <c r="E39" s="2" t="s">
        <v>5678</v>
      </c>
      <c r="F39" s="4"/>
      <c r="G39" s="14"/>
      <c r="H39" s="9">
        <v>2.5</v>
      </c>
    </row>
    <row r="40" spans="3:8" x14ac:dyDescent="0.25">
      <c r="C40" s="8"/>
      <c r="D40" s="2" t="s">
        <v>5939</v>
      </c>
      <c r="E40" s="2" t="s">
        <v>5678</v>
      </c>
      <c r="F40" s="4">
        <v>30</v>
      </c>
      <c r="G40" s="14"/>
      <c r="H40" s="9"/>
    </row>
    <row r="41" spans="3:8" x14ac:dyDescent="0.25">
      <c r="C41" s="8"/>
      <c r="D41" s="2" t="s">
        <v>5969</v>
      </c>
      <c r="E41" s="2" t="s">
        <v>5678</v>
      </c>
      <c r="F41" s="4">
        <v>22.5</v>
      </c>
      <c r="G41" s="14"/>
      <c r="H41" s="9"/>
    </row>
    <row r="42" spans="3:8" x14ac:dyDescent="0.25">
      <c r="C42" s="8"/>
      <c r="D42" s="2" t="s">
        <v>5970</v>
      </c>
      <c r="E42" s="2" t="s">
        <v>5971</v>
      </c>
      <c r="F42" s="4"/>
      <c r="G42" s="14">
        <v>665</v>
      </c>
      <c r="H42" s="9"/>
    </row>
    <row r="43" spans="3:8" x14ac:dyDescent="0.25">
      <c r="C43" s="8"/>
      <c r="D43" s="2" t="s">
        <v>5993</v>
      </c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 t="s">
        <v>5891</v>
      </c>
      <c r="E46" s="2" t="s">
        <v>1631</v>
      </c>
      <c r="F46" s="4">
        <v>50</v>
      </c>
      <c r="G46" s="14"/>
      <c r="H46" s="9"/>
    </row>
    <row r="47" spans="3:8" x14ac:dyDescent="0.25">
      <c r="C47" s="8"/>
      <c r="D47" s="2" t="s">
        <v>5892</v>
      </c>
      <c r="E47" s="2" t="s">
        <v>1631</v>
      </c>
      <c r="F47" s="4">
        <v>4.5</v>
      </c>
      <c r="G47" s="14"/>
      <c r="H47" s="9"/>
    </row>
    <row r="48" spans="3:8" x14ac:dyDescent="0.25">
      <c r="C48" s="8"/>
      <c r="D48" s="2" t="s">
        <v>5893</v>
      </c>
      <c r="E48" s="2" t="s">
        <v>4619</v>
      </c>
      <c r="F48" s="4">
        <v>1755</v>
      </c>
      <c r="G48" s="14"/>
      <c r="H48" s="9"/>
    </row>
    <row r="49" spans="3:8" x14ac:dyDescent="0.25">
      <c r="C49" s="8"/>
      <c r="D49" s="2" t="s">
        <v>5894</v>
      </c>
      <c r="E49" s="2" t="s">
        <v>1631</v>
      </c>
      <c r="F49" s="4">
        <v>5</v>
      </c>
      <c r="G49" s="14"/>
      <c r="H49" s="9"/>
    </row>
    <row r="50" spans="3:8" x14ac:dyDescent="0.25">
      <c r="C50" s="8"/>
      <c r="D50" s="2" t="s">
        <v>5895</v>
      </c>
      <c r="E50" s="2" t="s">
        <v>5911</v>
      </c>
      <c r="F50" s="4"/>
      <c r="G50" s="14">
        <v>11671</v>
      </c>
      <c r="H50" s="9"/>
    </row>
    <row r="51" spans="3:8" x14ac:dyDescent="0.25">
      <c r="C51" s="8"/>
      <c r="D51" s="2" t="s">
        <v>5896</v>
      </c>
      <c r="E51" s="2" t="s">
        <v>1631</v>
      </c>
      <c r="F51" s="4">
        <v>12.5</v>
      </c>
      <c r="G51" s="14"/>
      <c r="H51" s="9"/>
    </row>
    <row r="52" spans="3:8" x14ac:dyDescent="0.25">
      <c r="C52" s="8"/>
      <c r="D52" s="2" t="s">
        <v>5897</v>
      </c>
      <c r="E52" s="2" t="s">
        <v>5910</v>
      </c>
      <c r="F52" s="4"/>
      <c r="G52" s="14">
        <v>555</v>
      </c>
      <c r="H52" s="9"/>
    </row>
    <row r="53" spans="3:8" x14ac:dyDescent="0.25">
      <c r="C53" s="8"/>
      <c r="D53" s="2" t="s">
        <v>5898</v>
      </c>
      <c r="E53" s="2" t="s">
        <v>1631</v>
      </c>
      <c r="F53" s="4">
        <v>10</v>
      </c>
      <c r="G53" s="14"/>
      <c r="H53" s="9"/>
    </row>
    <row r="54" spans="3:8" x14ac:dyDescent="0.25">
      <c r="C54" s="8"/>
      <c r="D54" s="2" t="s">
        <v>5899</v>
      </c>
      <c r="E54" s="2" t="s">
        <v>1631</v>
      </c>
      <c r="F54" s="4">
        <v>5.5</v>
      </c>
      <c r="G54" s="14"/>
      <c r="H54" s="9"/>
    </row>
    <row r="55" spans="3:8" x14ac:dyDescent="0.25">
      <c r="C55" s="8"/>
      <c r="D55" s="2" t="s">
        <v>5900</v>
      </c>
      <c r="E55" s="2" t="s">
        <v>5909</v>
      </c>
      <c r="F55" s="4">
        <v>70</v>
      </c>
      <c r="G55" s="14"/>
      <c r="H55" s="9"/>
    </row>
    <row r="56" spans="3:8" x14ac:dyDescent="0.25">
      <c r="C56" s="8"/>
      <c r="D56" s="2" t="s">
        <v>5901</v>
      </c>
      <c r="E56" s="2" t="s">
        <v>1631</v>
      </c>
      <c r="F56" s="4"/>
      <c r="G56" s="14"/>
      <c r="H56" s="9">
        <v>9</v>
      </c>
    </row>
    <row r="57" spans="3:8" x14ac:dyDescent="0.25">
      <c r="C57" s="8"/>
      <c r="D57" s="2" t="s">
        <v>5902</v>
      </c>
      <c r="E57" s="2" t="s">
        <v>4783</v>
      </c>
      <c r="F57" s="4">
        <v>889.5</v>
      </c>
      <c r="G57" s="14"/>
      <c r="H57" s="9"/>
    </row>
    <row r="58" spans="3:8" x14ac:dyDescent="0.25">
      <c r="C58" s="8"/>
      <c r="D58" s="2" t="s">
        <v>5903</v>
      </c>
      <c r="E58" s="2" t="s">
        <v>5908</v>
      </c>
      <c r="F58" s="4">
        <v>12</v>
      </c>
      <c r="G58" s="14"/>
      <c r="H58" s="9"/>
    </row>
    <row r="59" spans="3:8" x14ac:dyDescent="0.25">
      <c r="C59" s="8"/>
      <c r="D59" s="2" t="s">
        <v>5904</v>
      </c>
      <c r="E59" s="2" t="s">
        <v>1631</v>
      </c>
      <c r="F59" s="4"/>
      <c r="G59" s="14"/>
      <c r="H59" s="9">
        <v>22</v>
      </c>
    </row>
    <row r="60" spans="3:8" x14ac:dyDescent="0.25">
      <c r="C60" s="8"/>
      <c r="D60" s="2" t="s">
        <v>5905</v>
      </c>
      <c r="E60" s="2" t="s">
        <v>1631</v>
      </c>
      <c r="F60" s="4">
        <v>282</v>
      </c>
      <c r="G60" s="14"/>
      <c r="H60" s="9"/>
    </row>
    <row r="61" spans="3:8" x14ac:dyDescent="0.25">
      <c r="C61" s="8"/>
      <c r="D61" s="2" t="s">
        <v>5906</v>
      </c>
      <c r="E61" s="2" t="s">
        <v>1631</v>
      </c>
      <c r="F61" s="4">
        <v>6</v>
      </c>
      <c r="G61" s="14"/>
      <c r="H61" s="9"/>
    </row>
    <row r="62" spans="3:8" x14ac:dyDescent="0.25">
      <c r="C62" s="8"/>
      <c r="D62" s="2" t="s">
        <v>5942</v>
      </c>
      <c r="E62" s="2" t="s">
        <v>1631</v>
      </c>
      <c r="F62" s="4">
        <v>28.5</v>
      </c>
      <c r="G62" s="14"/>
      <c r="H62" s="9"/>
    </row>
    <row r="63" spans="3:8" x14ac:dyDescent="0.25">
      <c r="C63" s="8"/>
      <c r="D63" s="2" t="s">
        <v>5943</v>
      </c>
      <c r="E63" s="2" t="s">
        <v>1631</v>
      </c>
      <c r="F63" s="4">
        <v>3</v>
      </c>
      <c r="G63" s="14"/>
      <c r="H63" s="9"/>
    </row>
    <row r="64" spans="3:8" x14ac:dyDescent="0.25">
      <c r="C64" s="8"/>
      <c r="D64" s="2" t="s">
        <v>5944</v>
      </c>
      <c r="E64" s="2" t="s">
        <v>5951</v>
      </c>
      <c r="F64" s="4"/>
      <c r="G64" s="14"/>
      <c r="H64" s="9">
        <v>870</v>
      </c>
    </row>
    <row r="65" spans="3:8" x14ac:dyDescent="0.25">
      <c r="C65" s="8"/>
      <c r="D65" s="2" t="s">
        <v>5945</v>
      </c>
      <c r="E65" s="43" t="s">
        <v>2381</v>
      </c>
      <c r="F65" s="4"/>
      <c r="G65" s="14"/>
      <c r="H65" s="9"/>
    </row>
    <row r="66" spans="3:8" x14ac:dyDescent="0.25">
      <c r="C66" s="8"/>
      <c r="D66" s="2" t="s">
        <v>5946</v>
      </c>
      <c r="E66" s="2" t="s">
        <v>5847</v>
      </c>
      <c r="F66" s="4">
        <v>6</v>
      </c>
      <c r="G66" s="14"/>
      <c r="H66" s="9"/>
    </row>
    <row r="67" spans="3:8" x14ac:dyDescent="0.25">
      <c r="C67" s="8"/>
      <c r="D67" s="2" t="s">
        <v>5947</v>
      </c>
      <c r="E67" s="2" t="s">
        <v>5612</v>
      </c>
      <c r="F67" s="4"/>
      <c r="G67" s="14">
        <v>2654</v>
      </c>
      <c r="H67" s="9"/>
    </row>
    <row r="68" spans="3:8" x14ac:dyDescent="0.25">
      <c r="C68" s="8"/>
      <c r="D68" s="2" t="s">
        <v>5948</v>
      </c>
      <c r="E68" s="2" t="s">
        <v>5847</v>
      </c>
      <c r="F68" s="4">
        <v>34.5</v>
      </c>
      <c r="G68" s="14"/>
      <c r="H68" s="9"/>
    </row>
    <row r="69" spans="3:8" x14ac:dyDescent="0.25">
      <c r="C69" s="8"/>
      <c r="D69" s="2" t="s">
        <v>5949</v>
      </c>
      <c r="E69" s="2" t="s">
        <v>5966</v>
      </c>
      <c r="F69" s="4">
        <v>180</v>
      </c>
      <c r="G69" s="14"/>
      <c r="H69" s="9"/>
    </row>
    <row r="70" spans="3:8" x14ac:dyDescent="0.25">
      <c r="C70" s="8"/>
      <c r="D70" s="2" t="s">
        <v>5950</v>
      </c>
      <c r="E70" s="2" t="s">
        <v>4620</v>
      </c>
      <c r="F70" s="4"/>
      <c r="G70" s="14">
        <v>1614</v>
      </c>
      <c r="H70" s="9"/>
    </row>
    <row r="71" spans="3:8" x14ac:dyDescent="0.25">
      <c r="C71" s="8"/>
      <c r="D71" s="2" t="s">
        <v>5974</v>
      </c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40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29"/>
      <c r="D75" s="30"/>
      <c r="E75" s="30" t="s">
        <v>60</v>
      </c>
      <c r="F75" s="4"/>
      <c r="G75" s="14"/>
      <c r="H75" s="9"/>
    </row>
    <row r="76" spans="3:8" x14ac:dyDescent="0.25">
      <c r="C76" s="8"/>
      <c r="D76" s="45" t="s">
        <v>5867</v>
      </c>
      <c r="E76" s="68" t="s">
        <v>4268</v>
      </c>
      <c r="F76" s="4"/>
      <c r="G76" s="14"/>
      <c r="H76" s="9">
        <v>65</v>
      </c>
    </row>
    <row r="77" spans="3:8" x14ac:dyDescent="0.25">
      <c r="C77" s="8"/>
      <c r="D77" s="45" t="s">
        <v>5868</v>
      </c>
      <c r="E77" s="68" t="s">
        <v>5870</v>
      </c>
      <c r="F77" s="4">
        <v>28</v>
      </c>
      <c r="G77" s="14"/>
      <c r="H77" s="9"/>
    </row>
    <row r="78" spans="3:8" x14ac:dyDescent="0.25">
      <c r="C78" s="8"/>
      <c r="D78" s="45" t="s">
        <v>5869</v>
      </c>
      <c r="E78" s="68" t="s">
        <v>1767</v>
      </c>
      <c r="F78" s="4"/>
      <c r="G78" s="14"/>
      <c r="H78" s="9">
        <v>318</v>
      </c>
    </row>
    <row r="79" spans="3:8" x14ac:dyDescent="0.25">
      <c r="C79" s="8"/>
      <c r="D79" s="45"/>
      <c r="E79" s="68"/>
      <c r="F79" s="4"/>
      <c r="G79" s="14"/>
      <c r="H79" s="9"/>
    </row>
    <row r="80" spans="3:8" x14ac:dyDescent="0.25">
      <c r="C80" s="8"/>
      <c r="D80" s="45"/>
      <c r="E80" s="68"/>
      <c r="F80" s="4"/>
      <c r="G80" s="14"/>
      <c r="H80" s="9"/>
    </row>
    <row r="81" spans="3:8" x14ac:dyDescent="0.25">
      <c r="C81" s="8"/>
      <c r="D81" s="45"/>
      <c r="E81" s="68"/>
      <c r="F81" s="4"/>
      <c r="G81" s="14"/>
      <c r="H81" s="9"/>
    </row>
    <row r="82" spans="3:8" x14ac:dyDescent="0.25">
      <c r="C82" s="8"/>
      <c r="D82" s="45"/>
      <c r="E82" s="68"/>
      <c r="F82" s="4"/>
      <c r="G82" s="14"/>
      <c r="H82" s="9"/>
    </row>
    <row r="83" spans="3:8" x14ac:dyDescent="0.25">
      <c r="C83" s="8"/>
      <c r="D83" s="45"/>
      <c r="E83" s="68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16"/>
      <c r="D85" s="17"/>
      <c r="E85" s="17" t="s">
        <v>39</v>
      </c>
      <c r="F85" s="4"/>
      <c r="G85" s="14"/>
      <c r="H85" s="9"/>
    </row>
    <row r="86" spans="3:8" x14ac:dyDescent="0.25">
      <c r="C86" s="8"/>
      <c r="D86" s="2"/>
      <c r="E86" s="2" t="s">
        <v>5952</v>
      </c>
      <c r="F86" s="4">
        <v>50</v>
      </c>
      <c r="G86" s="14"/>
      <c r="H86" s="9"/>
    </row>
    <row r="87" spans="3:8" x14ac:dyDescent="0.25">
      <c r="C87" s="8"/>
      <c r="D87" s="2"/>
      <c r="E87" s="2" t="s">
        <v>5953</v>
      </c>
      <c r="F87" s="4">
        <v>479</v>
      </c>
      <c r="G87" s="14"/>
      <c r="H87" s="9"/>
    </row>
    <row r="88" spans="3:8" x14ac:dyDescent="0.25">
      <c r="C88" s="8"/>
      <c r="D88" s="2"/>
      <c r="E88" s="2" t="s">
        <v>5958</v>
      </c>
      <c r="F88" s="4">
        <v>200</v>
      </c>
      <c r="G88" s="14"/>
      <c r="H88" s="9"/>
    </row>
    <row r="89" spans="3:8" x14ac:dyDescent="0.25">
      <c r="C89" s="8"/>
      <c r="D89" s="2"/>
      <c r="E89" s="2"/>
      <c r="F89" s="4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8"/>
      <c r="D91" s="2"/>
      <c r="E91" s="2" t="s">
        <v>5954</v>
      </c>
      <c r="F91" s="4">
        <v>409</v>
      </c>
      <c r="G91" s="14"/>
      <c r="H91" s="9"/>
    </row>
    <row r="92" spans="3:8" x14ac:dyDescent="0.25">
      <c r="C92" s="8"/>
      <c r="D92" s="2"/>
      <c r="E92" s="2" t="s">
        <v>5957</v>
      </c>
      <c r="F92" s="4">
        <v>2241</v>
      </c>
      <c r="G92" s="14"/>
      <c r="H92" s="9"/>
    </row>
    <row r="93" spans="3:8" x14ac:dyDescent="0.25">
      <c r="C93" s="8"/>
      <c r="D93" s="2"/>
      <c r="E93" s="2" t="s">
        <v>5955</v>
      </c>
      <c r="F93" s="4">
        <v>518</v>
      </c>
      <c r="G93" s="14"/>
      <c r="H93" s="9"/>
    </row>
    <row r="94" spans="3:8" x14ac:dyDescent="0.25">
      <c r="C94" s="8"/>
      <c r="D94" s="2"/>
      <c r="E94" s="2" t="s">
        <v>402</v>
      </c>
      <c r="F94" s="4">
        <v>4.3</v>
      </c>
      <c r="G94" s="14"/>
      <c r="H94" s="9"/>
    </row>
    <row r="95" spans="3:8" x14ac:dyDescent="0.25">
      <c r="C95" s="8"/>
      <c r="D95" s="2"/>
      <c r="E95" s="2" t="s">
        <v>5956</v>
      </c>
      <c r="F95" s="4">
        <v>10</v>
      </c>
      <c r="G95" s="14"/>
      <c r="H95" s="9"/>
    </row>
    <row r="96" spans="3:8" x14ac:dyDescent="0.25">
      <c r="C96" s="8"/>
      <c r="D96" s="2"/>
      <c r="E96" s="2"/>
      <c r="F96" s="4"/>
      <c r="G96" s="14"/>
      <c r="H96" s="9"/>
    </row>
    <row r="97" spans="3:8" x14ac:dyDescent="0.25">
      <c r="C97" s="19"/>
      <c r="D97" s="20"/>
      <c r="E97" s="20" t="s">
        <v>42</v>
      </c>
      <c r="F97" s="4"/>
      <c r="G97" s="14"/>
      <c r="H97" s="9"/>
    </row>
    <row r="98" spans="3:8" x14ac:dyDescent="0.25">
      <c r="C98" s="34"/>
      <c r="D98" s="42" t="s">
        <v>5972</v>
      </c>
      <c r="E98" s="68" t="s">
        <v>5865</v>
      </c>
      <c r="F98" s="14">
        <v>-2530</v>
      </c>
      <c r="G98" s="14"/>
      <c r="H98" s="9"/>
    </row>
    <row r="99" spans="3:8" x14ac:dyDescent="0.25">
      <c r="C99" s="34"/>
      <c r="D99" s="42" t="s">
        <v>3633</v>
      </c>
      <c r="E99" s="68" t="s">
        <v>5866</v>
      </c>
      <c r="F99" s="14">
        <v>-600</v>
      </c>
      <c r="G99" s="14"/>
      <c r="H99" s="9"/>
    </row>
    <row r="100" spans="3:8" x14ac:dyDescent="0.25">
      <c r="C100" s="34"/>
      <c r="D100" s="42"/>
      <c r="E100" s="68" t="s">
        <v>5932</v>
      </c>
      <c r="F100" s="14">
        <v>-2545</v>
      </c>
      <c r="G100" s="14"/>
      <c r="H100" s="9"/>
    </row>
    <row r="101" spans="3:8" x14ac:dyDescent="0.25">
      <c r="C101" s="34"/>
      <c r="D101" s="42"/>
      <c r="E101" s="68" t="s">
        <v>5933</v>
      </c>
      <c r="F101" s="14">
        <v>-8</v>
      </c>
      <c r="G101" s="14"/>
      <c r="H101" s="9"/>
    </row>
    <row r="102" spans="3:8" x14ac:dyDescent="0.25">
      <c r="C102" s="34"/>
      <c r="D102" s="42"/>
      <c r="E102" s="68" t="s">
        <v>5934</v>
      </c>
      <c r="F102" s="14">
        <v>-1292</v>
      </c>
      <c r="G102" s="14"/>
      <c r="H102" s="9"/>
    </row>
    <row r="103" spans="3:8" x14ac:dyDescent="0.25">
      <c r="C103" s="34"/>
      <c r="D103" s="42"/>
      <c r="E103" s="68"/>
      <c r="F103" s="14"/>
      <c r="G103" s="14"/>
      <c r="H103" s="9"/>
    </row>
    <row r="104" spans="3:8" x14ac:dyDescent="0.25">
      <c r="C104" s="34"/>
      <c r="D104" s="42"/>
      <c r="E104" s="68" t="s">
        <v>5919</v>
      </c>
      <c r="F104" s="14">
        <v>-100</v>
      </c>
      <c r="G104" s="14"/>
      <c r="H104" s="9"/>
    </row>
    <row r="105" spans="3:8" x14ac:dyDescent="0.25">
      <c r="C105" s="34"/>
      <c r="D105" s="42"/>
      <c r="E105" s="68" t="s">
        <v>5920</v>
      </c>
      <c r="F105" s="14">
        <v>-170</v>
      </c>
      <c r="G105" s="14"/>
      <c r="H105" s="9"/>
    </row>
    <row r="106" spans="3:8" x14ac:dyDescent="0.25">
      <c r="C106" s="34"/>
      <c r="D106" s="42"/>
      <c r="E106" s="68" t="s">
        <v>5921</v>
      </c>
      <c r="F106" s="14">
        <v>-488.2</v>
      </c>
      <c r="G106" s="14"/>
      <c r="H106" s="9"/>
    </row>
    <row r="107" spans="3:8" x14ac:dyDescent="0.25">
      <c r="C107" s="34"/>
      <c r="D107" s="42"/>
      <c r="E107" s="68" t="s">
        <v>5922</v>
      </c>
      <c r="F107" s="14">
        <v>-36</v>
      </c>
      <c r="G107" s="14"/>
      <c r="H107" s="9"/>
    </row>
    <row r="108" spans="3:8" x14ac:dyDescent="0.25">
      <c r="C108" s="34"/>
      <c r="D108" s="42"/>
      <c r="E108" s="68" t="s">
        <v>2671</v>
      </c>
      <c r="F108" s="14">
        <v>-2000</v>
      </c>
      <c r="G108" s="14"/>
      <c r="H108" s="9"/>
    </row>
    <row r="109" spans="3:8" x14ac:dyDescent="0.25">
      <c r="C109" s="34"/>
      <c r="D109" s="42"/>
      <c r="E109" s="68"/>
      <c r="F109" s="14"/>
      <c r="G109" s="14"/>
      <c r="H109" s="9"/>
    </row>
    <row r="110" spans="3:8" x14ac:dyDescent="0.25">
      <c r="C110" s="34"/>
      <c r="D110" s="42"/>
      <c r="E110" s="68" t="s">
        <v>5959</v>
      </c>
      <c r="F110" s="14">
        <v>-360</v>
      </c>
      <c r="G110" s="14"/>
      <c r="H110" s="9"/>
    </row>
    <row r="111" spans="3:8" x14ac:dyDescent="0.25">
      <c r="C111" s="34"/>
      <c r="D111" s="42"/>
      <c r="E111" s="68" t="s">
        <v>5960</v>
      </c>
      <c r="F111" s="14">
        <v>-240</v>
      </c>
      <c r="G111" s="14"/>
      <c r="H111" s="9"/>
    </row>
    <row r="112" spans="3:8" x14ac:dyDescent="0.25">
      <c r="C112" s="34"/>
      <c r="D112" s="42"/>
      <c r="E112" s="68" t="s">
        <v>5961</v>
      </c>
      <c r="F112" s="14">
        <v>-45</v>
      </c>
      <c r="G112" s="14"/>
      <c r="H112" s="9"/>
    </row>
    <row r="113" spans="3:8" x14ac:dyDescent="0.25">
      <c r="C113" s="34"/>
      <c r="D113" s="42"/>
      <c r="E113" s="68" t="s">
        <v>5962</v>
      </c>
      <c r="F113" s="14">
        <v>-500</v>
      </c>
      <c r="G113" s="14"/>
      <c r="H113" s="9"/>
    </row>
    <row r="114" spans="3:8" x14ac:dyDescent="0.25">
      <c r="C114" s="34"/>
      <c r="D114" s="42"/>
      <c r="E114" s="68" t="s">
        <v>5963</v>
      </c>
      <c r="F114" s="14">
        <v>-8.5</v>
      </c>
      <c r="G114" s="14"/>
      <c r="H114" s="9"/>
    </row>
    <row r="115" spans="3:8" x14ac:dyDescent="0.25">
      <c r="C115" s="34"/>
      <c r="D115" s="42"/>
      <c r="E115" s="68" t="s">
        <v>5964</v>
      </c>
      <c r="F115" s="14">
        <v>-310</v>
      </c>
      <c r="G115" s="14"/>
      <c r="H115" s="9"/>
    </row>
    <row r="116" spans="3:8" x14ac:dyDescent="0.25">
      <c r="C116" s="34"/>
      <c r="D116" s="42"/>
      <c r="E116" s="68" t="s">
        <v>5965</v>
      </c>
      <c r="F116" s="14">
        <v>-280</v>
      </c>
      <c r="G116" s="14"/>
      <c r="H116" s="9"/>
    </row>
    <row r="117" spans="3:8" x14ac:dyDescent="0.25">
      <c r="C117" s="34"/>
      <c r="D117" s="42"/>
      <c r="E117" s="68" t="s">
        <v>1486</v>
      </c>
      <c r="F117" s="14">
        <v>-420</v>
      </c>
      <c r="G117" s="14"/>
      <c r="H117" s="9"/>
    </row>
    <row r="118" spans="3:8" x14ac:dyDescent="0.25">
      <c r="C118" s="34"/>
      <c r="D118" s="42"/>
      <c r="E118" s="68" t="s">
        <v>5967</v>
      </c>
      <c r="F118" s="14">
        <v>-240</v>
      </c>
      <c r="G118" s="14"/>
      <c r="H118" s="9"/>
    </row>
    <row r="119" spans="3:8" x14ac:dyDescent="0.25">
      <c r="C119" s="34"/>
      <c r="D119" s="42"/>
      <c r="E119" s="68" t="s">
        <v>5968</v>
      </c>
      <c r="F119" s="14">
        <v>-180</v>
      </c>
      <c r="G119" s="14"/>
      <c r="H119" s="9"/>
    </row>
    <row r="120" spans="3:8" x14ac:dyDescent="0.25">
      <c r="C120" s="34"/>
      <c r="D120" s="42"/>
      <c r="E120" s="68" t="s">
        <v>490</v>
      </c>
      <c r="F120" s="14">
        <v>-420</v>
      </c>
      <c r="G120" s="14"/>
      <c r="H120" s="9"/>
    </row>
    <row r="121" spans="3:8" x14ac:dyDescent="0.25">
      <c r="C121" s="34"/>
      <c r="D121" s="42"/>
      <c r="E121" s="68" t="s">
        <v>3630</v>
      </c>
      <c r="F121" s="14">
        <v>-735</v>
      </c>
      <c r="G121" s="14"/>
      <c r="H121" s="9"/>
    </row>
    <row r="122" spans="3:8" x14ac:dyDescent="0.25">
      <c r="C122" s="34"/>
      <c r="D122" s="42"/>
      <c r="E122" s="68" t="s">
        <v>1491</v>
      </c>
      <c r="F122" s="14">
        <v>-250</v>
      </c>
      <c r="G122" s="14"/>
      <c r="H122" s="9"/>
    </row>
    <row r="123" spans="3:8" x14ac:dyDescent="0.25">
      <c r="C123" s="34"/>
      <c r="D123" s="42"/>
      <c r="E123" s="68" t="s">
        <v>766</v>
      </c>
      <c r="F123" s="14">
        <v>-450</v>
      </c>
      <c r="G123" s="14"/>
      <c r="H123" s="9"/>
    </row>
    <row r="124" spans="3:8" x14ac:dyDescent="0.25">
      <c r="C124" s="34"/>
      <c r="D124" s="42"/>
      <c r="E124" s="68" t="s">
        <v>2225</v>
      </c>
      <c r="F124" s="14">
        <v>-450</v>
      </c>
      <c r="G124" s="14"/>
      <c r="H124" s="9"/>
    </row>
    <row r="125" spans="3:8" x14ac:dyDescent="0.25">
      <c r="C125" s="34"/>
      <c r="D125" s="42"/>
      <c r="E125" s="68" t="s">
        <v>1553</v>
      </c>
      <c r="F125" s="14">
        <v>-450</v>
      </c>
      <c r="G125" s="14"/>
      <c r="H125" s="9"/>
    </row>
    <row r="126" spans="3:8" x14ac:dyDescent="0.25">
      <c r="C126" s="34"/>
      <c r="D126" s="42"/>
      <c r="E126" s="68" t="s">
        <v>1274</v>
      </c>
      <c r="F126" s="14">
        <v>-9882.7999999999993</v>
      </c>
      <c r="G126" s="14"/>
      <c r="H126" s="9"/>
    </row>
    <row r="127" spans="3:8" x14ac:dyDescent="0.25">
      <c r="C127" s="34"/>
      <c r="D127" s="42"/>
      <c r="E127" s="68"/>
      <c r="F127" s="14"/>
      <c r="G127" s="14"/>
      <c r="H127" s="9"/>
    </row>
    <row r="128" spans="3:8" x14ac:dyDescent="0.25">
      <c r="C128" s="34"/>
      <c r="D128" s="42"/>
      <c r="E128" s="68"/>
      <c r="F128" s="14"/>
      <c r="G128" s="14"/>
      <c r="H128" s="9"/>
    </row>
    <row r="129" spans="3:8" ht="15.75" thickBot="1" x14ac:dyDescent="0.3">
      <c r="C129" s="10"/>
      <c r="D129" s="11"/>
      <c r="E129" s="11" t="s">
        <v>44</v>
      </c>
      <c r="F129" s="12">
        <f>SUM(F6:F128)</f>
        <v>8738.760000000002</v>
      </c>
      <c r="G129" s="15">
        <f>SUM(G6:G128)</f>
        <v>19156.5</v>
      </c>
      <c r="H129" s="13">
        <f>SUM(H6:H128)</f>
        <v>1422</v>
      </c>
    </row>
    <row r="132" spans="3:8" s="3" customFormat="1" ht="18.75" x14ac:dyDescent="0.3">
      <c r="C132" s="1"/>
      <c r="D132" s="1"/>
      <c r="E132" s="38" t="s">
        <v>49</v>
      </c>
      <c r="F132" s="39">
        <f>+H4+F129</f>
        <v>11056.240000000002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59CB-E4B6-4D52-A5A9-1678F8FECF75}">
  <sheetPr codeName="Hoja68"/>
  <dimension ref="C2:H75"/>
  <sheetViews>
    <sheetView topLeftCell="B43" zoomScaleNormal="100" workbookViewId="0">
      <selection activeCell="F75" sqref="F75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5973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11056.24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5993</v>
      </c>
      <c r="E6" s="108" t="s">
        <v>5994</v>
      </c>
      <c r="F6" s="109">
        <v>50</v>
      </c>
      <c r="G6" s="26"/>
      <c r="H6" s="27"/>
    </row>
    <row r="7" spans="3:8" x14ac:dyDescent="0.25">
      <c r="C7" s="24"/>
      <c r="D7" s="43" t="s">
        <v>6004</v>
      </c>
      <c r="E7" s="110" t="s">
        <v>6007</v>
      </c>
      <c r="F7" s="109"/>
      <c r="G7" s="26"/>
      <c r="H7" s="27"/>
    </row>
    <row r="8" spans="3:8" x14ac:dyDescent="0.25">
      <c r="C8" s="24"/>
      <c r="D8" s="2" t="s">
        <v>6008</v>
      </c>
      <c r="E8" s="111" t="s">
        <v>6009</v>
      </c>
      <c r="F8" s="109">
        <v>550</v>
      </c>
      <c r="G8" s="26"/>
      <c r="H8" s="27"/>
    </row>
    <row r="9" spans="3:8" x14ac:dyDescent="0.25">
      <c r="C9" s="8"/>
      <c r="D9" s="2" t="s">
        <v>5974</v>
      </c>
      <c r="E9" s="2" t="s">
        <v>48</v>
      </c>
      <c r="F9" s="4">
        <v>95.4</v>
      </c>
      <c r="G9" s="14"/>
      <c r="H9" s="9"/>
    </row>
    <row r="10" spans="3:8" x14ac:dyDescent="0.25">
      <c r="C10" s="8"/>
      <c r="D10" s="2" t="s">
        <v>5975</v>
      </c>
      <c r="E10" s="2" t="s">
        <v>48</v>
      </c>
      <c r="F10" s="4">
        <v>33</v>
      </c>
      <c r="G10" s="14"/>
      <c r="H10" s="9"/>
    </row>
    <row r="11" spans="3:8" x14ac:dyDescent="0.25">
      <c r="C11" s="8"/>
      <c r="D11" s="2" t="s">
        <v>5976</v>
      </c>
      <c r="E11" s="2" t="s">
        <v>48</v>
      </c>
      <c r="F11" s="4">
        <v>37.5</v>
      </c>
      <c r="G11" s="14"/>
      <c r="H11" s="9"/>
    </row>
    <row r="12" spans="3:8" x14ac:dyDescent="0.25">
      <c r="C12" s="8"/>
      <c r="D12" s="2" t="s">
        <v>5977</v>
      </c>
      <c r="E12" s="2" t="s">
        <v>48</v>
      </c>
      <c r="F12" s="4"/>
      <c r="G12" s="14"/>
      <c r="H12" s="9">
        <v>18</v>
      </c>
    </row>
    <row r="13" spans="3:8" x14ac:dyDescent="0.25">
      <c r="C13" s="8"/>
      <c r="D13" s="2" t="s">
        <v>5978</v>
      </c>
      <c r="E13" s="2" t="s">
        <v>48</v>
      </c>
      <c r="F13" s="4">
        <v>3</v>
      </c>
      <c r="G13" s="14"/>
      <c r="H13" s="9"/>
    </row>
    <row r="14" spans="3:8" x14ac:dyDescent="0.25">
      <c r="C14" s="8"/>
      <c r="D14" s="2" t="s">
        <v>5979</v>
      </c>
      <c r="E14" s="2" t="s">
        <v>48</v>
      </c>
      <c r="F14" s="4">
        <v>9</v>
      </c>
      <c r="G14" s="14"/>
      <c r="H14" s="9"/>
    </row>
    <row r="15" spans="3:8" x14ac:dyDescent="0.25">
      <c r="C15" s="8"/>
      <c r="D15" s="2" t="s">
        <v>5980</v>
      </c>
      <c r="E15" s="2" t="s">
        <v>5995</v>
      </c>
      <c r="F15" s="4"/>
      <c r="G15" s="14"/>
      <c r="H15" s="9">
        <v>3560.3</v>
      </c>
    </row>
    <row r="16" spans="3:8" x14ac:dyDescent="0.25">
      <c r="C16" s="8"/>
      <c r="D16" s="2" t="s">
        <v>5981</v>
      </c>
      <c r="E16" s="2" t="s">
        <v>5996</v>
      </c>
      <c r="F16" s="4"/>
      <c r="G16" s="14"/>
      <c r="H16" s="9">
        <v>376.6</v>
      </c>
    </row>
    <row r="17" spans="3:8" x14ac:dyDescent="0.25">
      <c r="C17" s="8"/>
      <c r="D17" s="2" t="s">
        <v>5982</v>
      </c>
      <c r="E17" s="2" t="s">
        <v>48</v>
      </c>
      <c r="F17" s="4"/>
      <c r="G17" s="14"/>
      <c r="H17" s="9">
        <v>57</v>
      </c>
    </row>
    <row r="18" spans="3:8" x14ac:dyDescent="0.25">
      <c r="C18" s="8"/>
      <c r="D18" s="2" t="s">
        <v>5983</v>
      </c>
      <c r="E18" s="2" t="s">
        <v>48</v>
      </c>
      <c r="F18" s="4">
        <v>19.5</v>
      </c>
      <c r="G18" s="14"/>
      <c r="H18" s="9"/>
    </row>
    <row r="19" spans="3:8" x14ac:dyDescent="0.25">
      <c r="C19" s="8"/>
      <c r="D19" s="2" t="s">
        <v>5984</v>
      </c>
      <c r="E19" s="2" t="s">
        <v>48</v>
      </c>
      <c r="F19" s="4">
        <v>54</v>
      </c>
      <c r="G19" s="14"/>
      <c r="H19" s="9"/>
    </row>
    <row r="20" spans="3:8" x14ac:dyDescent="0.25">
      <c r="C20" s="8"/>
      <c r="D20" s="2" t="s">
        <v>5985</v>
      </c>
      <c r="E20" s="2" t="s">
        <v>48</v>
      </c>
      <c r="F20" s="4">
        <v>13.5</v>
      </c>
      <c r="G20" s="14"/>
      <c r="H20" s="9"/>
    </row>
    <row r="21" spans="3:8" x14ac:dyDescent="0.25">
      <c r="C21" s="8"/>
      <c r="D21" s="2" t="s">
        <v>5986</v>
      </c>
      <c r="E21" s="2" t="s">
        <v>48</v>
      </c>
      <c r="F21" s="4">
        <v>30</v>
      </c>
      <c r="G21" s="14"/>
      <c r="H21" s="9"/>
    </row>
    <row r="22" spans="3:8" x14ac:dyDescent="0.25">
      <c r="C22" s="8"/>
      <c r="D22" s="2" t="s">
        <v>5987</v>
      </c>
      <c r="E22" s="2" t="s">
        <v>48</v>
      </c>
      <c r="F22" s="4"/>
      <c r="G22" s="14"/>
      <c r="H22" s="9">
        <v>69</v>
      </c>
    </row>
    <row r="23" spans="3:8" x14ac:dyDescent="0.25">
      <c r="C23" s="8"/>
      <c r="D23" s="2" t="s">
        <v>5988</v>
      </c>
      <c r="E23" s="2" t="s">
        <v>48</v>
      </c>
      <c r="F23" s="4"/>
      <c r="G23" s="14"/>
      <c r="H23" s="9">
        <v>49</v>
      </c>
    </row>
    <row r="24" spans="3:8" x14ac:dyDescent="0.25">
      <c r="C24" s="8"/>
      <c r="D24" s="2" t="s">
        <v>5989</v>
      </c>
      <c r="E24" s="2" t="s">
        <v>48</v>
      </c>
      <c r="F24" s="4">
        <v>69</v>
      </c>
      <c r="G24" s="14"/>
      <c r="H24" s="9"/>
    </row>
    <row r="25" spans="3:8" x14ac:dyDescent="0.25">
      <c r="C25" s="8"/>
      <c r="D25" s="2" t="s">
        <v>5990</v>
      </c>
      <c r="E25" s="2" t="s">
        <v>5997</v>
      </c>
      <c r="F25" s="4">
        <v>99</v>
      </c>
      <c r="G25" s="14"/>
      <c r="H25" s="9"/>
    </row>
    <row r="26" spans="3:8" x14ac:dyDescent="0.25">
      <c r="C26" s="8"/>
      <c r="D26" s="2" t="s">
        <v>5991</v>
      </c>
      <c r="E26" s="2" t="s">
        <v>48</v>
      </c>
      <c r="F26" s="4">
        <v>20.5</v>
      </c>
      <c r="G26" s="14"/>
      <c r="H26" s="9"/>
    </row>
    <row r="27" spans="3:8" x14ac:dyDescent="0.25">
      <c r="C27" s="8"/>
      <c r="D27" s="2" t="s">
        <v>5992</v>
      </c>
      <c r="E27" s="2" t="s">
        <v>48</v>
      </c>
      <c r="F27" s="4">
        <v>3</v>
      </c>
      <c r="G27" s="14"/>
      <c r="H27" s="9"/>
    </row>
    <row r="28" spans="3:8" x14ac:dyDescent="0.25">
      <c r="C28" s="8"/>
      <c r="D28" s="2" t="s">
        <v>5998</v>
      </c>
      <c r="E28" s="2" t="s">
        <v>48</v>
      </c>
      <c r="F28" s="4"/>
      <c r="G28" s="14"/>
      <c r="H28" s="9">
        <v>30</v>
      </c>
    </row>
    <row r="29" spans="3:8" x14ac:dyDescent="0.25">
      <c r="C29" s="8"/>
      <c r="D29" s="2" t="s">
        <v>5999</v>
      </c>
      <c r="E29" s="2" t="s">
        <v>48</v>
      </c>
      <c r="F29" s="4"/>
      <c r="G29" s="14"/>
      <c r="H29" s="9">
        <v>10</v>
      </c>
    </row>
    <row r="30" spans="3:8" x14ac:dyDescent="0.25">
      <c r="C30" s="8"/>
      <c r="D30" s="2" t="s">
        <v>6000</v>
      </c>
      <c r="E30" s="2" t="s">
        <v>48</v>
      </c>
      <c r="F30" s="4">
        <v>7</v>
      </c>
      <c r="G30" s="14"/>
      <c r="H30" s="9"/>
    </row>
    <row r="31" spans="3:8" x14ac:dyDescent="0.25">
      <c r="C31" s="8"/>
      <c r="D31" s="2" t="s">
        <v>6001</v>
      </c>
      <c r="E31" s="2" t="s">
        <v>48</v>
      </c>
      <c r="F31" s="4">
        <v>142.5</v>
      </c>
      <c r="G31" s="14"/>
      <c r="H31" s="9">
        <v>60</v>
      </c>
    </row>
    <row r="32" spans="3:8" x14ac:dyDescent="0.25">
      <c r="C32" s="8"/>
      <c r="D32" s="2" t="s">
        <v>6002</v>
      </c>
      <c r="E32" s="2" t="s">
        <v>48</v>
      </c>
      <c r="F32" s="4">
        <v>8.5</v>
      </c>
      <c r="G32" s="14"/>
      <c r="H32" s="9"/>
    </row>
    <row r="33" spans="3:8" x14ac:dyDescent="0.25">
      <c r="C33" s="8"/>
      <c r="D33" s="2" t="s">
        <v>6003</v>
      </c>
      <c r="E33" s="2" t="s">
        <v>48</v>
      </c>
      <c r="F33" s="4">
        <v>15</v>
      </c>
      <c r="G33" s="14"/>
      <c r="H33" s="9"/>
    </row>
    <row r="34" spans="3:8" x14ac:dyDescent="0.25">
      <c r="C34" s="8"/>
      <c r="D34" s="2" t="s">
        <v>6010</v>
      </c>
      <c r="E34" s="2" t="s">
        <v>6021</v>
      </c>
      <c r="F34" s="4">
        <v>217</v>
      </c>
      <c r="G34" s="14"/>
      <c r="H34" s="9"/>
    </row>
    <row r="35" spans="3:8" x14ac:dyDescent="0.25">
      <c r="C35" s="8"/>
      <c r="D35" s="2" t="s">
        <v>6011</v>
      </c>
      <c r="E35" s="2" t="s">
        <v>48</v>
      </c>
      <c r="F35" s="4">
        <v>2.5</v>
      </c>
      <c r="G35" s="14"/>
      <c r="H35" s="9"/>
    </row>
    <row r="36" spans="3:8" x14ac:dyDescent="0.25">
      <c r="C36" s="8"/>
      <c r="D36" s="2" t="s">
        <v>6012</v>
      </c>
      <c r="E36" s="2" t="s">
        <v>6021</v>
      </c>
      <c r="F36" s="4">
        <v>69</v>
      </c>
      <c r="G36" s="14"/>
      <c r="H36" s="9"/>
    </row>
    <row r="37" spans="3:8" x14ac:dyDescent="0.25">
      <c r="C37" s="8"/>
      <c r="D37" s="2" t="s">
        <v>6013</v>
      </c>
      <c r="E37" s="2" t="s">
        <v>48</v>
      </c>
      <c r="F37" s="4">
        <v>10</v>
      </c>
      <c r="G37" s="14"/>
      <c r="H37" s="9"/>
    </row>
    <row r="38" spans="3:8" x14ac:dyDescent="0.25">
      <c r="C38" s="8"/>
      <c r="D38" s="2" t="s">
        <v>6014</v>
      </c>
      <c r="E38" s="2" t="s">
        <v>6020</v>
      </c>
      <c r="F38" s="4">
        <v>5000</v>
      </c>
      <c r="G38" s="14">
        <v>1114</v>
      </c>
      <c r="H38" s="9"/>
    </row>
    <row r="39" spans="3:8" x14ac:dyDescent="0.25">
      <c r="C39" s="8"/>
      <c r="D39" s="2" t="s">
        <v>6015</v>
      </c>
      <c r="E39" s="2" t="s">
        <v>48</v>
      </c>
      <c r="F39" s="4">
        <v>20</v>
      </c>
      <c r="G39" s="14"/>
      <c r="H39" s="9"/>
    </row>
    <row r="40" spans="3:8" x14ac:dyDescent="0.25">
      <c r="C40" s="8"/>
      <c r="D40" s="2" t="s">
        <v>6016</v>
      </c>
      <c r="E40" s="2" t="s">
        <v>48</v>
      </c>
      <c r="F40" s="4">
        <v>12.5</v>
      </c>
      <c r="G40" s="14"/>
      <c r="H40" s="9"/>
    </row>
    <row r="41" spans="3:8" x14ac:dyDescent="0.25">
      <c r="C41" s="8"/>
      <c r="D41" s="2" t="s">
        <v>6017</v>
      </c>
      <c r="E41" s="2" t="s">
        <v>48</v>
      </c>
      <c r="F41" s="4">
        <v>1.5</v>
      </c>
      <c r="G41" s="14"/>
      <c r="H41" s="9"/>
    </row>
    <row r="42" spans="3:8" x14ac:dyDescent="0.25">
      <c r="C42" s="8"/>
      <c r="D42" s="2" t="s">
        <v>6018</v>
      </c>
      <c r="E42" s="2" t="s">
        <v>48</v>
      </c>
      <c r="F42" s="4">
        <v>10</v>
      </c>
      <c r="G42" s="14"/>
      <c r="H42" s="9"/>
    </row>
    <row r="43" spans="3:8" x14ac:dyDescent="0.25">
      <c r="C43" s="8"/>
      <c r="D43" s="2" t="s">
        <v>6019</v>
      </c>
      <c r="E43" s="2" t="s">
        <v>48</v>
      </c>
      <c r="F43" s="4">
        <v>63</v>
      </c>
      <c r="G43" s="14"/>
      <c r="H43" s="9"/>
    </row>
    <row r="44" spans="3:8" x14ac:dyDescent="0.25">
      <c r="C44" s="8"/>
      <c r="D44" s="2" t="s">
        <v>6023</v>
      </c>
      <c r="E44" s="2" t="s">
        <v>48</v>
      </c>
      <c r="F44" s="4">
        <v>10</v>
      </c>
      <c r="G44" s="14"/>
      <c r="H44" s="9"/>
    </row>
    <row r="45" spans="3:8" x14ac:dyDescent="0.25">
      <c r="C45" s="8"/>
      <c r="D45" s="2" t="s">
        <v>6024</v>
      </c>
      <c r="E45" s="2" t="s">
        <v>48</v>
      </c>
      <c r="F45" s="4"/>
      <c r="G45" s="14"/>
      <c r="H45" s="9">
        <v>63.6</v>
      </c>
    </row>
    <row r="46" spans="3:8" x14ac:dyDescent="0.25">
      <c r="C46" s="8"/>
      <c r="D46" s="2" t="s">
        <v>6025</v>
      </c>
      <c r="E46" s="2" t="s">
        <v>48</v>
      </c>
      <c r="F46" s="4">
        <v>3</v>
      </c>
      <c r="G46" s="14"/>
      <c r="H46" s="9"/>
    </row>
    <row r="47" spans="3:8" x14ac:dyDescent="0.25">
      <c r="C47" s="8"/>
      <c r="D47" s="2" t="s">
        <v>6026</v>
      </c>
      <c r="E47" s="2" t="s">
        <v>48</v>
      </c>
      <c r="F47" s="4">
        <v>26.5</v>
      </c>
      <c r="G47" s="14"/>
      <c r="H47" s="9"/>
    </row>
    <row r="48" spans="3:8" x14ac:dyDescent="0.25">
      <c r="C48" s="8"/>
      <c r="D48" s="2" t="s">
        <v>6027</v>
      </c>
      <c r="E48" s="2" t="s">
        <v>48</v>
      </c>
      <c r="F48" s="4">
        <v>8</v>
      </c>
      <c r="G48" s="14"/>
      <c r="H48" s="9"/>
    </row>
    <row r="49" spans="3:8" x14ac:dyDescent="0.25">
      <c r="C49" s="8"/>
      <c r="D49" s="2" t="s">
        <v>6028</v>
      </c>
      <c r="E49" s="2" t="s">
        <v>48</v>
      </c>
      <c r="F49" s="4">
        <v>17</v>
      </c>
      <c r="G49" s="14"/>
      <c r="H49" s="9"/>
    </row>
    <row r="50" spans="3:8" x14ac:dyDescent="0.25">
      <c r="C50" s="8"/>
      <c r="D50" s="2" t="s">
        <v>6063</v>
      </c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/>
      <c r="E52" s="40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29"/>
      <c r="D54" s="30"/>
      <c r="E54" s="30" t="s">
        <v>60</v>
      </c>
      <c r="F54" s="4"/>
      <c r="G54" s="14"/>
      <c r="H54" s="9"/>
    </row>
    <row r="55" spans="3:8" x14ac:dyDescent="0.25">
      <c r="C55" s="8"/>
      <c r="D55" s="45" t="s">
        <v>6006</v>
      </c>
      <c r="E55" s="68" t="s">
        <v>6005</v>
      </c>
      <c r="F55" s="4"/>
      <c r="G55" s="14"/>
      <c r="H55" s="9">
        <v>100</v>
      </c>
    </row>
    <row r="56" spans="3:8" x14ac:dyDescent="0.25">
      <c r="C56" s="8"/>
      <c r="D56" s="45"/>
      <c r="E56" s="68"/>
      <c r="F56" s="4"/>
      <c r="G56" s="14"/>
      <c r="H56" s="9"/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45"/>
      <c r="E58" s="68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16"/>
      <c r="D60" s="17"/>
      <c r="E60" s="17" t="s">
        <v>39</v>
      </c>
      <c r="F60" s="4"/>
      <c r="G60" s="14"/>
      <c r="H60" s="9"/>
    </row>
    <row r="61" spans="3:8" x14ac:dyDescent="0.25">
      <c r="C61" s="8"/>
      <c r="D61" s="2"/>
      <c r="E61" s="2" t="s">
        <v>402</v>
      </c>
      <c r="F61" s="4">
        <v>3</v>
      </c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19"/>
      <c r="D64" s="20"/>
      <c r="E64" s="20" t="s">
        <v>42</v>
      </c>
      <c r="F64" s="4"/>
      <c r="G64" s="14"/>
      <c r="H64" s="9"/>
    </row>
    <row r="65" spans="3:8" x14ac:dyDescent="0.25">
      <c r="C65" s="34"/>
      <c r="D65" s="42"/>
      <c r="E65" s="68" t="s">
        <v>735</v>
      </c>
      <c r="F65" s="14">
        <v>-100</v>
      </c>
      <c r="G65" s="14"/>
      <c r="H65" s="9"/>
    </row>
    <row r="66" spans="3:8" x14ac:dyDescent="0.25">
      <c r="C66" s="34"/>
      <c r="D66" s="42"/>
      <c r="E66" s="68" t="s">
        <v>6022</v>
      </c>
      <c r="F66" s="14">
        <v>-200</v>
      </c>
      <c r="G66" s="14"/>
      <c r="H66" s="9"/>
    </row>
    <row r="67" spans="3:8" x14ac:dyDescent="0.25">
      <c r="C67" s="34"/>
      <c r="D67" s="42"/>
      <c r="E67" s="68" t="s">
        <v>3858</v>
      </c>
      <c r="F67" s="14">
        <v>-190</v>
      </c>
      <c r="G67" s="14"/>
      <c r="H67" s="9"/>
    </row>
    <row r="68" spans="3:8" x14ac:dyDescent="0.25">
      <c r="C68" s="34"/>
      <c r="D68" s="42"/>
      <c r="E68" s="68" t="s">
        <v>1553</v>
      </c>
      <c r="F68" s="14">
        <v>-40</v>
      </c>
      <c r="G68" s="14"/>
      <c r="H68" s="9"/>
    </row>
    <row r="69" spans="3:8" x14ac:dyDescent="0.25">
      <c r="C69" s="34"/>
      <c r="D69" s="42"/>
      <c r="E69" s="68"/>
      <c r="F69" s="14"/>
      <c r="G69" s="14"/>
      <c r="H69" s="9"/>
    </row>
    <row r="70" spans="3:8" x14ac:dyDescent="0.25">
      <c r="C70" s="34"/>
      <c r="D70" s="42"/>
      <c r="E70" s="68"/>
      <c r="F70" s="14"/>
      <c r="G70" s="14"/>
      <c r="H70" s="9"/>
    </row>
    <row r="71" spans="3:8" x14ac:dyDescent="0.25">
      <c r="C71" s="34"/>
      <c r="D71" s="42"/>
      <c r="E71" s="68"/>
      <c r="F71" s="14"/>
      <c r="G71" s="14"/>
      <c r="H71" s="9"/>
    </row>
    <row r="72" spans="3:8" ht="15.75" thickBot="1" x14ac:dyDescent="0.3">
      <c r="C72" s="10"/>
      <c r="D72" s="11"/>
      <c r="E72" s="11" t="s">
        <v>44</v>
      </c>
      <c r="F72" s="12">
        <f>SUM(F6:F71)</f>
        <v>6202.4</v>
      </c>
      <c r="G72" s="15">
        <f>SUM(G9:G71)</f>
        <v>1114</v>
      </c>
      <c r="H72" s="13">
        <f>SUM(H9:H71)</f>
        <v>4393.5</v>
      </c>
    </row>
    <row r="75" spans="3:8" s="3" customFormat="1" ht="18.75" x14ac:dyDescent="0.3">
      <c r="C75" s="1"/>
      <c r="D75" s="1"/>
      <c r="E75" s="38" t="s">
        <v>49</v>
      </c>
      <c r="F75" s="39">
        <f>+H4+F72</f>
        <v>17258.64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DAC2-CFBB-47F8-B49B-EAFB487D8BCC}">
  <sheetPr codeName="Hoja69"/>
  <dimension ref="C2:H106"/>
  <sheetViews>
    <sheetView topLeftCell="B69" zoomScaleNormal="100" workbookViewId="0">
      <selection activeCell="L96" sqref="L96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6029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17258.64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6030</v>
      </c>
      <c r="E6" s="2" t="s">
        <v>5918</v>
      </c>
      <c r="F6" s="109">
        <v>59</v>
      </c>
      <c r="G6" s="113"/>
      <c r="H6" s="112"/>
    </row>
    <row r="7" spans="3:8" x14ac:dyDescent="0.25">
      <c r="C7" s="24"/>
      <c r="D7" s="2" t="s">
        <v>6031</v>
      </c>
      <c r="E7" s="2" t="s">
        <v>5918</v>
      </c>
      <c r="F7" s="109"/>
      <c r="G7" s="113"/>
      <c r="H7" s="112">
        <v>20</v>
      </c>
    </row>
    <row r="8" spans="3:8" x14ac:dyDescent="0.25">
      <c r="C8" s="24"/>
      <c r="D8" s="2" t="s">
        <v>6032</v>
      </c>
      <c r="E8" s="111" t="s">
        <v>3391</v>
      </c>
      <c r="F8" s="109"/>
      <c r="G8" s="113">
        <v>13.5</v>
      </c>
      <c r="H8" s="112"/>
    </row>
    <row r="9" spans="3:8" x14ac:dyDescent="0.25">
      <c r="C9" s="8"/>
      <c r="D9" s="2" t="s">
        <v>6033</v>
      </c>
      <c r="E9" s="2" t="s">
        <v>6062</v>
      </c>
      <c r="F9" s="4">
        <v>550</v>
      </c>
      <c r="G9" s="14"/>
      <c r="H9" s="9">
        <v>103</v>
      </c>
    </row>
    <row r="10" spans="3:8" x14ac:dyDescent="0.25">
      <c r="C10" s="8"/>
      <c r="D10" s="2" t="s">
        <v>6034</v>
      </c>
      <c r="E10" s="2" t="s">
        <v>5918</v>
      </c>
      <c r="F10" s="4">
        <v>6</v>
      </c>
      <c r="G10" s="14"/>
      <c r="H10" s="9"/>
    </row>
    <row r="11" spans="3:8" x14ac:dyDescent="0.25">
      <c r="C11" s="8"/>
      <c r="D11" s="2" t="s">
        <v>6035</v>
      </c>
      <c r="E11" s="2" t="s">
        <v>5918</v>
      </c>
      <c r="F11" s="4"/>
      <c r="G11" s="14"/>
      <c r="H11" s="9">
        <v>6</v>
      </c>
    </row>
    <row r="12" spans="3:8" x14ac:dyDescent="0.25">
      <c r="C12" s="8"/>
      <c r="D12" s="2" t="s">
        <v>6036</v>
      </c>
      <c r="E12" s="2" t="s">
        <v>5918</v>
      </c>
      <c r="F12" s="4">
        <v>4.5</v>
      </c>
      <c r="G12" s="14"/>
      <c r="H12" s="9"/>
    </row>
    <row r="13" spans="3:8" x14ac:dyDescent="0.25">
      <c r="C13" s="8"/>
      <c r="D13" s="2" t="s">
        <v>6037</v>
      </c>
      <c r="E13" s="2" t="s">
        <v>5918</v>
      </c>
      <c r="F13" s="4">
        <v>13</v>
      </c>
      <c r="G13" s="14"/>
      <c r="H13" s="9"/>
    </row>
    <row r="14" spans="3:8" x14ac:dyDescent="0.25">
      <c r="C14" s="8"/>
      <c r="D14" s="2" t="s">
        <v>6038</v>
      </c>
      <c r="E14" s="2" t="s">
        <v>6061</v>
      </c>
      <c r="F14" s="4">
        <v>200</v>
      </c>
      <c r="G14" s="14"/>
      <c r="H14" s="9">
        <v>280</v>
      </c>
    </row>
    <row r="15" spans="3:8" x14ac:dyDescent="0.25">
      <c r="C15" s="8"/>
      <c r="D15" s="2" t="s">
        <v>6039</v>
      </c>
      <c r="E15" s="2" t="s">
        <v>6060</v>
      </c>
      <c r="F15" s="4"/>
      <c r="G15" s="14"/>
      <c r="H15" s="9">
        <v>387.6</v>
      </c>
    </row>
    <row r="16" spans="3:8" x14ac:dyDescent="0.25">
      <c r="C16" s="8"/>
      <c r="D16" s="2" t="s">
        <v>6040</v>
      </c>
      <c r="E16" s="2" t="s">
        <v>5918</v>
      </c>
      <c r="F16" s="4">
        <v>123</v>
      </c>
      <c r="G16" s="14"/>
      <c r="H16" s="9"/>
    </row>
    <row r="17" spans="3:8" x14ac:dyDescent="0.25">
      <c r="C17" s="8"/>
      <c r="D17" s="2" t="s">
        <v>6041</v>
      </c>
      <c r="E17" s="2" t="s">
        <v>6059</v>
      </c>
      <c r="F17" s="4"/>
      <c r="G17" s="14"/>
      <c r="H17" s="9">
        <v>126</v>
      </c>
    </row>
    <row r="18" spans="3:8" x14ac:dyDescent="0.25">
      <c r="C18" s="8"/>
      <c r="D18" s="2" t="s">
        <v>6042</v>
      </c>
      <c r="E18" s="2" t="s">
        <v>5918</v>
      </c>
      <c r="F18" s="4">
        <v>4</v>
      </c>
      <c r="G18" s="14"/>
      <c r="H18" s="9"/>
    </row>
    <row r="19" spans="3:8" x14ac:dyDescent="0.25">
      <c r="C19" s="8"/>
      <c r="D19" s="2" t="s">
        <v>6043</v>
      </c>
      <c r="E19" s="2" t="s">
        <v>5918</v>
      </c>
      <c r="F19" s="4">
        <v>22</v>
      </c>
      <c r="G19" s="14"/>
      <c r="H19" s="9"/>
    </row>
    <row r="20" spans="3:8" x14ac:dyDescent="0.25">
      <c r="C20" s="8"/>
      <c r="D20" s="2" t="s">
        <v>6044</v>
      </c>
      <c r="E20" s="2" t="s">
        <v>5918</v>
      </c>
      <c r="F20" s="4"/>
      <c r="G20" s="14"/>
      <c r="H20" s="9">
        <v>19</v>
      </c>
    </row>
    <row r="21" spans="3:8" x14ac:dyDescent="0.25">
      <c r="C21" s="8"/>
      <c r="D21" s="2" t="s">
        <v>6045</v>
      </c>
      <c r="E21" s="2" t="s">
        <v>5918</v>
      </c>
      <c r="F21" s="4"/>
      <c r="G21" s="14"/>
      <c r="H21" s="9">
        <v>20</v>
      </c>
    </row>
    <row r="22" spans="3:8" x14ac:dyDescent="0.25">
      <c r="C22" s="8"/>
      <c r="D22" s="2" t="s">
        <v>6046</v>
      </c>
      <c r="E22" s="2" t="s">
        <v>5918</v>
      </c>
      <c r="F22" s="4">
        <v>8</v>
      </c>
      <c r="G22" s="14"/>
      <c r="H22" s="9"/>
    </row>
    <row r="23" spans="3:8" x14ac:dyDescent="0.25">
      <c r="C23" s="8"/>
      <c r="D23" s="2" t="s">
        <v>6047</v>
      </c>
      <c r="E23" s="2" t="s">
        <v>5918</v>
      </c>
      <c r="F23" s="4"/>
      <c r="G23" s="14"/>
      <c r="H23" s="9">
        <v>48.6</v>
      </c>
    </row>
    <row r="24" spans="3:8" x14ac:dyDescent="0.25">
      <c r="C24" s="8"/>
      <c r="D24" s="2" t="s">
        <v>6048</v>
      </c>
      <c r="E24" s="2" t="s">
        <v>5918</v>
      </c>
      <c r="F24" s="4">
        <v>2</v>
      </c>
      <c r="G24" s="14"/>
      <c r="H24" s="9"/>
    </row>
    <row r="25" spans="3:8" x14ac:dyDescent="0.25">
      <c r="C25" s="8"/>
      <c r="D25" s="2" t="s">
        <v>6049</v>
      </c>
      <c r="E25" s="2" t="s">
        <v>5918</v>
      </c>
      <c r="F25" s="4">
        <v>15</v>
      </c>
      <c r="G25" s="14"/>
      <c r="H25" s="9"/>
    </row>
    <row r="26" spans="3:8" x14ac:dyDescent="0.25">
      <c r="C26" s="8"/>
      <c r="D26" s="2" t="s">
        <v>6050</v>
      </c>
      <c r="E26" s="2" t="s">
        <v>5918</v>
      </c>
      <c r="F26" s="4">
        <v>9.5</v>
      </c>
      <c r="G26" s="14"/>
      <c r="H26" s="9"/>
    </row>
    <row r="27" spans="3:8" x14ac:dyDescent="0.25">
      <c r="C27" s="8"/>
      <c r="D27" s="2" t="s">
        <v>6051</v>
      </c>
      <c r="E27" s="2" t="s">
        <v>6055</v>
      </c>
      <c r="F27" s="4"/>
      <c r="G27" s="14">
        <v>1904.5</v>
      </c>
      <c r="H27" s="9"/>
    </row>
    <row r="28" spans="3:8" x14ac:dyDescent="0.25">
      <c r="C28" s="8"/>
      <c r="D28" s="2" t="s">
        <v>6056</v>
      </c>
      <c r="E28" s="2" t="s">
        <v>5918</v>
      </c>
      <c r="F28" s="4">
        <v>22</v>
      </c>
      <c r="G28" s="14"/>
      <c r="H28" s="9"/>
    </row>
    <row r="29" spans="3:8" x14ac:dyDescent="0.25">
      <c r="C29" s="8"/>
      <c r="D29" s="2" t="s">
        <v>6057</v>
      </c>
      <c r="E29" s="2" t="s">
        <v>5918</v>
      </c>
      <c r="F29" s="4">
        <v>7</v>
      </c>
      <c r="G29" s="14"/>
      <c r="H29" s="9"/>
    </row>
    <row r="30" spans="3:8" x14ac:dyDescent="0.25">
      <c r="C30" s="8"/>
      <c r="D30" s="2" t="s">
        <v>6058</v>
      </c>
      <c r="E30" s="2" t="s">
        <v>5918</v>
      </c>
      <c r="F30" s="4">
        <v>32</v>
      </c>
      <c r="G30" s="14"/>
      <c r="H30" s="9"/>
    </row>
    <row r="31" spans="3:8" x14ac:dyDescent="0.25">
      <c r="C31" s="8"/>
      <c r="D31" s="2" t="s">
        <v>6079</v>
      </c>
      <c r="E31" s="2" t="s">
        <v>5918</v>
      </c>
      <c r="F31" s="4">
        <v>4.5</v>
      </c>
      <c r="G31" s="14"/>
      <c r="H31" s="9"/>
    </row>
    <row r="32" spans="3:8" x14ac:dyDescent="0.25">
      <c r="C32" s="8"/>
      <c r="D32" s="2" t="s">
        <v>6107</v>
      </c>
      <c r="E32" s="2" t="s">
        <v>5918</v>
      </c>
      <c r="F32" s="4">
        <v>1.5</v>
      </c>
      <c r="G32" s="14"/>
      <c r="H32" s="9"/>
    </row>
    <row r="33" spans="3:8" x14ac:dyDescent="0.25">
      <c r="C33" s="8"/>
      <c r="D33" s="2" t="s">
        <v>6108</v>
      </c>
      <c r="E33" s="2" t="s">
        <v>5918</v>
      </c>
      <c r="F33" s="4"/>
      <c r="G33" s="14"/>
      <c r="H33" s="9">
        <v>8</v>
      </c>
    </row>
    <row r="34" spans="3:8" x14ac:dyDescent="0.25">
      <c r="C34" s="8"/>
      <c r="D34" s="2" t="s">
        <v>6109</v>
      </c>
      <c r="E34" s="2" t="s">
        <v>5918</v>
      </c>
      <c r="F34" s="4"/>
      <c r="G34" s="14"/>
      <c r="H34" s="9">
        <v>5</v>
      </c>
    </row>
    <row r="35" spans="3:8" x14ac:dyDescent="0.25">
      <c r="C35" s="8"/>
      <c r="D35" s="2" t="s">
        <v>6110</v>
      </c>
      <c r="E35" s="2" t="s">
        <v>266</v>
      </c>
      <c r="F35" s="4"/>
      <c r="G35" s="14">
        <v>245</v>
      </c>
      <c r="H35" s="9"/>
    </row>
    <row r="36" spans="3:8" x14ac:dyDescent="0.25">
      <c r="C36" s="8"/>
      <c r="D36" s="2" t="s">
        <v>6117</v>
      </c>
      <c r="E36" s="2" t="s">
        <v>6120</v>
      </c>
      <c r="F36" s="4">
        <v>5805</v>
      </c>
      <c r="G36" s="14"/>
      <c r="H36" s="9">
        <v>4500</v>
      </c>
    </row>
    <row r="37" spans="3:8" x14ac:dyDescent="0.25">
      <c r="C37" s="8"/>
      <c r="D37" s="2" t="s">
        <v>6118</v>
      </c>
      <c r="E37" s="2" t="s">
        <v>5163</v>
      </c>
      <c r="F37" s="4"/>
      <c r="G37" s="14"/>
      <c r="H37" s="9">
        <v>6120.8</v>
      </c>
    </row>
    <row r="38" spans="3:8" x14ac:dyDescent="0.25">
      <c r="C38" s="8"/>
      <c r="D38" s="2" t="s">
        <v>6119</v>
      </c>
      <c r="E38" s="2" t="s">
        <v>6121</v>
      </c>
      <c r="F38" s="4"/>
      <c r="G38" s="14"/>
      <c r="H38" s="9">
        <v>623</v>
      </c>
    </row>
    <row r="39" spans="3:8" x14ac:dyDescent="0.25">
      <c r="C39" s="8"/>
      <c r="D39" s="2" t="s">
        <v>6129</v>
      </c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 t="s">
        <v>6063</v>
      </c>
      <c r="E41" s="2" t="s">
        <v>6020</v>
      </c>
      <c r="F41" s="4"/>
      <c r="G41" s="14">
        <v>13</v>
      </c>
      <c r="H41" s="9"/>
    </row>
    <row r="42" spans="3:8" x14ac:dyDescent="0.25">
      <c r="C42" s="8"/>
      <c r="D42" s="2" t="s">
        <v>6064</v>
      </c>
      <c r="E42" s="2" t="s">
        <v>6091</v>
      </c>
      <c r="F42" s="4"/>
      <c r="G42" s="14"/>
      <c r="H42" s="9">
        <v>4567</v>
      </c>
    </row>
    <row r="43" spans="3:8" x14ac:dyDescent="0.25">
      <c r="C43" s="8"/>
      <c r="D43" s="2" t="s">
        <v>6065</v>
      </c>
      <c r="E43" s="2" t="s">
        <v>6090</v>
      </c>
      <c r="F43" s="4"/>
      <c r="G43" s="14"/>
      <c r="H43" s="9">
        <v>699</v>
      </c>
    </row>
    <row r="44" spans="3:8" x14ac:dyDescent="0.25">
      <c r="C44" s="8"/>
      <c r="D44" s="2" t="s">
        <v>6066</v>
      </c>
      <c r="E44" s="2" t="s">
        <v>6092</v>
      </c>
      <c r="F44" s="4">
        <v>8</v>
      </c>
      <c r="G44" s="14"/>
      <c r="H44" s="9"/>
    </row>
    <row r="45" spans="3:8" x14ac:dyDescent="0.25">
      <c r="C45" s="8"/>
      <c r="D45" s="2" t="s">
        <v>6067</v>
      </c>
      <c r="E45" s="2" t="s">
        <v>2919</v>
      </c>
      <c r="F45" s="4"/>
      <c r="G45" s="14">
        <v>180</v>
      </c>
      <c r="H45" s="9"/>
    </row>
    <row r="46" spans="3:8" x14ac:dyDescent="0.25">
      <c r="C46" s="8"/>
      <c r="D46" s="2" t="s">
        <v>6068</v>
      </c>
      <c r="E46" s="2" t="s">
        <v>6089</v>
      </c>
      <c r="F46" s="4">
        <v>318</v>
      </c>
      <c r="G46" s="14"/>
      <c r="H46" s="9"/>
    </row>
    <row r="47" spans="3:8" x14ac:dyDescent="0.25">
      <c r="C47" s="8"/>
      <c r="D47" s="2" t="s">
        <v>6069</v>
      </c>
      <c r="E47" s="2" t="s">
        <v>6092</v>
      </c>
      <c r="F47" s="4">
        <v>4</v>
      </c>
      <c r="G47" s="14"/>
      <c r="H47" s="9"/>
    </row>
    <row r="48" spans="3:8" x14ac:dyDescent="0.25">
      <c r="C48" s="8"/>
      <c r="D48" s="2" t="s">
        <v>6070</v>
      </c>
      <c r="E48" s="2" t="s">
        <v>6088</v>
      </c>
      <c r="F48" s="4"/>
      <c r="G48" s="14"/>
      <c r="H48" s="9">
        <v>113.5</v>
      </c>
    </row>
    <row r="49" spans="3:8" x14ac:dyDescent="0.25">
      <c r="C49" s="8"/>
      <c r="D49" s="2" t="s">
        <v>6071</v>
      </c>
      <c r="E49" s="2" t="s">
        <v>6087</v>
      </c>
      <c r="F49" s="4"/>
      <c r="G49" s="14"/>
      <c r="H49" s="9">
        <v>5840.5</v>
      </c>
    </row>
    <row r="50" spans="3:8" x14ac:dyDescent="0.25">
      <c r="C50" s="8"/>
      <c r="D50" s="2" t="s">
        <v>6072</v>
      </c>
      <c r="E50" s="2" t="s">
        <v>6086</v>
      </c>
      <c r="F50" s="4">
        <v>208</v>
      </c>
      <c r="G50" s="14"/>
      <c r="H50" s="9">
        <v>50</v>
      </c>
    </row>
    <row r="51" spans="3:8" x14ac:dyDescent="0.25">
      <c r="C51" s="8"/>
      <c r="D51" s="2" t="s">
        <v>6073</v>
      </c>
      <c r="E51" s="2" t="s">
        <v>6092</v>
      </c>
      <c r="F51" s="4"/>
      <c r="G51" s="14"/>
      <c r="H51" s="9">
        <v>10</v>
      </c>
    </row>
    <row r="52" spans="3:8" x14ac:dyDescent="0.25">
      <c r="C52" s="8"/>
      <c r="D52" s="2" t="s">
        <v>6074</v>
      </c>
      <c r="E52" s="2" t="s">
        <v>6085</v>
      </c>
      <c r="F52" s="4"/>
      <c r="G52" s="14"/>
      <c r="H52" s="9">
        <v>31</v>
      </c>
    </row>
    <row r="53" spans="3:8" x14ac:dyDescent="0.25">
      <c r="C53" s="8"/>
      <c r="D53" s="2" t="s">
        <v>6075</v>
      </c>
      <c r="E53" s="2" t="s">
        <v>6092</v>
      </c>
      <c r="F53" s="4">
        <v>3</v>
      </c>
      <c r="G53" s="14"/>
      <c r="H53" s="9"/>
    </row>
    <row r="54" spans="3:8" x14ac:dyDescent="0.25">
      <c r="C54" s="8"/>
      <c r="D54" s="2" t="s">
        <v>6076</v>
      </c>
      <c r="E54" s="2" t="s">
        <v>6092</v>
      </c>
      <c r="F54" s="4">
        <v>10</v>
      </c>
      <c r="G54" s="14"/>
      <c r="H54" s="9"/>
    </row>
    <row r="55" spans="3:8" x14ac:dyDescent="0.25">
      <c r="C55" s="8"/>
      <c r="D55" s="2" t="s">
        <v>6077</v>
      </c>
      <c r="E55" s="2" t="s">
        <v>6092</v>
      </c>
      <c r="F55" s="4">
        <v>10</v>
      </c>
      <c r="G55" s="14"/>
      <c r="H55" s="9"/>
    </row>
    <row r="56" spans="3:8" x14ac:dyDescent="0.25">
      <c r="C56" s="8"/>
      <c r="D56" s="2" t="s">
        <v>6078</v>
      </c>
      <c r="E56" s="2" t="s">
        <v>6092</v>
      </c>
      <c r="F56" s="4">
        <v>4.5</v>
      </c>
      <c r="G56" s="14"/>
      <c r="H56" s="9"/>
    </row>
    <row r="57" spans="3:8" x14ac:dyDescent="0.25">
      <c r="C57" s="8"/>
      <c r="D57" s="2" t="s">
        <v>6080</v>
      </c>
      <c r="E57" s="2" t="s">
        <v>5744</v>
      </c>
      <c r="F57" s="4"/>
      <c r="G57" s="14">
        <v>1980</v>
      </c>
      <c r="H57" s="9"/>
    </row>
    <row r="58" spans="3:8" x14ac:dyDescent="0.25">
      <c r="C58" s="8"/>
      <c r="D58" s="2" t="s">
        <v>6081</v>
      </c>
      <c r="E58" s="2" t="s">
        <v>6092</v>
      </c>
      <c r="F58" s="4"/>
      <c r="G58" s="14"/>
      <c r="H58" s="9">
        <v>4.5</v>
      </c>
    </row>
    <row r="59" spans="3:8" x14ac:dyDescent="0.25">
      <c r="C59" s="8"/>
      <c r="D59" s="2" t="s">
        <v>6082</v>
      </c>
      <c r="E59" s="2" t="s">
        <v>6092</v>
      </c>
      <c r="F59" s="4"/>
      <c r="G59" s="14"/>
      <c r="H59" s="9">
        <v>3</v>
      </c>
    </row>
    <row r="60" spans="3:8" x14ac:dyDescent="0.25">
      <c r="C60" s="8"/>
      <c r="D60" s="2" t="s">
        <v>6083</v>
      </c>
      <c r="E60" s="2" t="s">
        <v>6092</v>
      </c>
      <c r="F60" s="4">
        <v>12</v>
      </c>
      <c r="G60" s="14"/>
      <c r="H60" s="9"/>
    </row>
    <row r="61" spans="3:8" x14ac:dyDescent="0.25">
      <c r="C61" s="8"/>
      <c r="D61" s="2" t="s">
        <v>6084</v>
      </c>
      <c r="E61" s="2" t="s">
        <v>6092</v>
      </c>
      <c r="F61" s="4"/>
      <c r="G61" s="14"/>
      <c r="H61" s="9">
        <v>3</v>
      </c>
    </row>
    <row r="62" spans="3:8" x14ac:dyDescent="0.25">
      <c r="C62" s="8"/>
      <c r="D62" s="2" t="s">
        <v>6113</v>
      </c>
      <c r="E62" s="2" t="s">
        <v>6116</v>
      </c>
      <c r="F62" s="4"/>
      <c r="G62" s="14"/>
      <c r="H62" s="9">
        <v>87</v>
      </c>
    </row>
    <row r="63" spans="3:8" x14ac:dyDescent="0.25">
      <c r="C63" s="8"/>
      <c r="D63" s="2" t="s">
        <v>6114</v>
      </c>
      <c r="E63" s="2" t="s">
        <v>6092</v>
      </c>
      <c r="F63" s="4">
        <v>5</v>
      </c>
      <c r="G63" s="14"/>
      <c r="H63" s="9"/>
    </row>
    <row r="64" spans="3:8" x14ac:dyDescent="0.25">
      <c r="C64" s="8"/>
      <c r="D64" s="2" t="s">
        <v>6115</v>
      </c>
      <c r="E64" s="2" t="s">
        <v>5081</v>
      </c>
      <c r="F64" s="4">
        <v>61.2</v>
      </c>
      <c r="G64" s="14"/>
      <c r="H64" s="9"/>
    </row>
    <row r="65" spans="3:8" x14ac:dyDescent="0.25">
      <c r="C65" s="8"/>
      <c r="D65" s="2" t="s">
        <v>6148</v>
      </c>
      <c r="E65" s="2"/>
      <c r="F65" s="4"/>
      <c r="G65" s="14"/>
      <c r="H65" s="9"/>
    </row>
    <row r="66" spans="3:8" x14ac:dyDescent="0.25">
      <c r="C66" s="8"/>
      <c r="D66" s="2"/>
      <c r="E66" s="40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29"/>
      <c r="D68" s="30"/>
      <c r="E68" s="30" t="s">
        <v>60</v>
      </c>
      <c r="F68" s="4"/>
      <c r="G68" s="14"/>
      <c r="H68" s="9"/>
    </row>
    <row r="69" spans="3:8" x14ac:dyDescent="0.25">
      <c r="C69" s="8"/>
      <c r="D69" s="45" t="s">
        <v>6053</v>
      </c>
      <c r="E69" s="68" t="s">
        <v>6052</v>
      </c>
      <c r="F69" s="4"/>
      <c r="G69" s="14"/>
      <c r="H69" s="9">
        <v>19</v>
      </c>
    </row>
    <row r="70" spans="3:8" x14ac:dyDescent="0.25">
      <c r="C70" s="8"/>
      <c r="D70" s="45"/>
      <c r="E70" s="68"/>
      <c r="F70" s="4"/>
      <c r="G70" s="14"/>
      <c r="H70" s="9"/>
    </row>
    <row r="71" spans="3:8" x14ac:dyDescent="0.25">
      <c r="C71" s="8"/>
      <c r="D71" s="45"/>
      <c r="E71" s="68"/>
      <c r="F71" s="4"/>
      <c r="G71" s="14"/>
      <c r="H71" s="9"/>
    </row>
    <row r="72" spans="3:8" x14ac:dyDescent="0.25">
      <c r="C72" s="8"/>
      <c r="D72" s="45"/>
      <c r="E72" s="68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16"/>
      <c r="D74" s="17"/>
      <c r="E74" s="17" t="s">
        <v>39</v>
      </c>
      <c r="F74" s="4"/>
      <c r="G74" s="14"/>
      <c r="H74" s="9"/>
    </row>
    <row r="75" spans="3:8" x14ac:dyDescent="0.25">
      <c r="C75" s="8"/>
      <c r="D75" s="2"/>
      <c r="E75" s="2" t="s">
        <v>6093</v>
      </c>
      <c r="F75" s="4">
        <v>232</v>
      </c>
      <c r="G75" s="14"/>
      <c r="H75" s="9"/>
    </row>
    <row r="76" spans="3:8" x14ac:dyDescent="0.25">
      <c r="C76" s="8"/>
      <c r="D76" s="2"/>
      <c r="E76" s="2" t="s">
        <v>6094</v>
      </c>
      <c r="F76" s="4">
        <v>288.39999999999998</v>
      </c>
      <c r="G76" s="14"/>
      <c r="H76" s="9"/>
    </row>
    <row r="77" spans="3:8" x14ac:dyDescent="0.25">
      <c r="C77" s="8"/>
      <c r="D77" s="2"/>
      <c r="E77" s="2" t="s">
        <v>6095</v>
      </c>
      <c r="F77" s="4">
        <v>94</v>
      </c>
      <c r="G77" s="14"/>
      <c r="H77" s="9"/>
    </row>
    <row r="78" spans="3:8" x14ac:dyDescent="0.25">
      <c r="C78" s="8"/>
      <c r="D78" s="2"/>
      <c r="E78" s="2" t="s">
        <v>6096</v>
      </c>
      <c r="F78" s="4">
        <v>42</v>
      </c>
      <c r="G78" s="14"/>
      <c r="H78" s="9"/>
    </row>
    <row r="79" spans="3:8" x14ac:dyDescent="0.25">
      <c r="C79" s="8"/>
      <c r="D79" s="2"/>
      <c r="E79" s="2" t="s">
        <v>6097</v>
      </c>
      <c r="F79" s="4">
        <v>142</v>
      </c>
      <c r="G79" s="14"/>
      <c r="H79" s="9"/>
    </row>
    <row r="80" spans="3:8" x14ac:dyDescent="0.25">
      <c r="C80" s="8"/>
      <c r="D80" s="2"/>
      <c r="E80" s="2" t="s">
        <v>6098</v>
      </c>
      <c r="F80" s="4">
        <v>80</v>
      </c>
      <c r="G80" s="14"/>
      <c r="H80" s="9"/>
    </row>
    <row r="81" spans="3:8" x14ac:dyDescent="0.25">
      <c r="C81" s="8"/>
      <c r="D81" s="2"/>
      <c r="E81" s="2" t="s">
        <v>6099</v>
      </c>
      <c r="F81" s="4">
        <v>7438</v>
      </c>
      <c r="G81" s="14"/>
      <c r="H81" s="9"/>
    </row>
    <row r="82" spans="3:8" x14ac:dyDescent="0.25">
      <c r="C82" s="8"/>
      <c r="D82" s="2"/>
      <c r="E82" s="2" t="s">
        <v>6100</v>
      </c>
      <c r="F82" s="4">
        <v>13262</v>
      </c>
      <c r="G82" s="14"/>
      <c r="H82" s="9"/>
    </row>
    <row r="83" spans="3:8" x14ac:dyDescent="0.25">
      <c r="C83" s="8"/>
      <c r="D83" s="2"/>
      <c r="E83" s="2" t="s">
        <v>6101</v>
      </c>
      <c r="F83" s="4">
        <v>272</v>
      </c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19"/>
      <c r="D88" s="20"/>
      <c r="E88" s="20" t="s">
        <v>42</v>
      </c>
      <c r="F88" s="4"/>
      <c r="G88" s="14"/>
      <c r="H88" s="9"/>
    </row>
    <row r="89" spans="3:8" x14ac:dyDescent="0.25">
      <c r="C89" s="34"/>
      <c r="D89" s="42"/>
      <c r="E89" s="68" t="s">
        <v>6054</v>
      </c>
      <c r="F89" s="14">
        <v>-110</v>
      </c>
      <c r="G89" s="14"/>
      <c r="H89" s="9"/>
    </row>
    <row r="90" spans="3:8" x14ac:dyDescent="0.25">
      <c r="C90" s="34"/>
      <c r="D90" s="42"/>
      <c r="E90" s="68" t="s">
        <v>6102</v>
      </c>
      <c r="F90" s="14">
        <v>-50</v>
      </c>
      <c r="G90" s="14"/>
      <c r="H90" s="9"/>
    </row>
    <row r="91" spans="3:8" x14ac:dyDescent="0.25">
      <c r="C91" s="34"/>
      <c r="D91" s="42"/>
      <c r="E91" s="68" t="s">
        <v>6103</v>
      </c>
      <c r="F91" s="14">
        <v>-70</v>
      </c>
      <c r="G91" s="14"/>
      <c r="H91" s="9"/>
    </row>
    <row r="92" spans="3:8" x14ac:dyDescent="0.25">
      <c r="C92" s="34"/>
      <c r="D92" s="42"/>
      <c r="E92" s="68" t="s">
        <v>6104</v>
      </c>
      <c r="F92" s="14">
        <v>-100</v>
      </c>
      <c r="G92" s="14"/>
      <c r="H92" s="9"/>
    </row>
    <row r="93" spans="3:8" x14ac:dyDescent="0.25">
      <c r="C93" s="34"/>
      <c r="D93" s="42"/>
      <c r="E93" s="68" t="s">
        <v>6105</v>
      </c>
      <c r="F93" s="14">
        <v>-100</v>
      </c>
      <c r="G93" s="14"/>
      <c r="H93" s="9"/>
    </row>
    <row r="94" spans="3:8" x14ac:dyDescent="0.25">
      <c r="C94" s="34"/>
      <c r="D94" s="42"/>
      <c r="E94" s="68" t="s">
        <v>6106</v>
      </c>
      <c r="F94" s="14">
        <v>-10</v>
      </c>
      <c r="G94" s="14"/>
      <c r="H94" s="9"/>
    </row>
    <row r="95" spans="3:8" x14ac:dyDescent="0.25">
      <c r="C95" s="34"/>
      <c r="D95" s="42"/>
      <c r="E95" s="68" t="s">
        <v>385</v>
      </c>
      <c r="F95" s="14">
        <v>-400</v>
      </c>
      <c r="G95" s="14"/>
      <c r="H95" s="9"/>
    </row>
    <row r="96" spans="3:8" x14ac:dyDescent="0.25">
      <c r="C96" s="34"/>
      <c r="D96" s="42"/>
      <c r="E96" s="68" t="s">
        <v>6111</v>
      </c>
      <c r="F96" s="14">
        <v>-18084.2</v>
      </c>
      <c r="G96" s="14"/>
      <c r="H96" s="9"/>
    </row>
    <row r="97" spans="3:8" x14ac:dyDescent="0.25">
      <c r="C97" s="34"/>
      <c r="D97" s="42"/>
      <c r="E97" s="68" t="s">
        <v>6112</v>
      </c>
      <c r="F97" s="14">
        <v>-4950</v>
      </c>
      <c r="G97" s="14"/>
      <c r="H97" s="9"/>
    </row>
    <row r="98" spans="3:8" x14ac:dyDescent="0.25">
      <c r="C98" s="34"/>
      <c r="D98" s="42"/>
      <c r="E98" s="68" t="s">
        <v>5081</v>
      </c>
      <c r="F98" s="14">
        <v>-61.2</v>
      </c>
      <c r="G98" s="14"/>
      <c r="H98" s="9"/>
    </row>
    <row r="99" spans="3:8" x14ac:dyDescent="0.25">
      <c r="C99" s="34"/>
      <c r="D99" s="42"/>
      <c r="E99" s="68" t="s">
        <v>6122</v>
      </c>
      <c r="F99" s="14">
        <v>-3165</v>
      </c>
      <c r="G99" s="14"/>
      <c r="H99" s="9"/>
    </row>
    <row r="100" spans="3:8" x14ac:dyDescent="0.25">
      <c r="C100" s="34"/>
      <c r="D100" s="42"/>
      <c r="E100" s="68" t="s">
        <v>6123</v>
      </c>
      <c r="F100" s="14">
        <v>-2.5</v>
      </c>
      <c r="G100" s="14"/>
      <c r="H100" s="9"/>
    </row>
    <row r="101" spans="3:8" x14ac:dyDescent="0.25">
      <c r="C101" s="34"/>
      <c r="D101" s="42"/>
      <c r="E101" s="68"/>
      <c r="F101" s="14"/>
      <c r="G101" s="14"/>
      <c r="H101" s="9"/>
    </row>
    <row r="102" spans="3:8" x14ac:dyDescent="0.25">
      <c r="C102" s="34"/>
      <c r="D102" s="42"/>
      <c r="E102" s="68"/>
      <c r="F102" s="14"/>
      <c r="G102" s="14"/>
      <c r="H102" s="9"/>
    </row>
    <row r="103" spans="3:8" ht="15.75" thickBot="1" x14ac:dyDescent="0.3">
      <c r="C103" s="10"/>
      <c r="D103" s="11"/>
      <c r="E103" s="11" t="s">
        <v>44</v>
      </c>
      <c r="F103" s="12">
        <f>SUM(F6:F102)</f>
        <v>2279.199999999998</v>
      </c>
      <c r="G103" s="15">
        <f>SUM(G9:G102)</f>
        <v>4322.5</v>
      </c>
      <c r="H103" s="13">
        <f>SUM(H9:H102)</f>
        <v>23674.5</v>
      </c>
    </row>
    <row r="106" spans="3:8" s="3" customFormat="1" ht="18.75" x14ac:dyDescent="0.3">
      <c r="C106" s="1"/>
      <c r="D106" s="1"/>
      <c r="E106" s="38" t="s">
        <v>49</v>
      </c>
      <c r="F106" s="39">
        <f>+H4+F103</f>
        <v>19537.839999999997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C38C-1A15-4112-9209-3BC8FE7546D3}">
  <sheetPr codeName="Hoja70"/>
  <dimension ref="C2:H93"/>
  <sheetViews>
    <sheetView topLeftCell="B61" zoomScaleNormal="100" workbookViewId="0">
      <selection activeCell="D61" sqref="D61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6124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19537.84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6129</v>
      </c>
      <c r="E6" s="2" t="s">
        <v>5809</v>
      </c>
      <c r="F6" s="109"/>
      <c r="G6" s="113"/>
      <c r="H6" s="112">
        <v>759</v>
      </c>
    </row>
    <row r="7" spans="3:8" x14ac:dyDescent="0.25">
      <c r="C7" s="24"/>
      <c r="D7" s="2" t="s">
        <v>6130</v>
      </c>
      <c r="E7" s="2" t="s">
        <v>6147</v>
      </c>
      <c r="F7" s="109"/>
      <c r="G7" s="113"/>
      <c r="H7" s="112">
        <v>78</v>
      </c>
    </row>
    <row r="8" spans="3:8" x14ac:dyDescent="0.25">
      <c r="C8" s="24"/>
      <c r="D8" s="2" t="s">
        <v>6131</v>
      </c>
      <c r="E8" s="111" t="s">
        <v>6146</v>
      </c>
      <c r="F8" s="109"/>
      <c r="G8" s="113">
        <v>710</v>
      </c>
      <c r="H8" s="112"/>
    </row>
    <row r="9" spans="3:8" x14ac:dyDescent="0.25">
      <c r="C9" s="8"/>
      <c r="D9" s="2" t="s">
        <v>6132</v>
      </c>
      <c r="E9" s="2" t="s">
        <v>12</v>
      </c>
      <c r="F9" s="4">
        <v>10</v>
      </c>
      <c r="G9" s="14"/>
      <c r="H9" s="9"/>
    </row>
    <row r="10" spans="3:8" x14ac:dyDescent="0.25">
      <c r="C10" s="8"/>
      <c r="D10" s="2" t="s">
        <v>6133</v>
      </c>
      <c r="E10" s="2" t="s">
        <v>12</v>
      </c>
      <c r="F10" s="4">
        <v>20</v>
      </c>
      <c r="G10" s="14"/>
      <c r="H10" s="9"/>
    </row>
    <row r="11" spans="3:8" x14ac:dyDescent="0.25">
      <c r="C11" s="8"/>
      <c r="D11" s="2" t="s">
        <v>6134</v>
      </c>
      <c r="E11" s="2" t="s">
        <v>12</v>
      </c>
      <c r="F11" s="4">
        <v>193</v>
      </c>
      <c r="G11" s="14"/>
      <c r="H11" s="9"/>
    </row>
    <row r="12" spans="3:8" x14ac:dyDescent="0.25">
      <c r="C12" s="8"/>
      <c r="D12" s="2" t="s">
        <v>6135</v>
      </c>
      <c r="E12" s="2" t="s">
        <v>6088</v>
      </c>
      <c r="F12" s="4">
        <v>103.5</v>
      </c>
      <c r="G12" s="14"/>
      <c r="H12" s="9"/>
    </row>
    <row r="13" spans="3:8" x14ac:dyDescent="0.25">
      <c r="C13" s="8"/>
      <c r="D13" s="2" t="s">
        <v>6136</v>
      </c>
      <c r="E13" s="2" t="s">
        <v>12</v>
      </c>
      <c r="F13" s="4"/>
      <c r="G13" s="14"/>
      <c r="H13" s="9">
        <v>18</v>
      </c>
    </row>
    <row r="14" spans="3:8" x14ac:dyDescent="0.25">
      <c r="C14" s="8"/>
      <c r="D14" s="2" t="s">
        <v>6137</v>
      </c>
      <c r="E14" s="2" t="s">
        <v>12</v>
      </c>
      <c r="F14" s="4"/>
      <c r="G14" s="14"/>
      <c r="H14" s="9">
        <v>37.5</v>
      </c>
    </row>
    <row r="15" spans="3:8" x14ac:dyDescent="0.25">
      <c r="C15" s="8"/>
      <c r="D15" s="2" t="s">
        <v>6138</v>
      </c>
      <c r="E15" s="2" t="s">
        <v>1679</v>
      </c>
      <c r="F15" s="4">
        <v>70</v>
      </c>
      <c r="G15" s="14"/>
      <c r="H15" s="9"/>
    </row>
    <row r="16" spans="3:8" x14ac:dyDescent="0.25">
      <c r="C16" s="8"/>
      <c r="D16" s="2" t="s">
        <v>6139</v>
      </c>
      <c r="E16" s="2" t="s">
        <v>12</v>
      </c>
      <c r="F16" s="4"/>
      <c r="G16" s="14"/>
      <c r="H16" s="9">
        <v>9</v>
      </c>
    </row>
    <row r="17" spans="3:8" x14ac:dyDescent="0.25">
      <c r="C17" s="8"/>
      <c r="D17" s="2" t="s">
        <v>6140</v>
      </c>
      <c r="E17" s="2" t="s">
        <v>5159</v>
      </c>
      <c r="F17" s="4"/>
      <c r="G17" s="14"/>
      <c r="H17" s="9">
        <v>988</v>
      </c>
    </row>
    <row r="18" spans="3:8" x14ac:dyDescent="0.25">
      <c r="C18" s="8"/>
      <c r="D18" s="2" t="s">
        <v>6141</v>
      </c>
      <c r="E18" s="2" t="s">
        <v>12</v>
      </c>
      <c r="F18" s="4">
        <v>26</v>
      </c>
      <c r="G18" s="14"/>
      <c r="H18" s="9"/>
    </row>
    <row r="19" spans="3:8" x14ac:dyDescent="0.25">
      <c r="C19" s="8"/>
      <c r="D19" s="2" t="s">
        <v>6142</v>
      </c>
      <c r="E19" s="2" t="s">
        <v>12</v>
      </c>
      <c r="F19" s="4">
        <v>4</v>
      </c>
      <c r="G19" s="14"/>
      <c r="H19" s="9"/>
    </row>
    <row r="20" spans="3:8" x14ac:dyDescent="0.25">
      <c r="C20" s="8"/>
      <c r="D20" s="2" t="s">
        <v>6143</v>
      </c>
      <c r="E20" s="2" t="s">
        <v>628</v>
      </c>
      <c r="F20" s="4"/>
      <c r="G20" s="14">
        <v>150</v>
      </c>
      <c r="H20" s="9"/>
    </row>
    <row r="21" spans="3:8" x14ac:dyDescent="0.25">
      <c r="C21" s="8"/>
      <c r="D21" s="2" t="s">
        <v>6144</v>
      </c>
      <c r="E21" s="2" t="s">
        <v>1679</v>
      </c>
      <c r="F21" s="4">
        <v>30</v>
      </c>
      <c r="G21" s="14"/>
      <c r="H21" s="9"/>
    </row>
    <row r="22" spans="3:8" x14ac:dyDescent="0.25">
      <c r="C22" s="8"/>
      <c r="D22" s="2" t="s">
        <v>6145</v>
      </c>
      <c r="E22" s="2" t="s">
        <v>12</v>
      </c>
      <c r="F22" s="4">
        <v>11.5</v>
      </c>
      <c r="G22" s="14"/>
      <c r="H22" s="9"/>
    </row>
    <row r="23" spans="3:8" x14ac:dyDescent="0.25">
      <c r="C23" s="8"/>
      <c r="D23" s="2" t="s">
        <v>6176</v>
      </c>
      <c r="E23" s="2" t="s">
        <v>12</v>
      </c>
      <c r="F23" s="4">
        <v>6</v>
      </c>
      <c r="G23" s="14"/>
      <c r="H23" s="9"/>
    </row>
    <row r="24" spans="3:8" x14ac:dyDescent="0.25">
      <c r="C24" s="8"/>
      <c r="D24" s="2" t="s">
        <v>6177</v>
      </c>
      <c r="E24" s="2" t="s">
        <v>12</v>
      </c>
      <c r="F24" s="4"/>
      <c r="G24" s="14"/>
      <c r="H24" s="9">
        <v>38</v>
      </c>
    </row>
    <row r="25" spans="3:8" x14ac:dyDescent="0.25">
      <c r="C25" s="8"/>
      <c r="D25" s="2" t="s">
        <v>6178</v>
      </c>
      <c r="E25" s="2" t="s">
        <v>1679</v>
      </c>
      <c r="F25" s="4">
        <v>10</v>
      </c>
      <c r="G25" s="14"/>
      <c r="H25" s="9"/>
    </row>
    <row r="26" spans="3:8" x14ac:dyDescent="0.25">
      <c r="C26" s="8"/>
      <c r="D26" s="2" t="s">
        <v>6179</v>
      </c>
      <c r="E26" s="2" t="s">
        <v>12</v>
      </c>
      <c r="F26" s="4">
        <v>33</v>
      </c>
      <c r="G26" s="14"/>
      <c r="H26" s="9"/>
    </row>
    <row r="27" spans="3:8" x14ac:dyDescent="0.25">
      <c r="C27" s="8"/>
      <c r="D27" s="2" t="s">
        <v>6180</v>
      </c>
      <c r="E27" s="2" t="s">
        <v>12</v>
      </c>
      <c r="F27" s="4">
        <v>2.5</v>
      </c>
      <c r="G27" s="14"/>
      <c r="H27" s="9"/>
    </row>
    <row r="28" spans="3:8" x14ac:dyDescent="0.25">
      <c r="C28" s="8"/>
      <c r="D28" s="2" t="s">
        <v>6181</v>
      </c>
      <c r="E28" s="2" t="s">
        <v>628</v>
      </c>
      <c r="F28" s="4"/>
      <c r="G28" s="14">
        <v>1615</v>
      </c>
      <c r="H28" s="9"/>
    </row>
    <row r="29" spans="3:8" x14ac:dyDescent="0.25">
      <c r="C29" s="8"/>
      <c r="D29" s="2" t="s">
        <v>6192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43" t="s">
        <v>6148</v>
      </c>
      <c r="E34" s="43" t="s">
        <v>6189</v>
      </c>
      <c r="F34" s="14"/>
      <c r="G34" s="14"/>
      <c r="H34" s="9"/>
    </row>
    <row r="35" spans="3:8" x14ac:dyDescent="0.25">
      <c r="C35" s="8"/>
      <c r="D35" s="2" t="s">
        <v>6149</v>
      </c>
      <c r="E35" s="2" t="s">
        <v>48</v>
      </c>
      <c r="F35" s="4"/>
      <c r="G35" s="14"/>
      <c r="H35" s="9">
        <v>7</v>
      </c>
    </row>
    <row r="36" spans="3:8" x14ac:dyDescent="0.25">
      <c r="C36" s="8"/>
      <c r="D36" s="2" t="s">
        <v>6150</v>
      </c>
      <c r="E36" s="2" t="s">
        <v>48</v>
      </c>
      <c r="F36" s="4"/>
      <c r="G36" s="14"/>
      <c r="H36" s="9">
        <v>12.5</v>
      </c>
    </row>
    <row r="37" spans="3:8" x14ac:dyDescent="0.25">
      <c r="C37" s="8"/>
      <c r="D37" s="2" t="s">
        <v>6151</v>
      </c>
      <c r="E37" s="2" t="s">
        <v>48</v>
      </c>
      <c r="F37" s="4">
        <v>6</v>
      </c>
      <c r="G37" s="14"/>
      <c r="H37" s="9"/>
    </row>
    <row r="38" spans="3:8" x14ac:dyDescent="0.25">
      <c r="C38" s="8"/>
      <c r="D38" s="2" t="s">
        <v>6152</v>
      </c>
      <c r="E38" s="2" t="s">
        <v>4961</v>
      </c>
      <c r="F38" s="4"/>
      <c r="G38" s="14"/>
      <c r="H38" s="9">
        <v>2044.5</v>
      </c>
    </row>
    <row r="39" spans="3:8" x14ac:dyDescent="0.25">
      <c r="C39" s="8"/>
      <c r="D39" s="2" t="s">
        <v>6153</v>
      </c>
      <c r="E39" s="2" t="s">
        <v>6167</v>
      </c>
      <c r="F39" s="4"/>
      <c r="G39" s="14"/>
      <c r="H39" s="9">
        <v>4</v>
      </c>
    </row>
    <row r="40" spans="3:8" x14ac:dyDescent="0.25">
      <c r="C40" s="8"/>
      <c r="D40" s="2" t="s">
        <v>6154</v>
      </c>
      <c r="E40" s="2" t="s">
        <v>48</v>
      </c>
      <c r="F40" s="4">
        <v>5</v>
      </c>
      <c r="G40" s="14"/>
      <c r="H40" s="9"/>
    </row>
    <row r="41" spans="3:8" x14ac:dyDescent="0.25">
      <c r="C41" s="8"/>
      <c r="D41" s="2" t="s">
        <v>6155</v>
      </c>
      <c r="E41" s="2" t="s">
        <v>48</v>
      </c>
      <c r="F41" s="4">
        <v>8.5</v>
      </c>
      <c r="G41" s="14"/>
      <c r="H41" s="9"/>
    </row>
    <row r="42" spans="3:8" x14ac:dyDescent="0.25">
      <c r="C42" s="8"/>
      <c r="D42" s="2" t="s">
        <v>6156</v>
      </c>
      <c r="E42" s="2" t="s">
        <v>6166</v>
      </c>
      <c r="F42" s="4">
        <v>2097</v>
      </c>
      <c r="G42" s="14"/>
      <c r="H42" s="9"/>
    </row>
    <row r="43" spans="3:8" x14ac:dyDescent="0.25">
      <c r="C43" s="8"/>
      <c r="D43" s="2" t="s">
        <v>6157</v>
      </c>
      <c r="E43" s="2" t="s">
        <v>507</v>
      </c>
      <c r="F43" s="4">
        <v>60</v>
      </c>
      <c r="G43" s="14"/>
      <c r="H43" s="9"/>
    </row>
    <row r="44" spans="3:8" x14ac:dyDescent="0.25">
      <c r="C44" s="8"/>
      <c r="D44" s="2" t="s">
        <v>6158</v>
      </c>
      <c r="E44" s="2" t="s">
        <v>48</v>
      </c>
      <c r="F44" s="4">
        <v>3</v>
      </c>
      <c r="G44" s="14"/>
      <c r="H44" s="9"/>
    </row>
    <row r="45" spans="3:8" x14ac:dyDescent="0.25">
      <c r="C45" s="8"/>
      <c r="D45" s="2" t="s">
        <v>6159</v>
      </c>
      <c r="E45" s="2" t="s">
        <v>48</v>
      </c>
      <c r="F45" s="4"/>
      <c r="G45" s="14"/>
      <c r="H45" s="9">
        <v>58</v>
      </c>
    </row>
    <row r="46" spans="3:8" x14ac:dyDescent="0.25">
      <c r="C46" s="8"/>
      <c r="D46" s="2" t="s">
        <v>6160</v>
      </c>
      <c r="E46" s="2" t="s">
        <v>507</v>
      </c>
      <c r="F46" s="4">
        <v>42</v>
      </c>
      <c r="G46" s="14"/>
      <c r="H46" s="9"/>
    </row>
    <row r="47" spans="3:8" x14ac:dyDescent="0.25">
      <c r="C47" s="8"/>
      <c r="D47" s="2" t="s">
        <v>6161</v>
      </c>
      <c r="E47" s="2" t="s">
        <v>5422</v>
      </c>
      <c r="F47" s="4"/>
      <c r="G47" s="14"/>
      <c r="H47" s="9">
        <v>33</v>
      </c>
    </row>
    <row r="48" spans="3:8" x14ac:dyDescent="0.25">
      <c r="C48" s="8"/>
      <c r="D48" s="2" t="s">
        <v>6162</v>
      </c>
      <c r="E48" s="2" t="s">
        <v>5422</v>
      </c>
      <c r="F48" s="4"/>
      <c r="G48" s="14"/>
      <c r="H48" s="9">
        <v>25</v>
      </c>
    </row>
    <row r="49" spans="3:8" x14ac:dyDescent="0.25">
      <c r="C49" s="8"/>
      <c r="D49" s="2" t="s">
        <v>6163</v>
      </c>
      <c r="E49" s="2" t="s">
        <v>48</v>
      </c>
      <c r="F49" s="4">
        <v>10</v>
      </c>
      <c r="G49" s="14"/>
      <c r="H49" s="9"/>
    </row>
    <row r="50" spans="3:8" x14ac:dyDescent="0.25">
      <c r="C50" s="8"/>
      <c r="D50" s="2" t="s">
        <v>6164</v>
      </c>
      <c r="E50" s="2" t="s">
        <v>48</v>
      </c>
      <c r="F50" s="4">
        <v>6</v>
      </c>
      <c r="G50" s="14"/>
      <c r="H50" s="9"/>
    </row>
    <row r="51" spans="3:8" x14ac:dyDescent="0.25">
      <c r="C51" s="8"/>
      <c r="D51" s="2" t="s">
        <v>6165</v>
      </c>
      <c r="E51" s="2" t="s">
        <v>5422</v>
      </c>
      <c r="F51" s="4"/>
      <c r="G51" s="14"/>
      <c r="H51" s="9">
        <v>102</v>
      </c>
    </row>
    <row r="52" spans="3:8" x14ac:dyDescent="0.25">
      <c r="C52" s="8"/>
      <c r="D52" s="2" t="s">
        <v>6169</v>
      </c>
      <c r="E52" s="2" t="s">
        <v>164</v>
      </c>
      <c r="F52" s="4"/>
      <c r="G52" s="14"/>
      <c r="H52" s="9">
        <v>3185</v>
      </c>
    </row>
    <row r="53" spans="3:8" x14ac:dyDescent="0.25">
      <c r="C53" s="8"/>
      <c r="D53" s="2" t="s">
        <v>6170</v>
      </c>
      <c r="E53" s="2" t="s">
        <v>48</v>
      </c>
      <c r="F53" s="4"/>
      <c r="G53" s="14"/>
      <c r="H53" s="9">
        <v>122.5</v>
      </c>
    </row>
    <row r="54" spans="3:8" x14ac:dyDescent="0.25">
      <c r="C54" s="8"/>
      <c r="D54" s="2" t="s">
        <v>6171</v>
      </c>
      <c r="E54" s="2" t="s">
        <v>48</v>
      </c>
      <c r="F54" s="4"/>
      <c r="G54" s="14"/>
      <c r="H54" s="9">
        <v>34.5</v>
      </c>
    </row>
    <row r="55" spans="3:8" x14ac:dyDescent="0.25">
      <c r="C55" s="8"/>
      <c r="D55" s="2" t="s">
        <v>6172</v>
      </c>
      <c r="E55" s="2" t="s">
        <v>48</v>
      </c>
      <c r="F55" s="4">
        <v>3</v>
      </c>
      <c r="G55" s="14"/>
      <c r="H55" s="9"/>
    </row>
    <row r="56" spans="3:8" x14ac:dyDescent="0.25">
      <c r="C56" s="8"/>
      <c r="D56" s="2" t="s">
        <v>6173</v>
      </c>
      <c r="E56" s="2" t="s">
        <v>6186</v>
      </c>
      <c r="F56" s="4"/>
      <c r="G56" s="14"/>
      <c r="H56" s="9">
        <v>13.5</v>
      </c>
    </row>
    <row r="57" spans="3:8" x14ac:dyDescent="0.25">
      <c r="C57" s="8"/>
      <c r="D57" s="2" t="s">
        <v>6182</v>
      </c>
      <c r="E57" s="2" t="s">
        <v>48</v>
      </c>
      <c r="F57" s="4"/>
      <c r="G57" s="14"/>
      <c r="H57" s="9">
        <v>34.5</v>
      </c>
    </row>
    <row r="58" spans="3:8" x14ac:dyDescent="0.25">
      <c r="C58" s="8"/>
      <c r="D58" s="2" t="s">
        <v>6183</v>
      </c>
      <c r="E58" s="2" t="s">
        <v>48</v>
      </c>
      <c r="F58" s="4"/>
      <c r="G58" s="14"/>
      <c r="H58" s="9">
        <v>13</v>
      </c>
    </row>
    <row r="59" spans="3:8" x14ac:dyDescent="0.25">
      <c r="C59" s="8"/>
      <c r="D59" s="2" t="s">
        <v>6184</v>
      </c>
      <c r="E59" s="2" t="s">
        <v>4268</v>
      </c>
      <c r="F59" s="4"/>
      <c r="G59" s="14"/>
      <c r="H59" s="9">
        <v>429.5</v>
      </c>
    </row>
    <row r="60" spans="3:8" x14ac:dyDescent="0.25">
      <c r="C60" s="8"/>
      <c r="D60" s="2" t="s">
        <v>6185</v>
      </c>
      <c r="E60" s="2" t="s">
        <v>1370</v>
      </c>
      <c r="F60" s="4"/>
      <c r="G60" s="14"/>
      <c r="H60" s="9">
        <v>4400</v>
      </c>
    </row>
    <row r="61" spans="3:8" x14ac:dyDescent="0.25">
      <c r="C61" s="8"/>
      <c r="D61" s="2" t="s">
        <v>6219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29"/>
      <c r="D65" s="30"/>
      <c r="E65" s="30" t="s">
        <v>60</v>
      </c>
      <c r="F65" s="4"/>
      <c r="G65" s="14"/>
      <c r="H65" s="9"/>
    </row>
    <row r="66" spans="3:8" x14ac:dyDescent="0.25">
      <c r="C66" s="8"/>
      <c r="D66" s="45" t="s">
        <v>6126</v>
      </c>
      <c r="E66" s="68" t="s">
        <v>4411</v>
      </c>
      <c r="F66" s="4"/>
      <c r="G66" s="14"/>
      <c r="H66" s="9">
        <v>75</v>
      </c>
    </row>
    <row r="67" spans="3:8" x14ac:dyDescent="0.25">
      <c r="C67" s="8"/>
      <c r="D67" s="45" t="s">
        <v>6128</v>
      </c>
      <c r="E67" s="68" t="s">
        <v>6127</v>
      </c>
      <c r="F67" s="4"/>
      <c r="G67" s="14"/>
      <c r="H67" s="9">
        <v>37</v>
      </c>
    </row>
    <row r="68" spans="3:8" x14ac:dyDescent="0.25">
      <c r="C68" s="8"/>
      <c r="D68" s="45" t="s">
        <v>6175</v>
      </c>
      <c r="E68" s="68" t="s">
        <v>439</v>
      </c>
      <c r="F68" s="4"/>
      <c r="G68" s="14"/>
      <c r="H68" s="9">
        <v>448</v>
      </c>
    </row>
    <row r="69" spans="3:8" x14ac:dyDescent="0.25">
      <c r="C69" s="8"/>
      <c r="D69" s="45" t="s">
        <v>6193</v>
      </c>
      <c r="E69" s="68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2" t="s">
        <v>6188</v>
      </c>
      <c r="F72" s="4">
        <v>245</v>
      </c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9"/>
      <c r="D79" s="20"/>
      <c r="E79" s="20" t="s">
        <v>42</v>
      </c>
      <c r="F79" s="4"/>
      <c r="G79" s="14"/>
      <c r="H79" s="9"/>
    </row>
    <row r="80" spans="3:8" x14ac:dyDescent="0.25">
      <c r="C80" s="34"/>
      <c r="D80" s="42"/>
      <c r="E80" s="68" t="s">
        <v>6125</v>
      </c>
      <c r="F80" s="14">
        <v>-2523</v>
      </c>
      <c r="G80" s="14"/>
      <c r="H80" s="9"/>
    </row>
    <row r="81" spans="3:8" x14ac:dyDescent="0.25">
      <c r="C81" s="34"/>
      <c r="D81" s="42"/>
      <c r="E81" s="68" t="s">
        <v>6168</v>
      </c>
      <c r="F81" s="14">
        <v>-40</v>
      </c>
      <c r="G81" s="14"/>
      <c r="H81" s="9"/>
    </row>
    <row r="82" spans="3:8" x14ac:dyDescent="0.25">
      <c r="C82" s="34"/>
      <c r="D82" s="42"/>
      <c r="E82" s="68" t="s">
        <v>6174</v>
      </c>
      <c r="F82" s="14">
        <v>-10</v>
      </c>
      <c r="G82" s="14"/>
      <c r="H82" s="9"/>
    </row>
    <row r="83" spans="3:8" x14ac:dyDescent="0.25">
      <c r="C83" s="34"/>
      <c r="D83" s="42"/>
      <c r="E83" s="68" t="s">
        <v>6187</v>
      </c>
      <c r="F83" s="14">
        <v>-40</v>
      </c>
      <c r="G83" s="14"/>
      <c r="H83" s="9"/>
    </row>
    <row r="84" spans="3:8" x14ac:dyDescent="0.25">
      <c r="C84" s="34"/>
      <c r="D84" s="42"/>
      <c r="E84" s="68" t="s">
        <v>1274</v>
      </c>
      <c r="F84" s="14">
        <v>-4734</v>
      </c>
      <c r="G84" s="14"/>
      <c r="H84" s="9"/>
    </row>
    <row r="85" spans="3:8" x14ac:dyDescent="0.25">
      <c r="C85" s="34"/>
      <c r="D85" s="42"/>
      <c r="E85" s="68" t="s">
        <v>6190</v>
      </c>
      <c r="F85" s="14">
        <v>-27</v>
      </c>
      <c r="G85" s="14"/>
      <c r="H85" s="9"/>
    </row>
    <row r="86" spans="3:8" x14ac:dyDescent="0.25">
      <c r="C86" s="34"/>
      <c r="D86" s="42"/>
      <c r="E86" s="68"/>
      <c r="F86" s="14"/>
      <c r="G86" s="14"/>
      <c r="H86" s="9"/>
    </row>
    <row r="87" spans="3:8" x14ac:dyDescent="0.25">
      <c r="C87" s="34"/>
      <c r="D87" s="42"/>
      <c r="E87" s="68"/>
      <c r="F87" s="14"/>
      <c r="G87" s="14"/>
      <c r="H87" s="9"/>
    </row>
    <row r="88" spans="3:8" x14ac:dyDescent="0.25">
      <c r="C88" s="34"/>
      <c r="D88" s="42"/>
      <c r="E88" s="68"/>
      <c r="F88" s="14"/>
      <c r="G88" s="14"/>
      <c r="H88" s="9"/>
    </row>
    <row r="89" spans="3:8" x14ac:dyDescent="0.25">
      <c r="C89" s="34"/>
      <c r="D89" s="42"/>
      <c r="E89" s="68"/>
      <c r="F89" s="14"/>
      <c r="G89" s="14"/>
      <c r="H89" s="9"/>
    </row>
    <row r="90" spans="3:8" ht="15.75" thickBot="1" x14ac:dyDescent="0.3">
      <c r="C90" s="10"/>
      <c r="D90" s="11"/>
      <c r="E90" s="11" t="s">
        <v>44</v>
      </c>
      <c r="F90" s="12">
        <f>SUM(F6:F89)</f>
        <v>-4369</v>
      </c>
      <c r="G90" s="15">
        <f>SUM(G9:G89)</f>
        <v>1765</v>
      </c>
      <c r="H90" s="13">
        <f>SUM(H9:H89)</f>
        <v>12169</v>
      </c>
    </row>
    <row r="93" spans="3:8" s="3" customFormat="1" ht="18.75" x14ac:dyDescent="0.3">
      <c r="C93" s="1"/>
      <c r="D93" s="1"/>
      <c r="E93" s="38" t="s">
        <v>49</v>
      </c>
      <c r="F93" s="39">
        <f>+H4+F90</f>
        <v>15168.84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8233-A0EB-42CF-8EA8-B12A46E97E59}">
  <sheetPr codeName="Hoja71"/>
  <dimension ref="C2:H81"/>
  <sheetViews>
    <sheetView topLeftCell="B52" zoomScaleNormal="100" workbookViewId="0">
      <selection activeCell="D42" sqref="D42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6191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15168.84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6192</v>
      </c>
      <c r="E6" s="2" t="s">
        <v>4971</v>
      </c>
      <c r="F6" s="109"/>
      <c r="G6" s="113"/>
      <c r="H6" s="112">
        <v>5</v>
      </c>
    </row>
    <row r="7" spans="3:8" x14ac:dyDescent="0.25">
      <c r="C7" s="24"/>
      <c r="D7" s="2" t="s">
        <v>6205</v>
      </c>
      <c r="E7" s="2" t="s">
        <v>4971</v>
      </c>
      <c r="F7" s="109"/>
      <c r="G7" s="113"/>
      <c r="H7" s="112">
        <v>24</v>
      </c>
    </row>
    <row r="8" spans="3:8" x14ac:dyDescent="0.25">
      <c r="C8" s="24"/>
      <c r="D8" s="2" t="s">
        <v>6206</v>
      </c>
      <c r="E8" s="2" t="s">
        <v>4971</v>
      </c>
      <c r="F8" s="109">
        <v>22</v>
      </c>
      <c r="G8" s="113"/>
      <c r="H8" s="112"/>
    </row>
    <row r="9" spans="3:8" x14ac:dyDescent="0.25">
      <c r="C9" s="8"/>
      <c r="D9" s="2" t="s">
        <v>6207</v>
      </c>
      <c r="E9" s="2" t="s">
        <v>4971</v>
      </c>
      <c r="F9" s="4"/>
      <c r="G9" s="14"/>
      <c r="H9" s="9">
        <v>5.7</v>
      </c>
    </row>
    <row r="10" spans="3:8" x14ac:dyDescent="0.25">
      <c r="C10" s="8"/>
      <c r="D10" s="2" t="s">
        <v>6208</v>
      </c>
      <c r="E10" s="2" t="s">
        <v>4971</v>
      </c>
      <c r="F10" s="4"/>
      <c r="G10" s="14"/>
      <c r="H10" s="9">
        <v>42</v>
      </c>
    </row>
    <row r="11" spans="3:8" x14ac:dyDescent="0.25">
      <c r="C11" s="8"/>
      <c r="D11" s="2" t="s">
        <v>6209</v>
      </c>
      <c r="E11" s="2" t="s">
        <v>4971</v>
      </c>
      <c r="F11" s="4">
        <v>12</v>
      </c>
      <c r="G11" s="14"/>
      <c r="H11" s="9"/>
    </row>
    <row r="12" spans="3:8" x14ac:dyDescent="0.25">
      <c r="C12" s="8"/>
      <c r="D12" s="2" t="s">
        <v>6210</v>
      </c>
      <c r="E12" s="2" t="s">
        <v>4971</v>
      </c>
      <c r="F12" s="4">
        <v>6</v>
      </c>
      <c r="G12" s="14"/>
      <c r="H12" s="9"/>
    </row>
    <row r="13" spans="3:8" x14ac:dyDescent="0.25">
      <c r="C13" s="8"/>
      <c r="D13" s="2" t="s">
        <v>6211</v>
      </c>
      <c r="E13" s="2" t="s">
        <v>4971</v>
      </c>
      <c r="F13" s="4">
        <v>9</v>
      </c>
      <c r="G13" s="14"/>
      <c r="H13" s="9"/>
    </row>
    <row r="14" spans="3:8" x14ac:dyDescent="0.25">
      <c r="C14" s="8"/>
      <c r="D14" s="2" t="s">
        <v>6212</v>
      </c>
      <c r="E14" s="2" t="s">
        <v>4971</v>
      </c>
      <c r="F14" s="4">
        <v>1</v>
      </c>
      <c r="G14" s="14"/>
      <c r="H14" s="9"/>
    </row>
    <row r="15" spans="3:8" x14ac:dyDescent="0.25">
      <c r="C15" s="8"/>
      <c r="D15" s="2" t="s">
        <v>6213</v>
      </c>
      <c r="E15" s="2" t="s">
        <v>4971</v>
      </c>
      <c r="F15" s="4">
        <v>15</v>
      </c>
      <c r="G15" s="14"/>
      <c r="H15" s="9"/>
    </row>
    <row r="16" spans="3:8" x14ac:dyDescent="0.25">
      <c r="C16" s="8"/>
      <c r="D16" s="2" t="s">
        <v>6214</v>
      </c>
      <c r="E16" s="2" t="s">
        <v>4971</v>
      </c>
      <c r="F16" s="4">
        <v>2</v>
      </c>
      <c r="G16" s="14"/>
      <c r="H16" s="9"/>
    </row>
    <row r="17" spans="3:8" x14ac:dyDescent="0.25">
      <c r="C17" s="8"/>
      <c r="D17" s="2" t="s">
        <v>6215</v>
      </c>
      <c r="E17" s="2" t="s">
        <v>4971</v>
      </c>
      <c r="F17" s="4">
        <v>28</v>
      </c>
      <c r="G17" s="14"/>
      <c r="H17" s="9"/>
    </row>
    <row r="18" spans="3:8" x14ac:dyDescent="0.25">
      <c r="C18" s="8"/>
      <c r="D18" s="2" t="s">
        <v>6216</v>
      </c>
      <c r="E18" s="2" t="s">
        <v>4971</v>
      </c>
      <c r="F18" s="4">
        <v>6</v>
      </c>
      <c r="G18" s="14"/>
      <c r="H18" s="9"/>
    </row>
    <row r="19" spans="3:8" x14ac:dyDescent="0.25">
      <c r="C19" s="8"/>
      <c r="D19" s="2" t="s">
        <v>6217</v>
      </c>
      <c r="E19" s="2" t="s">
        <v>4971</v>
      </c>
      <c r="F19" s="4"/>
      <c r="G19" s="14"/>
      <c r="H19" s="9">
        <v>2.5</v>
      </c>
    </row>
    <row r="20" spans="3:8" x14ac:dyDescent="0.25">
      <c r="C20" s="8"/>
      <c r="D20" s="2" t="s">
        <v>6218</v>
      </c>
      <c r="E20" s="2" t="s">
        <v>4971</v>
      </c>
      <c r="F20" s="4">
        <v>7</v>
      </c>
      <c r="G20" s="14"/>
      <c r="H20" s="9"/>
    </row>
    <row r="21" spans="3:8" x14ac:dyDescent="0.25">
      <c r="C21" s="8"/>
      <c r="D21" s="2" t="s">
        <v>6233</v>
      </c>
      <c r="E21" s="2" t="s">
        <v>4971</v>
      </c>
      <c r="F21" s="4"/>
      <c r="G21" s="14"/>
      <c r="H21" s="9">
        <v>3</v>
      </c>
    </row>
    <row r="22" spans="3:8" x14ac:dyDescent="0.25">
      <c r="C22" s="8"/>
      <c r="D22" s="2" t="s">
        <v>6234</v>
      </c>
      <c r="E22" s="2" t="s">
        <v>6238</v>
      </c>
      <c r="F22" s="4">
        <v>6000</v>
      </c>
      <c r="G22" s="14">
        <v>972.5</v>
      </c>
      <c r="H22" s="9"/>
    </row>
    <row r="23" spans="3:8" x14ac:dyDescent="0.25">
      <c r="C23" s="8"/>
      <c r="D23" s="2" t="s">
        <v>6235</v>
      </c>
      <c r="E23" s="2" t="s">
        <v>4971</v>
      </c>
      <c r="F23" s="4">
        <v>5</v>
      </c>
      <c r="G23" s="14"/>
      <c r="H23" s="9"/>
    </row>
    <row r="24" spans="3:8" x14ac:dyDescent="0.25">
      <c r="C24" s="8"/>
      <c r="D24" s="2" t="s">
        <v>6236</v>
      </c>
      <c r="E24" s="2" t="s">
        <v>4971</v>
      </c>
      <c r="F24" s="4">
        <v>3</v>
      </c>
      <c r="G24" s="14"/>
      <c r="H24" s="9"/>
    </row>
    <row r="25" spans="3:8" x14ac:dyDescent="0.25">
      <c r="C25" s="8"/>
      <c r="D25" s="2" t="s">
        <v>6241</v>
      </c>
      <c r="E25" s="2" t="s">
        <v>4971</v>
      </c>
      <c r="F25" s="4">
        <v>40</v>
      </c>
      <c r="G25" s="14"/>
      <c r="H25" s="9"/>
    </row>
    <row r="26" spans="3:8" x14ac:dyDescent="0.25">
      <c r="C26" s="8"/>
      <c r="D26" s="2" t="s">
        <v>6242</v>
      </c>
      <c r="E26" s="2" t="s">
        <v>4971</v>
      </c>
      <c r="F26" s="4">
        <v>10</v>
      </c>
      <c r="G26" s="14"/>
      <c r="H26" s="9"/>
    </row>
    <row r="27" spans="3:8" x14ac:dyDescent="0.25">
      <c r="C27" s="8"/>
      <c r="D27" s="2" t="s">
        <v>6243</v>
      </c>
      <c r="E27" s="2" t="s">
        <v>4971</v>
      </c>
      <c r="F27" s="4">
        <v>44</v>
      </c>
      <c r="G27" s="14"/>
      <c r="H27" s="9"/>
    </row>
    <row r="28" spans="3:8" x14ac:dyDescent="0.25">
      <c r="C28" s="8"/>
      <c r="D28" s="2" t="s">
        <v>6258</v>
      </c>
      <c r="E28" s="2"/>
      <c r="F28" s="4"/>
      <c r="G28" s="14"/>
      <c r="H28" s="9"/>
    </row>
    <row r="29" spans="3:8" x14ac:dyDescent="0.25">
      <c r="C29" s="8"/>
      <c r="D29" s="2" t="s">
        <v>6219</v>
      </c>
      <c r="E29" s="2" t="s">
        <v>6227</v>
      </c>
      <c r="F29" s="4">
        <v>704.2</v>
      </c>
      <c r="G29" s="14"/>
      <c r="H29" s="9"/>
    </row>
    <row r="30" spans="3:8" x14ac:dyDescent="0.25">
      <c r="C30" s="8"/>
      <c r="D30" s="2" t="s">
        <v>6220</v>
      </c>
      <c r="E30" s="2" t="s">
        <v>4700</v>
      </c>
      <c r="F30" s="4"/>
      <c r="G30" s="14"/>
      <c r="H30" s="9">
        <v>272</v>
      </c>
    </row>
    <row r="31" spans="3:8" x14ac:dyDescent="0.25">
      <c r="C31" s="8"/>
      <c r="D31" s="2" t="s">
        <v>6221</v>
      </c>
      <c r="E31" s="2" t="s">
        <v>5231</v>
      </c>
      <c r="F31" s="4">
        <v>6</v>
      </c>
      <c r="G31" s="14"/>
      <c r="H31" s="9"/>
    </row>
    <row r="32" spans="3:8" x14ac:dyDescent="0.25">
      <c r="C32" s="8"/>
      <c r="D32" s="2" t="s">
        <v>6222</v>
      </c>
      <c r="E32" s="2" t="s">
        <v>5231</v>
      </c>
      <c r="F32" s="4">
        <v>6</v>
      </c>
      <c r="G32" s="14"/>
      <c r="H32" s="9"/>
    </row>
    <row r="33" spans="3:8" x14ac:dyDescent="0.25">
      <c r="C33" s="8"/>
      <c r="D33" s="2" t="s">
        <v>6223</v>
      </c>
      <c r="E33" s="2" t="s">
        <v>5231</v>
      </c>
      <c r="F33" s="4"/>
      <c r="G33" s="14"/>
      <c r="H33" s="9">
        <v>5</v>
      </c>
    </row>
    <row r="34" spans="3:8" x14ac:dyDescent="0.25">
      <c r="C34" s="8"/>
      <c r="D34" s="2" t="s">
        <v>6224</v>
      </c>
      <c r="E34" s="2" t="s">
        <v>5231</v>
      </c>
      <c r="F34" s="4">
        <v>9.5</v>
      </c>
      <c r="G34" s="14"/>
      <c r="H34" s="9"/>
    </row>
    <row r="35" spans="3:8" x14ac:dyDescent="0.25">
      <c r="C35" s="8"/>
      <c r="D35" s="2" t="s">
        <v>6225</v>
      </c>
      <c r="E35" s="2" t="s">
        <v>5231</v>
      </c>
      <c r="F35" s="4">
        <v>12</v>
      </c>
      <c r="G35" s="14"/>
      <c r="H35" s="9"/>
    </row>
    <row r="36" spans="3:8" x14ac:dyDescent="0.25">
      <c r="C36" s="8"/>
      <c r="D36" s="2" t="s">
        <v>6226</v>
      </c>
      <c r="E36" s="2" t="s">
        <v>5231</v>
      </c>
      <c r="F36" s="4"/>
      <c r="G36" s="14"/>
      <c r="H36" s="9">
        <v>8</v>
      </c>
    </row>
    <row r="37" spans="3:8" x14ac:dyDescent="0.25">
      <c r="C37" s="8"/>
      <c r="D37" s="2" t="s">
        <v>6231</v>
      </c>
      <c r="E37" s="2" t="s">
        <v>5231</v>
      </c>
      <c r="F37" s="4">
        <v>8</v>
      </c>
      <c r="G37" s="14"/>
      <c r="H37" s="9"/>
    </row>
    <row r="38" spans="3:8" x14ac:dyDescent="0.25">
      <c r="C38" s="8"/>
      <c r="D38" s="2" t="s">
        <v>6232</v>
      </c>
      <c r="E38" s="2" t="s">
        <v>5231</v>
      </c>
      <c r="F38" s="4">
        <v>6</v>
      </c>
      <c r="G38" s="14"/>
      <c r="H38" s="9"/>
    </row>
    <row r="39" spans="3:8" x14ac:dyDescent="0.25">
      <c r="C39" s="8"/>
      <c r="D39" s="2" t="s">
        <v>6244</v>
      </c>
      <c r="E39" s="2" t="s">
        <v>5231</v>
      </c>
      <c r="F39" s="35">
        <v>34</v>
      </c>
      <c r="G39" s="14"/>
      <c r="H39" s="9"/>
    </row>
    <row r="40" spans="3:8" x14ac:dyDescent="0.25">
      <c r="C40" s="8"/>
      <c r="D40" s="2" t="s">
        <v>6245</v>
      </c>
      <c r="E40" s="2" t="s">
        <v>5231</v>
      </c>
      <c r="F40" s="4"/>
      <c r="G40" s="14"/>
      <c r="H40" s="9">
        <v>12</v>
      </c>
    </row>
    <row r="41" spans="3:8" x14ac:dyDescent="0.25">
      <c r="C41" s="8"/>
      <c r="D41" s="2" t="s">
        <v>6246</v>
      </c>
      <c r="E41" s="2" t="s">
        <v>5966</v>
      </c>
      <c r="F41" s="4">
        <v>122.4</v>
      </c>
      <c r="G41" s="14"/>
      <c r="H41" s="9"/>
    </row>
    <row r="42" spans="3:8" x14ac:dyDescent="0.25">
      <c r="C42" s="8"/>
      <c r="D42" s="2" t="s">
        <v>6281</v>
      </c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29"/>
      <c r="D44" s="30"/>
      <c r="E44" s="30" t="s">
        <v>60</v>
      </c>
      <c r="F44" s="4"/>
      <c r="G44" s="14"/>
      <c r="H44" s="9"/>
    </row>
    <row r="45" spans="3:8" x14ac:dyDescent="0.25">
      <c r="C45" s="8"/>
      <c r="D45" s="45" t="s">
        <v>6193</v>
      </c>
      <c r="E45" s="68" t="s">
        <v>6197</v>
      </c>
      <c r="F45" s="4"/>
      <c r="G45" s="14"/>
      <c r="H45" s="9">
        <v>56.5</v>
      </c>
    </row>
    <row r="46" spans="3:8" x14ac:dyDescent="0.25">
      <c r="C46" s="8"/>
      <c r="D46" s="45" t="s">
        <v>6194</v>
      </c>
      <c r="E46" s="68" t="s">
        <v>6198</v>
      </c>
      <c r="F46" s="4"/>
      <c r="G46" s="14"/>
      <c r="H46" s="9">
        <v>561.20000000000005</v>
      </c>
    </row>
    <row r="47" spans="3:8" x14ac:dyDescent="0.25">
      <c r="C47" s="8"/>
      <c r="D47" s="45" t="s">
        <v>6195</v>
      </c>
      <c r="E47" s="68" t="s">
        <v>5415</v>
      </c>
      <c r="F47" s="4"/>
      <c r="G47" s="14"/>
      <c r="H47" s="9">
        <v>30</v>
      </c>
    </row>
    <row r="48" spans="3:8" x14ac:dyDescent="0.25">
      <c r="C48" s="8"/>
      <c r="D48" s="45" t="s">
        <v>6196</v>
      </c>
      <c r="E48" s="68" t="s">
        <v>6199</v>
      </c>
      <c r="F48" s="4"/>
      <c r="G48" s="14"/>
      <c r="H48" s="9">
        <v>2880</v>
      </c>
    </row>
    <row r="49" spans="3:8" x14ac:dyDescent="0.25">
      <c r="C49" s="8"/>
      <c r="D49" s="45" t="s">
        <v>6200</v>
      </c>
      <c r="E49" s="68" t="s">
        <v>6199</v>
      </c>
      <c r="F49" s="4"/>
      <c r="G49" s="14"/>
      <c r="H49" s="9">
        <v>354.5</v>
      </c>
    </row>
    <row r="50" spans="3:8" x14ac:dyDescent="0.25">
      <c r="C50" s="8"/>
      <c r="D50" s="45" t="s">
        <v>6201</v>
      </c>
      <c r="E50" s="68" t="s">
        <v>6202</v>
      </c>
      <c r="F50" s="4"/>
      <c r="G50" s="14"/>
      <c r="H50" s="9">
        <v>47</v>
      </c>
    </row>
    <row r="51" spans="3:8" x14ac:dyDescent="0.25">
      <c r="C51" s="8"/>
      <c r="D51" s="45" t="s">
        <v>6203</v>
      </c>
      <c r="E51" s="68" t="s">
        <v>6204</v>
      </c>
      <c r="F51" s="4">
        <v>590</v>
      </c>
      <c r="G51" s="14"/>
      <c r="H51" s="9">
        <v>1000</v>
      </c>
    </row>
    <row r="52" spans="3:8" x14ac:dyDescent="0.25">
      <c r="C52" s="8"/>
      <c r="D52" s="45"/>
      <c r="E52" s="68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16"/>
      <c r="D54" s="17"/>
      <c r="E54" s="17" t="s">
        <v>39</v>
      </c>
      <c r="F54" s="4"/>
      <c r="G54" s="14"/>
      <c r="H54" s="9"/>
    </row>
    <row r="55" spans="3:8" x14ac:dyDescent="0.25">
      <c r="C55" s="8"/>
      <c r="D55" s="2"/>
      <c r="E55" s="2" t="s">
        <v>6250</v>
      </c>
      <c r="F55" s="4">
        <v>1615</v>
      </c>
      <c r="G55" s="14"/>
      <c r="H55" s="9"/>
    </row>
    <row r="56" spans="3:8" x14ac:dyDescent="0.25">
      <c r="C56" s="8"/>
      <c r="D56" s="2"/>
      <c r="E56" s="2" t="s">
        <v>6251</v>
      </c>
      <c r="F56" s="4">
        <v>225</v>
      </c>
      <c r="G56" s="14"/>
      <c r="H56" s="9"/>
    </row>
    <row r="57" spans="3:8" x14ac:dyDescent="0.25">
      <c r="C57" s="8"/>
      <c r="D57" s="2"/>
      <c r="E57" s="2" t="s">
        <v>6252</v>
      </c>
      <c r="F57" s="4">
        <v>665</v>
      </c>
      <c r="G57" s="14"/>
      <c r="H57" s="9"/>
    </row>
    <row r="58" spans="3:8" x14ac:dyDescent="0.25">
      <c r="C58" s="8"/>
      <c r="D58" s="2"/>
      <c r="E58" s="2" t="s">
        <v>6253</v>
      </c>
      <c r="F58" s="4">
        <v>150</v>
      </c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19"/>
      <c r="D62" s="20"/>
      <c r="E62" s="20" t="s">
        <v>42</v>
      </c>
      <c r="F62" s="4"/>
      <c r="G62" s="14"/>
      <c r="H62" s="9"/>
    </row>
    <row r="63" spans="3:8" x14ac:dyDescent="0.25">
      <c r="C63" s="34"/>
      <c r="D63" s="42"/>
      <c r="E63" s="68" t="s">
        <v>6228</v>
      </c>
      <c r="F63" s="14">
        <v>-100</v>
      </c>
      <c r="G63" s="14"/>
      <c r="H63" s="9"/>
    </row>
    <row r="64" spans="3:8" x14ac:dyDescent="0.25">
      <c r="C64" s="34"/>
      <c r="D64" s="42"/>
      <c r="E64" s="68" t="s">
        <v>6229</v>
      </c>
      <c r="F64" s="14">
        <v>-100</v>
      </c>
      <c r="G64" s="14"/>
      <c r="H64" s="9"/>
    </row>
    <row r="65" spans="3:8" x14ac:dyDescent="0.25">
      <c r="C65" s="34"/>
      <c r="D65" s="42"/>
      <c r="E65" s="68" t="s">
        <v>6230</v>
      </c>
      <c r="F65" s="14">
        <v>-20</v>
      </c>
      <c r="G65" s="14"/>
      <c r="H65" s="9"/>
    </row>
    <row r="66" spans="3:8" x14ac:dyDescent="0.25">
      <c r="C66" s="34"/>
      <c r="D66" s="42"/>
      <c r="E66" s="68" t="s">
        <v>4056</v>
      </c>
      <c r="F66" s="14">
        <v>-5</v>
      </c>
      <c r="G66" s="14"/>
      <c r="H66" s="9"/>
    </row>
    <row r="67" spans="3:8" x14ac:dyDescent="0.25">
      <c r="C67" s="34"/>
      <c r="D67" s="42" t="s">
        <v>158</v>
      </c>
      <c r="E67" s="68" t="s">
        <v>6237</v>
      </c>
      <c r="F67" s="14">
        <v>-160</v>
      </c>
      <c r="G67" s="14"/>
      <c r="H67" s="9"/>
    </row>
    <row r="68" spans="3:8" x14ac:dyDescent="0.25">
      <c r="C68" s="34"/>
      <c r="D68" s="42"/>
      <c r="E68" s="68" t="s">
        <v>6239</v>
      </c>
      <c r="F68" s="14">
        <v>-10</v>
      </c>
      <c r="G68" s="14"/>
      <c r="H68" s="9"/>
    </row>
    <row r="69" spans="3:8" x14ac:dyDescent="0.25">
      <c r="C69" s="34"/>
      <c r="D69" s="42"/>
      <c r="E69" s="68" t="s">
        <v>6240</v>
      </c>
      <c r="F69" s="14">
        <v>-2000</v>
      </c>
      <c r="G69" s="14"/>
      <c r="H69" s="9"/>
    </row>
    <row r="70" spans="3:8" x14ac:dyDescent="0.25">
      <c r="C70" s="34"/>
      <c r="D70" s="42"/>
      <c r="E70" s="68" t="s">
        <v>5348</v>
      </c>
      <c r="F70" s="14">
        <v>-122.4</v>
      </c>
      <c r="G70" s="14"/>
      <c r="H70" s="9"/>
    </row>
    <row r="71" spans="3:8" x14ac:dyDescent="0.25">
      <c r="C71" s="34"/>
      <c r="D71" s="42"/>
      <c r="E71" s="68" t="s">
        <v>6247</v>
      </c>
      <c r="F71" s="14">
        <v>-1434</v>
      </c>
      <c r="G71" s="14"/>
      <c r="H71" s="9"/>
    </row>
    <row r="72" spans="3:8" x14ac:dyDescent="0.25">
      <c r="C72" s="34"/>
      <c r="D72" s="42"/>
      <c r="E72" s="68" t="s">
        <v>1154</v>
      </c>
      <c r="F72" s="14">
        <v>-36</v>
      </c>
      <c r="G72" s="14"/>
      <c r="H72" s="9"/>
    </row>
    <row r="73" spans="3:8" x14ac:dyDescent="0.25">
      <c r="C73" s="34"/>
      <c r="D73" s="42"/>
      <c r="E73" s="68" t="s">
        <v>6248</v>
      </c>
      <c r="F73" s="14">
        <v>-40</v>
      </c>
      <c r="G73" s="14"/>
      <c r="H73" s="9"/>
    </row>
    <row r="74" spans="3:8" x14ac:dyDescent="0.25">
      <c r="C74" s="34"/>
      <c r="D74" s="42"/>
      <c r="E74" s="68" t="s">
        <v>6249</v>
      </c>
      <c r="F74" s="14">
        <v>-56.5</v>
      </c>
      <c r="G74" s="14"/>
      <c r="H74" s="9"/>
    </row>
    <row r="75" spans="3:8" x14ac:dyDescent="0.25">
      <c r="C75" s="34"/>
      <c r="D75" s="42"/>
      <c r="E75" s="68" t="s">
        <v>6254</v>
      </c>
      <c r="F75" s="14">
        <v>-6900</v>
      </c>
      <c r="G75" s="14"/>
      <c r="H75" s="9"/>
    </row>
    <row r="76" spans="3:8" x14ac:dyDescent="0.25">
      <c r="C76" s="34"/>
      <c r="D76" s="42"/>
      <c r="E76" s="68"/>
      <c r="F76" s="14"/>
      <c r="G76" s="14"/>
      <c r="H76" s="9"/>
    </row>
    <row r="77" spans="3:8" x14ac:dyDescent="0.25">
      <c r="C77" s="34"/>
      <c r="D77" s="42"/>
      <c r="E77" s="68"/>
      <c r="F77" s="14"/>
      <c r="G77" s="14"/>
      <c r="H77" s="9"/>
    </row>
    <row r="78" spans="3:8" ht="15.75" thickBot="1" x14ac:dyDescent="0.3">
      <c r="C78" s="10"/>
      <c r="D78" s="11"/>
      <c r="E78" s="11" t="s">
        <v>44</v>
      </c>
      <c r="F78" s="12">
        <f>SUM(F6:F77)</f>
        <v>-620.80000000000109</v>
      </c>
      <c r="G78" s="15">
        <f>SUM(G9:G77)</f>
        <v>972.5</v>
      </c>
      <c r="H78" s="13">
        <f>SUM(H9:H77)</f>
        <v>5279.4</v>
      </c>
    </row>
    <row r="81" spans="3:6" s="3" customFormat="1" ht="18.75" x14ac:dyDescent="0.3">
      <c r="C81" s="1"/>
      <c r="D81" s="1"/>
      <c r="E81" s="38" t="s">
        <v>49</v>
      </c>
      <c r="F81" s="39">
        <f>+H4+F78</f>
        <v>14548.039999999999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93AB-F507-482B-BD6D-48C1AFBB86CD}">
  <sheetPr codeName="Hoja72"/>
  <dimension ref="C2:H98"/>
  <sheetViews>
    <sheetView topLeftCell="B37" zoomScaleNormal="100" workbookViewId="0">
      <selection activeCell="D62" sqref="D62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6255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14548.04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6258</v>
      </c>
      <c r="E6" s="2" t="s">
        <v>6280</v>
      </c>
      <c r="F6" s="109">
        <v>448</v>
      </c>
      <c r="G6" s="113"/>
      <c r="H6" s="112"/>
    </row>
    <row r="7" spans="3:8" x14ac:dyDescent="0.25">
      <c r="C7" s="24"/>
      <c r="D7" s="2" t="s">
        <v>6259</v>
      </c>
      <c r="E7" s="2" t="s">
        <v>6275</v>
      </c>
      <c r="F7" s="109"/>
      <c r="G7" s="113">
        <v>180</v>
      </c>
      <c r="H7" s="112"/>
    </row>
    <row r="8" spans="3:8" x14ac:dyDescent="0.25">
      <c r="C8" s="24"/>
      <c r="D8" s="2" t="s">
        <v>6260</v>
      </c>
      <c r="E8" s="2" t="s">
        <v>6279</v>
      </c>
      <c r="F8" s="109">
        <v>481.6</v>
      </c>
      <c r="G8" s="113"/>
      <c r="H8" s="112"/>
    </row>
    <row r="9" spans="3:8" x14ac:dyDescent="0.25">
      <c r="C9" s="8"/>
      <c r="D9" s="2" t="s">
        <v>6261</v>
      </c>
      <c r="E9" s="2" t="s">
        <v>12</v>
      </c>
      <c r="F9" s="4">
        <v>13</v>
      </c>
      <c r="G9" s="14"/>
      <c r="H9" s="9"/>
    </row>
    <row r="10" spans="3:8" x14ac:dyDescent="0.25">
      <c r="C10" s="8"/>
      <c r="D10" s="2" t="s">
        <v>6262</v>
      </c>
      <c r="E10" s="2" t="s">
        <v>6278</v>
      </c>
      <c r="F10" s="4"/>
      <c r="G10" s="14"/>
      <c r="H10" s="9">
        <v>184.5</v>
      </c>
    </row>
    <row r="11" spans="3:8" x14ac:dyDescent="0.25">
      <c r="C11" s="8"/>
      <c r="D11" s="2" t="s">
        <v>6263</v>
      </c>
      <c r="E11" s="2" t="s">
        <v>12</v>
      </c>
      <c r="F11" s="4">
        <v>10</v>
      </c>
      <c r="G11" s="14"/>
      <c r="H11" s="9"/>
    </row>
    <row r="12" spans="3:8" x14ac:dyDescent="0.25">
      <c r="C12" s="8"/>
      <c r="D12" s="2" t="s">
        <v>6264</v>
      </c>
      <c r="E12" s="2" t="s">
        <v>6277</v>
      </c>
      <c r="F12" s="4"/>
      <c r="G12" s="14">
        <v>148</v>
      </c>
      <c r="H12" s="9"/>
    </row>
    <row r="13" spans="3:8" x14ac:dyDescent="0.25">
      <c r="C13" s="8"/>
      <c r="D13" s="2" t="s">
        <v>6265</v>
      </c>
      <c r="E13" s="2" t="s">
        <v>12</v>
      </c>
      <c r="F13" s="4">
        <v>8</v>
      </c>
      <c r="G13" s="14"/>
      <c r="H13" s="9"/>
    </row>
    <row r="14" spans="3:8" x14ac:dyDescent="0.25">
      <c r="C14" s="8"/>
      <c r="D14" s="2" t="s">
        <v>6266</v>
      </c>
      <c r="E14" s="2" t="s">
        <v>12</v>
      </c>
      <c r="F14" s="4">
        <v>2</v>
      </c>
      <c r="G14" s="14"/>
      <c r="H14" s="9"/>
    </row>
    <row r="15" spans="3:8" x14ac:dyDescent="0.25">
      <c r="C15" s="8"/>
      <c r="D15" s="2" t="s">
        <v>6267</v>
      </c>
      <c r="E15" s="2" t="s">
        <v>12</v>
      </c>
      <c r="F15" s="4">
        <v>9</v>
      </c>
      <c r="G15" s="14"/>
      <c r="H15" s="9"/>
    </row>
    <row r="16" spans="3:8" x14ac:dyDescent="0.25">
      <c r="C16" s="8"/>
      <c r="D16" s="2" t="s">
        <v>6268</v>
      </c>
      <c r="E16" s="2" t="s">
        <v>12</v>
      </c>
      <c r="F16" s="4">
        <v>10</v>
      </c>
      <c r="G16" s="14"/>
      <c r="H16" s="9"/>
    </row>
    <row r="17" spans="3:8" x14ac:dyDescent="0.25">
      <c r="C17" s="8"/>
      <c r="D17" s="2" t="s">
        <v>6269</v>
      </c>
      <c r="E17" s="2" t="s">
        <v>12</v>
      </c>
      <c r="F17" s="4">
        <v>63</v>
      </c>
      <c r="G17" s="14"/>
      <c r="H17" s="9"/>
    </row>
    <row r="18" spans="3:8" x14ac:dyDescent="0.25">
      <c r="C18" s="8"/>
      <c r="D18" s="2" t="s">
        <v>6270</v>
      </c>
      <c r="E18" s="2" t="s">
        <v>12</v>
      </c>
      <c r="F18" s="4">
        <v>23</v>
      </c>
      <c r="G18" s="14"/>
      <c r="H18" s="9"/>
    </row>
    <row r="19" spans="3:8" x14ac:dyDescent="0.25">
      <c r="C19" s="8"/>
      <c r="D19" s="2" t="s">
        <v>6271</v>
      </c>
      <c r="E19" s="2" t="s">
        <v>6276</v>
      </c>
      <c r="F19" s="35"/>
      <c r="G19" s="14"/>
      <c r="H19" s="9">
        <v>1239.2</v>
      </c>
    </row>
    <row r="20" spans="3:8" x14ac:dyDescent="0.25">
      <c r="C20" s="8"/>
      <c r="D20" s="2" t="s">
        <v>6272</v>
      </c>
      <c r="E20" s="2" t="s">
        <v>6275</v>
      </c>
      <c r="F20" s="4"/>
      <c r="G20" s="14">
        <v>102.5</v>
      </c>
      <c r="H20" s="9"/>
    </row>
    <row r="21" spans="3:8" x14ac:dyDescent="0.25">
      <c r="C21" s="8"/>
      <c r="D21" s="2" t="s">
        <v>6273</v>
      </c>
      <c r="E21" s="2" t="s">
        <v>12</v>
      </c>
      <c r="F21" s="4">
        <v>2</v>
      </c>
      <c r="G21" s="14"/>
      <c r="H21" s="9"/>
    </row>
    <row r="22" spans="3:8" x14ac:dyDescent="0.25">
      <c r="C22" s="8"/>
      <c r="D22" s="2" t="s">
        <v>6308</v>
      </c>
      <c r="E22" s="2" t="s">
        <v>6315</v>
      </c>
      <c r="F22" s="4"/>
      <c r="G22" s="14"/>
      <c r="H22" s="9">
        <v>70</v>
      </c>
    </row>
    <row r="23" spans="3:8" x14ac:dyDescent="0.25">
      <c r="C23" s="8"/>
      <c r="D23" s="2" t="s">
        <v>6309</v>
      </c>
      <c r="E23" s="2" t="s">
        <v>12</v>
      </c>
      <c r="F23" s="4">
        <v>12.5</v>
      </c>
      <c r="G23" s="14"/>
      <c r="H23" s="9"/>
    </row>
    <row r="24" spans="3:8" x14ac:dyDescent="0.25">
      <c r="C24" s="8"/>
      <c r="D24" s="2" t="s">
        <v>6310</v>
      </c>
      <c r="E24" s="2" t="s">
        <v>12</v>
      </c>
      <c r="F24" s="4">
        <v>20</v>
      </c>
      <c r="G24" s="14"/>
      <c r="H24" s="9"/>
    </row>
    <row r="25" spans="3:8" x14ac:dyDescent="0.25">
      <c r="C25" s="8"/>
      <c r="D25" s="2" t="s">
        <v>6311</v>
      </c>
      <c r="E25" s="2" t="s">
        <v>12</v>
      </c>
      <c r="F25" s="4">
        <v>6</v>
      </c>
      <c r="G25" s="14"/>
      <c r="H25" s="9"/>
    </row>
    <row r="26" spans="3:8" x14ac:dyDescent="0.25">
      <c r="C26" s="8"/>
      <c r="D26" s="2" t="s">
        <v>6312</v>
      </c>
      <c r="E26" s="2" t="s">
        <v>6316</v>
      </c>
      <c r="F26" s="4">
        <v>300</v>
      </c>
      <c r="G26" s="14">
        <v>65.5</v>
      </c>
      <c r="H26" s="9"/>
    </row>
    <row r="27" spans="3:8" x14ac:dyDescent="0.25">
      <c r="C27" s="8"/>
      <c r="D27" s="2" t="s">
        <v>6313</v>
      </c>
      <c r="E27" s="2" t="s">
        <v>12</v>
      </c>
      <c r="F27" s="4">
        <v>36.5</v>
      </c>
      <c r="G27" s="14"/>
      <c r="H27" s="9"/>
    </row>
    <row r="28" spans="3:8" x14ac:dyDescent="0.25">
      <c r="C28" s="8"/>
      <c r="D28" s="2" t="s">
        <v>6314</v>
      </c>
      <c r="E28" s="2" t="s">
        <v>5966</v>
      </c>
      <c r="F28" s="4">
        <v>182.85</v>
      </c>
      <c r="G28" s="14"/>
      <c r="H28" s="9"/>
    </row>
    <row r="29" spans="3:8" x14ac:dyDescent="0.25">
      <c r="C29" s="8"/>
      <c r="D29" s="2" t="s">
        <v>6329</v>
      </c>
      <c r="E29" s="2" t="s">
        <v>12</v>
      </c>
      <c r="F29" s="4">
        <v>2.5</v>
      </c>
      <c r="G29" s="14"/>
      <c r="H29" s="9"/>
    </row>
    <row r="30" spans="3:8" x14ac:dyDescent="0.25">
      <c r="C30" s="8"/>
      <c r="D30" s="2" t="s">
        <v>6330</v>
      </c>
      <c r="E30" s="2" t="s">
        <v>12</v>
      </c>
      <c r="F30" s="4">
        <v>710</v>
      </c>
      <c r="G30" s="14"/>
      <c r="H30" s="9"/>
    </row>
    <row r="31" spans="3:8" x14ac:dyDescent="0.25">
      <c r="C31" s="8"/>
      <c r="D31" s="2" t="s">
        <v>6340</v>
      </c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 t="s">
        <v>6281</v>
      </c>
      <c r="E34" s="2" t="s">
        <v>5056</v>
      </c>
      <c r="F34" s="4">
        <v>1890</v>
      </c>
      <c r="G34" s="14"/>
      <c r="H34" s="9"/>
    </row>
    <row r="35" spans="3:8" x14ac:dyDescent="0.25">
      <c r="C35" s="8"/>
      <c r="D35" s="2" t="s">
        <v>6282</v>
      </c>
      <c r="E35" s="2" t="s">
        <v>6299</v>
      </c>
      <c r="F35" s="4"/>
      <c r="G35" s="14">
        <v>148.5</v>
      </c>
      <c r="H35" s="9"/>
    </row>
    <row r="36" spans="3:8" x14ac:dyDescent="0.25">
      <c r="C36" s="8"/>
      <c r="D36" s="2" t="s">
        <v>6283</v>
      </c>
      <c r="E36" s="2" t="s">
        <v>5394</v>
      </c>
      <c r="F36" s="4"/>
      <c r="G36" s="14"/>
      <c r="H36" s="9">
        <v>7</v>
      </c>
    </row>
    <row r="37" spans="3:8" x14ac:dyDescent="0.25">
      <c r="C37" s="8"/>
      <c r="D37" s="2" t="s">
        <v>6284</v>
      </c>
      <c r="E37" s="2" t="s">
        <v>5394</v>
      </c>
      <c r="F37" s="4">
        <v>6</v>
      </c>
      <c r="G37" s="14"/>
      <c r="H37" s="9"/>
    </row>
    <row r="38" spans="3:8" x14ac:dyDescent="0.25">
      <c r="C38" s="8"/>
      <c r="D38" s="2" t="s">
        <v>6285</v>
      </c>
      <c r="E38" s="2" t="s">
        <v>5394</v>
      </c>
      <c r="F38" s="4">
        <v>6.5</v>
      </c>
      <c r="G38" s="14"/>
      <c r="H38" s="9"/>
    </row>
    <row r="39" spans="3:8" x14ac:dyDescent="0.25">
      <c r="C39" s="8"/>
      <c r="D39" s="2" t="s">
        <v>6286</v>
      </c>
      <c r="E39" s="2" t="s">
        <v>6298</v>
      </c>
      <c r="F39" s="4">
        <v>15.4</v>
      </c>
      <c r="G39" s="14"/>
      <c r="H39" s="9"/>
    </row>
    <row r="40" spans="3:8" x14ac:dyDescent="0.25">
      <c r="C40" s="8"/>
      <c r="D40" s="2" t="s">
        <v>6287</v>
      </c>
      <c r="E40" s="2" t="s">
        <v>6297</v>
      </c>
      <c r="F40" s="4"/>
      <c r="G40" s="14"/>
      <c r="H40" s="9">
        <v>697.2</v>
      </c>
    </row>
    <row r="41" spans="3:8" x14ac:dyDescent="0.25">
      <c r="C41" s="8"/>
      <c r="D41" s="2" t="s">
        <v>6288</v>
      </c>
      <c r="E41" s="2" t="s">
        <v>6088</v>
      </c>
      <c r="F41" s="4">
        <v>146</v>
      </c>
      <c r="G41" s="14"/>
      <c r="H41" s="9"/>
    </row>
    <row r="42" spans="3:8" x14ac:dyDescent="0.25">
      <c r="C42" s="8"/>
      <c r="D42" s="2" t="s">
        <v>6289</v>
      </c>
      <c r="E42" s="2" t="s">
        <v>5394</v>
      </c>
      <c r="F42" s="4">
        <v>15</v>
      </c>
      <c r="G42" s="14"/>
      <c r="H42" s="9"/>
    </row>
    <row r="43" spans="3:8" x14ac:dyDescent="0.25">
      <c r="C43" s="8"/>
      <c r="D43" s="2" t="s">
        <v>6290</v>
      </c>
      <c r="E43" s="2" t="s">
        <v>5951</v>
      </c>
      <c r="F43" s="4"/>
      <c r="G43" s="14"/>
      <c r="H43" s="9">
        <v>76</v>
      </c>
    </row>
    <row r="44" spans="3:8" x14ac:dyDescent="0.25">
      <c r="C44" s="8"/>
      <c r="D44" s="2" t="s">
        <v>6291</v>
      </c>
      <c r="E44" s="2" t="s">
        <v>5133</v>
      </c>
      <c r="F44" s="4"/>
      <c r="G44" s="14"/>
      <c r="H44" s="9">
        <v>80</v>
      </c>
    </row>
    <row r="45" spans="3:8" x14ac:dyDescent="0.25">
      <c r="C45" s="8"/>
      <c r="D45" s="2" t="s">
        <v>6292</v>
      </c>
      <c r="E45" s="2" t="s">
        <v>4619</v>
      </c>
      <c r="F45" s="4"/>
      <c r="G45" s="14"/>
      <c r="H45" s="9">
        <v>9</v>
      </c>
    </row>
    <row r="46" spans="3:8" x14ac:dyDescent="0.25">
      <c r="C46" s="8"/>
      <c r="D46" s="2" t="s">
        <v>6293</v>
      </c>
      <c r="E46" s="2" t="s">
        <v>4619</v>
      </c>
      <c r="F46" s="4"/>
      <c r="G46" s="14"/>
      <c r="H46" s="9">
        <v>182</v>
      </c>
    </row>
    <row r="47" spans="3:8" x14ac:dyDescent="0.25">
      <c r="C47" s="8"/>
      <c r="D47" s="2" t="s">
        <v>6294</v>
      </c>
      <c r="E47" s="2" t="s">
        <v>5394</v>
      </c>
      <c r="F47" s="4"/>
      <c r="G47" s="14"/>
      <c r="H47" s="9">
        <v>5</v>
      </c>
    </row>
    <row r="48" spans="3:8" x14ac:dyDescent="0.25">
      <c r="C48" s="8"/>
      <c r="D48" s="2" t="s">
        <v>6295</v>
      </c>
      <c r="E48" s="2" t="s">
        <v>6085</v>
      </c>
      <c r="F48" s="4"/>
      <c r="G48" s="14"/>
      <c r="H48" s="9">
        <v>353</v>
      </c>
    </row>
    <row r="49" spans="3:8" x14ac:dyDescent="0.25">
      <c r="C49" s="8"/>
      <c r="D49" s="2" t="s">
        <v>6296</v>
      </c>
      <c r="E49" s="2" t="s">
        <v>5394</v>
      </c>
      <c r="F49" s="4">
        <v>12.5</v>
      </c>
      <c r="G49" s="14"/>
      <c r="H49" s="9"/>
    </row>
    <row r="50" spans="3:8" x14ac:dyDescent="0.25">
      <c r="C50" s="8"/>
      <c r="D50" s="2" t="s">
        <v>6317</v>
      </c>
      <c r="E50" s="2" t="s">
        <v>5995</v>
      </c>
      <c r="F50" s="4"/>
      <c r="G50" s="14"/>
      <c r="H50" s="9">
        <v>20</v>
      </c>
    </row>
    <row r="51" spans="3:8" x14ac:dyDescent="0.25">
      <c r="C51" s="8"/>
      <c r="D51" s="2" t="s">
        <v>6318</v>
      </c>
      <c r="E51" s="2" t="s">
        <v>1491</v>
      </c>
      <c r="F51" s="4">
        <v>73.8</v>
      </c>
      <c r="G51" s="14"/>
      <c r="H51" s="9"/>
    </row>
    <row r="52" spans="3:8" x14ac:dyDescent="0.25">
      <c r="C52" s="8"/>
      <c r="D52" s="2" t="s">
        <v>6319</v>
      </c>
      <c r="E52" s="2" t="s">
        <v>507</v>
      </c>
      <c r="F52" s="4">
        <v>300</v>
      </c>
      <c r="G52" s="14"/>
      <c r="H52" s="9"/>
    </row>
    <row r="53" spans="3:8" x14ac:dyDescent="0.25">
      <c r="C53" s="8"/>
      <c r="D53" s="2" t="s">
        <v>6320</v>
      </c>
      <c r="E53" s="2" t="s">
        <v>5394</v>
      </c>
      <c r="F53" s="4">
        <v>1</v>
      </c>
      <c r="G53" s="14"/>
      <c r="H53" s="9"/>
    </row>
    <row r="54" spans="3:8" x14ac:dyDescent="0.25">
      <c r="C54" s="8"/>
      <c r="D54" s="2" t="s">
        <v>6321</v>
      </c>
      <c r="E54" s="2" t="s">
        <v>5394</v>
      </c>
      <c r="F54" s="4"/>
      <c r="G54" s="14"/>
      <c r="H54" s="9">
        <v>15</v>
      </c>
    </row>
    <row r="55" spans="3:8" x14ac:dyDescent="0.25">
      <c r="C55" s="8"/>
      <c r="D55" s="2" t="s">
        <v>6322</v>
      </c>
      <c r="E55" s="2" t="s">
        <v>5394</v>
      </c>
      <c r="F55" s="4">
        <v>11</v>
      </c>
      <c r="G55" s="14"/>
      <c r="H55" s="9"/>
    </row>
    <row r="56" spans="3:8" x14ac:dyDescent="0.25">
      <c r="C56" s="8"/>
      <c r="D56" s="2" t="s">
        <v>6323</v>
      </c>
      <c r="E56" s="2" t="s">
        <v>40</v>
      </c>
      <c r="F56" s="4"/>
      <c r="G56" s="14">
        <v>3433</v>
      </c>
      <c r="H56" s="9"/>
    </row>
    <row r="57" spans="3:8" x14ac:dyDescent="0.25">
      <c r="C57" s="8"/>
      <c r="D57" s="2" t="s">
        <v>6324</v>
      </c>
      <c r="E57" s="2" t="s">
        <v>5394</v>
      </c>
      <c r="F57" s="4">
        <v>1</v>
      </c>
      <c r="G57" s="14"/>
      <c r="H57" s="9"/>
    </row>
    <row r="58" spans="3:8" x14ac:dyDescent="0.25">
      <c r="C58" s="8"/>
      <c r="D58" s="2" t="s">
        <v>6325</v>
      </c>
      <c r="E58" s="2" t="s">
        <v>5394</v>
      </c>
      <c r="F58" s="4">
        <v>10</v>
      </c>
      <c r="G58" s="14"/>
      <c r="H58" s="9"/>
    </row>
    <row r="59" spans="3:8" x14ac:dyDescent="0.25">
      <c r="C59" s="8"/>
      <c r="D59" s="2" t="s">
        <v>6326</v>
      </c>
      <c r="E59" s="2" t="s">
        <v>58</v>
      </c>
      <c r="F59" s="4"/>
      <c r="G59" s="14"/>
      <c r="H59" s="9">
        <v>16</v>
      </c>
    </row>
    <row r="60" spans="3:8" x14ac:dyDescent="0.25">
      <c r="C60" s="8"/>
      <c r="D60" s="2" t="s">
        <v>6327</v>
      </c>
      <c r="E60" s="2" t="s">
        <v>5394</v>
      </c>
      <c r="F60" s="4">
        <v>12.5</v>
      </c>
      <c r="G60" s="14"/>
      <c r="H60" s="9"/>
    </row>
    <row r="61" spans="3:8" x14ac:dyDescent="0.25">
      <c r="C61" s="8"/>
      <c r="D61" s="2" t="s">
        <v>6331</v>
      </c>
      <c r="E61" s="2" t="s">
        <v>5394</v>
      </c>
      <c r="F61" s="4">
        <v>1</v>
      </c>
      <c r="G61" s="14"/>
      <c r="H61" s="9"/>
    </row>
    <row r="62" spans="3:8" x14ac:dyDescent="0.25">
      <c r="C62" s="8"/>
      <c r="D62" s="2" t="s">
        <v>6362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8" x14ac:dyDescent="0.25">
      <c r="C65" s="8"/>
      <c r="D65" s="45" t="s">
        <v>6274</v>
      </c>
      <c r="E65" s="68" t="s">
        <v>4411</v>
      </c>
      <c r="F65" s="4"/>
      <c r="G65" s="14"/>
      <c r="H65" s="9">
        <v>172.5</v>
      </c>
    </row>
    <row r="66" spans="3:8" x14ac:dyDescent="0.25">
      <c r="C66" s="8"/>
      <c r="D66" s="45" t="s">
        <v>6304</v>
      </c>
      <c r="E66" s="68" t="s">
        <v>6305</v>
      </c>
      <c r="F66" s="4"/>
      <c r="G66" s="14"/>
      <c r="H66" s="9">
        <v>225</v>
      </c>
    </row>
    <row r="67" spans="3:8" x14ac:dyDescent="0.25">
      <c r="C67" s="8"/>
      <c r="D67" s="45" t="s">
        <v>6306</v>
      </c>
      <c r="E67" s="68" t="s">
        <v>5415</v>
      </c>
      <c r="F67" s="4"/>
      <c r="G67" s="14"/>
      <c r="H67" s="9">
        <v>575</v>
      </c>
    </row>
    <row r="68" spans="3:8" x14ac:dyDescent="0.25">
      <c r="C68" s="8"/>
      <c r="D68" s="45" t="s">
        <v>6307</v>
      </c>
      <c r="E68" s="68" t="s">
        <v>5339</v>
      </c>
      <c r="F68" s="4"/>
      <c r="G68" s="14">
        <v>970</v>
      </c>
      <c r="H68" s="9"/>
    </row>
    <row r="69" spans="3:8" x14ac:dyDescent="0.25">
      <c r="C69" s="8"/>
      <c r="D69" s="45" t="s">
        <v>6335</v>
      </c>
      <c r="E69" s="68"/>
      <c r="F69" s="4"/>
      <c r="G69" s="14"/>
      <c r="H69" s="9"/>
    </row>
    <row r="70" spans="3:8" x14ac:dyDescent="0.25">
      <c r="C70" s="8"/>
      <c r="D70" s="45"/>
      <c r="E70" s="68"/>
      <c r="F70" s="4"/>
      <c r="G70" s="14"/>
      <c r="H70" s="9"/>
    </row>
    <row r="71" spans="3:8" x14ac:dyDescent="0.25">
      <c r="C71" s="8"/>
      <c r="D71" s="45"/>
      <c r="E71" s="68"/>
      <c r="F71" s="4"/>
      <c r="G71" s="14"/>
      <c r="H71" s="9"/>
    </row>
    <row r="72" spans="3:8" x14ac:dyDescent="0.25">
      <c r="C72" s="8"/>
      <c r="D72" s="45"/>
      <c r="E72" s="68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16"/>
      <c r="D74" s="17"/>
      <c r="E74" s="17" t="s">
        <v>39</v>
      </c>
      <c r="F74" s="4"/>
      <c r="G74" s="14"/>
      <c r="H74" s="9"/>
    </row>
    <row r="75" spans="3:8" x14ac:dyDescent="0.25">
      <c r="C75" s="8"/>
      <c r="D75" s="2"/>
      <c r="E75" s="2" t="s">
        <v>6300</v>
      </c>
      <c r="F75" s="4">
        <v>30</v>
      </c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9"/>
      <c r="D79" s="20"/>
      <c r="E79" s="20" t="s">
        <v>42</v>
      </c>
      <c r="F79" s="4"/>
      <c r="G79" s="14"/>
      <c r="H79" s="9"/>
    </row>
    <row r="80" spans="3:8" x14ac:dyDescent="0.25">
      <c r="C80" s="34"/>
      <c r="D80" s="42" t="s">
        <v>6257</v>
      </c>
      <c r="E80" s="68" t="s">
        <v>6256</v>
      </c>
      <c r="F80" s="14">
        <v>-300</v>
      </c>
      <c r="G80" s="14"/>
      <c r="H80" s="9"/>
    </row>
    <row r="81" spans="3:8" x14ac:dyDescent="0.25">
      <c r="C81" s="34"/>
      <c r="D81" s="42"/>
      <c r="E81" s="68" t="s">
        <v>6301</v>
      </c>
      <c r="F81" s="14">
        <v>-15</v>
      </c>
      <c r="G81" s="14"/>
      <c r="H81" s="9"/>
    </row>
    <row r="82" spans="3:8" x14ac:dyDescent="0.25">
      <c r="C82" s="34"/>
      <c r="D82" s="42"/>
      <c r="E82" s="68" t="s">
        <v>4056</v>
      </c>
      <c r="F82" s="14">
        <v>-5</v>
      </c>
      <c r="G82" s="14"/>
      <c r="H82" s="9"/>
    </row>
    <row r="83" spans="3:8" x14ac:dyDescent="0.25">
      <c r="C83" s="34"/>
      <c r="D83" s="42"/>
      <c r="E83" s="68" t="s">
        <v>6302</v>
      </c>
      <c r="F83" s="14">
        <v>-390</v>
      </c>
      <c r="G83" s="14"/>
      <c r="H83" s="9"/>
    </row>
    <row r="84" spans="3:8" x14ac:dyDescent="0.25">
      <c r="C84" s="34"/>
      <c r="D84" s="42" t="s">
        <v>6257</v>
      </c>
      <c r="E84" s="68" t="s">
        <v>6303</v>
      </c>
      <c r="F84" s="14">
        <v>-1330</v>
      </c>
      <c r="G84" s="14"/>
      <c r="H84" s="9"/>
    </row>
    <row r="85" spans="3:8" x14ac:dyDescent="0.25">
      <c r="C85" s="34"/>
      <c r="D85" s="42"/>
      <c r="E85" s="68" t="s">
        <v>4965</v>
      </c>
      <c r="F85" s="14">
        <v>-100</v>
      </c>
      <c r="G85" s="14"/>
      <c r="H85" s="9"/>
    </row>
    <row r="86" spans="3:8" x14ac:dyDescent="0.25">
      <c r="C86" s="34"/>
      <c r="D86" s="42"/>
      <c r="E86" s="68" t="s">
        <v>6328</v>
      </c>
      <c r="F86" s="14">
        <v>-50</v>
      </c>
      <c r="G86" s="14"/>
      <c r="H86" s="9"/>
    </row>
    <row r="87" spans="3:8" x14ac:dyDescent="0.25">
      <c r="C87" s="34"/>
      <c r="D87" s="42"/>
      <c r="E87" s="68" t="s">
        <v>5636</v>
      </c>
      <c r="F87" s="14">
        <v>-198.25</v>
      </c>
      <c r="G87" s="14"/>
      <c r="H87" s="9"/>
    </row>
    <row r="88" spans="3:8" x14ac:dyDescent="0.25">
      <c r="C88" s="34"/>
      <c r="D88" s="42"/>
      <c r="E88" s="68" t="s">
        <v>6332</v>
      </c>
      <c r="F88" s="14">
        <v>-1015</v>
      </c>
      <c r="G88" s="14"/>
      <c r="H88" s="9"/>
    </row>
    <row r="89" spans="3:8" x14ac:dyDescent="0.25">
      <c r="C89" s="34"/>
      <c r="D89" s="42"/>
      <c r="E89" s="68"/>
      <c r="F89" s="14"/>
      <c r="G89" s="14"/>
      <c r="H89" s="9"/>
    </row>
    <row r="90" spans="3:8" x14ac:dyDescent="0.25">
      <c r="C90" s="34"/>
      <c r="D90" s="42"/>
      <c r="E90" s="68"/>
      <c r="F90" s="14"/>
      <c r="G90" s="14"/>
      <c r="H90" s="9"/>
    </row>
    <row r="91" spans="3:8" x14ac:dyDescent="0.25">
      <c r="C91" s="34"/>
      <c r="D91" s="42"/>
      <c r="E91" s="68"/>
      <c r="F91" s="14"/>
      <c r="G91" s="14"/>
      <c r="H91" s="9"/>
    </row>
    <row r="92" spans="3:8" x14ac:dyDescent="0.25">
      <c r="C92" s="34"/>
      <c r="D92" s="42"/>
      <c r="E92" s="68"/>
      <c r="F92" s="14"/>
      <c r="G92" s="14"/>
      <c r="H92" s="9"/>
    </row>
    <row r="93" spans="3:8" x14ac:dyDescent="0.25">
      <c r="C93" s="34"/>
      <c r="D93" s="42"/>
      <c r="E93" s="68"/>
      <c r="F93" s="14"/>
      <c r="G93" s="14"/>
      <c r="H93" s="9"/>
    </row>
    <row r="94" spans="3:8" x14ac:dyDescent="0.25">
      <c r="C94" s="34"/>
      <c r="D94" s="42"/>
      <c r="E94" s="68"/>
      <c r="F94" s="1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SUM(F6:F94)</f>
        <v>1468.3999999999996</v>
      </c>
      <c r="G95" s="15">
        <f>SUM(G9:G94)</f>
        <v>4867.5</v>
      </c>
      <c r="H95" s="13">
        <f>SUM(H9:H94)</f>
        <v>3926.4</v>
      </c>
    </row>
    <row r="98" spans="3:6" s="3" customFormat="1" ht="18.75" x14ac:dyDescent="0.3">
      <c r="C98" s="1"/>
      <c r="D98" s="1"/>
      <c r="E98" s="38" t="s">
        <v>49</v>
      </c>
      <c r="F98" s="39">
        <f>+H4+F95</f>
        <v>16016.44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DF85-DECE-4E64-A8B1-00F6377C3BE1}">
  <sheetPr codeName="Hoja73"/>
  <dimension ref="C2:H105"/>
  <sheetViews>
    <sheetView topLeftCell="B1" zoomScaleNormal="100" workbookViewId="0">
      <selection activeCell="E83" sqref="E83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6333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16016.44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6340</v>
      </c>
      <c r="E6" s="2" t="s">
        <v>5527</v>
      </c>
      <c r="F6" s="109"/>
      <c r="G6" s="113"/>
      <c r="H6" s="112">
        <v>178.5</v>
      </c>
    </row>
    <row r="7" spans="3:8" x14ac:dyDescent="0.25">
      <c r="C7" s="24"/>
      <c r="D7" s="2" t="s">
        <v>6341</v>
      </c>
      <c r="E7" s="2" t="s">
        <v>6055</v>
      </c>
      <c r="F7" s="109"/>
      <c r="G7" s="113">
        <v>680.8</v>
      </c>
      <c r="H7" s="112"/>
    </row>
    <row r="8" spans="3:8" x14ac:dyDescent="0.25">
      <c r="C8" s="24"/>
      <c r="D8" s="2" t="s">
        <v>6342</v>
      </c>
      <c r="E8" s="2" t="s">
        <v>12</v>
      </c>
      <c r="F8" s="109"/>
      <c r="G8" s="113"/>
      <c r="H8" s="112">
        <v>5</v>
      </c>
    </row>
    <row r="9" spans="3:8" x14ac:dyDescent="0.25">
      <c r="C9" s="8"/>
      <c r="D9" s="2" t="s">
        <v>6343</v>
      </c>
      <c r="E9" s="2" t="s">
        <v>12</v>
      </c>
      <c r="F9" s="4"/>
      <c r="G9" s="14"/>
      <c r="H9" s="9">
        <v>5</v>
      </c>
    </row>
    <row r="10" spans="3:8" x14ac:dyDescent="0.25">
      <c r="C10" s="8"/>
      <c r="D10" s="2" t="s">
        <v>6344</v>
      </c>
      <c r="E10" s="2" t="s">
        <v>266</v>
      </c>
      <c r="F10" s="4"/>
      <c r="G10" s="14">
        <v>725.4</v>
      </c>
      <c r="H10" s="9"/>
    </row>
    <row r="11" spans="3:8" x14ac:dyDescent="0.25">
      <c r="C11" s="8"/>
      <c r="D11" s="2" t="s">
        <v>6345</v>
      </c>
      <c r="E11" s="2" t="s">
        <v>6361</v>
      </c>
      <c r="F11" s="4">
        <v>43.5</v>
      </c>
      <c r="G11" s="14"/>
      <c r="H11" s="9"/>
    </row>
    <row r="12" spans="3:8" x14ac:dyDescent="0.25">
      <c r="C12" s="8"/>
      <c r="D12" s="2" t="s">
        <v>6346</v>
      </c>
      <c r="E12" s="2" t="s">
        <v>6360</v>
      </c>
      <c r="F12" s="4">
        <v>684</v>
      </c>
      <c r="G12" s="14"/>
      <c r="H12" s="9"/>
    </row>
    <row r="13" spans="3:8" x14ac:dyDescent="0.25">
      <c r="C13" s="8"/>
      <c r="D13" s="2" t="s">
        <v>6347</v>
      </c>
      <c r="E13" s="2" t="s">
        <v>12</v>
      </c>
      <c r="F13" s="4">
        <v>17</v>
      </c>
      <c r="G13" s="14"/>
      <c r="H13" s="9"/>
    </row>
    <row r="14" spans="3:8" x14ac:dyDescent="0.25">
      <c r="C14" s="8"/>
      <c r="D14" s="2" t="s">
        <v>6348</v>
      </c>
      <c r="E14" s="2" t="s">
        <v>6279</v>
      </c>
      <c r="F14" s="4"/>
      <c r="G14" s="14"/>
      <c r="H14" s="9">
        <v>34</v>
      </c>
    </row>
    <row r="15" spans="3:8" x14ac:dyDescent="0.25">
      <c r="C15" s="8"/>
      <c r="D15" s="2" t="s">
        <v>6349</v>
      </c>
      <c r="E15" s="2" t="s">
        <v>12</v>
      </c>
      <c r="F15" s="4">
        <v>5</v>
      </c>
      <c r="G15" s="14"/>
      <c r="H15" s="9"/>
    </row>
    <row r="16" spans="3:8" x14ac:dyDescent="0.25">
      <c r="C16" s="8"/>
      <c r="D16" s="2" t="s">
        <v>6350</v>
      </c>
      <c r="E16" s="2" t="s">
        <v>12</v>
      </c>
      <c r="F16" s="4"/>
      <c r="G16" s="14"/>
      <c r="H16" s="9">
        <v>45</v>
      </c>
    </row>
    <row r="17" spans="3:8" x14ac:dyDescent="0.25">
      <c r="C17" s="8"/>
      <c r="D17" s="2" t="s">
        <v>6351</v>
      </c>
      <c r="E17" s="2" t="s">
        <v>12</v>
      </c>
      <c r="F17" s="4">
        <v>3</v>
      </c>
      <c r="G17" s="14"/>
      <c r="H17" s="9"/>
    </row>
    <row r="18" spans="3:8" x14ac:dyDescent="0.25">
      <c r="C18" s="8"/>
      <c r="D18" s="2" t="s">
        <v>6352</v>
      </c>
      <c r="E18" s="2" t="s">
        <v>12</v>
      </c>
      <c r="F18" s="4">
        <v>21</v>
      </c>
      <c r="G18" s="14"/>
      <c r="H18" s="9"/>
    </row>
    <row r="19" spans="3:8" x14ac:dyDescent="0.25">
      <c r="C19" s="8"/>
      <c r="D19" s="2" t="s">
        <v>6353</v>
      </c>
      <c r="E19" s="2" t="s">
        <v>6359</v>
      </c>
      <c r="F19" s="35">
        <v>2000</v>
      </c>
      <c r="G19" s="14"/>
      <c r="H19" s="9">
        <v>800</v>
      </c>
    </row>
    <row r="20" spans="3:8" x14ac:dyDescent="0.25">
      <c r="C20" s="8"/>
      <c r="D20" s="2" t="s">
        <v>6354</v>
      </c>
      <c r="E20" s="2" t="s">
        <v>12</v>
      </c>
      <c r="F20" s="4">
        <v>1</v>
      </c>
      <c r="G20" s="14"/>
      <c r="H20" s="9"/>
    </row>
    <row r="21" spans="3:8" x14ac:dyDescent="0.25">
      <c r="C21" s="8"/>
      <c r="D21" s="2" t="s">
        <v>6355</v>
      </c>
      <c r="E21" s="2" t="s">
        <v>6358</v>
      </c>
      <c r="F21" s="4"/>
      <c r="G21" s="14"/>
      <c r="H21" s="9">
        <v>542</v>
      </c>
    </row>
    <row r="22" spans="3:8" x14ac:dyDescent="0.25">
      <c r="C22" s="8"/>
      <c r="D22" s="2" t="s">
        <v>6356</v>
      </c>
      <c r="E22" s="2" t="s">
        <v>12</v>
      </c>
      <c r="F22" s="4">
        <v>1</v>
      </c>
      <c r="G22" s="14"/>
      <c r="H22" s="9"/>
    </row>
    <row r="23" spans="3:8" x14ac:dyDescent="0.25">
      <c r="C23" s="8"/>
      <c r="D23" s="2" t="s">
        <v>6357</v>
      </c>
      <c r="E23" s="2" t="s">
        <v>12</v>
      </c>
      <c r="F23" s="4"/>
      <c r="G23" s="14"/>
      <c r="H23" s="9">
        <v>5</v>
      </c>
    </row>
    <row r="24" spans="3:8" x14ac:dyDescent="0.25">
      <c r="C24" s="8"/>
      <c r="D24" s="2" t="s">
        <v>6363</v>
      </c>
      <c r="E24" s="2" t="s">
        <v>6366</v>
      </c>
      <c r="F24" s="4">
        <v>35</v>
      </c>
      <c r="G24" s="14"/>
      <c r="H24" s="9"/>
    </row>
    <row r="25" spans="3:8" x14ac:dyDescent="0.25">
      <c r="C25" s="8"/>
      <c r="D25" s="2" t="s">
        <v>6364</v>
      </c>
      <c r="E25" s="2" t="s">
        <v>12</v>
      </c>
      <c r="F25" s="4">
        <v>6</v>
      </c>
      <c r="G25" s="14"/>
      <c r="H25" s="9"/>
    </row>
    <row r="26" spans="3:8" x14ac:dyDescent="0.25">
      <c r="C26" s="8"/>
      <c r="D26" s="2" t="s">
        <v>6365</v>
      </c>
      <c r="E26" s="2" t="s">
        <v>12</v>
      </c>
      <c r="F26" s="4">
        <v>18</v>
      </c>
      <c r="G26" s="14"/>
      <c r="H26" s="9"/>
    </row>
    <row r="27" spans="3:8" x14ac:dyDescent="0.25">
      <c r="C27" s="8"/>
      <c r="D27" s="2" t="s">
        <v>6400</v>
      </c>
      <c r="E27" s="2" t="s">
        <v>6411</v>
      </c>
      <c r="F27" s="4"/>
      <c r="G27" s="14">
        <v>2360</v>
      </c>
      <c r="H27" s="9"/>
    </row>
    <row r="28" spans="3:8" x14ac:dyDescent="0.25">
      <c r="C28" s="8"/>
      <c r="D28" s="2" t="s">
        <v>6401</v>
      </c>
      <c r="E28" s="2" t="s">
        <v>5918</v>
      </c>
      <c r="F28" s="4">
        <v>1</v>
      </c>
      <c r="G28" s="14"/>
      <c r="H28" s="9"/>
    </row>
    <row r="29" spans="3:8" x14ac:dyDescent="0.25">
      <c r="C29" s="8"/>
      <c r="D29" s="2" t="s">
        <v>6402</v>
      </c>
      <c r="E29" s="2" t="s">
        <v>5918</v>
      </c>
      <c r="F29" s="4">
        <v>6</v>
      </c>
      <c r="G29" s="14"/>
      <c r="H29" s="9"/>
    </row>
    <row r="30" spans="3:8" x14ac:dyDescent="0.25">
      <c r="C30" s="8"/>
      <c r="D30" s="2" t="s">
        <v>6403</v>
      </c>
      <c r="E30" s="2" t="s">
        <v>5918</v>
      </c>
      <c r="F30" s="4">
        <v>26</v>
      </c>
      <c r="G30" s="14"/>
      <c r="H30" s="9"/>
    </row>
    <row r="31" spans="3:8" x14ac:dyDescent="0.25">
      <c r="C31" s="8"/>
      <c r="D31" s="2" t="s">
        <v>6404</v>
      </c>
      <c r="E31" s="2" t="s">
        <v>6412</v>
      </c>
      <c r="F31" s="4"/>
      <c r="G31" s="14">
        <v>167.5</v>
      </c>
      <c r="H31" s="9"/>
    </row>
    <row r="32" spans="3:8" x14ac:dyDescent="0.25">
      <c r="C32" s="8"/>
      <c r="D32" s="2" t="s">
        <v>6405</v>
      </c>
      <c r="E32" s="2" t="s">
        <v>6412</v>
      </c>
      <c r="F32" s="4">
        <v>280</v>
      </c>
      <c r="G32" s="14"/>
      <c r="H32" s="9"/>
    </row>
    <row r="33" spans="3:8" x14ac:dyDescent="0.25">
      <c r="C33" s="8"/>
      <c r="D33" s="2" t="s">
        <v>6406</v>
      </c>
      <c r="E33" s="2" t="s">
        <v>5918</v>
      </c>
      <c r="F33" s="4">
        <v>10</v>
      </c>
      <c r="G33" s="14"/>
      <c r="H33" s="9"/>
    </row>
    <row r="34" spans="3:8" x14ac:dyDescent="0.25">
      <c r="C34" s="8"/>
      <c r="D34" s="2" t="s">
        <v>6407</v>
      </c>
      <c r="E34" s="2" t="s">
        <v>5918</v>
      </c>
      <c r="F34" s="4"/>
      <c r="G34" s="14"/>
      <c r="H34" s="9">
        <v>59</v>
      </c>
    </row>
    <row r="35" spans="3:8" x14ac:dyDescent="0.25">
      <c r="C35" s="8"/>
      <c r="D35" s="2" t="s">
        <v>6408</v>
      </c>
      <c r="E35" s="2" t="s">
        <v>5918</v>
      </c>
      <c r="F35" s="4">
        <v>8</v>
      </c>
      <c r="G35" s="14"/>
      <c r="H35" s="9"/>
    </row>
    <row r="36" spans="3:8" x14ac:dyDescent="0.25">
      <c r="C36" s="8"/>
      <c r="D36" s="2" t="s">
        <v>6409</v>
      </c>
      <c r="E36" s="2" t="s">
        <v>5918</v>
      </c>
      <c r="F36" s="4">
        <v>9</v>
      </c>
      <c r="G36" s="14"/>
      <c r="H36" s="9"/>
    </row>
    <row r="37" spans="3:8" x14ac:dyDescent="0.25">
      <c r="C37" s="8"/>
      <c r="D37" s="2" t="s">
        <v>6410</v>
      </c>
      <c r="E37" s="2" t="s">
        <v>5918</v>
      </c>
      <c r="F37" s="4">
        <v>22</v>
      </c>
      <c r="G37" s="14"/>
      <c r="H37" s="9"/>
    </row>
    <row r="38" spans="3:8" x14ac:dyDescent="0.25">
      <c r="C38" s="8"/>
      <c r="D38" s="2" t="s">
        <v>6425</v>
      </c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 t="s">
        <v>6362</v>
      </c>
      <c r="E42" s="2" t="s">
        <v>6396</v>
      </c>
      <c r="F42" s="4"/>
      <c r="G42" s="14">
        <v>1825</v>
      </c>
      <c r="H42" s="9"/>
    </row>
    <row r="43" spans="3:8" x14ac:dyDescent="0.25">
      <c r="C43" s="8"/>
      <c r="D43" s="2" t="s">
        <v>6367</v>
      </c>
      <c r="E43" s="2" t="s">
        <v>6395</v>
      </c>
      <c r="F43" s="4">
        <v>996</v>
      </c>
      <c r="G43" s="14"/>
      <c r="H43" s="9">
        <v>664</v>
      </c>
    </row>
    <row r="44" spans="3:8" x14ac:dyDescent="0.25">
      <c r="C44" s="8"/>
      <c r="D44" s="2" t="s">
        <v>6368</v>
      </c>
      <c r="E44" s="2" t="s">
        <v>1631</v>
      </c>
      <c r="F44" s="4"/>
      <c r="G44" s="14"/>
      <c r="H44" s="9">
        <v>125</v>
      </c>
    </row>
    <row r="45" spans="3:8" x14ac:dyDescent="0.25">
      <c r="C45" s="8"/>
      <c r="D45" s="2" t="s">
        <v>6369</v>
      </c>
      <c r="E45" s="2" t="s">
        <v>6394</v>
      </c>
      <c r="F45" s="4">
        <v>43.5</v>
      </c>
      <c r="G45" s="14"/>
      <c r="H45" s="9"/>
    </row>
    <row r="46" spans="3:8" x14ac:dyDescent="0.25">
      <c r="C46" s="8"/>
      <c r="D46" s="2" t="s">
        <v>6370</v>
      </c>
      <c r="E46" s="2" t="s">
        <v>1631</v>
      </c>
      <c r="F46" s="4">
        <v>17</v>
      </c>
      <c r="G46" s="14"/>
      <c r="H46" s="9"/>
    </row>
    <row r="47" spans="3:8" x14ac:dyDescent="0.25">
      <c r="C47" s="8"/>
      <c r="D47" s="2" t="s">
        <v>6371</v>
      </c>
      <c r="E47" s="2" t="s">
        <v>4618</v>
      </c>
      <c r="F47" s="4"/>
      <c r="G47" s="14"/>
      <c r="H47" s="9">
        <v>37.5</v>
      </c>
    </row>
    <row r="48" spans="3:8" x14ac:dyDescent="0.25">
      <c r="C48" s="8"/>
      <c r="D48" s="2" t="s">
        <v>6372</v>
      </c>
      <c r="E48" s="2" t="s">
        <v>1631</v>
      </c>
      <c r="F48" s="4">
        <v>8</v>
      </c>
      <c r="G48" s="14"/>
      <c r="H48" s="9"/>
    </row>
    <row r="49" spans="3:8" x14ac:dyDescent="0.25">
      <c r="C49" s="8"/>
      <c r="D49" s="2" t="s">
        <v>6373</v>
      </c>
      <c r="E49" s="2" t="s">
        <v>6393</v>
      </c>
      <c r="F49" s="4"/>
      <c r="G49" s="14"/>
      <c r="H49" s="9">
        <v>1754.5</v>
      </c>
    </row>
    <row r="50" spans="3:8" x14ac:dyDescent="0.25">
      <c r="C50" s="8"/>
      <c r="D50" s="2" t="s">
        <v>6374</v>
      </c>
      <c r="E50" s="2" t="s">
        <v>5035</v>
      </c>
      <c r="F50" s="4"/>
      <c r="G50" s="14">
        <v>2297.1</v>
      </c>
      <c r="H50" s="9"/>
    </row>
    <row r="51" spans="3:8" x14ac:dyDescent="0.25">
      <c r="C51" s="8"/>
      <c r="D51" s="2" t="s">
        <v>6375</v>
      </c>
      <c r="E51" s="2" t="s">
        <v>1631</v>
      </c>
      <c r="F51" s="4">
        <v>22</v>
      </c>
      <c r="G51" s="14"/>
      <c r="H51" s="9"/>
    </row>
    <row r="52" spans="3:8" x14ac:dyDescent="0.25">
      <c r="C52" s="8"/>
      <c r="D52" s="2" t="s">
        <v>6376</v>
      </c>
      <c r="E52" s="2" t="s">
        <v>58</v>
      </c>
      <c r="F52" s="4"/>
      <c r="G52" s="14"/>
      <c r="H52" s="9">
        <v>15</v>
      </c>
    </row>
    <row r="53" spans="3:8" x14ac:dyDescent="0.25">
      <c r="C53" s="8"/>
      <c r="D53" s="2" t="s">
        <v>6377</v>
      </c>
      <c r="E53" s="2" t="s">
        <v>1631</v>
      </c>
      <c r="F53" s="4"/>
      <c r="G53" s="14"/>
      <c r="H53" s="9">
        <v>10</v>
      </c>
    </row>
    <row r="54" spans="3:8" x14ac:dyDescent="0.25">
      <c r="C54" s="8"/>
      <c r="D54" s="2" t="s">
        <v>6378</v>
      </c>
      <c r="E54" s="2" t="s">
        <v>5422</v>
      </c>
      <c r="F54" s="4"/>
      <c r="G54" s="14"/>
      <c r="H54" s="9">
        <v>83.6</v>
      </c>
    </row>
    <row r="55" spans="3:8" x14ac:dyDescent="0.25">
      <c r="C55" s="8"/>
      <c r="D55" s="2" t="s">
        <v>6379</v>
      </c>
      <c r="E55" s="2" t="s">
        <v>5919</v>
      </c>
      <c r="F55" s="4">
        <v>17</v>
      </c>
      <c r="G55" s="14"/>
      <c r="H55" s="9"/>
    </row>
    <row r="56" spans="3:8" x14ac:dyDescent="0.25">
      <c r="C56" s="8"/>
      <c r="D56" s="2" t="s">
        <v>6380</v>
      </c>
      <c r="E56" s="2" t="s">
        <v>1456</v>
      </c>
      <c r="F56" s="4"/>
      <c r="G56" s="14">
        <v>75</v>
      </c>
      <c r="H56" s="9"/>
    </row>
    <row r="57" spans="3:8" x14ac:dyDescent="0.25">
      <c r="C57" s="8"/>
      <c r="D57" s="2" t="s">
        <v>6381</v>
      </c>
      <c r="E57" s="2" t="s">
        <v>1631</v>
      </c>
      <c r="F57" s="4">
        <v>16</v>
      </c>
      <c r="G57" s="14"/>
      <c r="H57" s="9"/>
    </row>
    <row r="58" spans="3:8" x14ac:dyDescent="0.25">
      <c r="C58" s="8"/>
      <c r="D58" s="2" t="s">
        <v>6382</v>
      </c>
      <c r="E58" s="2" t="s">
        <v>58</v>
      </c>
      <c r="F58" s="4"/>
      <c r="G58" s="14"/>
      <c r="H58" s="9">
        <v>102</v>
      </c>
    </row>
    <row r="59" spans="3:8" x14ac:dyDescent="0.25">
      <c r="C59" s="8"/>
      <c r="D59" s="2" t="s">
        <v>6383</v>
      </c>
      <c r="E59" s="2" t="s">
        <v>4618</v>
      </c>
      <c r="F59" s="4"/>
      <c r="G59" s="14"/>
      <c r="H59" s="9">
        <v>238</v>
      </c>
    </row>
    <row r="60" spans="3:8" x14ac:dyDescent="0.25">
      <c r="C60" s="8"/>
      <c r="D60" s="2" t="s">
        <v>6384</v>
      </c>
      <c r="E60" s="2" t="s">
        <v>1631</v>
      </c>
      <c r="F60" s="4"/>
      <c r="G60" s="14"/>
      <c r="H60" s="9">
        <v>20.5</v>
      </c>
    </row>
    <row r="61" spans="3:8" x14ac:dyDescent="0.25">
      <c r="C61" s="8"/>
      <c r="D61" s="2" t="s">
        <v>6385</v>
      </c>
      <c r="E61" s="2" t="s">
        <v>1631</v>
      </c>
      <c r="F61" s="4">
        <v>6</v>
      </c>
      <c r="G61" s="14"/>
      <c r="H61" s="9"/>
    </row>
    <row r="62" spans="3:8" x14ac:dyDescent="0.25">
      <c r="C62" s="8"/>
      <c r="D62" s="2" t="s">
        <v>6386</v>
      </c>
      <c r="E62" s="2" t="s">
        <v>1631</v>
      </c>
      <c r="F62" s="4"/>
      <c r="G62" s="14"/>
      <c r="H62" s="9">
        <v>9</v>
      </c>
    </row>
    <row r="63" spans="3:8" x14ac:dyDescent="0.25">
      <c r="C63" s="8"/>
      <c r="D63" s="2" t="s">
        <v>6413</v>
      </c>
      <c r="E63" s="2" t="s">
        <v>6416</v>
      </c>
      <c r="F63" s="4"/>
      <c r="G63" s="14">
        <v>85</v>
      </c>
      <c r="H63" s="9"/>
    </row>
    <row r="64" spans="3:8" x14ac:dyDescent="0.25">
      <c r="C64" s="8"/>
      <c r="D64" s="2" t="s">
        <v>6414</v>
      </c>
      <c r="E64" s="2" t="s">
        <v>779</v>
      </c>
      <c r="F64" s="4"/>
      <c r="G64" s="14">
        <v>18.399999999999999</v>
      </c>
      <c r="H64" s="9"/>
    </row>
    <row r="65" spans="3:8" x14ac:dyDescent="0.25">
      <c r="C65" s="8"/>
      <c r="D65" s="2" t="s">
        <v>6415</v>
      </c>
      <c r="E65" s="2" t="s">
        <v>58</v>
      </c>
      <c r="F65" s="4"/>
      <c r="G65" s="14"/>
      <c r="H65" s="9">
        <v>215</v>
      </c>
    </row>
    <row r="66" spans="3:8" x14ac:dyDescent="0.25">
      <c r="C66" s="8"/>
      <c r="D66" s="2" t="s">
        <v>6421</v>
      </c>
      <c r="E66" s="2" t="s">
        <v>5420</v>
      </c>
      <c r="F66" s="4">
        <v>1854</v>
      </c>
      <c r="G66" s="14"/>
      <c r="H66" s="9">
        <v>200</v>
      </c>
    </row>
    <row r="67" spans="3:8" x14ac:dyDescent="0.25">
      <c r="C67" s="8"/>
      <c r="D67" s="2" t="s">
        <v>6422</v>
      </c>
      <c r="E67" s="2" t="s">
        <v>6420</v>
      </c>
      <c r="F67" s="4"/>
      <c r="G67" s="14">
        <v>2762</v>
      </c>
      <c r="H67" s="9"/>
    </row>
    <row r="68" spans="3:8" x14ac:dyDescent="0.25">
      <c r="C68" s="8"/>
      <c r="D68" s="2" t="s">
        <v>6443</v>
      </c>
      <c r="E68" s="2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29"/>
      <c r="D71" s="30"/>
      <c r="E71" s="30" t="s">
        <v>60</v>
      </c>
      <c r="F71" s="4"/>
      <c r="G71" s="14"/>
      <c r="H71" s="9"/>
    </row>
    <row r="72" spans="3:8" x14ac:dyDescent="0.25">
      <c r="C72" s="8"/>
      <c r="D72" s="45" t="s">
        <v>6335</v>
      </c>
      <c r="E72" s="68" t="s">
        <v>5415</v>
      </c>
      <c r="F72" s="4"/>
      <c r="G72" s="14"/>
      <c r="H72" s="9">
        <v>1380</v>
      </c>
    </row>
    <row r="73" spans="3:8" x14ac:dyDescent="0.25">
      <c r="C73" s="8"/>
      <c r="D73" s="45" t="s">
        <v>6336</v>
      </c>
      <c r="E73" s="68" t="s">
        <v>6338</v>
      </c>
      <c r="F73" s="4"/>
      <c r="G73" s="14"/>
      <c r="H73" s="9">
        <v>12</v>
      </c>
    </row>
    <row r="74" spans="3:8" x14ac:dyDescent="0.25">
      <c r="C74" s="8"/>
      <c r="D74" s="45" t="s">
        <v>6337</v>
      </c>
      <c r="E74" s="68" t="s">
        <v>6339</v>
      </c>
      <c r="F74" s="4">
        <v>103</v>
      </c>
      <c r="G74" s="14"/>
      <c r="H74" s="9"/>
    </row>
    <row r="75" spans="3:8" x14ac:dyDescent="0.25">
      <c r="C75" s="8"/>
      <c r="D75" s="45" t="s">
        <v>6419</v>
      </c>
      <c r="E75" s="68" t="s">
        <v>5415</v>
      </c>
      <c r="F75" s="4"/>
      <c r="G75" s="14"/>
      <c r="H75" s="9">
        <v>2115</v>
      </c>
    </row>
    <row r="76" spans="3:8" x14ac:dyDescent="0.25">
      <c r="C76" s="8"/>
      <c r="D76" s="45"/>
      <c r="E76" s="68"/>
      <c r="F76" s="4"/>
      <c r="G76" s="14"/>
      <c r="H76" s="9"/>
    </row>
    <row r="77" spans="3:8" x14ac:dyDescent="0.25">
      <c r="C77" s="8"/>
      <c r="D77" s="45"/>
      <c r="E77" s="68"/>
      <c r="F77" s="4"/>
      <c r="G77" s="14"/>
      <c r="H77" s="9"/>
    </row>
    <row r="78" spans="3:8" x14ac:dyDescent="0.25">
      <c r="C78" s="8"/>
      <c r="D78" s="45"/>
      <c r="E78" s="68"/>
      <c r="F78" s="4"/>
      <c r="G78" s="14"/>
      <c r="H78" s="9"/>
    </row>
    <row r="79" spans="3:8" x14ac:dyDescent="0.25">
      <c r="C79" s="8"/>
      <c r="D79" s="45"/>
      <c r="E79" s="68"/>
      <c r="F79" s="4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2"/>
      <c r="E82" s="2" t="s">
        <v>6387</v>
      </c>
      <c r="F82" s="4">
        <v>438</v>
      </c>
      <c r="G82" s="14"/>
      <c r="H82" s="9"/>
    </row>
    <row r="83" spans="3:8" x14ac:dyDescent="0.25">
      <c r="C83" s="8"/>
      <c r="D83" s="2"/>
      <c r="E83" s="2" t="s">
        <v>6389</v>
      </c>
      <c r="F83" s="4">
        <v>640</v>
      </c>
      <c r="G83" s="14"/>
      <c r="H83" s="9"/>
    </row>
    <row r="84" spans="3:8" x14ac:dyDescent="0.25">
      <c r="C84" s="8"/>
      <c r="D84" s="2"/>
      <c r="E84" s="2" t="s">
        <v>6388</v>
      </c>
      <c r="F84" s="4">
        <v>972.5</v>
      </c>
      <c r="G84" s="14"/>
      <c r="H84" s="9"/>
    </row>
    <row r="85" spans="3:8" x14ac:dyDescent="0.25">
      <c r="C85" s="8"/>
      <c r="D85" s="2"/>
      <c r="E85" s="2" t="s">
        <v>6417</v>
      </c>
      <c r="F85" s="4">
        <v>900</v>
      </c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8"/>
      <c r="D88" s="2"/>
      <c r="E88" s="2"/>
      <c r="F88" s="4"/>
      <c r="G88" s="14"/>
      <c r="H88" s="9"/>
    </row>
    <row r="89" spans="3:8" x14ac:dyDescent="0.25">
      <c r="C89" s="19"/>
      <c r="D89" s="20"/>
      <c r="E89" s="20" t="s">
        <v>42</v>
      </c>
      <c r="F89" s="4"/>
      <c r="G89" s="14"/>
      <c r="H89" s="9"/>
    </row>
    <row r="90" spans="3:8" x14ac:dyDescent="0.25">
      <c r="C90" s="34"/>
      <c r="D90" s="42" t="s">
        <v>158</v>
      </c>
      <c r="E90" s="68" t="s">
        <v>6334</v>
      </c>
      <c r="F90" s="14">
        <v>-180</v>
      </c>
      <c r="G90" s="14"/>
      <c r="H90" s="9"/>
    </row>
    <row r="91" spans="3:8" x14ac:dyDescent="0.25">
      <c r="C91" s="34"/>
      <c r="D91" s="42"/>
      <c r="E91" s="68" t="s">
        <v>6390</v>
      </c>
      <c r="F91" s="14">
        <v>-15500</v>
      </c>
      <c r="G91" s="14"/>
      <c r="H91" s="9"/>
    </row>
    <row r="92" spans="3:8" x14ac:dyDescent="0.25">
      <c r="C92" s="34"/>
      <c r="D92" s="42"/>
      <c r="E92" s="68" t="s">
        <v>6391</v>
      </c>
      <c r="F92" s="14">
        <v>-15</v>
      </c>
      <c r="G92" s="14"/>
      <c r="H92" s="9"/>
    </row>
    <row r="93" spans="3:8" x14ac:dyDescent="0.25">
      <c r="C93" s="34"/>
      <c r="D93" s="42"/>
      <c r="E93" s="68" t="s">
        <v>6392</v>
      </c>
      <c r="F93" s="14">
        <v>-426</v>
      </c>
      <c r="G93" s="14"/>
      <c r="H93" s="9"/>
    </row>
    <row r="94" spans="3:8" x14ac:dyDescent="0.25">
      <c r="C94" s="34"/>
      <c r="D94" s="42"/>
      <c r="E94" s="68" t="s">
        <v>6397</v>
      </c>
      <c r="F94" s="14">
        <v>-875</v>
      </c>
      <c r="G94" s="14"/>
      <c r="H94" s="9"/>
    </row>
    <row r="95" spans="3:8" x14ac:dyDescent="0.25">
      <c r="C95" s="34"/>
      <c r="D95" s="42"/>
      <c r="E95" s="68" t="s">
        <v>6398</v>
      </c>
      <c r="F95" s="14">
        <v>-340</v>
      </c>
      <c r="G95" s="14"/>
      <c r="H95" s="9"/>
    </row>
    <row r="96" spans="3:8" x14ac:dyDescent="0.25">
      <c r="C96" s="34"/>
      <c r="D96" s="42"/>
      <c r="E96" s="68" t="s">
        <v>6399</v>
      </c>
      <c r="F96" s="14">
        <v>-1500</v>
      </c>
      <c r="G96" s="14"/>
      <c r="H96" s="9"/>
    </row>
    <row r="97" spans="3:8" x14ac:dyDescent="0.25">
      <c r="C97" s="34"/>
      <c r="D97" s="42"/>
      <c r="E97" s="68" t="s">
        <v>6418</v>
      </c>
      <c r="F97" s="14">
        <v>-5</v>
      </c>
      <c r="G97" s="14"/>
      <c r="H97" s="9"/>
    </row>
    <row r="98" spans="3:8" x14ac:dyDescent="0.25">
      <c r="C98" s="34"/>
      <c r="D98" s="42"/>
      <c r="E98" s="68" t="s">
        <v>6423</v>
      </c>
      <c r="F98" s="14">
        <v>-485</v>
      </c>
      <c r="G98" s="14"/>
      <c r="H98" s="9"/>
    </row>
    <row r="99" spans="3:8" x14ac:dyDescent="0.25">
      <c r="C99" s="34"/>
      <c r="D99" s="42"/>
      <c r="E99" s="68"/>
      <c r="F99" s="14"/>
      <c r="G99" s="14"/>
      <c r="H99" s="9"/>
    </row>
    <row r="100" spans="3:8" x14ac:dyDescent="0.25">
      <c r="C100" s="34"/>
      <c r="D100" s="42"/>
      <c r="E100" s="68"/>
      <c r="F100" s="14"/>
      <c r="G100" s="14"/>
      <c r="H100" s="9"/>
    </row>
    <row r="101" spans="3:8" x14ac:dyDescent="0.25">
      <c r="C101" s="34"/>
      <c r="D101" s="42"/>
      <c r="E101" s="68"/>
      <c r="F101" s="14"/>
      <c r="G101" s="14"/>
      <c r="H101" s="9"/>
    </row>
    <row r="102" spans="3:8" ht="15.75" thickBot="1" x14ac:dyDescent="0.3">
      <c r="C102" s="10"/>
      <c r="D102" s="11"/>
      <c r="E102" s="11" t="s">
        <v>44</v>
      </c>
      <c r="F102" s="12">
        <f>SUM(F6:F101)</f>
        <v>-10096.5</v>
      </c>
      <c r="G102" s="15">
        <f>SUM(G9:G101)</f>
        <v>10315.4</v>
      </c>
      <c r="H102" s="13">
        <f>SUM(H9:H101)</f>
        <v>8471.1</v>
      </c>
    </row>
    <row r="105" spans="3:8" s="3" customFormat="1" ht="18.75" x14ac:dyDescent="0.3">
      <c r="C105" s="1"/>
      <c r="D105" s="1"/>
      <c r="E105" s="38" t="s">
        <v>49</v>
      </c>
      <c r="F105" s="39">
        <f>+H4+F102</f>
        <v>5919.9400000000005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5F7B-41EC-472B-95A8-4BC5B280F142}">
  <sheetPr codeName="Hoja74"/>
  <dimension ref="C2:H96"/>
  <sheetViews>
    <sheetView topLeftCell="B76" zoomScaleNormal="100" workbookViewId="0">
      <selection activeCell="F96" sqref="F96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6424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5919.94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6425</v>
      </c>
      <c r="E6" s="2" t="s">
        <v>6440</v>
      </c>
      <c r="F6" s="109">
        <v>12</v>
      </c>
      <c r="G6" s="113"/>
      <c r="H6" s="112"/>
    </row>
    <row r="7" spans="3:8" x14ac:dyDescent="0.25">
      <c r="C7" s="24"/>
      <c r="D7" s="2" t="s">
        <v>6426</v>
      </c>
      <c r="E7" s="2" t="s">
        <v>6299</v>
      </c>
      <c r="F7" s="109"/>
      <c r="G7" s="113">
        <v>136</v>
      </c>
      <c r="H7" s="112"/>
    </row>
    <row r="8" spans="3:8" x14ac:dyDescent="0.25">
      <c r="C8" s="24"/>
      <c r="D8" s="2" t="s">
        <v>6427</v>
      </c>
      <c r="E8" s="2" t="s">
        <v>6440</v>
      </c>
      <c r="F8" s="109">
        <v>4.5</v>
      </c>
      <c r="G8" s="113"/>
      <c r="H8" s="112"/>
    </row>
    <row r="9" spans="3:8" x14ac:dyDescent="0.25">
      <c r="C9" s="8"/>
      <c r="D9" s="2" t="s">
        <v>6428</v>
      </c>
      <c r="E9" s="2" t="s">
        <v>6442</v>
      </c>
      <c r="F9" s="4"/>
      <c r="G9" s="14"/>
      <c r="H9" s="9">
        <v>1748</v>
      </c>
    </row>
    <row r="10" spans="3:8" x14ac:dyDescent="0.25">
      <c r="C10" s="8"/>
      <c r="D10" s="2" t="s">
        <v>6429</v>
      </c>
      <c r="E10" s="2" t="s">
        <v>6440</v>
      </c>
      <c r="F10" s="4">
        <v>6</v>
      </c>
      <c r="G10" s="14"/>
      <c r="H10" s="9"/>
    </row>
    <row r="11" spans="3:8" x14ac:dyDescent="0.25">
      <c r="C11" s="8"/>
      <c r="D11" s="2" t="s">
        <v>6430</v>
      </c>
      <c r="E11" s="2" t="s">
        <v>6440</v>
      </c>
      <c r="F11" s="4">
        <v>10</v>
      </c>
      <c r="G11" s="14"/>
      <c r="H11" s="9"/>
    </row>
    <row r="12" spans="3:8" x14ac:dyDescent="0.25">
      <c r="C12" s="8"/>
      <c r="D12" s="2" t="s">
        <v>6431</v>
      </c>
      <c r="E12" s="2" t="s">
        <v>6440</v>
      </c>
      <c r="F12" s="4">
        <v>1</v>
      </c>
      <c r="G12" s="14"/>
      <c r="H12" s="9"/>
    </row>
    <row r="13" spans="3:8" x14ac:dyDescent="0.25">
      <c r="C13" s="8"/>
      <c r="D13" s="2" t="s">
        <v>6432</v>
      </c>
      <c r="E13" s="2" t="s">
        <v>6440</v>
      </c>
      <c r="F13" s="4"/>
      <c r="G13" s="14"/>
      <c r="H13" s="9">
        <v>9</v>
      </c>
    </row>
    <row r="14" spans="3:8" x14ac:dyDescent="0.25">
      <c r="C14" s="8"/>
      <c r="D14" s="2" t="s">
        <v>6433</v>
      </c>
      <c r="E14" s="2" t="s">
        <v>6441</v>
      </c>
      <c r="F14" s="4"/>
      <c r="G14" s="14"/>
      <c r="H14" s="9">
        <v>120</v>
      </c>
    </row>
    <row r="15" spans="3:8" x14ac:dyDescent="0.25">
      <c r="C15" s="8"/>
      <c r="D15" s="2" t="s">
        <v>6434</v>
      </c>
      <c r="E15" s="2" t="s">
        <v>4783</v>
      </c>
      <c r="F15" s="4">
        <v>240</v>
      </c>
      <c r="G15" s="14"/>
      <c r="H15" s="9"/>
    </row>
    <row r="16" spans="3:8" x14ac:dyDescent="0.25">
      <c r="C16" s="8"/>
      <c r="D16" s="2" t="s">
        <v>6435</v>
      </c>
      <c r="E16" s="2" t="s">
        <v>6440</v>
      </c>
      <c r="F16" s="4">
        <v>2.5</v>
      </c>
      <c r="G16" s="14"/>
      <c r="H16" s="9"/>
    </row>
    <row r="17" spans="3:8" x14ac:dyDescent="0.25">
      <c r="C17" s="8"/>
      <c r="D17" s="2" t="s">
        <v>6436</v>
      </c>
      <c r="E17" s="2" t="s">
        <v>6439</v>
      </c>
      <c r="F17" s="4"/>
      <c r="G17" s="14"/>
      <c r="H17" s="9">
        <v>87.5</v>
      </c>
    </row>
    <row r="18" spans="3:8" x14ac:dyDescent="0.25">
      <c r="C18" s="8"/>
      <c r="D18" s="2" t="s">
        <v>6437</v>
      </c>
      <c r="E18" s="2" t="s">
        <v>2972</v>
      </c>
      <c r="F18" s="4"/>
      <c r="G18" s="14"/>
      <c r="H18" s="9">
        <v>140</v>
      </c>
    </row>
    <row r="19" spans="3:8" x14ac:dyDescent="0.25">
      <c r="C19" s="8"/>
      <c r="D19" s="2" t="s">
        <v>6438</v>
      </c>
      <c r="E19" s="2" t="s">
        <v>158</v>
      </c>
      <c r="F19" s="35"/>
      <c r="G19" s="14"/>
      <c r="H19" s="9">
        <v>82</v>
      </c>
    </row>
    <row r="20" spans="3:8" x14ac:dyDescent="0.25">
      <c r="C20" s="8"/>
      <c r="D20" s="2" t="s">
        <v>6471</v>
      </c>
      <c r="E20" s="2" t="s">
        <v>6470</v>
      </c>
      <c r="F20" s="35">
        <v>621.5</v>
      </c>
      <c r="G20" s="14"/>
      <c r="H20" s="9"/>
    </row>
    <row r="21" spans="3:8" x14ac:dyDescent="0.25">
      <c r="C21" s="8"/>
      <c r="D21" s="2" t="s">
        <v>6475</v>
      </c>
      <c r="E21" s="2" t="s">
        <v>3577</v>
      </c>
      <c r="F21" s="35"/>
      <c r="G21" s="14"/>
      <c r="H21" s="9">
        <v>920</v>
      </c>
    </row>
    <row r="22" spans="3:8" x14ac:dyDescent="0.25">
      <c r="C22" s="8"/>
      <c r="D22" s="2" t="s">
        <v>6476</v>
      </c>
      <c r="E22" s="2" t="s">
        <v>6440</v>
      </c>
      <c r="F22" s="35"/>
      <c r="G22" s="14"/>
      <c r="H22" s="9">
        <v>12.5</v>
      </c>
    </row>
    <row r="23" spans="3:8" x14ac:dyDescent="0.25">
      <c r="C23" s="8"/>
      <c r="D23" s="2" t="s">
        <v>6477</v>
      </c>
      <c r="E23" s="2" t="s">
        <v>6440</v>
      </c>
      <c r="F23" s="35"/>
      <c r="G23" s="14"/>
      <c r="H23" s="9">
        <v>18.8</v>
      </c>
    </row>
    <row r="24" spans="3:8" x14ac:dyDescent="0.25">
      <c r="C24" s="8"/>
      <c r="D24" s="2" t="s">
        <v>6478</v>
      </c>
      <c r="E24" s="2" t="s">
        <v>6440</v>
      </c>
      <c r="F24" s="35">
        <v>5</v>
      </c>
      <c r="G24" s="14"/>
      <c r="H24" s="9"/>
    </row>
    <row r="25" spans="3:8" x14ac:dyDescent="0.25">
      <c r="C25" s="8"/>
      <c r="D25" s="2" t="s">
        <v>6479</v>
      </c>
      <c r="E25" s="2" t="s">
        <v>6485</v>
      </c>
      <c r="F25" s="35"/>
      <c r="G25" s="35"/>
      <c r="H25" s="35">
        <v>1589.92</v>
      </c>
    </row>
    <row r="26" spans="3:8" x14ac:dyDescent="0.25">
      <c r="C26" s="8"/>
      <c r="D26" s="2" t="s">
        <v>6480</v>
      </c>
      <c r="E26" s="2" t="s">
        <v>6440</v>
      </c>
      <c r="F26" s="35">
        <v>7</v>
      </c>
      <c r="G26" s="14"/>
      <c r="H26" s="9"/>
    </row>
    <row r="27" spans="3:8" x14ac:dyDescent="0.25">
      <c r="C27" s="8"/>
      <c r="D27" s="2" t="s">
        <v>6481</v>
      </c>
      <c r="E27" s="2" t="s">
        <v>6440</v>
      </c>
      <c r="F27" s="35"/>
      <c r="G27" s="14"/>
      <c r="H27" s="9">
        <v>5</v>
      </c>
    </row>
    <row r="28" spans="3:8" x14ac:dyDescent="0.25">
      <c r="C28" s="8"/>
      <c r="D28" s="2" t="s">
        <v>6482</v>
      </c>
      <c r="E28" s="2" t="s">
        <v>6440</v>
      </c>
      <c r="F28" s="35">
        <v>7</v>
      </c>
      <c r="G28" s="14"/>
      <c r="H28" s="9"/>
    </row>
    <row r="29" spans="3:8" x14ac:dyDescent="0.25">
      <c r="C29" s="8"/>
      <c r="D29" s="2" t="s">
        <v>6483</v>
      </c>
      <c r="E29" s="2" t="s">
        <v>6440</v>
      </c>
      <c r="F29" s="35">
        <v>14</v>
      </c>
      <c r="G29" s="14"/>
      <c r="H29" s="9"/>
    </row>
    <row r="30" spans="3:8" x14ac:dyDescent="0.25">
      <c r="C30" s="8"/>
      <c r="D30" s="2" t="s">
        <v>6484</v>
      </c>
      <c r="E30" s="2" t="s">
        <v>6440</v>
      </c>
      <c r="F30" s="4">
        <v>0.5</v>
      </c>
      <c r="G30" s="14"/>
      <c r="H30" s="9"/>
    </row>
    <row r="31" spans="3:8" x14ac:dyDescent="0.25">
      <c r="C31" s="8"/>
      <c r="D31" s="2" t="s">
        <v>6491</v>
      </c>
      <c r="E31" s="2" t="s">
        <v>6440</v>
      </c>
      <c r="F31" s="4">
        <v>22.5</v>
      </c>
      <c r="G31" s="14"/>
      <c r="H31" s="9"/>
    </row>
    <row r="32" spans="3:8" x14ac:dyDescent="0.25">
      <c r="C32" s="8"/>
      <c r="D32" s="2" t="s">
        <v>6493</v>
      </c>
      <c r="E32" s="2" t="s">
        <v>6440</v>
      </c>
      <c r="F32" s="4">
        <v>10</v>
      </c>
      <c r="G32" s="14"/>
      <c r="H32" s="9"/>
    </row>
    <row r="33" spans="3:8" x14ac:dyDescent="0.25">
      <c r="C33" s="8"/>
      <c r="D33" s="2" t="s">
        <v>6502</v>
      </c>
      <c r="E33" s="2"/>
      <c r="F33" s="4"/>
      <c r="G33" s="14"/>
      <c r="H33" s="9"/>
    </row>
    <row r="34" spans="3:8" x14ac:dyDescent="0.25">
      <c r="C34" s="8"/>
      <c r="D34" s="2" t="s">
        <v>6443</v>
      </c>
      <c r="E34" s="2" t="s">
        <v>5842</v>
      </c>
      <c r="F34" s="4"/>
      <c r="G34" s="14"/>
      <c r="H34" s="9">
        <v>480</v>
      </c>
    </row>
    <row r="35" spans="3:8" x14ac:dyDescent="0.25">
      <c r="C35" s="8"/>
      <c r="D35" s="2" t="s">
        <v>6444</v>
      </c>
      <c r="E35" s="2" t="s">
        <v>6459</v>
      </c>
      <c r="F35" s="4">
        <v>664</v>
      </c>
      <c r="G35" s="14"/>
      <c r="H35" s="9"/>
    </row>
    <row r="36" spans="3:8" x14ac:dyDescent="0.25">
      <c r="C36" s="8"/>
      <c r="D36" s="2" t="s">
        <v>6445</v>
      </c>
      <c r="E36" s="2" t="s">
        <v>1631</v>
      </c>
      <c r="F36" s="4"/>
      <c r="G36" s="14"/>
      <c r="H36" s="9">
        <v>23</v>
      </c>
    </row>
    <row r="37" spans="3:8" x14ac:dyDescent="0.25">
      <c r="C37" s="8"/>
      <c r="D37" s="2" t="s">
        <v>6446</v>
      </c>
      <c r="E37" s="2" t="s">
        <v>1631</v>
      </c>
      <c r="F37" s="4"/>
      <c r="G37" s="14"/>
      <c r="H37" s="9">
        <v>31.8</v>
      </c>
    </row>
    <row r="38" spans="3:8" x14ac:dyDescent="0.25">
      <c r="C38" s="8"/>
      <c r="D38" s="2" t="s">
        <v>6447</v>
      </c>
      <c r="E38" s="2" t="s">
        <v>1631</v>
      </c>
      <c r="F38" s="4">
        <v>37.5</v>
      </c>
      <c r="G38" s="14"/>
      <c r="H38" s="9"/>
    </row>
    <row r="39" spans="3:8" x14ac:dyDescent="0.25">
      <c r="C39" s="8"/>
      <c r="D39" s="2" t="s">
        <v>6448</v>
      </c>
      <c r="E39" s="2" t="s">
        <v>381</v>
      </c>
      <c r="F39" s="4">
        <v>240</v>
      </c>
      <c r="G39" s="14"/>
      <c r="H39" s="9"/>
    </row>
    <row r="40" spans="3:8" x14ac:dyDescent="0.25">
      <c r="C40" s="8"/>
      <c r="D40" s="2" t="s">
        <v>6449</v>
      </c>
      <c r="E40" s="2" t="s">
        <v>6458</v>
      </c>
      <c r="F40" s="4"/>
      <c r="G40" s="14"/>
      <c r="H40" s="9">
        <v>30</v>
      </c>
    </row>
    <row r="41" spans="3:8" x14ac:dyDescent="0.25">
      <c r="C41" s="8"/>
      <c r="D41" s="2" t="s">
        <v>6450</v>
      </c>
      <c r="E41" s="2" t="s">
        <v>1631</v>
      </c>
      <c r="F41" s="4">
        <v>4.5</v>
      </c>
      <c r="G41" s="14"/>
      <c r="H41" s="9"/>
    </row>
    <row r="42" spans="3:8" x14ac:dyDescent="0.25">
      <c r="C42" s="8"/>
      <c r="D42" s="2" t="s">
        <v>6451</v>
      </c>
      <c r="E42" s="2" t="s">
        <v>1631</v>
      </c>
      <c r="F42" s="4">
        <v>3.5</v>
      </c>
      <c r="G42" s="14"/>
      <c r="H42" s="9"/>
    </row>
    <row r="43" spans="3:8" x14ac:dyDescent="0.25">
      <c r="C43" s="8"/>
      <c r="D43" s="2" t="s">
        <v>6452</v>
      </c>
      <c r="E43" s="2" t="s">
        <v>1631</v>
      </c>
      <c r="F43" s="4">
        <v>28.5</v>
      </c>
      <c r="G43" s="14"/>
      <c r="H43" s="9"/>
    </row>
    <row r="44" spans="3:8" x14ac:dyDescent="0.25">
      <c r="C44" s="8"/>
      <c r="D44" s="2" t="s">
        <v>6453</v>
      </c>
      <c r="E44" s="2" t="s">
        <v>5951</v>
      </c>
      <c r="F44" s="4"/>
      <c r="G44" s="14"/>
      <c r="H44" s="9">
        <v>55</v>
      </c>
    </row>
    <row r="45" spans="3:8" x14ac:dyDescent="0.25">
      <c r="C45" s="8"/>
      <c r="D45" s="2" t="s">
        <v>6454</v>
      </c>
      <c r="E45" s="2" t="s">
        <v>6457</v>
      </c>
      <c r="F45" s="4">
        <v>38</v>
      </c>
      <c r="G45" s="14"/>
      <c r="H45" s="9"/>
    </row>
    <row r="46" spans="3:8" x14ac:dyDescent="0.25">
      <c r="C46" s="8"/>
      <c r="D46" s="2" t="s">
        <v>6455</v>
      </c>
      <c r="E46" s="2" t="s">
        <v>4191</v>
      </c>
      <c r="F46" s="4"/>
      <c r="G46" s="14"/>
      <c r="H46" s="9">
        <v>6526.1</v>
      </c>
    </row>
    <row r="47" spans="3:8" x14ac:dyDescent="0.25">
      <c r="C47" s="8"/>
      <c r="D47" s="2" t="s">
        <v>6456</v>
      </c>
      <c r="E47" s="2" t="s">
        <v>1631</v>
      </c>
      <c r="F47" s="4">
        <v>3</v>
      </c>
      <c r="G47" s="14"/>
      <c r="H47" s="9"/>
    </row>
    <row r="48" spans="3:8" x14ac:dyDescent="0.25">
      <c r="C48" s="8"/>
      <c r="D48" s="2" t="s">
        <v>6472</v>
      </c>
      <c r="E48" s="2" t="s">
        <v>1631</v>
      </c>
      <c r="F48" s="4">
        <v>5</v>
      </c>
      <c r="G48" s="14"/>
      <c r="H48" s="9"/>
    </row>
    <row r="49" spans="3:8" x14ac:dyDescent="0.25">
      <c r="C49" s="8"/>
      <c r="D49" s="2" t="s">
        <v>6486</v>
      </c>
      <c r="E49" s="2" t="s">
        <v>1631</v>
      </c>
      <c r="F49" s="4">
        <v>5.5</v>
      </c>
      <c r="G49" s="14"/>
      <c r="H49" s="9"/>
    </row>
    <row r="50" spans="3:8" x14ac:dyDescent="0.25">
      <c r="C50" s="8"/>
      <c r="D50" s="2" t="s">
        <v>6523</v>
      </c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29"/>
      <c r="D54" s="30"/>
      <c r="E54" s="30" t="s">
        <v>60</v>
      </c>
      <c r="F54" s="4"/>
      <c r="G54" s="14"/>
      <c r="H54" s="9"/>
    </row>
    <row r="55" spans="3:8" x14ac:dyDescent="0.25">
      <c r="C55" s="8"/>
      <c r="D55" s="45"/>
      <c r="E55" s="68"/>
      <c r="F55" s="4"/>
      <c r="G55" s="14"/>
      <c r="H55" s="9"/>
    </row>
    <row r="56" spans="3:8" x14ac:dyDescent="0.25">
      <c r="C56" s="8"/>
      <c r="D56" s="45"/>
      <c r="E56" s="68"/>
      <c r="F56" s="4"/>
      <c r="G56" s="14"/>
      <c r="H56" s="9"/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16"/>
      <c r="D59" s="17"/>
      <c r="E59" s="17" t="s">
        <v>39</v>
      </c>
      <c r="F59" s="4"/>
      <c r="G59" s="14"/>
      <c r="H59" s="9"/>
    </row>
    <row r="60" spans="3:8" x14ac:dyDescent="0.25">
      <c r="C60" s="8"/>
      <c r="D60" s="2"/>
      <c r="E60" s="76" t="s">
        <v>6460</v>
      </c>
      <c r="F60" s="35">
        <v>493</v>
      </c>
      <c r="G60" s="14"/>
      <c r="H60" s="9"/>
    </row>
    <row r="61" spans="3:8" x14ac:dyDescent="0.25">
      <c r="C61" s="8"/>
      <c r="D61" s="2"/>
      <c r="E61" s="76" t="s">
        <v>6461</v>
      </c>
      <c r="F61" s="35">
        <v>1380</v>
      </c>
      <c r="G61" s="14"/>
      <c r="H61" s="9"/>
    </row>
    <row r="62" spans="3:8" x14ac:dyDescent="0.25">
      <c r="C62" s="8"/>
      <c r="D62" s="2"/>
      <c r="E62" s="76" t="s">
        <v>6462</v>
      </c>
      <c r="F62" s="35">
        <v>1114</v>
      </c>
      <c r="G62" s="14"/>
      <c r="H62" s="9"/>
    </row>
    <row r="63" spans="3:8" x14ac:dyDescent="0.25">
      <c r="C63" s="8"/>
      <c r="D63" s="2"/>
      <c r="E63" s="76" t="s">
        <v>6463</v>
      </c>
      <c r="F63" s="35">
        <v>13</v>
      </c>
      <c r="G63" s="14"/>
      <c r="H63" s="9"/>
    </row>
    <row r="64" spans="3:8" x14ac:dyDescent="0.25">
      <c r="C64" s="8"/>
      <c r="D64" s="2"/>
      <c r="E64" s="76" t="s">
        <v>6487</v>
      </c>
      <c r="F64" s="4">
        <v>75</v>
      </c>
      <c r="G64" s="14"/>
      <c r="H64" s="9"/>
    </row>
    <row r="65" spans="3:8" x14ac:dyDescent="0.25">
      <c r="C65" s="8"/>
      <c r="D65" s="2"/>
      <c r="E65" s="76" t="s">
        <v>6488</v>
      </c>
      <c r="F65" s="4">
        <v>85</v>
      </c>
      <c r="G65" s="14"/>
      <c r="H65" s="9"/>
    </row>
    <row r="66" spans="3:8" x14ac:dyDescent="0.25">
      <c r="C66" s="8"/>
      <c r="D66" s="2"/>
      <c r="E66" s="76" t="s">
        <v>6489</v>
      </c>
      <c r="F66" s="4">
        <v>1825</v>
      </c>
      <c r="G66" s="14"/>
      <c r="H66" s="9"/>
    </row>
    <row r="67" spans="3:8" x14ac:dyDescent="0.25">
      <c r="C67" s="8"/>
      <c r="D67" s="2"/>
      <c r="E67" s="76" t="s">
        <v>402</v>
      </c>
      <c r="F67" s="4">
        <v>3.5</v>
      </c>
      <c r="G67" s="14"/>
      <c r="H67" s="9"/>
    </row>
    <row r="68" spans="3:8" x14ac:dyDescent="0.25">
      <c r="C68" s="8"/>
      <c r="D68" s="2"/>
      <c r="E68" s="76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19"/>
      <c r="D70" s="20"/>
      <c r="E70" s="20" t="s">
        <v>42</v>
      </c>
      <c r="F70" s="4"/>
      <c r="G70" s="14"/>
      <c r="H70" s="9"/>
    </row>
    <row r="71" spans="3:8" x14ac:dyDescent="0.25">
      <c r="C71" s="34"/>
      <c r="D71" s="42"/>
      <c r="E71" s="68" t="s">
        <v>6464</v>
      </c>
      <c r="F71" s="14">
        <v>-3400</v>
      </c>
      <c r="G71" s="14"/>
      <c r="H71" s="9"/>
    </row>
    <row r="72" spans="3:8" x14ac:dyDescent="0.25">
      <c r="C72" s="34"/>
      <c r="D72" s="42"/>
      <c r="E72" s="68" t="s">
        <v>6465</v>
      </c>
      <c r="F72" s="14">
        <v>-10</v>
      </c>
      <c r="G72" s="14"/>
      <c r="H72" s="9"/>
    </row>
    <row r="73" spans="3:8" x14ac:dyDescent="0.25">
      <c r="C73" s="34"/>
      <c r="D73" s="42"/>
      <c r="E73" s="68" t="s">
        <v>6466</v>
      </c>
      <c r="F73" s="14">
        <v>-30</v>
      </c>
      <c r="G73" s="14"/>
      <c r="H73" s="9"/>
    </row>
    <row r="74" spans="3:8" x14ac:dyDescent="0.25">
      <c r="C74" s="34"/>
      <c r="D74" s="42"/>
      <c r="E74" s="68" t="s">
        <v>6467</v>
      </c>
      <c r="F74" s="14">
        <v>-100</v>
      </c>
      <c r="G74" s="14"/>
      <c r="H74" s="9"/>
    </row>
    <row r="75" spans="3:8" x14ac:dyDescent="0.25">
      <c r="C75" s="34"/>
      <c r="D75" s="42"/>
      <c r="E75" s="68" t="s">
        <v>6468</v>
      </c>
      <c r="F75" s="14">
        <v>-100</v>
      </c>
      <c r="G75" s="14"/>
      <c r="H75" s="9"/>
    </row>
    <row r="76" spans="3:8" x14ac:dyDescent="0.25">
      <c r="C76" s="34"/>
      <c r="D76" s="42"/>
      <c r="E76" s="68" t="s">
        <v>6469</v>
      </c>
      <c r="F76" s="14">
        <v>-17.5</v>
      </c>
      <c r="G76" s="14"/>
      <c r="H76" s="9"/>
    </row>
    <row r="77" spans="3:8" x14ac:dyDescent="0.25">
      <c r="C77" s="34"/>
      <c r="D77" s="42"/>
      <c r="E77" s="68" t="s">
        <v>6473</v>
      </c>
      <c r="F77" s="14">
        <v>-1200</v>
      </c>
      <c r="G77" s="14"/>
      <c r="H77" s="9"/>
    </row>
    <row r="78" spans="3:8" x14ac:dyDescent="0.25">
      <c r="C78" s="34"/>
      <c r="D78" s="42"/>
      <c r="E78" s="68" t="s">
        <v>6474</v>
      </c>
      <c r="F78" s="14">
        <v>-350</v>
      </c>
      <c r="G78" s="14"/>
      <c r="H78" s="9"/>
    </row>
    <row r="79" spans="3:8" x14ac:dyDescent="0.25">
      <c r="C79" s="34"/>
      <c r="D79" s="42"/>
      <c r="E79" s="68" t="s">
        <v>6490</v>
      </c>
      <c r="F79" s="14">
        <v>-165</v>
      </c>
      <c r="G79" s="14"/>
      <c r="H79" s="9"/>
    </row>
    <row r="80" spans="3:8" x14ac:dyDescent="0.25">
      <c r="C80" s="34"/>
      <c r="D80" s="42"/>
      <c r="E80" s="68" t="s">
        <v>760</v>
      </c>
      <c r="F80" s="14">
        <v>-380</v>
      </c>
      <c r="G80" s="14"/>
      <c r="H80" s="9"/>
    </row>
    <row r="81" spans="3:8" x14ac:dyDescent="0.25">
      <c r="C81" s="34"/>
      <c r="D81" s="42"/>
      <c r="E81" s="68" t="s">
        <v>5452</v>
      </c>
      <c r="F81" s="14">
        <v>-257.5</v>
      </c>
      <c r="G81" s="14"/>
      <c r="H81" s="9"/>
    </row>
    <row r="82" spans="3:8" x14ac:dyDescent="0.25">
      <c r="C82" s="34"/>
      <c r="D82" s="42"/>
      <c r="E82" s="68" t="s">
        <v>1481</v>
      </c>
      <c r="F82" s="14">
        <v>-390</v>
      </c>
      <c r="G82" s="14"/>
      <c r="H82" s="9"/>
    </row>
    <row r="83" spans="3:8" x14ac:dyDescent="0.25">
      <c r="C83" s="34"/>
      <c r="D83" s="42"/>
      <c r="E83" s="68" t="s">
        <v>6492</v>
      </c>
      <c r="F83" s="14">
        <v>-295</v>
      </c>
      <c r="G83" s="14"/>
      <c r="H83" s="9"/>
    </row>
    <row r="84" spans="3:8" x14ac:dyDescent="0.25">
      <c r="C84" s="34"/>
      <c r="D84" s="42"/>
      <c r="E84" s="68" t="s">
        <v>1486</v>
      </c>
      <c r="F84" s="14">
        <v>-490</v>
      </c>
      <c r="G84" s="14"/>
      <c r="H84" s="9"/>
    </row>
    <row r="85" spans="3:8" x14ac:dyDescent="0.25">
      <c r="C85" s="34"/>
      <c r="D85" s="42"/>
      <c r="E85" s="68" t="s">
        <v>759</v>
      </c>
      <c r="F85" s="14">
        <v>-530</v>
      </c>
      <c r="G85" s="14"/>
      <c r="H85" s="9"/>
    </row>
    <row r="86" spans="3:8" x14ac:dyDescent="0.25">
      <c r="C86" s="34"/>
      <c r="D86" s="42"/>
      <c r="E86" s="68" t="s">
        <v>5967</v>
      </c>
      <c r="F86" s="14">
        <v>-240</v>
      </c>
      <c r="G86" s="14"/>
      <c r="H86" s="9"/>
    </row>
    <row r="87" spans="3:8" x14ac:dyDescent="0.25">
      <c r="C87" s="34"/>
      <c r="D87" s="42"/>
      <c r="E87" s="68" t="s">
        <v>4311</v>
      </c>
      <c r="F87" s="14">
        <v>-290</v>
      </c>
      <c r="G87" s="14"/>
      <c r="H87" s="9"/>
    </row>
    <row r="88" spans="3:8" x14ac:dyDescent="0.25">
      <c r="C88" s="34"/>
      <c r="D88" s="42"/>
      <c r="E88" s="68" t="s">
        <v>6494</v>
      </c>
      <c r="F88" s="14">
        <v>-88</v>
      </c>
      <c r="G88" s="14"/>
      <c r="H88" s="9"/>
    </row>
    <row r="89" spans="3:8" x14ac:dyDescent="0.25">
      <c r="C89" s="34"/>
      <c r="D89" s="42"/>
      <c r="E89" s="68" t="s">
        <v>3772</v>
      </c>
      <c r="F89" s="14">
        <v>-450</v>
      </c>
      <c r="G89" s="14"/>
      <c r="H89" s="9"/>
    </row>
    <row r="90" spans="3:8" x14ac:dyDescent="0.25">
      <c r="C90" s="34"/>
      <c r="D90" s="42"/>
      <c r="E90" s="68" t="s">
        <v>1553</v>
      </c>
      <c r="F90" s="14">
        <v>-450</v>
      </c>
      <c r="G90" s="14"/>
      <c r="H90" s="9"/>
    </row>
    <row r="91" spans="3:8" x14ac:dyDescent="0.25">
      <c r="C91" s="34"/>
      <c r="D91" s="42"/>
      <c r="E91" s="68" t="s">
        <v>6495</v>
      </c>
      <c r="F91" s="14">
        <v>-6.5</v>
      </c>
      <c r="G91" s="14"/>
      <c r="H91" s="9"/>
    </row>
    <row r="92" spans="3:8" x14ac:dyDescent="0.25">
      <c r="C92" s="34"/>
      <c r="D92" s="42"/>
      <c r="E92" s="68"/>
      <c r="F92" s="14"/>
      <c r="G92" s="14"/>
      <c r="H92" s="9"/>
    </row>
    <row r="93" spans="3:8" ht="15.75" thickBot="1" x14ac:dyDescent="0.3">
      <c r="C93" s="10"/>
      <c r="D93" s="11"/>
      <c r="E93" s="11" t="s">
        <v>44</v>
      </c>
      <c r="F93" s="12">
        <f>SUM(F6:F92)</f>
        <v>-2258</v>
      </c>
      <c r="G93" s="15">
        <f>SUM(G9:G92)</f>
        <v>0</v>
      </c>
      <c r="H93" s="13">
        <f>SUM(H9:H92)</f>
        <v>11878.62</v>
      </c>
    </row>
    <row r="96" spans="3:8" s="3" customFormat="1" ht="18.75" x14ac:dyDescent="0.3">
      <c r="C96" s="1"/>
      <c r="D96" s="1"/>
      <c r="E96" s="38" t="s">
        <v>49</v>
      </c>
      <c r="F96" s="39">
        <f>+H4+F93</f>
        <v>3661.9399999999996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1AF1-77A5-40D6-9518-F48648D1D154}">
  <sheetPr codeName="Hoja75"/>
  <dimension ref="C2:H88"/>
  <sheetViews>
    <sheetView topLeftCell="B35" zoomScaleNormal="100" workbookViewId="0">
      <selection activeCell="H61" sqref="H61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6496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3661.94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6502</v>
      </c>
      <c r="E6" s="2" t="s">
        <v>5163</v>
      </c>
      <c r="F6" s="109"/>
      <c r="G6" s="113">
        <v>350</v>
      </c>
      <c r="H6" s="112"/>
    </row>
    <row r="7" spans="3:8" x14ac:dyDescent="0.25">
      <c r="C7" s="24"/>
      <c r="D7" s="2" t="s">
        <v>6503</v>
      </c>
      <c r="E7" s="2" t="s">
        <v>6521</v>
      </c>
      <c r="F7" s="109"/>
      <c r="G7" s="113"/>
      <c r="H7" s="112">
        <v>5</v>
      </c>
    </row>
    <row r="8" spans="3:8" x14ac:dyDescent="0.25">
      <c r="C8" s="24"/>
      <c r="D8" s="2" t="s">
        <v>6504</v>
      </c>
      <c r="E8" s="2" t="s">
        <v>6521</v>
      </c>
      <c r="F8" s="109"/>
      <c r="G8" s="113"/>
      <c r="H8" s="112">
        <v>3</v>
      </c>
    </row>
    <row r="9" spans="3:8" x14ac:dyDescent="0.25">
      <c r="C9" s="8"/>
      <c r="D9" s="2" t="s">
        <v>6505</v>
      </c>
      <c r="E9" s="2" t="s">
        <v>6521</v>
      </c>
      <c r="F9" s="4">
        <v>50</v>
      </c>
      <c r="G9" s="14"/>
      <c r="H9" s="9"/>
    </row>
    <row r="10" spans="3:8" x14ac:dyDescent="0.25">
      <c r="C10" s="8"/>
      <c r="D10" s="2" t="s">
        <v>6506</v>
      </c>
      <c r="E10" s="2" t="s">
        <v>6521</v>
      </c>
      <c r="F10" s="4">
        <v>11</v>
      </c>
      <c r="G10" s="14"/>
      <c r="H10" s="9"/>
    </row>
    <row r="11" spans="3:8" x14ac:dyDescent="0.25">
      <c r="C11" s="8"/>
      <c r="D11" s="2" t="s">
        <v>6507</v>
      </c>
      <c r="E11" s="2" t="s">
        <v>6521</v>
      </c>
      <c r="F11" s="4">
        <v>20</v>
      </c>
      <c r="G11" s="14"/>
      <c r="H11" s="9"/>
    </row>
    <row r="12" spans="3:8" x14ac:dyDescent="0.25">
      <c r="C12" s="8"/>
      <c r="D12" s="2" t="s">
        <v>6508</v>
      </c>
      <c r="E12" s="2" t="s">
        <v>6521</v>
      </c>
      <c r="F12" s="4"/>
      <c r="G12" s="14"/>
      <c r="H12" s="9">
        <v>4.5</v>
      </c>
    </row>
    <row r="13" spans="3:8" x14ac:dyDescent="0.25">
      <c r="C13" s="8"/>
      <c r="D13" s="2" t="s">
        <v>6509</v>
      </c>
      <c r="E13" s="2" t="s">
        <v>5917</v>
      </c>
      <c r="F13" s="4">
        <v>73</v>
      </c>
      <c r="G13" s="14"/>
      <c r="H13" s="9"/>
    </row>
    <row r="14" spans="3:8" x14ac:dyDescent="0.25">
      <c r="C14" s="8"/>
      <c r="D14" s="2" t="s">
        <v>6510</v>
      </c>
      <c r="E14" s="2" t="s">
        <v>6522</v>
      </c>
      <c r="F14" s="4">
        <v>75</v>
      </c>
      <c r="G14" s="14"/>
      <c r="H14" s="9"/>
    </row>
    <row r="15" spans="3:8" x14ac:dyDescent="0.25">
      <c r="C15" s="8"/>
      <c r="D15" s="2" t="s">
        <v>6511</v>
      </c>
      <c r="E15" s="2" t="s">
        <v>6521</v>
      </c>
      <c r="F15" s="4"/>
      <c r="G15" s="14"/>
      <c r="H15" s="9">
        <v>18</v>
      </c>
    </row>
    <row r="16" spans="3:8" x14ac:dyDescent="0.25">
      <c r="C16" s="8"/>
      <c r="D16" s="2" t="s">
        <v>6512</v>
      </c>
      <c r="E16" s="2" t="s">
        <v>6521</v>
      </c>
      <c r="F16" s="4"/>
      <c r="G16" s="14"/>
      <c r="H16" s="9">
        <v>2</v>
      </c>
    </row>
    <row r="17" spans="3:8" x14ac:dyDescent="0.25">
      <c r="C17" s="8"/>
      <c r="D17" s="2" t="s">
        <v>6513</v>
      </c>
      <c r="E17" s="2" t="s">
        <v>6520</v>
      </c>
      <c r="F17" s="4"/>
      <c r="G17" s="14"/>
      <c r="H17" s="9">
        <v>1980</v>
      </c>
    </row>
    <row r="18" spans="3:8" x14ac:dyDescent="0.25">
      <c r="C18" s="8"/>
      <c r="D18" s="2" t="s">
        <v>6514</v>
      </c>
      <c r="E18" s="2" t="s">
        <v>6521</v>
      </c>
      <c r="F18" s="4">
        <v>3</v>
      </c>
      <c r="G18" s="14"/>
      <c r="H18" s="9"/>
    </row>
    <row r="19" spans="3:8" x14ac:dyDescent="0.25">
      <c r="C19" s="8"/>
      <c r="D19" s="2" t="s">
        <v>6515</v>
      </c>
      <c r="E19" s="2" t="s">
        <v>6521</v>
      </c>
      <c r="F19" s="35">
        <v>2</v>
      </c>
      <c r="G19" s="14"/>
      <c r="H19" s="9"/>
    </row>
    <row r="20" spans="3:8" x14ac:dyDescent="0.25">
      <c r="C20" s="8"/>
      <c r="D20" s="2" t="s">
        <v>6516</v>
      </c>
      <c r="E20" s="2" t="s">
        <v>6521</v>
      </c>
      <c r="F20" s="35"/>
      <c r="G20" s="14"/>
      <c r="H20" s="9">
        <v>71.5</v>
      </c>
    </row>
    <row r="21" spans="3:8" x14ac:dyDescent="0.25">
      <c r="C21" s="8"/>
      <c r="D21" s="2" t="s">
        <v>6517</v>
      </c>
      <c r="E21" s="2" t="s">
        <v>6521</v>
      </c>
      <c r="F21" s="35">
        <v>25</v>
      </c>
      <c r="G21" s="14"/>
      <c r="H21" s="9"/>
    </row>
    <row r="22" spans="3:8" x14ac:dyDescent="0.25">
      <c r="C22" s="8"/>
      <c r="D22" s="2" t="s">
        <v>6518</v>
      </c>
      <c r="E22" s="2" t="s">
        <v>3390</v>
      </c>
      <c r="F22" s="35">
        <v>3967</v>
      </c>
      <c r="G22" s="14"/>
      <c r="H22" s="9">
        <v>1470</v>
      </c>
    </row>
    <row r="23" spans="3:8" x14ac:dyDescent="0.25">
      <c r="C23" s="8"/>
      <c r="D23" s="2" t="s">
        <v>6519</v>
      </c>
      <c r="E23" s="2" t="s">
        <v>6543</v>
      </c>
      <c r="F23" s="35">
        <v>455</v>
      </c>
      <c r="G23" s="14"/>
      <c r="H23" s="9">
        <v>400</v>
      </c>
    </row>
    <row r="24" spans="3:8" x14ac:dyDescent="0.25">
      <c r="C24" s="8"/>
      <c r="D24" s="2" t="s">
        <v>6538</v>
      </c>
      <c r="E24" s="2" t="s">
        <v>6521</v>
      </c>
      <c r="F24" s="35"/>
      <c r="G24" s="14"/>
      <c r="H24" s="9">
        <v>25.5</v>
      </c>
    </row>
    <row r="25" spans="3:8" x14ac:dyDescent="0.25">
      <c r="C25" s="8"/>
      <c r="D25" s="2" t="s">
        <v>6539</v>
      </c>
      <c r="E25" s="2" t="s">
        <v>3390</v>
      </c>
      <c r="F25" s="35"/>
      <c r="G25" s="14"/>
      <c r="H25" s="9">
        <v>384</v>
      </c>
    </row>
    <row r="26" spans="3:8" x14ac:dyDescent="0.25">
      <c r="C26" s="8"/>
      <c r="D26" s="2" t="s">
        <v>6540</v>
      </c>
      <c r="E26" s="2" t="s">
        <v>723</v>
      </c>
      <c r="F26" s="35"/>
      <c r="G26" s="14"/>
      <c r="H26" s="9">
        <v>47.5</v>
      </c>
    </row>
    <row r="27" spans="3:8" x14ac:dyDescent="0.25">
      <c r="C27" s="8"/>
      <c r="D27" s="2" t="s">
        <v>6541</v>
      </c>
      <c r="E27" s="2" t="s">
        <v>6521</v>
      </c>
      <c r="F27" s="35">
        <v>10</v>
      </c>
      <c r="G27" s="14"/>
      <c r="H27" s="9"/>
    </row>
    <row r="28" spans="3:8" x14ac:dyDescent="0.25">
      <c r="C28" s="8"/>
      <c r="D28" s="2" t="s">
        <v>6542</v>
      </c>
      <c r="E28" s="2" t="s">
        <v>6439</v>
      </c>
      <c r="F28" s="35">
        <v>144</v>
      </c>
      <c r="G28" s="14"/>
      <c r="H28" s="9"/>
    </row>
    <row r="29" spans="3:8" x14ac:dyDescent="0.25">
      <c r="C29" s="8"/>
      <c r="D29" s="2" t="s">
        <v>6544</v>
      </c>
      <c r="E29" s="2" t="s">
        <v>6521</v>
      </c>
      <c r="F29" s="35"/>
      <c r="G29" s="14"/>
      <c r="H29" s="9">
        <v>39</v>
      </c>
    </row>
    <row r="30" spans="3:8" x14ac:dyDescent="0.25">
      <c r="C30" s="8"/>
      <c r="D30" s="2" t="s">
        <v>6545</v>
      </c>
      <c r="E30" s="2" t="s">
        <v>6521</v>
      </c>
      <c r="F30" s="35"/>
      <c r="G30" s="14"/>
      <c r="H30" s="9">
        <v>59.5</v>
      </c>
    </row>
    <row r="31" spans="3:8" x14ac:dyDescent="0.25">
      <c r="C31" s="8"/>
      <c r="D31" s="2" t="s">
        <v>6546</v>
      </c>
      <c r="E31" s="2" t="s">
        <v>6521</v>
      </c>
      <c r="F31" s="35">
        <v>73</v>
      </c>
      <c r="G31" s="14"/>
      <c r="H31" s="9"/>
    </row>
    <row r="32" spans="3:8" x14ac:dyDescent="0.25">
      <c r="C32" s="8"/>
      <c r="D32" s="2" t="s">
        <v>6547</v>
      </c>
      <c r="E32" s="2" t="s">
        <v>3390</v>
      </c>
      <c r="F32" s="35"/>
      <c r="G32" s="14"/>
      <c r="H32" s="9">
        <v>50</v>
      </c>
    </row>
    <row r="33" spans="3:8" x14ac:dyDescent="0.25">
      <c r="C33" s="8"/>
      <c r="D33" s="2" t="s">
        <v>6548</v>
      </c>
      <c r="E33" s="2" t="s">
        <v>6521</v>
      </c>
      <c r="F33" s="35">
        <v>5</v>
      </c>
      <c r="G33" s="14"/>
      <c r="H33" s="9"/>
    </row>
    <row r="34" spans="3:8" x14ac:dyDescent="0.25">
      <c r="C34" s="8"/>
      <c r="D34" s="2" t="s">
        <v>6549</v>
      </c>
      <c r="E34" s="2" t="s">
        <v>6521</v>
      </c>
      <c r="F34" s="35">
        <v>18</v>
      </c>
      <c r="G34" s="14"/>
      <c r="H34" s="9"/>
    </row>
    <row r="35" spans="3:8" x14ac:dyDescent="0.25">
      <c r="C35" s="8"/>
      <c r="D35" s="2" t="s">
        <v>6550</v>
      </c>
      <c r="E35" s="2" t="s">
        <v>6521</v>
      </c>
      <c r="F35" s="35">
        <v>4.5</v>
      </c>
      <c r="G35" s="14"/>
      <c r="H35" s="9"/>
    </row>
    <row r="36" spans="3:8" x14ac:dyDescent="0.25">
      <c r="C36" s="8"/>
      <c r="D36" s="2" t="s">
        <v>6551</v>
      </c>
      <c r="E36" s="2" t="s">
        <v>6553</v>
      </c>
      <c r="F36" s="35">
        <v>50</v>
      </c>
      <c r="G36" s="14">
        <v>26</v>
      </c>
      <c r="H36" s="9"/>
    </row>
    <row r="37" spans="3:8" x14ac:dyDescent="0.25">
      <c r="C37" s="8"/>
      <c r="D37" s="2" t="s">
        <v>6552</v>
      </c>
      <c r="E37" s="2" t="s">
        <v>6059</v>
      </c>
      <c r="F37" s="35"/>
      <c r="G37" s="14"/>
      <c r="H37" s="9">
        <v>263.60000000000002</v>
      </c>
    </row>
    <row r="38" spans="3:8" x14ac:dyDescent="0.25">
      <c r="C38" s="8"/>
      <c r="D38" s="2" t="s">
        <v>6569</v>
      </c>
      <c r="E38" s="2"/>
      <c r="F38" s="35"/>
      <c r="G38" s="14"/>
      <c r="H38" s="9"/>
    </row>
    <row r="39" spans="3:8" x14ac:dyDescent="0.25">
      <c r="C39" s="8"/>
      <c r="D39" s="2"/>
      <c r="E39" s="2"/>
      <c r="F39" s="35"/>
      <c r="G39" s="14"/>
      <c r="H39" s="9"/>
    </row>
    <row r="40" spans="3:8" x14ac:dyDescent="0.25">
      <c r="C40" s="8"/>
      <c r="D40" s="2" t="s">
        <v>6523</v>
      </c>
      <c r="E40" s="2" t="s">
        <v>6092</v>
      </c>
      <c r="F40" s="35"/>
      <c r="G40" s="35"/>
      <c r="H40" s="35">
        <v>43</v>
      </c>
    </row>
    <row r="41" spans="3:8" x14ac:dyDescent="0.25">
      <c r="C41" s="8"/>
      <c r="D41" s="2" t="s">
        <v>6525</v>
      </c>
      <c r="E41" s="2" t="s">
        <v>6534</v>
      </c>
      <c r="F41" s="35"/>
      <c r="G41" s="14"/>
      <c r="H41" s="9">
        <v>67.5</v>
      </c>
    </row>
    <row r="42" spans="3:8" x14ac:dyDescent="0.25">
      <c r="C42" s="8"/>
      <c r="D42" s="2" t="s">
        <v>6526</v>
      </c>
      <c r="E42" s="2" t="s">
        <v>6533</v>
      </c>
      <c r="F42" s="35"/>
      <c r="G42" s="14">
        <v>245</v>
      </c>
      <c r="H42" s="9"/>
    </row>
    <row r="43" spans="3:8" x14ac:dyDescent="0.25">
      <c r="C43" s="8"/>
      <c r="D43" s="2" t="s">
        <v>6527</v>
      </c>
      <c r="E43" s="2" t="s">
        <v>4855</v>
      </c>
      <c r="F43" s="35"/>
      <c r="G43" s="14"/>
      <c r="H43" s="9">
        <v>5</v>
      </c>
    </row>
    <row r="44" spans="3:8" x14ac:dyDescent="0.25">
      <c r="C44" s="8"/>
      <c r="D44" s="2" t="s">
        <v>6528</v>
      </c>
      <c r="E44" s="2" t="s">
        <v>6092</v>
      </c>
      <c r="F44" s="35">
        <v>16</v>
      </c>
      <c r="G44" s="14"/>
      <c r="H44" s="9"/>
    </row>
    <row r="45" spans="3:8" x14ac:dyDescent="0.25">
      <c r="C45" s="8"/>
      <c r="D45" s="2" t="s">
        <v>6529</v>
      </c>
      <c r="E45" s="2" t="s">
        <v>6092</v>
      </c>
      <c r="F45" s="4">
        <v>17</v>
      </c>
      <c r="G45" s="14"/>
      <c r="H45" s="9"/>
    </row>
    <row r="46" spans="3:8" x14ac:dyDescent="0.25">
      <c r="C46" s="8"/>
      <c r="D46" s="2" t="s">
        <v>6530</v>
      </c>
      <c r="E46" s="2" t="s">
        <v>6092</v>
      </c>
      <c r="F46" s="4">
        <v>3</v>
      </c>
      <c r="G46" s="14"/>
      <c r="H46" s="9"/>
    </row>
    <row r="47" spans="3:8" x14ac:dyDescent="0.25">
      <c r="C47" s="8"/>
      <c r="D47" s="2" t="s">
        <v>6531</v>
      </c>
      <c r="E47" s="2" t="s">
        <v>6092</v>
      </c>
      <c r="F47" s="4">
        <v>3</v>
      </c>
      <c r="G47" s="14"/>
      <c r="H47" s="9"/>
    </row>
    <row r="48" spans="3:8" x14ac:dyDescent="0.25">
      <c r="C48" s="8"/>
      <c r="D48" s="2" t="s">
        <v>6532</v>
      </c>
      <c r="E48" s="2" t="s">
        <v>6524</v>
      </c>
      <c r="F48" s="4"/>
      <c r="G48" s="14"/>
      <c r="H48" s="9">
        <v>42</v>
      </c>
    </row>
    <row r="49" spans="3:8" x14ac:dyDescent="0.25">
      <c r="C49" s="8"/>
      <c r="D49" s="2" t="s">
        <v>6554</v>
      </c>
      <c r="E49" s="2" t="s">
        <v>6566</v>
      </c>
      <c r="F49" s="4"/>
      <c r="G49" s="14">
        <v>3060</v>
      </c>
      <c r="H49" s="9"/>
    </row>
    <row r="50" spans="3:8" x14ac:dyDescent="0.25">
      <c r="C50" s="8"/>
      <c r="D50" s="2" t="s">
        <v>6555</v>
      </c>
      <c r="E50" s="2" t="s">
        <v>6092</v>
      </c>
      <c r="F50" s="4">
        <v>350</v>
      </c>
      <c r="G50" s="14"/>
      <c r="H50" s="9"/>
    </row>
    <row r="51" spans="3:8" x14ac:dyDescent="0.25">
      <c r="C51" s="8"/>
      <c r="D51" s="2" t="s">
        <v>6556</v>
      </c>
      <c r="E51" s="2" t="s">
        <v>6092</v>
      </c>
      <c r="F51" s="4">
        <v>1480</v>
      </c>
      <c r="G51" s="14"/>
      <c r="H51" s="9"/>
    </row>
    <row r="52" spans="3:8" x14ac:dyDescent="0.25">
      <c r="C52" s="8"/>
      <c r="D52" s="2" t="s">
        <v>6557</v>
      </c>
      <c r="E52" s="2" t="s">
        <v>5951</v>
      </c>
      <c r="F52" s="4"/>
      <c r="G52" s="14"/>
      <c r="H52" s="9">
        <v>10</v>
      </c>
    </row>
    <row r="53" spans="3:8" x14ac:dyDescent="0.25">
      <c r="C53" s="8"/>
      <c r="D53" s="2" t="s">
        <v>6558</v>
      </c>
      <c r="E53" s="2" t="s">
        <v>6092</v>
      </c>
      <c r="F53" s="4">
        <v>350</v>
      </c>
      <c r="G53" s="14"/>
      <c r="H53" s="9"/>
    </row>
    <row r="54" spans="3:8" x14ac:dyDescent="0.25">
      <c r="C54" s="8"/>
      <c r="D54" s="2" t="s">
        <v>6559</v>
      </c>
      <c r="E54" s="2" t="s">
        <v>6092</v>
      </c>
      <c r="F54" s="4">
        <v>6</v>
      </c>
      <c r="G54" s="14"/>
      <c r="H54" s="9"/>
    </row>
    <row r="55" spans="3:8" x14ac:dyDescent="0.25">
      <c r="C55" s="8"/>
      <c r="D55" s="2" t="s">
        <v>6560</v>
      </c>
      <c r="E55" s="2" t="s">
        <v>4548</v>
      </c>
      <c r="F55" s="4"/>
      <c r="G55" s="14"/>
      <c r="H55" s="9">
        <v>4429</v>
      </c>
    </row>
    <row r="56" spans="3:8" x14ac:dyDescent="0.25">
      <c r="C56" s="8"/>
      <c r="D56" s="2" t="s">
        <v>6561</v>
      </c>
      <c r="E56" s="2" t="s">
        <v>58</v>
      </c>
      <c r="F56" s="4"/>
      <c r="G56" s="14"/>
      <c r="H56" s="9">
        <v>14</v>
      </c>
    </row>
    <row r="57" spans="3:8" x14ac:dyDescent="0.25">
      <c r="C57" s="8"/>
      <c r="D57" s="2" t="s">
        <v>6562</v>
      </c>
      <c r="E57" s="2" t="s">
        <v>4548</v>
      </c>
      <c r="F57" s="4"/>
      <c r="G57" s="14"/>
      <c r="H57" s="9">
        <v>328.8</v>
      </c>
    </row>
    <row r="58" spans="3:8" x14ac:dyDescent="0.25">
      <c r="C58" s="8"/>
      <c r="D58" s="2" t="s">
        <v>6563</v>
      </c>
      <c r="E58" s="2" t="s">
        <v>2358</v>
      </c>
      <c r="F58" s="4"/>
      <c r="G58" s="14"/>
      <c r="H58" s="9">
        <v>149</v>
      </c>
    </row>
    <row r="59" spans="3:8" x14ac:dyDescent="0.25">
      <c r="C59" s="8"/>
      <c r="D59" s="2" t="s">
        <v>6564</v>
      </c>
      <c r="E59" s="2" t="s">
        <v>6565</v>
      </c>
      <c r="F59" s="4"/>
      <c r="G59" s="14">
        <v>7935.69</v>
      </c>
      <c r="H59" s="9"/>
    </row>
    <row r="60" spans="3:8" x14ac:dyDescent="0.25">
      <c r="C60" s="8"/>
      <c r="D60" s="2" t="s">
        <v>6596</v>
      </c>
      <c r="E60" s="2" t="s">
        <v>6092</v>
      </c>
      <c r="F60" s="4"/>
      <c r="G60" s="14"/>
      <c r="H60" s="9">
        <v>13.5</v>
      </c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29"/>
      <c r="D62" s="30"/>
      <c r="E62" s="30" t="s">
        <v>60</v>
      </c>
      <c r="F62" s="4"/>
      <c r="G62" s="14"/>
      <c r="H62" s="9"/>
    </row>
    <row r="63" spans="3:8" x14ac:dyDescent="0.25">
      <c r="C63" s="8"/>
      <c r="D63" s="45" t="s">
        <v>6498</v>
      </c>
      <c r="E63" s="68" t="s">
        <v>6497</v>
      </c>
      <c r="F63" s="4"/>
      <c r="G63" s="14"/>
      <c r="H63" s="9">
        <v>92.5</v>
      </c>
    </row>
    <row r="64" spans="3:8" x14ac:dyDescent="0.25">
      <c r="C64" s="8"/>
      <c r="D64" s="45" t="s">
        <v>6499</v>
      </c>
      <c r="E64" s="68" t="s">
        <v>6020</v>
      </c>
      <c r="F64" s="4"/>
      <c r="G64" s="14">
        <v>87</v>
      </c>
      <c r="H64" s="9"/>
    </row>
    <row r="65" spans="3:8" x14ac:dyDescent="0.25">
      <c r="C65" s="8"/>
      <c r="D65" s="45" t="s">
        <v>6500</v>
      </c>
      <c r="E65" s="68" t="s">
        <v>6501</v>
      </c>
      <c r="F65" s="4"/>
      <c r="G65" s="14"/>
      <c r="H65" s="9">
        <v>91.5</v>
      </c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76" t="s">
        <v>6535</v>
      </c>
      <c r="F72" s="35">
        <v>300</v>
      </c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4"/>
      <c r="G76" s="14"/>
      <c r="H76" s="9"/>
    </row>
    <row r="77" spans="3:8" x14ac:dyDescent="0.25">
      <c r="C77" s="34"/>
      <c r="D77" s="42"/>
      <c r="E77" s="68" t="s">
        <v>6536</v>
      </c>
      <c r="F77" s="14">
        <v>-2</v>
      </c>
      <c r="G77" s="14"/>
      <c r="H77" s="9"/>
    </row>
    <row r="78" spans="3:8" x14ac:dyDescent="0.25">
      <c r="C78" s="34"/>
      <c r="D78" s="42"/>
      <c r="E78" s="68" t="s">
        <v>6537</v>
      </c>
      <c r="F78" s="14">
        <v>-70</v>
      </c>
      <c r="G78" s="14"/>
      <c r="H78" s="9"/>
    </row>
    <row r="79" spans="3:8" x14ac:dyDescent="0.25">
      <c r="C79" s="34"/>
      <c r="D79" s="42"/>
      <c r="E79" s="68" t="s">
        <v>6567</v>
      </c>
      <c r="F79" s="14">
        <v>-1330</v>
      </c>
      <c r="G79" s="14"/>
      <c r="H79" s="9"/>
    </row>
    <row r="80" spans="3:8" x14ac:dyDescent="0.25">
      <c r="C80" s="34"/>
      <c r="D80" s="42"/>
      <c r="E80" s="68" t="s">
        <v>1274</v>
      </c>
      <c r="F80" s="14">
        <v>-4962.6000000000004</v>
      </c>
      <c r="G80" s="14"/>
      <c r="H80" s="9"/>
    </row>
    <row r="81" spans="3:8" x14ac:dyDescent="0.25">
      <c r="C81" s="34"/>
      <c r="D81" s="42"/>
      <c r="E81" s="68" t="s">
        <v>771</v>
      </c>
      <c r="F81" s="14">
        <v>-10</v>
      </c>
      <c r="G81" s="14"/>
      <c r="H81" s="9"/>
    </row>
    <row r="82" spans="3:8" x14ac:dyDescent="0.25">
      <c r="C82" s="34"/>
      <c r="D82" s="42"/>
      <c r="E82" s="68"/>
      <c r="F82" s="14"/>
      <c r="G82" s="14"/>
      <c r="H82" s="9"/>
    </row>
    <row r="83" spans="3:8" x14ac:dyDescent="0.25">
      <c r="C83" s="34"/>
      <c r="D83" s="42"/>
      <c r="E83" s="68"/>
      <c r="F83" s="14"/>
      <c r="G83" s="14"/>
      <c r="H83" s="9"/>
    </row>
    <row r="84" spans="3:8" x14ac:dyDescent="0.25">
      <c r="C84" s="34"/>
      <c r="D84" s="42"/>
      <c r="E84" s="68"/>
      <c r="F84" s="14"/>
      <c r="G84" s="14"/>
      <c r="H84" s="9"/>
    </row>
    <row r="85" spans="3:8" ht="15.75" thickBot="1" x14ac:dyDescent="0.3">
      <c r="C85" s="10"/>
      <c r="D85" s="11"/>
      <c r="E85" s="11" t="s">
        <v>44</v>
      </c>
      <c r="F85" s="12">
        <f>SUM(F6:F84)</f>
        <v>1135.8999999999996</v>
      </c>
      <c r="G85" s="15">
        <f>SUM(G9:G84)</f>
        <v>11353.689999999999</v>
      </c>
      <c r="H85" s="13">
        <f>SUM(H9:H84)</f>
        <v>10100.9</v>
      </c>
    </row>
    <row r="88" spans="3:8" s="3" customFormat="1" ht="18.75" x14ac:dyDescent="0.3">
      <c r="C88" s="1"/>
      <c r="D88" s="1"/>
      <c r="E88" s="38" t="s">
        <v>49</v>
      </c>
      <c r="F88" s="39">
        <f>+H4+F85</f>
        <v>4797.84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0678-607E-4A2B-AF92-C69CB91957F8}">
  <sheetPr codeName="Hoja76"/>
  <dimension ref="C2:H86"/>
  <sheetViews>
    <sheetView topLeftCell="B55" zoomScaleNormal="100" workbookViewId="0">
      <selection activeCell="F86" sqref="F86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8" ht="15.75" thickBot="1" x14ac:dyDescent="0.3"/>
    <row r="3" spans="3:8" ht="15" customHeight="1" x14ac:dyDescent="0.25">
      <c r="C3" s="143" t="s">
        <v>6568</v>
      </c>
      <c r="D3" s="144"/>
      <c r="E3" s="144"/>
      <c r="F3" s="144"/>
      <c r="G3" s="145"/>
      <c r="H3" s="46" t="s">
        <v>0</v>
      </c>
    </row>
    <row r="4" spans="3:8" ht="15.75" customHeight="1" thickBot="1" x14ac:dyDescent="0.3">
      <c r="C4" s="146"/>
      <c r="D4" s="147"/>
      <c r="E4" s="147"/>
      <c r="F4" s="147"/>
      <c r="G4" s="148"/>
      <c r="H4" s="13">
        <v>4797.84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6569</v>
      </c>
      <c r="E6" s="2" t="s">
        <v>5678</v>
      </c>
      <c r="F6" s="109">
        <v>2</v>
      </c>
      <c r="G6" s="113"/>
      <c r="H6" s="112"/>
    </row>
    <row r="7" spans="3:8" x14ac:dyDescent="0.25">
      <c r="C7" s="24"/>
      <c r="D7" s="2" t="s">
        <v>6576</v>
      </c>
      <c r="E7" s="2" t="s">
        <v>5678</v>
      </c>
      <c r="F7" s="109"/>
      <c r="G7" s="113"/>
      <c r="H7" s="112">
        <v>4</v>
      </c>
    </row>
    <row r="8" spans="3:8" x14ac:dyDescent="0.25">
      <c r="C8" s="24"/>
      <c r="D8" s="2" t="s">
        <v>6577</v>
      </c>
      <c r="E8" s="2" t="s">
        <v>5678</v>
      </c>
      <c r="F8" s="109"/>
      <c r="G8" s="113"/>
      <c r="H8" s="112">
        <v>63.6</v>
      </c>
    </row>
    <row r="9" spans="3:8" x14ac:dyDescent="0.25">
      <c r="C9" s="8"/>
      <c r="D9" s="2" t="s">
        <v>6578</v>
      </c>
      <c r="E9" s="2" t="s">
        <v>5678</v>
      </c>
      <c r="F9" s="4">
        <v>9</v>
      </c>
      <c r="G9" s="14"/>
      <c r="H9" s="9"/>
    </row>
    <row r="10" spans="3:8" x14ac:dyDescent="0.25">
      <c r="C10" s="8"/>
      <c r="D10" s="2" t="s">
        <v>6579</v>
      </c>
      <c r="E10" s="2" t="s">
        <v>5678</v>
      </c>
      <c r="F10" s="4">
        <v>10</v>
      </c>
      <c r="G10" s="14"/>
      <c r="H10" s="9"/>
    </row>
    <row r="11" spans="3:8" x14ac:dyDescent="0.25">
      <c r="C11" s="8"/>
      <c r="D11" s="2" t="s">
        <v>6580</v>
      </c>
      <c r="E11" s="2" t="s">
        <v>6595</v>
      </c>
      <c r="F11" s="4"/>
      <c r="G11" s="14"/>
      <c r="H11" s="9">
        <v>158.5</v>
      </c>
    </row>
    <row r="12" spans="3:8" x14ac:dyDescent="0.25">
      <c r="C12" s="8"/>
      <c r="D12" s="2" t="s">
        <v>6581</v>
      </c>
      <c r="E12" s="2" t="s">
        <v>5678</v>
      </c>
      <c r="F12" s="4">
        <v>10</v>
      </c>
      <c r="G12" s="14"/>
      <c r="H12" s="9"/>
    </row>
    <row r="13" spans="3:8" x14ac:dyDescent="0.25">
      <c r="C13" s="8"/>
      <c r="D13" s="2" t="s">
        <v>6582</v>
      </c>
      <c r="E13" s="2" t="s">
        <v>5678</v>
      </c>
      <c r="F13" s="4">
        <v>9</v>
      </c>
      <c r="G13" s="14"/>
      <c r="H13" s="9"/>
    </row>
    <row r="14" spans="3:8" x14ac:dyDescent="0.25">
      <c r="C14" s="8"/>
      <c r="D14" s="2" t="s">
        <v>6583</v>
      </c>
      <c r="E14" s="2" t="s">
        <v>5678</v>
      </c>
      <c r="F14" s="4">
        <v>11</v>
      </c>
      <c r="G14" s="14"/>
      <c r="H14" s="9"/>
    </row>
    <row r="15" spans="3:8" x14ac:dyDescent="0.25">
      <c r="C15" s="8"/>
      <c r="D15" s="2" t="s">
        <v>6584</v>
      </c>
      <c r="E15" s="2" t="s">
        <v>5678</v>
      </c>
      <c r="F15" s="4"/>
      <c r="G15" s="14"/>
      <c r="H15" s="9">
        <v>4.5</v>
      </c>
    </row>
    <row r="16" spans="3:8" x14ac:dyDescent="0.25">
      <c r="C16" s="8"/>
      <c r="D16" s="2" t="s">
        <v>6585</v>
      </c>
      <c r="E16" s="2" t="s">
        <v>6594</v>
      </c>
      <c r="F16" s="4"/>
      <c r="G16" s="14">
        <v>2403.6999999999998</v>
      </c>
      <c r="H16" s="9"/>
    </row>
    <row r="17" spans="3:8" x14ac:dyDescent="0.25">
      <c r="C17" s="8"/>
      <c r="D17" s="2" t="s">
        <v>6586</v>
      </c>
      <c r="E17" s="2" t="s">
        <v>6593</v>
      </c>
      <c r="F17" s="4">
        <v>3162</v>
      </c>
      <c r="G17" s="14"/>
      <c r="H17" s="9"/>
    </row>
    <row r="18" spans="3:8" x14ac:dyDescent="0.25">
      <c r="C18" s="8"/>
      <c r="D18" s="2" t="s">
        <v>6587</v>
      </c>
      <c r="E18" s="2" t="s">
        <v>5678</v>
      </c>
      <c r="F18" s="4">
        <v>2</v>
      </c>
      <c r="G18" s="14"/>
      <c r="H18" s="9"/>
    </row>
    <row r="19" spans="3:8" x14ac:dyDescent="0.25">
      <c r="C19" s="8"/>
      <c r="D19" s="2" t="s">
        <v>6588</v>
      </c>
      <c r="E19" s="2" t="s">
        <v>5678</v>
      </c>
      <c r="F19" s="35">
        <v>9.5</v>
      </c>
      <c r="G19" s="14"/>
      <c r="H19" s="9"/>
    </row>
    <row r="20" spans="3:8" x14ac:dyDescent="0.25">
      <c r="C20" s="8"/>
      <c r="D20" s="2" t="s">
        <v>6589</v>
      </c>
      <c r="E20" s="2" t="s">
        <v>5678</v>
      </c>
      <c r="F20" s="35">
        <v>2</v>
      </c>
      <c r="G20" s="14"/>
      <c r="H20" s="9"/>
    </row>
    <row r="21" spans="3:8" x14ac:dyDescent="0.25">
      <c r="C21" s="8"/>
      <c r="D21" s="2" t="s">
        <v>6590</v>
      </c>
      <c r="E21" s="2" t="s">
        <v>5678</v>
      </c>
      <c r="F21" s="35">
        <v>8</v>
      </c>
      <c r="G21" s="14"/>
      <c r="H21" s="9"/>
    </row>
    <row r="22" spans="3:8" x14ac:dyDescent="0.25">
      <c r="C22" s="8"/>
      <c r="D22" s="2" t="s">
        <v>6591</v>
      </c>
      <c r="E22" s="2" t="s">
        <v>5678</v>
      </c>
      <c r="F22" s="35"/>
      <c r="G22" s="14"/>
      <c r="H22" s="9">
        <v>125</v>
      </c>
    </row>
    <row r="23" spans="3:8" x14ac:dyDescent="0.25">
      <c r="C23" s="8"/>
      <c r="D23" s="2" t="s">
        <v>6592</v>
      </c>
      <c r="E23" s="2" t="s">
        <v>5678</v>
      </c>
      <c r="F23" s="35"/>
      <c r="G23" s="14"/>
      <c r="H23" s="9">
        <v>60</v>
      </c>
    </row>
    <row r="24" spans="3:8" x14ac:dyDescent="0.25">
      <c r="C24" s="8"/>
      <c r="D24" s="2" t="s">
        <v>6613</v>
      </c>
      <c r="E24" s="2" t="s">
        <v>5678</v>
      </c>
      <c r="F24" s="35"/>
      <c r="G24" s="14"/>
      <c r="H24" s="9">
        <v>4.5</v>
      </c>
    </row>
    <row r="25" spans="3:8" x14ac:dyDescent="0.25">
      <c r="C25" s="8"/>
      <c r="D25" s="2" t="s">
        <v>6614</v>
      </c>
      <c r="E25" s="2" t="s">
        <v>723</v>
      </c>
      <c r="F25" s="35"/>
      <c r="G25" s="14"/>
      <c r="H25" s="9">
        <v>164</v>
      </c>
    </row>
    <row r="26" spans="3:8" x14ac:dyDescent="0.25">
      <c r="C26" s="8"/>
      <c r="D26" s="2" t="s">
        <v>6615</v>
      </c>
      <c r="E26" s="2" t="s">
        <v>5678</v>
      </c>
      <c r="F26" s="35">
        <v>15</v>
      </c>
      <c r="G26" s="14"/>
      <c r="H26" s="9"/>
    </row>
    <row r="27" spans="3:8" x14ac:dyDescent="0.25">
      <c r="C27" s="8"/>
      <c r="D27" s="2" t="s">
        <v>6616</v>
      </c>
      <c r="E27" s="2" t="s">
        <v>5678</v>
      </c>
      <c r="F27" s="35">
        <v>6</v>
      </c>
      <c r="G27" s="14"/>
      <c r="H27" s="9"/>
    </row>
    <row r="28" spans="3:8" x14ac:dyDescent="0.25">
      <c r="C28" s="8"/>
      <c r="D28" s="2" t="s">
        <v>6617</v>
      </c>
      <c r="E28" s="2" t="s">
        <v>5678</v>
      </c>
      <c r="F28" s="35">
        <v>6</v>
      </c>
      <c r="G28" s="14"/>
      <c r="H28" s="9"/>
    </row>
    <row r="29" spans="3:8" x14ac:dyDescent="0.25">
      <c r="C29" s="8"/>
      <c r="D29" s="2" t="s">
        <v>6618</v>
      </c>
      <c r="E29" s="2" t="s">
        <v>5678</v>
      </c>
      <c r="F29" s="35"/>
      <c r="G29" s="14"/>
      <c r="H29" s="9">
        <v>6</v>
      </c>
    </row>
    <row r="30" spans="3:8" x14ac:dyDescent="0.25">
      <c r="C30" s="8"/>
      <c r="D30" s="2" t="s">
        <v>6619</v>
      </c>
      <c r="E30" s="2" t="s">
        <v>5678</v>
      </c>
      <c r="F30" s="35"/>
      <c r="G30" s="14"/>
      <c r="H30" s="9">
        <v>2</v>
      </c>
    </row>
    <row r="31" spans="3:8" x14ac:dyDescent="0.25">
      <c r="C31" s="8"/>
      <c r="D31" s="2" t="s">
        <v>6620</v>
      </c>
      <c r="E31" s="2" t="s">
        <v>6626</v>
      </c>
      <c r="F31" s="35"/>
      <c r="G31" s="14">
        <v>210</v>
      </c>
      <c r="H31" s="9"/>
    </row>
    <row r="32" spans="3:8" x14ac:dyDescent="0.25">
      <c r="C32" s="8"/>
      <c r="D32" s="2" t="s">
        <v>6621</v>
      </c>
      <c r="E32" s="2" t="s">
        <v>5918</v>
      </c>
      <c r="F32" s="35">
        <v>700</v>
      </c>
      <c r="G32" s="14"/>
      <c r="H32" s="9"/>
    </row>
    <row r="33" spans="3:8" x14ac:dyDescent="0.25">
      <c r="C33" s="8"/>
      <c r="D33" s="2" t="s">
        <v>6622</v>
      </c>
      <c r="E33" s="2" t="s">
        <v>6625</v>
      </c>
      <c r="F33" s="35">
        <v>728</v>
      </c>
      <c r="G33" s="14"/>
      <c r="H33" s="9"/>
    </row>
    <row r="34" spans="3:8" x14ac:dyDescent="0.25">
      <c r="C34" s="8"/>
      <c r="D34" s="2" t="s">
        <v>6623</v>
      </c>
      <c r="E34" s="2" t="s">
        <v>5599</v>
      </c>
      <c r="F34" s="35">
        <v>963</v>
      </c>
      <c r="G34" s="14"/>
      <c r="H34" s="9"/>
    </row>
    <row r="35" spans="3:8" x14ac:dyDescent="0.25">
      <c r="C35" s="8"/>
      <c r="D35" s="2" t="s">
        <v>6624</v>
      </c>
      <c r="E35" s="2" t="s">
        <v>2384</v>
      </c>
      <c r="F35" s="35"/>
      <c r="G35" s="14">
        <v>445</v>
      </c>
      <c r="H35" s="9"/>
    </row>
    <row r="36" spans="3:8" x14ac:dyDescent="0.25">
      <c r="C36" s="8"/>
      <c r="D36" s="2" t="s">
        <v>6639</v>
      </c>
      <c r="E36" s="2" t="s">
        <v>6640</v>
      </c>
      <c r="F36" s="35"/>
      <c r="G36" s="14">
        <v>2.2999999999999998</v>
      </c>
      <c r="H36" s="9"/>
    </row>
    <row r="37" spans="3:8" x14ac:dyDescent="0.25">
      <c r="C37" s="8"/>
      <c r="D37" s="2"/>
      <c r="E37" s="2"/>
      <c r="F37" s="35"/>
      <c r="G37" s="14"/>
      <c r="H37" s="9"/>
    </row>
    <row r="38" spans="3:8" x14ac:dyDescent="0.25">
      <c r="C38" s="8"/>
      <c r="D38" s="2"/>
      <c r="E38" s="2"/>
      <c r="F38" s="35"/>
      <c r="G38" s="14"/>
      <c r="H38" s="9"/>
    </row>
    <row r="39" spans="3:8" x14ac:dyDescent="0.25">
      <c r="C39" s="8"/>
      <c r="D39" s="2" t="s">
        <v>6597</v>
      </c>
      <c r="E39" s="2" t="s">
        <v>6612</v>
      </c>
      <c r="F39" s="35">
        <v>37</v>
      </c>
      <c r="G39" s="14"/>
      <c r="H39" s="9"/>
    </row>
    <row r="40" spans="3:8" x14ac:dyDescent="0.25">
      <c r="C40" s="8"/>
      <c r="D40" s="2" t="s">
        <v>6600</v>
      </c>
      <c r="E40" s="2" t="s">
        <v>507</v>
      </c>
      <c r="F40" s="35">
        <v>162</v>
      </c>
      <c r="G40" s="14"/>
      <c r="H40" s="9"/>
    </row>
    <row r="41" spans="3:8" x14ac:dyDescent="0.25">
      <c r="C41" s="8"/>
      <c r="D41" s="2" t="s">
        <v>6601</v>
      </c>
      <c r="E41" s="2" t="s">
        <v>1631</v>
      </c>
      <c r="F41" s="35">
        <v>5</v>
      </c>
      <c r="G41" s="14"/>
      <c r="H41" s="9"/>
    </row>
    <row r="42" spans="3:8" x14ac:dyDescent="0.25">
      <c r="C42" s="8"/>
      <c r="D42" s="2" t="s">
        <v>6602</v>
      </c>
      <c r="E42" s="2" t="s">
        <v>1631</v>
      </c>
      <c r="F42" s="35">
        <v>18</v>
      </c>
      <c r="G42" s="14"/>
      <c r="H42" s="9"/>
    </row>
    <row r="43" spans="3:8" x14ac:dyDescent="0.25">
      <c r="C43" s="8"/>
      <c r="D43" s="2" t="s">
        <v>6603</v>
      </c>
      <c r="E43" s="2" t="s">
        <v>6611</v>
      </c>
      <c r="F43" s="35">
        <v>795</v>
      </c>
      <c r="G43" s="14"/>
      <c r="H43" s="9"/>
    </row>
    <row r="44" spans="3:8" x14ac:dyDescent="0.25">
      <c r="C44" s="8"/>
      <c r="D44" s="2" t="s">
        <v>6604</v>
      </c>
      <c r="E44" s="2" t="s">
        <v>1631</v>
      </c>
      <c r="F44" s="35">
        <v>2.5</v>
      </c>
      <c r="G44" s="14"/>
      <c r="H44" s="9"/>
    </row>
    <row r="45" spans="3:8" x14ac:dyDescent="0.25">
      <c r="C45" s="8"/>
      <c r="D45" s="2" t="s">
        <v>6605</v>
      </c>
      <c r="E45" s="2" t="s">
        <v>5802</v>
      </c>
      <c r="F45" s="35">
        <v>17.5</v>
      </c>
      <c r="G45" s="14"/>
      <c r="H45" s="9"/>
    </row>
    <row r="46" spans="3:8" x14ac:dyDescent="0.25">
      <c r="C46" s="8"/>
      <c r="D46" s="2" t="s">
        <v>6606</v>
      </c>
      <c r="E46" s="2" t="s">
        <v>6610</v>
      </c>
      <c r="F46" s="35">
        <v>80</v>
      </c>
      <c r="G46" s="14"/>
      <c r="H46" s="9"/>
    </row>
    <row r="47" spans="3:8" x14ac:dyDescent="0.25">
      <c r="C47" s="8"/>
      <c r="D47" s="2" t="s">
        <v>6607</v>
      </c>
      <c r="E47" s="2" t="s">
        <v>1631</v>
      </c>
      <c r="F47" s="35">
        <v>8.4</v>
      </c>
      <c r="G47" s="14"/>
      <c r="H47" s="9"/>
    </row>
    <row r="48" spans="3:8" x14ac:dyDescent="0.25">
      <c r="C48" s="8"/>
      <c r="D48" s="2" t="s">
        <v>6608</v>
      </c>
      <c r="E48" s="2" t="s">
        <v>1631</v>
      </c>
      <c r="F48" s="35">
        <v>25</v>
      </c>
      <c r="G48" s="14"/>
      <c r="H48" s="9"/>
    </row>
    <row r="49" spans="3:8" x14ac:dyDescent="0.25">
      <c r="C49" s="8"/>
      <c r="D49" s="2" t="s">
        <v>6609</v>
      </c>
      <c r="E49" s="2" t="s">
        <v>1631</v>
      </c>
      <c r="F49" s="35">
        <v>3</v>
      </c>
      <c r="G49" s="14"/>
      <c r="H49" s="9"/>
    </row>
    <row r="50" spans="3:8" x14ac:dyDescent="0.25">
      <c r="C50" s="8"/>
      <c r="D50" s="2" t="s">
        <v>6627</v>
      </c>
      <c r="E50" s="2" t="s">
        <v>6633</v>
      </c>
      <c r="F50" s="35">
        <v>30</v>
      </c>
      <c r="G50" s="14"/>
      <c r="H50" s="9"/>
    </row>
    <row r="51" spans="3:8" x14ac:dyDescent="0.25">
      <c r="C51" s="8"/>
      <c r="D51" s="2" t="s">
        <v>6628</v>
      </c>
      <c r="E51" s="2" t="s">
        <v>1631</v>
      </c>
      <c r="F51" s="35"/>
      <c r="G51" s="14"/>
      <c r="H51" s="9">
        <v>5</v>
      </c>
    </row>
    <row r="52" spans="3:8" x14ac:dyDescent="0.25">
      <c r="C52" s="8"/>
      <c r="D52" s="2" t="s">
        <v>6629</v>
      </c>
      <c r="E52" s="2" t="s">
        <v>5055</v>
      </c>
      <c r="F52" s="35"/>
      <c r="G52" s="14"/>
      <c r="H52" s="9">
        <v>2396</v>
      </c>
    </row>
    <row r="53" spans="3:8" x14ac:dyDescent="0.25">
      <c r="C53" s="8"/>
      <c r="D53" s="2" t="s">
        <v>6630</v>
      </c>
      <c r="E53" s="2" t="s">
        <v>5910</v>
      </c>
      <c r="F53" s="35">
        <v>340</v>
      </c>
      <c r="G53" s="14"/>
      <c r="H53" s="9"/>
    </row>
    <row r="54" spans="3:8" x14ac:dyDescent="0.25">
      <c r="C54" s="8"/>
      <c r="D54" s="2" t="s">
        <v>6631</v>
      </c>
      <c r="E54" s="2" t="s">
        <v>1631</v>
      </c>
      <c r="F54" s="35">
        <v>3.75</v>
      </c>
      <c r="G54" s="14"/>
      <c r="H54" s="9"/>
    </row>
    <row r="55" spans="3:8" x14ac:dyDescent="0.25">
      <c r="C55" s="8"/>
      <c r="D55" s="2" t="s">
        <v>6632</v>
      </c>
      <c r="E55" s="2" t="s">
        <v>4620</v>
      </c>
      <c r="F55" s="4"/>
      <c r="G55" s="14">
        <v>5520</v>
      </c>
      <c r="H55" s="9"/>
    </row>
    <row r="56" spans="3:8" x14ac:dyDescent="0.25">
      <c r="C56" s="8"/>
      <c r="D56" s="2" t="s">
        <v>6637</v>
      </c>
      <c r="E56" s="2" t="s">
        <v>1631</v>
      </c>
      <c r="F56" s="35"/>
      <c r="G56" s="14"/>
      <c r="H56" s="9">
        <v>5</v>
      </c>
    </row>
    <row r="57" spans="3:8" x14ac:dyDescent="0.25">
      <c r="C57" s="8"/>
      <c r="D57" s="2" t="s">
        <v>6663</v>
      </c>
      <c r="E57" s="2"/>
      <c r="F57" s="4"/>
      <c r="G57" s="14"/>
      <c r="H57" s="9"/>
    </row>
    <row r="58" spans="3:8" x14ac:dyDescent="0.25">
      <c r="C58" s="29"/>
      <c r="D58" s="30"/>
      <c r="E58" s="30" t="s">
        <v>60</v>
      </c>
      <c r="F58" s="4"/>
      <c r="G58" s="14"/>
      <c r="H58" s="9"/>
    </row>
    <row r="59" spans="3:8" x14ac:dyDescent="0.25">
      <c r="C59" s="8"/>
      <c r="D59" s="45" t="s">
        <v>6572</v>
      </c>
      <c r="E59" s="68" t="s">
        <v>4322</v>
      </c>
      <c r="F59" s="4"/>
      <c r="G59" s="14"/>
      <c r="H59" s="9">
        <v>345</v>
      </c>
    </row>
    <row r="60" spans="3:8" x14ac:dyDescent="0.25">
      <c r="C60" s="8"/>
      <c r="D60" s="45" t="s">
        <v>6573</v>
      </c>
      <c r="E60" s="68" t="s">
        <v>4322</v>
      </c>
      <c r="F60" s="4"/>
      <c r="G60" s="14"/>
      <c r="H60" s="9">
        <v>183.01</v>
      </c>
    </row>
    <row r="61" spans="3:8" x14ac:dyDescent="0.25">
      <c r="C61" s="8"/>
      <c r="D61" s="45" t="s">
        <v>6574</v>
      </c>
      <c r="E61" s="68" t="s">
        <v>6575</v>
      </c>
      <c r="F61" s="4"/>
      <c r="G61" s="14"/>
      <c r="H61" s="9">
        <v>680</v>
      </c>
    </row>
    <row r="62" spans="3:8" x14ac:dyDescent="0.25">
      <c r="C62" s="8"/>
      <c r="D62" s="45"/>
      <c r="E62" s="68"/>
      <c r="F62" s="4"/>
      <c r="G62" s="14"/>
      <c r="H62" s="9"/>
    </row>
    <row r="63" spans="3:8" x14ac:dyDescent="0.25">
      <c r="C63" s="8"/>
      <c r="D63" s="45"/>
      <c r="E63" s="68"/>
      <c r="F63" s="4"/>
      <c r="G63" s="14"/>
      <c r="H63" s="9"/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16"/>
      <c r="D67" s="17"/>
      <c r="E67" s="17" t="s">
        <v>39</v>
      </c>
      <c r="F67" s="4"/>
      <c r="G67" s="14"/>
      <c r="H67" s="9"/>
    </row>
    <row r="68" spans="3:8" x14ac:dyDescent="0.25">
      <c r="C68" s="8"/>
      <c r="D68" s="2"/>
      <c r="E68" s="76" t="s">
        <v>6598</v>
      </c>
      <c r="F68" s="35">
        <v>50</v>
      </c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9"/>
      <c r="D72" s="20"/>
      <c r="E72" s="20" t="s">
        <v>42</v>
      </c>
      <c r="F72" s="4"/>
      <c r="G72" s="14"/>
      <c r="H72" s="9"/>
    </row>
    <row r="73" spans="3:8" x14ac:dyDescent="0.25">
      <c r="C73" s="34"/>
      <c r="D73" s="42"/>
      <c r="E73" s="68" t="s">
        <v>6570</v>
      </c>
      <c r="F73" s="14">
        <v>-350</v>
      </c>
      <c r="G73" s="14"/>
      <c r="H73" s="9"/>
    </row>
    <row r="74" spans="3:8" x14ac:dyDescent="0.25">
      <c r="C74" s="34"/>
      <c r="D74" s="42"/>
      <c r="E74" s="68" t="s">
        <v>6571</v>
      </c>
      <c r="F74" s="14">
        <v>-580</v>
      </c>
      <c r="G74" s="14"/>
      <c r="H74" s="9"/>
    </row>
    <row r="75" spans="3:8" x14ac:dyDescent="0.25">
      <c r="C75" s="34"/>
      <c r="D75" s="42"/>
      <c r="E75" s="68" t="s">
        <v>6599</v>
      </c>
      <c r="F75" s="14">
        <v>-100</v>
      </c>
      <c r="G75" s="14"/>
      <c r="H75" s="9"/>
    </row>
    <row r="76" spans="3:8" x14ac:dyDescent="0.25">
      <c r="C76" s="34"/>
      <c r="D76" s="42"/>
      <c r="E76" s="68" t="s">
        <v>1252</v>
      </c>
      <c r="F76" s="14">
        <v>-100</v>
      </c>
      <c r="G76" s="14"/>
      <c r="H76" s="9"/>
    </row>
    <row r="77" spans="3:8" x14ac:dyDescent="0.25">
      <c r="C77" s="34"/>
      <c r="D77" s="42"/>
      <c r="E77" s="68" t="s">
        <v>6634</v>
      </c>
      <c r="F77" s="14">
        <v>-2.5</v>
      </c>
      <c r="G77" s="14"/>
      <c r="H77" s="9"/>
    </row>
    <row r="78" spans="3:8" x14ac:dyDescent="0.25">
      <c r="C78" s="34"/>
      <c r="D78" s="42"/>
      <c r="E78" s="68" t="s">
        <v>6635</v>
      </c>
      <c r="F78" s="14">
        <v>-20</v>
      </c>
      <c r="G78" s="14"/>
      <c r="H78" s="9"/>
    </row>
    <row r="79" spans="3:8" x14ac:dyDescent="0.25">
      <c r="C79" s="34"/>
      <c r="D79" s="42"/>
      <c r="E79" s="68" t="s">
        <v>6636</v>
      </c>
      <c r="F79" s="14">
        <v>-5016</v>
      </c>
      <c r="G79" s="14"/>
      <c r="H79" s="9"/>
    </row>
    <row r="80" spans="3:8" x14ac:dyDescent="0.25">
      <c r="C80" s="34"/>
      <c r="D80" s="42"/>
      <c r="E80" s="68" t="s">
        <v>1274</v>
      </c>
      <c r="F80" s="14">
        <v>-1544</v>
      </c>
      <c r="G80" s="14"/>
      <c r="H80" s="9"/>
    </row>
    <row r="81" spans="3:8" x14ac:dyDescent="0.25">
      <c r="C81" s="34"/>
      <c r="D81" s="42"/>
      <c r="E81" s="68"/>
      <c r="F81" s="14"/>
      <c r="G81" s="14"/>
      <c r="H81" s="9"/>
    </row>
    <row r="82" spans="3:8" x14ac:dyDescent="0.25">
      <c r="C82" s="34"/>
      <c r="D82" s="42"/>
      <c r="E82" s="68"/>
      <c r="F82" s="14"/>
      <c r="G82" s="14"/>
      <c r="H82" s="9"/>
    </row>
    <row r="83" spans="3:8" ht="15.75" thickBot="1" x14ac:dyDescent="0.3">
      <c r="C83" s="10"/>
      <c r="D83" s="11"/>
      <c r="E83" s="11" t="s">
        <v>44</v>
      </c>
      <c r="F83" s="12">
        <f>SUM(F6:F82)</f>
        <v>-482.85000000000036</v>
      </c>
      <c r="G83" s="15">
        <f>SUM(G9:G82)</f>
        <v>8581</v>
      </c>
      <c r="H83" s="13">
        <f>SUM(H9:H82)</f>
        <v>4138.51</v>
      </c>
    </row>
    <row r="86" spans="3:8" s="3" customFormat="1" ht="18.75" x14ac:dyDescent="0.3">
      <c r="C86" s="1"/>
      <c r="D86" s="1"/>
      <c r="E86" s="38" t="s">
        <v>49</v>
      </c>
      <c r="F86" s="39">
        <f>+H4+F83</f>
        <v>4314.99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B116-5B58-464D-890B-170B0C1F2B35}">
  <sheetPr codeName="Hoja77"/>
  <dimension ref="C2:J100"/>
  <sheetViews>
    <sheetView topLeftCell="B69" zoomScaleNormal="100" workbookViewId="0">
      <selection activeCell="F100" sqref="F100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6638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4314.99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6641</v>
      </c>
      <c r="E6" s="2" t="s">
        <v>5918</v>
      </c>
      <c r="F6" s="109">
        <v>10</v>
      </c>
      <c r="G6" s="113"/>
      <c r="H6" s="112"/>
    </row>
    <row r="7" spans="3:10" x14ac:dyDescent="0.25">
      <c r="C7" s="24"/>
      <c r="D7" s="2" t="s">
        <v>6642</v>
      </c>
      <c r="E7" s="2" t="s">
        <v>6662</v>
      </c>
      <c r="F7" s="109">
        <v>3500</v>
      </c>
      <c r="G7" s="113">
        <v>3139</v>
      </c>
      <c r="H7" s="112"/>
      <c r="J7" s="36"/>
    </row>
    <row r="8" spans="3:10" x14ac:dyDescent="0.25">
      <c r="C8" s="24"/>
      <c r="D8" s="2" t="s">
        <v>6643</v>
      </c>
      <c r="E8" s="2" t="s">
        <v>5329</v>
      </c>
      <c r="F8" s="109"/>
      <c r="G8" s="113"/>
      <c r="H8" s="112">
        <v>177</v>
      </c>
    </row>
    <row r="9" spans="3:10" x14ac:dyDescent="0.25">
      <c r="C9" s="8"/>
      <c r="D9" s="2" t="s">
        <v>6644</v>
      </c>
      <c r="E9" s="2" t="s">
        <v>5329</v>
      </c>
      <c r="F9" s="4"/>
      <c r="G9" s="14">
        <v>168.5</v>
      </c>
      <c r="H9" s="9"/>
    </row>
    <row r="10" spans="3:10" x14ac:dyDescent="0.25">
      <c r="C10" s="8"/>
      <c r="D10" s="2" t="s">
        <v>6645</v>
      </c>
      <c r="E10" s="2" t="s">
        <v>5918</v>
      </c>
      <c r="F10" s="4">
        <v>35</v>
      </c>
      <c r="G10" s="14"/>
      <c r="H10" s="9"/>
    </row>
    <row r="11" spans="3:10" x14ac:dyDescent="0.25">
      <c r="C11" s="8"/>
      <c r="D11" s="2" t="s">
        <v>6646</v>
      </c>
      <c r="E11" s="2" t="s">
        <v>5918</v>
      </c>
      <c r="F11" s="4">
        <v>3</v>
      </c>
      <c r="G11" s="14"/>
      <c r="H11" s="9"/>
    </row>
    <row r="12" spans="3:10" x14ac:dyDescent="0.25">
      <c r="C12" s="8"/>
      <c r="D12" s="2" t="s">
        <v>6647</v>
      </c>
      <c r="E12" s="2" t="s">
        <v>5918</v>
      </c>
      <c r="F12" s="4">
        <v>54</v>
      </c>
      <c r="G12" s="14"/>
      <c r="H12" s="9"/>
    </row>
    <row r="13" spans="3:10" x14ac:dyDescent="0.25">
      <c r="C13" s="8"/>
      <c r="D13" s="2" t="s">
        <v>6648</v>
      </c>
      <c r="E13" s="2" t="s">
        <v>4597</v>
      </c>
      <c r="F13" s="4">
        <v>3500</v>
      </c>
      <c r="G13" s="14">
        <v>132.5</v>
      </c>
      <c r="H13" s="9"/>
    </row>
    <row r="14" spans="3:10" x14ac:dyDescent="0.25">
      <c r="C14" s="8"/>
      <c r="D14" s="2" t="s">
        <v>6649</v>
      </c>
      <c r="E14" s="2" t="s">
        <v>6626</v>
      </c>
      <c r="F14" s="4"/>
      <c r="G14" s="14">
        <v>250</v>
      </c>
      <c r="H14" s="9"/>
    </row>
    <row r="15" spans="3:10" x14ac:dyDescent="0.25">
      <c r="C15" s="8"/>
      <c r="D15" s="2" t="s">
        <v>6650</v>
      </c>
      <c r="E15" s="2" t="s">
        <v>6661</v>
      </c>
      <c r="F15" s="4">
        <v>217.5</v>
      </c>
      <c r="G15" s="14"/>
      <c r="H15" s="9"/>
    </row>
    <row r="16" spans="3:10" x14ac:dyDescent="0.25">
      <c r="C16" s="8"/>
      <c r="D16" s="2" t="s">
        <v>6651</v>
      </c>
      <c r="E16" s="2" t="s">
        <v>6660</v>
      </c>
      <c r="F16" s="4"/>
      <c r="G16" s="14"/>
      <c r="H16" s="9">
        <v>2685</v>
      </c>
    </row>
    <row r="17" spans="3:8" x14ac:dyDescent="0.25">
      <c r="C17" s="8"/>
      <c r="D17" s="2" t="s">
        <v>6652</v>
      </c>
      <c r="E17" s="2" t="s">
        <v>6659</v>
      </c>
      <c r="F17" s="4">
        <v>300</v>
      </c>
      <c r="G17" s="14"/>
      <c r="H17" s="9"/>
    </row>
    <row r="18" spans="3:8" x14ac:dyDescent="0.25">
      <c r="C18" s="8"/>
      <c r="D18" s="2" t="s">
        <v>6653</v>
      </c>
      <c r="E18" s="2" t="s">
        <v>5918</v>
      </c>
      <c r="F18" s="4"/>
      <c r="G18" s="14"/>
      <c r="H18" s="9">
        <v>103.5</v>
      </c>
    </row>
    <row r="19" spans="3:8" x14ac:dyDescent="0.25">
      <c r="C19" s="8"/>
      <c r="D19" s="2" t="s">
        <v>6654</v>
      </c>
      <c r="E19" s="2" t="s">
        <v>5918</v>
      </c>
      <c r="F19" s="35">
        <v>19</v>
      </c>
      <c r="G19" s="14"/>
      <c r="H19" s="9"/>
    </row>
    <row r="20" spans="3:8" x14ac:dyDescent="0.25">
      <c r="C20" s="8"/>
      <c r="D20" s="2" t="s">
        <v>6655</v>
      </c>
      <c r="E20" s="2" t="s">
        <v>5918</v>
      </c>
      <c r="F20" s="35"/>
      <c r="G20" s="14"/>
      <c r="H20" s="9">
        <v>20</v>
      </c>
    </row>
    <row r="21" spans="3:8" x14ac:dyDescent="0.25">
      <c r="C21" s="8"/>
      <c r="D21" s="2" t="s">
        <v>6656</v>
      </c>
      <c r="E21" s="2" t="s">
        <v>5918</v>
      </c>
      <c r="F21" s="35">
        <v>10</v>
      </c>
      <c r="G21" s="14"/>
      <c r="H21" s="9"/>
    </row>
    <row r="22" spans="3:8" x14ac:dyDescent="0.25">
      <c r="C22" s="8"/>
      <c r="D22" s="2" t="s">
        <v>6657</v>
      </c>
      <c r="E22" s="2" t="s">
        <v>6658</v>
      </c>
      <c r="F22" s="35"/>
      <c r="G22" s="14"/>
      <c r="H22" s="9">
        <v>767.3</v>
      </c>
    </row>
    <row r="23" spans="3:8" x14ac:dyDescent="0.25">
      <c r="C23" s="8"/>
      <c r="D23" s="2" t="s">
        <v>6687</v>
      </c>
      <c r="E23" s="2" t="s">
        <v>5918</v>
      </c>
      <c r="F23" s="35">
        <v>31.5</v>
      </c>
      <c r="G23" s="14"/>
      <c r="H23" s="9"/>
    </row>
    <row r="24" spans="3:8" x14ac:dyDescent="0.25">
      <c r="C24" s="8"/>
      <c r="D24" s="2" t="s">
        <v>6688</v>
      </c>
      <c r="E24" s="2" t="s">
        <v>5918</v>
      </c>
      <c r="F24" s="35">
        <v>7.5</v>
      </c>
      <c r="G24" s="14"/>
      <c r="H24" s="9"/>
    </row>
    <row r="25" spans="3:8" x14ac:dyDescent="0.25">
      <c r="C25" s="8"/>
      <c r="D25" s="2" t="s">
        <v>6689</v>
      </c>
      <c r="E25" s="2" t="s">
        <v>4597</v>
      </c>
      <c r="F25" s="35"/>
      <c r="G25" s="14">
        <v>40</v>
      </c>
      <c r="H25" s="9"/>
    </row>
    <row r="26" spans="3:8" x14ac:dyDescent="0.25">
      <c r="C26" s="8"/>
      <c r="D26" s="2" t="s">
        <v>6690</v>
      </c>
      <c r="E26" s="2" t="s">
        <v>6693</v>
      </c>
      <c r="F26" s="35">
        <v>730</v>
      </c>
      <c r="G26" s="14"/>
      <c r="H26" s="9"/>
    </row>
    <row r="27" spans="3:8" x14ac:dyDescent="0.25">
      <c r="C27" s="8"/>
      <c r="D27" s="2" t="s">
        <v>6691</v>
      </c>
      <c r="E27" s="2" t="s">
        <v>5918</v>
      </c>
      <c r="F27" s="35">
        <v>3</v>
      </c>
      <c r="G27" s="14"/>
      <c r="H27" s="9"/>
    </row>
    <row r="28" spans="3:8" x14ac:dyDescent="0.25">
      <c r="C28" s="8"/>
      <c r="D28" s="2" t="s">
        <v>6692</v>
      </c>
      <c r="E28" s="2" t="s">
        <v>6521</v>
      </c>
      <c r="F28" s="35">
        <v>6</v>
      </c>
      <c r="G28" s="14"/>
      <c r="H28" s="9"/>
    </row>
    <row r="29" spans="3:8" x14ac:dyDescent="0.25">
      <c r="C29" s="8"/>
      <c r="D29" s="2" t="s">
        <v>6716</v>
      </c>
      <c r="E29" s="2" t="s">
        <v>6275</v>
      </c>
      <c r="F29" s="35"/>
      <c r="G29" s="14">
        <v>45</v>
      </c>
      <c r="H29" s="9"/>
    </row>
    <row r="30" spans="3:8" x14ac:dyDescent="0.25">
      <c r="C30" s="8"/>
      <c r="D30" s="2" t="s">
        <v>6717</v>
      </c>
      <c r="E30" s="2" t="s">
        <v>6275</v>
      </c>
      <c r="F30" s="35"/>
      <c r="G30" s="14">
        <v>126</v>
      </c>
      <c r="H30" s="9"/>
    </row>
    <row r="31" spans="3:8" x14ac:dyDescent="0.25">
      <c r="C31" s="8"/>
      <c r="D31" s="2" t="s">
        <v>6720</v>
      </c>
      <c r="E31" s="2" t="s">
        <v>6751</v>
      </c>
      <c r="F31" s="35"/>
      <c r="G31" s="14"/>
      <c r="H31" s="9">
        <v>735</v>
      </c>
    </row>
    <row r="32" spans="3:8" x14ac:dyDescent="0.25">
      <c r="C32" s="8"/>
      <c r="D32" s="2"/>
      <c r="E32" s="2"/>
      <c r="F32" s="35"/>
      <c r="G32" s="14"/>
      <c r="H32" s="9"/>
    </row>
    <row r="33" spans="3:8" x14ac:dyDescent="0.25">
      <c r="C33" s="8"/>
      <c r="D33" s="2"/>
      <c r="E33" s="2"/>
      <c r="F33" s="35"/>
      <c r="G33" s="14"/>
      <c r="H33" s="9"/>
    </row>
    <row r="34" spans="3:8" x14ac:dyDescent="0.25">
      <c r="C34" s="8"/>
      <c r="D34" s="2" t="s">
        <v>6663</v>
      </c>
      <c r="E34" s="2" t="s">
        <v>4191</v>
      </c>
      <c r="F34" s="35"/>
      <c r="G34" s="14"/>
      <c r="H34" s="9">
        <v>118.4</v>
      </c>
    </row>
    <row r="35" spans="3:8" x14ac:dyDescent="0.25">
      <c r="C35" s="8"/>
      <c r="D35" s="2" t="s">
        <v>6664</v>
      </c>
      <c r="E35" s="2" t="s">
        <v>6633</v>
      </c>
      <c r="F35" s="35">
        <v>35</v>
      </c>
      <c r="G35" s="14"/>
      <c r="H35" s="9"/>
    </row>
    <row r="36" spans="3:8" x14ac:dyDescent="0.25">
      <c r="C36" s="8"/>
      <c r="D36" s="2" t="s">
        <v>6665</v>
      </c>
      <c r="E36" s="2" t="s">
        <v>6675</v>
      </c>
      <c r="F36" s="35"/>
      <c r="G36" s="14">
        <v>32.5</v>
      </c>
      <c r="H36" s="9"/>
    </row>
    <row r="37" spans="3:8" x14ac:dyDescent="0.25">
      <c r="C37" s="8"/>
      <c r="D37" s="2" t="s">
        <v>6666</v>
      </c>
      <c r="E37" s="2" t="s">
        <v>507</v>
      </c>
      <c r="F37" s="35">
        <v>63</v>
      </c>
      <c r="G37" s="14"/>
      <c r="H37" s="9"/>
    </row>
    <row r="38" spans="3:8" x14ac:dyDescent="0.25">
      <c r="C38" s="8"/>
      <c r="D38" s="2" t="s">
        <v>6667</v>
      </c>
      <c r="E38" s="2" t="s">
        <v>5951</v>
      </c>
      <c r="F38" s="35"/>
      <c r="G38" s="14"/>
      <c r="H38" s="9">
        <v>155</v>
      </c>
    </row>
    <row r="39" spans="3:8" x14ac:dyDescent="0.25">
      <c r="C39" s="8"/>
      <c r="D39" s="2" t="s">
        <v>6668</v>
      </c>
      <c r="E39" s="2" t="s">
        <v>5847</v>
      </c>
      <c r="F39" s="35">
        <v>3</v>
      </c>
      <c r="G39" s="14"/>
      <c r="H39" s="9"/>
    </row>
    <row r="40" spans="3:8" x14ac:dyDescent="0.25">
      <c r="C40" s="8"/>
      <c r="D40" s="2" t="s">
        <v>6669</v>
      </c>
      <c r="E40" s="2" t="s">
        <v>6674</v>
      </c>
      <c r="F40" s="35"/>
      <c r="G40" s="14">
        <v>472.5</v>
      </c>
      <c r="H40" s="9"/>
    </row>
    <row r="41" spans="3:8" x14ac:dyDescent="0.25">
      <c r="C41" s="8"/>
      <c r="D41" s="2" t="s">
        <v>6670</v>
      </c>
      <c r="E41" s="2" t="s">
        <v>6674</v>
      </c>
      <c r="F41" s="35"/>
      <c r="G41" s="14">
        <v>32</v>
      </c>
      <c r="H41" s="9"/>
    </row>
    <row r="42" spans="3:8" x14ac:dyDescent="0.25">
      <c r="C42" s="8"/>
      <c r="D42" s="2" t="s">
        <v>6671</v>
      </c>
      <c r="E42" s="2" t="s">
        <v>5847</v>
      </c>
      <c r="F42" s="35">
        <v>4.5</v>
      </c>
      <c r="G42" s="14"/>
      <c r="H42" s="9"/>
    </row>
    <row r="43" spans="3:8" x14ac:dyDescent="0.25">
      <c r="C43" s="8"/>
      <c r="D43" s="2" t="s">
        <v>6672</v>
      </c>
      <c r="E43" s="2" t="s">
        <v>5951</v>
      </c>
      <c r="F43" s="35"/>
      <c r="G43" s="14"/>
      <c r="H43" s="9">
        <v>1550</v>
      </c>
    </row>
    <row r="44" spans="3:8" x14ac:dyDescent="0.25">
      <c r="C44" s="8"/>
      <c r="D44" s="2" t="s">
        <v>6673</v>
      </c>
      <c r="E44" s="2" t="s">
        <v>5847</v>
      </c>
      <c r="F44" s="35"/>
      <c r="G44" s="14"/>
      <c r="H44" s="9">
        <v>10.5</v>
      </c>
    </row>
    <row r="45" spans="3:8" x14ac:dyDescent="0.25">
      <c r="C45" s="8"/>
      <c r="D45" s="2" t="s">
        <v>6694</v>
      </c>
      <c r="E45" s="2" t="s">
        <v>5847</v>
      </c>
      <c r="F45" s="35"/>
      <c r="G45" s="14"/>
      <c r="H45" s="9">
        <v>31.5</v>
      </c>
    </row>
    <row r="46" spans="3:8" x14ac:dyDescent="0.25">
      <c r="C46" s="8"/>
      <c r="D46" s="2" t="s">
        <v>6695</v>
      </c>
      <c r="E46" s="2" t="s">
        <v>5847</v>
      </c>
      <c r="F46" s="35">
        <v>20</v>
      </c>
      <c r="G46" s="14"/>
      <c r="H46" s="9"/>
    </row>
    <row r="47" spans="3:8" x14ac:dyDescent="0.25">
      <c r="C47" s="8"/>
      <c r="D47" s="2" t="s">
        <v>6696</v>
      </c>
      <c r="E47" s="2" t="s">
        <v>4322</v>
      </c>
      <c r="F47" s="35"/>
      <c r="G47" s="14"/>
      <c r="H47" s="9">
        <v>180</v>
      </c>
    </row>
    <row r="48" spans="3:8" x14ac:dyDescent="0.25">
      <c r="C48" s="8"/>
      <c r="D48" s="2" t="s">
        <v>6697</v>
      </c>
      <c r="E48" s="2" t="s">
        <v>6707</v>
      </c>
      <c r="F48" s="35">
        <v>515</v>
      </c>
      <c r="G48" s="14"/>
      <c r="H48" s="9"/>
    </row>
    <row r="49" spans="3:8" x14ac:dyDescent="0.25">
      <c r="C49" s="8"/>
      <c r="D49" s="2" t="s">
        <v>6698</v>
      </c>
      <c r="E49" s="2" t="s">
        <v>6706</v>
      </c>
      <c r="F49" s="35"/>
      <c r="G49" s="14"/>
      <c r="H49" s="9">
        <v>5680</v>
      </c>
    </row>
    <row r="50" spans="3:8" x14ac:dyDescent="0.25">
      <c r="C50" s="8"/>
      <c r="D50" s="2" t="s">
        <v>6699</v>
      </c>
      <c r="E50" s="2" t="s">
        <v>6705</v>
      </c>
      <c r="F50" s="35"/>
      <c r="G50" s="14"/>
      <c r="H50" s="9">
        <v>194</v>
      </c>
    </row>
    <row r="51" spans="3:8" x14ac:dyDescent="0.25">
      <c r="C51" s="8"/>
      <c r="D51" s="2" t="s">
        <v>6700</v>
      </c>
      <c r="E51" s="2" t="s">
        <v>6704</v>
      </c>
      <c r="F51" s="35">
        <v>36</v>
      </c>
      <c r="G51" s="14"/>
      <c r="H51" s="9"/>
    </row>
    <row r="52" spans="3:8" x14ac:dyDescent="0.25">
      <c r="C52" s="8"/>
      <c r="D52" s="2" t="s">
        <v>6701</v>
      </c>
      <c r="E52" s="2" t="s">
        <v>5847</v>
      </c>
      <c r="F52" s="35">
        <v>5</v>
      </c>
      <c r="G52" s="14"/>
      <c r="H52" s="9"/>
    </row>
    <row r="53" spans="3:8" x14ac:dyDescent="0.25">
      <c r="C53" s="8"/>
      <c r="D53" s="2" t="s">
        <v>6702</v>
      </c>
      <c r="E53" s="2" t="s">
        <v>5847</v>
      </c>
      <c r="F53" s="35">
        <v>5</v>
      </c>
      <c r="G53" s="14"/>
      <c r="H53" s="9"/>
    </row>
    <row r="54" spans="3:8" x14ac:dyDescent="0.25">
      <c r="C54" s="8"/>
      <c r="D54" s="2" t="s">
        <v>6703</v>
      </c>
      <c r="E54" s="2" t="s">
        <v>4619</v>
      </c>
      <c r="F54" s="35"/>
      <c r="G54" s="14"/>
      <c r="H54" s="9">
        <v>88</v>
      </c>
    </row>
    <row r="55" spans="3:8" x14ac:dyDescent="0.25">
      <c r="C55" s="8"/>
      <c r="D55" s="2" t="s">
        <v>6752</v>
      </c>
      <c r="E55" s="2"/>
      <c r="F55" s="35"/>
      <c r="G55" s="14"/>
      <c r="H55" s="9"/>
    </row>
    <row r="56" spans="3:8" x14ac:dyDescent="0.25">
      <c r="C56" s="8"/>
      <c r="D56" s="2"/>
      <c r="E56" s="2"/>
      <c r="F56" s="35"/>
      <c r="G56" s="14"/>
      <c r="H56" s="9"/>
    </row>
    <row r="57" spans="3:8" x14ac:dyDescent="0.25">
      <c r="C57" s="8"/>
      <c r="D57" s="2"/>
      <c r="E57" s="2"/>
      <c r="F57" s="35"/>
      <c r="G57" s="14"/>
      <c r="H57" s="9"/>
    </row>
    <row r="58" spans="3:8" x14ac:dyDescent="0.25">
      <c r="C58" s="8"/>
      <c r="D58" s="2"/>
      <c r="E58" s="2"/>
      <c r="F58" s="35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45" t="s">
        <v>6684</v>
      </c>
      <c r="E61" s="68" t="s">
        <v>5266</v>
      </c>
      <c r="F61" s="4"/>
      <c r="G61" s="14"/>
      <c r="H61" s="9">
        <v>415</v>
      </c>
    </row>
    <row r="62" spans="3:8" x14ac:dyDescent="0.25">
      <c r="C62" s="8"/>
      <c r="D62" s="45" t="s">
        <v>6686</v>
      </c>
      <c r="E62" s="68" t="s">
        <v>6685</v>
      </c>
      <c r="F62" s="4"/>
      <c r="G62" s="14"/>
      <c r="H62" s="9">
        <v>192</v>
      </c>
    </row>
    <row r="63" spans="3:8" x14ac:dyDescent="0.25">
      <c r="C63" s="8"/>
      <c r="D63" s="45"/>
      <c r="E63" s="68"/>
      <c r="F63" s="4"/>
      <c r="G63" s="14"/>
      <c r="H63" s="9"/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16"/>
      <c r="D69" s="17"/>
      <c r="E69" s="17" t="s">
        <v>39</v>
      </c>
      <c r="F69" s="4"/>
      <c r="G69" s="14"/>
      <c r="H69" s="9"/>
    </row>
    <row r="70" spans="3:8" x14ac:dyDescent="0.25">
      <c r="C70" s="8"/>
      <c r="D70" s="2"/>
      <c r="E70" s="76" t="s">
        <v>6676</v>
      </c>
      <c r="F70" s="35">
        <v>100</v>
      </c>
      <c r="G70" s="14"/>
      <c r="H70" s="9"/>
    </row>
    <row r="71" spans="3:8" x14ac:dyDescent="0.25">
      <c r="C71" s="8"/>
      <c r="D71" s="2"/>
      <c r="E71" s="76" t="s">
        <v>6711</v>
      </c>
      <c r="F71" s="35">
        <v>725.4</v>
      </c>
      <c r="G71" s="14"/>
      <c r="H71" s="9"/>
    </row>
    <row r="72" spans="3:8" x14ac:dyDescent="0.25">
      <c r="C72" s="8"/>
      <c r="D72" s="2"/>
      <c r="E72" s="76" t="s">
        <v>6712</v>
      </c>
      <c r="F72" s="35">
        <v>180</v>
      </c>
      <c r="G72" s="14"/>
      <c r="H72" s="9"/>
    </row>
    <row r="73" spans="3:8" x14ac:dyDescent="0.25">
      <c r="C73" s="8"/>
      <c r="D73" s="2"/>
      <c r="E73" s="76" t="s">
        <v>6713</v>
      </c>
      <c r="F73" s="35">
        <v>148</v>
      </c>
      <c r="G73" s="14"/>
      <c r="H73" s="9"/>
    </row>
    <row r="74" spans="3:8" x14ac:dyDescent="0.25">
      <c r="C74" s="8"/>
      <c r="D74" s="2"/>
      <c r="E74" s="76" t="s">
        <v>6714</v>
      </c>
      <c r="F74" s="35">
        <v>102.5</v>
      </c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8"/>
      <c r="D76" s="2"/>
      <c r="E76" s="76"/>
      <c r="F76" s="35"/>
      <c r="G76" s="14"/>
      <c r="H76" s="9"/>
    </row>
    <row r="77" spans="3:8" x14ac:dyDescent="0.25">
      <c r="C77" s="8"/>
      <c r="D77" s="2"/>
      <c r="E77" s="76"/>
      <c r="F77" s="35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9"/>
      <c r="D79" s="20"/>
      <c r="E79" s="20" t="s">
        <v>42</v>
      </c>
      <c r="F79" s="4"/>
      <c r="G79" s="14"/>
      <c r="H79" s="9"/>
    </row>
    <row r="80" spans="3:8" x14ac:dyDescent="0.25">
      <c r="C80" s="34"/>
      <c r="D80" s="42"/>
      <c r="E80" s="68" t="s">
        <v>6677</v>
      </c>
      <c r="F80" s="14">
        <v>-10</v>
      </c>
      <c r="G80" s="14"/>
      <c r="H80" s="9"/>
    </row>
    <row r="81" spans="3:8" x14ac:dyDescent="0.25">
      <c r="C81" s="34"/>
      <c r="D81" s="42"/>
      <c r="E81" s="68" t="s">
        <v>6678</v>
      </c>
      <c r="F81" s="14">
        <v>-20</v>
      </c>
      <c r="G81" s="14"/>
      <c r="H81" s="9"/>
    </row>
    <row r="82" spans="3:8" x14ac:dyDescent="0.25">
      <c r="C82" s="34"/>
      <c r="D82" s="42"/>
      <c r="E82" s="68" t="s">
        <v>6679</v>
      </c>
      <c r="F82" s="14">
        <v>-20</v>
      </c>
      <c r="G82" s="14"/>
      <c r="H82" s="9"/>
    </row>
    <row r="83" spans="3:8" x14ac:dyDescent="0.25">
      <c r="C83" s="34"/>
      <c r="D83" s="42"/>
      <c r="E83" s="68" t="s">
        <v>6680</v>
      </c>
      <c r="F83" s="14">
        <v>-20</v>
      </c>
      <c r="G83" s="14"/>
      <c r="H83" s="9"/>
    </row>
    <row r="84" spans="3:8" x14ac:dyDescent="0.25">
      <c r="C84" s="34"/>
      <c r="D84" s="42"/>
      <c r="E84" s="68" t="s">
        <v>6681</v>
      </c>
      <c r="F84" s="14">
        <v>-95</v>
      </c>
      <c r="G84" s="14"/>
      <c r="H84" s="9"/>
    </row>
    <row r="85" spans="3:8" x14ac:dyDescent="0.25">
      <c r="C85" s="34"/>
      <c r="D85" s="42"/>
      <c r="E85" s="68" t="s">
        <v>6682</v>
      </c>
      <c r="F85" s="14">
        <v>-60</v>
      </c>
      <c r="G85" s="14"/>
      <c r="H85" s="9"/>
    </row>
    <row r="86" spans="3:8" x14ac:dyDescent="0.25">
      <c r="C86" s="34"/>
      <c r="D86" s="42"/>
      <c r="E86" s="68" t="s">
        <v>6683</v>
      </c>
      <c r="F86" s="14">
        <v>-785</v>
      </c>
      <c r="G86" s="14"/>
      <c r="H86" s="9"/>
    </row>
    <row r="87" spans="3:8" x14ac:dyDescent="0.25">
      <c r="C87" s="34"/>
      <c r="D87" s="42"/>
      <c r="E87" s="68" t="s">
        <v>6708</v>
      </c>
      <c r="F87" s="14">
        <v>-10</v>
      </c>
      <c r="G87" s="14"/>
      <c r="H87" s="9"/>
    </row>
    <row r="88" spans="3:8" x14ac:dyDescent="0.25">
      <c r="C88" s="34"/>
      <c r="D88" s="42"/>
      <c r="E88" s="68" t="s">
        <v>6709</v>
      </c>
      <c r="F88" s="14">
        <v>-100</v>
      </c>
      <c r="G88" s="14"/>
      <c r="H88" s="9"/>
    </row>
    <row r="89" spans="3:8" x14ac:dyDescent="0.25">
      <c r="C89" s="34"/>
      <c r="D89" s="42"/>
      <c r="E89" s="68" t="s">
        <v>6710</v>
      </c>
      <c r="F89" s="14">
        <v>-10</v>
      </c>
      <c r="G89" s="14"/>
      <c r="H89" s="9"/>
    </row>
    <row r="90" spans="3:8" x14ac:dyDescent="0.25">
      <c r="C90" s="34"/>
      <c r="D90" s="42"/>
      <c r="E90" s="68" t="s">
        <v>6715</v>
      </c>
      <c r="F90" s="14">
        <v>-26</v>
      </c>
      <c r="G90" s="14"/>
      <c r="H90" s="9"/>
    </row>
    <row r="91" spans="3:8" x14ac:dyDescent="0.25">
      <c r="C91" s="34"/>
      <c r="D91" s="42"/>
      <c r="E91" s="68" t="s">
        <v>6718</v>
      </c>
      <c r="F91" s="14">
        <v>-60</v>
      </c>
      <c r="G91" s="14"/>
      <c r="H91" s="9"/>
    </row>
    <row r="92" spans="3:8" x14ac:dyDescent="0.25">
      <c r="C92" s="34"/>
      <c r="D92" s="42"/>
      <c r="E92" s="68" t="s">
        <v>478</v>
      </c>
      <c r="F92" s="14">
        <v>-60</v>
      </c>
      <c r="G92" s="14"/>
      <c r="H92" s="9"/>
    </row>
    <row r="93" spans="3:8" x14ac:dyDescent="0.25">
      <c r="C93" s="34"/>
      <c r="D93" s="42"/>
      <c r="E93" s="68"/>
      <c r="F93" s="14"/>
      <c r="G93" s="14"/>
      <c r="H93" s="9"/>
    </row>
    <row r="94" spans="3:8" x14ac:dyDescent="0.25">
      <c r="C94" s="34"/>
      <c r="D94" s="42"/>
      <c r="E94" s="68"/>
      <c r="F94" s="14"/>
      <c r="G94" s="14"/>
      <c r="H94" s="9"/>
    </row>
    <row r="95" spans="3:8" x14ac:dyDescent="0.25">
      <c r="C95" s="34"/>
      <c r="D95" s="42"/>
      <c r="E95" s="68"/>
      <c r="F95" s="14"/>
      <c r="G95" s="14"/>
      <c r="H95" s="9"/>
    </row>
    <row r="96" spans="3:8" x14ac:dyDescent="0.25">
      <c r="C96" s="34"/>
      <c r="D96" s="42"/>
      <c r="E96" s="68"/>
      <c r="F96" s="14"/>
      <c r="G96" s="14"/>
      <c r="H96" s="9"/>
    </row>
    <row r="97" spans="3:8" ht="15.75" thickBot="1" x14ac:dyDescent="0.3">
      <c r="C97" s="10"/>
      <c r="D97" s="11"/>
      <c r="E97" s="11" t="s">
        <v>44</v>
      </c>
      <c r="F97" s="12">
        <f>SUM(F6:F96)</f>
        <v>9092.9</v>
      </c>
      <c r="G97" s="15">
        <f>SUM(G9:G96)</f>
        <v>1299</v>
      </c>
      <c r="H97" s="13">
        <f>SUM(H9:H96)</f>
        <v>12925.2</v>
      </c>
    </row>
    <row r="100" spans="3:8" s="3" customFormat="1" ht="18.75" x14ac:dyDescent="0.3">
      <c r="C100" s="1"/>
      <c r="D100" s="1"/>
      <c r="E100" s="38" t="s">
        <v>49</v>
      </c>
      <c r="F100" s="39">
        <f>+H4+F97</f>
        <v>13407.89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52B5-69DE-497B-BB43-BDE560F24E34}">
  <sheetPr codeName="Hoja83"/>
  <dimension ref="C2:J98"/>
  <sheetViews>
    <sheetView topLeftCell="B76" zoomScaleNormal="100" workbookViewId="0">
      <selection activeCell="F98" sqref="F98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6719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13407.89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6727</v>
      </c>
      <c r="E6" s="2" t="s">
        <v>6726</v>
      </c>
      <c r="F6" s="109">
        <v>247</v>
      </c>
      <c r="G6" s="113"/>
      <c r="H6" s="112"/>
    </row>
    <row r="7" spans="3:10" x14ac:dyDescent="0.25">
      <c r="C7" s="24"/>
      <c r="D7" s="2" t="s">
        <v>6728</v>
      </c>
      <c r="E7" s="2" t="s">
        <v>5918</v>
      </c>
      <c r="F7" s="109"/>
      <c r="G7" s="113"/>
      <c r="H7" s="112">
        <v>32</v>
      </c>
      <c r="J7" s="36"/>
    </row>
    <row r="8" spans="3:10" x14ac:dyDescent="0.25">
      <c r="C8" s="24"/>
      <c r="D8" s="2" t="s">
        <v>6729</v>
      </c>
      <c r="E8" s="2" t="s">
        <v>628</v>
      </c>
      <c r="F8" s="109">
        <v>457.5</v>
      </c>
      <c r="G8" s="113"/>
      <c r="H8" s="112"/>
    </row>
    <row r="9" spans="3:10" x14ac:dyDescent="0.25">
      <c r="C9" s="8"/>
      <c r="D9" s="2" t="s">
        <v>6730</v>
      </c>
      <c r="E9" s="2" t="s">
        <v>5163</v>
      </c>
      <c r="F9" s="4"/>
      <c r="G9" s="14"/>
      <c r="H9" s="9">
        <v>1715</v>
      </c>
    </row>
    <row r="10" spans="3:10" x14ac:dyDescent="0.25">
      <c r="C10" s="8"/>
      <c r="D10" s="2" t="s">
        <v>6731</v>
      </c>
      <c r="E10" s="2" t="s">
        <v>5918</v>
      </c>
      <c r="F10" s="4"/>
      <c r="G10" s="14"/>
      <c r="H10" s="9">
        <v>123</v>
      </c>
    </row>
    <row r="11" spans="3:10" x14ac:dyDescent="0.25">
      <c r="C11" s="8"/>
      <c r="D11" s="2" t="s">
        <v>6732</v>
      </c>
      <c r="E11" s="2" t="s">
        <v>3391</v>
      </c>
      <c r="F11" s="4"/>
      <c r="G11" s="14">
        <v>15</v>
      </c>
      <c r="H11" s="9"/>
    </row>
    <row r="12" spans="3:10" x14ac:dyDescent="0.25">
      <c r="C12" s="8"/>
      <c r="D12" s="2" t="s">
        <v>6733</v>
      </c>
      <c r="E12" s="2" t="s">
        <v>5918</v>
      </c>
      <c r="F12" s="4">
        <v>10</v>
      </c>
      <c r="G12" s="14"/>
      <c r="H12" s="9"/>
    </row>
    <row r="13" spans="3:10" x14ac:dyDescent="0.25">
      <c r="C13" s="8"/>
      <c r="D13" s="2" t="s">
        <v>6734</v>
      </c>
      <c r="E13" s="2" t="s">
        <v>6782</v>
      </c>
      <c r="F13" s="4">
        <v>1000</v>
      </c>
      <c r="G13" s="14"/>
      <c r="H13" s="9">
        <v>516.9</v>
      </c>
    </row>
    <row r="14" spans="3:10" x14ac:dyDescent="0.25">
      <c r="C14" s="8"/>
      <c r="D14" s="2" t="s">
        <v>6735</v>
      </c>
      <c r="E14" s="2" t="s">
        <v>5918</v>
      </c>
      <c r="F14" s="4">
        <v>4.5</v>
      </c>
      <c r="G14" s="14"/>
      <c r="H14" s="9"/>
    </row>
    <row r="15" spans="3:10" x14ac:dyDescent="0.25">
      <c r="C15" s="8"/>
      <c r="D15" s="2" t="s">
        <v>6736</v>
      </c>
      <c r="E15" s="2" t="s">
        <v>5918</v>
      </c>
      <c r="F15" s="4">
        <v>10.5</v>
      </c>
      <c r="G15" s="14"/>
      <c r="H15" s="9"/>
    </row>
    <row r="16" spans="3:10" x14ac:dyDescent="0.25">
      <c r="C16" s="8"/>
      <c r="D16" s="2" t="s">
        <v>6737</v>
      </c>
      <c r="E16" s="2" t="s">
        <v>6781</v>
      </c>
      <c r="F16" s="4">
        <v>847</v>
      </c>
      <c r="G16" s="14"/>
      <c r="H16" s="9"/>
    </row>
    <row r="17" spans="3:8" x14ac:dyDescent="0.25">
      <c r="C17" s="8"/>
      <c r="D17" s="2" t="s">
        <v>6738</v>
      </c>
      <c r="E17" s="2" t="s">
        <v>6780</v>
      </c>
      <c r="F17" s="4"/>
      <c r="G17" s="14"/>
      <c r="H17" s="9">
        <v>70</v>
      </c>
    </row>
    <row r="18" spans="3:8" x14ac:dyDescent="0.25">
      <c r="C18" s="8"/>
      <c r="D18" s="2" t="s">
        <v>6739</v>
      </c>
      <c r="E18" s="2" t="s">
        <v>5918</v>
      </c>
      <c r="F18" s="4">
        <v>3.5</v>
      </c>
      <c r="G18" s="14"/>
      <c r="H18" s="9"/>
    </row>
    <row r="19" spans="3:8" x14ac:dyDescent="0.25">
      <c r="C19" s="8"/>
      <c r="D19" s="2" t="s">
        <v>6740</v>
      </c>
      <c r="E19" s="2" t="s">
        <v>5918</v>
      </c>
      <c r="F19" s="35">
        <v>9</v>
      </c>
      <c r="G19" s="14"/>
      <c r="H19" s="9"/>
    </row>
    <row r="20" spans="3:8" x14ac:dyDescent="0.25">
      <c r="C20" s="8"/>
      <c r="D20" s="2" t="s">
        <v>6741</v>
      </c>
      <c r="E20" s="2" t="s">
        <v>5918</v>
      </c>
      <c r="F20" s="35">
        <v>3</v>
      </c>
      <c r="G20" s="14"/>
      <c r="H20" s="9"/>
    </row>
    <row r="21" spans="3:8" x14ac:dyDescent="0.25">
      <c r="C21" s="8"/>
      <c r="D21" s="2" t="s">
        <v>6742</v>
      </c>
      <c r="E21" s="2" t="s">
        <v>5918</v>
      </c>
      <c r="F21" s="35">
        <v>1</v>
      </c>
      <c r="G21" s="14"/>
      <c r="H21" s="9"/>
    </row>
    <row r="22" spans="3:8" x14ac:dyDescent="0.25">
      <c r="C22" s="8"/>
      <c r="D22" s="2" t="s">
        <v>6743</v>
      </c>
      <c r="E22" s="2" t="s">
        <v>6779</v>
      </c>
      <c r="F22" s="35">
        <v>192</v>
      </c>
      <c r="G22" s="14"/>
      <c r="H22" s="9"/>
    </row>
    <row r="23" spans="3:8" x14ac:dyDescent="0.25">
      <c r="C23" s="8"/>
      <c r="D23" s="2" t="s">
        <v>6744</v>
      </c>
      <c r="E23" s="2" t="s">
        <v>6238</v>
      </c>
      <c r="F23" s="35">
        <v>800</v>
      </c>
      <c r="G23" s="14">
        <v>202.5</v>
      </c>
      <c r="H23" s="9"/>
    </row>
    <row r="24" spans="3:8" x14ac:dyDescent="0.25">
      <c r="C24" s="8"/>
      <c r="D24" s="2" t="s">
        <v>6745</v>
      </c>
      <c r="E24" s="2" t="s">
        <v>5918</v>
      </c>
      <c r="F24" s="35">
        <v>1</v>
      </c>
      <c r="G24" s="14"/>
      <c r="H24" s="9"/>
    </row>
    <row r="25" spans="3:8" x14ac:dyDescent="0.25">
      <c r="C25" s="8"/>
      <c r="D25" s="2" t="s">
        <v>6746</v>
      </c>
      <c r="E25" s="2" t="s">
        <v>5918</v>
      </c>
      <c r="F25" s="35">
        <v>196.5</v>
      </c>
      <c r="G25" s="14"/>
      <c r="H25" s="9"/>
    </row>
    <row r="26" spans="3:8" x14ac:dyDescent="0.25">
      <c r="C26" s="8"/>
      <c r="D26" s="2" t="s">
        <v>6747</v>
      </c>
      <c r="E26" s="2" t="s">
        <v>5918</v>
      </c>
      <c r="F26" s="35">
        <v>4</v>
      </c>
      <c r="G26" s="14"/>
      <c r="H26" s="9"/>
    </row>
    <row r="27" spans="3:8" x14ac:dyDescent="0.25">
      <c r="C27" s="8"/>
      <c r="D27" s="2" t="s">
        <v>6748</v>
      </c>
      <c r="E27" s="2" t="s">
        <v>6778</v>
      </c>
      <c r="F27" s="35">
        <v>368.6</v>
      </c>
      <c r="G27" s="14"/>
      <c r="H27" s="9"/>
    </row>
    <row r="28" spans="3:8" x14ac:dyDescent="0.25">
      <c r="C28" s="8"/>
      <c r="D28" s="2" t="s">
        <v>6749</v>
      </c>
      <c r="E28" s="2" t="s">
        <v>6777</v>
      </c>
      <c r="F28" s="35"/>
      <c r="G28" s="14"/>
      <c r="H28" s="9">
        <v>364.5</v>
      </c>
    </row>
    <row r="29" spans="3:8" x14ac:dyDescent="0.25">
      <c r="C29" s="8"/>
      <c r="D29" s="2" t="s">
        <v>6750</v>
      </c>
      <c r="E29" s="2" t="s">
        <v>5329</v>
      </c>
      <c r="F29" s="35"/>
      <c r="G29" s="14"/>
      <c r="H29" s="9">
        <v>150</v>
      </c>
    </row>
    <row r="30" spans="3:8" x14ac:dyDescent="0.25">
      <c r="C30" s="8"/>
      <c r="D30" s="2" t="s">
        <v>6809</v>
      </c>
      <c r="E30" s="2"/>
      <c r="F30" s="35"/>
      <c r="G30" s="14"/>
      <c r="H30" s="9"/>
    </row>
    <row r="31" spans="3:8" x14ac:dyDescent="0.25">
      <c r="C31" s="8"/>
      <c r="D31" s="2"/>
      <c r="E31" s="2"/>
      <c r="F31" s="35"/>
      <c r="G31" s="14"/>
      <c r="H31" s="9"/>
    </row>
    <row r="32" spans="3:8" x14ac:dyDescent="0.25">
      <c r="C32" s="8"/>
      <c r="D32" s="2" t="s">
        <v>6752</v>
      </c>
      <c r="E32" s="2" t="s">
        <v>6393</v>
      </c>
      <c r="F32" s="35"/>
      <c r="G32" s="14"/>
      <c r="H32" s="9">
        <v>1580</v>
      </c>
    </row>
    <row r="33" spans="3:8" x14ac:dyDescent="0.25">
      <c r="C33" s="8"/>
      <c r="D33" s="2" t="s">
        <v>6753</v>
      </c>
      <c r="E33" s="2" t="s">
        <v>6776</v>
      </c>
      <c r="F33" s="35"/>
      <c r="G33" s="14">
        <v>144</v>
      </c>
      <c r="H33" s="9"/>
    </row>
    <row r="34" spans="3:8" x14ac:dyDescent="0.25">
      <c r="C34" s="8"/>
      <c r="D34" s="2" t="s">
        <v>6754</v>
      </c>
      <c r="E34" s="2" t="s">
        <v>1631</v>
      </c>
      <c r="F34" s="35">
        <v>5</v>
      </c>
      <c r="G34" s="14"/>
      <c r="H34" s="9"/>
    </row>
    <row r="35" spans="3:8" x14ac:dyDescent="0.25">
      <c r="C35" s="8"/>
      <c r="D35" s="2" t="s">
        <v>6755</v>
      </c>
      <c r="E35" s="2" t="s">
        <v>4619</v>
      </c>
      <c r="F35" s="35"/>
      <c r="G35" s="14"/>
      <c r="H35" s="9">
        <v>20</v>
      </c>
    </row>
    <row r="36" spans="3:8" x14ac:dyDescent="0.25">
      <c r="C36" s="8"/>
      <c r="D36" s="2" t="s">
        <v>6756</v>
      </c>
      <c r="E36" s="2" t="s">
        <v>5951</v>
      </c>
      <c r="F36" s="35"/>
      <c r="G36" s="14"/>
      <c r="H36" s="9">
        <v>403</v>
      </c>
    </row>
    <row r="37" spans="3:8" x14ac:dyDescent="0.25">
      <c r="C37" s="8"/>
      <c r="D37" s="2" t="s">
        <v>6757</v>
      </c>
      <c r="E37" s="2" t="s">
        <v>1631</v>
      </c>
      <c r="F37" s="35">
        <v>40</v>
      </c>
      <c r="G37" s="14"/>
      <c r="H37" s="9">
        <v>29</v>
      </c>
    </row>
    <row r="38" spans="3:8" x14ac:dyDescent="0.25">
      <c r="C38" s="8"/>
      <c r="D38" s="2" t="s">
        <v>6758</v>
      </c>
      <c r="E38" s="2" t="s">
        <v>1631</v>
      </c>
      <c r="F38" s="35">
        <v>4</v>
      </c>
      <c r="G38" s="14"/>
      <c r="H38" s="9"/>
    </row>
    <row r="39" spans="3:8" x14ac:dyDescent="0.25">
      <c r="C39" s="8"/>
      <c r="D39" s="2" t="s">
        <v>6759</v>
      </c>
      <c r="E39" s="2" t="s">
        <v>1631</v>
      </c>
      <c r="F39" s="35"/>
      <c r="G39" s="14"/>
      <c r="H39" s="9">
        <v>6.5</v>
      </c>
    </row>
    <row r="40" spans="3:8" x14ac:dyDescent="0.25">
      <c r="C40" s="8"/>
      <c r="D40" s="2" t="s">
        <v>6760</v>
      </c>
      <c r="E40" s="2" t="s">
        <v>1631</v>
      </c>
      <c r="F40" s="35">
        <v>8</v>
      </c>
      <c r="G40" s="14"/>
      <c r="H40" s="9"/>
    </row>
    <row r="41" spans="3:8" x14ac:dyDescent="0.25">
      <c r="C41" s="8"/>
      <c r="D41" s="2" t="s">
        <v>6761</v>
      </c>
      <c r="E41" s="2" t="s">
        <v>1631</v>
      </c>
      <c r="F41" s="35">
        <v>150</v>
      </c>
      <c r="G41" s="14"/>
      <c r="H41" s="9"/>
    </row>
    <row r="42" spans="3:8" x14ac:dyDescent="0.25">
      <c r="C42" s="8"/>
      <c r="D42" s="2" t="s">
        <v>6762</v>
      </c>
      <c r="E42" s="2" t="s">
        <v>1631</v>
      </c>
      <c r="F42" s="35">
        <v>9</v>
      </c>
      <c r="G42" s="14"/>
      <c r="H42" s="9"/>
    </row>
    <row r="43" spans="3:8" x14ac:dyDescent="0.25">
      <c r="C43" s="8"/>
      <c r="D43" s="2" t="s">
        <v>6763</v>
      </c>
      <c r="E43" s="2" t="s">
        <v>58</v>
      </c>
      <c r="F43" s="35"/>
      <c r="G43" s="14"/>
      <c r="H43" s="9">
        <v>144</v>
      </c>
    </row>
    <row r="44" spans="3:8" x14ac:dyDescent="0.25">
      <c r="C44" s="8"/>
      <c r="D44" s="2" t="s">
        <v>6764</v>
      </c>
      <c r="E44" s="2" t="s">
        <v>6775</v>
      </c>
      <c r="F44" s="35"/>
      <c r="G44" s="14">
        <v>292.5</v>
      </c>
      <c r="H44" s="9"/>
    </row>
    <row r="45" spans="3:8" x14ac:dyDescent="0.25">
      <c r="C45" s="8"/>
      <c r="D45" s="2" t="s">
        <v>6765</v>
      </c>
      <c r="E45" s="2" t="s">
        <v>4732</v>
      </c>
      <c r="F45" s="35"/>
      <c r="G45" s="14"/>
      <c r="H45" s="9">
        <v>529.5</v>
      </c>
    </row>
    <row r="46" spans="3:8" x14ac:dyDescent="0.25">
      <c r="C46" s="8"/>
      <c r="D46" s="2" t="s">
        <v>6766</v>
      </c>
      <c r="E46" s="2" t="s">
        <v>1373</v>
      </c>
      <c r="F46" s="35"/>
      <c r="G46" s="14">
        <v>505.5</v>
      </c>
      <c r="H46" s="9"/>
    </row>
    <row r="47" spans="3:8" x14ac:dyDescent="0.25">
      <c r="C47" s="8"/>
      <c r="D47" s="2" t="s">
        <v>6767</v>
      </c>
      <c r="E47" s="2" t="s">
        <v>6774</v>
      </c>
      <c r="F47" s="35">
        <v>1420.08</v>
      </c>
      <c r="G47" s="14"/>
      <c r="H47" s="9"/>
    </row>
    <row r="48" spans="3:8" x14ac:dyDescent="0.25">
      <c r="C48" s="8"/>
      <c r="D48" s="2" t="s">
        <v>6768</v>
      </c>
      <c r="E48" s="2" t="s">
        <v>1631</v>
      </c>
      <c r="F48" s="35"/>
      <c r="G48" s="14"/>
      <c r="H48" s="9">
        <v>9</v>
      </c>
    </row>
    <row r="49" spans="3:8" x14ac:dyDescent="0.25">
      <c r="C49" s="8"/>
      <c r="D49" s="2" t="s">
        <v>6769</v>
      </c>
      <c r="E49" s="2" t="s">
        <v>1631</v>
      </c>
      <c r="F49" s="35">
        <v>5.5</v>
      </c>
      <c r="G49" s="14"/>
      <c r="H49" s="9"/>
    </row>
    <row r="50" spans="3:8" x14ac:dyDescent="0.25">
      <c r="C50" s="8"/>
      <c r="D50" s="2" t="s">
        <v>6770</v>
      </c>
      <c r="E50" s="2" t="s">
        <v>1631</v>
      </c>
      <c r="F50" s="35"/>
      <c r="G50" s="14"/>
      <c r="H50" s="9">
        <v>26</v>
      </c>
    </row>
    <row r="51" spans="3:8" x14ac:dyDescent="0.25">
      <c r="C51" s="8"/>
      <c r="D51" s="2" t="s">
        <v>6771</v>
      </c>
      <c r="E51" s="2" t="s">
        <v>1631</v>
      </c>
      <c r="F51" s="35">
        <v>4</v>
      </c>
      <c r="G51" s="14"/>
      <c r="H51" s="9"/>
    </row>
    <row r="52" spans="3:8" x14ac:dyDescent="0.25">
      <c r="C52" s="8"/>
      <c r="D52" s="2" t="s">
        <v>6772</v>
      </c>
      <c r="E52" s="2" t="s">
        <v>6798</v>
      </c>
      <c r="F52" s="35"/>
      <c r="G52" s="14">
        <v>1236</v>
      </c>
      <c r="H52" s="9"/>
    </row>
    <row r="53" spans="3:8" x14ac:dyDescent="0.25">
      <c r="C53" s="8"/>
      <c r="D53" s="2" t="s">
        <v>6773</v>
      </c>
      <c r="E53" s="2" t="s">
        <v>4620</v>
      </c>
      <c r="F53" s="35"/>
      <c r="G53" s="14">
        <v>855.5</v>
      </c>
      <c r="H53" s="9"/>
    </row>
    <row r="54" spans="3:8" x14ac:dyDescent="0.25">
      <c r="C54" s="8"/>
      <c r="D54" s="2" t="s">
        <v>6796</v>
      </c>
      <c r="E54" s="2" t="s">
        <v>6797</v>
      </c>
      <c r="F54" s="35"/>
      <c r="G54" s="14">
        <v>10130</v>
      </c>
      <c r="H54" s="9"/>
    </row>
    <row r="55" spans="3:8" x14ac:dyDescent="0.25">
      <c r="C55" s="8"/>
      <c r="D55" s="2" t="s">
        <v>6832</v>
      </c>
      <c r="E55" s="2"/>
      <c r="F55" s="35"/>
      <c r="G55" s="14"/>
      <c r="H55" s="9"/>
    </row>
    <row r="56" spans="3:8" x14ac:dyDescent="0.25">
      <c r="C56" s="8"/>
      <c r="D56" s="2"/>
      <c r="E56" s="2"/>
      <c r="F56" s="35"/>
      <c r="G56" s="14"/>
      <c r="H56" s="9"/>
    </row>
    <row r="57" spans="3:8" x14ac:dyDescent="0.25">
      <c r="C57" s="8"/>
      <c r="D57" s="2"/>
      <c r="E57" s="2"/>
      <c r="F57" s="35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29"/>
      <c r="D59" s="30"/>
      <c r="E59" s="30" t="s">
        <v>60</v>
      </c>
      <c r="F59" s="4"/>
      <c r="G59" s="14"/>
      <c r="H59" s="9"/>
    </row>
    <row r="60" spans="3:8" x14ac:dyDescent="0.25">
      <c r="C60" s="8"/>
      <c r="D60" s="45" t="s">
        <v>6723</v>
      </c>
      <c r="E60" s="68" t="s">
        <v>6722</v>
      </c>
      <c r="F60" s="4"/>
      <c r="G60" s="14"/>
      <c r="H60" s="9">
        <v>375</v>
      </c>
    </row>
    <row r="61" spans="3:8" x14ac:dyDescent="0.25">
      <c r="C61" s="8"/>
      <c r="D61" s="45" t="s">
        <v>6725</v>
      </c>
      <c r="E61" s="68" t="s">
        <v>6724</v>
      </c>
      <c r="F61" s="4"/>
      <c r="G61" s="14"/>
      <c r="H61" s="9">
        <v>55</v>
      </c>
    </row>
    <row r="62" spans="3:8" x14ac:dyDescent="0.25">
      <c r="C62" s="8"/>
      <c r="D62" s="45"/>
      <c r="E62" s="68"/>
      <c r="F62" s="4"/>
      <c r="G62" s="14"/>
      <c r="H62" s="9"/>
    </row>
    <row r="63" spans="3:8" x14ac:dyDescent="0.25">
      <c r="C63" s="8"/>
      <c r="D63" s="45"/>
      <c r="E63" s="68"/>
      <c r="F63" s="4"/>
      <c r="G63" s="14"/>
      <c r="H63" s="9"/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16"/>
      <c r="D68" s="17"/>
      <c r="E68" s="17" t="s">
        <v>39</v>
      </c>
      <c r="F68" s="4"/>
      <c r="G68" s="14"/>
      <c r="H68" s="9"/>
    </row>
    <row r="69" spans="3:8" x14ac:dyDescent="0.25">
      <c r="C69" s="8"/>
      <c r="D69" s="2"/>
      <c r="E69" s="76" t="s">
        <v>6783</v>
      </c>
      <c r="F69" s="35">
        <v>3139</v>
      </c>
      <c r="G69" s="14"/>
      <c r="H69" s="9"/>
    </row>
    <row r="70" spans="3:8" x14ac:dyDescent="0.25">
      <c r="C70" s="8"/>
      <c r="D70" s="2"/>
      <c r="E70" s="76" t="s">
        <v>6784</v>
      </c>
      <c r="F70" s="35">
        <v>618</v>
      </c>
      <c r="G70" s="14"/>
      <c r="H70" s="9"/>
    </row>
    <row r="71" spans="3:8" x14ac:dyDescent="0.25">
      <c r="C71" s="8"/>
      <c r="D71" s="2"/>
      <c r="E71" s="76" t="s">
        <v>6785</v>
      </c>
      <c r="F71" s="35">
        <v>493</v>
      </c>
      <c r="G71" s="14"/>
      <c r="H71" s="9"/>
    </row>
    <row r="72" spans="3:8" x14ac:dyDescent="0.25">
      <c r="C72" s="8"/>
      <c r="D72" s="2"/>
      <c r="E72" s="76" t="s">
        <v>6786</v>
      </c>
      <c r="F72" s="35">
        <v>3433</v>
      </c>
      <c r="G72" s="14"/>
      <c r="H72" s="9"/>
    </row>
    <row r="73" spans="3:8" x14ac:dyDescent="0.25">
      <c r="C73" s="8"/>
      <c r="D73" s="2"/>
      <c r="E73" s="76" t="s">
        <v>6787</v>
      </c>
      <c r="F73" s="35">
        <v>2174</v>
      </c>
      <c r="G73" s="14"/>
      <c r="H73" s="9"/>
    </row>
    <row r="74" spans="3:8" x14ac:dyDescent="0.25">
      <c r="C74" s="8"/>
      <c r="D74" s="2"/>
      <c r="E74" s="76" t="s">
        <v>6788</v>
      </c>
      <c r="F74" s="35">
        <v>700</v>
      </c>
      <c r="G74" s="14"/>
      <c r="H74" s="9"/>
    </row>
    <row r="75" spans="3:8" x14ac:dyDescent="0.25">
      <c r="C75" s="8"/>
      <c r="D75" s="2"/>
      <c r="E75" s="76" t="s">
        <v>6800</v>
      </c>
      <c r="F75" s="35">
        <v>457</v>
      </c>
      <c r="G75" s="14"/>
      <c r="H75" s="9"/>
    </row>
    <row r="76" spans="3:8" x14ac:dyDescent="0.25">
      <c r="C76" s="8"/>
      <c r="D76" s="2"/>
      <c r="E76" s="76" t="s">
        <v>6801</v>
      </c>
      <c r="F76" s="35">
        <v>2.5</v>
      </c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19"/>
      <c r="D78" s="20"/>
      <c r="E78" s="20" t="s">
        <v>42</v>
      </c>
      <c r="F78" s="4"/>
      <c r="G78" s="14"/>
      <c r="H78" s="9"/>
    </row>
    <row r="79" spans="3:8" x14ac:dyDescent="0.25">
      <c r="C79" s="34"/>
      <c r="D79" s="42"/>
      <c r="E79" s="68" t="s">
        <v>6721</v>
      </c>
      <c r="F79" s="14">
        <v>-175</v>
      </c>
      <c r="G79" s="14"/>
      <c r="H79" s="9"/>
    </row>
    <row r="80" spans="3:8" x14ac:dyDescent="0.25">
      <c r="C80" s="34"/>
      <c r="D80" s="42"/>
      <c r="E80" s="68" t="s">
        <v>6256</v>
      </c>
      <c r="F80" s="14">
        <v>-300</v>
      </c>
      <c r="G80" s="14"/>
      <c r="H80" s="9"/>
    </row>
    <row r="81" spans="3:8" x14ac:dyDescent="0.25">
      <c r="C81" s="34"/>
      <c r="D81" s="42"/>
      <c r="E81" s="68" t="s">
        <v>6790</v>
      </c>
      <c r="F81" s="14">
        <v>-150</v>
      </c>
      <c r="G81" s="14"/>
      <c r="H81" s="9"/>
    </row>
    <row r="82" spans="3:8" x14ac:dyDescent="0.25">
      <c r="C82" s="34"/>
      <c r="D82" s="42"/>
      <c r="E82" s="68" t="s">
        <v>6791</v>
      </c>
      <c r="F82" s="14">
        <v>-140</v>
      </c>
      <c r="G82" s="14"/>
      <c r="H82" s="9"/>
    </row>
    <row r="83" spans="3:8" x14ac:dyDescent="0.25">
      <c r="C83" s="34"/>
      <c r="D83" s="42"/>
      <c r="E83" s="68" t="s">
        <v>6792</v>
      </c>
      <c r="F83" s="14">
        <v>-100</v>
      </c>
      <c r="G83" s="14"/>
      <c r="H83" s="9"/>
    </row>
    <row r="84" spans="3:8" x14ac:dyDescent="0.25">
      <c r="C84" s="34"/>
      <c r="D84" s="42"/>
      <c r="E84" s="68" t="s">
        <v>6793</v>
      </c>
      <c r="F84" s="14">
        <v>-20</v>
      </c>
      <c r="G84" s="14"/>
      <c r="H84" s="9"/>
    </row>
    <row r="85" spans="3:8" x14ac:dyDescent="0.25">
      <c r="C85" s="34"/>
      <c r="D85" s="42"/>
      <c r="E85" s="68" t="s">
        <v>6467</v>
      </c>
      <c r="F85" s="14">
        <v>-150</v>
      </c>
      <c r="G85" s="14"/>
      <c r="H85" s="9"/>
    </row>
    <row r="86" spans="3:8" x14ac:dyDescent="0.25">
      <c r="C86" s="34"/>
      <c r="D86" s="42"/>
      <c r="E86" s="68" t="s">
        <v>6794</v>
      </c>
      <c r="F86" s="14">
        <v>-60</v>
      </c>
      <c r="G86" s="14"/>
      <c r="H86" s="9"/>
    </row>
    <row r="87" spans="3:8" x14ac:dyDescent="0.25">
      <c r="C87" s="34"/>
      <c r="D87" s="42"/>
      <c r="E87" s="68" t="s">
        <v>5313</v>
      </c>
      <c r="F87" s="14">
        <v>-100</v>
      </c>
      <c r="G87" s="14"/>
      <c r="H87" s="9"/>
    </row>
    <row r="88" spans="3:8" x14ac:dyDescent="0.25">
      <c r="C88" s="34"/>
      <c r="D88" s="42"/>
      <c r="E88" s="68" t="s">
        <v>6795</v>
      </c>
      <c r="F88" s="14">
        <v>-20</v>
      </c>
      <c r="G88" s="14"/>
      <c r="H88" s="9"/>
    </row>
    <row r="89" spans="3:8" x14ac:dyDescent="0.25">
      <c r="C89" s="34"/>
      <c r="D89" s="42"/>
      <c r="E89" s="68" t="s">
        <v>6789</v>
      </c>
      <c r="F89" s="14">
        <v>-427</v>
      </c>
      <c r="G89" s="14"/>
      <c r="H89" s="9"/>
    </row>
    <row r="90" spans="3:8" x14ac:dyDescent="0.25">
      <c r="C90" s="34"/>
      <c r="D90" s="42"/>
      <c r="E90" s="68" t="s">
        <v>6799</v>
      </c>
      <c r="F90" s="14">
        <v>-1529.4</v>
      </c>
      <c r="G90" s="14"/>
      <c r="H90" s="9"/>
    </row>
    <row r="91" spans="3:8" x14ac:dyDescent="0.25">
      <c r="C91" s="34"/>
      <c r="D91" s="42"/>
      <c r="E91" s="68"/>
      <c r="F91" s="14"/>
      <c r="G91" s="14"/>
      <c r="H91" s="9"/>
    </row>
    <row r="92" spans="3:8" x14ac:dyDescent="0.25">
      <c r="C92" s="34"/>
      <c r="D92" s="42"/>
      <c r="E92" s="68"/>
      <c r="F92" s="14"/>
      <c r="G92" s="14"/>
      <c r="H92" s="9"/>
    </row>
    <row r="93" spans="3:8" x14ac:dyDescent="0.25">
      <c r="C93" s="34"/>
      <c r="D93" s="42"/>
      <c r="E93" s="68"/>
      <c r="F93" s="14"/>
      <c r="G93" s="14"/>
      <c r="H93" s="9"/>
    </row>
    <row r="94" spans="3:8" x14ac:dyDescent="0.25">
      <c r="C94" s="34"/>
      <c r="D94" s="42"/>
      <c r="E94" s="68"/>
      <c r="F94" s="1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SUM(F6:F94)</f>
        <v>13645.78</v>
      </c>
      <c r="G95" s="15">
        <f>SUM(G9:G94)</f>
        <v>13381</v>
      </c>
      <c r="H95" s="13">
        <f>SUM(H9:H94)</f>
        <v>6116.4</v>
      </c>
    </row>
    <row r="98" spans="3:6" s="3" customFormat="1" ht="18.75" x14ac:dyDescent="0.3">
      <c r="C98" s="1"/>
      <c r="D98" s="1"/>
      <c r="E98" s="38" t="s">
        <v>49</v>
      </c>
      <c r="F98" s="39">
        <f>+H4+F95</f>
        <v>27053.67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EFC9-A5F1-48C1-AE63-C6643345C70A}">
  <sheetPr codeName="Hoja84"/>
  <dimension ref="C2:J111"/>
  <sheetViews>
    <sheetView topLeftCell="B56" zoomScaleNormal="100" workbookViewId="0">
      <selection activeCell="D61" sqref="D61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6810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27053.67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6809</v>
      </c>
      <c r="E6" s="2" t="s">
        <v>5678</v>
      </c>
      <c r="F6" s="109">
        <v>4.5</v>
      </c>
      <c r="G6" s="113"/>
      <c r="H6" s="112"/>
    </row>
    <row r="7" spans="3:10" x14ac:dyDescent="0.25">
      <c r="C7" s="24"/>
      <c r="D7" s="2" t="s">
        <v>6811</v>
      </c>
      <c r="E7" s="2" t="s">
        <v>5678</v>
      </c>
      <c r="F7" s="109">
        <v>5</v>
      </c>
      <c r="G7" s="113"/>
      <c r="H7" s="112"/>
      <c r="J7" s="36"/>
    </row>
    <row r="8" spans="3:10" x14ac:dyDescent="0.25">
      <c r="C8" s="24"/>
      <c r="D8" s="2" t="s">
        <v>6812</v>
      </c>
      <c r="E8" s="2" t="s">
        <v>6777</v>
      </c>
      <c r="F8" s="109">
        <v>142</v>
      </c>
      <c r="G8" s="113"/>
      <c r="H8" s="112"/>
    </row>
    <row r="9" spans="3:10" x14ac:dyDescent="0.25">
      <c r="C9" s="8"/>
      <c r="D9" s="2" t="s">
        <v>6813</v>
      </c>
      <c r="E9" s="2" t="s">
        <v>5678</v>
      </c>
      <c r="F9" s="4">
        <v>3.2</v>
      </c>
      <c r="G9" s="14"/>
      <c r="H9" s="9"/>
    </row>
    <row r="10" spans="3:10" x14ac:dyDescent="0.25">
      <c r="C10" s="8"/>
      <c r="D10" s="2" t="s">
        <v>6814</v>
      </c>
      <c r="E10" s="2" t="s">
        <v>5678</v>
      </c>
      <c r="F10" s="4"/>
      <c r="G10" s="14"/>
      <c r="H10" s="9">
        <v>4</v>
      </c>
    </row>
    <row r="11" spans="3:10" x14ac:dyDescent="0.25">
      <c r="C11" s="8"/>
      <c r="D11" s="2" t="s">
        <v>6815</v>
      </c>
      <c r="E11" s="2" t="s">
        <v>6831</v>
      </c>
      <c r="F11" s="4"/>
      <c r="G11" s="14"/>
      <c r="H11" s="9">
        <v>279.5</v>
      </c>
    </row>
    <row r="12" spans="3:10" x14ac:dyDescent="0.25">
      <c r="C12" s="8"/>
      <c r="D12" s="2" t="s">
        <v>6816</v>
      </c>
      <c r="E12" s="2" t="s">
        <v>5678</v>
      </c>
      <c r="F12" s="4">
        <v>270</v>
      </c>
      <c r="G12" s="14"/>
      <c r="H12" s="9"/>
    </row>
    <row r="13" spans="3:10" x14ac:dyDescent="0.25">
      <c r="C13" s="8"/>
      <c r="D13" s="2" t="s">
        <v>6817</v>
      </c>
      <c r="E13" s="2" t="s">
        <v>5678</v>
      </c>
      <c r="F13" s="4">
        <v>15</v>
      </c>
      <c r="G13" s="14"/>
      <c r="H13" s="9">
        <v>20</v>
      </c>
    </row>
    <row r="14" spans="3:10" x14ac:dyDescent="0.25">
      <c r="C14" s="8"/>
      <c r="D14" s="2" t="s">
        <v>6818</v>
      </c>
      <c r="E14" s="2" t="s">
        <v>5678</v>
      </c>
      <c r="F14" s="4"/>
      <c r="G14" s="14"/>
      <c r="H14" s="9">
        <v>14.5</v>
      </c>
    </row>
    <row r="15" spans="3:10" x14ac:dyDescent="0.25">
      <c r="C15" s="8"/>
      <c r="D15" s="2" t="s">
        <v>6819</v>
      </c>
      <c r="E15" s="2" t="s">
        <v>6830</v>
      </c>
      <c r="F15" s="4"/>
      <c r="G15" s="14"/>
      <c r="H15" s="9">
        <v>40</v>
      </c>
    </row>
    <row r="16" spans="3:10" x14ac:dyDescent="0.25">
      <c r="C16" s="8"/>
      <c r="D16" s="2" t="s">
        <v>6820</v>
      </c>
      <c r="E16" s="2" t="s">
        <v>5678</v>
      </c>
      <c r="F16" s="4"/>
      <c r="G16" s="14"/>
      <c r="H16" s="9">
        <v>6</v>
      </c>
    </row>
    <row r="17" spans="3:8" x14ac:dyDescent="0.25">
      <c r="C17" s="8"/>
      <c r="D17" s="2" t="s">
        <v>6821</v>
      </c>
      <c r="E17" s="2" t="s">
        <v>5678</v>
      </c>
      <c r="F17" s="4">
        <v>29</v>
      </c>
      <c r="G17" s="14"/>
      <c r="H17" s="9"/>
    </row>
    <row r="18" spans="3:8" x14ac:dyDescent="0.25">
      <c r="C18" s="8"/>
      <c r="D18" s="2" t="s">
        <v>6822</v>
      </c>
      <c r="E18" s="2" t="s">
        <v>5678</v>
      </c>
      <c r="F18" s="4"/>
      <c r="G18" s="14"/>
      <c r="H18" s="9">
        <v>18.5</v>
      </c>
    </row>
    <row r="19" spans="3:8" x14ac:dyDescent="0.25">
      <c r="C19" s="8"/>
      <c r="D19" s="2" t="s">
        <v>6823</v>
      </c>
      <c r="E19" s="2" t="s">
        <v>6829</v>
      </c>
      <c r="F19" s="35">
        <v>120</v>
      </c>
      <c r="G19" s="14"/>
      <c r="H19" s="9"/>
    </row>
    <row r="20" spans="3:8" x14ac:dyDescent="0.25">
      <c r="C20" s="8"/>
      <c r="D20" s="2" t="s">
        <v>6824</v>
      </c>
      <c r="E20" s="2" t="s">
        <v>6828</v>
      </c>
      <c r="F20" s="35"/>
      <c r="G20" s="14"/>
      <c r="H20" s="9">
        <v>1470</v>
      </c>
    </row>
    <row r="21" spans="3:8" x14ac:dyDescent="0.25">
      <c r="C21" s="8"/>
      <c r="D21" s="2" t="s">
        <v>6825</v>
      </c>
      <c r="E21" s="2" t="s">
        <v>5678</v>
      </c>
      <c r="F21" s="35">
        <v>4.5</v>
      </c>
      <c r="G21" s="14"/>
      <c r="H21" s="9"/>
    </row>
    <row r="22" spans="3:8" x14ac:dyDescent="0.25">
      <c r="C22" s="8"/>
      <c r="D22" s="2" t="s">
        <v>6826</v>
      </c>
      <c r="E22" s="2" t="s">
        <v>5678</v>
      </c>
      <c r="F22" s="35">
        <v>2</v>
      </c>
      <c r="G22" s="14"/>
      <c r="H22" s="9"/>
    </row>
    <row r="23" spans="3:8" x14ac:dyDescent="0.25">
      <c r="C23" s="8"/>
      <c r="D23" s="2" t="s">
        <v>6827</v>
      </c>
      <c r="E23" s="2" t="s">
        <v>5678</v>
      </c>
      <c r="F23" s="35">
        <v>5</v>
      </c>
      <c r="G23" s="14"/>
      <c r="H23" s="9"/>
    </row>
    <row r="24" spans="3:8" x14ac:dyDescent="0.25">
      <c r="C24" s="8"/>
      <c r="D24" s="2" t="s">
        <v>6865</v>
      </c>
      <c r="E24" s="2" t="s">
        <v>6872</v>
      </c>
      <c r="F24" s="35"/>
      <c r="G24" s="14">
        <v>318</v>
      </c>
      <c r="H24" s="9"/>
    </row>
    <row r="25" spans="3:8" x14ac:dyDescent="0.25">
      <c r="C25" s="8"/>
      <c r="D25" s="2" t="s">
        <v>6866</v>
      </c>
      <c r="E25" s="2" t="s">
        <v>6278</v>
      </c>
      <c r="F25" s="35"/>
      <c r="G25" s="14"/>
      <c r="H25" s="9">
        <v>65.5</v>
      </c>
    </row>
    <row r="26" spans="3:8" x14ac:dyDescent="0.25">
      <c r="C26" s="8"/>
      <c r="D26" s="2" t="s">
        <v>6867</v>
      </c>
      <c r="E26" s="2" t="s">
        <v>5678</v>
      </c>
      <c r="F26" s="35">
        <v>12.5</v>
      </c>
      <c r="G26" s="14"/>
      <c r="H26" s="9"/>
    </row>
    <row r="27" spans="3:8" x14ac:dyDescent="0.25">
      <c r="C27" s="8"/>
      <c r="D27" s="2" t="s">
        <v>6868</v>
      </c>
      <c r="E27" s="2" t="s">
        <v>6875</v>
      </c>
      <c r="F27" s="35"/>
      <c r="G27" s="14"/>
      <c r="H27" s="9">
        <v>2180</v>
      </c>
    </row>
    <row r="28" spans="3:8" x14ac:dyDescent="0.25">
      <c r="C28" s="8"/>
      <c r="D28" s="2" t="s">
        <v>6869</v>
      </c>
      <c r="E28" s="2" t="s">
        <v>6874</v>
      </c>
      <c r="F28" s="35">
        <v>2575</v>
      </c>
      <c r="G28" s="14"/>
      <c r="H28" s="9"/>
    </row>
    <row r="29" spans="3:8" x14ac:dyDescent="0.25">
      <c r="C29" s="8"/>
      <c r="D29" s="2" t="s">
        <v>6870</v>
      </c>
      <c r="E29" s="2" t="s">
        <v>6278</v>
      </c>
      <c r="F29" s="35"/>
      <c r="G29" s="14">
        <v>160</v>
      </c>
      <c r="H29" s="9">
        <v>2000</v>
      </c>
    </row>
    <row r="30" spans="3:8" x14ac:dyDescent="0.25">
      <c r="C30" s="8"/>
      <c r="D30" s="2" t="s">
        <v>6871</v>
      </c>
      <c r="E30" s="2" t="s">
        <v>6829</v>
      </c>
      <c r="F30" s="35">
        <v>5640</v>
      </c>
      <c r="G30" s="14"/>
      <c r="H30" s="9"/>
    </row>
    <row r="31" spans="3:8" x14ac:dyDescent="0.25">
      <c r="C31" s="8"/>
      <c r="D31" s="2" t="s">
        <v>6873</v>
      </c>
      <c r="E31" s="2" t="s">
        <v>6593</v>
      </c>
      <c r="F31" s="35">
        <v>200</v>
      </c>
      <c r="G31" s="14">
        <v>460</v>
      </c>
      <c r="H31" s="9"/>
    </row>
    <row r="32" spans="3:8" x14ac:dyDescent="0.25">
      <c r="C32" s="8"/>
      <c r="D32" s="2" t="s">
        <v>6896</v>
      </c>
      <c r="E32" s="2"/>
      <c r="F32" s="35"/>
      <c r="G32" s="14"/>
      <c r="H32" s="9"/>
    </row>
    <row r="33" spans="3:8" x14ac:dyDescent="0.25">
      <c r="C33" s="8"/>
      <c r="D33" s="2"/>
      <c r="E33" s="2"/>
      <c r="F33" s="35"/>
      <c r="G33" s="14"/>
      <c r="H33" s="9"/>
    </row>
    <row r="34" spans="3:8" x14ac:dyDescent="0.25">
      <c r="C34" s="8"/>
      <c r="D34" s="2" t="s">
        <v>6832</v>
      </c>
      <c r="E34" s="2" t="s">
        <v>48</v>
      </c>
      <c r="F34" s="35">
        <v>10</v>
      </c>
      <c r="G34" s="14"/>
      <c r="H34" s="9"/>
    </row>
    <row r="35" spans="3:8" x14ac:dyDescent="0.25">
      <c r="C35" s="8"/>
      <c r="D35" s="2" t="s">
        <v>6833</v>
      </c>
      <c r="E35" s="2" t="s">
        <v>48</v>
      </c>
      <c r="F35" s="35"/>
      <c r="G35" s="14"/>
      <c r="H35" s="9">
        <v>28</v>
      </c>
    </row>
    <row r="36" spans="3:8" x14ac:dyDescent="0.25">
      <c r="C36" s="8"/>
      <c r="D36" s="2" t="s">
        <v>6834</v>
      </c>
      <c r="E36" s="2" t="s">
        <v>6857</v>
      </c>
      <c r="F36" s="35"/>
      <c r="G36" s="14"/>
      <c r="H36" s="9">
        <v>24</v>
      </c>
    </row>
    <row r="37" spans="3:8" x14ac:dyDescent="0.25">
      <c r="C37" s="8"/>
      <c r="D37" s="2" t="s">
        <v>6835</v>
      </c>
      <c r="E37" s="2" t="s">
        <v>48</v>
      </c>
      <c r="F37" s="35"/>
      <c r="G37" s="14"/>
      <c r="H37" s="9">
        <v>14</v>
      </c>
    </row>
    <row r="38" spans="3:8" x14ac:dyDescent="0.25">
      <c r="C38" s="8"/>
      <c r="D38" s="2" t="s">
        <v>6836</v>
      </c>
      <c r="E38" s="2" t="s">
        <v>48</v>
      </c>
      <c r="F38" s="35">
        <v>3</v>
      </c>
      <c r="G38" s="14"/>
      <c r="H38" s="9"/>
    </row>
    <row r="39" spans="3:8" x14ac:dyDescent="0.25">
      <c r="C39" s="8"/>
      <c r="D39" s="2" t="s">
        <v>6837</v>
      </c>
      <c r="E39" s="2" t="s">
        <v>5308</v>
      </c>
      <c r="F39" s="35"/>
      <c r="G39" s="14"/>
      <c r="H39" s="9">
        <v>67.5</v>
      </c>
    </row>
    <row r="40" spans="3:8" x14ac:dyDescent="0.25">
      <c r="C40" s="8"/>
      <c r="D40" s="2" t="s">
        <v>6838</v>
      </c>
      <c r="E40" s="2" t="s">
        <v>48</v>
      </c>
      <c r="F40" s="35"/>
      <c r="G40" s="14"/>
      <c r="H40" s="9">
        <v>54.3</v>
      </c>
    </row>
    <row r="41" spans="3:8" x14ac:dyDescent="0.25">
      <c r="C41" s="8"/>
      <c r="D41" s="2" t="s">
        <v>6839</v>
      </c>
      <c r="E41" s="2" t="s">
        <v>6856</v>
      </c>
      <c r="F41" s="35"/>
      <c r="G41" s="14"/>
      <c r="H41" s="9">
        <v>150</v>
      </c>
    </row>
    <row r="42" spans="3:8" x14ac:dyDescent="0.25">
      <c r="C42" s="8"/>
      <c r="D42" s="2" t="s">
        <v>6840</v>
      </c>
      <c r="E42" s="2" t="s">
        <v>48</v>
      </c>
      <c r="F42" s="35">
        <v>28.5</v>
      </c>
      <c r="G42" s="14"/>
      <c r="H42" s="9"/>
    </row>
    <row r="43" spans="3:8" x14ac:dyDescent="0.25">
      <c r="C43" s="8"/>
      <c r="D43" s="2" t="s">
        <v>6841</v>
      </c>
      <c r="E43" s="2" t="s">
        <v>48</v>
      </c>
      <c r="F43" s="35">
        <v>18</v>
      </c>
      <c r="G43" s="14"/>
      <c r="H43" s="9"/>
    </row>
    <row r="44" spans="3:8" x14ac:dyDescent="0.25">
      <c r="C44" s="8"/>
      <c r="D44" s="2" t="s">
        <v>6842</v>
      </c>
      <c r="E44" s="2" t="s">
        <v>48</v>
      </c>
      <c r="F44" s="35">
        <v>63</v>
      </c>
      <c r="G44" s="14"/>
      <c r="H44" s="9"/>
    </row>
    <row r="45" spans="3:8" x14ac:dyDescent="0.25">
      <c r="C45" s="8"/>
      <c r="D45" s="2" t="s">
        <v>6843</v>
      </c>
      <c r="E45" s="2" t="s">
        <v>6855</v>
      </c>
      <c r="F45" s="35"/>
      <c r="G45" s="14">
        <v>240</v>
      </c>
      <c r="H45" s="9"/>
    </row>
    <row r="46" spans="3:8" x14ac:dyDescent="0.25">
      <c r="C46" s="8"/>
      <c r="D46" s="2" t="s">
        <v>6844</v>
      </c>
      <c r="E46" s="2" t="s">
        <v>48</v>
      </c>
      <c r="F46" s="35">
        <v>12</v>
      </c>
      <c r="G46" s="14"/>
      <c r="H46" s="9"/>
    </row>
    <row r="47" spans="3:8" x14ac:dyDescent="0.25">
      <c r="C47" s="8"/>
      <c r="D47" s="2" t="s">
        <v>6845</v>
      </c>
      <c r="E47" s="2" t="s">
        <v>48</v>
      </c>
      <c r="F47" s="35"/>
      <c r="G47" s="14"/>
      <c r="H47" s="9">
        <v>6.5</v>
      </c>
    </row>
    <row r="48" spans="3:8" x14ac:dyDescent="0.25">
      <c r="C48" s="8"/>
      <c r="D48" s="2" t="s">
        <v>6846</v>
      </c>
      <c r="E48" s="2" t="s">
        <v>48</v>
      </c>
      <c r="F48" s="35">
        <v>53</v>
      </c>
      <c r="G48" s="14"/>
      <c r="H48" s="9"/>
    </row>
    <row r="49" spans="3:8" x14ac:dyDescent="0.25">
      <c r="C49" s="8"/>
      <c r="D49" s="2" t="s">
        <v>6847</v>
      </c>
      <c r="E49" s="2" t="s">
        <v>48</v>
      </c>
      <c r="F49" s="35"/>
      <c r="G49" s="14"/>
      <c r="H49" s="9">
        <v>18</v>
      </c>
    </row>
    <row r="50" spans="3:8" x14ac:dyDescent="0.25">
      <c r="C50" s="8"/>
      <c r="D50" s="2" t="s">
        <v>6848</v>
      </c>
      <c r="E50" s="2" t="s">
        <v>48</v>
      </c>
      <c r="F50" s="35"/>
      <c r="G50" s="14"/>
      <c r="H50" s="9">
        <v>230</v>
      </c>
    </row>
    <row r="51" spans="3:8" x14ac:dyDescent="0.25">
      <c r="C51" s="8"/>
      <c r="D51" s="2" t="s">
        <v>6849</v>
      </c>
      <c r="E51" s="2" t="s">
        <v>48</v>
      </c>
      <c r="F51" s="35"/>
      <c r="G51" s="14"/>
      <c r="H51" s="9">
        <v>83.6</v>
      </c>
    </row>
    <row r="52" spans="3:8" x14ac:dyDescent="0.25">
      <c r="C52" s="8"/>
      <c r="D52" s="2" t="s">
        <v>6850</v>
      </c>
      <c r="E52" s="2" t="s">
        <v>48</v>
      </c>
      <c r="F52" s="35">
        <v>46.5</v>
      </c>
      <c r="G52" s="14"/>
      <c r="H52" s="9"/>
    </row>
    <row r="53" spans="3:8" x14ac:dyDescent="0.25">
      <c r="C53" s="8"/>
      <c r="D53" s="2" t="s">
        <v>6851</v>
      </c>
      <c r="E53" s="2" t="s">
        <v>48</v>
      </c>
      <c r="F53" s="35"/>
      <c r="G53" s="14"/>
      <c r="H53" s="9">
        <v>6.5</v>
      </c>
    </row>
    <row r="54" spans="3:8" x14ac:dyDescent="0.25">
      <c r="C54" s="8"/>
      <c r="D54" s="2" t="s">
        <v>6852</v>
      </c>
      <c r="E54" s="2" t="s">
        <v>6854</v>
      </c>
      <c r="F54" s="35"/>
      <c r="G54" s="14"/>
      <c r="H54" s="9">
        <v>547</v>
      </c>
    </row>
    <row r="55" spans="3:8" x14ac:dyDescent="0.25">
      <c r="C55" s="8"/>
      <c r="D55" s="2" t="s">
        <v>6853</v>
      </c>
      <c r="E55" s="2" t="s">
        <v>5747</v>
      </c>
      <c r="F55" s="35"/>
      <c r="G55" s="14">
        <v>471.5</v>
      </c>
      <c r="H55" s="9"/>
    </row>
    <row r="56" spans="3:8" x14ac:dyDescent="0.25">
      <c r="C56" s="8"/>
      <c r="D56" s="2" t="s">
        <v>6876</v>
      </c>
      <c r="E56" s="2" t="s">
        <v>48</v>
      </c>
      <c r="F56" s="35"/>
      <c r="G56" s="14"/>
      <c r="H56" s="9">
        <v>53</v>
      </c>
    </row>
    <row r="57" spans="3:8" x14ac:dyDescent="0.25">
      <c r="C57" s="8"/>
      <c r="D57" s="2" t="s">
        <v>6877</v>
      </c>
      <c r="E57" s="2" t="s">
        <v>48</v>
      </c>
      <c r="F57" s="35"/>
      <c r="G57" s="14"/>
      <c r="H57" s="9">
        <v>22</v>
      </c>
    </row>
    <row r="58" spans="3:8" x14ac:dyDescent="0.25">
      <c r="C58" s="8"/>
      <c r="D58" s="2" t="s">
        <v>6878</v>
      </c>
      <c r="E58" s="2" t="s">
        <v>48</v>
      </c>
      <c r="F58" s="35">
        <v>6</v>
      </c>
      <c r="G58" s="14"/>
      <c r="H58" s="9"/>
    </row>
    <row r="59" spans="3:8" x14ac:dyDescent="0.25">
      <c r="C59" s="8"/>
      <c r="D59" s="2" t="s">
        <v>6879</v>
      </c>
      <c r="E59" s="2" t="s">
        <v>48</v>
      </c>
      <c r="F59" s="35"/>
      <c r="G59" s="14"/>
      <c r="H59" s="9">
        <v>1.5</v>
      </c>
    </row>
    <row r="60" spans="3:8" x14ac:dyDescent="0.25">
      <c r="C60" s="8"/>
      <c r="D60" s="2" t="s">
        <v>6880</v>
      </c>
      <c r="E60" s="2" t="s">
        <v>48</v>
      </c>
      <c r="F60" s="35">
        <v>9</v>
      </c>
      <c r="G60" s="14"/>
      <c r="H60" s="9"/>
    </row>
    <row r="61" spans="3:8" x14ac:dyDescent="0.25">
      <c r="C61" s="8"/>
      <c r="D61" s="2" t="s">
        <v>6926</v>
      </c>
      <c r="E61" s="2"/>
      <c r="F61" s="35"/>
      <c r="G61" s="14"/>
      <c r="H61" s="9"/>
    </row>
    <row r="62" spans="3:8" x14ac:dyDescent="0.25">
      <c r="C62" s="8"/>
      <c r="D62" s="2"/>
      <c r="E62" s="2"/>
      <c r="F62" s="35"/>
      <c r="G62" s="14"/>
      <c r="H62" s="9"/>
    </row>
    <row r="63" spans="3:8" x14ac:dyDescent="0.25">
      <c r="C63" s="8"/>
      <c r="D63" s="2"/>
      <c r="E63" s="2"/>
      <c r="F63" s="35"/>
      <c r="G63" s="14"/>
      <c r="H63" s="9"/>
    </row>
    <row r="64" spans="3:8" x14ac:dyDescent="0.25">
      <c r="C64" s="8"/>
      <c r="D64" s="2"/>
      <c r="E64" s="2"/>
      <c r="F64" s="35"/>
      <c r="G64" s="14"/>
      <c r="H64" s="9"/>
    </row>
    <row r="65" spans="3:8" x14ac:dyDescent="0.25">
      <c r="C65" s="8"/>
      <c r="D65" s="2"/>
      <c r="E65" s="2"/>
      <c r="F65" s="35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45" t="s">
        <v>6805</v>
      </c>
      <c r="E68" s="68" t="s">
        <v>6804</v>
      </c>
      <c r="F68" s="4"/>
      <c r="G68" s="14"/>
      <c r="H68" s="9">
        <v>42</v>
      </c>
    </row>
    <row r="69" spans="3:8" x14ac:dyDescent="0.25">
      <c r="C69" s="8"/>
      <c r="D69" s="45" t="s">
        <v>6806</v>
      </c>
      <c r="E69" s="68" t="s">
        <v>6305</v>
      </c>
      <c r="F69" s="4"/>
      <c r="G69" s="14"/>
      <c r="H69" s="9">
        <v>1908</v>
      </c>
    </row>
    <row r="70" spans="3:8" x14ac:dyDescent="0.25">
      <c r="C70" s="8"/>
      <c r="D70" s="45" t="s">
        <v>6807</v>
      </c>
      <c r="E70" s="68" t="s">
        <v>4322</v>
      </c>
      <c r="F70" s="4"/>
      <c r="G70" s="14"/>
      <c r="H70" s="9">
        <v>12</v>
      </c>
    </row>
    <row r="71" spans="3:8" x14ac:dyDescent="0.25">
      <c r="C71" s="8"/>
      <c r="D71" s="45" t="s">
        <v>6808</v>
      </c>
      <c r="E71" s="68" t="s">
        <v>4322</v>
      </c>
      <c r="F71" s="4"/>
      <c r="G71" s="14"/>
      <c r="H71" s="9">
        <v>1322.5</v>
      </c>
    </row>
    <row r="72" spans="3:8" x14ac:dyDescent="0.25">
      <c r="C72" s="8"/>
      <c r="D72" s="45"/>
      <c r="E72" s="68"/>
      <c r="F72" s="4"/>
      <c r="G72" s="14"/>
      <c r="H72" s="9"/>
    </row>
    <row r="73" spans="3:8" x14ac:dyDescent="0.25">
      <c r="C73" s="8"/>
      <c r="D73" s="45"/>
      <c r="E73" s="68"/>
      <c r="F73" s="4"/>
      <c r="G73" s="14"/>
      <c r="H73" s="9"/>
    </row>
    <row r="74" spans="3:8" x14ac:dyDescent="0.25">
      <c r="C74" s="8"/>
      <c r="D74" s="45"/>
      <c r="E74" s="68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6"/>
      <c r="D76" s="17"/>
      <c r="E76" s="17" t="s">
        <v>39</v>
      </c>
      <c r="F76" s="4"/>
      <c r="G76" s="14"/>
      <c r="H76" s="9"/>
    </row>
    <row r="77" spans="3:8" x14ac:dyDescent="0.25">
      <c r="C77" s="8"/>
      <c r="D77" s="2"/>
      <c r="E77" s="76" t="s">
        <v>6858</v>
      </c>
      <c r="F77" s="35">
        <v>22000</v>
      </c>
      <c r="G77" s="14"/>
      <c r="H77" s="9"/>
    </row>
    <row r="78" spans="3:8" x14ac:dyDescent="0.25">
      <c r="C78" s="8"/>
      <c r="D78" s="2"/>
      <c r="E78" s="76" t="s">
        <v>6859</v>
      </c>
      <c r="F78" s="35">
        <v>6000</v>
      </c>
      <c r="G78" s="14"/>
      <c r="H78" s="9"/>
    </row>
    <row r="79" spans="3:8" x14ac:dyDescent="0.25">
      <c r="C79" s="8"/>
      <c r="D79" s="2"/>
      <c r="E79" s="76" t="s">
        <v>6888</v>
      </c>
      <c r="F79" s="35">
        <v>148.5</v>
      </c>
      <c r="G79" s="14"/>
      <c r="H79" s="9"/>
    </row>
    <row r="80" spans="3:8" x14ac:dyDescent="0.25">
      <c r="C80" s="8"/>
      <c r="D80" s="2"/>
      <c r="E80" s="76" t="s">
        <v>6881</v>
      </c>
      <c r="F80" s="35">
        <v>32</v>
      </c>
      <c r="G80" s="14"/>
      <c r="H80" s="9"/>
    </row>
    <row r="81" spans="3:8" x14ac:dyDescent="0.25">
      <c r="C81" s="8"/>
      <c r="D81" s="2"/>
      <c r="E81" s="76" t="s">
        <v>6883</v>
      </c>
      <c r="F81" s="35">
        <v>655.5</v>
      </c>
      <c r="G81" s="14"/>
      <c r="H81" s="9"/>
    </row>
    <row r="82" spans="3:8" x14ac:dyDescent="0.25">
      <c r="C82" s="8"/>
      <c r="D82" s="2"/>
      <c r="E82" s="76" t="s">
        <v>6884</v>
      </c>
      <c r="F82" s="35">
        <v>25.3</v>
      </c>
      <c r="G82" s="14"/>
      <c r="H82" s="9"/>
    </row>
    <row r="83" spans="3:8" x14ac:dyDescent="0.25">
      <c r="C83" s="8"/>
      <c r="D83" s="2"/>
      <c r="E83" s="76" t="s">
        <v>6885</v>
      </c>
      <c r="F83" s="35">
        <v>136</v>
      </c>
      <c r="G83" s="14"/>
      <c r="H83" s="9"/>
    </row>
    <row r="84" spans="3:8" x14ac:dyDescent="0.25">
      <c r="C84" s="8"/>
      <c r="D84" s="2"/>
      <c r="E84" s="76" t="s">
        <v>6887</v>
      </c>
      <c r="F84" s="35">
        <v>2.7</v>
      </c>
      <c r="G84" s="14"/>
      <c r="H84" s="9"/>
    </row>
    <row r="85" spans="3:8" x14ac:dyDescent="0.25">
      <c r="C85" s="8"/>
      <c r="D85" s="2"/>
      <c r="E85" s="76"/>
      <c r="F85" s="35"/>
      <c r="G85" s="14"/>
      <c r="H85" s="9"/>
    </row>
    <row r="86" spans="3:8" x14ac:dyDescent="0.25">
      <c r="C86" s="8"/>
      <c r="D86" s="2"/>
      <c r="E86" s="76" t="s">
        <v>6882</v>
      </c>
      <c r="F86" s="35">
        <v>6.5</v>
      </c>
      <c r="G86" s="14"/>
      <c r="H86" s="9"/>
    </row>
    <row r="87" spans="3:8" x14ac:dyDescent="0.25">
      <c r="C87" s="8"/>
      <c r="D87" s="2"/>
      <c r="E87" s="76" t="s">
        <v>6886</v>
      </c>
      <c r="F87" s="35">
        <v>13.5</v>
      </c>
      <c r="G87" s="14"/>
      <c r="H87" s="9"/>
    </row>
    <row r="88" spans="3:8" x14ac:dyDescent="0.25">
      <c r="C88" s="8"/>
      <c r="D88" s="2"/>
      <c r="E88" s="76"/>
      <c r="F88" s="35"/>
      <c r="G88" s="14"/>
      <c r="H88" s="9"/>
    </row>
    <row r="89" spans="3:8" x14ac:dyDescent="0.25">
      <c r="C89" s="8"/>
      <c r="D89" s="2"/>
      <c r="E89" s="76"/>
      <c r="F89" s="35"/>
      <c r="G89" s="14"/>
      <c r="H89" s="9"/>
    </row>
    <row r="90" spans="3:8" x14ac:dyDescent="0.25">
      <c r="C90" s="8"/>
      <c r="D90" s="2"/>
      <c r="E90" s="2"/>
      <c r="F90" s="4"/>
      <c r="G90" s="14"/>
      <c r="H90" s="9"/>
    </row>
    <row r="91" spans="3:8" x14ac:dyDescent="0.25">
      <c r="C91" s="19"/>
      <c r="D91" s="20"/>
      <c r="E91" s="20" t="s">
        <v>42</v>
      </c>
      <c r="F91" s="4"/>
      <c r="G91" s="14"/>
      <c r="H91" s="9"/>
    </row>
    <row r="92" spans="3:8" x14ac:dyDescent="0.25">
      <c r="C92" s="34"/>
      <c r="D92" s="42"/>
      <c r="E92" s="68" t="s">
        <v>6802</v>
      </c>
      <c r="F92" s="14">
        <v>-90</v>
      </c>
      <c r="G92" s="14"/>
      <c r="H92" s="9"/>
    </row>
    <row r="93" spans="3:8" x14ac:dyDescent="0.25">
      <c r="C93" s="34"/>
      <c r="D93" s="42"/>
      <c r="E93" s="68" t="s">
        <v>6803</v>
      </c>
      <c r="F93" s="14">
        <v>-560</v>
      </c>
      <c r="G93" s="14"/>
      <c r="H93" s="9"/>
    </row>
    <row r="94" spans="3:8" x14ac:dyDescent="0.25">
      <c r="C94" s="34"/>
      <c r="D94" s="42"/>
      <c r="E94" s="68" t="s">
        <v>6863</v>
      </c>
      <c r="F94" s="14">
        <v>-2100</v>
      </c>
      <c r="G94" s="14"/>
      <c r="H94" s="9"/>
    </row>
    <row r="95" spans="3:8" x14ac:dyDescent="0.25">
      <c r="C95" s="34"/>
      <c r="D95" s="42"/>
      <c r="E95" s="68" t="s">
        <v>6864</v>
      </c>
      <c r="F95" s="14">
        <v>-300</v>
      </c>
      <c r="G95" s="14"/>
      <c r="H95" s="9"/>
    </row>
    <row r="96" spans="3:8" x14ac:dyDescent="0.25">
      <c r="C96" s="34"/>
      <c r="D96" s="42"/>
      <c r="E96" s="68" t="s">
        <v>6893</v>
      </c>
      <c r="F96" s="14">
        <v>-750</v>
      </c>
      <c r="G96" s="14"/>
      <c r="H96" s="9"/>
    </row>
    <row r="97" spans="3:8" x14ac:dyDescent="0.25">
      <c r="C97" s="34"/>
      <c r="D97" s="42"/>
      <c r="E97" s="68" t="s">
        <v>6860</v>
      </c>
      <c r="F97" s="14">
        <v>-20</v>
      </c>
      <c r="G97" s="14"/>
      <c r="H97" s="9"/>
    </row>
    <row r="98" spans="3:8" x14ac:dyDescent="0.25">
      <c r="C98" s="34"/>
      <c r="D98" s="42"/>
      <c r="E98" s="68" t="s">
        <v>6861</v>
      </c>
      <c r="F98" s="14">
        <v>-20</v>
      </c>
      <c r="G98" s="14"/>
      <c r="H98" s="9"/>
    </row>
    <row r="99" spans="3:8" x14ac:dyDescent="0.25">
      <c r="C99" s="34"/>
      <c r="D99" s="42"/>
      <c r="E99" s="68" t="s">
        <v>6862</v>
      </c>
      <c r="F99" s="14">
        <v>-10</v>
      </c>
      <c r="G99" s="14"/>
      <c r="H99" s="9"/>
    </row>
    <row r="100" spans="3:8" x14ac:dyDescent="0.25">
      <c r="C100" s="34"/>
      <c r="D100" s="42"/>
      <c r="E100" s="68" t="s">
        <v>6889</v>
      </c>
      <c r="F100" s="14">
        <v>-50</v>
      </c>
      <c r="G100" s="14"/>
      <c r="H100" s="9"/>
    </row>
    <row r="101" spans="3:8" x14ac:dyDescent="0.25">
      <c r="C101" s="34"/>
      <c r="D101" s="42"/>
      <c r="E101" s="68" t="s">
        <v>6890</v>
      </c>
      <c r="F101" s="14">
        <v>-160</v>
      </c>
      <c r="G101" s="14"/>
      <c r="H101" s="9"/>
    </row>
    <row r="102" spans="3:8" x14ac:dyDescent="0.25">
      <c r="C102" s="34"/>
      <c r="D102" s="42"/>
      <c r="E102" s="68" t="s">
        <v>6891</v>
      </c>
      <c r="F102" s="14">
        <v>-10</v>
      </c>
      <c r="G102" s="14"/>
      <c r="H102" s="9"/>
    </row>
    <row r="103" spans="3:8" x14ac:dyDescent="0.25">
      <c r="C103" s="34"/>
      <c r="D103" s="42"/>
      <c r="E103" s="68" t="s">
        <v>6892</v>
      </c>
      <c r="F103" s="14">
        <v>-6420</v>
      </c>
      <c r="G103" s="14"/>
      <c r="H103" s="9"/>
    </row>
    <row r="104" spans="3:8" x14ac:dyDescent="0.25">
      <c r="C104" s="34"/>
      <c r="D104" s="42"/>
      <c r="E104" s="68" t="s">
        <v>1274</v>
      </c>
      <c r="F104" s="14">
        <v>-3775</v>
      </c>
      <c r="G104" s="14"/>
      <c r="H104" s="9"/>
    </row>
    <row r="105" spans="3:8" x14ac:dyDescent="0.25">
      <c r="C105" s="34"/>
      <c r="D105" s="42"/>
      <c r="E105" s="68" t="s">
        <v>6894</v>
      </c>
      <c r="F105" s="14">
        <v>-337</v>
      </c>
      <c r="G105" s="14"/>
      <c r="H105" s="9"/>
    </row>
    <row r="106" spans="3:8" x14ac:dyDescent="0.25">
      <c r="C106" s="34"/>
      <c r="D106" s="42"/>
      <c r="E106" s="68"/>
      <c r="F106" s="14"/>
      <c r="G106" s="14"/>
      <c r="H106" s="9"/>
    </row>
    <row r="107" spans="3:8" x14ac:dyDescent="0.25">
      <c r="C107" s="34"/>
      <c r="D107" s="42"/>
      <c r="E107" s="68"/>
      <c r="F107" s="14"/>
      <c r="G107" s="14"/>
      <c r="H107" s="9"/>
    </row>
    <row r="108" spans="3:8" ht="15.75" thickBot="1" x14ac:dyDescent="0.3">
      <c r="C108" s="10"/>
      <c r="D108" s="11"/>
      <c r="E108" s="11" t="s">
        <v>44</v>
      </c>
      <c r="F108" s="12">
        <f>SUM(F6:F107)</f>
        <v>23694.699999999997</v>
      </c>
      <c r="G108" s="15">
        <f>SUM(G9:G107)</f>
        <v>1649.5</v>
      </c>
      <c r="H108" s="13">
        <f>SUM(H9:H107)</f>
        <v>10688.400000000001</v>
      </c>
    </row>
    <row r="111" spans="3:8" s="3" customFormat="1" ht="18.75" x14ac:dyDescent="0.3">
      <c r="C111" s="1"/>
      <c r="D111" s="1"/>
      <c r="E111" s="38" t="s">
        <v>49</v>
      </c>
      <c r="F111" s="39">
        <f>+H4+F108</f>
        <v>50748.369999999995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625A-BB80-412C-B446-5D652EFCD5CF}">
  <sheetPr codeName="Hoja85"/>
  <dimension ref="C2:J116"/>
  <sheetViews>
    <sheetView topLeftCell="B32" zoomScaleNormal="100" workbookViewId="0">
      <selection activeCell="D59" sqref="D59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6895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50748.37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6896</v>
      </c>
      <c r="E6" s="2" t="s">
        <v>5678</v>
      </c>
      <c r="F6" s="109">
        <v>6</v>
      </c>
      <c r="G6" s="113"/>
      <c r="H6" s="112"/>
    </row>
    <row r="7" spans="3:10" x14ac:dyDescent="0.25">
      <c r="C7" s="24"/>
      <c r="D7" s="2" t="s">
        <v>6901</v>
      </c>
      <c r="E7" s="2" t="s">
        <v>5678</v>
      </c>
      <c r="F7" s="109">
        <v>5</v>
      </c>
      <c r="G7" s="113"/>
      <c r="H7" s="112"/>
      <c r="J7" s="36"/>
    </row>
    <row r="8" spans="3:10" x14ac:dyDescent="0.25">
      <c r="C8" s="24"/>
      <c r="D8" s="2" t="s">
        <v>6902</v>
      </c>
      <c r="E8" s="2" t="s">
        <v>5678</v>
      </c>
      <c r="F8" s="109">
        <v>31.5</v>
      </c>
      <c r="G8" s="113"/>
      <c r="H8" s="112"/>
    </row>
    <row r="9" spans="3:10" x14ac:dyDescent="0.25">
      <c r="C9" s="8"/>
      <c r="D9" s="2" t="s">
        <v>6903</v>
      </c>
      <c r="E9" s="2" t="s">
        <v>6059</v>
      </c>
      <c r="F9" s="4"/>
      <c r="G9" s="14"/>
      <c r="H9" s="9">
        <v>50</v>
      </c>
    </row>
    <row r="10" spans="3:10" x14ac:dyDescent="0.25">
      <c r="C10" s="8"/>
      <c r="D10" s="2" t="s">
        <v>6904</v>
      </c>
      <c r="E10" s="2" t="s">
        <v>6925</v>
      </c>
      <c r="F10" s="4">
        <v>4880</v>
      </c>
      <c r="G10" s="14"/>
      <c r="H10" s="9"/>
    </row>
    <row r="11" spans="3:10" x14ac:dyDescent="0.25">
      <c r="C11" s="8"/>
      <c r="D11" s="2" t="s">
        <v>6905</v>
      </c>
      <c r="E11" s="2" t="s">
        <v>1679</v>
      </c>
      <c r="F11" s="4">
        <v>852</v>
      </c>
      <c r="G11" s="14"/>
      <c r="H11" s="9"/>
    </row>
    <row r="12" spans="3:10" x14ac:dyDescent="0.25">
      <c r="C12" s="8"/>
      <c r="D12" s="2" t="s">
        <v>6906</v>
      </c>
      <c r="E12" s="2" t="s">
        <v>5678</v>
      </c>
      <c r="F12" s="4">
        <v>310</v>
      </c>
      <c r="G12" s="14"/>
      <c r="H12" s="9"/>
    </row>
    <row r="13" spans="3:10" x14ac:dyDescent="0.25">
      <c r="C13" s="8"/>
      <c r="D13" s="2" t="s">
        <v>6907</v>
      </c>
      <c r="E13" s="2" t="s">
        <v>5678</v>
      </c>
      <c r="F13" s="4"/>
      <c r="G13" s="14"/>
      <c r="H13" s="9">
        <v>10</v>
      </c>
    </row>
    <row r="14" spans="3:10" x14ac:dyDescent="0.25">
      <c r="C14" s="8"/>
      <c r="D14" s="2" t="s">
        <v>6908</v>
      </c>
      <c r="E14" s="2" t="s">
        <v>5678</v>
      </c>
      <c r="F14" s="4">
        <v>48.5</v>
      </c>
      <c r="G14" s="14"/>
      <c r="H14" s="9"/>
    </row>
    <row r="15" spans="3:10" x14ac:dyDescent="0.25">
      <c r="C15" s="8"/>
      <c r="D15" s="2" t="s">
        <v>6909</v>
      </c>
      <c r="E15" s="2" t="s">
        <v>6924</v>
      </c>
      <c r="F15" s="4"/>
      <c r="G15" s="14">
        <v>630</v>
      </c>
      <c r="H15" s="9"/>
    </row>
    <row r="16" spans="3:10" x14ac:dyDescent="0.25">
      <c r="C16" s="8"/>
      <c r="D16" s="2" t="s">
        <v>6910</v>
      </c>
      <c r="E16" s="2" t="s">
        <v>5678</v>
      </c>
      <c r="F16" s="4">
        <v>340</v>
      </c>
      <c r="G16" s="14"/>
      <c r="H16" s="9"/>
    </row>
    <row r="17" spans="3:8" x14ac:dyDescent="0.25">
      <c r="C17" s="8"/>
      <c r="D17" s="2" t="s">
        <v>6911</v>
      </c>
      <c r="E17" s="2" t="s">
        <v>5678</v>
      </c>
      <c r="F17" s="4">
        <v>6</v>
      </c>
      <c r="G17" s="14"/>
      <c r="H17" s="9"/>
    </row>
    <row r="18" spans="3:8" x14ac:dyDescent="0.25">
      <c r="C18" s="8"/>
      <c r="D18" s="2" t="s">
        <v>6912</v>
      </c>
      <c r="E18" s="2" t="s">
        <v>6923</v>
      </c>
      <c r="F18" s="4"/>
      <c r="G18" s="14"/>
      <c r="H18" s="9">
        <v>130.30000000000001</v>
      </c>
    </row>
    <row r="19" spans="3:8" x14ac:dyDescent="0.25">
      <c r="C19" s="8"/>
      <c r="D19" s="2" t="s">
        <v>6913</v>
      </c>
      <c r="E19" s="2" t="s">
        <v>6922</v>
      </c>
      <c r="F19" s="4">
        <v>1000</v>
      </c>
      <c r="G19" s="14"/>
      <c r="H19" s="9">
        <v>1218</v>
      </c>
    </row>
    <row r="20" spans="3:8" x14ac:dyDescent="0.25">
      <c r="C20" s="8"/>
      <c r="D20" s="2" t="s">
        <v>6914</v>
      </c>
      <c r="E20" s="2" t="s">
        <v>5678</v>
      </c>
      <c r="F20" s="35">
        <v>5</v>
      </c>
      <c r="G20" s="14"/>
      <c r="H20" s="9"/>
    </row>
    <row r="21" spans="3:8" x14ac:dyDescent="0.25">
      <c r="C21" s="8"/>
      <c r="D21" s="2" t="s">
        <v>6915</v>
      </c>
      <c r="E21" s="2" t="s">
        <v>5678</v>
      </c>
      <c r="F21" s="35">
        <v>17</v>
      </c>
      <c r="G21" s="14"/>
      <c r="H21" s="9"/>
    </row>
    <row r="22" spans="3:8" x14ac:dyDescent="0.25">
      <c r="C22" s="8"/>
      <c r="D22" s="2" t="s">
        <v>6916</v>
      </c>
      <c r="E22" s="2" t="s">
        <v>5678</v>
      </c>
      <c r="F22" s="35"/>
      <c r="G22" s="14"/>
      <c r="H22" s="9">
        <v>10</v>
      </c>
    </row>
    <row r="23" spans="3:8" x14ac:dyDescent="0.25">
      <c r="C23" s="8"/>
      <c r="D23" s="2" t="s">
        <v>6917</v>
      </c>
      <c r="E23" s="2" t="s">
        <v>5678</v>
      </c>
      <c r="F23" s="35">
        <v>34.5</v>
      </c>
      <c r="G23" s="14"/>
      <c r="H23" s="9"/>
    </row>
    <row r="24" spans="3:8" x14ac:dyDescent="0.25">
      <c r="C24" s="8"/>
      <c r="D24" s="2" t="s">
        <v>6918</v>
      </c>
      <c r="E24" s="2" t="s">
        <v>5678</v>
      </c>
      <c r="F24" s="35">
        <v>5</v>
      </c>
      <c r="G24" s="14"/>
      <c r="H24" s="9"/>
    </row>
    <row r="25" spans="3:8" x14ac:dyDescent="0.25">
      <c r="C25" s="8"/>
      <c r="D25" s="2" t="s">
        <v>6919</v>
      </c>
      <c r="E25" s="2" t="s">
        <v>6921</v>
      </c>
      <c r="F25" s="35"/>
      <c r="G25" s="14"/>
      <c r="H25" s="9">
        <v>1480</v>
      </c>
    </row>
    <row r="26" spans="3:8" x14ac:dyDescent="0.25">
      <c r="C26" s="8"/>
      <c r="D26" s="2" t="s">
        <v>6920</v>
      </c>
      <c r="E26" s="2" t="s">
        <v>5678</v>
      </c>
      <c r="F26" s="35"/>
      <c r="G26" s="14"/>
      <c r="H26" s="9">
        <v>4</v>
      </c>
    </row>
    <row r="27" spans="3:8" x14ac:dyDescent="0.25">
      <c r="C27" s="8"/>
      <c r="D27" s="2" t="s">
        <v>6951</v>
      </c>
      <c r="E27" s="2" t="s">
        <v>6275</v>
      </c>
      <c r="F27" s="35">
        <v>764.36</v>
      </c>
      <c r="G27" s="14"/>
      <c r="H27" s="9"/>
    </row>
    <row r="28" spans="3:8" x14ac:dyDescent="0.25">
      <c r="C28" s="8"/>
      <c r="D28" s="2" t="s">
        <v>6952</v>
      </c>
      <c r="E28" s="2" t="s">
        <v>5678</v>
      </c>
      <c r="F28" s="35">
        <v>6</v>
      </c>
      <c r="G28" s="14"/>
      <c r="H28" s="9"/>
    </row>
    <row r="29" spans="3:8" x14ac:dyDescent="0.25">
      <c r="C29" s="8"/>
      <c r="D29" s="2" t="s">
        <v>6953</v>
      </c>
      <c r="E29" s="2" t="s">
        <v>5678</v>
      </c>
      <c r="F29" s="35">
        <v>5</v>
      </c>
      <c r="G29" s="14"/>
      <c r="H29" s="9"/>
    </row>
    <row r="30" spans="3:8" x14ac:dyDescent="0.25">
      <c r="C30" s="8"/>
      <c r="D30" s="2" t="s">
        <v>6954</v>
      </c>
      <c r="E30" s="2" t="s">
        <v>5678</v>
      </c>
      <c r="F30" s="35">
        <v>5</v>
      </c>
      <c r="G30" s="14"/>
      <c r="H30" s="9"/>
    </row>
    <row r="31" spans="3:8" x14ac:dyDescent="0.25">
      <c r="C31" s="8"/>
      <c r="D31" s="2" t="s">
        <v>6955</v>
      </c>
      <c r="E31" s="2" t="s">
        <v>4597</v>
      </c>
      <c r="F31" s="35">
        <v>2335</v>
      </c>
      <c r="G31" s="14"/>
      <c r="H31" s="9"/>
    </row>
    <row r="32" spans="3:8" x14ac:dyDescent="0.25">
      <c r="C32" s="8"/>
      <c r="D32" s="2" t="s">
        <v>6956</v>
      </c>
      <c r="E32" s="2" t="s">
        <v>6751</v>
      </c>
      <c r="F32" s="35"/>
      <c r="G32" s="14"/>
      <c r="H32" s="9">
        <v>688</v>
      </c>
    </row>
    <row r="33" spans="3:8" x14ac:dyDescent="0.25">
      <c r="C33" s="8"/>
      <c r="D33" s="2" t="s">
        <v>6957</v>
      </c>
      <c r="E33" s="2" t="s">
        <v>5678</v>
      </c>
      <c r="F33" s="35">
        <v>3</v>
      </c>
      <c r="G33" s="14"/>
      <c r="H33" s="9"/>
    </row>
    <row r="34" spans="3:8" x14ac:dyDescent="0.25">
      <c r="C34" s="8"/>
      <c r="D34" s="2" t="s">
        <v>6982</v>
      </c>
      <c r="E34" s="2"/>
      <c r="F34" s="35"/>
      <c r="G34" s="14"/>
      <c r="H34" s="9"/>
    </row>
    <row r="35" spans="3:8" x14ac:dyDescent="0.25">
      <c r="C35" s="8"/>
      <c r="D35" s="2"/>
      <c r="E35" s="2"/>
      <c r="F35" s="35"/>
      <c r="G35" s="14"/>
      <c r="H35" s="9"/>
    </row>
    <row r="36" spans="3:8" x14ac:dyDescent="0.25">
      <c r="C36" s="8"/>
      <c r="D36" s="2" t="s">
        <v>6926</v>
      </c>
      <c r="E36" s="2" t="s">
        <v>6566</v>
      </c>
      <c r="F36" s="35"/>
      <c r="G36" s="14">
        <v>2448</v>
      </c>
      <c r="H36" s="9"/>
    </row>
    <row r="37" spans="3:8" x14ac:dyDescent="0.25">
      <c r="C37" s="8"/>
      <c r="D37" s="2" t="s">
        <v>6932</v>
      </c>
      <c r="E37" s="2" t="s">
        <v>1631</v>
      </c>
      <c r="F37" s="35"/>
      <c r="G37" s="14"/>
      <c r="H37" s="9">
        <v>3.5</v>
      </c>
    </row>
    <row r="38" spans="3:8" x14ac:dyDescent="0.25">
      <c r="C38" s="8"/>
      <c r="D38" s="2" t="s">
        <v>6933</v>
      </c>
      <c r="E38" s="2" t="s">
        <v>1631</v>
      </c>
      <c r="F38" s="35">
        <v>89.5</v>
      </c>
      <c r="G38" s="14"/>
      <c r="H38" s="9"/>
    </row>
    <row r="39" spans="3:8" x14ac:dyDescent="0.25">
      <c r="C39" s="8"/>
      <c r="D39" s="2" t="s">
        <v>6934</v>
      </c>
      <c r="E39" s="2" t="s">
        <v>1631</v>
      </c>
      <c r="F39" s="35">
        <v>3.5</v>
      </c>
      <c r="G39" s="14"/>
      <c r="H39" s="9"/>
    </row>
    <row r="40" spans="3:8" x14ac:dyDescent="0.25">
      <c r="C40" s="8"/>
      <c r="D40" s="2" t="s">
        <v>6935</v>
      </c>
      <c r="E40" s="2" t="s">
        <v>6674</v>
      </c>
      <c r="F40" s="35"/>
      <c r="G40" s="14">
        <v>55</v>
      </c>
      <c r="H40" s="9"/>
    </row>
    <row r="41" spans="3:8" x14ac:dyDescent="0.25">
      <c r="C41" s="8"/>
      <c r="D41" s="2" t="s">
        <v>6936</v>
      </c>
      <c r="E41" s="2" t="s">
        <v>5951</v>
      </c>
      <c r="F41" s="35"/>
      <c r="G41" s="14"/>
      <c r="H41" s="9">
        <v>147</v>
      </c>
    </row>
    <row r="42" spans="3:8" x14ac:dyDescent="0.25">
      <c r="C42" s="8"/>
      <c r="D42" s="2" t="s">
        <v>6937</v>
      </c>
      <c r="E42" s="2" t="s">
        <v>5951</v>
      </c>
      <c r="F42" s="35"/>
      <c r="G42" s="14"/>
      <c r="H42" s="9">
        <v>60</v>
      </c>
    </row>
    <row r="43" spans="3:8" x14ac:dyDescent="0.25">
      <c r="C43" s="8"/>
      <c r="D43" s="2" t="s">
        <v>6938</v>
      </c>
      <c r="E43" s="2" t="s">
        <v>5951</v>
      </c>
      <c r="F43" s="35"/>
      <c r="G43" s="14"/>
      <c r="H43" s="9">
        <v>45</v>
      </c>
    </row>
    <row r="44" spans="3:8" x14ac:dyDescent="0.25">
      <c r="C44" s="8"/>
      <c r="D44" s="2" t="s">
        <v>6939</v>
      </c>
      <c r="E44" s="2" t="s">
        <v>5802</v>
      </c>
      <c r="F44" s="35">
        <v>1446</v>
      </c>
      <c r="G44" s="14"/>
      <c r="H44" s="9"/>
    </row>
    <row r="45" spans="3:8" x14ac:dyDescent="0.25">
      <c r="C45" s="8"/>
      <c r="D45" s="2" t="s">
        <v>6940</v>
      </c>
      <c r="E45" s="2" t="s">
        <v>5951</v>
      </c>
      <c r="F45" s="35"/>
      <c r="G45" s="14"/>
      <c r="H45" s="9">
        <v>254</v>
      </c>
    </row>
    <row r="46" spans="3:8" x14ac:dyDescent="0.25">
      <c r="C46" s="8"/>
      <c r="D46" s="2" t="s">
        <v>6941</v>
      </c>
      <c r="E46" s="2" t="s">
        <v>1631</v>
      </c>
      <c r="F46" s="35">
        <v>10</v>
      </c>
      <c r="G46" s="14"/>
      <c r="H46" s="9"/>
    </row>
    <row r="47" spans="3:8" x14ac:dyDescent="0.25">
      <c r="C47" s="8"/>
      <c r="D47" s="2" t="s">
        <v>6942</v>
      </c>
      <c r="E47" s="2" t="s">
        <v>1631</v>
      </c>
      <c r="F47" s="35">
        <v>2.5</v>
      </c>
      <c r="G47" s="14"/>
      <c r="H47" s="9"/>
    </row>
    <row r="48" spans="3:8" x14ac:dyDescent="0.25">
      <c r="C48" s="8"/>
      <c r="D48" s="2" t="s">
        <v>6943</v>
      </c>
      <c r="E48" s="2" t="s">
        <v>5035</v>
      </c>
      <c r="F48" s="35"/>
      <c r="G48" s="14">
        <v>12</v>
      </c>
      <c r="H48" s="9"/>
    </row>
    <row r="49" spans="3:8" x14ac:dyDescent="0.25">
      <c r="C49" s="8"/>
      <c r="D49" s="2" t="s">
        <v>6944</v>
      </c>
      <c r="E49" s="2" t="s">
        <v>1631</v>
      </c>
      <c r="F49" s="35">
        <v>3</v>
      </c>
      <c r="G49" s="14"/>
      <c r="H49" s="9"/>
    </row>
    <row r="50" spans="3:8" x14ac:dyDescent="0.25">
      <c r="C50" s="8"/>
      <c r="D50" s="2" t="s">
        <v>6945</v>
      </c>
      <c r="E50" s="2" t="s">
        <v>1631</v>
      </c>
      <c r="F50" s="35">
        <v>4</v>
      </c>
      <c r="G50" s="14"/>
      <c r="H50" s="9"/>
    </row>
    <row r="51" spans="3:8" x14ac:dyDescent="0.25">
      <c r="C51" s="8"/>
      <c r="D51" s="2" t="s">
        <v>6946</v>
      </c>
      <c r="E51" s="2" t="s">
        <v>6949</v>
      </c>
      <c r="F51" s="35"/>
      <c r="G51" s="14"/>
      <c r="H51" s="9">
        <v>123</v>
      </c>
    </row>
    <row r="52" spans="3:8" x14ac:dyDescent="0.25">
      <c r="C52" s="8"/>
      <c r="D52" s="2" t="s">
        <v>6947</v>
      </c>
      <c r="E52" s="2" t="s">
        <v>1631</v>
      </c>
      <c r="F52" s="35"/>
      <c r="G52" s="14"/>
      <c r="H52" s="9">
        <v>13</v>
      </c>
    </row>
    <row r="53" spans="3:8" x14ac:dyDescent="0.25">
      <c r="C53" s="8"/>
      <c r="D53" s="2" t="s">
        <v>6948</v>
      </c>
      <c r="E53" s="2" t="s">
        <v>6963</v>
      </c>
      <c r="F53" s="35"/>
      <c r="G53" s="14">
        <v>5918</v>
      </c>
      <c r="H53" s="9"/>
    </row>
    <row r="54" spans="3:8" x14ac:dyDescent="0.25">
      <c r="C54" s="8"/>
      <c r="D54" s="2" t="s">
        <v>6958</v>
      </c>
      <c r="E54" s="2" t="s">
        <v>4618</v>
      </c>
      <c r="F54" s="35"/>
      <c r="G54" s="14"/>
      <c r="H54" s="9">
        <v>385</v>
      </c>
    </row>
    <row r="55" spans="3:8" x14ac:dyDescent="0.25">
      <c r="C55" s="8"/>
      <c r="D55" s="2" t="s">
        <v>6959</v>
      </c>
      <c r="E55" s="2" t="s">
        <v>4618</v>
      </c>
      <c r="F55" s="35"/>
      <c r="G55" s="14"/>
      <c r="H55" s="9">
        <v>385</v>
      </c>
    </row>
    <row r="56" spans="3:8" x14ac:dyDescent="0.25">
      <c r="C56" s="8"/>
      <c r="D56" s="2" t="s">
        <v>6960</v>
      </c>
      <c r="E56" s="2" t="s">
        <v>6962</v>
      </c>
      <c r="F56" s="35"/>
      <c r="G56" s="14"/>
      <c r="H56" s="9">
        <v>252.6</v>
      </c>
    </row>
    <row r="57" spans="3:8" x14ac:dyDescent="0.25">
      <c r="C57" s="8"/>
      <c r="D57" s="2" t="s">
        <v>6961</v>
      </c>
      <c r="E57" s="2" t="s">
        <v>6674</v>
      </c>
      <c r="F57" s="35"/>
      <c r="G57" s="14">
        <v>952.5</v>
      </c>
      <c r="H57" s="9"/>
    </row>
    <row r="58" spans="3:8" x14ac:dyDescent="0.25">
      <c r="C58" s="8"/>
      <c r="D58" s="2" t="s">
        <v>6967</v>
      </c>
      <c r="E58" s="2" t="s">
        <v>1370</v>
      </c>
      <c r="F58" s="35"/>
      <c r="G58" s="14">
        <v>805</v>
      </c>
      <c r="H58" s="9"/>
    </row>
    <row r="59" spans="3:8" x14ac:dyDescent="0.25">
      <c r="C59" s="8"/>
      <c r="D59" s="2" t="s">
        <v>7049</v>
      </c>
      <c r="E59" s="2"/>
      <c r="F59" s="35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29"/>
      <c r="D61" s="30"/>
      <c r="E61" s="30" t="s">
        <v>60</v>
      </c>
      <c r="F61" s="4"/>
      <c r="G61" s="14"/>
      <c r="H61" s="9"/>
    </row>
    <row r="62" spans="3:8" x14ac:dyDescent="0.25">
      <c r="C62" s="8"/>
      <c r="D62" s="45" t="s">
        <v>6898</v>
      </c>
      <c r="E62" s="68" t="s">
        <v>6897</v>
      </c>
      <c r="F62" s="4">
        <v>477</v>
      </c>
      <c r="G62" s="14"/>
      <c r="H62" s="9"/>
    </row>
    <row r="63" spans="3:8" x14ac:dyDescent="0.25">
      <c r="C63" s="8"/>
      <c r="D63" s="45" t="s">
        <v>6900</v>
      </c>
      <c r="E63" s="68" t="s">
        <v>6899</v>
      </c>
      <c r="F63" s="4">
        <v>-87</v>
      </c>
      <c r="G63" s="14"/>
      <c r="H63" s="9"/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76" t="s">
        <v>6927</v>
      </c>
      <c r="F71" s="35">
        <v>87</v>
      </c>
      <c r="G71" s="14"/>
      <c r="H71" s="9"/>
    </row>
    <row r="72" spans="3:8" x14ac:dyDescent="0.25">
      <c r="C72" s="8"/>
      <c r="D72" s="2"/>
      <c r="E72" s="76" t="s">
        <v>6928</v>
      </c>
      <c r="F72" s="35">
        <v>1400.1</v>
      </c>
      <c r="G72" s="14"/>
      <c r="H72" s="9"/>
    </row>
    <row r="73" spans="3:8" x14ac:dyDescent="0.25">
      <c r="C73" s="8"/>
      <c r="D73" s="2"/>
      <c r="E73" s="76" t="s">
        <v>6929</v>
      </c>
      <c r="F73" s="35">
        <v>460</v>
      </c>
      <c r="G73" s="14"/>
      <c r="H73" s="9"/>
    </row>
    <row r="74" spans="3:8" x14ac:dyDescent="0.25">
      <c r="C74" s="8"/>
      <c r="D74" s="2"/>
      <c r="E74" s="76" t="s">
        <v>6968</v>
      </c>
      <c r="F74" s="35">
        <v>132.5</v>
      </c>
      <c r="G74" s="14"/>
      <c r="H74" s="9"/>
    </row>
    <row r="75" spans="3:8" x14ac:dyDescent="0.25">
      <c r="C75" s="8"/>
      <c r="D75" s="2"/>
      <c r="E75" s="76" t="s">
        <v>6969</v>
      </c>
      <c r="F75" s="35">
        <v>40</v>
      </c>
      <c r="G75" s="14"/>
      <c r="H75" s="9"/>
    </row>
    <row r="76" spans="3:8" x14ac:dyDescent="0.25">
      <c r="C76" s="8"/>
      <c r="D76" s="2"/>
      <c r="E76" s="76" t="s">
        <v>6970</v>
      </c>
      <c r="F76" s="35">
        <v>200</v>
      </c>
      <c r="G76" s="14"/>
      <c r="H76" s="9"/>
    </row>
    <row r="77" spans="3:8" x14ac:dyDescent="0.25">
      <c r="C77" s="8"/>
      <c r="D77" s="2"/>
      <c r="E77" s="76" t="s">
        <v>6973</v>
      </c>
      <c r="F77" s="35">
        <v>6</v>
      </c>
      <c r="G77" s="14"/>
      <c r="H77" s="9"/>
    </row>
    <row r="78" spans="3:8" x14ac:dyDescent="0.25">
      <c r="C78" s="8"/>
      <c r="D78" s="2"/>
      <c r="E78" s="76" t="s">
        <v>6974</v>
      </c>
      <c r="F78" s="35">
        <v>229</v>
      </c>
      <c r="G78" s="14"/>
      <c r="H78" s="9"/>
    </row>
    <row r="79" spans="3:8" x14ac:dyDescent="0.25">
      <c r="C79" s="8"/>
      <c r="D79" s="2"/>
      <c r="E79" s="76" t="s">
        <v>6976</v>
      </c>
      <c r="F79" s="35">
        <v>4771</v>
      </c>
      <c r="G79" s="14"/>
      <c r="H79" s="9"/>
    </row>
    <row r="80" spans="3:8" x14ac:dyDescent="0.25">
      <c r="C80" s="8"/>
      <c r="D80" s="2"/>
      <c r="E80" s="76" t="s">
        <v>6975</v>
      </c>
      <c r="F80" s="35">
        <v>2.2999999999999998</v>
      </c>
      <c r="G80" s="14"/>
      <c r="H80" s="9"/>
    </row>
    <row r="81" spans="3:8" x14ac:dyDescent="0.25">
      <c r="C81" s="8"/>
      <c r="D81" s="2"/>
      <c r="E81" s="76" t="s">
        <v>6977</v>
      </c>
      <c r="F81" s="35">
        <v>45</v>
      </c>
      <c r="G81" s="14"/>
      <c r="H81" s="9"/>
    </row>
    <row r="82" spans="3:8" x14ac:dyDescent="0.25">
      <c r="C82" s="8"/>
      <c r="D82" s="2"/>
      <c r="E82" s="76" t="s">
        <v>6978</v>
      </c>
      <c r="F82" s="35">
        <v>126</v>
      </c>
      <c r="G82" s="14"/>
      <c r="H82" s="9"/>
    </row>
    <row r="83" spans="3:8" x14ac:dyDescent="0.25">
      <c r="C83" s="8"/>
      <c r="D83" s="2"/>
      <c r="E83" s="76"/>
      <c r="F83" s="35"/>
      <c r="G83" s="14"/>
      <c r="H83" s="9"/>
    </row>
    <row r="84" spans="3:8" x14ac:dyDescent="0.25">
      <c r="C84" s="8"/>
      <c r="D84" s="2"/>
      <c r="E84" s="76"/>
      <c r="F84" s="35"/>
      <c r="G84" s="14"/>
      <c r="H84" s="9"/>
    </row>
    <row r="85" spans="3:8" x14ac:dyDescent="0.25">
      <c r="C85" s="8"/>
      <c r="D85" s="2"/>
      <c r="E85" s="76"/>
      <c r="F85" s="35"/>
      <c r="G85" s="14"/>
      <c r="H85" s="9"/>
    </row>
    <row r="86" spans="3:8" x14ac:dyDescent="0.25">
      <c r="C86" s="8"/>
      <c r="D86" s="2"/>
      <c r="E86" s="2"/>
      <c r="F86" s="4"/>
      <c r="G86" s="14"/>
      <c r="H86" s="9"/>
    </row>
    <row r="87" spans="3:8" x14ac:dyDescent="0.25">
      <c r="C87" s="19"/>
      <c r="D87" s="20"/>
      <c r="E87" s="20" t="s">
        <v>42</v>
      </c>
      <c r="F87" s="4"/>
      <c r="G87" s="14"/>
      <c r="H87" s="9"/>
    </row>
    <row r="88" spans="3:8" x14ac:dyDescent="0.25">
      <c r="C88" s="34"/>
      <c r="D88" s="42"/>
      <c r="E88" s="68" t="s">
        <v>6303</v>
      </c>
      <c r="F88" s="14">
        <v>-1330</v>
      </c>
      <c r="G88" s="14"/>
      <c r="H88" s="9"/>
    </row>
    <row r="89" spans="3:8" x14ac:dyDescent="0.25">
      <c r="C89" s="34"/>
      <c r="D89" s="42"/>
      <c r="E89" s="68" t="s">
        <v>6950</v>
      </c>
      <c r="F89" s="14">
        <v>-912</v>
      </c>
      <c r="G89" s="14"/>
      <c r="H89" s="9"/>
    </row>
    <row r="90" spans="3:8" x14ac:dyDescent="0.25">
      <c r="C90" s="34"/>
      <c r="D90" s="42"/>
      <c r="E90" s="68" t="s">
        <v>6930</v>
      </c>
      <c r="F90" s="14">
        <v>-10</v>
      </c>
      <c r="G90" s="14"/>
      <c r="H90" s="9"/>
    </row>
    <row r="91" spans="3:8" x14ac:dyDescent="0.25">
      <c r="C91" s="34"/>
      <c r="D91" s="42"/>
      <c r="E91" s="68" t="s">
        <v>6931</v>
      </c>
      <c r="F91" s="14">
        <v>-50</v>
      </c>
      <c r="G91" s="14"/>
      <c r="H91" s="9"/>
    </row>
    <row r="92" spans="3:8" x14ac:dyDescent="0.25">
      <c r="C92" s="34"/>
      <c r="D92" s="42"/>
      <c r="E92" s="68" t="s">
        <v>6468</v>
      </c>
      <c r="F92" s="14">
        <v>-100</v>
      </c>
      <c r="G92" s="14"/>
      <c r="H92" s="9"/>
    </row>
    <row r="93" spans="3:8" x14ac:dyDescent="0.25">
      <c r="C93" s="34"/>
      <c r="D93" s="42"/>
      <c r="E93" s="68" t="s">
        <v>6964</v>
      </c>
      <c r="F93" s="14">
        <v>-26796</v>
      </c>
      <c r="G93" s="14"/>
      <c r="H93" s="9"/>
    </row>
    <row r="94" spans="3:8" x14ac:dyDescent="0.25">
      <c r="C94" s="34"/>
      <c r="D94" s="42"/>
      <c r="E94" s="68" t="s">
        <v>6965</v>
      </c>
      <c r="F94" s="14">
        <v>-23204</v>
      </c>
      <c r="G94" s="14"/>
      <c r="H94" s="9"/>
    </row>
    <row r="95" spans="3:8" x14ac:dyDescent="0.25">
      <c r="C95" s="34"/>
      <c r="D95" s="42"/>
      <c r="E95" s="68" t="s">
        <v>6966</v>
      </c>
      <c r="F95" s="14">
        <v>-975</v>
      </c>
      <c r="G95" s="14"/>
      <c r="H95" s="9"/>
    </row>
    <row r="96" spans="3:8" x14ac:dyDescent="0.25">
      <c r="C96" s="34"/>
      <c r="D96" s="42"/>
      <c r="E96" s="68" t="s">
        <v>6971</v>
      </c>
      <c r="F96" s="14">
        <v>-50</v>
      </c>
      <c r="G96" s="14"/>
      <c r="H96" s="9"/>
    </row>
    <row r="97" spans="3:8" x14ac:dyDescent="0.25">
      <c r="C97" s="34"/>
      <c r="D97" s="42"/>
      <c r="E97" s="68" t="s">
        <v>5315</v>
      </c>
      <c r="F97" s="14">
        <v>-350</v>
      </c>
      <c r="G97" s="14"/>
      <c r="H97" s="9"/>
    </row>
    <row r="98" spans="3:8" x14ac:dyDescent="0.25">
      <c r="C98" s="34"/>
      <c r="D98" s="42"/>
      <c r="E98" s="68" t="s">
        <v>6972</v>
      </c>
      <c r="F98" s="14">
        <v>-100</v>
      </c>
      <c r="G98" s="14"/>
      <c r="H98" s="9"/>
    </row>
    <row r="99" spans="3:8" x14ac:dyDescent="0.25">
      <c r="C99" s="34"/>
      <c r="D99" s="42"/>
      <c r="E99" s="68" t="s">
        <v>1274</v>
      </c>
      <c r="F99" s="14">
        <v>-2313</v>
      </c>
      <c r="G99" s="14"/>
      <c r="H99" s="9"/>
    </row>
    <row r="100" spans="3:8" x14ac:dyDescent="0.25">
      <c r="C100" s="34"/>
      <c r="D100" s="42"/>
      <c r="E100" s="68" t="s">
        <v>490</v>
      </c>
      <c r="F100" s="14">
        <v>-420</v>
      </c>
      <c r="G100" s="14"/>
      <c r="H100" s="9"/>
    </row>
    <row r="101" spans="3:8" x14ac:dyDescent="0.25">
      <c r="C101" s="34"/>
      <c r="D101" s="42"/>
      <c r="E101" s="68" t="s">
        <v>767</v>
      </c>
      <c r="F101" s="14">
        <v>-370</v>
      </c>
      <c r="G101" s="14"/>
      <c r="H101" s="9"/>
    </row>
    <row r="102" spans="3:8" x14ac:dyDescent="0.25">
      <c r="C102" s="34"/>
      <c r="D102" s="42"/>
      <c r="E102" s="68" t="s">
        <v>4311</v>
      </c>
      <c r="F102" s="14">
        <v>-290</v>
      </c>
      <c r="G102" s="14"/>
      <c r="H102" s="9"/>
    </row>
    <row r="103" spans="3:8" x14ac:dyDescent="0.25">
      <c r="C103" s="34"/>
      <c r="D103" s="42"/>
      <c r="E103" s="68" t="s">
        <v>5967</v>
      </c>
      <c r="F103" s="14">
        <v>-240</v>
      </c>
      <c r="G103" s="14"/>
      <c r="H103" s="9"/>
    </row>
    <row r="104" spans="3:8" x14ac:dyDescent="0.25">
      <c r="C104" s="34"/>
      <c r="D104" s="42"/>
      <c r="E104" s="68" t="s">
        <v>1486</v>
      </c>
      <c r="F104" s="14">
        <v>-510</v>
      </c>
      <c r="G104" s="14"/>
      <c r="H104" s="9"/>
    </row>
    <row r="105" spans="3:8" x14ac:dyDescent="0.25">
      <c r="C105" s="34"/>
      <c r="D105" s="42"/>
      <c r="E105" s="68" t="s">
        <v>5452</v>
      </c>
      <c r="F105" s="14">
        <v>-155</v>
      </c>
      <c r="G105" s="14"/>
      <c r="H105" s="9"/>
    </row>
    <row r="106" spans="3:8" x14ac:dyDescent="0.25">
      <c r="C106" s="34"/>
      <c r="D106" s="42"/>
      <c r="E106" s="68" t="s">
        <v>759</v>
      </c>
      <c r="F106" s="14">
        <v>-530</v>
      </c>
      <c r="G106" s="14"/>
      <c r="H106" s="9"/>
    </row>
    <row r="107" spans="3:8" x14ac:dyDescent="0.25">
      <c r="C107" s="34"/>
      <c r="D107" s="42"/>
      <c r="E107" s="68" t="s">
        <v>6979</v>
      </c>
      <c r="F107" s="14">
        <v>-900</v>
      </c>
      <c r="G107" s="14"/>
      <c r="H107" s="9"/>
    </row>
    <row r="108" spans="3:8" x14ac:dyDescent="0.25">
      <c r="C108" s="34"/>
      <c r="D108" s="42"/>
      <c r="E108" s="68" t="s">
        <v>766</v>
      </c>
      <c r="F108" s="14">
        <v>-600</v>
      </c>
      <c r="G108" s="14"/>
      <c r="H108" s="9"/>
    </row>
    <row r="109" spans="3:8" x14ac:dyDescent="0.25">
      <c r="C109" s="34"/>
      <c r="D109" s="42"/>
      <c r="E109" s="68" t="s">
        <v>6980</v>
      </c>
      <c r="F109" s="14">
        <v>-115</v>
      </c>
      <c r="G109" s="14"/>
      <c r="H109" s="9"/>
    </row>
    <row r="110" spans="3:8" x14ac:dyDescent="0.25">
      <c r="C110" s="34"/>
      <c r="D110" s="42"/>
      <c r="E110" s="68" t="s">
        <v>6492</v>
      </c>
      <c r="F110" s="14">
        <v>-340</v>
      </c>
      <c r="G110" s="14"/>
      <c r="H110" s="9"/>
    </row>
    <row r="111" spans="3:8" x14ac:dyDescent="0.25">
      <c r="C111" s="34"/>
      <c r="D111" s="42"/>
      <c r="E111" s="68"/>
      <c r="F111" s="14"/>
      <c r="G111" s="14"/>
      <c r="H111" s="9"/>
    </row>
    <row r="112" spans="3:8" x14ac:dyDescent="0.25">
      <c r="C112" s="34"/>
      <c r="D112" s="42"/>
      <c r="E112" s="68"/>
      <c r="F112" s="14"/>
      <c r="G112" s="14"/>
      <c r="H112" s="9"/>
    </row>
    <row r="113" spans="3:8" ht="15.75" thickBot="1" x14ac:dyDescent="0.3">
      <c r="C113" s="10"/>
      <c r="D113" s="11"/>
      <c r="E113" s="11" t="s">
        <v>44</v>
      </c>
      <c r="F113" s="12">
        <f>SUM(F6:F112)</f>
        <v>-40553.740000000005</v>
      </c>
      <c r="G113" s="15">
        <f>SUM(G9:G112)</f>
        <v>10820.5</v>
      </c>
      <c r="H113" s="13">
        <f>SUM(H9:H112)</f>
        <v>5258.4000000000005</v>
      </c>
    </row>
    <row r="116" spans="3:8" s="3" customFormat="1" ht="18.75" x14ac:dyDescent="0.3">
      <c r="C116" s="1"/>
      <c r="D116" s="1"/>
      <c r="E116" s="38" t="s">
        <v>49</v>
      </c>
      <c r="F116" s="39">
        <f>+H4+F113</f>
        <v>10194.629999999997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FA48-DF92-405C-9E1F-B57C6F4BA7DF}">
  <sheetPr codeName="Hoja86"/>
  <dimension ref="C2:J63"/>
  <sheetViews>
    <sheetView topLeftCell="B32" zoomScaleNormal="100" workbookViewId="0">
      <selection activeCell="F63" sqref="F63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6981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10194.629999999999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6982</v>
      </c>
      <c r="E6" s="2" t="s">
        <v>12</v>
      </c>
      <c r="F6" s="109">
        <v>34.5</v>
      </c>
      <c r="G6" s="113"/>
      <c r="H6" s="112"/>
    </row>
    <row r="7" spans="3:10" x14ac:dyDescent="0.25">
      <c r="C7" s="24"/>
      <c r="D7" s="2" t="s">
        <v>6983</v>
      </c>
      <c r="E7" s="2" t="s">
        <v>12</v>
      </c>
      <c r="F7" s="109">
        <v>27</v>
      </c>
      <c r="G7" s="113"/>
      <c r="H7" s="112"/>
      <c r="J7" s="36"/>
    </row>
    <row r="8" spans="3:10" x14ac:dyDescent="0.25">
      <c r="C8" s="24"/>
      <c r="D8" s="2" t="s">
        <v>6984</v>
      </c>
      <c r="E8" s="2" t="s">
        <v>7019</v>
      </c>
      <c r="F8" s="109">
        <v>630</v>
      </c>
      <c r="G8" s="113"/>
      <c r="H8" s="112"/>
    </row>
    <row r="9" spans="3:10" x14ac:dyDescent="0.25">
      <c r="C9" s="8"/>
      <c r="D9" s="2" t="s">
        <v>6985</v>
      </c>
      <c r="E9" s="2" t="s">
        <v>12</v>
      </c>
      <c r="F9" s="4">
        <v>19.5</v>
      </c>
      <c r="G9" s="14"/>
      <c r="H9" s="9"/>
    </row>
    <row r="10" spans="3:10" x14ac:dyDescent="0.25">
      <c r="C10" s="8"/>
      <c r="D10" s="2" t="s">
        <v>6986</v>
      </c>
      <c r="E10" s="2" t="s">
        <v>12</v>
      </c>
      <c r="F10" s="4">
        <v>3</v>
      </c>
      <c r="G10" s="14"/>
      <c r="H10" s="9"/>
    </row>
    <row r="11" spans="3:10" x14ac:dyDescent="0.25">
      <c r="C11" s="8"/>
      <c r="D11" s="2" t="s">
        <v>6987</v>
      </c>
      <c r="E11" s="2" t="s">
        <v>12</v>
      </c>
      <c r="F11" s="4">
        <v>11</v>
      </c>
      <c r="G11" s="14"/>
      <c r="H11" s="9"/>
    </row>
    <row r="12" spans="3:10" x14ac:dyDescent="0.25">
      <c r="C12" s="8"/>
      <c r="D12" s="2" t="s">
        <v>6988</v>
      </c>
      <c r="E12" s="2" t="s">
        <v>12</v>
      </c>
      <c r="F12" s="4">
        <v>1</v>
      </c>
      <c r="G12" s="14"/>
      <c r="H12" s="9"/>
    </row>
    <row r="13" spans="3:10" x14ac:dyDescent="0.25">
      <c r="C13" s="8"/>
      <c r="D13" s="2" t="s">
        <v>6989</v>
      </c>
      <c r="E13" s="2" t="s">
        <v>12</v>
      </c>
      <c r="F13" s="4">
        <v>51</v>
      </c>
      <c r="G13" s="14"/>
      <c r="H13" s="9"/>
    </row>
    <row r="14" spans="3:10" x14ac:dyDescent="0.25">
      <c r="C14" s="8"/>
      <c r="D14" s="2" t="s">
        <v>6990</v>
      </c>
      <c r="E14" s="2" t="s">
        <v>12</v>
      </c>
      <c r="F14" s="4">
        <v>4.5</v>
      </c>
      <c r="G14" s="14"/>
      <c r="H14" s="9"/>
    </row>
    <row r="15" spans="3:10" x14ac:dyDescent="0.25">
      <c r="C15" s="8"/>
      <c r="D15" s="2" t="s">
        <v>6991</v>
      </c>
      <c r="E15" s="2" t="s">
        <v>12</v>
      </c>
      <c r="F15" s="4">
        <v>31.5</v>
      </c>
      <c r="G15" s="14"/>
      <c r="H15" s="9"/>
    </row>
    <row r="16" spans="3:10" x14ac:dyDescent="0.25">
      <c r="C16" s="8"/>
      <c r="D16" s="2" t="s">
        <v>6992</v>
      </c>
      <c r="E16" s="2" t="s">
        <v>6874</v>
      </c>
      <c r="F16" s="4">
        <v>58</v>
      </c>
      <c r="G16" s="14"/>
      <c r="H16" s="9"/>
    </row>
    <row r="17" spans="3:8" x14ac:dyDescent="0.25">
      <c r="C17" s="8"/>
      <c r="D17" s="2" t="s">
        <v>6993</v>
      </c>
      <c r="E17" s="2" t="s">
        <v>12</v>
      </c>
      <c r="F17" s="4">
        <v>31.5</v>
      </c>
      <c r="G17" s="14"/>
      <c r="H17" s="9"/>
    </row>
    <row r="18" spans="3:8" x14ac:dyDescent="0.25">
      <c r="C18" s="8"/>
      <c r="D18" s="2" t="s">
        <v>6994</v>
      </c>
      <c r="E18" s="2" t="s">
        <v>12</v>
      </c>
      <c r="F18" s="4">
        <v>2</v>
      </c>
      <c r="G18" s="14"/>
      <c r="H18" s="9"/>
    </row>
    <row r="19" spans="3:8" x14ac:dyDescent="0.25">
      <c r="C19" s="8"/>
      <c r="D19" s="2" t="s">
        <v>6995</v>
      </c>
      <c r="E19" s="2" t="s">
        <v>12</v>
      </c>
      <c r="F19" s="4"/>
      <c r="G19" s="14"/>
      <c r="H19" s="9">
        <v>39</v>
      </c>
    </row>
    <row r="20" spans="3:8" x14ac:dyDescent="0.25">
      <c r="C20" s="8"/>
      <c r="D20" s="2" t="s">
        <v>6996</v>
      </c>
      <c r="E20" s="2" t="s">
        <v>12</v>
      </c>
      <c r="F20" s="4">
        <v>11.5</v>
      </c>
      <c r="G20" s="14"/>
      <c r="H20" s="9"/>
    </row>
    <row r="21" spans="3:8" x14ac:dyDescent="0.25">
      <c r="C21" s="8"/>
      <c r="D21" s="2" t="s">
        <v>6997</v>
      </c>
      <c r="E21" s="2" t="s">
        <v>12</v>
      </c>
      <c r="F21" s="4"/>
      <c r="G21" s="14"/>
      <c r="H21" s="9">
        <v>37.5</v>
      </c>
    </row>
    <row r="22" spans="3:8" x14ac:dyDescent="0.25">
      <c r="C22" s="8"/>
      <c r="D22" s="2" t="s">
        <v>6998</v>
      </c>
      <c r="E22" s="2" t="s">
        <v>4173</v>
      </c>
      <c r="F22" s="4"/>
      <c r="G22" s="14"/>
      <c r="H22" s="9">
        <v>148</v>
      </c>
    </row>
    <row r="23" spans="3:8" x14ac:dyDescent="0.25">
      <c r="C23" s="8"/>
      <c r="D23" s="2" t="s">
        <v>6999</v>
      </c>
      <c r="E23" s="2" t="s">
        <v>12</v>
      </c>
      <c r="F23" s="4">
        <v>64</v>
      </c>
      <c r="G23" s="14"/>
      <c r="H23" s="9"/>
    </row>
    <row r="24" spans="3:8" x14ac:dyDescent="0.25">
      <c r="C24" s="8"/>
      <c r="D24" s="2" t="s">
        <v>7000</v>
      </c>
      <c r="E24" s="2" t="s">
        <v>5159</v>
      </c>
      <c r="F24" s="4"/>
      <c r="G24" s="14"/>
      <c r="H24" s="9">
        <v>180</v>
      </c>
    </row>
    <row r="25" spans="3:8" x14ac:dyDescent="0.25">
      <c r="C25" s="8"/>
      <c r="D25" s="2" t="s">
        <v>7001</v>
      </c>
      <c r="E25" s="2" t="s">
        <v>12</v>
      </c>
      <c r="F25" s="4"/>
      <c r="G25" s="14"/>
      <c r="H25" s="9">
        <v>22.5</v>
      </c>
    </row>
    <row r="26" spans="3:8" x14ac:dyDescent="0.25">
      <c r="C26" s="8"/>
      <c r="D26" s="2" t="s">
        <v>7002</v>
      </c>
      <c r="E26" s="2" t="s">
        <v>12</v>
      </c>
      <c r="F26" s="4">
        <v>11</v>
      </c>
      <c r="G26" s="14"/>
      <c r="H26" s="9"/>
    </row>
    <row r="27" spans="3:8" x14ac:dyDescent="0.25">
      <c r="C27" s="8"/>
      <c r="D27" s="2" t="s">
        <v>7003</v>
      </c>
      <c r="E27" s="2" t="s">
        <v>12</v>
      </c>
      <c r="F27" s="4"/>
      <c r="G27" s="14"/>
      <c r="H27" s="9">
        <v>50</v>
      </c>
    </row>
    <row r="28" spans="3:8" x14ac:dyDescent="0.25">
      <c r="C28" s="8"/>
      <c r="D28" s="2" t="s">
        <v>7004</v>
      </c>
      <c r="E28" s="2" t="s">
        <v>12</v>
      </c>
      <c r="F28" s="4">
        <v>45</v>
      </c>
      <c r="G28" s="14"/>
      <c r="H28" s="9"/>
    </row>
    <row r="29" spans="3:8" x14ac:dyDescent="0.25">
      <c r="C29" s="8"/>
      <c r="D29" s="2" t="s">
        <v>7005</v>
      </c>
      <c r="E29" s="2" t="s">
        <v>12</v>
      </c>
      <c r="F29" s="35">
        <v>12</v>
      </c>
      <c r="G29" s="14"/>
      <c r="H29" s="9"/>
    </row>
    <row r="30" spans="3:8" x14ac:dyDescent="0.25">
      <c r="C30" s="8"/>
      <c r="D30" s="2" t="s">
        <v>7006</v>
      </c>
      <c r="E30" s="2" t="s">
        <v>12</v>
      </c>
      <c r="F30" s="35"/>
      <c r="G30" s="14"/>
      <c r="H30" s="9">
        <v>20</v>
      </c>
    </row>
    <row r="31" spans="3:8" x14ac:dyDescent="0.25">
      <c r="C31" s="8"/>
      <c r="D31" s="2" t="s">
        <v>7007</v>
      </c>
      <c r="E31" s="2" t="s">
        <v>12</v>
      </c>
      <c r="F31" s="35">
        <v>9</v>
      </c>
      <c r="G31" s="14"/>
      <c r="H31" s="9"/>
    </row>
    <row r="32" spans="3:8" x14ac:dyDescent="0.25">
      <c r="C32" s="8"/>
      <c r="D32" s="2" t="s">
        <v>7008</v>
      </c>
      <c r="E32" s="2" t="s">
        <v>12</v>
      </c>
      <c r="F32" s="35">
        <v>2</v>
      </c>
      <c r="G32" s="14"/>
      <c r="H32" s="9"/>
    </row>
    <row r="33" spans="3:8" x14ac:dyDescent="0.25">
      <c r="C33" s="8"/>
      <c r="D33" s="2" t="s">
        <v>7009</v>
      </c>
      <c r="E33" s="2" t="s">
        <v>12</v>
      </c>
      <c r="F33" s="35">
        <v>23.5</v>
      </c>
      <c r="G33" s="14"/>
      <c r="H33" s="9"/>
    </row>
    <row r="34" spans="3:8" x14ac:dyDescent="0.25">
      <c r="C34" s="8"/>
      <c r="D34" s="2" t="s">
        <v>7010</v>
      </c>
      <c r="E34" s="2" t="s">
        <v>12</v>
      </c>
      <c r="F34" s="35">
        <v>1.5</v>
      </c>
      <c r="G34" s="14"/>
      <c r="H34" s="9"/>
    </row>
    <row r="35" spans="3:8" x14ac:dyDescent="0.25">
      <c r="C35" s="8"/>
      <c r="D35" s="2" t="s">
        <v>7011</v>
      </c>
      <c r="E35" s="2" t="s">
        <v>12</v>
      </c>
      <c r="F35" s="35">
        <v>29</v>
      </c>
      <c r="G35" s="14"/>
      <c r="H35" s="9">
        <v>10</v>
      </c>
    </row>
    <row r="36" spans="3:8" x14ac:dyDescent="0.25">
      <c r="C36" s="8"/>
      <c r="D36" s="2" t="s">
        <v>7012</v>
      </c>
      <c r="E36" s="2" t="s">
        <v>6275</v>
      </c>
      <c r="F36" s="35">
        <v>700</v>
      </c>
      <c r="G36" s="14"/>
      <c r="H36" s="9"/>
    </row>
    <row r="37" spans="3:8" x14ac:dyDescent="0.25">
      <c r="C37" s="8"/>
      <c r="D37" s="2" t="s">
        <v>7013</v>
      </c>
      <c r="E37" s="2" t="s">
        <v>12</v>
      </c>
      <c r="F37" s="35"/>
      <c r="G37" s="14"/>
      <c r="H37" s="9">
        <v>22</v>
      </c>
    </row>
    <row r="38" spans="3:8" x14ac:dyDescent="0.25">
      <c r="C38" s="8"/>
      <c r="D38" s="2" t="s">
        <v>7014</v>
      </c>
      <c r="E38" s="2" t="s">
        <v>12</v>
      </c>
      <c r="F38" s="35">
        <v>1</v>
      </c>
      <c r="G38" s="14"/>
      <c r="H38" s="9"/>
    </row>
    <row r="39" spans="3:8" x14ac:dyDescent="0.25">
      <c r="C39" s="8"/>
      <c r="D39" s="2" t="s">
        <v>7020</v>
      </c>
      <c r="E39" s="2"/>
      <c r="F39" s="35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29"/>
      <c r="D41" s="30"/>
      <c r="E41" s="30" t="s">
        <v>60</v>
      </c>
      <c r="F41" s="4"/>
      <c r="G41" s="14"/>
      <c r="H41" s="9"/>
    </row>
    <row r="42" spans="3:8" x14ac:dyDescent="0.25">
      <c r="C42" s="8"/>
      <c r="D42" s="45"/>
      <c r="E42" s="68"/>
      <c r="F42" s="4"/>
      <c r="G42" s="14"/>
      <c r="H42" s="9"/>
    </row>
    <row r="43" spans="3:8" x14ac:dyDescent="0.25">
      <c r="C43" s="8"/>
      <c r="D43" s="45"/>
      <c r="E43" s="68"/>
      <c r="F43" s="4"/>
      <c r="G43" s="14"/>
      <c r="H43" s="9"/>
    </row>
    <row r="44" spans="3:8" x14ac:dyDescent="0.25">
      <c r="C44" s="8"/>
      <c r="D44" s="45"/>
      <c r="E44" s="68"/>
      <c r="F44" s="4"/>
      <c r="G44" s="14"/>
      <c r="H44" s="9"/>
    </row>
    <row r="45" spans="3:8" x14ac:dyDescent="0.25">
      <c r="C45" s="8"/>
      <c r="D45" s="45"/>
      <c r="E45" s="68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16"/>
      <c r="D47" s="17"/>
      <c r="E47" s="17" t="s">
        <v>39</v>
      </c>
      <c r="F47" s="4"/>
      <c r="G47" s="14"/>
      <c r="H47" s="9"/>
    </row>
    <row r="48" spans="3:8" x14ac:dyDescent="0.25">
      <c r="C48" s="8"/>
      <c r="D48" s="2"/>
      <c r="E48" s="76" t="s">
        <v>7015</v>
      </c>
      <c r="F48" s="35">
        <v>202.5</v>
      </c>
      <c r="G48" s="14"/>
      <c r="H48" s="9"/>
    </row>
    <row r="49" spans="3:8" x14ac:dyDescent="0.25">
      <c r="C49" s="8"/>
      <c r="D49" s="2"/>
      <c r="E49" s="76"/>
      <c r="F49" s="35"/>
      <c r="G49" s="14"/>
      <c r="H49" s="9"/>
    </row>
    <row r="50" spans="3:8" x14ac:dyDescent="0.25">
      <c r="C50" s="8"/>
      <c r="D50" s="2"/>
      <c r="E50" s="76"/>
      <c r="F50" s="35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19"/>
      <c r="D52" s="20"/>
      <c r="E52" s="20" t="s">
        <v>42</v>
      </c>
      <c r="F52" s="4"/>
      <c r="G52" s="14"/>
      <c r="H52" s="9"/>
    </row>
    <row r="53" spans="3:8" x14ac:dyDescent="0.25">
      <c r="C53" s="34"/>
      <c r="D53" s="42"/>
      <c r="E53" s="68" t="s">
        <v>7016</v>
      </c>
      <c r="F53" s="14">
        <v>-80</v>
      </c>
      <c r="G53" s="14"/>
      <c r="H53" s="9"/>
    </row>
    <row r="54" spans="3:8" x14ac:dyDescent="0.25">
      <c r="C54" s="34"/>
      <c r="D54" s="42"/>
      <c r="E54" s="68" t="s">
        <v>7017</v>
      </c>
      <c r="F54" s="14">
        <v>-40</v>
      </c>
      <c r="G54" s="14"/>
      <c r="H54" s="9"/>
    </row>
    <row r="55" spans="3:8" x14ac:dyDescent="0.25">
      <c r="C55" s="34"/>
      <c r="D55" s="42"/>
      <c r="E55" s="68" t="s">
        <v>7018</v>
      </c>
      <c r="F55" s="14">
        <v>-5</v>
      </c>
      <c r="G55" s="14"/>
      <c r="H55" s="9"/>
    </row>
    <row r="56" spans="3:8" x14ac:dyDescent="0.25">
      <c r="C56" s="34"/>
      <c r="D56" s="42"/>
      <c r="E56" s="68"/>
      <c r="F56" s="14"/>
      <c r="G56" s="14"/>
      <c r="H56" s="9"/>
    </row>
    <row r="57" spans="3:8" x14ac:dyDescent="0.25">
      <c r="C57" s="34"/>
      <c r="D57" s="42"/>
      <c r="E57" s="68"/>
      <c r="F57" s="14"/>
      <c r="G57" s="14"/>
      <c r="H57" s="9"/>
    </row>
    <row r="58" spans="3:8" x14ac:dyDescent="0.25">
      <c r="C58" s="34"/>
      <c r="D58" s="42"/>
      <c r="E58" s="68"/>
      <c r="F58" s="14"/>
      <c r="G58" s="14"/>
      <c r="H58" s="9"/>
    </row>
    <row r="59" spans="3:8" x14ac:dyDescent="0.25">
      <c r="C59" s="34"/>
      <c r="D59" s="42"/>
      <c r="E59" s="68"/>
      <c r="F59" s="14"/>
      <c r="G59" s="14"/>
      <c r="H59" s="9"/>
    </row>
    <row r="60" spans="3:8" ht="15.75" thickBot="1" x14ac:dyDescent="0.3">
      <c r="C60" s="10"/>
      <c r="D60" s="11"/>
      <c r="E60" s="11" t="s">
        <v>44</v>
      </c>
      <c r="F60" s="12">
        <f>SUM(F6:F59)</f>
        <v>1891.5</v>
      </c>
      <c r="G60" s="15">
        <f>SUM(G9:G59)</f>
        <v>0</v>
      </c>
      <c r="H60" s="13">
        <f>SUM(H9:H59)</f>
        <v>529</v>
      </c>
    </row>
    <row r="63" spans="3:8" s="3" customFormat="1" ht="18.75" x14ac:dyDescent="0.3">
      <c r="C63" s="1"/>
      <c r="D63" s="1"/>
      <c r="E63" s="38" t="s">
        <v>49</v>
      </c>
      <c r="F63" s="39">
        <f>+H4+F60</f>
        <v>12086.13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287-C65E-423C-AC5E-1A0ABC75BE2A}">
  <sheetPr codeName="Hoja87"/>
  <dimension ref="C2:K99"/>
  <sheetViews>
    <sheetView topLeftCell="B16" zoomScaleNormal="100" workbookViewId="0">
      <selection activeCell="E88" sqref="E88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7100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3">
        <v>12086.13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7020</v>
      </c>
      <c r="E6" s="2" t="s">
        <v>6925</v>
      </c>
      <c r="F6" s="109">
        <v>388.9</v>
      </c>
      <c r="G6" s="113"/>
      <c r="H6" s="112"/>
    </row>
    <row r="7" spans="3:10" x14ac:dyDescent="0.25">
      <c r="C7" s="24"/>
      <c r="D7" s="2" t="s">
        <v>7027</v>
      </c>
      <c r="E7" s="2" t="s">
        <v>7082</v>
      </c>
      <c r="F7" s="109"/>
      <c r="G7" s="113">
        <v>180</v>
      </c>
      <c r="H7" s="112"/>
      <c r="J7" s="36"/>
    </row>
    <row r="8" spans="3:10" x14ac:dyDescent="0.25">
      <c r="C8" s="24"/>
      <c r="D8" s="2" t="s">
        <v>7028</v>
      </c>
      <c r="E8" s="2" t="s">
        <v>5850</v>
      </c>
      <c r="F8" s="109">
        <v>18</v>
      </c>
      <c r="G8" s="113"/>
      <c r="H8" s="112"/>
    </row>
    <row r="9" spans="3:10" x14ac:dyDescent="0.25">
      <c r="C9" s="8"/>
      <c r="D9" s="2" t="s">
        <v>7029</v>
      </c>
      <c r="E9" s="2" t="s">
        <v>9</v>
      </c>
      <c r="F9" s="4"/>
      <c r="G9" s="14"/>
      <c r="H9" s="9">
        <v>132</v>
      </c>
    </row>
    <row r="10" spans="3:10" x14ac:dyDescent="0.25">
      <c r="C10" s="8"/>
      <c r="D10" s="2" t="s">
        <v>7030</v>
      </c>
      <c r="E10" s="2" t="s">
        <v>5850</v>
      </c>
      <c r="F10" s="4">
        <v>10</v>
      </c>
      <c r="G10" s="14"/>
      <c r="H10" s="9"/>
    </row>
    <row r="11" spans="3:10" x14ac:dyDescent="0.25">
      <c r="C11" s="8"/>
      <c r="D11" s="2" t="s">
        <v>7031</v>
      </c>
      <c r="E11" s="2" t="s">
        <v>7081</v>
      </c>
      <c r="F11" s="4"/>
      <c r="G11" s="14"/>
      <c r="H11" s="9">
        <v>387.8</v>
      </c>
    </row>
    <row r="12" spans="3:10" x14ac:dyDescent="0.25">
      <c r="C12" s="8"/>
      <c r="D12" s="2" t="s">
        <v>7032</v>
      </c>
      <c r="E12" s="2" t="s">
        <v>5850</v>
      </c>
      <c r="F12" s="4">
        <v>4.5</v>
      </c>
      <c r="G12" s="14"/>
      <c r="H12" s="9"/>
    </row>
    <row r="13" spans="3:10" x14ac:dyDescent="0.25">
      <c r="C13" s="8"/>
      <c r="D13" s="2" t="s">
        <v>7033</v>
      </c>
      <c r="E13" s="2" t="s">
        <v>7080</v>
      </c>
      <c r="F13" s="4"/>
      <c r="G13" s="14"/>
      <c r="H13" s="9">
        <v>125</v>
      </c>
    </row>
    <row r="14" spans="3:10" x14ac:dyDescent="0.25">
      <c r="C14" s="8"/>
      <c r="D14" s="2" t="s">
        <v>7034</v>
      </c>
      <c r="E14" s="2" t="s">
        <v>7079</v>
      </c>
      <c r="F14" s="4"/>
      <c r="G14" s="14">
        <v>113</v>
      </c>
      <c r="H14" s="9"/>
    </row>
    <row r="15" spans="3:10" x14ac:dyDescent="0.25">
      <c r="C15" s="8"/>
      <c r="D15" s="2" t="s">
        <v>7035</v>
      </c>
      <c r="E15" s="43" t="s">
        <v>7087</v>
      </c>
      <c r="F15" s="4"/>
      <c r="G15" s="14"/>
      <c r="H15" s="9"/>
    </row>
    <row r="16" spans="3:10" x14ac:dyDescent="0.25">
      <c r="C16" s="8"/>
      <c r="D16" s="2" t="s">
        <v>7036</v>
      </c>
      <c r="E16" s="2" t="s">
        <v>5850</v>
      </c>
      <c r="F16" s="4">
        <v>94</v>
      </c>
      <c r="G16" s="14"/>
      <c r="H16" s="9"/>
    </row>
    <row r="17" spans="3:8" x14ac:dyDescent="0.25">
      <c r="C17" s="8"/>
      <c r="D17" s="2" t="s">
        <v>7037</v>
      </c>
      <c r="E17" s="2" t="s">
        <v>6828</v>
      </c>
      <c r="F17" s="4"/>
      <c r="G17" s="14"/>
      <c r="H17" s="9">
        <v>1457</v>
      </c>
    </row>
    <row r="18" spans="3:8" x14ac:dyDescent="0.25">
      <c r="C18" s="8"/>
      <c r="D18" s="2" t="s">
        <v>7038</v>
      </c>
      <c r="E18" s="2" t="s">
        <v>5850</v>
      </c>
      <c r="F18" s="4">
        <v>2</v>
      </c>
      <c r="G18" s="14"/>
      <c r="H18" s="9"/>
    </row>
    <row r="19" spans="3:8" x14ac:dyDescent="0.25">
      <c r="C19" s="8"/>
      <c r="D19" s="2" t="s">
        <v>7039</v>
      </c>
      <c r="E19" s="2" t="s">
        <v>5850</v>
      </c>
      <c r="F19" s="4">
        <v>5</v>
      </c>
      <c r="G19" s="14"/>
      <c r="H19" s="9"/>
    </row>
    <row r="20" spans="3:8" x14ac:dyDescent="0.25">
      <c r="C20" s="8"/>
      <c r="D20" s="2" t="s">
        <v>7040</v>
      </c>
      <c r="E20" s="2" t="s">
        <v>5850</v>
      </c>
      <c r="F20" s="4">
        <v>4.5</v>
      </c>
      <c r="G20" s="14"/>
      <c r="H20" s="9"/>
    </row>
    <row r="21" spans="3:8" x14ac:dyDescent="0.25">
      <c r="C21" s="8"/>
      <c r="D21" s="2" t="s">
        <v>7041</v>
      </c>
      <c r="E21" s="2" t="s">
        <v>5850</v>
      </c>
      <c r="F21" s="4">
        <v>12</v>
      </c>
      <c r="G21" s="14"/>
      <c r="H21" s="9"/>
    </row>
    <row r="22" spans="3:8" x14ac:dyDescent="0.25">
      <c r="C22" s="8"/>
      <c r="D22" s="2" t="s">
        <v>7042</v>
      </c>
      <c r="E22" s="2" t="s">
        <v>5850</v>
      </c>
      <c r="F22" s="4">
        <v>8.5</v>
      </c>
      <c r="G22" s="14"/>
      <c r="H22" s="9"/>
    </row>
    <row r="23" spans="3:8" x14ac:dyDescent="0.25">
      <c r="C23" s="8"/>
      <c r="D23" s="2" t="s">
        <v>7043</v>
      </c>
      <c r="E23" s="2" t="s">
        <v>7078</v>
      </c>
      <c r="F23" s="4">
        <v>330</v>
      </c>
      <c r="G23" s="14"/>
      <c r="H23" s="9"/>
    </row>
    <row r="24" spans="3:8" x14ac:dyDescent="0.25">
      <c r="C24" s="8"/>
      <c r="D24" s="2" t="s">
        <v>7044</v>
      </c>
      <c r="E24" s="2" t="s">
        <v>7077</v>
      </c>
      <c r="F24" s="4"/>
      <c r="G24" s="14">
        <v>2560</v>
      </c>
      <c r="H24" s="9"/>
    </row>
    <row r="25" spans="3:8" x14ac:dyDescent="0.25">
      <c r="C25" s="8"/>
      <c r="D25" s="2" t="s">
        <v>7045</v>
      </c>
      <c r="E25" s="2" t="s">
        <v>7076</v>
      </c>
      <c r="F25" s="4">
        <v>33</v>
      </c>
      <c r="G25" s="14"/>
      <c r="H25" s="9"/>
    </row>
    <row r="26" spans="3:8" x14ac:dyDescent="0.25">
      <c r="C26" s="8"/>
      <c r="D26" s="2" t="s">
        <v>7046</v>
      </c>
      <c r="E26" s="2" t="s">
        <v>5850</v>
      </c>
      <c r="F26" s="4">
        <v>35</v>
      </c>
      <c r="G26" s="14"/>
      <c r="H26" s="9"/>
    </row>
    <row r="27" spans="3:8" x14ac:dyDescent="0.25">
      <c r="C27" s="8"/>
      <c r="D27" s="2" t="s">
        <v>7047</v>
      </c>
      <c r="E27" s="2" t="s">
        <v>5850</v>
      </c>
      <c r="F27" s="4"/>
      <c r="G27" s="14"/>
      <c r="H27" s="9">
        <v>3</v>
      </c>
    </row>
    <row r="28" spans="3:8" x14ac:dyDescent="0.25">
      <c r="C28" s="8"/>
      <c r="D28" s="2" t="s">
        <v>7048</v>
      </c>
      <c r="E28" s="2" t="s">
        <v>5850</v>
      </c>
      <c r="F28" s="4"/>
      <c r="G28" s="14"/>
      <c r="H28" s="9">
        <v>31.5</v>
      </c>
    </row>
    <row r="29" spans="3:8" x14ac:dyDescent="0.25">
      <c r="C29" s="8"/>
      <c r="D29" s="2" t="s">
        <v>7073</v>
      </c>
      <c r="E29" s="2" t="s">
        <v>7075</v>
      </c>
      <c r="F29" s="4"/>
      <c r="G29" s="14"/>
      <c r="H29" s="9">
        <v>2100.3000000000002</v>
      </c>
    </row>
    <row r="30" spans="3:8" x14ac:dyDescent="0.25">
      <c r="C30" s="8"/>
      <c r="D30" s="2" t="s">
        <v>7074</v>
      </c>
      <c r="E30" s="2" t="s">
        <v>4597</v>
      </c>
      <c r="F30" s="4"/>
      <c r="G30" s="14">
        <v>597.5</v>
      </c>
      <c r="H30" s="9"/>
    </row>
    <row r="31" spans="3:8" x14ac:dyDescent="0.25">
      <c r="C31" s="8"/>
      <c r="D31" s="2" t="s">
        <v>7088</v>
      </c>
      <c r="E31" s="2" t="s">
        <v>5850</v>
      </c>
      <c r="F31" s="4">
        <v>31.5</v>
      </c>
      <c r="G31" s="14"/>
      <c r="H31" s="9"/>
    </row>
    <row r="32" spans="3:8" x14ac:dyDescent="0.25">
      <c r="C32" s="8"/>
      <c r="D32" s="2" t="s">
        <v>7089</v>
      </c>
      <c r="E32" s="2" t="s">
        <v>107</v>
      </c>
      <c r="F32" s="4"/>
      <c r="G32" s="14">
        <v>4824.6000000000004</v>
      </c>
      <c r="H32" s="9"/>
    </row>
    <row r="33" spans="3:8" x14ac:dyDescent="0.25">
      <c r="C33" s="8"/>
      <c r="D33" s="2" t="s">
        <v>7108</v>
      </c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/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 t="s">
        <v>7049</v>
      </c>
      <c r="E38" s="2" t="s">
        <v>6092</v>
      </c>
      <c r="F38" s="35"/>
      <c r="G38" s="14"/>
      <c r="H38" s="9">
        <v>26.5</v>
      </c>
    </row>
    <row r="39" spans="3:8" x14ac:dyDescent="0.25">
      <c r="C39" s="8"/>
      <c r="D39" s="2" t="s">
        <v>7050</v>
      </c>
      <c r="E39" s="43" t="s">
        <v>7064</v>
      </c>
      <c r="F39" s="35"/>
      <c r="G39" s="14"/>
      <c r="H39" s="9"/>
    </row>
    <row r="40" spans="3:8" x14ac:dyDescent="0.25">
      <c r="C40" s="8"/>
      <c r="D40" s="2" t="s">
        <v>7051</v>
      </c>
      <c r="E40" s="2" t="s">
        <v>6092</v>
      </c>
      <c r="F40" s="35">
        <v>31.5</v>
      </c>
      <c r="G40" s="14"/>
      <c r="H40" s="9"/>
    </row>
    <row r="41" spans="3:8" x14ac:dyDescent="0.25">
      <c r="C41" s="8"/>
      <c r="D41" s="2" t="s">
        <v>7052</v>
      </c>
      <c r="E41" s="2" t="s">
        <v>6092</v>
      </c>
      <c r="F41" s="35">
        <v>7</v>
      </c>
      <c r="G41" s="14"/>
      <c r="H41" s="9"/>
    </row>
    <row r="42" spans="3:8" x14ac:dyDescent="0.25">
      <c r="C42" s="8"/>
      <c r="D42" s="2" t="s">
        <v>7053</v>
      </c>
      <c r="E42" s="2" t="s">
        <v>5842</v>
      </c>
      <c r="F42" s="35"/>
      <c r="G42" s="14"/>
      <c r="H42" s="9">
        <v>63</v>
      </c>
    </row>
    <row r="43" spans="3:8" x14ac:dyDescent="0.25">
      <c r="C43" s="8"/>
      <c r="D43" s="2" t="s">
        <v>7054</v>
      </c>
      <c r="E43" s="2" t="s">
        <v>7072</v>
      </c>
      <c r="F43" s="35"/>
      <c r="G43" s="14"/>
      <c r="H43" s="9">
        <v>1869.6</v>
      </c>
    </row>
    <row r="44" spans="3:8" x14ac:dyDescent="0.25">
      <c r="C44" s="8"/>
      <c r="D44" s="2" t="s">
        <v>7055</v>
      </c>
      <c r="E44" s="2" t="s">
        <v>6092</v>
      </c>
      <c r="F44" s="35">
        <v>109.5</v>
      </c>
      <c r="G44" s="14"/>
      <c r="H44" s="9"/>
    </row>
    <row r="45" spans="3:8" x14ac:dyDescent="0.25">
      <c r="C45" s="8"/>
      <c r="D45" s="2" t="s">
        <v>7056</v>
      </c>
      <c r="E45" s="2" t="s">
        <v>6092</v>
      </c>
      <c r="F45" s="35">
        <v>22</v>
      </c>
      <c r="G45" s="14"/>
      <c r="H45" s="9"/>
    </row>
    <row r="46" spans="3:8" x14ac:dyDescent="0.25">
      <c r="C46" s="8"/>
      <c r="D46" s="2" t="s">
        <v>7057</v>
      </c>
      <c r="E46" s="2" t="s">
        <v>6854</v>
      </c>
      <c r="F46" s="35"/>
      <c r="G46" s="14"/>
      <c r="H46" s="9">
        <v>784</v>
      </c>
    </row>
    <row r="47" spans="3:8" x14ac:dyDescent="0.25">
      <c r="C47" s="8"/>
      <c r="D47" s="2" t="s">
        <v>7058</v>
      </c>
      <c r="E47" s="2" t="s">
        <v>6092</v>
      </c>
      <c r="F47" s="35">
        <v>11</v>
      </c>
      <c r="G47" s="14"/>
      <c r="H47" s="9"/>
    </row>
    <row r="48" spans="3:8" x14ac:dyDescent="0.25">
      <c r="C48" s="8"/>
      <c r="D48" s="2" t="s">
        <v>7059</v>
      </c>
      <c r="E48" s="2" t="s">
        <v>5995</v>
      </c>
      <c r="F48" s="35"/>
      <c r="G48" s="14"/>
      <c r="H48" s="9">
        <v>66</v>
      </c>
    </row>
    <row r="49" spans="3:8" x14ac:dyDescent="0.25">
      <c r="C49" s="8"/>
      <c r="D49" s="2" t="s">
        <v>7060</v>
      </c>
      <c r="E49" s="2" t="s">
        <v>1456</v>
      </c>
      <c r="F49" s="35"/>
      <c r="G49" s="14">
        <v>72.5</v>
      </c>
      <c r="H49" s="9"/>
    </row>
    <row r="50" spans="3:8" x14ac:dyDescent="0.25">
      <c r="C50" s="8"/>
      <c r="D50" s="2" t="s">
        <v>7061</v>
      </c>
      <c r="E50" s="2" t="s">
        <v>6085</v>
      </c>
      <c r="F50" s="35"/>
      <c r="G50" s="14"/>
      <c r="H50" s="9">
        <v>1000</v>
      </c>
    </row>
    <row r="51" spans="3:8" x14ac:dyDescent="0.25">
      <c r="C51" s="8"/>
      <c r="D51" s="2" t="s">
        <v>7062</v>
      </c>
      <c r="E51" s="2" t="s">
        <v>7071</v>
      </c>
      <c r="F51" s="35">
        <v>360</v>
      </c>
      <c r="G51" s="14"/>
      <c r="H51" s="9"/>
    </row>
    <row r="52" spans="3:8" x14ac:dyDescent="0.25">
      <c r="C52" s="8"/>
      <c r="D52" s="2" t="s">
        <v>7063</v>
      </c>
      <c r="E52" s="2" t="s">
        <v>1631</v>
      </c>
      <c r="F52" s="35">
        <v>10</v>
      </c>
      <c r="G52" s="14"/>
      <c r="H52" s="9"/>
    </row>
    <row r="53" spans="3:8" x14ac:dyDescent="0.25">
      <c r="C53" s="8"/>
      <c r="D53" s="2" t="s">
        <v>7090</v>
      </c>
      <c r="E53" s="2" t="s">
        <v>1631</v>
      </c>
      <c r="F53" s="35"/>
      <c r="G53" s="14"/>
      <c r="H53" s="9">
        <v>5</v>
      </c>
    </row>
    <row r="54" spans="3:8" x14ac:dyDescent="0.25">
      <c r="C54" s="8"/>
      <c r="D54" s="2" t="s">
        <v>7091</v>
      </c>
      <c r="E54" s="2" t="s">
        <v>1631</v>
      </c>
      <c r="F54" s="35"/>
      <c r="G54" s="14"/>
      <c r="H54" s="9">
        <v>8</v>
      </c>
    </row>
    <row r="55" spans="3:8" x14ac:dyDescent="0.25">
      <c r="C55" s="8"/>
      <c r="D55" s="2" t="s">
        <v>7092</v>
      </c>
      <c r="E55" s="2" t="s">
        <v>1631</v>
      </c>
      <c r="F55" s="35"/>
      <c r="G55" s="14"/>
      <c r="H55" s="9">
        <v>8</v>
      </c>
    </row>
    <row r="56" spans="3:8" x14ac:dyDescent="0.25">
      <c r="C56" s="8"/>
      <c r="D56" s="2" t="s">
        <v>7093</v>
      </c>
      <c r="E56" s="2"/>
      <c r="F56" s="35"/>
      <c r="G56" s="14"/>
      <c r="H56" s="9"/>
    </row>
    <row r="57" spans="3:8" x14ac:dyDescent="0.25">
      <c r="C57" s="8"/>
      <c r="D57" s="2" t="s">
        <v>7094</v>
      </c>
      <c r="E57" s="2"/>
      <c r="F57" s="35"/>
      <c r="G57" s="14"/>
      <c r="H57" s="9"/>
    </row>
    <row r="58" spans="3:8" x14ac:dyDescent="0.25">
      <c r="C58" s="8"/>
      <c r="D58" s="2"/>
      <c r="E58" s="2"/>
      <c r="F58" s="35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45" t="s">
        <v>7023</v>
      </c>
      <c r="E61" s="68" t="s">
        <v>7024</v>
      </c>
      <c r="F61" s="4">
        <v>325</v>
      </c>
      <c r="G61" s="14"/>
      <c r="H61" s="9"/>
    </row>
    <row r="62" spans="3:8" x14ac:dyDescent="0.25">
      <c r="C62" s="8"/>
      <c r="D62" s="45" t="s">
        <v>7025</v>
      </c>
      <c r="E62" s="68" t="s">
        <v>5266</v>
      </c>
      <c r="F62" s="4"/>
      <c r="G62" s="14"/>
      <c r="H62" s="9">
        <v>118.5</v>
      </c>
    </row>
    <row r="63" spans="3:8" x14ac:dyDescent="0.25">
      <c r="C63" s="8"/>
      <c r="D63" s="45" t="s">
        <v>7026</v>
      </c>
      <c r="E63" s="68" t="s">
        <v>6575</v>
      </c>
      <c r="F63" s="4"/>
      <c r="G63" s="14"/>
      <c r="H63" s="9">
        <v>3840</v>
      </c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76" t="s">
        <v>7065</v>
      </c>
      <c r="F72" s="35">
        <v>100</v>
      </c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4"/>
      <c r="G76" s="14"/>
      <c r="H76" s="9"/>
    </row>
    <row r="77" spans="3:8" x14ac:dyDescent="0.25">
      <c r="C77" s="34"/>
      <c r="D77" s="42"/>
      <c r="E77" s="68" t="s">
        <v>7021</v>
      </c>
      <c r="F77" s="14">
        <v>-646</v>
      </c>
      <c r="G77" s="14"/>
      <c r="H77" s="9"/>
    </row>
    <row r="78" spans="3:8" x14ac:dyDescent="0.25">
      <c r="C78" s="34"/>
      <c r="D78" s="42"/>
      <c r="E78" s="68" t="s">
        <v>7022</v>
      </c>
      <c r="F78" s="14">
        <v>-100</v>
      </c>
      <c r="G78" s="14"/>
      <c r="H78" s="9"/>
    </row>
    <row r="79" spans="3:8" x14ac:dyDescent="0.25">
      <c r="C79" s="34"/>
      <c r="D79" s="42"/>
      <c r="E79" s="68" t="s">
        <v>7083</v>
      </c>
      <c r="F79" s="14">
        <v>-75</v>
      </c>
      <c r="G79" s="14"/>
      <c r="H79" s="9"/>
    </row>
    <row r="80" spans="3:8" x14ac:dyDescent="0.25">
      <c r="C80" s="34"/>
      <c r="D80" s="42"/>
      <c r="E80" s="68" t="s">
        <v>7084</v>
      </c>
      <c r="F80" s="14">
        <v>-225</v>
      </c>
      <c r="G80" s="14"/>
      <c r="H80" s="9"/>
    </row>
    <row r="81" spans="3:8" x14ac:dyDescent="0.25">
      <c r="C81" s="34"/>
      <c r="D81" s="42" t="s">
        <v>7086</v>
      </c>
      <c r="E81" s="68" t="s">
        <v>7085</v>
      </c>
      <c r="F81" s="14">
        <v>-2570</v>
      </c>
      <c r="G81" s="14"/>
      <c r="H81" s="9"/>
    </row>
    <row r="82" spans="3:8" x14ac:dyDescent="0.25">
      <c r="C82" s="34"/>
      <c r="D82" s="42"/>
      <c r="E82" s="68" t="s">
        <v>1274</v>
      </c>
      <c r="F82" s="14">
        <v>-4180.25</v>
      </c>
      <c r="G82" s="14"/>
      <c r="H82" s="9"/>
    </row>
    <row r="83" spans="3:8" x14ac:dyDescent="0.25">
      <c r="C83" s="34"/>
      <c r="D83" s="42"/>
      <c r="E83" s="68"/>
      <c r="F83" s="14"/>
      <c r="G83" s="14"/>
      <c r="H83" s="9"/>
    </row>
    <row r="84" spans="3:8" x14ac:dyDescent="0.25">
      <c r="C84" s="34"/>
      <c r="D84" s="42"/>
      <c r="E84" s="68" t="s">
        <v>7066</v>
      </c>
      <c r="F84" s="14">
        <v>-70</v>
      </c>
      <c r="G84" s="14"/>
      <c r="H84" s="9"/>
    </row>
    <row r="85" spans="3:8" x14ac:dyDescent="0.25">
      <c r="C85" s="34"/>
      <c r="D85" s="42"/>
      <c r="E85" s="68" t="s">
        <v>7067</v>
      </c>
      <c r="F85" s="14">
        <v>-30</v>
      </c>
      <c r="G85" s="14"/>
      <c r="H85" s="9"/>
    </row>
    <row r="86" spans="3:8" x14ac:dyDescent="0.25">
      <c r="C86" s="34"/>
      <c r="D86" s="42"/>
      <c r="E86" s="68" t="s">
        <v>7098</v>
      </c>
      <c r="F86" s="14">
        <v>-170</v>
      </c>
      <c r="G86" s="14"/>
      <c r="H86" s="9"/>
    </row>
    <row r="87" spans="3:8" x14ac:dyDescent="0.25">
      <c r="C87" s="34"/>
      <c r="D87" s="42"/>
      <c r="E87" s="68" t="s">
        <v>7068</v>
      </c>
      <c r="F87" s="14">
        <v>-30</v>
      </c>
      <c r="G87" s="14"/>
      <c r="H87" s="9"/>
    </row>
    <row r="88" spans="3:8" x14ac:dyDescent="0.25">
      <c r="C88" s="34"/>
      <c r="D88" s="42"/>
      <c r="E88" s="68" t="s">
        <v>7069</v>
      </c>
      <c r="F88" s="14">
        <v>-100</v>
      </c>
      <c r="G88" s="14"/>
      <c r="H88" s="9"/>
    </row>
    <row r="89" spans="3:8" x14ac:dyDescent="0.25">
      <c r="C89" s="34"/>
      <c r="D89" s="42"/>
      <c r="E89" s="68" t="s">
        <v>7070</v>
      </c>
      <c r="F89" s="14">
        <v>-8</v>
      </c>
      <c r="G89" s="14"/>
      <c r="H89" s="9"/>
    </row>
    <row r="90" spans="3:8" x14ac:dyDescent="0.25">
      <c r="C90" s="34"/>
      <c r="D90" s="42"/>
      <c r="E90" s="68" t="s">
        <v>7095</v>
      </c>
      <c r="F90" s="14">
        <v>-500</v>
      </c>
      <c r="G90" s="14"/>
      <c r="H90" s="9"/>
    </row>
    <row r="91" spans="3:8" x14ac:dyDescent="0.25">
      <c r="C91" s="34"/>
      <c r="D91" s="42"/>
      <c r="E91" s="68" t="s">
        <v>7096</v>
      </c>
      <c r="F91" s="14">
        <v>-60</v>
      </c>
      <c r="G91" s="14"/>
      <c r="H91" s="9"/>
    </row>
    <row r="92" spans="3:8" x14ac:dyDescent="0.25">
      <c r="C92" s="34"/>
      <c r="D92" s="42"/>
      <c r="E92" s="68" t="s">
        <v>5743</v>
      </c>
      <c r="F92" s="14">
        <v>-5</v>
      </c>
      <c r="G92" s="14"/>
      <c r="H92" s="9"/>
    </row>
    <row r="93" spans="3:8" x14ac:dyDescent="0.25">
      <c r="C93" s="34"/>
      <c r="D93" s="42"/>
      <c r="E93" s="68" t="s">
        <v>7097</v>
      </c>
      <c r="F93" s="14">
        <v>-110</v>
      </c>
      <c r="G93" s="14"/>
      <c r="H93" s="9"/>
    </row>
    <row r="94" spans="3:8" x14ac:dyDescent="0.25">
      <c r="C94" s="34"/>
      <c r="D94" s="42"/>
      <c r="E94" s="68"/>
      <c r="F94" s="14"/>
      <c r="G94" s="14"/>
      <c r="H94" s="9"/>
    </row>
    <row r="95" spans="3:8" x14ac:dyDescent="0.25">
      <c r="C95" s="34"/>
      <c r="D95" s="42"/>
      <c r="E95" s="68"/>
      <c r="F95" s="14"/>
      <c r="G95" s="14"/>
      <c r="H95" s="9"/>
    </row>
    <row r="96" spans="3:8" ht="15.75" thickBot="1" x14ac:dyDescent="0.3">
      <c r="C96" s="10"/>
      <c r="D96" s="11"/>
      <c r="E96" s="11" t="s">
        <v>44</v>
      </c>
      <c r="F96" s="12">
        <f>SUM(F6:F95)</f>
        <v>-6926.35</v>
      </c>
      <c r="G96" s="15">
        <f>SUM(G9:G95)</f>
        <v>8167.6</v>
      </c>
      <c r="H96" s="13">
        <f>SUM(H9:H95)</f>
        <v>12025.2</v>
      </c>
    </row>
    <row r="99" spans="3:11" s="3" customFormat="1" ht="18.75" x14ac:dyDescent="0.3">
      <c r="C99" s="1"/>
      <c r="D99" s="1"/>
      <c r="E99" s="38" t="s">
        <v>49</v>
      </c>
      <c r="F99" s="39">
        <f>+H4+F96</f>
        <v>5159.7799999999988</v>
      </c>
      <c r="K99" s="3">
        <v>5159.78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0240-7E33-4A35-95D0-0122CB77C42E}">
  <sheetPr codeName="Hoja88"/>
  <dimension ref="C2:J90"/>
  <sheetViews>
    <sheetView topLeftCell="B65" zoomScaleNormal="100" workbookViewId="0">
      <selection activeCell="F90" sqref="F90"/>
    </sheetView>
  </sheetViews>
  <sheetFormatPr baseColWidth="10" defaultRowHeight="15" x14ac:dyDescent="0.25"/>
  <cols>
    <col min="3" max="3" width="11" style="1" customWidth="1"/>
    <col min="4" max="4" width="29.5703125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7099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3">
        <v>5159.78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7108</v>
      </c>
      <c r="E6" s="2" t="s">
        <v>5678</v>
      </c>
      <c r="F6" s="109">
        <v>26</v>
      </c>
      <c r="G6" s="113"/>
      <c r="H6" s="112"/>
    </row>
    <row r="7" spans="3:10" x14ac:dyDescent="0.25">
      <c r="C7" s="24"/>
      <c r="D7" s="2" t="s">
        <v>7109</v>
      </c>
      <c r="E7" s="2" t="s">
        <v>5678</v>
      </c>
      <c r="F7" s="109">
        <v>5</v>
      </c>
      <c r="G7" s="113"/>
      <c r="H7" s="112"/>
      <c r="J7" s="36"/>
    </row>
    <row r="8" spans="3:10" x14ac:dyDescent="0.25">
      <c r="C8" s="24"/>
      <c r="D8" s="2" t="s">
        <v>7110</v>
      </c>
      <c r="E8" s="2" t="s">
        <v>6751</v>
      </c>
      <c r="F8" s="109"/>
      <c r="G8" s="113"/>
      <c r="H8" s="112">
        <v>137.5</v>
      </c>
    </row>
    <row r="9" spans="3:10" x14ac:dyDescent="0.25">
      <c r="C9" s="8"/>
      <c r="D9" s="2" t="s">
        <v>7111</v>
      </c>
      <c r="E9" s="2" t="s">
        <v>5678</v>
      </c>
      <c r="F9" s="4">
        <v>10</v>
      </c>
      <c r="G9" s="14"/>
      <c r="H9" s="9"/>
    </row>
    <row r="10" spans="3:10" x14ac:dyDescent="0.25">
      <c r="C10" s="8"/>
      <c r="D10" s="2" t="s">
        <v>7112</v>
      </c>
      <c r="E10" s="2" t="s">
        <v>5678</v>
      </c>
      <c r="F10" s="4"/>
      <c r="G10" s="14"/>
      <c r="H10" s="9">
        <v>3</v>
      </c>
    </row>
    <row r="11" spans="3:10" x14ac:dyDescent="0.25">
      <c r="C11" s="8"/>
      <c r="D11" s="2" t="s">
        <v>7113</v>
      </c>
      <c r="E11" s="2" t="s">
        <v>5678</v>
      </c>
      <c r="F11" s="4"/>
      <c r="G11" s="14"/>
      <c r="H11" s="9">
        <v>207</v>
      </c>
    </row>
    <row r="12" spans="3:10" x14ac:dyDescent="0.25">
      <c r="C12" s="8"/>
      <c r="D12" s="2" t="s">
        <v>7114</v>
      </c>
      <c r="E12" s="2" t="s">
        <v>7078</v>
      </c>
      <c r="F12" s="4">
        <v>67.5</v>
      </c>
      <c r="G12" s="14"/>
      <c r="H12" s="9"/>
    </row>
    <row r="13" spans="3:10" x14ac:dyDescent="0.25">
      <c r="C13" s="8"/>
      <c r="D13" s="2" t="s">
        <v>7115</v>
      </c>
      <c r="E13" s="2" t="s">
        <v>7126</v>
      </c>
      <c r="F13" s="4">
        <v>4096.8</v>
      </c>
      <c r="G13" s="14"/>
      <c r="H13" s="9"/>
    </row>
    <row r="14" spans="3:10" x14ac:dyDescent="0.25">
      <c r="C14" s="8"/>
      <c r="D14" s="2" t="s">
        <v>7116</v>
      </c>
      <c r="E14" s="2" t="s">
        <v>6520</v>
      </c>
      <c r="F14" s="4">
        <v>266.5</v>
      </c>
      <c r="G14" s="14"/>
      <c r="H14" s="9"/>
    </row>
    <row r="15" spans="3:10" x14ac:dyDescent="0.25">
      <c r="C15" s="8"/>
      <c r="D15" s="2" t="s">
        <v>7117</v>
      </c>
      <c r="E15" s="40" t="s">
        <v>4388</v>
      </c>
      <c r="F15" s="4">
        <v>214.5</v>
      </c>
      <c r="G15" s="14"/>
      <c r="H15" s="9"/>
    </row>
    <row r="16" spans="3:10" x14ac:dyDescent="0.25">
      <c r="C16" s="8"/>
      <c r="D16" s="2" t="s">
        <v>7118</v>
      </c>
      <c r="E16" s="2" t="s">
        <v>5678</v>
      </c>
      <c r="F16" s="4">
        <v>7</v>
      </c>
      <c r="G16" s="14"/>
      <c r="H16" s="9"/>
    </row>
    <row r="17" spans="3:8" x14ac:dyDescent="0.25">
      <c r="C17" s="8"/>
      <c r="D17" s="2" t="s">
        <v>7119</v>
      </c>
      <c r="E17" s="2" t="s">
        <v>5678</v>
      </c>
      <c r="F17" s="4"/>
      <c r="G17" s="14"/>
      <c r="H17" s="9">
        <v>10</v>
      </c>
    </row>
    <row r="18" spans="3:8" x14ac:dyDescent="0.25">
      <c r="C18" s="8"/>
      <c r="D18" s="2" t="s">
        <v>7120</v>
      </c>
      <c r="E18" s="2" t="s">
        <v>7125</v>
      </c>
      <c r="F18" s="4">
        <v>450</v>
      </c>
      <c r="G18" s="14"/>
      <c r="H18" s="9"/>
    </row>
    <row r="19" spans="3:8" x14ac:dyDescent="0.25">
      <c r="C19" s="8"/>
      <c r="D19" s="2" t="s">
        <v>7121</v>
      </c>
      <c r="E19" s="2" t="s">
        <v>5678</v>
      </c>
      <c r="F19" s="4"/>
      <c r="G19" s="14"/>
      <c r="H19" s="9">
        <v>7</v>
      </c>
    </row>
    <row r="20" spans="3:8" x14ac:dyDescent="0.25">
      <c r="C20" s="8"/>
      <c r="D20" s="2" t="s">
        <v>7122</v>
      </c>
      <c r="E20" s="2" t="s">
        <v>5678</v>
      </c>
      <c r="F20" s="4">
        <v>57.5</v>
      </c>
      <c r="G20" s="14"/>
      <c r="H20" s="9"/>
    </row>
    <row r="21" spans="3:8" x14ac:dyDescent="0.25">
      <c r="C21" s="8"/>
      <c r="D21" s="2" t="s">
        <v>7123</v>
      </c>
      <c r="E21" s="2" t="s">
        <v>5018</v>
      </c>
      <c r="F21" s="4"/>
      <c r="G21" s="14">
        <v>22.5</v>
      </c>
      <c r="H21" s="9"/>
    </row>
    <row r="22" spans="3:8" x14ac:dyDescent="0.25">
      <c r="C22" s="8"/>
      <c r="D22" s="2" t="s">
        <v>7124</v>
      </c>
      <c r="E22" s="2" t="s">
        <v>6874</v>
      </c>
      <c r="F22" s="4"/>
      <c r="G22" s="14">
        <v>930</v>
      </c>
      <c r="H22" s="9"/>
    </row>
    <row r="23" spans="3:8" x14ac:dyDescent="0.25">
      <c r="C23" s="8"/>
      <c r="D23" s="2" t="s">
        <v>7154</v>
      </c>
      <c r="E23" s="2" t="s">
        <v>5678</v>
      </c>
      <c r="F23" s="4">
        <v>67.5</v>
      </c>
      <c r="G23" s="14"/>
      <c r="H23" s="9"/>
    </row>
    <row r="24" spans="3:8" x14ac:dyDescent="0.25">
      <c r="C24" s="8"/>
      <c r="D24" s="2" t="s">
        <v>7155</v>
      </c>
      <c r="E24" s="2" t="s">
        <v>5678</v>
      </c>
      <c r="F24" s="4">
        <v>3</v>
      </c>
      <c r="G24" s="14"/>
      <c r="H24" s="9"/>
    </row>
    <row r="25" spans="3:8" x14ac:dyDescent="0.25">
      <c r="C25" s="8"/>
      <c r="D25" s="2" t="s">
        <v>7156</v>
      </c>
      <c r="E25" s="2" t="s">
        <v>5678</v>
      </c>
      <c r="F25" s="4">
        <v>34.5</v>
      </c>
      <c r="G25" s="14"/>
      <c r="H25" s="9"/>
    </row>
    <row r="26" spans="3:8" x14ac:dyDescent="0.25">
      <c r="C26" s="8"/>
      <c r="D26" s="2" t="s">
        <v>7157</v>
      </c>
      <c r="E26" s="2" t="s">
        <v>5678</v>
      </c>
      <c r="F26" s="4">
        <v>12</v>
      </c>
      <c r="G26" s="14"/>
      <c r="H26" s="9"/>
    </row>
    <row r="27" spans="3:8" x14ac:dyDescent="0.25">
      <c r="C27" s="8"/>
      <c r="D27" s="43" t="s">
        <v>7167</v>
      </c>
      <c r="E27" s="43" t="s">
        <v>2381</v>
      </c>
      <c r="F27" s="4"/>
      <c r="G27" s="14"/>
      <c r="H27" s="9"/>
    </row>
    <row r="28" spans="3:8" x14ac:dyDescent="0.25">
      <c r="C28" s="8"/>
      <c r="D28" s="2" t="s">
        <v>7175</v>
      </c>
      <c r="E28" s="2" t="s">
        <v>7176</v>
      </c>
      <c r="F28" s="4"/>
      <c r="G28" s="14">
        <v>3558.5</v>
      </c>
      <c r="H28" s="9"/>
    </row>
    <row r="29" spans="3:8" x14ac:dyDescent="0.25">
      <c r="C29" s="8"/>
      <c r="D29" s="2" t="s">
        <v>7093</v>
      </c>
      <c r="E29" s="2" t="s">
        <v>7144</v>
      </c>
      <c r="F29" s="35"/>
      <c r="G29" s="14"/>
      <c r="H29" s="9">
        <v>440</v>
      </c>
    </row>
    <row r="30" spans="3:8" x14ac:dyDescent="0.25">
      <c r="C30" s="8"/>
      <c r="D30" s="2" t="s">
        <v>7094</v>
      </c>
      <c r="E30" s="2" t="s">
        <v>5307</v>
      </c>
      <c r="F30" s="35"/>
      <c r="G30" s="14"/>
      <c r="H30" s="9">
        <v>175.5</v>
      </c>
    </row>
    <row r="31" spans="3:8" x14ac:dyDescent="0.25">
      <c r="C31" s="8"/>
      <c r="D31" s="2" t="s">
        <v>7127</v>
      </c>
      <c r="E31" s="2" t="s">
        <v>7146</v>
      </c>
      <c r="F31" s="35">
        <v>5</v>
      </c>
      <c r="G31" s="14"/>
      <c r="H31" s="9"/>
    </row>
    <row r="32" spans="3:8" x14ac:dyDescent="0.25">
      <c r="C32" s="8"/>
      <c r="D32" s="2" t="s">
        <v>7128</v>
      </c>
      <c r="E32" s="2" t="s">
        <v>7146</v>
      </c>
      <c r="F32" s="35">
        <v>18</v>
      </c>
      <c r="G32" s="14"/>
      <c r="H32" s="9"/>
    </row>
    <row r="33" spans="3:8" x14ac:dyDescent="0.25">
      <c r="C33" s="8"/>
      <c r="D33" s="2" t="s">
        <v>7129</v>
      </c>
      <c r="E33" s="2" t="s">
        <v>7146</v>
      </c>
      <c r="F33" s="35">
        <v>11</v>
      </c>
      <c r="G33" s="14"/>
      <c r="H33" s="9"/>
    </row>
    <row r="34" spans="3:8" x14ac:dyDescent="0.25">
      <c r="C34" s="8"/>
      <c r="D34" s="2" t="s">
        <v>7130</v>
      </c>
      <c r="E34" s="2" t="s">
        <v>7146</v>
      </c>
      <c r="F34" s="35">
        <v>78</v>
      </c>
      <c r="G34" s="14"/>
      <c r="H34" s="9"/>
    </row>
    <row r="35" spans="3:8" x14ac:dyDescent="0.25">
      <c r="C35" s="8"/>
      <c r="D35" s="2" t="s">
        <v>7131</v>
      </c>
      <c r="E35" s="2" t="s">
        <v>7146</v>
      </c>
      <c r="F35" s="35"/>
      <c r="G35" s="14"/>
      <c r="H35" s="9">
        <v>3.5</v>
      </c>
    </row>
    <row r="36" spans="3:8" x14ac:dyDescent="0.25">
      <c r="C36" s="8"/>
      <c r="D36" s="2" t="s">
        <v>7132</v>
      </c>
      <c r="E36" s="2" t="s">
        <v>7146</v>
      </c>
      <c r="F36" s="35">
        <v>8</v>
      </c>
      <c r="G36" s="14"/>
      <c r="H36" s="9"/>
    </row>
    <row r="37" spans="3:8" x14ac:dyDescent="0.25">
      <c r="C37" s="8"/>
      <c r="D37" s="2" t="s">
        <v>7133</v>
      </c>
      <c r="E37" s="2" t="s">
        <v>7145</v>
      </c>
      <c r="F37" s="35"/>
      <c r="G37" s="14"/>
      <c r="H37" s="9">
        <v>194</v>
      </c>
    </row>
    <row r="38" spans="3:8" x14ac:dyDescent="0.25">
      <c r="C38" s="8"/>
      <c r="D38" s="2" t="s">
        <v>7134</v>
      </c>
      <c r="E38" s="2" t="s">
        <v>5802</v>
      </c>
      <c r="F38" s="35">
        <v>18218.5</v>
      </c>
      <c r="G38" s="14"/>
      <c r="H38" s="9"/>
    </row>
    <row r="39" spans="3:8" x14ac:dyDescent="0.25">
      <c r="C39" s="8"/>
      <c r="D39" s="2" t="s">
        <v>7135</v>
      </c>
      <c r="E39" s="2" t="s">
        <v>7146</v>
      </c>
      <c r="F39" s="35">
        <v>45</v>
      </c>
      <c r="G39" s="14"/>
      <c r="H39" s="9"/>
    </row>
    <row r="40" spans="3:8" x14ac:dyDescent="0.25">
      <c r="C40" s="8"/>
      <c r="D40" s="2" t="s">
        <v>7136</v>
      </c>
      <c r="E40" s="2" t="s">
        <v>7146</v>
      </c>
      <c r="F40" s="35">
        <v>6</v>
      </c>
      <c r="G40" s="14"/>
      <c r="H40" s="9"/>
    </row>
    <row r="41" spans="3:8" x14ac:dyDescent="0.25">
      <c r="C41" s="8"/>
      <c r="D41" s="2" t="s">
        <v>7137</v>
      </c>
      <c r="E41" s="2" t="s">
        <v>7146</v>
      </c>
      <c r="F41" s="35">
        <v>20</v>
      </c>
      <c r="G41" s="14"/>
      <c r="H41" s="9"/>
    </row>
    <row r="42" spans="3:8" x14ac:dyDescent="0.25">
      <c r="C42" s="8"/>
      <c r="D42" s="2" t="s">
        <v>7138</v>
      </c>
      <c r="E42" s="2" t="s">
        <v>7146</v>
      </c>
      <c r="F42" s="35">
        <v>18</v>
      </c>
      <c r="G42" s="14"/>
      <c r="H42" s="9"/>
    </row>
    <row r="43" spans="3:8" x14ac:dyDescent="0.25">
      <c r="C43" s="8"/>
      <c r="D43" s="2" t="s">
        <v>7139</v>
      </c>
      <c r="E43" s="2" t="s">
        <v>7146</v>
      </c>
      <c r="F43" s="35">
        <v>1</v>
      </c>
      <c r="G43" s="14"/>
      <c r="H43" s="9"/>
    </row>
    <row r="44" spans="3:8" x14ac:dyDescent="0.25">
      <c r="C44" s="8"/>
      <c r="D44" s="2" t="s">
        <v>7140</v>
      </c>
      <c r="E44" s="2" t="s">
        <v>6278</v>
      </c>
      <c r="F44" s="35"/>
      <c r="G44" s="14"/>
      <c r="H44" s="9">
        <v>16.399999999999999</v>
      </c>
    </row>
    <row r="45" spans="3:8" x14ac:dyDescent="0.25">
      <c r="C45" s="8"/>
      <c r="D45" s="2" t="s">
        <v>7141</v>
      </c>
      <c r="E45" s="2" t="s">
        <v>7146</v>
      </c>
      <c r="F45" s="35"/>
      <c r="G45" s="14"/>
      <c r="H45" s="9">
        <v>20</v>
      </c>
    </row>
    <row r="46" spans="3:8" x14ac:dyDescent="0.25">
      <c r="C46" s="8"/>
      <c r="D46" s="2" t="s">
        <v>7142</v>
      </c>
      <c r="E46" s="2" t="s">
        <v>7146</v>
      </c>
      <c r="F46" s="35"/>
      <c r="G46" s="14"/>
      <c r="H46" s="9">
        <v>25</v>
      </c>
    </row>
    <row r="47" spans="3:8" x14ac:dyDescent="0.25">
      <c r="C47" s="8"/>
      <c r="D47" s="2" t="s">
        <v>7143</v>
      </c>
      <c r="E47" s="2" t="s">
        <v>7146</v>
      </c>
      <c r="F47" s="35">
        <v>5</v>
      </c>
      <c r="G47" s="14"/>
      <c r="H47" s="9"/>
    </row>
    <row r="48" spans="3:8" x14ac:dyDescent="0.25">
      <c r="C48" s="8"/>
      <c r="D48" s="2" t="s">
        <v>7158</v>
      </c>
      <c r="E48" s="2" t="s">
        <v>5951</v>
      </c>
      <c r="F48" s="35"/>
      <c r="G48" s="14"/>
      <c r="H48" s="9">
        <v>545</v>
      </c>
    </row>
    <row r="49" spans="3:8" x14ac:dyDescent="0.25">
      <c r="C49" s="8"/>
      <c r="D49" s="2" t="s">
        <v>7159</v>
      </c>
      <c r="E49" s="2" t="s">
        <v>7162</v>
      </c>
      <c r="F49" s="35">
        <v>202.5</v>
      </c>
      <c r="G49" s="14"/>
      <c r="H49" s="9"/>
    </row>
    <row r="50" spans="3:8" x14ac:dyDescent="0.25">
      <c r="C50" s="8"/>
      <c r="D50" s="2" t="s">
        <v>7160</v>
      </c>
      <c r="E50" s="2" t="s">
        <v>7161</v>
      </c>
      <c r="F50" s="35"/>
      <c r="G50" s="14">
        <v>27048</v>
      </c>
      <c r="H50" s="9"/>
    </row>
    <row r="51" spans="3:8" x14ac:dyDescent="0.25">
      <c r="C51" s="8"/>
      <c r="D51" s="2" t="s">
        <v>7165</v>
      </c>
      <c r="E51" s="2" t="s">
        <v>7146</v>
      </c>
      <c r="F51" s="35">
        <v>3.5</v>
      </c>
      <c r="G51" s="14"/>
      <c r="H51" s="9"/>
    </row>
    <row r="52" spans="3:8" x14ac:dyDescent="0.25">
      <c r="C52" s="8"/>
      <c r="D52" s="2" t="s">
        <v>7199</v>
      </c>
      <c r="E52" s="2"/>
      <c r="F52" s="35"/>
      <c r="G52" s="14"/>
      <c r="H52" s="9"/>
    </row>
    <row r="53" spans="3:8" x14ac:dyDescent="0.25">
      <c r="C53" s="8"/>
      <c r="D53" s="2"/>
      <c r="E53" s="2"/>
      <c r="F53" s="35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29"/>
      <c r="D55" s="30"/>
      <c r="E55" s="30" t="s">
        <v>60</v>
      </c>
      <c r="F55" s="4"/>
      <c r="G55" s="14"/>
      <c r="H55" s="9"/>
    </row>
    <row r="56" spans="3:8" x14ac:dyDescent="0.25">
      <c r="C56" s="8"/>
      <c r="D56" s="45" t="s">
        <v>7102</v>
      </c>
      <c r="E56" s="68" t="s">
        <v>7103</v>
      </c>
      <c r="F56" s="4"/>
      <c r="G56" s="14"/>
      <c r="H56" s="9">
        <v>10</v>
      </c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45" t="s">
        <v>7105</v>
      </c>
      <c r="E58" s="68" t="s">
        <v>7104</v>
      </c>
      <c r="F58" s="4"/>
      <c r="G58" s="14"/>
      <c r="H58" s="9">
        <v>166.5</v>
      </c>
    </row>
    <row r="59" spans="3:8" x14ac:dyDescent="0.25">
      <c r="C59" s="8"/>
      <c r="D59" s="45" t="s">
        <v>7107</v>
      </c>
      <c r="E59" s="68" t="s">
        <v>7106</v>
      </c>
      <c r="F59" s="4"/>
      <c r="G59" s="14"/>
      <c r="H59" s="9">
        <v>50</v>
      </c>
    </row>
    <row r="60" spans="3:8" x14ac:dyDescent="0.25">
      <c r="C60" s="8"/>
      <c r="D60" s="45"/>
      <c r="E60" s="68"/>
      <c r="F60" s="4"/>
      <c r="G60" s="14"/>
      <c r="H60" s="9"/>
    </row>
    <row r="61" spans="3:8" x14ac:dyDescent="0.25">
      <c r="C61" s="8"/>
      <c r="D61" s="45"/>
      <c r="E61" s="68"/>
      <c r="F61" s="4"/>
      <c r="G61" s="14"/>
      <c r="H61" s="9"/>
    </row>
    <row r="62" spans="3:8" x14ac:dyDescent="0.25">
      <c r="C62" s="8"/>
      <c r="D62" s="45"/>
      <c r="E62" s="68"/>
      <c r="F62" s="4"/>
      <c r="G62" s="14"/>
      <c r="H62" s="9"/>
    </row>
    <row r="63" spans="3:8" x14ac:dyDescent="0.25">
      <c r="C63" s="8"/>
      <c r="D63" s="45"/>
      <c r="E63" s="68"/>
      <c r="F63" s="4"/>
      <c r="G63" s="14"/>
      <c r="H63" s="9"/>
    </row>
    <row r="64" spans="3:8" x14ac:dyDescent="0.25">
      <c r="C64" s="8"/>
      <c r="D64" s="45"/>
      <c r="E64" s="68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16"/>
      <c r="D66" s="17"/>
      <c r="E66" s="17" t="s">
        <v>39</v>
      </c>
      <c r="F66" s="4"/>
      <c r="G66" s="14"/>
      <c r="H66" s="9"/>
    </row>
    <row r="67" spans="3:8" x14ac:dyDescent="0.25">
      <c r="C67" s="8"/>
      <c r="D67" s="2"/>
      <c r="E67" s="76" t="s">
        <v>7147</v>
      </c>
      <c r="F67" s="35">
        <v>597.5</v>
      </c>
      <c r="G67" s="14"/>
      <c r="H67" s="9"/>
    </row>
    <row r="68" spans="3:8" x14ac:dyDescent="0.25">
      <c r="C68" s="8"/>
      <c r="D68" s="2"/>
      <c r="E68" s="76" t="s">
        <v>7148</v>
      </c>
      <c r="F68" s="35">
        <v>113</v>
      </c>
      <c r="G68" s="14"/>
      <c r="H68" s="9"/>
    </row>
    <row r="69" spans="3:8" x14ac:dyDescent="0.25">
      <c r="C69" s="8"/>
      <c r="D69" s="2"/>
      <c r="E69" s="76" t="s">
        <v>7149</v>
      </c>
      <c r="F69" s="35">
        <v>2560</v>
      </c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19"/>
      <c r="D74" s="20"/>
      <c r="E74" s="20" t="s">
        <v>42</v>
      </c>
      <c r="F74" s="4"/>
      <c r="G74" s="14"/>
      <c r="H74" s="9"/>
    </row>
    <row r="75" spans="3:8" x14ac:dyDescent="0.25">
      <c r="C75" s="34"/>
      <c r="D75" s="42" t="s">
        <v>58</v>
      </c>
      <c r="E75" s="68" t="s">
        <v>7101</v>
      </c>
      <c r="F75" s="14">
        <v>-471</v>
      </c>
      <c r="G75" s="14"/>
      <c r="H75" s="9"/>
    </row>
    <row r="76" spans="3:8" x14ac:dyDescent="0.25">
      <c r="C76" s="34"/>
      <c r="D76" s="42" t="s">
        <v>160</v>
      </c>
      <c r="E76" s="68" t="s">
        <v>7153</v>
      </c>
      <c r="F76" s="14">
        <v>-2100</v>
      </c>
      <c r="G76" s="14"/>
      <c r="H76" s="9"/>
    </row>
    <row r="77" spans="3:8" x14ac:dyDescent="0.25">
      <c r="C77" s="34"/>
      <c r="D77" s="42"/>
      <c r="E77" s="68" t="s">
        <v>7150</v>
      </c>
      <c r="F77" s="14">
        <v>-5500</v>
      </c>
      <c r="G77" s="14"/>
      <c r="H77" s="9"/>
    </row>
    <row r="78" spans="3:8" x14ac:dyDescent="0.25">
      <c r="C78" s="34"/>
      <c r="D78" s="42"/>
      <c r="E78" s="68" t="s">
        <v>7150</v>
      </c>
      <c r="F78" s="14">
        <v>-18500</v>
      </c>
      <c r="G78" s="14"/>
      <c r="H78" s="9"/>
    </row>
    <row r="79" spans="3:8" x14ac:dyDescent="0.25">
      <c r="C79" s="34"/>
      <c r="D79" s="42"/>
      <c r="E79" s="68" t="s">
        <v>7151</v>
      </c>
      <c r="F79" s="14">
        <v>-30</v>
      </c>
      <c r="G79" s="14"/>
      <c r="H79" s="9"/>
    </row>
    <row r="80" spans="3:8" x14ac:dyDescent="0.25">
      <c r="C80" s="34"/>
      <c r="D80" s="42"/>
      <c r="E80" s="68" t="s">
        <v>7152</v>
      </c>
      <c r="F80" s="14">
        <v>-20</v>
      </c>
      <c r="G80" s="14"/>
      <c r="H80" s="9"/>
    </row>
    <row r="81" spans="3:8" x14ac:dyDescent="0.25">
      <c r="C81" s="34"/>
      <c r="D81" s="42"/>
      <c r="E81" s="68" t="s">
        <v>7163</v>
      </c>
      <c r="F81" s="14">
        <v>-25</v>
      </c>
      <c r="G81" s="14"/>
      <c r="H81" s="9"/>
    </row>
    <row r="82" spans="3:8" x14ac:dyDescent="0.25">
      <c r="C82" s="34"/>
      <c r="D82" s="42"/>
      <c r="E82" s="68" t="s">
        <v>7164</v>
      </c>
      <c r="F82" s="14">
        <v>-1400</v>
      </c>
      <c r="G82" s="14"/>
      <c r="H82" s="9"/>
    </row>
    <row r="83" spans="3:8" x14ac:dyDescent="0.25">
      <c r="C83" s="34"/>
      <c r="D83" s="42"/>
      <c r="E83" s="68" t="s">
        <v>7166</v>
      </c>
      <c r="F83" s="14">
        <v>-150</v>
      </c>
      <c r="G83" s="14"/>
      <c r="H83" s="9"/>
    </row>
    <row r="84" spans="3:8" x14ac:dyDescent="0.25">
      <c r="C84" s="34"/>
      <c r="D84" s="42"/>
      <c r="E84" s="68"/>
      <c r="F84" s="14"/>
      <c r="G84" s="14"/>
      <c r="H84" s="9"/>
    </row>
    <row r="85" spans="3:8" x14ac:dyDescent="0.25">
      <c r="C85" s="34"/>
      <c r="D85" s="42"/>
      <c r="E85" s="68"/>
      <c r="F85" s="14"/>
      <c r="G85" s="14"/>
      <c r="H85" s="9"/>
    </row>
    <row r="86" spans="3:8" x14ac:dyDescent="0.25">
      <c r="C86" s="34"/>
      <c r="D86" s="42"/>
      <c r="E86" s="68"/>
      <c r="F86" s="14"/>
      <c r="G86" s="14"/>
      <c r="H86" s="9"/>
    </row>
    <row r="87" spans="3:8" ht="15.75" thickBot="1" x14ac:dyDescent="0.3">
      <c r="C87" s="10"/>
      <c r="D87" s="11"/>
      <c r="E87" s="11" t="s">
        <v>44</v>
      </c>
      <c r="F87" s="12">
        <f>SUM(F6:F86)</f>
        <v>-968.20000000000073</v>
      </c>
      <c r="G87" s="15">
        <f>SUM(G9:G86)</f>
        <v>31559</v>
      </c>
      <c r="H87" s="13">
        <f>SUM(H9:H86)</f>
        <v>1872.9</v>
      </c>
    </row>
    <row r="90" spans="3:8" s="3" customFormat="1" ht="18.75" x14ac:dyDescent="0.3">
      <c r="C90" s="1"/>
      <c r="D90" s="1"/>
      <c r="E90" s="38" t="s">
        <v>49</v>
      </c>
      <c r="F90" s="39">
        <f>+H4+F87</f>
        <v>4191.579999999999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D92C-1393-40F7-A0AF-D16ACEE0931D}">
  <sheetPr codeName="Hoja89"/>
  <dimension ref="C2:J96"/>
  <sheetViews>
    <sheetView topLeftCell="B68" zoomScaleNormal="100" workbookViewId="0">
      <selection activeCell="E85" sqref="E85:F85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7168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4191.58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7177</v>
      </c>
      <c r="E6" s="2" t="s">
        <v>6440</v>
      </c>
      <c r="F6" s="109">
        <v>90</v>
      </c>
      <c r="G6" s="113"/>
      <c r="H6" s="112"/>
    </row>
    <row r="7" spans="3:10" x14ac:dyDescent="0.25">
      <c r="C7" s="24"/>
      <c r="D7" s="2" t="s">
        <v>7178</v>
      </c>
      <c r="E7" s="2" t="s">
        <v>5018</v>
      </c>
      <c r="F7" s="109"/>
      <c r="G7" s="113">
        <v>386</v>
      </c>
      <c r="H7" s="112"/>
      <c r="J7" s="36"/>
    </row>
    <row r="8" spans="3:10" x14ac:dyDescent="0.25">
      <c r="C8" s="24"/>
      <c r="D8" s="2" t="s">
        <v>7179</v>
      </c>
      <c r="E8" s="2" t="s">
        <v>6925</v>
      </c>
      <c r="F8" s="109"/>
      <c r="G8" s="113"/>
      <c r="H8" s="112">
        <v>220.5</v>
      </c>
    </row>
    <row r="9" spans="3:10" x14ac:dyDescent="0.25">
      <c r="C9" s="8"/>
      <c r="D9" s="2" t="s">
        <v>7180</v>
      </c>
      <c r="E9" s="2" t="s">
        <v>7198</v>
      </c>
      <c r="F9" s="4"/>
      <c r="G9" s="14"/>
      <c r="H9" s="9">
        <v>551.4</v>
      </c>
    </row>
    <row r="10" spans="3:10" x14ac:dyDescent="0.25">
      <c r="C10" s="8"/>
      <c r="D10" s="2" t="s">
        <v>7181</v>
      </c>
      <c r="E10" s="2" t="s">
        <v>7198</v>
      </c>
      <c r="F10" s="4"/>
      <c r="G10" s="14"/>
      <c r="H10" s="9">
        <v>26</v>
      </c>
    </row>
    <row r="11" spans="3:10" x14ac:dyDescent="0.25">
      <c r="C11" s="8"/>
      <c r="D11" s="2" t="s">
        <v>7182</v>
      </c>
      <c r="E11" s="2" t="s">
        <v>6440</v>
      </c>
      <c r="F11" s="4">
        <v>10</v>
      </c>
      <c r="G11" s="14"/>
      <c r="H11" s="9"/>
    </row>
    <row r="12" spans="3:10" x14ac:dyDescent="0.25">
      <c r="C12" s="8"/>
      <c r="D12" s="2" t="s">
        <v>7183</v>
      </c>
      <c r="E12" s="2" t="s">
        <v>6440</v>
      </c>
      <c r="F12" s="4">
        <v>30</v>
      </c>
      <c r="G12" s="14"/>
      <c r="H12" s="9"/>
    </row>
    <row r="13" spans="3:10" x14ac:dyDescent="0.25">
      <c r="C13" s="8"/>
      <c r="D13" s="2" t="s">
        <v>7184</v>
      </c>
      <c r="E13" s="2" t="s">
        <v>1152</v>
      </c>
      <c r="F13" s="4">
        <v>55</v>
      </c>
      <c r="G13" s="14"/>
      <c r="H13" s="9"/>
    </row>
    <row r="14" spans="3:10" x14ac:dyDescent="0.25">
      <c r="C14" s="8"/>
      <c r="D14" s="2" t="s">
        <v>7185</v>
      </c>
      <c r="E14" s="2" t="s">
        <v>6440</v>
      </c>
      <c r="F14" s="4">
        <v>10</v>
      </c>
      <c r="G14" s="14"/>
      <c r="H14" s="9"/>
    </row>
    <row r="15" spans="3:10" x14ac:dyDescent="0.25">
      <c r="C15" s="8"/>
      <c r="D15" s="2" t="s">
        <v>7186</v>
      </c>
      <c r="E15" s="40" t="s">
        <v>4545</v>
      </c>
      <c r="F15" s="4"/>
      <c r="G15" s="14"/>
      <c r="H15" s="9">
        <v>1463.4</v>
      </c>
    </row>
    <row r="16" spans="3:10" x14ac:dyDescent="0.25">
      <c r="C16" s="8"/>
      <c r="D16" s="2" t="s">
        <v>7187</v>
      </c>
      <c r="E16" s="2" t="s">
        <v>6440</v>
      </c>
      <c r="F16" s="4">
        <v>5</v>
      </c>
      <c r="G16" s="14"/>
      <c r="H16" s="9"/>
    </row>
    <row r="17" spans="3:8" x14ac:dyDescent="0.25">
      <c r="C17" s="8"/>
      <c r="D17" s="2" t="s">
        <v>7188</v>
      </c>
      <c r="E17" s="2" t="s">
        <v>6440</v>
      </c>
      <c r="F17" s="4"/>
      <c r="G17" s="14"/>
      <c r="H17" s="9">
        <v>27</v>
      </c>
    </row>
    <row r="18" spans="3:8" x14ac:dyDescent="0.25">
      <c r="C18" s="8"/>
      <c r="D18" s="2" t="s">
        <v>7189</v>
      </c>
      <c r="E18" s="2" t="s">
        <v>6440</v>
      </c>
      <c r="F18" s="4">
        <v>5.5</v>
      </c>
      <c r="G18" s="14"/>
      <c r="H18" s="9"/>
    </row>
    <row r="19" spans="3:8" x14ac:dyDescent="0.25">
      <c r="C19" s="8"/>
      <c r="D19" s="2" t="s">
        <v>7190</v>
      </c>
      <c r="E19" s="2" t="s">
        <v>6440</v>
      </c>
      <c r="F19" s="35">
        <v>52.5</v>
      </c>
      <c r="G19" s="14"/>
      <c r="H19" s="9"/>
    </row>
    <row r="20" spans="3:8" x14ac:dyDescent="0.25">
      <c r="C20" s="8"/>
      <c r="D20" s="2" t="s">
        <v>7191</v>
      </c>
      <c r="E20" s="2" t="s">
        <v>6440</v>
      </c>
      <c r="F20" s="35">
        <v>16.5</v>
      </c>
      <c r="G20" s="14"/>
      <c r="H20" s="9"/>
    </row>
    <row r="21" spans="3:8" x14ac:dyDescent="0.25">
      <c r="C21" s="8"/>
      <c r="D21" s="2" t="s">
        <v>7192</v>
      </c>
      <c r="E21" s="2" t="s">
        <v>7197</v>
      </c>
      <c r="F21" s="35">
        <v>91</v>
      </c>
      <c r="G21" s="14"/>
      <c r="H21" s="9">
        <v>67</v>
      </c>
    </row>
    <row r="22" spans="3:8" x14ac:dyDescent="0.25">
      <c r="C22" s="8"/>
      <c r="D22" s="2" t="s">
        <v>7193</v>
      </c>
      <c r="E22" s="2" t="s">
        <v>7196</v>
      </c>
      <c r="F22" s="35">
        <v>300</v>
      </c>
      <c r="G22" s="14">
        <v>115</v>
      </c>
      <c r="H22" s="9"/>
    </row>
    <row r="23" spans="3:8" x14ac:dyDescent="0.25">
      <c r="C23" s="8"/>
      <c r="D23" s="2" t="s">
        <v>7194</v>
      </c>
      <c r="E23" s="2" t="s">
        <v>7195</v>
      </c>
      <c r="F23" s="35">
        <v>690</v>
      </c>
      <c r="G23" s="14"/>
      <c r="H23" s="9"/>
    </row>
    <row r="24" spans="3:8" x14ac:dyDescent="0.25">
      <c r="C24" s="8"/>
      <c r="D24" s="2" t="s">
        <v>7221</v>
      </c>
      <c r="E24" s="2" t="s">
        <v>6440</v>
      </c>
      <c r="F24" s="35"/>
      <c r="G24" s="14"/>
      <c r="H24" s="9">
        <v>27</v>
      </c>
    </row>
    <row r="25" spans="3:8" x14ac:dyDescent="0.25">
      <c r="C25" s="8"/>
      <c r="D25" s="2" t="s">
        <v>7222</v>
      </c>
      <c r="E25" s="2" t="s">
        <v>7229</v>
      </c>
      <c r="F25" s="35"/>
      <c r="G25" s="14">
        <v>5110</v>
      </c>
      <c r="H25" s="9"/>
    </row>
    <row r="26" spans="3:8" x14ac:dyDescent="0.25">
      <c r="C26" s="8"/>
      <c r="D26" s="2" t="s">
        <v>7223</v>
      </c>
      <c r="E26" s="2" t="s">
        <v>6440</v>
      </c>
      <c r="F26" s="35">
        <v>122</v>
      </c>
      <c r="G26" s="14"/>
      <c r="H26" s="9"/>
    </row>
    <row r="27" spans="3:8" x14ac:dyDescent="0.25">
      <c r="C27" s="8"/>
      <c r="D27" s="2" t="s">
        <v>7224</v>
      </c>
      <c r="E27" s="2" t="s">
        <v>6440</v>
      </c>
      <c r="F27" s="35">
        <v>7</v>
      </c>
      <c r="G27" s="14"/>
      <c r="H27" s="9"/>
    </row>
    <row r="28" spans="3:8" x14ac:dyDescent="0.25">
      <c r="C28" s="8"/>
      <c r="D28" s="2" t="s">
        <v>7225</v>
      </c>
      <c r="E28" s="2" t="s">
        <v>6440</v>
      </c>
      <c r="F28" s="35">
        <v>1</v>
      </c>
      <c r="G28" s="14"/>
      <c r="H28" s="9"/>
    </row>
    <row r="29" spans="3:8" x14ac:dyDescent="0.25">
      <c r="C29" s="8"/>
      <c r="D29" s="2" t="s">
        <v>7226</v>
      </c>
      <c r="E29" s="2" t="s">
        <v>5733</v>
      </c>
      <c r="F29" s="35"/>
      <c r="G29" s="14">
        <v>494.15</v>
      </c>
      <c r="H29" s="9"/>
    </row>
    <row r="30" spans="3:8" x14ac:dyDescent="0.25">
      <c r="C30" s="8"/>
      <c r="D30" s="2" t="s">
        <v>7227</v>
      </c>
      <c r="E30" s="2" t="s">
        <v>136</v>
      </c>
      <c r="F30" s="35"/>
      <c r="G30" s="14">
        <v>4187.5</v>
      </c>
      <c r="H30" s="9"/>
    </row>
    <row r="31" spans="3:8" x14ac:dyDescent="0.25">
      <c r="C31" s="8"/>
      <c r="D31" s="2" t="s">
        <v>7228</v>
      </c>
      <c r="E31" s="2" t="s">
        <v>4620</v>
      </c>
      <c r="F31" s="35"/>
      <c r="G31" s="14">
        <v>56</v>
      </c>
      <c r="H31" s="9"/>
    </row>
    <row r="32" spans="3:8" x14ac:dyDescent="0.25">
      <c r="C32" s="8"/>
      <c r="D32" s="2" t="s">
        <v>7253</v>
      </c>
      <c r="E32" s="2"/>
      <c r="F32" s="35"/>
      <c r="G32" s="14"/>
      <c r="H32" s="9"/>
    </row>
    <row r="33" spans="3:8" x14ac:dyDescent="0.25">
      <c r="C33" s="8"/>
      <c r="D33" s="2"/>
      <c r="E33" s="2"/>
      <c r="F33" s="35"/>
      <c r="G33" s="14"/>
      <c r="H33" s="9"/>
    </row>
    <row r="34" spans="3:8" x14ac:dyDescent="0.25">
      <c r="C34" s="8"/>
      <c r="D34" s="2" t="s">
        <v>7199</v>
      </c>
      <c r="E34" s="2" t="s">
        <v>6393</v>
      </c>
      <c r="F34" s="35"/>
      <c r="G34" s="14"/>
      <c r="H34" s="9">
        <v>2652</v>
      </c>
    </row>
    <row r="35" spans="3:8" x14ac:dyDescent="0.25">
      <c r="C35" s="8"/>
      <c r="D35" s="2" t="s">
        <v>7200</v>
      </c>
      <c r="E35" s="2" t="s">
        <v>6085</v>
      </c>
      <c r="F35" s="35"/>
      <c r="G35" s="14"/>
      <c r="H35" s="9">
        <v>1590</v>
      </c>
    </row>
    <row r="36" spans="3:8" x14ac:dyDescent="0.25">
      <c r="C36" s="8"/>
      <c r="D36" s="2" t="s">
        <v>7201</v>
      </c>
      <c r="E36" s="2" t="s">
        <v>6278</v>
      </c>
      <c r="F36" s="35"/>
      <c r="G36" s="14"/>
      <c r="H36" s="9">
        <v>16.399999999999999</v>
      </c>
    </row>
    <row r="37" spans="3:8" x14ac:dyDescent="0.25">
      <c r="C37" s="8"/>
      <c r="D37" s="2" t="s">
        <v>7202</v>
      </c>
      <c r="E37" s="2" t="s">
        <v>1631</v>
      </c>
      <c r="F37" s="35">
        <v>17</v>
      </c>
      <c r="G37" s="14"/>
      <c r="H37" s="9"/>
    </row>
    <row r="38" spans="3:8" x14ac:dyDescent="0.25">
      <c r="C38" s="8"/>
      <c r="D38" s="2" t="s">
        <v>7203</v>
      </c>
      <c r="E38" s="2" t="s">
        <v>1631</v>
      </c>
      <c r="F38" s="35">
        <v>4.5</v>
      </c>
      <c r="G38" s="14"/>
      <c r="H38" s="9"/>
    </row>
    <row r="39" spans="3:8" x14ac:dyDescent="0.25">
      <c r="C39" s="8"/>
      <c r="D39" s="2" t="s">
        <v>7204</v>
      </c>
      <c r="E39" s="2" t="s">
        <v>1631</v>
      </c>
      <c r="F39" s="35">
        <v>1.5</v>
      </c>
      <c r="G39" s="14"/>
      <c r="H39" s="9"/>
    </row>
    <row r="40" spans="3:8" x14ac:dyDescent="0.25">
      <c r="C40" s="8"/>
      <c r="D40" s="2" t="s">
        <v>7205</v>
      </c>
      <c r="E40" s="2" t="s">
        <v>1631</v>
      </c>
      <c r="F40" s="35">
        <v>1</v>
      </c>
      <c r="G40" s="14"/>
      <c r="H40" s="9"/>
    </row>
    <row r="41" spans="3:8" x14ac:dyDescent="0.25">
      <c r="C41" s="8"/>
      <c r="D41" s="2" t="s">
        <v>7206</v>
      </c>
      <c r="E41" s="2" t="s">
        <v>1631</v>
      </c>
      <c r="F41" s="35">
        <v>61</v>
      </c>
      <c r="G41" s="14"/>
      <c r="H41" s="9"/>
    </row>
    <row r="42" spans="3:8" x14ac:dyDescent="0.25">
      <c r="C42" s="8"/>
      <c r="D42" s="2" t="s">
        <v>7207</v>
      </c>
      <c r="E42" s="2" t="s">
        <v>1631</v>
      </c>
      <c r="F42" s="35">
        <v>12</v>
      </c>
      <c r="G42" s="14"/>
      <c r="H42" s="9"/>
    </row>
    <row r="43" spans="3:8" x14ac:dyDescent="0.25">
      <c r="C43" s="8"/>
      <c r="D43" s="2" t="s">
        <v>7208</v>
      </c>
      <c r="E43" s="2" t="s">
        <v>5307</v>
      </c>
      <c r="F43" s="35"/>
      <c r="G43" s="14"/>
      <c r="H43" s="9">
        <v>140</v>
      </c>
    </row>
    <row r="44" spans="3:8" x14ac:dyDescent="0.25">
      <c r="C44" s="8"/>
      <c r="D44" s="2" t="s">
        <v>7209</v>
      </c>
      <c r="E44" s="2" t="s">
        <v>1631</v>
      </c>
      <c r="F44" s="35">
        <v>30</v>
      </c>
      <c r="G44" s="14"/>
      <c r="H44" s="9"/>
    </row>
    <row r="45" spans="3:8" x14ac:dyDescent="0.25">
      <c r="C45" s="8"/>
      <c r="D45" s="2" t="s">
        <v>7210</v>
      </c>
      <c r="E45" s="2" t="s">
        <v>1631</v>
      </c>
      <c r="F45" s="35"/>
      <c r="G45" s="14"/>
      <c r="H45" s="9">
        <v>5</v>
      </c>
    </row>
    <row r="46" spans="3:8" x14ac:dyDescent="0.25">
      <c r="C46" s="8"/>
      <c r="D46" s="2" t="s">
        <v>7211</v>
      </c>
      <c r="E46" s="2" t="s">
        <v>7161</v>
      </c>
      <c r="F46" s="35"/>
      <c r="G46" s="14">
        <v>1570</v>
      </c>
      <c r="H46" s="9"/>
    </row>
    <row r="47" spans="3:8" x14ac:dyDescent="0.25">
      <c r="C47" s="8"/>
      <c r="D47" s="2" t="s">
        <v>7212</v>
      </c>
      <c r="E47" s="2" t="s">
        <v>7214</v>
      </c>
      <c r="F47" s="35"/>
      <c r="G47" s="14">
        <v>96</v>
      </c>
      <c r="H47" s="9"/>
    </row>
    <row r="48" spans="3:8" x14ac:dyDescent="0.25">
      <c r="C48" s="8"/>
      <c r="D48" s="2" t="s">
        <v>7213</v>
      </c>
      <c r="E48" s="2" t="s">
        <v>628</v>
      </c>
      <c r="F48" s="35"/>
      <c r="G48" s="14">
        <v>3120</v>
      </c>
      <c r="H48" s="9"/>
    </row>
    <row r="49" spans="3:8" x14ac:dyDescent="0.25">
      <c r="C49" s="8"/>
      <c r="D49" s="2" t="s">
        <v>7217</v>
      </c>
      <c r="E49" s="2" t="s">
        <v>1631</v>
      </c>
      <c r="F49" s="35">
        <v>130</v>
      </c>
      <c r="G49" s="14"/>
      <c r="H49" s="9"/>
    </row>
    <row r="50" spans="3:8" x14ac:dyDescent="0.25">
      <c r="C50" s="8"/>
      <c r="D50" s="2" t="s">
        <v>7218</v>
      </c>
      <c r="E50" s="2" t="s">
        <v>1631</v>
      </c>
      <c r="F50" s="35"/>
      <c r="G50" s="14"/>
      <c r="H50" s="9">
        <v>5</v>
      </c>
    </row>
    <row r="51" spans="3:8" x14ac:dyDescent="0.25">
      <c r="C51" s="8"/>
      <c r="D51" s="2" t="s">
        <v>7219</v>
      </c>
      <c r="E51" s="2" t="s">
        <v>1631</v>
      </c>
      <c r="F51" s="35">
        <v>21</v>
      </c>
      <c r="G51" s="14"/>
      <c r="H51" s="9"/>
    </row>
    <row r="52" spans="3:8" x14ac:dyDescent="0.25">
      <c r="C52" s="8"/>
      <c r="D52" s="2" t="s">
        <v>7230</v>
      </c>
      <c r="E52" s="2" t="s">
        <v>7235</v>
      </c>
      <c r="F52" s="35"/>
      <c r="G52" s="14">
        <v>142.5</v>
      </c>
      <c r="H52" s="9"/>
    </row>
    <row r="53" spans="3:8" x14ac:dyDescent="0.25">
      <c r="C53" s="8"/>
      <c r="D53" s="2" t="s">
        <v>7231</v>
      </c>
      <c r="E53" s="2" t="s">
        <v>1631</v>
      </c>
      <c r="F53" s="35">
        <v>6.5</v>
      </c>
      <c r="G53" s="14"/>
      <c r="H53" s="9"/>
    </row>
    <row r="54" spans="3:8" x14ac:dyDescent="0.25">
      <c r="C54" s="8"/>
      <c r="D54" s="2" t="s">
        <v>7232</v>
      </c>
      <c r="E54" s="2" t="s">
        <v>1631</v>
      </c>
      <c r="F54" s="35">
        <v>15</v>
      </c>
      <c r="G54" s="14"/>
      <c r="H54" s="9"/>
    </row>
    <row r="55" spans="3:8" x14ac:dyDescent="0.25">
      <c r="C55" s="8"/>
      <c r="D55" s="2" t="s">
        <v>7233</v>
      </c>
      <c r="E55" s="2" t="s">
        <v>7234</v>
      </c>
      <c r="F55" s="35"/>
      <c r="G55" s="14">
        <v>266.8</v>
      </c>
      <c r="H55" s="9"/>
    </row>
    <row r="56" spans="3:8" x14ac:dyDescent="0.25">
      <c r="C56" s="8"/>
      <c r="D56" s="2" t="s">
        <v>7272</v>
      </c>
      <c r="E56" s="2"/>
      <c r="F56" s="35"/>
      <c r="G56" s="14"/>
      <c r="H56" s="9"/>
    </row>
    <row r="57" spans="3:8" x14ac:dyDescent="0.25">
      <c r="C57" s="8"/>
      <c r="D57" s="2"/>
      <c r="E57" s="2"/>
      <c r="F57" s="35"/>
      <c r="G57" s="14"/>
      <c r="H57" s="9"/>
    </row>
    <row r="58" spans="3:8" x14ac:dyDescent="0.25">
      <c r="C58" s="8"/>
      <c r="D58" s="2"/>
      <c r="E58" s="2"/>
      <c r="F58" s="35"/>
      <c r="G58" s="14"/>
      <c r="H58" s="9"/>
    </row>
    <row r="59" spans="3:8" x14ac:dyDescent="0.25">
      <c r="C59" s="8"/>
      <c r="D59" s="2"/>
      <c r="E59" s="2"/>
      <c r="F59" s="35"/>
      <c r="G59" s="14"/>
      <c r="H59" s="9"/>
    </row>
    <row r="60" spans="3:8" x14ac:dyDescent="0.25">
      <c r="C60" s="8"/>
      <c r="D60" s="2"/>
      <c r="E60" s="2"/>
      <c r="F60" s="35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29"/>
      <c r="D62" s="30"/>
      <c r="E62" s="30" t="s">
        <v>60</v>
      </c>
      <c r="F62" s="4"/>
      <c r="G62" s="14"/>
      <c r="H62" s="9"/>
    </row>
    <row r="63" spans="3:8" x14ac:dyDescent="0.25">
      <c r="C63" s="8"/>
      <c r="D63" s="45" t="s">
        <v>7171</v>
      </c>
      <c r="E63" s="68" t="s">
        <v>7172</v>
      </c>
      <c r="F63" s="4"/>
      <c r="G63" s="14">
        <v>1954.6</v>
      </c>
      <c r="H63" s="9"/>
    </row>
    <row r="64" spans="3:8" x14ac:dyDescent="0.25">
      <c r="C64" s="8"/>
      <c r="D64" s="45" t="s">
        <v>7173</v>
      </c>
      <c r="E64" s="68" t="s">
        <v>7174</v>
      </c>
      <c r="F64" s="4"/>
      <c r="G64" s="14"/>
      <c r="H64" s="9">
        <v>170</v>
      </c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45"/>
      <c r="E66" s="68"/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9"/>
    </row>
    <row r="70" spans="3:8" x14ac:dyDescent="0.25">
      <c r="C70" s="8"/>
      <c r="D70" s="45"/>
      <c r="E70" s="68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2"/>
      <c r="E73" s="76" t="s">
        <v>7236</v>
      </c>
      <c r="F73" s="35">
        <v>4865.1000000000004</v>
      </c>
      <c r="G73" s="14"/>
      <c r="H73" s="9"/>
    </row>
    <row r="74" spans="3:8" x14ac:dyDescent="0.25">
      <c r="C74" s="8"/>
      <c r="D74" s="2"/>
      <c r="E74" s="76" t="s">
        <v>7237</v>
      </c>
      <c r="F74" s="35">
        <v>1032.9000000000001</v>
      </c>
      <c r="G74" s="14"/>
      <c r="H74" s="9"/>
    </row>
    <row r="75" spans="3:8" x14ac:dyDescent="0.25">
      <c r="C75" s="8"/>
      <c r="D75" s="2"/>
      <c r="E75" s="76" t="s">
        <v>7238</v>
      </c>
      <c r="F75" s="35">
        <v>3102</v>
      </c>
      <c r="G75" s="14"/>
      <c r="H75" s="9"/>
    </row>
    <row r="76" spans="3:8" x14ac:dyDescent="0.25">
      <c r="C76" s="8"/>
      <c r="D76" s="2"/>
      <c r="E76" s="76" t="s">
        <v>402</v>
      </c>
      <c r="F76" s="35">
        <v>4</v>
      </c>
      <c r="G76" s="14"/>
      <c r="H76" s="9"/>
    </row>
    <row r="77" spans="3:8" x14ac:dyDescent="0.25">
      <c r="C77" s="8"/>
      <c r="D77" s="2"/>
      <c r="E77" s="76"/>
      <c r="F77" s="35"/>
      <c r="G77" s="14"/>
      <c r="H77" s="9"/>
    </row>
    <row r="78" spans="3:8" x14ac:dyDescent="0.25">
      <c r="C78" s="8"/>
      <c r="D78" s="2"/>
      <c r="E78" s="76"/>
      <c r="F78" s="35"/>
      <c r="G78" s="14"/>
      <c r="H78" s="9"/>
    </row>
    <row r="79" spans="3:8" x14ac:dyDescent="0.25">
      <c r="C79" s="8"/>
      <c r="D79" s="2"/>
      <c r="E79" s="2"/>
      <c r="F79" s="4"/>
      <c r="G79" s="14"/>
      <c r="H79" s="9"/>
    </row>
    <row r="80" spans="3:8" x14ac:dyDescent="0.25">
      <c r="C80" s="19"/>
      <c r="D80" s="20"/>
      <c r="E80" s="20" t="s">
        <v>42</v>
      </c>
      <c r="F80" s="4"/>
      <c r="G80" s="14"/>
      <c r="H80" s="9"/>
    </row>
    <row r="81" spans="3:8" x14ac:dyDescent="0.25">
      <c r="C81" s="34"/>
      <c r="D81" s="45" t="s">
        <v>7169</v>
      </c>
      <c r="E81" s="68" t="s">
        <v>7170</v>
      </c>
      <c r="F81" s="14">
        <v>-314</v>
      </c>
      <c r="G81" s="14"/>
      <c r="H81" s="9"/>
    </row>
    <row r="82" spans="3:8" x14ac:dyDescent="0.25">
      <c r="C82" s="34"/>
      <c r="D82" s="45"/>
      <c r="E82" s="68" t="s">
        <v>6972</v>
      </c>
      <c r="F82" s="14">
        <v>-100</v>
      </c>
      <c r="G82" s="14"/>
      <c r="H82" s="9"/>
    </row>
    <row r="83" spans="3:8" x14ac:dyDescent="0.25">
      <c r="C83" s="34"/>
      <c r="D83" s="42"/>
      <c r="E83" s="68" t="s">
        <v>7215</v>
      </c>
      <c r="F83" s="14">
        <v>-20</v>
      </c>
      <c r="G83" s="14"/>
      <c r="H83" s="9"/>
    </row>
    <row r="84" spans="3:8" x14ac:dyDescent="0.25">
      <c r="C84" s="34"/>
      <c r="D84" s="42"/>
      <c r="E84" s="68" t="s">
        <v>7216</v>
      </c>
      <c r="F84" s="14">
        <v>-200</v>
      </c>
      <c r="G84" s="14"/>
      <c r="H84" s="9"/>
    </row>
    <row r="85" spans="3:8" x14ac:dyDescent="0.25">
      <c r="C85" s="34"/>
      <c r="D85" s="42"/>
      <c r="E85" s="68" t="s">
        <v>385</v>
      </c>
      <c r="F85" s="14">
        <v>-431</v>
      </c>
      <c r="G85" s="14"/>
      <c r="H85" s="9"/>
    </row>
    <row r="86" spans="3:8" x14ac:dyDescent="0.25">
      <c r="C86" s="34"/>
      <c r="D86" s="42"/>
      <c r="E86" s="68" t="s">
        <v>7220</v>
      </c>
      <c r="F86" s="14">
        <v>-107.5</v>
      </c>
      <c r="G86" s="14"/>
      <c r="H86" s="9"/>
    </row>
    <row r="87" spans="3:8" x14ac:dyDescent="0.25">
      <c r="C87" s="34"/>
      <c r="D87" s="42"/>
      <c r="E87" s="68" t="s">
        <v>5261</v>
      </c>
      <c r="F87" s="14">
        <v>-255.5</v>
      </c>
      <c r="G87" s="14"/>
      <c r="H87" s="9"/>
    </row>
    <row r="88" spans="3:8" x14ac:dyDescent="0.25">
      <c r="C88" s="34"/>
      <c r="D88" s="42"/>
      <c r="E88" s="68" t="s">
        <v>7239</v>
      </c>
      <c r="F88" s="14">
        <v>-160</v>
      </c>
      <c r="G88" s="14"/>
      <c r="H88" s="9"/>
    </row>
    <row r="89" spans="3:8" x14ac:dyDescent="0.25">
      <c r="C89" s="34"/>
      <c r="D89" s="42"/>
      <c r="E89" s="68" t="s">
        <v>7240</v>
      </c>
      <c r="F89" s="14">
        <v>-2712.5</v>
      </c>
      <c r="G89" s="14"/>
      <c r="H89" s="9"/>
    </row>
    <row r="90" spans="3:8" x14ac:dyDescent="0.25">
      <c r="C90" s="34"/>
      <c r="D90" s="42"/>
      <c r="E90" s="68" t="s">
        <v>7241</v>
      </c>
      <c r="F90" s="14">
        <v>-6578</v>
      </c>
      <c r="G90" s="14"/>
      <c r="H90" s="9"/>
    </row>
    <row r="91" spans="3:8" x14ac:dyDescent="0.25">
      <c r="C91" s="34"/>
      <c r="D91" s="42"/>
      <c r="E91" s="68"/>
      <c r="F91" s="14"/>
      <c r="G91" s="14"/>
      <c r="H91" s="9"/>
    </row>
    <row r="92" spans="3:8" x14ac:dyDescent="0.25">
      <c r="C92" s="34"/>
      <c r="D92" s="42"/>
      <c r="E92" s="68"/>
      <c r="F92" s="14"/>
      <c r="G92" s="14"/>
      <c r="H92" s="9"/>
    </row>
    <row r="93" spans="3:8" ht="15.75" thickBot="1" x14ac:dyDescent="0.3">
      <c r="C93" s="10"/>
      <c r="D93" s="11"/>
      <c r="E93" s="11" t="s">
        <v>44</v>
      </c>
      <c r="F93" s="12">
        <f>SUM(F6:F92)</f>
        <v>-89.5</v>
      </c>
      <c r="G93" s="15">
        <f>SUM(G9:G92)</f>
        <v>17112.55</v>
      </c>
      <c r="H93" s="13">
        <f>SUM(H9:H92)</f>
        <v>6740.2</v>
      </c>
    </row>
    <row r="96" spans="3:8" s="3" customFormat="1" ht="18.75" x14ac:dyDescent="0.3">
      <c r="C96" s="1"/>
      <c r="D96" s="1"/>
      <c r="E96" s="38" t="s">
        <v>49</v>
      </c>
      <c r="F96" s="39">
        <f>+H4+F93</f>
        <v>4102.08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3DEB-378F-4714-9F18-10398DF432CD}">
  <sheetPr codeName="Hoja90"/>
  <dimension ref="C2:K102"/>
  <sheetViews>
    <sheetView topLeftCell="B67" zoomScaleNormal="100" workbookViewId="0">
      <selection activeCell="F88" sqref="F88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7242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4102.08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7253</v>
      </c>
      <c r="E6" s="2" t="s">
        <v>266</v>
      </c>
      <c r="F6" s="109"/>
      <c r="G6" s="113">
        <v>90</v>
      </c>
      <c r="H6" s="112"/>
    </row>
    <row r="7" spans="3:10" x14ac:dyDescent="0.25">
      <c r="C7" s="24"/>
      <c r="D7" s="2" t="s">
        <v>7254</v>
      </c>
      <c r="E7" s="2" t="s">
        <v>5678</v>
      </c>
      <c r="F7" s="109">
        <v>9</v>
      </c>
      <c r="G7" s="113"/>
      <c r="H7" s="112"/>
      <c r="J7" s="36"/>
    </row>
    <row r="8" spans="3:10" x14ac:dyDescent="0.25">
      <c r="C8" s="24"/>
      <c r="D8" s="2" t="s">
        <v>7255</v>
      </c>
      <c r="E8" s="2" t="s">
        <v>5678</v>
      </c>
      <c r="F8" s="109">
        <v>2</v>
      </c>
      <c r="G8" s="113"/>
      <c r="H8" s="112"/>
    </row>
    <row r="9" spans="3:10" x14ac:dyDescent="0.25">
      <c r="C9" s="8"/>
      <c r="D9" s="2" t="s">
        <v>7256</v>
      </c>
      <c r="E9" s="2" t="s">
        <v>5678</v>
      </c>
      <c r="F9" s="4"/>
      <c r="G9" s="14"/>
      <c r="H9" s="9">
        <v>24</v>
      </c>
    </row>
    <row r="10" spans="3:10" x14ac:dyDescent="0.25">
      <c r="C10" s="8"/>
      <c r="D10" s="2" t="s">
        <v>7257</v>
      </c>
      <c r="E10" s="2" t="s">
        <v>5290</v>
      </c>
      <c r="F10" s="4"/>
      <c r="G10" s="14"/>
      <c r="H10" s="9">
        <v>1110</v>
      </c>
    </row>
    <row r="11" spans="3:10" x14ac:dyDescent="0.25">
      <c r="C11" s="8"/>
      <c r="D11" s="2" t="s">
        <v>7258</v>
      </c>
      <c r="E11" s="2" t="s">
        <v>5678</v>
      </c>
      <c r="F11" s="4"/>
      <c r="G11" s="14"/>
      <c r="H11" s="9">
        <v>12</v>
      </c>
    </row>
    <row r="12" spans="3:10" x14ac:dyDescent="0.25">
      <c r="C12" s="8"/>
      <c r="D12" s="2" t="s">
        <v>7259</v>
      </c>
      <c r="E12" s="2" t="s">
        <v>5678</v>
      </c>
      <c r="F12" s="4"/>
      <c r="G12" s="14"/>
      <c r="H12" s="9">
        <v>20</v>
      </c>
    </row>
    <row r="13" spans="3:10" x14ac:dyDescent="0.25">
      <c r="C13" s="8"/>
      <c r="D13" s="2" t="s">
        <v>7260</v>
      </c>
      <c r="E13" s="2" t="s">
        <v>5678</v>
      </c>
      <c r="F13" s="4"/>
      <c r="G13" s="14"/>
      <c r="H13" s="9">
        <v>5</v>
      </c>
    </row>
    <row r="14" spans="3:10" x14ac:dyDescent="0.25">
      <c r="C14" s="8"/>
      <c r="D14" s="2" t="s">
        <v>7261</v>
      </c>
      <c r="E14" s="2" t="s">
        <v>6610</v>
      </c>
      <c r="F14" s="4">
        <v>1000</v>
      </c>
      <c r="G14" s="14">
        <v>137.5</v>
      </c>
      <c r="H14" s="9"/>
    </row>
    <row r="15" spans="3:10" x14ac:dyDescent="0.25">
      <c r="C15" s="8"/>
      <c r="D15" s="2" t="s">
        <v>7262</v>
      </c>
      <c r="E15" s="2" t="s">
        <v>5678</v>
      </c>
      <c r="F15" s="4"/>
      <c r="G15" s="14"/>
      <c r="H15" s="9">
        <v>5.5</v>
      </c>
    </row>
    <row r="16" spans="3:10" x14ac:dyDescent="0.25">
      <c r="C16" s="8"/>
      <c r="D16" s="2" t="s">
        <v>7263</v>
      </c>
      <c r="E16" s="2" t="s">
        <v>5678</v>
      </c>
      <c r="F16" s="4">
        <v>21</v>
      </c>
      <c r="G16" s="14"/>
      <c r="H16" s="9"/>
    </row>
    <row r="17" spans="3:8" x14ac:dyDescent="0.25">
      <c r="C17" s="8"/>
      <c r="D17" s="2" t="s">
        <v>7264</v>
      </c>
      <c r="E17" s="2" t="s">
        <v>6593</v>
      </c>
      <c r="F17" s="4">
        <v>2775</v>
      </c>
      <c r="G17" s="14"/>
      <c r="H17" s="9"/>
    </row>
    <row r="18" spans="3:8" x14ac:dyDescent="0.25">
      <c r="C18" s="8"/>
      <c r="D18" s="2" t="s">
        <v>7265</v>
      </c>
      <c r="E18" s="2" t="s">
        <v>4597</v>
      </c>
      <c r="F18" s="4">
        <v>2219</v>
      </c>
      <c r="G18" s="14"/>
      <c r="H18" s="9"/>
    </row>
    <row r="19" spans="3:8" x14ac:dyDescent="0.25">
      <c r="C19" s="8"/>
      <c r="D19" s="2" t="s">
        <v>7266</v>
      </c>
      <c r="E19" s="2" t="s">
        <v>5678</v>
      </c>
      <c r="F19" s="35">
        <v>2</v>
      </c>
      <c r="G19" s="14"/>
      <c r="H19" s="9"/>
    </row>
    <row r="20" spans="3:8" x14ac:dyDescent="0.25">
      <c r="C20" s="8"/>
      <c r="D20" s="2" t="s">
        <v>7267</v>
      </c>
      <c r="E20" s="2" t="s">
        <v>6925</v>
      </c>
      <c r="F20" s="35">
        <v>3520</v>
      </c>
      <c r="G20" s="14"/>
      <c r="H20" s="9"/>
    </row>
    <row r="21" spans="3:8" x14ac:dyDescent="0.25">
      <c r="C21" s="8"/>
      <c r="D21" s="2" t="s">
        <v>7268</v>
      </c>
      <c r="E21" s="2" t="s">
        <v>7271</v>
      </c>
      <c r="F21" s="35"/>
      <c r="G21" s="14"/>
      <c r="H21" s="9">
        <v>421</v>
      </c>
    </row>
    <row r="22" spans="3:8" x14ac:dyDescent="0.25">
      <c r="C22" s="8"/>
      <c r="D22" s="2" t="s">
        <v>7269</v>
      </c>
      <c r="E22" s="2" t="s">
        <v>7126</v>
      </c>
      <c r="F22" s="35"/>
      <c r="G22" s="14">
        <v>6879</v>
      </c>
      <c r="H22" s="9"/>
    </row>
    <row r="23" spans="3:8" x14ac:dyDescent="0.25">
      <c r="C23" s="8"/>
      <c r="D23" s="2" t="s">
        <v>7270</v>
      </c>
      <c r="E23" s="2" t="s">
        <v>5678</v>
      </c>
      <c r="F23" s="35">
        <v>5</v>
      </c>
      <c r="G23" s="14"/>
      <c r="H23" s="9"/>
    </row>
    <row r="24" spans="3:8" x14ac:dyDescent="0.25">
      <c r="C24" s="8"/>
      <c r="D24" s="2" t="s">
        <v>7301</v>
      </c>
      <c r="E24" s="2" t="s">
        <v>5678</v>
      </c>
      <c r="F24" s="35">
        <v>15</v>
      </c>
      <c r="G24" s="14"/>
      <c r="H24" s="9"/>
    </row>
    <row r="25" spans="3:8" x14ac:dyDescent="0.25">
      <c r="C25" s="8"/>
      <c r="D25" s="2" t="s">
        <v>7302</v>
      </c>
      <c r="E25" s="2" t="s">
        <v>5678</v>
      </c>
      <c r="F25" s="35">
        <v>2</v>
      </c>
      <c r="G25" s="14"/>
      <c r="H25" s="9"/>
    </row>
    <row r="26" spans="3:8" x14ac:dyDescent="0.25">
      <c r="C26" s="8"/>
      <c r="D26" s="2" t="s">
        <v>7303</v>
      </c>
      <c r="E26" s="2" t="s">
        <v>5678</v>
      </c>
      <c r="F26" s="35">
        <v>13</v>
      </c>
      <c r="G26" s="14"/>
      <c r="H26" s="9">
        <v>12</v>
      </c>
    </row>
    <row r="27" spans="3:8" x14ac:dyDescent="0.25">
      <c r="C27" s="8"/>
      <c r="D27" s="2" t="s">
        <v>7304</v>
      </c>
      <c r="E27" s="2" t="s">
        <v>5678</v>
      </c>
      <c r="F27" s="35"/>
      <c r="G27" s="14"/>
      <c r="H27" s="9">
        <v>15</v>
      </c>
    </row>
    <row r="28" spans="3:8" x14ac:dyDescent="0.25">
      <c r="C28" s="8"/>
      <c r="D28" s="2" t="s">
        <v>7305</v>
      </c>
      <c r="E28" s="2" t="s">
        <v>5678</v>
      </c>
      <c r="F28" s="35">
        <v>6</v>
      </c>
      <c r="G28" s="14"/>
      <c r="H28" s="9"/>
    </row>
    <row r="29" spans="3:8" x14ac:dyDescent="0.25">
      <c r="C29" s="8"/>
      <c r="D29" s="2" t="s">
        <v>7306</v>
      </c>
      <c r="E29" s="2" t="s">
        <v>5678</v>
      </c>
      <c r="F29" s="35"/>
      <c r="G29" s="14"/>
      <c r="H29" s="9">
        <v>3</v>
      </c>
    </row>
    <row r="30" spans="3:8" x14ac:dyDescent="0.25">
      <c r="C30" s="8"/>
      <c r="D30" s="2" t="s">
        <v>7307</v>
      </c>
      <c r="E30" s="2" t="s">
        <v>1152</v>
      </c>
      <c r="F30" s="35"/>
      <c r="G30" s="14">
        <v>52</v>
      </c>
      <c r="H30" s="9"/>
    </row>
    <row r="31" spans="3:8" x14ac:dyDescent="0.25">
      <c r="C31" s="8"/>
      <c r="D31" s="2" t="s">
        <v>7328</v>
      </c>
      <c r="E31" s="2"/>
      <c r="F31" s="35"/>
      <c r="G31" s="14"/>
      <c r="H31" s="9"/>
    </row>
    <row r="32" spans="3:8" x14ac:dyDescent="0.25">
      <c r="C32" s="8"/>
      <c r="D32" s="2"/>
      <c r="E32" s="2"/>
      <c r="F32" s="35"/>
      <c r="G32" s="14"/>
      <c r="H32" s="9"/>
    </row>
    <row r="33" spans="3:8" x14ac:dyDescent="0.25">
      <c r="C33" s="8"/>
      <c r="D33" s="2"/>
      <c r="E33" s="2"/>
      <c r="F33" s="35"/>
      <c r="G33" s="14"/>
      <c r="H33" s="9"/>
    </row>
    <row r="34" spans="3:8" x14ac:dyDescent="0.25">
      <c r="C34" s="8"/>
      <c r="D34" s="2" t="s">
        <v>7272</v>
      </c>
      <c r="E34" s="2" t="s">
        <v>6775</v>
      </c>
      <c r="F34" s="35"/>
      <c r="G34" s="14">
        <v>87.5</v>
      </c>
      <c r="H34" s="9"/>
    </row>
    <row r="35" spans="3:8" x14ac:dyDescent="0.25">
      <c r="C35" s="8"/>
      <c r="D35" s="2" t="s">
        <v>7273</v>
      </c>
      <c r="E35" s="2" t="s">
        <v>7289</v>
      </c>
      <c r="F35" s="35">
        <v>35.5</v>
      </c>
      <c r="G35" s="14"/>
      <c r="H35" s="9"/>
    </row>
    <row r="36" spans="3:8" x14ac:dyDescent="0.25">
      <c r="C36" s="8"/>
      <c r="D36" s="2" t="s">
        <v>7274</v>
      </c>
      <c r="E36" s="2" t="s">
        <v>5908</v>
      </c>
      <c r="F36" s="35"/>
      <c r="G36" s="14"/>
      <c r="H36" s="9">
        <v>41</v>
      </c>
    </row>
    <row r="37" spans="3:8" x14ac:dyDescent="0.25">
      <c r="C37" s="8"/>
      <c r="D37" s="2" t="s">
        <v>7275</v>
      </c>
      <c r="E37" s="2" t="s">
        <v>5847</v>
      </c>
      <c r="F37" s="35">
        <v>14.5</v>
      </c>
      <c r="G37" s="14"/>
      <c r="H37" s="9"/>
    </row>
    <row r="38" spans="3:8" x14ac:dyDescent="0.25">
      <c r="C38" s="8"/>
      <c r="D38" s="2" t="s">
        <v>7276</v>
      </c>
      <c r="E38" s="2" t="s">
        <v>6396</v>
      </c>
      <c r="F38" s="35"/>
      <c r="G38" s="14">
        <v>165</v>
      </c>
      <c r="H38" s="9"/>
    </row>
    <row r="39" spans="3:8" x14ac:dyDescent="0.25">
      <c r="C39" s="8"/>
      <c r="D39" s="2" t="s">
        <v>7277</v>
      </c>
      <c r="E39" s="2" t="s">
        <v>5847</v>
      </c>
      <c r="F39" s="35">
        <v>4</v>
      </c>
      <c r="G39" s="14"/>
      <c r="H39" s="9"/>
    </row>
    <row r="40" spans="3:8" x14ac:dyDescent="0.25">
      <c r="C40" s="8"/>
      <c r="D40" s="2" t="s">
        <v>7278</v>
      </c>
      <c r="E40" s="2" t="s">
        <v>7288</v>
      </c>
      <c r="F40" s="35"/>
      <c r="G40" s="14"/>
      <c r="H40" s="9">
        <v>3800</v>
      </c>
    </row>
    <row r="41" spans="3:8" x14ac:dyDescent="0.25">
      <c r="C41" s="8"/>
      <c r="D41" s="2" t="s">
        <v>7279</v>
      </c>
      <c r="E41" s="2" t="s">
        <v>5847</v>
      </c>
      <c r="F41" s="35">
        <v>20</v>
      </c>
      <c r="G41" s="14"/>
      <c r="H41" s="9"/>
    </row>
    <row r="42" spans="3:8" x14ac:dyDescent="0.25">
      <c r="C42" s="8"/>
      <c r="D42" s="2" t="s">
        <v>7280</v>
      </c>
      <c r="E42" s="2" t="s">
        <v>5847</v>
      </c>
      <c r="F42" s="35">
        <v>5</v>
      </c>
      <c r="G42" s="14"/>
      <c r="H42" s="9"/>
    </row>
    <row r="43" spans="3:8" x14ac:dyDescent="0.25">
      <c r="C43" s="8"/>
      <c r="D43" s="2" t="s">
        <v>7281</v>
      </c>
      <c r="E43" s="2" t="s">
        <v>5847</v>
      </c>
      <c r="F43" s="35"/>
      <c r="G43" s="14"/>
      <c r="H43" s="9">
        <v>29</v>
      </c>
    </row>
    <row r="44" spans="3:8" x14ac:dyDescent="0.25">
      <c r="C44" s="8"/>
      <c r="D44" s="2" t="s">
        <v>7282</v>
      </c>
      <c r="E44" s="2" t="s">
        <v>5847</v>
      </c>
      <c r="F44" s="35">
        <v>10.5</v>
      </c>
      <c r="G44" s="14"/>
      <c r="H44" s="9"/>
    </row>
    <row r="45" spans="3:8" x14ac:dyDescent="0.25">
      <c r="C45" s="8"/>
      <c r="D45" s="2" t="s">
        <v>7283</v>
      </c>
      <c r="E45" s="2" t="s">
        <v>5847</v>
      </c>
      <c r="F45" s="35">
        <v>1.5</v>
      </c>
      <c r="G45" s="14"/>
      <c r="H45" s="9"/>
    </row>
    <row r="46" spans="3:8" x14ac:dyDescent="0.25">
      <c r="C46" s="8"/>
      <c r="D46" s="2" t="s">
        <v>7284</v>
      </c>
      <c r="E46" s="2" t="s">
        <v>4618</v>
      </c>
      <c r="F46" s="35"/>
      <c r="G46" s="14"/>
      <c r="H46" s="9">
        <v>168</v>
      </c>
    </row>
    <row r="47" spans="3:8" x14ac:dyDescent="0.25">
      <c r="C47" s="8"/>
      <c r="D47" s="2" t="s">
        <v>7285</v>
      </c>
      <c r="E47" s="2" t="s">
        <v>5847</v>
      </c>
      <c r="F47" s="35">
        <v>7.5</v>
      </c>
      <c r="G47" s="14"/>
      <c r="H47" s="9"/>
    </row>
    <row r="48" spans="3:8" x14ac:dyDescent="0.25">
      <c r="C48" s="8"/>
      <c r="D48" s="2" t="s">
        <v>7286</v>
      </c>
      <c r="E48" s="2" t="s">
        <v>5847</v>
      </c>
      <c r="F48" s="35">
        <v>5</v>
      </c>
      <c r="G48" s="14"/>
      <c r="H48" s="9"/>
    </row>
    <row r="49" spans="3:8" x14ac:dyDescent="0.25">
      <c r="C49" s="8"/>
      <c r="D49" s="2" t="s">
        <v>7287</v>
      </c>
      <c r="E49" s="2" t="s">
        <v>5847</v>
      </c>
      <c r="F49" s="35"/>
      <c r="G49" s="14"/>
      <c r="H49" s="9">
        <v>26.5</v>
      </c>
    </row>
    <row r="50" spans="3:8" x14ac:dyDescent="0.25">
      <c r="C50" s="8"/>
      <c r="D50" s="2" t="s">
        <v>7308</v>
      </c>
      <c r="E50" s="2" t="s">
        <v>381</v>
      </c>
      <c r="F50" s="35"/>
      <c r="G50" s="14">
        <v>1413</v>
      </c>
      <c r="H50" s="9"/>
    </row>
    <row r="51" spans="3:8" x14ac:dyDescent="0.25">
      <c r="C51" s="8"/>
      <c r="D51" s="2" t="s">
        <v>7309</v>
      </c>
      <c r="E51" s="2" t="s">
        <v>7315</v>
      </c>
      <c r="F51" s="35">
        <v>76</v>
      </c>
      <c r="G51" s="14"/>
      <c r="H51" s="9"/>
    </row>
    <row r="52" spans="3:8" x14ac:dyDescent="0.25">
      <c r="C52" s="8"/>
      <c r="D52" s="2" t="s">
        <v>7310</v>
      </c>
      <c r="E52" s="2" t="s">
        <v>5847</v>
      </c>
      <c r="F52" s="35">
        <v>3</v>
      </c>
      <c r="G52" s="14"/>
      <c r="H52" s="9"/>
    </row>
    <row r="53" spans="3:8" x14ac:dyDescent="0.25">
      <c r="C53" s="8"/>
      <c r="D53" s="2" t="s">
        <v>7311</v>
      </c>
      <c r="E53" s="2" t="s">
        <v>6662</v>
      </c>
      <c r="F53" s="35"/>
      <c r="G53" s="14">
        <v>3500</v>
      </c>
      <c r="H53" s="9"/>
    </row>
    <row r="54" spans="3:8" x14ac:dyDescent="0.25">
      <c r="C54" s="8"/>
      <c r="D54" s="2" t="s">
        <v>7312</v>
      </c>
      <c r="E54" s="2" t="s">
        <v>5847</v>
      </c>
      <c r="F54" s="35"/>
      <c r="G54" s="14"/>
      <c r="H54" s="9">
        <v>453</v>
      </c>
    </row>
    <row r="55" spans="3:8" x14ac:dyDescent="0.25">
      <c r="C55" s="8"/>
      <c r="D55" s="2" t="s">
        <v>7313</v>
      </c>
      <c r="E55" s="2" t="s">
        <v>4597</v>
      </c>
      <c r="F55" s="35"/>
      <c r="G55" s="14">
        <v>317</v>
      </c>
      <c r="H55" s="9"/>
    </row>
    <row r="56" spans="3:8" x14ac:dyDescent="0.25">
      <c r="C56" s="8"/>
      <c r="D56" s="2" t="s">
        <v>7314</v>
      </c>
      <c r="E56" s="2" t="s">
        <v>6396</v>
      </c>
      <c r="F56" s="35"/>
      <c r="G56" s="14">
        <v>165</v>
      </c>
      <c r="H56" s="9"/>
    </row>
    <row r="57" spans="3:8" x14ac:dyDescent="0.25">
      <c r="C57" s="8"/>
      <c r="D57" s="2" t="s">
        <v>7342</v>
      </c>
      <c r="E57" s="2"/>
      <c r="F57" s="35"/>
      <c r="G57" s="14"/>
      <c r="H57" s="9"/>
    </row>
    <row r="58" spans="3:8" x14ac:dyDescent="0.25">
      <c r="C58" s="8"/>
      <c r="D58" s="2"/>
      <c r="E58" s="2"/>
      <c r="F58" s="35"/>
      <c r="G58" s="14"/>
      <c r="H58" s="9"/>
    </row>
    <row r="59" spans="3:8" x14ac:dyDescent="0.25">
      <c r="C59" s="8"/>
      <c r="D59" s="2"/>
      <c r="E59" s="2"/>
      <c r="F59" s="35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29"/>
      <c r="D61" s="30"/>
      <c r="E61" s="30" t="s">
        <v>60</v>
      </c>
      <c r="F61" s="4"/>
      <c r="G61" s="14"/>
      <c r="H61" s="9"/>
    </row>
    <row r="62" spans="3:8" x14ac:dyDescent="0.25">
      <c r="C62" s="8"/>
      <c r="D62" s="45" t="s">
        <v>7246</v>
      </c>
      <c r="E62" s="68" t="s">
        <v>7247</v>
      </c>
      <c r="F62" s="4"/>
      <c r="G62" s="14"/>
      <c r="H62" s="9">
        <v>25</v>
      </c>
    </row>
    <row r="63" spans="3:8" x14ac:dyDescent="0.25">
      <c r="C63" s="8"/>
      <c r="D63" s="45" t="s">
        <v>7248</v>
      </c>
      <c r="E63" s="68" t="s">
        <v>6204</v>
      </c>
      <c r="F63" s="4"/>
      <c r="G63" s="14">
        <v>1200</v>
      </c>
      <c r="H63" s="9">
        <v>1360</v>
      </c>
    </row>
    <row r="64" spans="3:8" x14ac:dyDescent="0.25">
      <c r="C64" s="8"/>
      <c r="D64" s="45" t="s">
        <v>7249</v>
      </c>
      <c r="E64" s="68" t="s">
        <v>4268</v>
      </c>
      <c r="F64" s="4"/>
      <c r="G64" s="14"/>
      <c r="H64" s="9">
        <v>58</v>
      </c>
    </row>
    <row r="65" spans="3:8" x14ac:dyDescent="0.25">
      <c r="C65" s="8"/>
      <c r="D65" s="45" t="s">
        <v>7251</v>
      </c>
      <c r="E65" s="68" t="s">
        <v>7252</v>
      </c>
      <c r="F65" s="4"/>
      <c r="G65" s="14"/>
      <c r="H65" s="9">
        <v>290</v>
      </c>
    </row>
    <row r="66" spans="3:8" x14ac:dyDescent="0.25">
      <c r="C66" s="8"/>
      <c r="D66" s="45" t="s">
        <v>7298</v>
      </c>
      <c r="E66" s="68" t="s">
        <v>7297</v>
      </c>
      <c r="F66" s="4"/>
      <c r="G66" s="14"/>
      <c r="H66" s="9">
        <v>482.5</v>
      </c>
    </row>
    <row r="67" spans="3:8" x14ac:dyDescent="0.25">
      <c r="C67" s="8"/>
      <c r="D67" s="45" t="s">
        <v>7299</v>
      </c>
      <c r="E67" s="68" t="s">
        <v>7300</v>
      </c>
      <c r="F67" s="4"/>
      <c r="G67" s="14">
        <v>3318</v>
      </c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76" t="s">
        <v>7290</v>
      </c>
      <c r="F72" s="35">
        <v>386</v>
      </c>
      <c r="G72" s="14"/>
      <c r="H72" s="9"/>
    </row>
    <row r="73" spans="3:8" x14ac:dyDescent="0.25">
      <c r="C73" s="8"/>
      <c r="D73" s="2"/>
      <c r="E73" s="76" t="s">
        <v>7291</v>
      </c>
      <c r="F73" s="35">
        <v>115</v>
      </c>
      <c r="G73" s="14"/>
      <c r="H73" s="9"/>
    </row>
    <row r="74" spans="3:8" x14ac:dyDescent="0.25">
      <c r="C74" s="8"/>
      <c r="D74" s="2"/>
      <c r="E74" s="76" t="s">
        <v>7292</v>
      </c>
      <c r="F74" s="35">
        <v>3558.5</v>
      </c>
      <c r="G74" s="14"/>
      <c r="H74" s="9"/>
    </row>
    <row r="75" spans="3:8" x14ac:dyDescent="0.25">
      <c r="C75" s="8"/>
      <c r="D75" s="2"/>
      <c r="E75" s="76" t="s">
        <v>7293</v>
      </c>
      <c r="F75" s="35">
        <v>22.5</v>
      </c>
      <c r="G75" s="14"/>
      <c r="H75" s="9"/>
    </row>
    <row r="76" spans="3:8" x14ac:dyDescent="0.25">
      <c r="C76" s="8"/>
      <c r="D76" s="2"/>
      <c r="E76" s="76" t="s">
        <v>7316</v>
      </c>
      <c r="F76" s="35">
        <v>1560</v>
      </c>
      <c r="G76" s="14"/>
      <c r="H76" s="9"/>
    </row>
    <row r="77" spans="3:8" x14ac:dyDescent="0.25">
      <c r="C77" s="8"/>
      <c r="D77" s="2"/>
      <c r="E77" s="76" t="s">
        <v>7317</v>
      </c>
      <c r="F77" s="35">
        <v>9000</v>
      </c>
      <c r="G77" s="14"/>
      <c r="H77" s="9"/>
    </row>
    <row r="78" spans="3:8" x14ac:dyDescent="0.25">
      <c r="C78" s="8"/>
      <c r="D78" s="2"/>
      <c r="E78" s="76"/>
      <c r="F78" s="35"/>
      <c r="G78" s="14"/>
      <c r="H78" s="9"/>
    </row>
    <row r="79" spans="3:8" x14ac:dyDescent="0.25">
      <c r="C79" s="8"/>
      <c r="D79" s="2"/>
      <c r="E79" s="76"/>
      <c r="F79" s="35"/>
      <c r="G79" s="14"/>
      <c r="H79" s="9"/>
    </row>
    <row r="80" spans="3:8" x14ac:dyDescent="0.25">
      <c r="C80" s="8"/>
      <c r="D80" s="2"/>
      <c r="E80" s="76"/>
      <c r="F80" s="35"/>
      <c r="G80" s="14"/>
      <c r="H80" s="9"/>
    </row>
    <row r="81" spans="3:11" x14ac:dyDescent="0.25">
      <c r="C81" s="8"/>
      <c r="D81" s="2"/>
      <c r="E81" s="2"/>
      <c r="F81" s="4"/>
      <c r="G81" s="14"/>
      <c r="H81" s="9"/>
    </row>
    <row r="82" spans="3:11" x14ac:dyDescent="0.25">
      <c r="C82" s="19"/>
      <c r="D82" s="20"/>
      <c r="E82" s="20" t="s">
        <v>42</v>
      </c>
      <c r="F82" s="4"/>
      <c r="G82" s="14"/>
      <c r="H82" s="9"/>
    </row>
    <row r="83" spans="3:11" x14ac:dyDescent="0.25">
      <c r="C83" s="34"/>
      <c r="D83" s="45"/>
      <c r="E83" s="68" t="s">
        <v>7243</v>
      </c>
      <c r="F83" s="14">
        <v>-646</v>
      </c>
      <c r="G83" s="14"/>
      <c r="H83" s="9"/>
    </row>
    <row r="84" spans="3:11" x14ac:dyDescent="0.25">
      <c r="C84" s="34"/>
      <c r="D84" s="45"/>
      <c r="E84" s="68" t="s">
        <v>7244</v>
      </c>
      <c r="F84" s="14">
        <v>-450</v>
      </c>
      <c r="G84" s="14"/>
      <c r="H84" s="9"/>
    </row>
    <row r="85" spans="3:11" x14ac:dyDescent="0.25">
      <c r="C85" s="34"/>
      <c r="D85" s="42"/>
      <c r="E85" s="68" t="s">
        <v>7245</v>
      </c>
      <c r="F85" s="14">
        <v>-400</v>
      </c>
      <c r="G85" s="14"/>
      <c r="H85" s="9"/>
    </row>
    <row r="86" spans="3:11" x14ac:dyDescent="0.25">
      <c r="C86" s="34"/>
      <c r="D86" s="42"/>
      <c r="E86" s="68" t="s">
        <v>7250</v>
      </c>
      <c r="F86" s="14">
        <v>-1294</v>
      </c>
      <c r="G86" s="14"/>
      <c r="H86" s="9"/>
    </row>
    <row r="87" spans="3:11" x14ac:dyDescent="0.25">
      <c r="C87" s="34"/>
      <c r="D87" s="42"/>
      <c r="E87" s="68"/>
      <c r="F87" s="14"/>
      <c r="G87" s="14"/>
      <c r="H87" s="9"/>
    </row>
    <row r="88" spans="3:11" x14ac:dyDescent="0.25">
      <c r="C88" s="34"/>
      <c r="D88" s="42"/>
      <c r="E88" s="68" t="s">
        <v>7294</v>
      </c>
      <c r="F88" s="14">
        <v>-40</v>
      </c>
      <c r="G88" s="14"/>
      <c r="H88" s="9"/>
    </row>
    <row r="89" spans="3:11" x14ac:dyDescent="0.25">
      <c r="C89" s="34"/>
      <c r="D89" s="42"/>
      <c r="E89" s="68" t="s">
        <v>7295</v>
      </c>
      <c r="F89" s="14">
        <v>-1.5</v>
      </c>
      <c r="G89" s="14"/>
      <c r="H89" s="9"/>
    </row>
    <row r="90" spans="3:11" x14ac:dyDescent="0.25">
      <c r="C90" s="34"/>
      <c r="D90" s="42"/>
      <c r="E90" s="68" t="s">
        <v>6229</v>
      </c>
      <c r="F90" s="14">
        <v>-100</v>
      </c>
      <c r="G90" s="14"/>
      <c r="H90" s="9"/>
      <c r="K90">
        <f>646/38</f>
        <v>17</v>
      </c>
    </row>
    <row r="91" spans="3:11" x14ac:dyDescent="0.25">
      <c r="C91" s="34"/>
      <c r="D91" s="42"/>
      <c r="E91" s="68" t="s">
        <v>7296</v>
      </c>
      <c r="F91" s="14">
        <v>-13010</v>
      </c>
      <c r="G91" s="14"/>
      <c r="H91" s="9"/>
    </row>
    <row r="92" spans="3:11" x14ac:dyDescent="0.25">
      <c r="C92" s="34"/>
      <c r="D92" s="42"/>
      <c r="E92" s="68" t="s">
        <v>7318</v>
      </c>
      <c r="F92" s="14">
        <v>-150</v>
      </c>
      <c r="G92" s="14"/>
      <c r="H92" s="9"/>
    </row>
    <row r="93" spans="3:11" x14ac:dyDescent="0.25">
      <c r="C93" s="34"/>
      <c r="D93" s="42"/>
      <c r="E93" s="68" t="s">
        <v>7319</v>
      </c>
      <c r="F93" s="14">
        <v>-4558</v>
      </c>
      <c r="G93" s="14"/>
      <c r="H93" s="9"/>
    </row>
    <row r="94" spans="3:11" x14ac:dyDescent="0.25">
      <c r="C94" s="34"/>
      <c r="D94" s="42"/>
      <c r="E94" s="68" t="s">
        <v>7320</v>
      </c>
      <c r="F94" s="14">
        <v>-2.5</v>
      </c>
      <c r="G94" s="14"/>
      <c r="H94" s="9"/>
    </row>
    <row r="95" spans="3:11" x14ac:dyDescent="0.25">
      <c r="C95" s="34"/>
      <c r="D95" s="42"/>
      <c r="E95" s="68" t="s">
        <v>7321</v>
      </c>
      <c r="F95" s="14">
        <v>-95</v>
      </c>
      <c r="G95" s="14"/>
      <c r="H95" s="9"/>
    </row>
    <row r="96" spans="3:11" x14ac:dyDescent="0.25">
      <c r="C96" s="34"/>
      <c r="D96" s="42"/>
      <c r="E96" s="68" t="s">
        <v>7322</v>
      </c>
      <c r="F96" s="14">
        <v>-6000</v>
      </c>
      <c r="G96" s="14"/>
      <c r="H96" s="9"/>
    </row>
    <row r="97" spans="3:8" x14ac:dyDescent="0.25">
      <c r="C97" s="34"/>
      <c r="D97" s="42"/>
      <c r="E97" s="68"/>
      <c r="F97" s="14"/>
      <c r="G97" s="14"/>
      <c r="H97" s="9"/>
    </row>
    <row r="98" spans="3:8" x14ac:dyDescent="0.25">
      <c r="C98" s="34"/>
      <c r="D98" s="42"/>
      <c r="E98" s="68"/>
      <c r="F98" s="14"/>
      <c r="G98" s="14"/>
      <c r="H98" s="9"/>
    </row>
    <row r="99" spans="3:8" ht="15.75" thickBot="1" x14ac:dyDescent="0.3">
      <c r="C99" s="10"/>
      <c r="D99" s="11"/>
      <c r="E99" s="11" t="s">
        <v>44</v>
      </c>
      <c r="F99" s="12">
        <f>SUM(F6:F98)</f>
        <v>-2333.5</v>
      </c>
      <c r="G99" s="15">
        <f>SUM(G9:G98)</f>
        <v>17234</v>
      </c>
      <c r="H99" s="13">
        <f>SUM(H9:H98)</f>
        <v>8360.5</v>
      </c>
    </row>
    <row r="102" spans="3:8" s="3" customFormat="1" ht="18.75" x14ac:dyDescent="0.3">
      <c r="C102" s="1"/>
      <c r="D102" s="1"/>
      <c r="E102" s="38" t="s">
        <v>49</v>
      </c>
      <c r="F102" s="39">
        <f>+H4+F99</f>
        <v>1768.58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89DB-9C74-4EA3-AB1D-3D53B0A681C7}">
  <sheetPr codeName="Hoja91"/>
  <dimension ref="C2:J94"/>
  <sheetViews>
    <sheetView topLeftCell="B63" zoomScaleNormal="100" workbookViewId="0">
      <selection activeCell="F94" sqref="F94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7323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1768.58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7328</v>
      </c>
      <c r="E6" s="2" t="s">
        <v>7340</v>
      </c>
      <c r="F6" s="109"/>
      <c r="G6" s="113">
        <v>1463</v>
      </c>
      <c r="H6" s="112"/>
    </row>
    <row r="7" spans="3:10" x14ac:dyDescent="0.25">
      <c r="C7" s="24"/>
      <c r="D7" s="2" t="s">
        <v>7329</v>
      </c>
      <c r="E7" s="2" t="s">
        <v>6411</v>
      </c>
      <c r="F7" s="109"/>
      <c r="G7" s="113">
        <v>702</v>
      </c>
      <c r="H7" s="112"/>
      <c r="J7" s="36"/>
    </row>
    <row r="8" spans="3:10" x14ac:dyDescent="0.25">
      <c r="C8" s="24"/>
      <c r="D8" s="2" t="s">
        <v>7330</v>
      </c>
      <c r="E8" s="2" t="s">
        <v>12</v>
      </c>
      <c r="F8" s="109">
        <v>5.5</v>
      </c>
      <c r="G8" s="113"/>
      <c r="H8" s="112"/>
    </row>
    <row r="9" spans="3:10" x14ac:dyDescent="0.25">
      <c r="C9" s="8"/>
      <c r="D9" s="2" t="s">
        <v>7331</v>
      </c>
      <c r="E9" s="2" t="s">
        <v>12</v>
      </c>
      <c r="F9" s="4"/>
      <c r="G9" s="14"/>
      <c r="H9" s="9">
        <v>10</v>
      </c>
    </row>
    <row r="10" spans="3:10" x14ac:dyDescent="0.25">
      <c r="C10" s="8"/>
      <c r="D10" s="2" t="s">
        <v>7332</v>
      </c>
      <c r="E10" s="2" t="s">
        <v>12</v>
      </c>
      <c r="F10" s="4">
        <v>10</v>
      </c>
      <c r="G10" s="14"/>
      <c r="H10" s="9"/>
    </row>
    <row r="11" spans="3:10" x14ac:dyDescent="0.25">
      <c r="C11" s="8"/>
      <c r="D11" s="2" t="s">
        <v>7333</v>
      </c>
      <c r="E11" s="2" t="s">
        <v>6166</v>
      </c>
      <c r="F11" s="4"/>
      <c r="G11" s="14"/>
      <c r="H11" s="9">
        <v>40</v>
      </c>
    </row>
    <row r="12" spans="3:10" x14ac:dyDescent="0.25">
      <c r="C12" s="8"/>
      <c r="D12" s="2" t="s">
        <v>7334</v>
      </c>
      <c r="E12" s="2" t="s">
        <v>6593</v>
      </c>
      <c r="F12" s="4">
        <v>85</v>
      </c>
      <c r="G12" s="14"/>
      <c r="H12" s="9"/>
    </row>
    <row r="13" spans="3:10" x14ac:dyDescent="0.25">
      <c r="C13" s="8"/>
      <c r="D13" s="2" t="s">
        <v>7335</v>
      </c>
      <c r="E13" s="2" t="s">
        <v>12</v>
      </c>
      <c r="F13" s="4">
        <v>6</v>
      </c>
      <c r="G13" s="14"/>
      <c r="H13" s="9"/>
    </row>
    <row r="14" spans="3:10" x14ac:dyDescent="0.25">
      <c r="C14" s="8"/>
      <c r="D14" s="2" t="s">
        <v>7336</v>
      </c>
      <c r="E14" s="2" t="s">
        <v>12</v>
      </c>
      <c r="F14" s="4"/>
      <c r="G14" s="14"/>
      <c r="H14" s="9">
        <v>30</v>
      </c>
    </row>
    <row r="15" spans="3:10" x14ac:dyDescent="0.25">
      <c r="C15" s="8"/>
      <c r="D15" s="2" t="s">
        <v>7337</v>
      </c>
      <c r="E15" s="2" t="s">
        <v>12</v>
      </c>
      <c r="F15" s="4">
        <v>28</v>
      </c>
      <c r="G15" s="14"/>
      <c r="H15" s="9"/>
    </row>
    <row r="16" spans="3:10" x14ac:dyDescent="0.25">
      <c r="C16" s="8"/>
      <c r="D16" s="2" t="s">
        <v>7338</v>
      </c>
      <c r="E16" s="2" t="s">
        <v>7341</v>
      </c>
      <c r="F16" s="4"/>
      <c r="G16" s="14"/>
      <c r="H16" s="9">
        <v>1178</v>
      </c>
    </row>
    <row r="17" spans="3:8" x14ac:dyDescent="0.25">
      <c r="C17" s="8"/>
      <c r="D17" s="2" t="s">
        <v>7339</v>
      </c>
      <c r="E17" s="2" t="s">
        <v>12</v>
      </c>
      <c r="F17" s="4">
        <v>18</v>
      </c>
      <c r="G17" s="14"/>
      <c r="H17" s="9"/>
    </row>
    <row r="18" spans="3:8" x14ac:dyDescent="0.25">
      <c r="C18" s="8"/>
      <c r="D18" s="2" t="s">
        <v>7371</v>
      </c>
      <c r="E18" s="2" t="s">
        <v>12</v>
      </c>
      <c r="F18" s="4">
        <v>30</v>
      </c>
      <c r="G18" s="14"/>
      <c r="H18" s="9"/>
    </row>
    <row r="19" spans="3:8" x14ac:dyDescent="0.25">
      <c r="C19" s="8"/>
      <c r="D19" s="2" t="s">
        <v>7372</v>
      </c>
      <c r="E19" s="2" t="s">
        <v>7384</v>
      </c>
      <c r="F19" s="4"/>
      <c r="G19" s="14">
        <v>332.5</v>
      </c>
      <c r="H19" s="9"/>
    </row>
    <row r="20" spans="3:8" x14ac:dyDescent="0.25">
      <c r="C20" s="8"/>
      <c r="D20" s="2" t="s">
        <v>7373</v>
      </c>
      <c r="E20" s="2" t="s">
        <v>12</v>
      </c>
      <c r="F20" s="4">
        <v>10</v>
      </c>
      <c r="G20" s="14"/>
      <c r="H20" s="9"/>
    </row>
    <row r="21" spans="3:8" x14ac:dyDescent="0.25">
      <c r="C21" s="8"/>
      <c r="D21" s="2" t="s">
        <v>7374</v>
      </c>
      <c r="E21" s="2" t="s">
        <v>7126</v>
      </c>
      <c r="F21" s="4"/>
      <c r="G21" s="14">
        <v>539</v>
      </c>
      <c r="H21" s="9"/>
    </row>
    <row r="22" spans="3:8" x14ac:dyDescent="0.25">
      <c r="C22" s="8"/>
      <c r="D22" s="2" t="s">
        <v>7375</v>
      </c>
      <c r="E22" s="2" t="s">
        <v>4635</v>
      </c>
      <c r="F22" s="4"/>
      <c r="G22" s="14">
        <v>96</v>
      </c>
      <c r="H22" s="9"/>
    </row>
    <row r="23" spans="3:8" x14ac:dyDescent="0.25">
      <c r="C23" s="8"/>
      <c r="D23" s="2" t="s">
        <v>7376</v>
      </c>
      <c r="E23" s="2" t="s">
        <v>12</v>
      </c>
      <c r="F23" s="4">
        <v>2.5</v>
      </c>
      <c r="G23" s="14"/>
      <c r="H23" s="9"/>
    </row>
    <row r="24" spans="3:8" x14ac:dyDescent="0.25">
      <c r="C24" s="8"/>
      <c r="D24" s="2" t="s">
        <v>7377</v>
      </c>
      <c r="E24" s="2" t="s">
        <v>12</v>
      </c>
      <c r="F24" s="4">
        <v>6</v>
      </c>
      <c r="G24" s="14"/>
      <c r="H24" s="9"/>
    </row>
    <row r="25" spans="3:8" x14ac:dyDescent="0.25">
      <c r="C25" s="8"/>
      <c r="D25" s="2" t="s">
        <v>7378</v>
      </c>
      <c r="E25" s="2" t="s">
        <v>6874</v>
      </c>
      <c r="F25" s="4">
        <v>1335</v>
      </c>
      <c r="G25" s="14"/>
      <c r="H25" s="9"/>
    </row>
    <row r="26" spans="3:8" x14ac:dyDescent="0.25">
      <c r="C26" s="8"/>
      <c r="D26" s="2" t="s">
        <v>7379</v>
      </c>
      <c r="E26" s="2" t="s">
        <v>7126</v>
      </c>
      <c r="F26" s="4"/>
      <c r="G26" s="14">
        <v>280</v>
      </c>
      <c r="H26" s="9"/>
    </row>
    <row r="27" spans="3:8" x14ac:dyDescent="0.25">
      <c r="C27" s="8"/>
      <c r="D27" s="2" t="s">
        <v>7380</v>
      </c>
      <c r="E27" s="2" t="s">
        <v>7383</v>
      </c>
      <c r="F27" s="4"/>
      <c r="G27" s="14"/>
      <c r="H27" s="9">
        <v>2526</v>
      </c>
    </row>
    <row r="28" spans="3:8" x14ac:dyDescent="0.25">
      <c r="C28" s="8"/>
      <c r="D28" s="2" t="s">
        <v>7381</v>
      </c>
      <c r="E28" s="2" t="s">
        <v>5733</v>
      </c>
      <c r="F28" s="4"/>
      <c r="G28" s="14">
        <v>280</v>
      </c>
      <c r="H28" s="9"/>
    </row>
    <row r="29" spans="3:8" x14ac:dyDescent="0.25">
      <c r="C29" s="8"/>
      <c r="D29" s="2" t="s">
        <v>7382</v>
      </c>
      <c r="E29" s="2" t="s">
        <v>12</v>
      </c>
      <c r="F29" s="4"/>
      <c r="G29" s="14"/>
      <c r="H29" s="9">
        <v>20</v>
      </c>
    </row>
    <row r="30" spans="3:8" x14ac:dyDescent="0.25">
      <c r="C30" s="8"/>
      <c r="D30" s="2" t="s">
        <v>7404</v>
      </c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/>
      <c r="E32" s="2"/>
      <c r="F32" s="35"/>
      <c r="G32" s="14"/>
      <c r="H32" s="9"/>
    </row>
    <row r="33" spans="3:8" x14ac:dyDescent="0.25">
      <c r="C33" s="8"/>
      <c r="D33" s="2" t="s">
        <v>7342</v>
      </c>
      <c r="E33" s="2" t="s">
        <v>7235</v>
      </c>
      <c r="F33" s="35"/>
      <c r="G33" s="14">
        <v>390</v>
      </c>
      <c r="H33" s="9"/>
    </row>
    <row r="34" spans="3:8" x14ac:dyDescent="0.25">
      <c r="C34" s="8"/>
      <c r="D34" s="2" t="s">
        <v>7343</v>
      </c>
      <c r="E34" s="2" t="s">
        <v>7360</v>
      </c>
      <c r="F34" s="35">
        <v>1881</v>
      </c>
      <c r="G34" s="14"/>
      <c r="H34" s="9"/>
    </row>
    <row r="35" spans="3:8" x14ac:dyDescent="0.25">
      <c r="C35" s="8"/>
      <c r="D35" s="2" t="s">
        <v>7344</v>
      </c>
      <c r="E35" s="2" t="s">
        <v>48</v>
      </c>
      <c r="F35" s="35">
        <v>4.5</v>
      </c>
      <c r="G35" s="14"/>
      <c r="H35" s="9"/>
    </row>
    <row r="36" spans="3:8" x14ac:dyDescent="0.25">
      <c r="C36" s="8"/>
      <c r="D36" s="2" t="s">
        <v>7345</v>
      </c>
      <c r="E36" s="2" t="s">
        <v>48</v>
      </c>
      <c r="F36" s="35">
        <v>45.3</v>
      </c>
      <c r="G36" s="14"/>
      <c r="H36" s="9"/>
    </row>
    <row r="37" spans="3:8" x14ac:dyDescent="0.25">
      <c r="C37" s="8"/>
      <c r="D37" s="2" t="s">
        <v>7346</v>
      </c>
      <c r="E37" s="2" t="s">
        <v>48</v>
      </c>
      <c r="F37" s="35">
        <v>3</v>
      </c>
      <c r="G37" s="14"/>
      <c r="H37" s="9"/>
    </row>
    <row r="38" spans="3:8" x14ac:dyDescent="0.25">
      <c r="C38" s="8"/>
      <c r="D38" s="2" t="s">
        <v>7347</v>
      </c>
      <c r="E38" s="2" t="s">
        <v>7361</v>
      </c>
      <c r="F38" s="35"/>
      <c r="G38" s="14"/>
      <c r="H38" s="9">
        <v>180</v>
      </c>
    </row>
    <row r="39" spans="3:8" x14ac:dyDescent="0.25">
      <c r="C39" s="8"/>
      <c r="D39" s="2" t="s">
        <v>7348</v>
      </c>
      <c r="E39" s="2" t="s">
        <v>48</v>
      </c>
      <c r="F39" s="35">
        <v>12</v>
      </c>
      <c r="G39" s="14"/>
      <c r="H39" s="9"/>
    </row>
    <row r="40" spans="3:8" x14ac:dyDescent="0.25">
      <c r="C40" s="8"/>
      <c r="D40" s="2" t="s">
        <v>7349</v>
      </c>
      <c r="E40" s="2" t="s">
        <v>48</v>
      </c>
      <c r="F40" s="35">
        <v>82</v>
      </c>
      <c r="G40" s="14"/>
      <c r="H40" s="9"/>
    </row>
    <row r="41" spans="3:8" x14ac:dyDescent="0.25">
      <c r="C41" s="8"/>
      <c r="D41" s="2" t="s">
        <v>7350</v>
      </c>
      <c r="E41" s="2" t="s">
        <v>48</v>
      </c>
      <c r="F41" s="35">
        <v>7</v>
      </c>
      <c r="G41" s="14"/>
      <c r="H41" s="9"/>
    </row>
    <row r="42" spans="3:8" x14ac:dyDescent="0.25">
      <c r="C42" s="8"/>
      <c r="D42" s="2" t="s">
        <v>7351</v>
      </c>
      <c r="E42" s="2" t="s">
        <v>7359</v>
      </c>
      <c r="F42" s="35"/>
      <c r="G42" s="14">
        <v>3758</v>
      </c>
      <c r="H42" s="9"/>
    </row>
    <row r="43" spans="3:8" x14ac:dyDescent="0.25">
      <c r="C43" s="8"/>
      <c r="D43" s="2" t="s">
        <v>7352</v>
      </c>
      <c r="E43" s="2" t="s">
        <v>5707</v>
      </c>
      <c r="F43" s="35"/>
      <c r="G43" s="14"/>
      <c r="H43" s="9">
        <v>168</v>
      </c>
    </row>
    <row r="44" spans="3:8" x14ac:dyDescent="0.25">
      <c r="C44" s="8"/>
      <c r="D44" s="2" t="s">
        <v>7353</v>
      </c>
      <c r="E44" s="2" t="s">
        <v>48</v>
      </c>
      <c r="F44" s="35"/>
      <c r="G44" s="14"/>
      <c r="H44" s="9">
        <v>200</v>
      </c>
    </row>
    <row r="45" spans="3:8" x14ac:dyDescent="0.25">
      <c r="C45" s="8"/>
      <c r="D45" s="2" t="s">
        <v>7354</v>
      </c>
      <c r="E45" s="2" t="s">
        <v>48</v>
      </c>
      <c r="F45" s="35">
        <v>12.5</v>
      </c>
      <c r="G45" s="14"/>
      <c r="H45" s="9"/>
    </row>
    <row r="46" spans="3:8" x14ac:dyDescent="0.25">
      <c r="C46" s="8"/>
      <c r="D46" s="2" t="s">
        <v>7355</v>
      </c>
      <c r="E46" s="2" t="s">
        <v>7358</v>
      </c>
      <c r="F46" s="35"/>
      <c r="G46" s="14"/>
      <c r="H46" s="9">
        <v>12.5</v>
      </c>
    </row>
    <row r="47" spans="3:8" x14ac:dyDescent="0.25">
      <c r="C47" s="8"/>
      <c r="D47" s="2" t="s">
        <v>7356</v>
      </c>
      <c r="E47" s="2" t="s">
        <v>7357</v>
      </c>
      <c r="F47" s="35"/>
      <c r="G47" s="14"/>
      <c r="H47" s="9">
        <v>272</v>
      </c>
    </row>
    <row r="48" spans="3:8" x14ac:dyDescent="0.25">
      <c r="C48" s="8"/>
      <c r="D48" s="2" t="s">
        <v>7366</v>
      </c>
      <c r="E48" s="2" t="s">
        <v>48</v>
      </c>
      <c r="F48" s="35">
        <v>159</v>
      </c>
      <c r="G48" s="14"/>
      <c r="H48" s="9"/>
    </row>
    <row r="49" spans="3:8" x14ac:dyDescent="0.25">
      <c r="C49" s="8"/>
      <c r="D49" s="2" t="s">
        <v>7385</v>
      </c>
      <c r="E49" s="2" t="s">
        <v>7397</v>
      </c>
      <c r="F49" s="35"/>
      <c r="G49" s="14"/>
      <c r="H49" s="9">
        <v>76</v>
      </c>
    </row>
    <row r="50" spans="3:8" x14ac:dyDescent="0.25">
      <c r="C50" s="8"/>
      <c r="D50" s="2" t="s">
        <v>7386</v>
      </c>
      <c r="E50" s="2" t="s">
        <v>6704</v>
      </c>
      <c r="F50" s="35"/>
      <c r="G50" s="14"/>
      <c r="H50" s="9">
        <v>139.5</v>
      </c>
    </row>
    <row r="51" spans="3:8" x14ac:dyDescent="0.25">
      <c r="C51" s="8"/>
      <c r="D51" s="2" t="s">
        <v>7387</v>
      </c>
      <c r="E51" s="2" t="s">
        <v>6396</v>
      </c>
      <c r="F51" s="35"/>
      <c r="G51" s="14">
        <v>165</v>
      </c>
      <c r="H51" s="9"/>
    </row>
    <row r="52" spans="3:8" x14ac:dyDescent="0.25">
      <c r="C52" s="8"/>
      <c r="D52" s="2" t="s">
        <v>7388</v>
      </c>
      <c r="E52" s="2" t="s">
        <v>48</v>
      </c>
      <c r="F52" s="35"/>
      <c r="G52" s="14"/>
      <c r="H52" s="9">
        <v>20</v>
      </c>
    </row>
    <row r="53" spans="3:8" x14ac:dyDescent="0.25">
      <c r="C53" s="8"/>
      <c r="D53" s="2" t="s">
        <v>7389</v>
      </c>
      <c r="E53" s="2" t="s">
        <v>4618</v>
      </c>
      <c r="F53" s="35"/>
      <c r="G53" s="14"/>
      <c r="H53" s="9">
        <v>147</v>
      </c>
    </row>
    <row r="54" spans="3:8" x14ac:dyDescent="0.25">
      <c r="C54" s="8"/>
      <c r="D54" s="2" t="s">
        <v>7390</v>
      </c>
      <c r="E54" s="2" t="s">
        <v>48</v>
      </c>
      <c r="F54" s="35">
        <v>5</v>
      </c>
      <c r="G54" s="14"/>
      <c r="H54" s="9"/>
    </row>
    <row r="55" spans="3:8" x14ac:dyDescent="0.25">
      <c r="C55" s="8"/>
      <c r="D55" s="2" t="s">
        <v>7391</v>
      </c>
      <c r="E55" s="2" t="s">
        <v>7396</v>
      </c>
      <c r="F55" s="35"/>
      <c r="G55" s="14"/>
      <c r="H55" s="9">
        <v>180</v>
      </c>
    </row>
    <row r="56" spans="3:8" x14ac:dyDescent="0.25">
      <c r="C56" s="8"/>
      <c r="D56" s="2" t="s">
        <v>7392</v>
      </c>
      <c r="E56" s="2" t="s">
        <v>7395</v>
      </c>
      <c r="F56" s="35"/>
      <c r="G56" s="14"/>
      <c r="H56" s="9">
        <v>170</v>
      </c>
    </row>
    <row r="57" spans="3:8" x14ac:dyDescent="0.25">
      <c r="C57" s="8"/>
      <c r="D57" s="2" t="s">
        <v>7393</v>
      </c>
      <c r="E57" s="2" t="s">
        <v>48</v>
      </c>
      <c r="F57" s="35">
        <v>6</v>
      </c>
      <c r="G57" s="14"/>
      <c r="H57" s="9"/>
    </row>
    <row r="58" spans="3:8" x14ac:dyDescent="0.25">
      <c r="C58" s="8"/>
      <c r="D58" s="2" t="s">
        <v>7394</v>
      </c>
      <c r="E58" s="2" t="s">
        <v>48</v>
      </c>
      <c r="F58" s="35">
        <v>6</v>
      </c>
      <c r="G58" s="14"/>
      <c r="H58" s="9"/>
    </row>
    <row r="59" spans="3:8" x14ac:dyDescent="0.25">
      <c r="C59" s="8"/>
      <c r="D59" s="2" t="s">
        <v>7400</v>
      </c>
      <c r="E59" s="2" t="s">
        <v>7402</v>
      </c>
      <c r="F59" s="35">
        <v>20</v>
      </c>
      <c r="G59" s="14"/>
      <c r="H59" s="9"/>
    </row>
    <row r="60" spans="3:8" x14ac:dyDescent="0.25">
      <c r="C60" s="8"/>
      <c r="D60" s="2" t="s">
        <v>7401</v>
      </c>
      <c r="E60" s="2" t="s">
        <v>5055</v>
      </c>
      <c r="F60" s="35"/>
      <c r="G60" s="14"/>
      <c r="H60" s="9">
        <v>861.2</v>
      </c>
    </row>
    <row r="61" spans="3:8" x14ac:dyDescent="0.25">
      <c r="C61" s="8"/>
      <c r="D61" s="2" t="s">
        <v>7422</v>
      </c>
      <c r="E61" s="2"/>
      <c r="F61" s="35"/>
      <c r="G61" s="14"/>
      <c r="H61" s="9"/>
    </row>
    <row r="62" spans="3:8" x14ac:dyDescent="0.25">
      <c r="C62" s="8"/>
      <c r="D62" s="2"/>
      <c r="E62" s="2"/>
      <c r="F62" s="35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8" x14ac:dyDescent="0.25">
      <c r="C65" s="8"/>
      <c r="D65" s="45" t="s">
        <v>7325</v>
      </c>
      <c r="E65" s="68" t="s">
        <v>7324</v>
      </c>
      <c r="F65" s="4"/>
      <c r="G65" s="14"/>
      <c r="H65" s="9">
        <v>30</v>
      </c>
    </row>
    <row r="66" spans="3:8" x14ac:dyDescent="0.25">
      <c r="C66" s="8"/>
      <c r="D66" s="45" t="s">
        <v>7327</v>
      </c>
      <c r="E66" s="68" t="s">
        <v>7326</v>
      </c>
      <c r="F66" s="4"/>
      <c r="G66" s="14"/>
      <c r="H66" s="9">
        <v>1890</v>
      </c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2"/>
      <c r="E69" s="2"/>
      <c r="F69" s="4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76" t="s">
        <v>7362</v>
      </c>
      <c r="F71" s="35">
        <v>1147.8</v>
      </c>
      <c r="G71" s="14"/>
      <c r="H71" s="9"/>
    </row>
    <row r="72" spans="3:8" x14ac:dyDescent="0.25">
      <c r="C72" s="8"/>
      <c r="D72" s="2"/>
      <c r="E72" s="76" t="s">
        <v>7363</v>
      </c>
      <c r="F72" s="35">
        <v>1952.2</v>
      </c>
      <c r="G72" s="14"/>
      <c r="H72" s="9"/>
    </row>
    <row r="73" spans="3:8" x14ac:dyDescent="0.25">
      <c r="C73" s="8"/>
      <c r="D73" s="2"/>
      <c r="E73" s="76" t="s">
        <v>7364</v>
      </c>
      <c r="F73" s="35">
        <v>1413</v>
      </c>
      <c r="G73" s="14"/>
      <c r="H73" s="9"/>
    </row>
    <row r="74" spans="3:8" x14ac:dyDescent="0.25">
      <c r="C74" s="8"/>
      <c r="D74" s="2"/>
      <c r="E74" s="76" t="s">
        <v>7365</v>
      </c>
      <c r="F74" s="35">
        <v>6879</v>
      </c>
      <c r="G74" s="14"/>
      <c r="H74" s="9"/>
    </row>
    <row r="75" spans="3:8" x14ac:dyDescent="0.25">
      <c r="C75" s="8"/>
      <c r="D75" s="2"/>
      <c r="E75" s="76" t="s">
        <v>7398</v>
      </c>
      <c r="F75" s="35">
        <v>930</v>
      </c>
      <c r="G75" s="14"/>
      <c r="H75" s="9"/>
    </row>
    <row r="76" spans="3:8" x14ac:dyDescent="0.25">
      <c r="C76" s="8"/>
      <c r="D76" s="2"/>
      <c r="E76" s="76"/>
      <c r="F76" s="35"/>
      <c r="G76" s="14"/>
      <c r="H76" s="9"/>
    </row>
    <row r="77" spans="3:8" x14ac:dyDescent="0.25">
      <c r="C77" s="8"/>
      <c r="D77" s="2"/>
      <c r="E77" s="76"/>
      <c r="F77" s="35"/>
      <c r="G77" s="14"/>
      <c r="H77" s="9"/>
    </row>
    <row r="78" spans="3:8" x14ac:dyDescent="0.25">
      <c r="C78" s="8"/>
      <c r="D78" s="2"/>
      <c r="E78" s="76"/>
      <c r="F78" s="35"/>
      <c r="G78" s="14"/>
      <c r="H78" s="9"/>
    </row>
    <row r="79" spans="3:8" x14ac:dyDescent="0.25">
      <c r="C79" s="8"/>
      <c r="D79" s="2"/>
      <c r="E79" s="76"/>
      <c r="F79" s="35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9"/>
      <c r="D81" s="20"/>
      <c r="E81" s="20" t="s">
        <v>42</v>
      </c>
      <c r="F81" s="4"/>
      <c r="G81" s="14"/>
      <c r="H81" s="9"/>
    </row>
    <row r="82" spans="3:8" x14ac:dyDescent="0.25">
      <c r="C82" s="34"/>
      <c r="D82" s="45" t="s">
        <v>7367</v>
      </c>
      <c r="E82" s="68" t="s">
        <v>7368</v>
      </c>
      <c r="F82" s="14">
        <v>-146</v>
      </c>
      <c r="G82" s="14"/>
      <c r="H82" s="9"/>
    </row>
    <row r="83" spans="3:8" x14ac:dyDescent="0.25">
      <c r="C83" s="34"/>
      <c r="D83" s="45"/>
      <c r="E83" s="68" t="s">
        <v>7369</v>
      </c>
      <c r="F83" s="14">
        <v>-150</v>
      </c>
      <c r="G83" s="14"/>
      <c r="H83" s="9"/>
    </row>
    <row r="84" spans="3:8" x14ac:dyDescent="0.25">
      <c r="C84" s="34"/>
      <c r="D84" s="42"/>
      <c r="E84" s="68" t="s">
        <v>7370</v>
      </c>
      <c r="F84" s="14">
        <v>-50</v>
      </c>
      <c r="G84" s="14"/>
      <c r="H84" s="9"/>
    </row>
    <row r="85" spans="3:8" x14ac:dyDescent="0.25">
      <c r="C85" s="34"/>
      <c r="D85" s="42"/>
      <c r="E85" s="68" t="s">
        <v>2167</v>
      </c>
      <c r="F85" s="14">
        <v>-210</v>
      </c>
      <c r="G85" s="14"/>
      <c r="H85" s="9"/>
    </row>
    <row r="86" spans="3:8" x14ac:dyDescent="0.25">
      <c r="C86" s="34"/>
      <c r="D86" s="42"/>
      <c r="E86" s="68" t="s">
        <v>7399</v>
      </c>
      <c r="F86" s="14">
        <v>-175</v>
      </c>
      <c r="G86" s="14"/>
      <c r="H86" s="9"/>
    </row>
    <row r="87" spans="3:8" x14ac:dyDescent="0.25">
      <c r="C87" s="34"/>
      <c r="D87" s="42"/>
      <c r="E87" s="68" t="s">
        <v>7319</v>
      </c>
      <c r="F87" s="14">
        <v>-1883</v>
      </c>
      <c r="G87" s="14"/>
      <c r="H87" s="9"/>
    </row>
    <row r="88" spans="3:8" x14ac:dyDescent="0.25">
      <c r="C88" s="34"/>
      <c r="D88" s="42"/>
      <c r="E88" s="68" t="s">
        <v>1486</v>
      </c>
      <c r="F88" s="14">
        <v>-20</v>
      </c>
      <c r="G88" s="14"/>
      <c r="H88" s="9"/>
    </row>
    <row r="89" spans="3:8" x14ac:dyDescent="0.25">
      <c r="C89" s="34"/>
      <c r="D89" s="42"/>
      <c r="E89" s="68"/>
      <c r="F89" s="14"/>
      <c r="G89" s="14"/>
      <c r="H89" s="9"/>
    </row>
    <row r="90" spans="3:8" x14ac:dyDescent="0.25">
      <c r="C90" s="34"/>
      <c r="D90" s="42"/>
      <c r="E90" s="68"/>
      <c r="F90" s="14"/>
      <c r="G90" s="14"/>
      <c r="H90" s="9"/>
    </row>
    <row r="91" spans="3:8" ht="15.75" thickBot="1" x14ac:dyDescent="0.3">
      <c r="C91" s="10"/>
      <c r="D91" s="11"/>
      <c r="E91" s="11" t="s">
        <v>44</v>
      </c>
      <c r="F91" s="12">
        <f>SUM(F6:F90)</f>
        <v>13467.3</v>
      </c>
      <c r="G91" s="15">
        <f>SUM(G9:G90)</f>
        <v>5840.5</v>
      </c>
      <c r="H91" s="13">
        <f>SUM(H9:H90)</f>
        <v>8150.2</v>
      </c>
    </row>
    <row r="94" spans="3:8" s="3" customFormat="1" ht="18.75" x14ac:dyDescent="0.3">
      <c r="C94" s="1"/>
      <c r="D94" s="1"/>
      <c r="E94" s="38" t="s">
        <v>49</v>
      </c>
      <c r="F94" s="39">
        <f>+H4+F91</f>
        <v>15235.88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B162-BCD3-495D-8747-7EE6231669D9}">
  <sheetPr codeName="Hoja92"/>
  <dimension ref="C2:J109"/>
  <sheetViews>
    <sheetView topLeftCell="B82" zoomScaleNormal="100" workbookViewId="0">
      <selection activeCell="E92" sqref="E92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7403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15235.88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7404</v>
      </c>
      <c r="E6" s="2" t="s">
        <v>5918</v>
      </c>
      <c r="F6" s="109">
        <v>4.5</v>
      </c>
      <c r="G6" s="113"/>
      <c r="H6" s="112"/>
    </row>
    <row r="7" spans="3:10" x14ac:dyDescent="0.25">
      <c r="C7" s="24"/>
      <c r="D7" s="2" t="s">
        <v>7405</v>
      </c>
      <c r="E7" s="2" t="s">
        <v>6781</v>
      </c>
      <c r="F7" s="109">
        <v>122</v>
      </c>
      <c r="G7" s="113"/>
      <c r="H7" s="112"/>
      <c r="J7" s="36"/>
    </row>
    <row r="8" spans="3:10" x14ac:dyDescent="0.25">
      <c r="C8" s="24"/>
      <c r="D8" s="2" t="s">
        <v>7406</v>
      </c>
      <c r="E8" s="2" t="s">
        <v>7421</v>
      </c>
      <c r="F8" s="109">
        <v>150</v>
      </c>
      <c r="G8" s="113"/>
      <c r="H8" s="112"/>
    </row>
    <row r="9" spans="3:10" x14ac:dyDescent="0.25">
      <c r="C9" s="8"/>
      <c r="D9" s="2" t="s">
        <v>7407</v>
      </c>
      <c r="E9" s="2" t="s">
        <v>7420</v>
      </c>
      <c r="F9" s="4">
        <v>550</v>
      </c>
      <c r="G9" s="14"/>
      <c r="H9" s="9"/>
    </row>
    <row r="10" spans="3:10" x14ac:dyDescent="0.25">
      <c r="C10" s="8"/>
      <c r="D10" s="2" t="s">
        <v>7408</v>
      </c>
      <c r="E10" s="2" t="s">
        <v>5918</v>
      </c>
      <c r="F10" s="4">
        <v>2</v>
      </c>
      <c r="G10" s="14"/>
      <c r="H10" s="9"/>
    </row>
    <row r="11" spans="3:10" x14ac:dyDescent="0.25">
      <c r="C11" s="8"/>
      <c r="D11" s="2" t="s">
        <v>7409</v>
      </c>
      <c r="E11" s="2" t="s">
        <v>5918</v>
      </c>
      <c r="F11" s="4">
        <v>15</v>
      </c>
      <c r="G11" s="14"/>
      <c r="H11" s="9"/>
    </row>
    <row r="12" spans="3:10" x14ac:dyDescent="0.25">
      <c r="C12" s="8"/>
      <c r="D12" s="2" t="s">
        <v>7410</v>
      </c>
      <c r="E12" s="2" t="s">
        <v>5918</v>
      </c>
      <c r="F12" s="4"/>
      <c r="G12" s="14"/>
      <c r="H12" s="9">
        <v>33.5</v>
      </c>
    </row>
    <row r="13" spans="3:10" x14ac:dyDescent="0.25">
      <c r="C13" s="8"/>
      <c r="D13" s="2" t="s">
        <v>7411</v>
      </c>
      <c r="E13" s="2" t="s">
        <v>5918</v>
      </c>
      <c r="F13" s="4">
        <v>23.5</v>
      </c>
      <c r="G13" s="14"/>
      <c r="H13" s="9"/>
    </row>
    <row r="14" spans="3:10" x14ac:dyDescent="0.25">
      <c r="C14" s="8"/>
      <c r="D14" s="2" t="s">
        <v>7412</v>
      </c>
      <c r="E14" s="2" t="s">
        <v>4254</v>
      </c>
      <c r="F14" s="4"/>
      <c r="G14" s="14">
        <v>313.8</v>
      </c>
      <c r="H14" s="9"/>
    </row>
    <row r="15" spans="3:10" x14ac:dyDescent="0.25">
      <c r="C15" s="8"/>
      <c r="D15" s="2" t="s">
        <v>7413</v>
      </c>
      <c r="E15" s="2" t="s">
        <v>5918</v>
      </c>
      <c r="F15" s="4">
        <v>34</v>
      </c>
      <c r="G15" s="14"/>
      <c r="H15" s="9"/>
    </row>
    <row r="16" spans="3:10" x14ac:dyDescent="0.25">
      <c r="C16" s="8"/>
      <c r="D16" s="2" t="s">
        <v>7414</v>
      </c>
      <c r="E16" s="2" t="s">
        <v>4597</v>
      </c>
      <c r="F16" s="4">
        <v>42.5</v>
      </c>
      <c r="G16" s="14"/>
      <c r="H16" s="9"/>
    </row>
    <row r="17" spans="3:8" x14ac:dyDescent="0.25">
      <c r="C17" s="8"/>
      <c r="D17" s="2" t="s">
        <v>7415</v>
      </c>
      <c r="E17" s="2" t="s">
        <v>5918</v>
      </c>
      <c r="F17" s="4"/>
      <c r="G17" s="14"/>
      <c r="H17" s="9">
        <v>92.5</v>
      </c>
    </row>
    <row r="18" spans="3:8" x14ac:dyDescent="0.25">
      <c r="C18" s="8"/>
      <c r="D18" s="2" t="s">
        <v>7416</v>
      </c>
      <c r="E18" s="2" t="s">
        <v>5918</v>
      </c>
      <c r="F18" s="4"/>
      <c r="G18" s="14"/>
      <c r="H18" s="9">
        <v>18</v>
      </c>
    </row>
    <row r="19" spans="3:8" x14ac:dyDescent="0.25">
      <c r="C19" s="8"/>
      <c r="D19" s="2" t="s">
        <v>7417</v>
      </c>
      <c r="E19" s="2" t="s">
        <v>5266</v>
      </c>
      <c r="F19" s="4">
        <v>6</v>
      </c>
      <c r="G19" s="14"/>
      <c r="H19" s="9"/>
    </row>
    <row r="20" spans="3:8" x14ac:dyDescent="0.25">
      <c r="C20" s="8"/>
      <c r="D20" s="2" t="s">
        <v>7418</v>
      </c>
      <c r="E20" s="2" t="s">
        <v>5918</v>
      </c>
      <c r="F20" s="4">
        <v>4.5</v>
      </c>
      <c r="G20" s="14"/>
      <c r="H20" s="9"/>
    </row>
    <row r="21" spans="3:8" x14ac:dyDescent="0.25">
      <c r="C21" s="8"/>
      <c r="D21" s="2" t="s">
        <v>7419</v>
      </c>
      <c r="E21" s="2" t="s">
        <v>5918</v>
      </c>
      <c r="F21" s="4">
        <v>5</v>
      </c>
      <c r="G21" s="14"/>
      <c r="H21" s="9"/>
    </row>
    <row r="22" spans="3:8" x14ac:dyDescent="0.25">
      <c r="C22" s="8"/>
      <c r="D22" s="2" t="s">
        <v>7438</v>
      </c>
      <c r="E22" s="2" t="s">
        <v>5918</v>
      </c>
      <c r="F22" s="4"/>
      <c r="G22" s="14"/>
      <c r="H22" s="9">
        <v>15</v>
      </c>
    </row>
    <row r="23" spans="3:8" x14ac:dyDescent="0.25">
      <c r="C23" s="8"/>
      <c r="D23" s="2" t="s">
        <v>7439</v>
      </c>
      <c r="E23" s="2" t="s">
        <v>5918</v>
      </c>
      <c r="F23" s="4">
        <v>11</v>
      </c>
      <c r="G23" s="14"/>
      <c r="H23" s="9"/>
    </row>
    <row r="24" spans="3:8" x14ac:dyDescent="0.25">
      <c r="C24" s="8"/>
      <c r="D24" s="2" t="s">
        <v>7441</v>
      </c>
      <c r="E24" s="2" t="s">
        <v>5918</v>
      </c>
      <c r="F24" s="4">
        <v>8.4</v>
      </c>
      <c r="G24" s="14"/>
      <c r="H24" s="9"/>
    </row>
    <row r="25" spans="3:8" x14ac:dyDescent="0.25">
      <c r="C25" s="8"/>
      <c r="D25" s="2" t="s">
        <v>7444</v>
      </c>
      <c r="E25" s="2" t="s">
        <v>5918</v>
      </c>
      <c r="F25" s="4">
        <v>10</v>
      </c>
      <c r="G25" s="14"/>
      <c r="H25" s="9"/>
    </row>
    <row r="26" spans="3:8" x14ac:dyDescent="0.25">
      <c r="C26" s="8"/>
      <c r="D26" s="2" t="s">
        <v>7445</v>
      </c>
      <c r="E26" s="2" t="s">
        <v>5918</v>
      </c>
      <c r="F26" s="4">
        <v>19</v>
      </c>
      <c r="G26" s="14"/>
      <c r="H26" s="9"/>
    </row>
    <row r="27" spans="3:8" x14ac:dyDescent="0.25">
      <c r="C27" s="8"/>
      <c r="D27" s="2" t="s">
        <v>7449</v>
      </c>
      <c r="E27" s="2" t="s">
        <v>266</v>
      </c>
      <c r="F27" s="4">
        <v>1506.45</v>
      </c>
      <c r="G27" s="14"/>
      <c r="H27" s="9"/>
    </row>
    <row r="28" spans="3:8" x14ac:dyDescent="0.25">
      <c r="C28" s="8"/>
      <c r="D28" s="2" t="s">
        <v>7450</v>
      </c>
      <c r="E28" s="2" t="s">
        <v>5918</v>
      </c>
      <c r="F28" s="4">
        <v>19</v>
      </c>
      <c r="G28" s="14"/>
      <c r="H28" s="9"/>
    </row>
    <row r="29" spans="3:8" x14ac:dyDescent="0.25">
      <c r="C29" s="8"/>
      <c r="D29" s="2" t="s">
        <v>7451</v>
      </c>
      <c r="E29" s="2" t="s">
        <v>5918</v>
      </c>
      <c r="F29" s="4"/>
      <c r="G29" s="14"/>
      <c r="H29" s="9">
        <v>325</v>
      </c>
    </row>
    <row r="30" spans="3:8" x14ac:dyDescent="0.25">
      <c r="C30" s="8"/>
      <c r="D30" s="2" t="s">
        <v>7452</v>
      </c>
      <c r="E30" s="2" t="s">
        <v>7456</v>
      </c>
      <c r="F30" s="4">
        <v>1675</v>
      </c>
      <c r="G30" s="14"/>
      <c r="H30" s="9"/>
    </row>
    <row r="31" spans="3:8" x14ac:dyDescent="0.25">
      <c r="C31" s="8"/>
      <c r="D31" s="2" t="s">
        <v>7453</v>
      </c>
      <c r="E31" s="2" t="s">
        <v>5918</v>
      </c>
      <c r="F31" s="4">
        <v>6</v>
      </c>
      <c r="G31" s="14"/>
      <c r="H31" s="9"/>
    </row>
    <row r="32" spans="3:8" x14ac:dyDescent="0.25">
      <c r="C32" s="8"/>
      <c r="D32" s="2" t="s">
        <v>7454</v>
      </c>
      <c r="E32" s="2" t="s">
        <v>5918</v>
      </c>
      <c r="F32" s="4">
        <v>10</v>
      </c>
      <c r="G32" s="14"/>
      <c r="H32" s="9"/>
    </row>
    <row r="33" spans="3:8" x14ac:dyDescent="0.25">
      <c r="C33" s="8"/>
      <c r="D33" s="2" t="s">
        <v>7455</v>
      </c>
      <c r="E33" s="2" t="s">
        <v>6279</v>
      </c>
      <c r="F33" s="4"/>
      <c r="G33" s="14">
        <v>242.5</v>
      </c>
      <c r="H33" s="9"/>
    </row>
    <row r="34" spans="3:8" x14ac:dyDescent="0.25">
      <c r="C34" s="8"/>
      <c r="D34" s="2" t="s">
        <v>7464</v>
      </c>
      <c r="E34" s="2" t="s">
        <v>5918</v>
      </c>
      <c r="F34" s="4"/>
      <c r="G34" s="14"/>
      <c r="H34" s="9">
        <v>44</v>
      </c>
    </row>
    <row r="35" spans="3:8" x14ac:dyDescent="0.25">
      <c r="C35" s="8"/>
      <c r="D35" s="2" t="s">
        <v>7465</v>
      </c>
      <c r="E35" s="2" t="s">
        <v>5918</v>
      </c>
      <c r="F35" s="4">
        <v>45</v>
      </c>
      <c r="G35" s="14"/>
      <c r="H35" s="9"/>
    </row>
    <row r="36" spans="3:8" x14ac:dyDescent="0.25">
      <c r="C36" s="8"/>
      <c r="D36" s="2" t="s">
        <v>7466</v>
      </c>
      <c r="E36" s="2" t="s">
        <v>5918</v>
      </c>
      <c r="F36" s="4"/>
      <c r="G36" s="14"/>
      <c r="H36" s="9">
        <v>18</v>
      </c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8"/>
      <c r="D42" s="2" t="s">
        <v>7422</v>
      </c>
      <c r="E42" s="2" t="s">
        <v>6775</v>
      </c>
      <c r="F42" s="4"/>
      <c r="G42" s="14">
        <v>814</v>
      </c>
      <c r="H42" s="9"/>
    </row>
    <row r="43" spans="3:8" x14ac:dyDescent="0.25">
      <c r="C43" s="8"/>
      <c r="D43" s="2" t="s">
        <v>7423</v>
      </c>
      <c r="E43" s="2" t="s">
        <v>5422</v>
      </c>
      <c r="F43" s="4"/>
      <c r="G43" s="14"/>
      <c r="H43" s="9">
        <v>42</v>
      </c>
    </row>
    <row r="44" spans="3:8" x14ac:dyDescent="0.25">
      <c r="C44" s="8"/>
      <c r="D44" s="2" t="s">
        <v>7424</v>
      </c>
      <c r="E44" s="2" t="s">
        <v>6775</v>
      </c>
      <c r="F44" s="4"/>
      <c r="G44" s="14">
        <v>82.5</v>
      </c>
      <c r="H44" s="9"/>
    </row>
    <row r="45" spans="3:8" x14ac:dyDescent="0.25">
      <c r="C45" s="8"/>
      <c r="D45" s="2" t="s">
        <v>7425</v>
      </c>
      <c r="E45" s="2" t="s">
        <v>7431</v>
      </c>
      <c r="F45" s="4">
        <v>130</v>
      </c>
      <c r="G45" s="14"/>
      <c r="H45" s="9"/>
    </row>
    <row r="46" spans="3:8" x14ac:dyDescent="0.25">
      <c r="C46" s="8"/>
      <c r="D46" s="2" t="s">
        <v>7426</v>
      </c>
      <c r="E46" s="2" t="s">
        <v>5294</v>
      </c>
      <c r="F46" s="4"/>
      <c r="G46" s="14">
        <v>4947</v>
      </c>
      <c r="H46" s="9"/>
    </row>
    <row r="47" spans="3:8" x14ac:dyDescent="0.25">
      <c r="C47" s="8"/>
      <c r="D47" s="2" t="s">
        <v>7427</v>
      </c>
      <c r="E47" s="2" t="s">
        <v>5422</v>
      </c>
      <c r="F47" s="4"/>
      <c r="G47" s="14"/>
      <c r="H47" s="9">
        <v>42</v>
      </c>
    </row>
    <row r="48" spans="3:8" x14ac:dyDescent="0.25">
      <c r="C48" s="8"/>
      <c r="D48" s="2" t="s">
        <v>7428</v>
      </c>
      <c r="E48" s="2" t="s">
        <v>48</v>
      </c>
      <c r="F48" s="4">
        <v>7.5</v>
      </c>
      <c r="G48" s="14"/>
      <c r="H48" s="9"/>
    </row>
    <row r="49" spans="3:8" x14ac:dyDescent="0.25">
      <c r="C49" s="8"/>
      <c r="D49" s="2" t="s">
        <v>7429</v>
      </c>
      <c r="E49" s="2" t="s">
        <v>7077</v>
      </c>
      <c r="F49" s="4"/>
      <c r="G49" s="14"/>
      <c r="H49" s="9">
        <v>1134</v>
      </c>
    </row>
    <row r="50" spans="3:8" x14ac:dyDescent="0.25">
      <c r="C50" s="8"/>
      <c r="D50" s="2" t="s">
        <v>7430</v>
      </c>
      <c r="E50" s="2" t="s">
        <v>7077</v>
      </c>
      <c r="F50" s="4"/>
      <c r="G50" s="14"/>
      <c r="H50" s="9">
        <v>33</v>
      </c>
    </row>
    <row r="51" spans="3:8" x14ac:dyDescent="0.25">
      <c r="C51" s="8"/>
      <c r="D51" s="2" t="s">
        <v>7440</v>
      </c>
      <c r="E51" s="2" t="s">
        <v>48</v>
      </c>
      <c r="F51" s="4">
        <v>31</v>
      </c>
      <c r="G51" s="14"/>
      <c r="H51" s="9"/>
    </row>
    <row r="52" spans="3:8" x14ac:dyDescent="0.25">
      <c r="C52" s="8"/>
      <c r="D52" s="2" t="s">
        <v>7442</v>
      </c>
      <c r="E52" s="2" t="s">
        <v>48</v>
      </c>
      <c r="F52" s="4">
        <v>8</v>
      </c>
      <c r="G52" s="14"/>
      <c r="H52" s="9"/>
    </row>
    <row r="53" spans="3:8" x14ac:dyDescent="0.25">
      <c r="C53" s="8"/>
      <c r="D53" s="2" t="s">
        <v>7446</v>
      </c>
      <c r="E53" s="2" t="s">
        <v>48</v>
      </c>
      <c r="F53" s="4">
        <v>21</v>
      </c>
      <c r="G53" s="14"/>
      <c r="H53" s="9"/>
    </row>
    <row r="54" spans="3:8" x14ac:dyDescent="0.25">
      <c r="C54" s="8"/>
      <c r="D54" s="2" t="s">
        <v>7447</v>
      </c>
      <c r="E54" s="2" t="s">
        <v>48</v>
      </c>
      <c r="F54" s="4">
        <v>1</v>
      </c>
      <c r="G54" s="14"/>
      <c r="H54" s="9"/>
    </row>
    <row r="55" spans="3:8" x14ac:dyDescent="0.25">
      <c r="C55" s="8"/>
      <c r="D55" s="2" t="s">
        <v>7448</v>
      </c>
      <c r="E55" s="2" t="s">
        <v>1153</v>
      </c>
      <c r="F55" s="4">
        <v>1535</v>
      </c>
      <c r="G55" s="14"/>
      <c r="H55" s="9"/>
    </row>
    <row r="56" spans="3:8" x14ac:dyDescent="0.25">
      <c r="C56" s="8"/>
      <c r="D56" s="2" t="s">
        <v>7457</v>
      </c>
      <c r="E56" s="2" t="s">
        <v>48</v>
      </c>
      <c r="F56" s="4">
        <v>28</v>
      </c>
      <c r="G56" s="14"/>
      <c r="H56" s="9"/>
    </row>
    <row r="57" spans="3:8" x14ac:dyDescent="0.25">
      <c r="C57" s="8"/>
      <c r="D57" s="2" t="s">
        <v>7458</v>
      </c>
      <c r="E57" s="2" t="s">
        <v>48</v>
      </c>
      <c r="F57" s="4">
        <v>4</v>
      </c>
      <c r="G57" s="14"/>
      <c r="H57" s="9"/>
    </row>
    <row r="58" spans="3:8" x14ac:dyDescent="0.25">
      <c r="C58" s="8"/>
      <c r="D58" s="2" t="s">
        <v>7459</v>
      </c>
      <c r="E58" s="2" t="s">
        <v>48</v>
      </c>
      <c r="F58" s="4"/>
      <c r="G58" s="14"/>
      <c r="H58" s="9">
        <v>11.5</v>
      </c>
    </row>
    <row r="59" spans="3:8" x14ac:dyDescent="0.25">
      <c r="C59" s="8"/>
      <c r="D59" s="2" t="s">
        <v>7467</v>
      </c>
      <c r="E59" s="2" t="s">
        <v>48</v>
      </c>
      <c r="F59" s="4">
        <v>4.5</v>
      </c>
      <c r="G59" s="14"/>
      <c r="H59" s="9"/>
    </row>
    <row r="60" spans="3:8" x14ac:dyDescent="0.25">
      <c r="C60" s="8"/>
      <c r="D60" s="2" t="s">
        <v>7482</v>
      </c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45"/>
      <c r="E67" s="68"/>
      <c r="F67" s="4"/>
      <c r="G67" s="14"/>
      <c r="H67" s="9"/>
    </row>
    <row r="68" spans="3:8" x14ac:dyDescent="0.25">
      <c r="C68" s="8"/>
      <c r="D68" s="45"/>
      <c r="E68" s="68"/>
      <c r="F68" s="4"/>
      <c r="G68" s="14"/>
      <c r="H68" s="9"/>
    </row>
    <row r="69" spans="3:8" x14ac:dyDescent="0.25">
      <c r="C69" s="8"/>
      <c r="D69" s="45"/>
      <c r="E69" s="68"/>
      <c r="F69" s="4"/>
      <c r="G69" s="14"/>
      <c r="H69" s="9"/>
    </row>
    <row r="70" spans="3:8" x14ac:dyDescent="0.25">
      <c r="C70" s="8"/>
      <c r="D70" s="45"/>
      <c r="E70" s="68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16"/>
      <c r="D72" s="17"/>
      <c r="E72" s="17" t="s">
        <v>39</v>
      </c>
      <c r="F72" s="4"/>
      <c r="G72" s="14"/>
      <c r="H72" s="9"/>
    </row>
    <row r="73" spans="3:8" x14ac:dyDescent="0.25">
      <c r="C73" s="8"/>
      <c r="D73" s="2"/>
      <c r="E73" s="76" t="s">
        <v>7432</v>
      </c>
      <c r="F73" s="35">
        <v>280</v>
      </c>
      <c r="G73" s="14"/>
      <c r="H73" s="9"/>
    </row>
    <row r="74" spans="3:8" x14ac:dyDescent="0.25">
      <c r="C74" s="8"/>
      <c r="D74" s="2"/>
      <c r="E74" s="76" t="s">
        <v>7433</v>
      </c>
      <c r="F74" s="35">
        <v>539</v>
      </c>
      <c r="G74" s="14"/>
      <c r="H74" s="9"/>
    </row>
    <row r="75" spans="3:8" x14ac:dyDescent="0.25">
      <c r="C75" s="8"/>
      <c r="D75" s="2"/>
      <c r="E75" s="76" t="s">
        <v>7434</v>
      </c>
      <c r="F75" s="35">
        <v>3452.2</v>
      </c>
      <c r="G75" s="14"/>
      <c r="H75" s="9"/>
    </row>
    <row r="76" spans="3:8" x14ac:dyDescent="0.25">
      <c r="C76" s="8"/>
      <c r="D76" s="2"/>
      <c r="E76" s="76" t="s">
        <v>7363</v>
      </c>
      <c r="F76" s="35">
        <v>1547.8</v>
      </c>
      <c r="G76" s="14"/>
      <c r="H76" s="9"/>
    </row>
    <row r="77" spans="3:8" x14ac:dyDescent="0.25">
      <c r="C77" s="8"/>
      <c r="D77" s="2"/>
      <c r="E77" s="76" t="s">
        <v>7435</v>
      </c>
      <c r="F77" s="35">
        <v>1463</v>
      </c>
      <c r="G77" s="14"/>
      <c r="H77" s="9"/>
    </row>
    <row r="78" spans="3:8" x14ac:dyDescent="0.25">
      <c r="C78" s="8"/>
      <c r="D78" s="2"/>
      <c r="E78" s="76" t="s">
        <v>7460</v>
      </c>
      <c r="F78" s="35">
        <v>494.15</v>
      </c>
      <c r="G78" s="14"/>
      <c r="H78" s="9"/>
    </row>
    <row r="79" spans="3:8" x14ac:dyDescent="0.25">
      <c r="C79" s="8"/>
      <c r="D79" s="2"/>
      <c r="E79" s="76" t="s">
        <v>7461</v>
      </c>
      <c r="F79" s="35">
        <v>90</v>
      </c>
      <c r="G79" s="14"/>
      <c r="H79" s="9"/>
    </row>
    <row r="80" spans="3:8" x14ac:dyDescent="0.25">
      <c r="C80" s="8"/>
      <c r="D80" s="2"/>
      <c r="E80" s="76" t="s">
        <v>7462</v>
      </c>
      <c r="F80" s="35">
        <v>280</v>
      </c>
      <c r="G80" s="14"/>
      <c r="H80" s="9"/>
    </row>
    <row r="81" spans="3:8" x14ac:dyDescent="0.25">
      <c r="C81" s="8"/>
      <c r="D81" s="2"/>
      <c r="E81" s="76" t="s">
        <v>7468</v>
      </c>
      <c r="F81" s="35">
        <v>143</v>
      </c>
      <c r="G81" s="14"/>
      <c r="H81" s="9"/>
    </row>
    <row r="82" spans="3:8" x14ac:dyDescent="0.25">
      <c r="C82" s="8"/>
      <c r="D82" s="2"/>
      <c r="E82" s="76" t="s">
        <v>7470</v>
      </c>
      <c r="F82" s="35">
        <v>26</v>
      </c>
      <c r="G82" s="14"/>
      <c r="H82" s="9"/>
    </row>
    <row r="83" spans="3:8" x14ac:dyDescent="0.25">
      <c r="C83" s="8"/>
      <c r="D83" s="2"/>
      <c r="E83" s="76"/>
      <c r="F83" s="35"/>
      <c r="G83" s="14"/>
      <c r="H83" s="9"/>
    </row>
    <row r="84" spans="3:8" x14ac:dyDescent="0.25">
      <c r="C84" s="8"/>
      <c r="D84" s="2"/>
      <c r="E84" s="76"/>
      <c r="F84" s="35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19"/>
      <c r="D86" s="20"/>
      <c r="E86" s="20" t="s">
        <v>42</v>
      </c>
      <c r="F86" s="4"/>
      <c r="G86" s="14"/>
      <c r="H86" s="9"/>
    </row>
    <row r="87" spans="3:8" x14ac:dyDescent="0.25">
      <c r="C87" s="34"/>
      <c r="D87" s="45"/>
      <c r="E87" s="68" t="s">
        <v>4446</v>
      </c>
      <c r="F87" s="14">
        <v>-1330</v>
      </c>
      <c r="G87" s="14"/>
      <c r="H87" s="9"/>
    </row>
    <row r="88" spans="3:8" x14ac:dyDescent="0.25">
      <c r="C88" s="34"/>
      <c r="D88" s="45"/>
      <c r="E88" s="68" t="s">
        <v>7436</v>
      </c>
      <c r="F88" s="14">
        <v>-10</v>
      </c>
      <c r="G88" s="14"/>
      <c r="H88" s="9"/>
    </row>
    <row r="89" spans="3:8" x14ac:dyDescent="0.25">
      <c r="C89" s="34"/>
      <c r="D89" s="42"/>
      <c r="E89" s="68" t="s">
        <v>7437</v>
      </c>
      <c r="F89" s="14">
        <v>-477.4</v>
      </c>
      <c r="G89" s="14"/>
      <c r="H89" s="9"/>
    </row>
    <row r="90" spans="3:8" x14ac:dyDescent="0.25">
      <c r="C90" s="34"/>
      <c r="D90" s="42"/>
      <c r="E90" s="68" t="s">
        <v>7443</v>
      </c>
      <c r="F90" s="14">
        <v>-40</v>
      </c>
      <c r="G90" s="14"/>
      <c r="H90" s="9"/>
    </row>
    <row r="91" spans="3:8" x14ac:dyDescent="0.25">
      <c r="C91" s="34"/>
      <c r="D91" s="42"/>
      <c r="E91" s="68" t="s">
        <v>1274</v>
      </c>
      <c r="F91" s="14">
        <v>-525</v>
      </c>
      <c r="G91" s="14"/>
      <c r="H91" s="9"/>
    </row>
    <row r="92" spans="3:8" x14ac:dyDescent="0.25">
      <c r="C92" s="34"/>
      <c r="D92" s="42"/>
      <c r="E92" s="68" t="s">
        <v>4311</v>
      </c>
      <c r="F92" s="14">
        <v>-267.5</v>
      </c>
      <c r="G92" s="14"/>
      <c r="H92" s="9"/>
    </row>
    <row r="93" spans="3:8" x14ac:dyDescent="0.25">
      <c r="C93" s="34"/>
      <c r="D93" s="42"/>
      <c r="E93" s="68" t="s">
        <v>754</v>
      </c>
      <c r="F93" s="14">
        <v>-330</v>
      </c>
      <c r="G93" s="14"/>
      <c r="H93" s="9"/>
    </row>
    <row r="94" spans="3:8" x14ac:dyDescent="0.25">
      <c r="C94" s="34"/>
      <c r="D94" s="42"/>
      <c r="E94" s="68" t="s">
        <v>7463</v>
      </c>
      <c r="F94" s="14">
        <v>-210</v>
      </c>
      <c r="G94" s="14"/>
      <c r="H94" s="9"/>
    </row>
    <row r="95" spans="3:8" x14ac:dyDescent="0.25">
      <c r="C95" s="34"/>
      <c r="D95" s="42"/>
      <c r="E95" s="68" t="s">
        <v>5967</v>
      </c>
      <c r="F95" s="14">
        <v>-240</v>
      </c>
      <c r="G95" s="14"/>
      <c r="H95" s="9"/>
    </row>
    <row r="96" spans="3:8" x14ac:dyDescent="0.25">
      <c r="C96" s="34"/>
      <c r="D96" s="42"/>
      <c r="E96" s="68" t="s">
        <v>759</v>
      </c>
      <c r="F96" s="14">
        <v>-500</v>
      </c>
      <c r="G96" s="14"/>
      <c r="H96" s="9"/>
    </row>
    <row r="97" spans="3:8" x14ac:dyDescent="0.25">
      <c r="C97" s="34"/>
      <c r="D97" s="42"/>
      <c r="E97" s="68" t="s">
        <v>7469</v>
      </c>
      <c r="F97" s="14">
        <v>-1718</v>
      </c>
      <c r="G97" s="14"/>
      <c r="H97" s="9"/>
    </row>
    <row r="98" spans="3:8" x14ac:dyDescent="0.25">
      <c r="C98" s="34"/>
      <c r="D98" s="42"/>
      <c r="E98" s="68" t="s">
        <v>1486</v>
      </c>
      <c r="F98" s="14">
        <v>-490</v>
      </c>
      <c r="G98" s="14"/>
      <c r="H98" s="9"/>
    </row>
    <row r="99" spans="3:8" x14ac:dyDescent="0.25">
      <c r="C99" s="34"/>
      <c r="D99" s="42"/>
      <c r="E99" s="68" t="s">
        <v>1540</v>
      </c>
      <c r="F99" s="14">
        <v>-410</v>
      </c>
      <c r="G99" s="14"/>
      <c r="H99" s="9"/>
    </row>
    <row r="100" spans="3:8" x14ac:dyDescent="0.25">
      <c r="C100" s="34"/>
      <c r="D100" s="42"/>
      <c r="E100" s="68" t="s">
        <v>6492</v>
      </c>
      <c r="F100" s="14">
        <v>-295</v>
      </c>
      <c r="G100" s="14"/>
      <c r="H100" s="9"/>
    </row>
    <row r="101" spans="3:8" x14ac:dyDescent="0.25">
      <c r="C101" s="34"/>
      <c r="D101" s="42"/>
      <c r="E101" s="68" t="s">
        <v>767</v>
      </c>
      <c r="F101" s="14">
        <v>-370</v>
      </c>
      <c r="G101" s="14"/>
      <c r="H101" s="9"/>
    </row>
    <row r="102" spans="3:8" x14ac:dyDescent="0.25">
      <c r="C102" s="34"/>
      <c r="D102" s="42"/>
      <c r="E102" s="68" t="s">
        <v>7471</v>
      </c>
      <c r="F102" s="14">
        <v>-900</v>
      </c>
      <c r="G102" s="14"/>
      <c r="H102" s="9"/>
    </row>
    <row r="103" spans="3:8" x14ac:dyDescent="0.25">
      <c r="C103" s="34"/>
      <c r="D103" s="42"/>
      <c r="E103" s="68"/>
      <c r="F103" s="14"/>
      <c r="G103" s="14"/>
      <c r="H103" s="9"/>
    </row>
    <row r="104" spans="3:8" x14ac:dyDescent="0.25">
      <c r="C104" s="34"/>
      <c r="D104" s="42"/>
      <c r="E104" s="68"/>
      <c r="F104" s="14"/>
      <c r="G104" s="14"/>
      <c r="H104" s="9"/>
    </row>
    <row r="105" spans="3:8" x14ac:dyDescent="0.25">
      <c r="C105" s="34"/>
      <c r="D105" s="42"/>
      <c r="E105" s="68"/>
      <c r="F105" s="14"/>
      <c r="G105" s="14"/>
      <c r="H105" s="9"/>
    </row>
    <row r="106" spans="3:8" ht="15.75" thickBot="1" x14ac:dyDescent="0.3">
      <c r="C106" s="10"/>
      <c r="D106" s="11"/>
      <c r="E106" s="11" t="s">
        <v>44</v>
      </c>
      <c r="F106" s="12">
        <f>SUM(F6:F105)</f>
        <v>6241.0999999999985</v>
      </c>
      <c r="G106" s="15">
        <f>SUM(G9:G105)</f>
        <v>6399.8</v>
      </c>
      <c r="H106" s="13">
        <f>SUM(H9:H105)</f>
        <v>1808.5</v>
      </c>
    </row>
    <row r="109" spans="3:8" s="3" customFormat="1" ht="18.75" x14ac:dyDescent="0.3">
      <c r="C109" s="1"/>
      <c r="D109" s="1"/>
      <c r="E109" s="38" t="s">
        <v>49</v>
      </c>
      <c r="F109" s="39">
        <f>+H4+F106</f>
        <v>21476.979999999996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2DA8-5B14-410C-B48B-5F45087D6DE7}">
  <sheetPr codeName="Hoja93"/>
  <dimension ref="C2:J113"/>
  <sheetViews>
    <sheetView topLeftCell="B82" zoomScaleNormal="100" workbookViewId="0">
      <selection activeCell="F113" sqref="F113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7472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21476.98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7475</v>
      </c>
      <c r="E6" s="2" t="s">
        <v>7126</v>
      </c>
      <c r="F6" s="109">
        <v>3955</v>
      </c>
      <c r="G6" s="113"/>
      <c r="H6" s="112"/>
    </row>
    <row r="7" spans="3:10" x14ac:dyDescent="0.25">
      <c r="C7" s="24"/>
      <c r="D7" s="2" t="s">
        <v>7477</v>
      </c>
      <c r="E7" s="2" t="s">
        <v>12</v>
      </c>
      <c r="F7" s="109"/>
      <c r="G7" s="113"/>
      <c r="H7" s="112">
        <v>26.5</v>
      </c>
      <c r="J7" s="36"/>
    </row>
    <row r="8" spans="3:10" x14ac:dyDescent="0.25">
      <c r="C8" s="24"/>
      <c r="D8" s="2" t="s">
        <v>7478</v>
      </c>
      <c r="E8" s="2" t="s">
        <v>12</v>
      </c>
      <c r="F8" s="109">
        <v>3</v>
      </c>
      <c r="G8" s="113"/>
      <c r="H8" s="112"/>
      <c r="J8" s="36"/>
    </row>
    <row r="9" spans="3:10" x14ac:dyDescent="0.25">
      <c r="C9" s="24"/>
      <c r="D9" s="2" t="s">
        <v>7479</v>
      </c>
      <c r="E9" s="2" t="s">
        <v>12</v>
      </c>
      <c r="F9" s="109"/>
      <c r="G9" s="113"/>
      <c r="H9" s="112">
        <v>4</v>
      </c>
      <c r="J9" s="36"/>
    </row>
    <row r="10" spans="3:10" x14ac:dyDescent="0.25">
      <c r="C10" s="24"/>
      <c r="D10" s="2" t="s">
        <v>7480</v>
      </c>
      <c r="E10" s="2" t="s">
        <v>12</v>
      </c>
      <c r="F10" s="109">
        <v>4.5</v>
      </c>
      <c r="G10" s="113"/>
      <c r="H10" s="112"/>
      <c r="J10" s="36"/>
    </row>
    <row r="11" spans="3:10" x14ac:dyDescent="0.25">
      <c r="C11" s="24"/>
      <c r="D11" s="2" t="s">
        <v>7481</v>
      </c>
      <c r="E11" s="2" t="s">
        <v>7476</v>
      </c>
      <c r="F11" s="109"/>
      <c r="G11" s="113">
        <v>3.5</v>
      </c>
      <c r="H11" s="112"/>
      <c r="J11" s="36"/>
    </row>
    <row r="12" spans="3:10" x14ac:dyDescent="0.25">
      <c r="C12" s="24"/>
      <c r="D12" s="2" t="s">
        <v>7526</v>
      </c>
      <c r="E12" s="2" t="s">
        <v>5678</v>
      </c>
      <c r="F12" s="109"/>
      <c r="G12" s="113"/>
      <c r="H12" s="112">
        <v>16</v>
      </c>
      <c r="J12" s="36"/>
    </row>
    <row r="13" spans="3:10" x14ac:dyDescent="0.25">
      <c r="C13" s="24"/>
      <c r="D13" s="2" t="s">
        <v>7527</v>
      </c>
      <c r="E13" s="2" t="s">
        <v>7126</v>
      </c>
      <c r="F13" s="109">
        <v>100</v>
      </c>
      <c r="G13" s="113"/>
      <c r="H13" s="112"/>
      <c r="J13" s="36"/>
    </row>
    <row r="14" spans="3:10" x14ac:dyDescent="0.25">
      <c r="C14" s="24"/>
      <c r="D14" s="2" t="s">
        <v>7528</v>
      </c>
      <c r="E14" s="2" t="s">
        <v>7535</v>
      </c>
      <c r="F14" s="109">
        <v>48.8</v>
      </c>
      <c r="G14" s="113"/>
      <c r="H14" s="112"/>
      <c r="J14" s="36"/>
    </row>
    <row r="15" spans="3:10" x14ac:dyDescent="0.25">
      <c r="C15" s="24"/>
      <c r="D15" s="2" t="s">
        <v>7529</v>
      </c>
      <c r="E15" s="2" t="s">
        <v>5678</v>
      </c>
      <c r="F15" s="109">
        <v>1.5</v>
      </c>
      <c r="G15" s="113"/>
      <c r="H15" s="112"/>
      <c r="J15" s="36"/>
    </row>
    <row r="16" spans="3:10" x14ac:dyDescent="0.25">
      <c r="C16" s="24"/>
      <c r="D16" s="2" t="s">
        <v>7530</v>
      </c>
      <c r="E16" s="2" t="s">
        <v>7126</v>
      </c>
      <c r="F16" s="109"/>
      <c r="G16" s="113">
        <v>565</v>
      </c>
      <c r="H16" s="112"/>
      <c r="J16" s="36"/>
    </row>
    <row r="17" spans="3:10" x14ac:dyDescent="0.25">
      <c r="C17" s="24"/>
      <c r="D17" s="2" t="s">
        <v>7531</v>
      </c>
      <c r="E17" s="2" t="s">
        <v>12</v>
      </c>
      <c r="F17" s="109">
        <v>5.5</v>
      </c>
      <c r="G17" s="113"/>
      <c r="H17" s="112"/>
      <c r="J17" s="36"/>
    </row>
    <row r="18" spans="3:10" x14ac:dyDescent="0.25">
      <c r="C18" s="24"/>
      <c r="D18" s="2" t="s">
        <v>7532</v>
      </c>
      <c r="E18" s="2" t="s">
        <v>6778</v>
      </c>
      <c r="F18" s="109"/>
      <c r="G18" s="113">
        <v>230</v>
      </c>
      <c r="H18" s="112"/>
      <c r="J18" s="36"/>
    </row>
    <row r="19" spans="3:10" x14ac:dyDescent="0.25">
      <c r="C19" s="24"/>
      <c r="D19" s="2" t="s">
        <v>7533</v>
      </c>
      <c r="E19" s="2" t="s">
        <v>12</v>
      </c>
      <c r="F19" s="109">
        <v>1</v>
      </c>
      <c r="G19" s="113"/>
      <c r="H19" s="112"/>
      <c r="J19" s="36"/>
    </row>
    <row r="20" spans="3:10" x14ac:dyDescent="0.25">
      <c r="C20" s="24"/>
      <c r="D20" s="2" t="s">
        <v>7534</v>
      </c>
      <c r="E20" s="2" t="s">
        <v>12</v>
      </c>
      <c r="F20" s="109"/>
      <c r="G20" s="113"/>
      <c r="H20" s="112">
        <v>4</v>
      </c>
      <c r="J20" s="36"/>
    </row>
    <row r="21" spans="3:10" x14ac:dyDescent="0.25">
      <c r="C21" s="24"/>
      <c r="D21" s="2" t="s">
        <v>7555</v>
      </c>
      <c r="E21" s="2" t="s">
        <v>5733</v>
      </c>
      <c r="F21" s="109"/>
      <c r="G21" s="113">
        <v>65</v>
      </c>
      <c r="H21" s="112"/>
      <c r="J21" s="36"/>
    </row>
    <row r="22" spans="3:10" x14ac:dyDescent="0.25">
      <c r="C22" s="24"/>
      <c r="D22" s="2" t="s">
        <v>7569</v>
      </c>
      <c r="E22" s="2"/>
      <c r="F22" s="109"/>
      <c r="G22" s="113"/>
      <c r="H22" s="112"/>
      <c r="J22" s="36"/>
    </row>
    <row r="23" spans="3:10" x14ac:dyDescent="0.25">
      <c r="C23" s="24"/>
      <c r="D23" s="2"/>
      <c r="E23" s="2"/>
      <c r="F23" s="109"/>
      <c r="G23" s="113"/>
      <c r="H23" s="112"/>
      <c r="J23" s="36"/>
    </row>
    <row r="24" spans="3:10" x14ac:dyDescent="0.25">
      <c r="C24" s="24"/>
      <c r="D24" s="2"/>
      <c r="E24" s="2"/>
      <c r="F24" s="109"/>
      <c r="G24" s="113"/>
      <c r="H24" s="112"/>
      <c r="J24" s="36"/>
    </row>
    <row r="25" spans="3:10" x14ac:dyDescent="0.25">
      <c r="C25" s="24"/>
      <c r="D25" s="2" t="s">
        <v>7482</v>
      </c>
      <c r="E25" s="2" t="s">
        <v>1631</v>
      </c>
      <c r="F25" s="109"/>
      <c r="G25" s="113"/>
      <c r="H25" s="112">
        <v>70</v>
      </c>
      <c r="J25" s="36"/>
    </row>
    <row r="26" spans="3:10" x14ac:dyDescent="0.25">
      <c r="C26" s="24"/>
      <c r="D26" s="2" t="s">
        <v>7483</v>
      </c>
      <c r="E26" s="2" t="s">
        <v>1631</v>
      </c>
      <c r="F26" s="109">
        <v>27</v>
      </c>
      <c r="G26" s="113"/>
      <c r="H26" s="112"/>
      <c r="J26" s="36"/>
    </row>
    <row r="27" spans="3:10" x14ac:dyDescent="0.25">
      <c r="C27" s="24"/>
      <c r="D27" s="2" t="s">
        <v>7484</v>
      </c>
      <c r="E27" s="2" t="s">
        <v>1631</v>
      </c>
      <c r="F27" s="109">
        <v>37</v>
      </c>
      <c r="G27" s="113"/>
      <c r="H27" s="112"/>
      <c r="J27" s="36"/>
    </row>
    <row r="28" spans="3:10" x14ac:dyDescent="0.25">
      <c r="C28" s="24"/>
      <c r="D28" s="2" t="s">
        <v>7485</v>
      </c>
      <c r="E28" s="2" t="s">
        <v>1631</v>
      </c>
      <c r="F28" s="109">
        <v>32.6</v>
      </c>
      <c r="G28" s="113"/>
      <c r="H28" s="112"/>
      <c r="J28" s="36"/>
    </row>
    <row r="29" spans="3:10" x14ac:dyDescent="0.25">
      <c r="C29" s="24"/>
      <c r="D29" s="2" t="s">
        <v>7486</v>
      </c>
      <c r="E29" s="2" t="s">
        <v>1631</v>
      </c>
      <c r="F29" s="109">
        <v>27.5</v>
      </c>
      <c r="G29" s="113"/>
      <c r="H29" s="112"/>
      <c r="J29" s="36"/>
    </row>
    <row r="30" spans="3:10" x14ac:dyDescent="0.25">
      <c r="C30" s="24"/>
      <c r="D30" s="2" t="s">
        <v>7487</v>
      </c>
      <c r="E30" s="2" t="s">
        <v>1631</v>
      </c>
      <c r="F30" s="109">
        <v>103</v>
      </c>
      <c r="G30" s="113"/>
      <c r="H30" s="112"/>
      <c r="J30" s="36"/>
    </row>
    <row r="31" spans="3:10" x14ac:dyDescent="0.25">
      <c r="C31" s="24"/>
      <c r="D31" s="2" t="s">
        <v>7488</v>
      </c>
      <c r="E31" s="2" t="s">
        <v>1631</v>
      </c>
      <c r="F31" s="109">
        <v>12.5</v>
      </c>
      <c r="G31" s="113"/>
      <c r="H31" s="112"/>
      <c r="J31" s="36"/>
    </row>
    <row r="32" spans="3:10" x14ac:dyDescent="0.25">
      <c r="C32" s="24"/>
      <c r="D32" s="2" t="s">
        <v>7489</v>
      </c>
      <c r="E32" s="2" t="s">
        <v>1631</v>
      </c>
      <c r="F32" s="109">
        <v>41.8</v>
      </c>
      <c r="G32" s="113"/>
      <c r="H32" s="112"/>
      <c r="J32" s="36"/>
    </row>
    <row r="33" spans="3:10" x14ac:dyDescent="0.25">
      <c r="C33" s="24"/>
      <c r="D33" s="2" t="s">
        <v>7490</v>
      </c>
      <c r="E33" s="2" t="s">
        <v>1631</v>
      </c>
      <c r="F33" s="109">
        <v>35</v>
      </c>
      <c r="G33" s="113"/>
      <c r="H33" s="112"/>
      <c r="J33" s="36"/>
    </row>
    <row r="34" spans="3:10" x14ac:dyDescent="0.25">
      <c r="C34" s="24"/>
      <c r="D34" s="2" t="s">
        <v>7491</v>
      </c>
      <c r="E34" s="2" t="s">
        <v>1631</v>
      </c>
      <c r="F34" s="109">
        <v>119.2</v>
      </c>
      <c r="G34" s="113"/>
      <c r="H34" s="112"/>
      <c r="J34" s="36"/>
    </row>
    <row r="35" spans="3:10" x14ac:dyDescent="0.25">
      <c r="C35" s="24"/>
      <c r="D35" s="2" t="s">
        <v>7492</v>
      </c>
      <c r="E35" s="2" t="s">
        <v>1631</v>
      </c>
      <c r="F35" s="109">
        <v>73.5</v>
      </c>
      <c r="G35" s="113"/>
      <c r="H35" s="112"/>
      <c r="J35" s="36"/>
    </row>
    <row r="36" spans="3:10" x14ac:dyDescent="0.25">
      <c r="C36" s="24"/>
      <c r="D36" s="2" t="s">
        <v>7493</v>
      </c>
      <c r="E36" s="2" t="s">
        <v>1631</v>
      </c>
      <c r="F36" s="109">
        <v>73</v>
      </c>
      <c r="G36" s="113"/>
      <c r="H36" s="112"/>
      <c r="J36" s="36"/>
    </row>
    <row r="37" spans="3:10" x14ac:dyDescent="0.25">
      <c r="C37" s="24"/>
      <c r="D37" s="2" t="s">
        <v>7494</v>
      </c>
      <c r="E37" s="2" t="s">
        <v>1631</v>
      </c>
      <c r="F37" s="109">
        <v>15</v>
      </c>
      <c r="G37" s="113"/>
      <c r="H37" s="112"/>
      <c r="J37" s="36"/>
    </row>
    <row r="38" spans="3:10" x14ac:dyDescent="0.25">
      <c r="C38" s="24"/>
      <c r="D38" s="2" t="s">
        <v>7495</v>
      </c>
      <c r="E38" s="2" t="s">
        <v>1631</v>
      </c>
      <c r="F38" s="109">
        <v>20</v>
      </c>
      <c r="G38" s="113"/>
      <c r="H38" s="112"/>
      <c r="J38" s="36"/>
    </row>
    <row r="39" spans="3:10" x14ac:dyDescent="0.25">
      <c r="C39" s="24"/>
      <c r="D39" s="2" t="s">
        <v>7496</v>
      </c>
      <c r="E39" s="2" t="s">
        <v>1631</v>
      </c>
      <c r="F39" s="109">
        <v>84.5</v>
      </c>
      <c r="G39" s="113"/>
      <c r="H39" s="112"/>
      <c r="J39" s="36"/>
    </row>
    <row r="40" spans="3:10" x14ac:dyDescent="0.25">
      <c r="C40" s="24"/>
      <c r="D40" s="2" t="s">
        <v>7497</v>
      </c>
      <c r="E40" s="2" t="s">
        <v>1631</v>
      </c>
      <c r="F40" s="109">
        <v>21</v>
      </c>
      <c r="G40" s="113"/>
      <c r="H40" s="112"/>
      <c r="J40" s="36"/>
    </row>
    <row r="41" spans="3:10" x14ac:dyDescent="0.25">
      <c r="C41" s="24"/>
      <c r="D41" s="2" t="s">
        <v>7498</v>
      </c>
      <c r="E41" s="2" t="s">
        <v>1631</v>
      </c>
      <c r="F41" s="109"/>
      <c r="G41" s="113"/>
      <c r="H41" s="112">
        <v>31.8</v>
      </c>
      <c r="J41" s="36"/>
    </row>
    <row r="42" spans="3:10" x14ac:dyDescent="0.25">
      <c r="C42" s="24"/>
      <c r="D42" s="2" t="s">
        <v>7499</v>
      </c>
      <c r="E42" s="2" t="s">
        <v>1631</v>
      </c>
      <c r="F42" s="109">
        <v>46.8</v>
      </c>
      <c r="G42" s="113"/>
      <c r="H42" s="112"/>
      <c r="J42" s="36"/>
    </row>
    <row r="43" spans="3:10" x14ac:dyDescent="0.25">
      <c r="C43" s="24"/>
      <c r="D43" s="2" t="s">
        <v>7500</v>
      </c>
      <c r="E43" s="2" t="s">
        <v>1631</v>
      </c>
      <c r="F43" s="109">
        <v>6</v>
      </c>
      <c r="G43" s="113"/>
      <c r="H43" s="112"/>
      <c r="J43" s="36"/>
    </row>
    <row r="44" spans="3:10" x14ac:dyDescent="0.25">
      <c r="C44" s="24"/>
      <c r="D44" s="2" t="s">
        <v>7501</v>
      </c>
      <c r="E44" s="2" t="s">
        <v>1631</v>
      </c>
      <c r="F44" s="109">
        <v>4.5</v>
      </c>
      <c r="G44" s="113"/>
      <c r="H44" s="112"/>
      <c r="J44" s="36"/>
    </row>
    <row r="45" spans="3:10" x14ac:dyDescent="0.25">
      <c r="C45" s="24"/>
      <c r="D45" s="2" t="s">
        <v>7502</v>
      </c>
      <c r="E45" s="2" t="s">
        <v>1631</v>
      </c>
      <c r="F45" s="109">
        <v>7</v>
      </c>
      <c r="G45" s="113"/>
      <c r="H45" s="112"/>
      <c r="J45" s="36"/>
    </row>
    <row r="46" spans="3:10" x14ac:dyDescent="0.25">
      <c r="C46" s="24"/>
      <c r="D46" s="2" t="s">
        <v>7503</v>
      </c>
      <c r="E46" s="2" t="s">
        <v>1631</v>
      </c>
      <c r="F46" s="109">
        <v>18</v>
      </c>
      <c r="G46" s="113"/>
      <c r="H46" s="112"/>
      <c r="J46" s="36"/>
    </row>
    <row r="47" spans="3:10" x14ac:dyDescent="0.25">
      <c r="C47" s="24"/>
      <c r="D47" s="2" t="s">
        <v>7504</v>
      </c>
      <c r="E47" s="2" t="s">
        <v>1631</v>
      </c>
      <c r="F47" s="109">
        <v>12</v>
      </c>
      <c r="G47" s="113"/>
      <c r="H47" s="112"/>
      <c r="J47" s="36"/>
    </row>
    <row r="48" spans="3:10" x14ac:dyDescent="0.25">
      <c r="C48" s="24"/>
      <c r="D48" s="2" t="s">
        <v>7505</v>
      </c>
      <c r="E48" s="2" t="s">
        <v>1631</v>
      </c>
      <c r="F48" s="109">
        <v>30</v>
      </c>
      <c r="G48" s="113"/>
      <c r="H48" s="112">
        <v>30</v>
      </c>
      <c r="J48" s="36"/>
    </row>
    <row r="49" spans="3:10" x14ac:dyDescent="0.25">
      <c r="C49" s="24"/>
      <c r="D49" s="2" t="s">
        <v>7506</v>
      </c>
      <c r="E49" s="2" t="s">
        <v>7515</v>
      </c>
      <c r="F49" s="109">
        <v>55</v>
      </c>
      <c r="G49" s="113"/>
      <c r="H49" s="112">
        <v>55</v>
      </c>
      <c r="J49" s="36"/>
    </row>
    <row r="50" spans="3:10" x14ac:dyDescent="0.25">
      <c r="C50" s="24"/>
      <c r="D50" s="2" t="s">
        <v>7507</v>
      </c>
      <c r="E50" s="2" t="s">
        <v>7514</v>
      </c>
      <c r="F50" s="109"/>
      <c r="G50" s="113">
        <v>333</v>
      </c>
      <c r="H50" s="112"/>
      <c r="J50" s="36"/>
    </row>
    <row r="51" spans="3:10" x14ac:dyDescent="0.25">
      <c r="C51" s="24"/>
      <c r="D51" s="2" t="s">
        <v>7508</v>
      </c>
      <c r="E51" s="2" t="s">
        <v>1631</v>
      </c>
      <c r="F51" s="109">
        <v>104</v>
      </c>
      <c r="G51" s="113"/>
      <c r="H51" s="112"/>
      <c r="J51" s="36"/>
    </row>
    <row r="52" spans="3:10" x14ac:dyDescent="0.25">
      <c r="C52" s="24"/>
      <c r="D52" s="2" t="s">
        <v>7509</v>
      </c>
      <c r="E52" s="2" t="s">
        <v>6775</v>
      </c>
      <c r="F52" s="109"/>
      <c r="G52" s="113">
        <v>370.8</v>
      </c>
      <c r="H52" s="112"/>
      <c r="J52" s="36"/>
    </row>
    <row r="53" spans="3:10" x14ac:dyDescent="0.25">
      <c r="C53" s="24"/>
      <c r="D53" s="2" t="s">
        <v>7510</v>
      </c>
      <c r="E53" s="2" t="s">
        <v>5394</v>
      </c>
      <c r="F53" s="109"/>
      <c r="G53" s="113"/>
      <c r="H53" s="112">
        <v>690</v>
      </c>
      <c r="J53" s="36"/>
    </row>
    <row r="54" spans="3:10" x14ac:dyDescent="0.25">
      <c r="C54" s="24"/>
      <c r="D54" s="2" t="s">
        <v>7511</v>
      </c>
      <c r="E54" s="2" t="s">
        <v>5644</v>
      </c>
      <c r="F54" s="109"/>
      <c r="G54" s="113"/>
      <c r="H54" s="112">
        <v>3706.5</v>
      </c>
      <c r="J54" s="36"/>
    </row>
    <row r="55" spans="3:10" x14ac:dyDescent="0.25">
      <c r="C55" s="24"/>
      <c r="D55" s="2" t="s">
        <v>7512</v>
      </c>
      <c r="E55" s="2" t="s">
        <v>5394</v>
      </c>
      <c r="F55" s="109">
        <v>12</v>
      </c>
      <c r="G55" s="113"/>
      <c r="H55" s="112"/>
      <c r="J55" s="36"/>
    </row>
    <row r="56" spans="3:10" x14ac:dyDescent="0.25">
      <c r="C56" s="24"/>
      <c r="D56" s="2" t="s">
        <v>7513</v>
      </c>
      <c r="E56" s="2" t="s">
        <v>6275</v>
      </c>
      <c r="F56" s="109"/>
      <c r="G56" s="113">
        <v>121.2</v>
      </c>
      <c r="H56" s="112"/>
      <c r="J56" s="36"/>
    </row>
    <row r="57" spans="3:10" x14ac:dyDescent="0.25">
      <c r="C57" s="24"/>
      <c r="D57" s="2" t="s">
        <v>7536</v>
      </c>
      <c r="E57" s="2" t="s">
        <v>7549</v>
      </c>
      <c r="F57" s="109"/>
      <c r="G57" s="113"/>
      <c r="H57" s="112">
        <v>809</v>
      </c>
      <c r="J57" s="36"/>
    </row>
    <row r="58" spans="3:10" x14ac:dyDescent="0.25">
      <c r="C58" s="24"/>
      <c r="D58" s="2" t="s">
        <v>7537</v>
      </c>
      <c r="E58" s="2" t="s">
        <v>1631</v>
      </c>
      <c r="F58" s="109"/>
      <c r="G58" s="113"/>
      <c r="H58" s="112">
        <v>10</v>
      </c>
      <c r="J58" s="36"/>
    </row>
    <row r="59" spans="3:10" x14ac:dyDescent="0.25">
      <c r="C59" s="24"/>
      <c r="D59" s="2" t="s">
        <v>7538</v>
      </c>
      <c r="E59" s="2" t="s">
        <v>7553</v>
      </c>
      <c r="F59" s="109">
        <v>20</v>
      </c>
      <c r="G59" s="113"/>
      <c r="H59" s="112"/>
      <c r="J59" s="36"/>
    </row>
    <row r="60" spans="3:10" x14ac:dyDescent="0.25">
      <c r="C60" s="24"/>
      <c r="D60" s="2" t="s">
        <v>7539</v>
      </c>
      <c r="E60" s="2" t="s">
        <v>1631</v>
      </c>
      <c r="F60" s="109">
        <v>15.5</v>
      </c>
      <c r="G60" s="113"/>
      <c r="H60" s="112"/>
      <c r="J60" s="36"/>
    </row>
    <row r="61" spans="3:10" x14ac:dyDescent="0.25">
      <c r="C61" s="24"/>
      <c r="D61" s="2" t="s">
        <v>7540</v>
      </c>
      <c r="E61" s="2" t="s">
        <v>1631</v>
      </c>
      <c r="F61" s="109">
        <v>6</v>
      </c>
      <c r="G61" s="113"/>
      <c r="H61" s="112"/>
      <c r="J61" s="36"/>
    </row>
    <row r="62" spans="3:10" x14ac:dyDescent="0.25">
      <c r="C62" s="24"/>
      <c r="D62" s="2" t="s">
        <v>7541</v>
      </c>
      <c r="E62" s="2" t="s">
        <v>1631</v>
      </c>
      <c r="F62" s="109">
        <v>5</v>
      </c>
      <c r="G62" s="113"/>
      <c r="H62" s="112"/>
      <c r="J62" s="36"/>
    </row>
    <row r="63" spans="3:10" x14ac:dyDescent="0.25">
      <c r="C63" s="24"/>
      <c r="D63" s="2" t="s">
        <v>7542</v>
      </c>
      <c r="E63" s="2" t="s">
        <v>1631</v>
      </c>
      <c r="F63" s="109"/>
      <c r="G63" s="113"/>
      <c r="H63" s="112">
        <v>6</v>
      </c>
      <c r="J63" s="36"/>
    </row>
    <row r="64" spans="3:10" x14ac:dyDescent="0.25">
      <c r="C64" s="24"/>
      <c r="D64" s="2" t="s">
        <v>7543</v>
      </c>
      <c r="E64" s="2" t="s">
        <v>5951</v>
      </c>
      <c r="F64" s="109"/>
      <c r="G64" s="113"/>
      <c r="H64" s="112">
        <v>4980</v>
      </c>
      <c r="J64" s="36"/>
    </row>
    <row r="65" spans="3:10" x14ac:dyDescent="0.25">
      <c r="C65" s="24"/>
      <c r="D65" s="2" t="s">
        <v>7544</v>
      </c>
      <c r="E65" s="2" t="s">
        <v>7396</v>
      </c>
      <c r="F65" s="109"/>
      <c r="G65" s="113"/>
      <c r="H65" s="112">
        <v>126</v>
      </c>
      <c r="J65" s="36"/>
    </row>
    <row r="66" spans="3:10" x14ac:dyDescent="0.25">
      <c r="C66" s="24"/>
      <c r="D66" s="2" t="s">
        <v>7545</v>
      </c>
      <c r="E66" s="2" t="s">
        <v>1631</v>
      </c>
      <c r="F66" s="109"/>
      <c r="G66" s="113"/>
      <c r="H66" s="112">
        <v>8</v>
      </c>
      <c r="J66" s="36"/>
    </row>
    <row r="67" spans="3:10" x14ac:dyDescent="0.25">
      <c r="C67" s="24"/>
      <c r="D67" s="2" t="s">
        <v>7546</v>
      </c>
      <c r="E67" s="2" t="s">
        <v>7552</v>
      </c>
      <c r="F67" s="109"/>
      <c r="G67" s="113">
        <v>8905</v>
      </c>
      <c r="H67" s="112"/>
      <c r="J67" s="36"/>
    </row>
    <row r="68" spans="3:10" x14ac:dyDescent="0.25">
      <c r="C68" s="24"/>
      <c r="D68" s="2" t="s">
        <v>7547</v>
      </c>
      <c r="E68" s="2" t="s">
        <v>1631</v>
      </c>
      <c r="F68" s="109">
        <v>3</v>
      </c>
      <c r="G68" s="113"/>
      <c r="H68" s="112"/>
      <c r="J68" s="36"/>
    </row>
    <row r="69" spans="3:10" x14ac:dyDescent="0.25">
      <c r="C69" s="24"/>
      <c r="D69" s="2" t="s">
        <v>7548</v>
      </c>
      <c r="E69" s="2" t="s">
        <v>1631</v>
      </c>
      <c r="F69" s="109">
        <v>3.5</v>
      </c>
      <c r="G69" s="113"/>
      <c r="H69" s="112"/>
    </row>
    <row r="70" spans="3:10" x14ac:dyDescent="0.25">
      <c r="C70" s="8"/>
      <c r="D70" s="2" t="s">
        <v>7550</v>
      </c>
      <c r="E70" s="2" t="s">
        <v>7551</v>
      </c>
      <c r="F70" s="4"/>
      <c r="G70" s="14"/>
      <c r="H70" s="9">
        <v>795.4</v>
      </c>
    </row>
    <row r="71" spans="3:10" x14ac:dyDescent="0.25">
      <c r="C71" s="8"/>
      <c r="D71" s="2" t="s">
        <v>7556</v>
      </c>
      <c r="E71" s="2" t="s">
        <v>1631</v>
      </c>
      <c r="F71" s="4"/>
      <c r="G71" s="14"/>
      <c r="H71" s="9">
        <v>59.5</v>
      </c>
    </row>
    <row r="72" spans="3:10" x14ac:dyDescent="0.25">
      <c r="C72" s="8"/>
      <c r="D72" s="2" t="s">
        <v>7557</v>
      </c>
      <c r="E72" s="2" t="s">
        <v>7558</v>
      </c>
      <c r="F72" s="4"/>
      <c r="G72" s="14"/>
      <c r="H72" s="9">
        <v>8435</v>
      </c>
    </row>
    <row r="73" spans="3:10" x14ac:dyDescent="0.25">
      <c r="C73" s="8"/>
      <c r="D73" s="2" t="s">
        <v>7587</v>
      </c>
      <c r="E73" s="2"/>
      <c r="F73" s="4"/>
      <c r="G73" s="14"/>
      <c r="H73" s="9"/>
    </row>
    <row r="74" spans="3:10" x14ac:dyDescent="0.25">
      <c r="C74" s="8"/>
      <c r="D74" s="2"/>
      <c r="E74" s="2"/>
      <c r="F74" s="4"/>
      <c r="G74" s="14"/>
      <c r="H74" s="9"/>
    </row>
    <row r="75" spans="3:10" x14ac:dyDescent="0.25">
      <c r="C75" s="8"/>
      <c r="D75" s="2"/>
      <c r="E75" s="2"/>
      <c r="F75" s="4"/>
      <c r="G75" s="14"/>
      <c r="H75" s="9"/>
    </row>
    <row r="76" spans="3:10" x14ac:dyDescent="0.25">
      <c r="C76" s="8"/>
      <c r="D76" s="2"/>
      <c r="E76" s="2"/>
      <c r="F76" s="4"/>
      <c r="G76" s="14"/>
      <c r="H76" s="9"/>
    </row>
    <row r="77" spans="3:10" x14ac:dyDescent="0.25">
      <c r="C77" s="8"/>
      <c r="D77" s="2"/>
      <c r="E77" s="2"/>
      <c r="F77" s="4"/>
      <c r="G77" s="14"/>
      <c r="H77" s="9"/>
    </row>
    <row r="78" spans="3:10" x14ac:dyDescent="0.25">
      <c r="C78" s="8"/>
      <c r="D78" s="2"/>
      <c r="E78" s="2"/>
      <c r="F78" s="4"/>
      <c r="G78" s="14"/>
      <c r="H78" s="9"/>
    </row>
    <row r="79" spans="3:10" x14ac:dyDescent="0.25">
      <c r="C79" s="29"/>
      <c r="D79" s="30"/>
      <c r="E79" s="30" t="s">
        <v>60</v>
      </c>
      <c r="F79" s="4"/>
      <c r="G79" s="14"/>
      <c r="H79" s="9"/>
    </row>
    <row r="80" spans="3:10" x14ac:dyDescent="0.25">
      <c r="C80" s="8"/>
      <c r="D80" s="45" t="s">
        <v>7474</v>
      </c>
      <c r="E80" s="68" t="s">
        <v>4322</v>
      </c>
      <c r="F80" s="4"/>
      <c r="G80" s="14"/>
      <c r="H80" s="9">
        <v>24</v>
      </c>
    </row>
    <row r="81" spans="3:8" x14ac:dyDescent="0.25">
      <c r="C81" s="8"/>
      <c r="D81" s="45"/>
      <c r="E81" s="68"/>
      <c r="F81" s="4"/>
      <c r="G81" s="14"/>
      <c r="H81" s="9"/>
    </row>
    <row r="82" spans="3:8" x14ac:dyDescent="0.25">
      <c r="C82" s="8"/>
      <c r="D82" s="45"/>
      <c r="E82" s="68"/>
      <c r="F82" s="4"/>
      <c r="G82" s="14"/>
      <c r="H82" s="9"/>
    </row>
    <row r="83" spans="3:8" x14ac:dyDescent="0.25">
      <c r="C83" s="8"/>
      <c r="D83" s="45"/>
      <c r="E83" s="68"/>
      <c r="F83" s="4"/>
      <c r="G83" s="14"/>
      <c r="H83" s="9"/>
    </row>
    <row r="84" spans="3:8" x14ac:dyDescent="0.25">
      <c r="C84" s="8"/>
      <c r="D84" s="2"/>
      <c r="E84" s="2"/>
      <c r="F84" s="4"/>
      <c r="G84" s="14"/>
      <c r="H84" s="9"/>
    </row>
    <row r="85" spans="3:8" x14ac:dyDescent="0.25">
      <c r="C85" s="16"/>
      <c r="D85" s="17"/>
      <c r="E85" s="17" t="s">
        <v>39</v>
      </c>
      <c r="F85" s="4"/>
      <c r="G85" s="14"/>
      <c r="H85" s="9"/>
    </row>
    <row r="86" spans="3:8" x14ac:dyDescent="0.25">
      <c r="C86" s="8"/>
      <c r="D86" s="2"/>
      <c r="E86" s="76" t="s">
        <v>7516</v>
      </c>
      <c r="F86" s="35">
        <v>245</v>
      </c>
      <c r="G86" s="14"/>
      <c r="H86" s="9"/>
    </row>
    <row r="87" spans="3:8" x14ac:dyDescent="0.25">
      <c r="C87" s="8"/>
      <c r="D87" s="2"/>
      <c r="E87" s="76" t="s">
        <v>7517</v>
      </c>
      <c r="F87" s="35">
        <v>32.5</v>
      </c>
      <c r="G87" s="14"/>
      <c r="H87" s="9"/>
    </row>
    <row r="88" spans="3:8" x14ac:dyDescent="0.25">
      <c r="C88" s="8"/>
      <c r="D88" s="2"/>
      <c r="E88" s="76" t="s">
        <v>7559</v>
      </c>
      <c r="F88" s="35">
        <v>100</v>
      </c>
      <c r="G88" s="14"/>
      <c r="H88" s="9"/>
    </row>
    <row r="89" spans="3:8" x14ac:dyDescent="0.25">
      <c r="C89" s="8"/>
      <c r="D89" s="2"/>
      <c r="E89" s="76" t="s">
        <v>402</v>
      </c>
      <c r="F89" s="35">
        <v>5.4</v>
      </c>
      <c r="G89" s="14"/>
      <c r="H89" s="9"/>
    </row>
    <row r="90" spans="3:8" x14ac:dyDescent="0.25">
      <c r="C90" s="8"/>
      <c r="D90" s="2"/>
      <c r="E90" s="76"/>
      <c r="F90" s="35"/>
      <c r="G90" s="14"/>
      <c r="H90" s="9"/>
    </row>
    <row r="91" spans="3:8" x14ac:dyDescent="0.25">
      <c r="C91" s="8"/>
      <c r="D91" s="2"/>
      <c r="E91" s="76"/>
      <c r="F91" s="35"/>
      <c r="G91" s="14"/>
      <c r="H91" s="9"/>
    </row>
    <row r="92" spans="3:8" x14ac:dyDescent="0.25">
      <c r="C92" s="8"/>
      <c r="D92" s="2"/>
      <c r="E92" s="2"/>
      <c r="F92" s="4"/>
      <c r="G92" s="14"/>
      <c r="H92" s="9"/>
    </row>
    <row r="93" spans="3:8" x14ac:dyDescent="0.25">
      <c r="C93" s="19"/>
      <c r="D93" s="20"/>
      <c r="E93" s="20" t="s">
        <v>42</v>
      </c>
      <c r="F93" s="4"/>
      <c r="G93" s="14"/>
      <c r="H93" s="9"/>
    </row>
    <row r="94" spans="3:8" x14ac:dyDescent="0.25">
      <c r="C94" s="34"/>
      <c r="D94" s="45"/>
      <c r="E94" s="68" t="s">
        <v>7473</v>
      </c>
      <c r="F94" s="14">
        <v>-875</v>
      </c>
      <c r="G94" s="14"/>
      <c r="H94" s="9"/>
    </row>
    <row r="95" spans="3:8" x14ac:dyDescent="0.25">
      <c r="C95" s="34"/>
      <c r="D95" s="45"/>
      <c r="E95" s="68" t="s">
        <v>7524</v>
      </c>
      <c r="F95" s="14">
        <v>-252</v>
      </c>
      <c r="G95" s="14"/>
      <c r="H95" s="9"/>
    </row>
    <row r="96" spans="3:8" x14ac:dyDescent="0.25">
      <c r="C96" s="34"/>
      <c r="D96" s="45"/>
      <c r="E96" s="68" t="s">
        <v>7525</v>
      </c>
      <c r="F96" s="14">
        <v>-120</v>
      </c>
      <c r="G96" s="14"/>
      <c r="H96" s="9"/>
    </row>
    <row r="97" spans="3:8" x14ac:dyDescent="0.25">
      <c r="C97" s="34"/>
      <c r="D97" s="45"/>
      <c r="E97" s="68" t="s">
        <v>7554</v>
      </c>
      <c r="F97" s="14">
        <v>-270</v>
      </c>
      <c r="G97" s="14"/>
      <c r="H97" s="9"/>
    </row>
    <row r="98" spans="3:8" x14ac:dyDescent="0.25">
      <c r="C98" s="34"/>
      <c r="D98" s="45"/>
      <c r="E98" s="68" t="s">
        <v>7560</v>
      </c>
      <c r="F98" s="14">
        <v>-50</v>
      </c>
      <c r="G98" s="14"/>
      <c r="H98" s="9"/>
    </row>
    <row r="99" spans="3:8" x14ac:dyDescent="0.25">
      <c r="C99" s="34"/>
      <c r="D99" s="45"/>
      <c r="E99" s="68" t="s">
        <v>6229</v>
      </c>
      <c r="F99" s="14">
        <v>-100</v>
      </c>
      <c r="G99" s="14"/>
      <c r="H99" s="9"/>
    </row>
    <row r="100" spans="3:8" x14ac:dyDescent="0.25">
      <c r="C100" s="34"/>
      <c r="D100" s="45"/>
      <c r="E100" s="68" t="s">
        <v>7518</v>
      </c>
      <c r="F100" s="14">
        <v>-75</v>
      </c>
      <c r="G100" s="14"/>
      <c r="H100" s="9"/>
    </row>
    <row r="101" spans="3:8" x14ac:dyDescent="0.25">
      <c r="C101" s="34"/>
      <c r="D101" s="42"/>
      <c r="E101" s="68" t="s">
        <v>7519</v>
      </c>
      <c r="F101" s="14">
        <v>-100</v>
      </c>
      <c r="G101" s="14"/>
      <c r="H101" s="9"/>
    </row>
    <row r="102" spans="3:8" x14ac:dyDescent="0.25">
      <c r="C102" s="34"/>
      <c r="D102" s="42"/>
      <c r="E102" s="68" t="s">
        <v>7520</v>
      </c>
      <c r="F102" s="14">
        <v>-240</v>
      </c>
      <c r="G102" s="14"/>
      <c r="H102" s="9"/>
    </row>
    <row r="103" spans="3:8" x14ac:dyDescent="0.25">
      <c r="C103" s="34"/>
      <c r="D103" s="42"/>
      <c r="E103" s="68" t="s">
        <v>766</v>
      </c>
      <c r="F103" s="14">
        <v>-450</v>
      </c>
      <c r="G103" s="14"/>
      <c r="H103" s="9"/>
    </row>
    <row r="104" spans="3:8" x14ac:dyDescent="0.25">
      <c r="C104" s="34"/>
      <c r="D104" s="42"/>
      <c r="E104" s="68" t="s">
        <v>1487</v>
      </c>
      <c r="F104" s="14">
        <v>-40</v>
      </c>
      <c r="G104" s="14"/>
      <c r="H104" s="9"/>
    </row>
    <row r="105" spans="3:8" x14ac:dyDescent="0.25">
      <c r="C105" s="34"/>
      <c r="D105" s="42"/>
      <c r="E105" s="68" t="s">
        <v>7521</v>
      </c>
      <c r="F105" s="14">
        <v>-255</v>
      </c>
      <c r="G105" s="14"/>
      <c r="H105" s="9"/>
    </row>
    <row r="106" spans="3:8" x14ac:dyDescent="0.25">
      <c r="C106" s="34"/>
      <c r="D106" s="42"/>
      <c r="E106" s="68" t="s">
        <v>7522</v>
      </c>
      <c r="F106" s="14">
        <v>-120</v>
      </c>
      <c r="G106" s="14"/>
      <c r="H106" s="9"/>
    </row>
    <row r="107" spans="3:8" x14ac:dyDescent="0.25">
      <c r="C107" s="34"/>
      <c r="D107" s="42"/>
      <c r="E107" s="68" t="s">
        <v>7523</v>
      </c>
      <c r="F107" s="14">
        <v>-19000</v>
      </c>
      <c r="G107" s="14"/>
      <c r="H107" s="9"/>
    </row>
    <row r="108" spans="3:8" x14ac:dyDescent="0.25">
      <c r="C108" s="34"/>
      <c r="D108" s="42"/>
      <c r="E108" s="68" t="s">
        <v>753</v>
      </c>
      <c r="F108" s="14">
        <v>-50</v>
      </c>
      <c r="G108" s="14"/>
      <c r="H108" s="9"/>
    </row>
    <row r="109" spans="3:8" x14ac:dyDescent="0.25">
      <c r="C109" s="34"/>
      <c r="D109" s="42"/>
      <c r="E109" s="68"/>
      <c r="F109" s="14"/>
      <c r="G109" s="14"/>
      <c r="H109" s="9"/>
    </row>
    <row r="110" spans="3:8" ht="15.75" thickBot="1" x14ac:dyDescent="0.3">
      <c r="C110" s="10"/>
      <c r="D110" s="11"/>
      <c r="E110" s="11" t="s">
        <v>44</v>
      </c>
      <c r="F110" s="12">
        <f>SUM(F6:F109)</f>
        <v>-16423.900000000001</v>
      </c>
      <c r="G110" s="15">
        <f>SUM(G70:G109)</f>
        <v>0</v>
      </c>
      <c r="H110" s="13">
        <f>SUM(H70:H109)</f>
        <v>9313.9</v>
      </c>
    </row>
    <row r="113" spans="3:6" s="3" customFormat="1" ht="18.75" x14ac:dyDescent="0.3">
      <c r="C113" s="1"/>
      <c r="D113" s="1"/>
      <c r="E113" s="38" t="s">
        <v>49</v>
      </c>
      <c r="F113" s="39">
        <f>+H4+F110</f>
        <v>5053.0799999999981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8E36-97B0-4D47-9C17-C8C1AAC66094}">
  <sheetPr codeName="Hoja94"/>
  <dimension ref="C2:J80"/>
  <sheetViews>
    <sheetView topLeftCell="B54" zoomScaleNormal="100" workbookViewId="0">
      <selection activeCell="F80" sqref="F80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7561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5053.08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7569</v>
      </c>
      <c r="E6" s="2" t="s">
        <v>5678</v>
      </c>
      <c r="F6" s="109"/>
      <c r="G6" s="113"/>
      <c r="H6" s="112">
        <v>3</v>
      </c>
    </row>
    <row r="7" spans="3:10" x14ac:dyDescent="0.25">
      <c r="C7" s="24"/>
      <c r="D7" s="2" t="s">
        <v>7570</v>
      </c>
      <c r="E7" s="2" t="s">
        <v>5678</v>
      </c>
      <c r="F7" s="109"/>
      <c r="G7" s="113"/>
      <c r="H7" s="112">
        <v>289</v>
      </c>
      <c r="J7" s="36"/>
    </row>
    <row r="8" spans="3:10" x14ac:dyDescent="0.25">
      <c r="C8" s="24"/>
      <c r="D8" s="2" t="s">
        <v>7571</v>
      </c>
      <c r="E8" s="2" t="s">
        <v>5678</v>
      </c>
      <c r="F8" s="109">
        <v>15</v>
      </c>
      <c r="G8" s="113"/>
      <c r="H8" s="112"/>
      <c r="J8" s="36"/>
    </row>
    <row r="9" spans="3:10" x14ac:dyDescent="0.25">
      <c r="C9" s="24"/>
      <c r="D9" s="2" t="s">
        <v>7572</v>
      </c>
      <c r="E9" s="2" t="s">
        <v>1679</v>
      </c>
      <c r="F9" s="109"/>
      <c r="G9" s="113">
        <v>607.20000000000005</v>
      </c>
      <c r="H9" s="112"/>
      <c r="J9" s="36"/>
    </row>
    <row r="10" spans="3:10" x14ac:dyDescent="0.25">
      <c r="C10" s="24"/>
      <c r="D10" s="2" t="s">
        <v>7573</v>
      </c>
      <c r="E10" s="2" t="s">
        <v>4597</v>
      </c>
      <c r="F10" s="109"/>
      <c r="G10" s="113">
        <v>70</v>
      </c>
      <c r="H10" s="112"/>
      <c r="J10" s="36"/>
    </row>
    <row r="11" spans="3:10" x14ac:dyDescent="0.25">
      <c r="C11" s="24"/>
      <c r="D11" s="2" t="s">
        <v>7574</v>
      </c>
      <c r="E11" s="2" t="s">
        <v>5678</v>
      </c>
      <c r="F11" s="109">
        <v>10</v>
      </c>
      <c r="G11" s="113"/>
      <c r="H11" s="112"/>
      <c r="J11" s="36"/>
    </row>
    <row r="12" spans="3:10" x14ac:dyDescent="0.25">
      <c r="C12" s="24"/>
      <c r="D12" s="2" t="s">
        <v>7575</v>
      </c>
      <c r="E12" s="2" t="s">
        <v>7586</v>
      </c>
      <c r="F12" s="109"/>
      <c r="G12" s="113">
        <v>463.4</v>
      </c>
      <c r="H12" s="112"/>
      <c r="J12" s="36"/>
    </row>
    <row r="13" spans="3:10" x14ac:dyDescent="0.25">
      <c r="C13" s="24"/>
      <c r="D13" s="2" t="s">
        <v>7576</v>
      </c>
      <c r="E13" s="2" t="s">
        <v>5678</v>
      </c>
      <c r="F13" s="109">
        <v>2</v>
      </c>
      <c r="G13" s="113"/>
      <c r="H13" s="112"/>
      <c r="J13" s="36"/>
    </row>
    <row r="14" spans="3:10" x14ac:dyDescent="0.25">
      <c r="C14" s="24"/>
      <c r="D14" s="2" t="s">
        <v>7577</v>
      </c>
      <c r="E14" s="2" t="s">
        <v>6593</v>
      </c>
      <c r="F14" s="109"/>
      <c r="G14" s="113">
        <v>300</v>
      </c>
      <c r="H14" s="112"/>
      <c r="J14" s="36"/>
    </row>
    <row r="15" spans="3:10" x14ac:dyDescent="0.25">
      <c r="C15" s="24"/>
      <c r="D15" s="2" t="s">
        <v>7578</v>
      </c>
      <c r="E15" s="2" t="s">
        <v>35</v>
      </c>
      <c r="F15" s="109"/>
      <c r="G15" s="113">
        <v>180</v>
      </c>
      <c r="H15" s="112"/>
      <c r="J15" s="36"/>
    </row>
    <row r="16" spans="3:10" x14ac:dyDescent="0.25">
      <c r="C16" s="24"/>
      <c r="D16" s="2" t="s">
        <v>7579</v>
      </c>
      <c r="E16" s="2" t="s">
        <v>5678</v>
      </c>
      <c r="F16" s="109">
        <v>6</v>
      </c>
      <c r="G16" s="113"/>
      <c r="H16" s="112"/>
      <c r="J16" s="36"/>
    </row>
    <row r="17" spans="3:10" x14ac:dyDescent="0.25">
      <c r="C17" s="24"/>
      <c r="D17" s="2" t="s">
        <v>7580</v>
      </c>
      <c r="E17" s="2" t="s">
        <v>7176</v>
      </c>
      <c r="F17" s="109"/>
      <c r="G17" s="113">
        <v>3918.5</v>
      </c>
      <c r="H17" s="112"/>
      <c r="J17" s="36"/>
    </row>
    <row r="18" spans="3:10" x14ac:dyDescent="0.25">
      <c r="C18" s="24"/>
      <c r="D18" s="2" t="s">
        <v>7581</v>
      </c>
      <c r="E18" s="2" t="s">
        <v>7585</v>
      </c>
      <c r="F18" s="109">
        <v>774.9</v>
      </c>
      <c r="G18" s="113"/>
      <c r="H18" s="112"/>
      <c r="J18" s="36"/>
    </row>
    <row r="19" spans="3:10" x14ac:dyDescent="0.25">
      <c r="C19" s="24"/>
      <c r="D19" s="2" t="s">
        <v>7582</v>
      </c>
      <c r="E19" s="2" t="s">
        <v>5678</v>
      </c>
      <c r="F19" s="109">
        <v>4</v>
      </c>
      <c r="G19" s="113"/>
      <c r="H19" s="112"/>
      <c r="J19" s="36"/>
    </row>
    <row r="20" spans="3:10" x14ac:dyDescent="0.25">
      <c r="C20" s="24"/>
      <c r="D20" s="2" t="s">
        <v>7583</v>
      </c>
      <c r="E20" s="2" t="s">
        <v>5678</v>
      </c>
      <c r="F20" s="109">
        <v>6</v>
      </c>
      <c r="G20" s="113"/>
      <c r="H20" s="112"/>
      <c r="J20" s="36"/>
    </row>
    <row r="21" spans="3:10" x14ac:dyDescent="0.25">
      <c r="C21" s="24"/>
      <c r="D21" s="2" t="s">
        <v>7584</v>
      </c>
      <c r="E21" s="2" t="s">
        <v>6275</v>
      </c>
      <c r="F21" s="109"/>
      <c r="G21" s="113">
        <v>880</v>
      </c>
      <c r="H21" s="112"/>
    </row>
    <row r="22" spans="3:10" x14ac:dyDescent="0.25">
      <c r="C22" s="8"/>
      <c r="D22" s="2" t="s">
        <v>7622</v>
      </c>
      <c r="E22" s="2" t="s">
        <v>5678</v>
      </c>
      <c r="F22" s="4">
        <v>30.5</v>
      </c>
      <c r="G22" s="14"/>
      <c r="H22" s="9"/>
    </row>
    <row r="23" spans="3:10" x14ac:dyDescent="0.25">
      <c r="C23" s="8"/>
      <c r="D23" s="2" t="s">
        <v>7633</v>
      </c>
      <c r="E23" s="2"/>
      <c r="F23" s="4"/>
      <c r="G23" s="14"/>
      <c r="H23" s="9"/>
    </row>
    <row r="24" spans="3:10" x14ac:dyDescent="0.25">
      <c r="C24" s="8"/>
      <c r="D24" s="2" t="s">
        <v>7587</v>
      </c>
      <c r="E24" s="2" t="s">
        <v>5416</v>
      </c>
      <c r="F24" s="4"/>
      <c r="G24" s="14"/>
      <c r="H24" s="9">
        <v>168</v>
      </c>
    </row>
    <row r="25" spans="3:10" x14ac:dyDescent="0.25">
      <c r="C25" s="8"/>
      <c r="D25" s="2" t="s">
        <v>7588</v>
      </c>
      <c r="E25" s="2" t="s">
        <v>6092</v>
      </c>
      <c r="F25" s="4"/>
      <c r="G25" s="14"/>
      <c r="H25" s="9">
        <v>276</v>
      </c>
    </row>
    <row r="26" spans="3:10" x14ac:dyDescent="0.25">
      <c r="C26" s="8"/>
      <c r="D26" s="2" t="s">
        <v>7589</v>
      </c>
      <c r="E26" s="2" t="s">
        <v>4731</v>
      </c>
      <c r="F26" s="4"/>
      <c r="G26" s="14">
        <v>10.75</v>
      </c>
      <c r="H26" s="9"/>
    </row>
    <row r="27" spans="3:10" x14ac:dyDescent="0.25">
      <c r="C27" s="8"/>
      <c r="D27" s="2" t="s">
        <v>7590</v>
      </c>
      <c r="E27" s="2" t="s">
        <v>5422</v>
      </c>
      <c r="F27" s="4"/>
      <c r="G27" s="14"/>
      <c r="H27" s="9">
        <v>63</v>
      </c>
    </row>
    <row r="28" spans="3:10" x14ac:dyDescent="0.25">
      <c r="C28" s="8"/>
      <c r="D28" s="2" t="s">
        <v>7591</v>
      </c>
      <c r="E28" s="2" t="s">
        <v>5419</v>
      </c>
      <c r="F28" s="4">
        <v>40</v>
      </c>
      <c r="G28" s="14"/>
      <c r="H28" s="9"/>
    </row>
    <row r="29" spans="3:10" x14ac:dyDescent="0.25">
      <c r="C29" s="8"/>
      <c r="D29" s="2" t="s">
        <v>7592</v>
      </c>
      <c r="E29" s="2" t="s">
        <v>6092</v>
      </c>
      <c r="F29" s="4">
        <v>39.5</v>
      </c>
      <c r="G29" s="14"/>
      <c r="H29" s="9"/>
    </row>
    <row r="30" spans="3:10" x14ac:dyDescent="0.25">
      <c r="C30" s="8"/>
      <c r="D30" s="2" t="s">
        <v>7593</v>
      </c>
      <c r="E30" s="2" t="s">
        <v>6092</v>
      </c>
      <c r="F30" s="4">
        <v>5</v>
      </c>
      <c r="G30" s="14"/>
      <c r="H30" s="9"/>
    </row>
    <row r="31" spans="3:10" x14ac:dyDescent="0.25">
      <c r="C31" s="8"/>
      <c r="D31" s="2" t="s">
        <v>7594</v>
      </c>
      <c r="E31" s="2" t="s">
        <v>4268</v>
      </c>
      <c r="F31" s="4"/>
      <c r="G31" s="14"/>
      <c r="H31" s="9">
        <v>360</v>
      </c>
    </row>
    <row r="32" spans="3:10" x14ac:dyDescent="0.25">
      <c r="C32" s="8"/>
      <c r="D32" s="2" t="s">
        <v>7595</v>
      </c>
      <c r="E32" s="2" t="s">
        <v>6092</v>
      </c>
      <c r="F32" s="4">
        <v>3.5</v>
      </c>
      <c r="G32" s="14"/>
      <c r="H32" s="9"/>
    </row>
    <row r="33" spans="3:8" x14ac:dyDescent="0.25">
      <c r="C33" s="8"/>
      <c r="D33" s="2" t="s">
        <v>7596</v>
      </c>
      <c r="E33" s="2" t="s">
        <v>6705</v>
      </c>
      <c r="F33" s="4"/>
      <c r="G33" s="14"/>
      <c r="H33" s="9">
        <v>35</v>
      </c>
    </row>
    <row r="34" spans="3:8" x14ac:dyDescent="0.25">
      <c r="C34" s="8"/>
      <c r="D34" s="2" t="s">
        <v>7597</v>
      </c>
      <c r="E34" s="2" t="s">
        <v>6092</v>
      </c>
      <c r="F34" s="4"/>
      <c r="G34" s="14"/>
      <c r="H34" s="9">
        <v>45</v>
      </c>
    </row>
    <row r="35" spans="3:8" x14ac:dyDescent="0.25">
      <c r="C35" s="8"/>
      <c r="D35" s="2" t="s">
        <v>7598</v>
      </c>
      <c r="E35" s="2" t="s">
        <v>6092</v>
      </c>
      <c r="F35" s="4">
        <v>69.5</v>
      </c>
      <c r="G35" s="14"/>
      <c r="H35" s="9"/>
    </row>
    <row r="36" spans="3:8" x14ac:dyDescent="0.25">
      <c r="C36" s="8"/>
      <c r="D36" s="2" t="s">
        <v>7599</v>
      </c>
      <c r="E36" s="2" t="s">
        <v>6092</v>
      </c>
      <c r="F36" s="4">
        <v>45.5</v>
      </c>
      <c r="G36" s="14"/>
      <c r="H36" s="9"/>
    </row>
    <row r="37" spans="3:8" x14ac:dyDescent="0.25">
      <c r="C37" s="8"/>
      <c r="D37" s="2" t="s">
        <v>7600</v>
      </c>
      <c r="E37" s="2" t="s">
        <v>6924</v>
      </c>
      <c r="F37" s="4"/>
      <c r="G37" s="14">
        <v>150</v>
      </c>
      <c r="H37" s="9"/>
    </row>
    <row r="38" spans="3:8" x14ac:dyDescent="0.25">
      <c r="C38" s="8"/>
      <c r="D38" s="2" t="s">
        <v>7601</v>
      </c>
      <c r="E38" s="2" t="s">
        <v>7609</v>
      </c>
      <c r="F38" s="4"/>
      <c r="G38" s="14">
        <v>3825</v>
      </c>
      <c r="H38" s="9"/>
    </row>
    <row r="39" spans="3:8" x14ac:dyDescent="0.25">
      <c r="C39" s="8"/>
      <c r="D39" s="2" t="s">
        <v>7602</v>
      </c>
      <c r="E39" s="2" t="s">
        <v>7608</v>
      </c>
      <c r="F39" s="4"/>
      <c r="G39" s="14"/>
      <c r="H39" s="9">
        <v>335</v>
      </c>
    </row>
    <row r="40" spans="3:8" x14ac:dyDescent="0.25">
      <c r="C40" s="8"/>
      <c r="D40" s="2" t="s">
        <v>7603</v>
      </c>
      <c r="E40" s="2" t="s">
        <v>6092</v>
      </c>
      <c r="F40" s="4"/>
      <c r="G40" s="14"/>
      <c r="H40" s="9">
        <v>10.7</v>
      </c>
    </row>
    <row r="41" spans="3:8" x14ac:dyDescent="0.25">
      <c r="C41" s="8"/>
      <c r="D41" s="2" t="s">
        <v>7604</v>
      </c>
      <c r="E41" s="2" t="s">
        <v>6092</v>
      </c>
      <c r="F41" s="4">
        <v>3</v>
      </c>
      <c r="G41" s="14"/>
      <c r="H41" s="9"/>
    </row>
    <row r="42" spans="3:8" x14ac:dyDescent="0.25">
      <c r="C42" s="8"/>
      <c r="D42" s="2" t="s">
        <v>7605</v>
      </c>
      <c r="E42" s="2" t="s">
        <v>6092</v>
      </c>
      <c r="F42" s="4">
        <v>10</v>
      </c>
      <c r="G42" s="14"/>
      <c r="H42" s="9"/>
    </row>
    <row r="43" spans="3:8" x14ac:dyDescent="0.25">
      <c r="C43" s="8"/>
      <c r="D43" s="2" t="s">
        <v>7606</v>
      </c>
      <c r="E43" s="2" t="s">
        <v>381</v>
      </c>
      <c r="F43" s="4"/>
      <c r="G43" s="14">
        <v>2715</v>
      </c>
      <c r="H43" s="9"/>
    </row>
    <row r="44" spans="3:8" x14ac:dyDescent="0.25">
      <c r="C44" s="8"/>
      <c r="D44" s="2" t="s">
        <v>7607</v>
      </c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29"/>
      <c r="D47" s="30"/>
      <c r="E47" s="30" t="s">
        <v>60</v>
      </c>
      <c r="F47" s="4"/>
      <c r="G47" s="14"/>
      <c r="H47" s="9"/>
    </row>
    <row r="48" spans="3:8" x14ac:dyDescent="0.25">
      <c r="C48" s="8"/>
      <c r="D48" s="2" t="s">
        <v>7564</v>
      </c>
      <c r="E48" s="76" t="s">
        <v>4960</v>
      </c>
      <c r="F48" s="35">
        <v>48</v>
      </c>
      <c r="G48" s="14"/>
      <c r="H48" s="9"/>
    </row>
    <row r="49" spans="3:8" x14ac:dyDescent="0.25">
      <c r="C49" s="8"/>
      <c r="D49" s="2" t="s">
        <v>7566</v>
      </c>
      <c r="E49" s="76" t="s">
        <v>7565</v>
      </c>
      <c r="F49" s="35">
        <v>9</v>
      </c>
      <c r="G49" s="14"/>
      <c r="H49" s="9"/>
    </row>
    <row r="50" spans="3:8" x14ac:dyDescent="0.25">
      <c r="C50" s="8"/>
      <c r="D50" s="2" t="s">
        <v>7567</v>
      </c>
      <c r="E50" s="76" t="s">
        <v>7568</v>
      </c>
      <c r="F50" s="35"/>
      <c r="G50" s="14"/>
      <c r="H50" s="9">
        <v>1960</v>
      </c>
    </row>
    <row r="51" spans="3:8" x14ac:dyDescent="0.25">
      <c r="C51" s="8"/>
      <c r="D51" s="45"/>
      <c r="E51" s="68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16"/>
      <c r="D53" s="17"/>
      <c r="E53" s="17" t="s">
        <v>39</v>
      </c>
      <c r="F53" s="4"/>
      <c r="G53" s="14"/>
      <c r="H53" s="9"/>
    </row>
    <row r="54" spans="3:8" x14ac:dyDescent="0.25">
      <c r="C54" s="8"/>
      <c r="D54" s="2"/>
      <c r="E54" s="76" t="s">
        <v>7610</v>
      </c>
      <c r="F54" s="35">
        <v>3.6</v>
      </c>
      <c r="G54" s="14"/>
      <c r="H54" s="9"/>
    </row>
    <row r="55" spans="3:8" x14ac:dyDescent="0.25">
      <c r="C55" s="8"/>
      <c r="D55" s="2"/>
      <c r="E55" s="76" t="s">
        <v>7611</v>
      </c>
      <c r="F55" s="35">
        <v>404</v>
      </c>
      <c r="G55" s="14"/>
      <c r="H55" s="9"/>
    </row>
    <row r="56" spans="3:8" x14ac:dyDescent="0.25">
      <c r="C56" s="8"/>
      <c r="D56" s="2"/>
      <c r="E56" s="76" t="s">
        <v>7612</v>
      </c>
      <c r="F56" s="35">
        <v>12</v>
      </c>
      <c r="G56" s="14"/>
      <c r="H56" s="9"/>
    </row>
    <row r="57" spans="3:8" x14ac:dyDescent="0.25">
      <c r="C57" s="8"/>
      <c r="D57" s="2"/>
      <c r="E57" s="76" t="s">
        <v>7613</v>
      </c>
      <c r="F57" s="35">
        <v>3500</v>
      </c>
      <c r="G57" s="14"/>
      <c r="H57" s="9"/>
    </row>
    <row r="58" spans="3:8" x14ac:dyDescent="0.25">
      <c r="C58" s="8"/>
      <c r="D58" s="2"/>
      <c r="E58" s="76" t="s">
        <v>7614</v>
      </c>
      <c r="F58" s="35">
        <v>565</v>
      </c>
      <c r="G58" s="14"/>
      <c r="H58" s="9"/>
    </row>
    <row r="59" spans="3:8" x14ac:dyDescent="0.25">
      <c r="C59" s="8"/>
      <c r="D59" s="2"/>
      <c r="E59" s="76" t="s">
        <v>7615</v>
      </c>
      <c r="F59" s="35">
        <v>230</v>
      </c>
      <c r="G59" s="14"/>
      <c r="H59" s="9"/>
    </row>
    <row r="60" spans="3:8" x14ac:dyDescent="0.25">
      <c r="C60" s="8"/>
      <c r="D60" s="2"/>
      <c r="E60" s="76"/>
      <c r="F60" s="35"/>
      <c r="G60" s="14"/>
      <c r="H60" s="9"/>
    </row>
    <row r="61" spans="3:8" x14ac:dyDescent="0.25">
      <c r="C61" s="8"/>
      <c r="D61" s="2"/>
      <c r="E61" s="76"/>
      <c r="F61" s="35"/>
      <c r="G61" s="14"/>
      <c r="H61" s="9"/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19"/>
      <c r="D64" s="20"/>
      <c r="E64" s="20" t="s">
        <v>42</v>
      </c>
      <c r="F64" s="4"/>
      <c r="G64" s="14"/>
      <c r="H64" s="9"/>
    </row>
    <row r="65" spans="3:8" x14ac:dyDescent="0.25">
      <c r="C65" s="34"/>
      <c r="D65" s="45" t="s">
        <v>7562</v>
      </c>
      <c r="E65" s="68" t="s">
        <v>7563</v>
      </c>
      <c r="F65" s="14">
        <v>-302.5</v>
      </c>
      <c r="G65" s="14"/>
      <c r="H65" s="9"/>
    </row>
    <row r="66" spans="3:8" x14ac:dyDescent="0.25">
      <c r="C66" s="34"/>
      <c r="D66" s="45"/>
      <c r="E66" s="68" t="s">
        <v>7620</v>
      </c>
      <c r="F66" s="14">
        <v>-590</v>
      </c>
      <c r="G66" s="14"/>
      <c r="H66" s="9"/>
    </row>
    <row r="67" spans="3:8" x14ac:dyDescent="0.25">
      <c r="C67" s="34"/>
      <c r="D67" s="45"/>
      <c r="E67" s="68" t="s">
        <v>7616</v>
      </c>
      <c r="F67" s="14">
        <v>-8</v>
      </c>
      <c r="G67" s="14"/>
      <c r="H67" s="9"/>
    </row>
    <row r="68" spans="3:8" x14ac:dyDescent="0.25">
      <c r="C68" s="34"/>
      <c r="D68" s="45"/>
      <c r="E68" s="68" t="s">
        <v>7617</v>
      </c>
      <c r="F68" s="14">
        <v>-90</v>
      </c>
      <c r="G68" s="14"/>
      <c r="H68" s="9"/>
    </row>
    <row r="69" spans="3:8" x14ac:dyDescent="0.25">
      <c r="C69" s="34"/>
      <c r="D69" s="45"/>
      <c r="E69" s="68" t="s">
        <v>7618</v>
      </c>
      <c r="F69" s="14">
        <v>-4</v>
      </c>
      <c r="G69" s="14"/>
      <c r="H69" s="9"/>
    </row>
    <row r="70" spans="3:8" x14ac:dyDescent="0.25">
      <c r="C70" s="34"/>
      <c r="D70" s="45"/>
      <c r="E70" s="68" t="s">
        <v>7619</v>
      </c>
      <c r="F70" s="14">
        <v>-20</v>
      </c>
      <c r="G70" s="14"/>
      <c r="H70" s="9"/>
    </row>
    <row r="71" spans="3:8" x14ac:dyDescent="0.25">
      <c r="C71" s="34"/>
      <c r="D71" s="45"/>
      <c r="E71" s="68" t="s">
        <v>7621</v>
      </c>
      <c r="F71" s="14">
        <v>-4252</v>
      </c>
      <c r="G71" s="14"/>
      <c r="H71" s="9"/>
    </row>
    <row r="72" spans="3:8" x14ac:dyDescent="0.25">
      <c r="C72" s="34"/>
      <c r="D72" s="42"/>
      <c r="E72" s="68" t="s">
        <v>7624</v>
      </c>
      <c r="F72" s="14">
        <v>-40</v>
      </c>
      <c r="G72" s="14"/>
      <c r="H72" s="9"/>
    </row>
    <row r="73" spans="3:8" x14ac:dyDescent="0.25">
      <c r="C73" s="34"/>
      <c r="D73" s="42"/>
      <c r="E73" s="68"/>
      <c r="F73" s="14"/>
      <c r="G73" s="14"/>
      <c r="H73" s="9"/>
    </row>
    <row r="74" spans="3:8" x14ac:dyDescent="0.25">
      <c r="C74" s="34"/>
      <c r="D74" s="42"/>
      <c r="E74" s="68"/>
      <c r="F74" s="14"/>
      <c r="G74" s="14"/>
      <c r="H74" s="9"/>
    </row>
    <row r="75" spans="3:8" x14ac:dyDescent="0.25">
      <c r="C75" s="34"/>
      <c r="D75" s="42"/>
      <c r="E75" s="68"/>
      <c r="F75" s="14"/>
      <c r="G75" s="14"/>
      <c r="H75" s="9"/>
    </row>
    <row r="76" spans="3:8" x14ac:dyDescent="0.25">
      <c r="C76" s="34"/>
      <c r="D76" s="42"/>
      <c r="E76" s="68"/>
      <c r="F76" s="14"/>
      <c r="G76" s="14"/>
      <c r="H76" s="9"/>
    </row>
    <row r="77" spans="3:8" ht="15.75" thickBot="1" x14ac:dyDescent="0.3">
      <c r="C77" s="10"/>
      <c r="D77" s="11"/>
      <c r="E77" s="11" t="s">
        <v>44</v>
      </c>
      <c r="F77" s="12">
        <f>SUM(F6:F76)</f>
        <v>529.5</v>
      </c>
      <c r="G77" s="15">
        <f>SUM(G22:G76)</f>
        <v>6700.75</v>
      </c>
      <c r="H77" s="13">
        <f>SUM(H22:H76)</f>
        <v>3252.7</v>
      </c>
    </row>
    <row r="80" spans="3:8" s="3" customFormat="1" ht="18.75" x14ac:dyDescent="0.3">
      <c r="C80" s="1"/>
      <c r="D80" s="1"/>
      <c r="E80" s="38" t="s">
        <v>49</v>
      </c>
      <c r="F80" s="39">
        <f>+H4+F77</f>
        <v>5582.58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5978-4893-4BCB-8F46-FD46C70DD5A3}">
  <sheetPr codeName="Hoja95"/>
  <dimension ref="C2:J104"/>
  <sheetViews>
    <sheetView topLeftCell="B76" zoomScaleNormal="100" workbookViewId="0">
      <selection activeCell="F104" sqref="F104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7623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5582.58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7633</v>
      </c>
      <c r="E6" s="2" t="s">
        <v>5678</v>
      </c>
      <c r="F6" s="109">
        <v>31.8</v>
      </c>
      <c r="G6" s="113"/>
      <c r="H6" s="112"/>
    </row>
    <row r="7" spans="3:10" x14ac:dyDescent="0.25">
      <c r="C7" s="24"/>
      <c r="D7" s="2" t="s">
        <v>7634</v>
      </c>
      <c r="E7" s="2" t="s">
        <v>6238</v>
      </c>
      <c r="F7" s="109">
        <v>450</v>
      </c>
      <c r="G7" s="113"/>
      <c r="H7" s="112">
        <v>349.2</v>
      </c>
      <c r="I7" s="36"/>
      <c r="J7" s="36"/>
    </row>
    <row r="8" spans="3:10" x14ac:dyDescent="0.25">
      <c r="C8" s="24"/>
      <c r="D8" s="2" t="s">
        <v>7635</v>
      </c>
      <c r="E8" s="2" t="s">
        <v>6059</v>
      </c>
      <c r="F8" s="109"/>
      <c r="G8" s="113"/>
      <c r="H8" s="112">
        <v>33.5</v>
      </c>
      <c r="J8" s="36"/>
    </row>
    <row r="9" spans="3:10" x14ac:dyDescent="0.25">
      <c r="C9" s="24"/>
      <c r="D9" s="2" t="s">
        <v>7636</v>
      </c>
      <c r="E9" s="2" t="s">
        <v>7653</v>
      </c>
      <c r="F9" s="109"/>
      <c r="G9" s="113"/>
      <c r="H9" s="112">
        <v>197</v>
      </c>
      <c r="J9" s="36"/>
    </row>
    <row r="10" spans="3:10" x14ac:dyDescent="0.25">
      <c r="C10" s="24"/>
      <c r="D10" s="2" t="s">
        <v>7637</v>
      </c>
      <c r="E10" s="2" t="s">
        <v>5678</v>
      </c>
      <c r="F10" s="109">
        <v>75</v>
      </c>
      <c r="G10" s="113"/>
      <c r="H10" s="112"/>
      <c r="J10" s="36"/>
    </row>
    <row r="11" spans="3:10" x14ac:dyDescent="0.25">
      <c r="C11" s="24"/>
      <c r="D11" s="2" t="s">
        <v>7638</v>
      </c>
      <c r="E11" s="2" t="s">
        <v>7126</v>
      </c>
      <c r="F11" s="109"/>
      <c r="G11" s="113">
        <v>985</v>
      </c>
      <c r="H11" s="112"/>
      <c r="J11" s="36"/>
    </row>
    <row r="12" spans="3:10" x14ac:dyDescent="0.25">
      <c r="C12" s="24"/>
      <c r="D12" s="2" t="s">
        <v>7639</v>
      </c>
      <c r="E12" s="2" t="s">
        <v>5678</v>
      </c>
      <c r="F12" s="109">
        <v>102</v>
      </c>
      <c r="G12" s="113"/>
      <c r="H12" s="112"/>
      <c r="J12" s="36"/>
    </row>
    <row r="13" spans="3:10" x14ac:dyDescent="0.25">
      <c r="C13" s="24"/>
      <c r="D13" s="2" t="s">
        <v>7640</v>
      </c>
      <c r="E13" s="2" t="s">
        <v>5678</v>
      </c>
      <c r="F13" s="109">
        <v>3</v>
      </c>
      <c r="G13" s="113"/>
      <c r="H13" s="112"/>
      <c r="J13" s="36"/>
    </row>
    <row r="14" spans="3:10" x14ac:dyDescent="0.25">
      <c r="C14" s="24"/>
      <c r="D14" s="2" t="s">
        <v>7641</v>
      </c>
      <c r="E14" s="2" t="s">
        <v>5678</v>
      </c>
      <c r="F14" s="109">
        <v>6</v>
      </c>
      <c r="G14" s="113"/>
      <c r="H14" s="112"/>
      <c r="J14" s="36"/>
    </row>
    <row r="15" spans="3:10" x14ac:dyDescent="0.25">
      <c r="C15" s="24"/>
      <c r="D15" s="2" t="s">
        <v>7642</v>
      </c>
      <c r="E15" s="2" t="s">
        <v>7652</v>
      </c>
      <c r="F15" s="109"/>
      <c r="G15" s="113"/>
      <c r="H15" s="112">
        <v>80</v>
      </c>
      <c r="J15" s="36"/>
    </row>
    <row r="16" spans="3:10" x14ac:dyDescent="0.25">
      <c r="C16" s="24"/>
      <c r="D16" s="2" t="s">
        <v>7643</v>
      </c>
      <c r="E16" s="2" t="s">
        <v>7652</v>
      </c>
      <c r="F16" s="109"/>
      <c r="G16" s="113"/>
      <c r="H16" s="112">
        <v>274.5</v>
      </c>
      <c r="J16" s="36"/>
    </row>
    <row r="17" spans="3:10" x14ac:dyDescent="0.25">
      <c r="C17" s="24"/>
      <c r="D17" s="2" t="s">
        <v>7644</v>
      </c>
      <c r="E17" s="2" t="s">
        <v>5678</v>
      </c>
      <c r="F17" s="109">
        <v>10</v>
      </c>
      <c r="G17" s="113"/>
      <c r="H17" s="112"/>
      <c r="J17" s="36"/>
    </row>
    <row r="18" spans="3:10" x14ac:dyDescent="0.25">
      <c r="C18" s="24"/>
      <c r="D18" s="2" t="s">
        <v>7645</v>
      </c>
      <c r="E18" s="2" t="s">
        <v>6925</v>
      </c>
      <c r="F18" s="109">
        <v>900</v>
      </c>
      <c r="G18" s="113"/>
      <c r="H18" s="112"/>
      <c r="J18" s="36"/>
    </row>
    <row r="19" spans="3:10" x14ac:dyDescent="0.25">
      <c r="C19" s="24"/>
      <c r="D19" s="2" t="s">
        <v>7646</v>
      </c>
      <c r="E19" s="2" t="s">
        <v>5678</v>
      </c>
      <c r="F19" s="109">
        <v>10</v>
      </c>
      <c r="G19" s="113"/>
      <c r="H19" s="112"/>
      <c r="J19" s="36"/>
    </row>
    <row r="20" spans="3:10" x14ac:dyDescent="0.25">
      <c r="C20" s="24"/>
      <c r="D20" s="2" t="s">
        <v>7647</v>
      </c>
      <c r="E20" s="2" t="s">
        <v>7229</v>
      </c>
      <c r="F20" s="109"/>
      <c r="G20" s="113">
        <v>6380</v>
      </c>
      <c r="H20" s="112"/>
      <c r="J20" s="36"/>
    </row>
    <row r="21" spans="3:10" x14ac:dyDescent="0.25">
      <c r="C21" s="24"/>
      <c r="D21" s="2" t="s">
        <v>7648</v>
      </c>
      <c r="E21" s="2" t="s">
        <v>5678</v>
      </c>
      <c r="F21" s="109"/>
      <c r="G21" s="113"/>
      <c r="H21" s="112">
        <v>38</v>
      </c>
    </row>
    <row r="22" spans="3:10" x14ac:dyDescent="0.25">
      <c r="C22" s="8"/>
      <c r="D22" s="2" t="s">
        <v>7649</v>
      </c>
      <c r="E22" s="2" t="s">
        <v>5678</v>
      </c>
      <c r="F22" s="4"/>
      <c r="G22" s="14"/>
      <c r="H22" s="9">
        <v>15</v>
      </c>
    </row>
    <row r="23" spans="3:10" x14ac:dyDescent="0.25">
      <c r="C23" s="8"/>
      <c r="D23" s="2" t="s">
        <v>7650</v>
      </c>
      <c r="E23" s="2" t="s">
        <v>5678</v>
      </c>
      <c r="F23" s="4"/>
      <c r="G23" s="14"/>
      <c r="H23" s="9">
        <v>9.5</v>
      </c>
    </row>
    <row r="24" spans="3:10" x14ac:dyDescent="0.25">
      <c r="C24" s="8"/>
      <c r="D24" s="2" t="s">
        <v>7651</v>
      </c>
      <c r="E24" s="2" t="s">
        <v>5678</v>
      </c>
      <c r="F24" s="4">
        <v>4.5</v>
      </c>
      <c r="G24" s="14"/>
      <c r="H24" s="9"/>
    </row>
    <row r="25" spans="3:10" x14ac:dyDescent="0.25">
      <c r="C25" s="8"/>
      <c r="D25" s="2" t="s">
        <v>7674</v>
      </c>
      <c r="E25" s="2" t="s">
        <v>5678</v>
      </c>
      <c r="F25" s="4">
        <v>8</v>
      </c>
      <c r="G25" s="14"/>
      <c r="H25" s="9"/>
    </row>
    <row r="26" spans="3:10" x14ac:dyDescent="0.25">
      <c r="C26" s="8"/>
      <c r="D26" s="2" t="s">
        <v>7675</v>
      </c>
      <c r="E26" s="2" t="s">
        <v>5288</v>
      </c>
      <c r="F26" s="4"/>
      <c r="G26" s="14"/>
      <c r="H26" s="9">
        <v>4</v>
      </c>
    </row>
    <row r="27" spans="3:10" x14ac:dyDescent="0.25">
      <c r="C27" s="8"/>
      <c r="D27" s="2" t="s">
        <v>7676</v>
      </c>
      <c r="E27" s="2" t="s">
        <v>5678</v>
      </c>
      <c r="F27" s="4"/>
      <c r="G27" s="14"/>
      <c r="H27" s="9">
        <v>13</v>
      </c>
    </row>
    <row r="28" spans="3:10" x14ac:dyDescent="0.25">
      <c r="C28" s="8"/>
      <c r="D28" s="2" t="s">
        <v>7677</v>
      </c>
      <c r="E28" s="2" t="s">
        <v>5678</v>
      </c>
      <c r="F28" s="4"/>
      <c r="G28" s="14"/>
      <c r="H28" s="9">
        <v>3</v>
      </c>
    </row>
    <row r="29" spans="3:10" x14ac:dyDescent="0.25">
      <c r="C29" s="8"/>
      <c r="D29" s="2" t="s">
        <v>7687</v>
      </c>
      <c r="E29" s="2" t="s">
        <v>5388</v>
      </c>
      <c r="F29" s="4"/>
      <c r="G29" s="14">
        <v>207.5</v>
      </c>
      <c r="H29" s="9"/>
    </row>
    <row r="30" spans="3:10" x14ac:dyDescent="0.25">
      <c r="C30" s="8"/>
      <c r="D30" s="2" t="s">
        <v>7688</v>
      </c>
      <c r="E30" s="2" t="s">
        <v>5678</v>
      </c>
      <c r="F30" s="4">
        <v>17</v>
      </c>
      <c r="G30" s="14"/>
      <c r="H30" s="9"/>
    </row>
    <row r="31" spans="3:10" x14ac:dyDescent="0.25">
      <c r="C31" s="8"/>
      <c r="D31" s="2" t="s">
        <v>7689</v>
      </c>
      <c r="E31" s="2" t="s">
        <v>5678</v>
      </c>
      <c r="F31" s="4">
        <v>19</v>
      </c>
      <c r="G31" s="14"/>
      <c r="H31" s="9"/>
    </row>
    <row r="32" spans="3:10" x14ac:dyDescent="0.25">
      <c r="C32" s="8"/>
      <c r="D32" s="2" t="s">
        <v>7690</v>
      </c>
      <c r="E32" s="2" t="s">
        <v>6829</v>
      </c>
      <c r="F32" s="4">
        <v>40</v>
      </c>
      <c r="G32" s="14"/>
      <c r="H32" s="9"/>
    </row>
    <row r="33" spans="3:8" x14ac:dyDescent="0.25">
      <c r="C33" s="8"/>
      <c r="D33" s="2" t="s">
        <v>7691</v>
      </c>
      <c r="E33" s="2" t="s">
        <v>7693</v>
      </c>
      <c r="F33" s="4"/>
      <c r="G33" s="14">
        <v>180</v>
      </c>
      <c r="H33" s="9"/>
    </row>
    <row r="34" spans="3:8" x14ac:dyDescent="0.25">
      <c r="C34" s="8"/>
      <c r="D34" s="2" t="s">
        <v>7692</v>
      </c>
      <c r="E34" s="2" t="s">
        <v>5678</v>
      </c>
      <c r="F34" s="4"/>
      <c r="G34" s="14"/>
      <c r="H34" s="9">
        <v>45</v>
      </c>
    </row>
    <row r="35" spans="3:8" x14ac:dyDescent="0.25">
      <c r="C35" s="8"/>
      <c r="D35" s="2" t="s">
        <v>7701</v>
      </c>
      <c r="E35" s="2" t="s">
        <v>5678</v>
      </c>
      <c r="F35" s="4">
        <v>3.96</v>
      </c>
      <c r="G35" s="14"/>
      <c r="H35" s="9"/>
    </row>
    <row r="36" spans="3:8" x14ac:dyDescent="0.25">
      <c r="C36" s="8"/>
      <c r="D36" s="2" t="s">
        <v>7706</v>
      </c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 t="s">
        <v>7607</v>
      </c>
      <c r="E40" s="2" t="s">
        <v>7673</v>
      </c>
      <c r="F40" s="4">
        <v>23</v>
      </c>
      <c r="G40" s="14"/>
      <c r="H40" s="9"/>
    </row>
    <row r="41" spans="3:8" x14ac:dyDescent="0.25">
      <c r="C41" s="8"/>
      <c r="D41" s="2" t="s">
        <v>7654</v>
      </c>
      <c r="E41" s="2" t="s">
        <v>1631</v>
      </c>
      <c r="F41" s="4">
        <v>35</v>
      </c>
      <c r="G41" s="14"/>
      <c r="H41" s="9"/>
    </row>
    <row r="42" spans="3:8" x14ac:dyDescent="0.25">
      <c r="C42" s="8"/>
      <c r="D42" s="2" t="s">
        <v>7655</v>
      </c>
      <c r="E42" s="2" t="s">
        <v>1631</v>
      </c>
      <c r="F42" s="4">
        <v>27.5</v>
      </c>
      <c r="G42" s="14"/>
      <c r="H42" s="9"/>
    </row>
    <row r="43" spans="3:8" x14ac:dyDescent="0.25">
      <c r="C43" s="8"/>
      <c r="D43" s="2" t="s">
        <v>7656</v>
      </c>
      <c r="E43" s="2" t="s">
        <v>6854</v>
      </c>
      <c r="F43" s="4"/>
      <c r="G43" s="14"/>
      <c r="H43" s="9">
        <v>135</v>
      </c>
    </row>
    <row r="44" spans="3:8" x14ac:dyDescent="0.25">
      <c r="C44" s="8"/>
      <c r="D44" s="2" t="s">
        <v>7657</v>
      </c>
      <c r="E44" s="2" t="s">
        <v>1631</v>
      </c>
      <c r="F44" s="4"/>
      <c r="G44" s="14"/>
      <c r="H44" s="9">
        <v>11</v>
      </c>
    </row>
    <row r="45" spans="3:8" x14ac:dyDescent="0.25">
      <c r="C45" s="8"/>
      <c r="D45" s="2" t="s">
        <v>7658</v>
      </c>
      <c r="E45" s="2" t="s">
        <v>5422</v>
      </c>
      <c r="F45" s="4"/>
      <c r="G45" s="14"/>
      <c r="H45" s="9">
        <v>131</v>
      </c>
    </row>
    <row r="46" spans="3:8" x14ac:dyDescent="0.25">
      <c r="C46" s="8"/>
      <c r="D46" s="2" t="s">
        <v>7659</v>
      </c>
      <c r="E46" s="2" t="s">
        <v>1631</v>
      </c>
      <c r="F46" s="4"/>
      <c r="G46" s="14"/>
      <c r="H46" s="9">
        <v>9</v>
      </c>
    </row>
    <row r="47" spans="3:8" x14ac:dyDescent="0.25">
      <c r="C47" s="8"/>
      <c r="D47" s="2" t="s">
        <v>7660</v>
      </c>
      <c r="E47" s="2" t="s">
        <v>7609</v>
      </c>
      <c r="F47" s="4"/>
      <c r="G47" s="14">
        <v>4676</v>
      </c>
      <c r="H47" s="9"/>
    </row>
    <row r="48" spans="3:8" x14ac:dyDescent="0.25">
      <c r="C48" s="8"/>
      <c r="D48" s="2" t="s">
        <v>7661</v>
      </c>
      <c r="E48" s="2" t="s">
        <v>1631</v>
      </c>
      <c r="F48" s="4"/>
      <c r="G48" s="14"/>
      <c r="H48" s="9">
        <v>14</v>
      </c>
    </row>
    <row r="49" spans="3:8" x14ac:dyDescent="0.25">
      <c r="C49" s="8"/>
      <c r="D49" s="2" t="s">
        <v>7662</v>
      </c>
      <c r="E49" s="2" t="s">
        <v>7672</v>
      </c>
      <c r="F49" s="4"/>
      <c r="G49" s="14">
        <v>20</v>
      </c>
      <c r="H49" s="9"/>
    </row>
    <row r="50" spans="3:8" x14ac:dyDescent="0.25">
      <c r="C50" s="8"/>
      <c r="D50" s="2" t="s">
        <v>7663</v>
      </c>
      <c r="E50" s="2" t="s">
        <v>1631</v>
      </c>
      <c r="F50" s="4">
        <v>59</v>
      </c>
      <c r="G50" s="14"/>
      <c r="H50" s="9"/>
    </row>
    <row r="51" spans="3:8" x14ac:dyDescent="0.25">
      <c r="C51" s="8"/>
      <c r="D51" s="2" t="s">
        <v>7664</v>
      </c>
      <c r="E51" s="2" t="s">
        <v>7671</v>
      </c>
      <c r="F51" s="4">
        <v>250</v>
      </c>
      <c r="G51" s="14"/>
      <c r="H51" s="9"/>
    </row>
    <row r="52" spans="3:8" x14ac:dyDescent="0.25">
      <c r="C52" s="8"/>
      <c r="D52" s="2" t="s">
        <v>7665</v>
      </c>
      <c r="E52" s="2" t="s">
        <v>1631</v>
      </c>
      <c r="F52" s="4"/>
      <c r="G52" s="14"/>
      <c r="H52" s="9">
        <v>32</v>
      </c>
    </row>
    <row r="53" spans="3:8" x14ac:dyDescent="0.25">
      <c r="C53" s="8"/>
      <c r="D53" s="2" t="s">
        <v>7666</v>
      </c>
      <c r="E53" s="2" t="s">
        <v>1631</v>
      </c>
      <c r="F53" s="4">
        <v>1</v>
      </c>
      <c r="G53" s="14"/>
      <c r="H53" s="9"/>
    </row>
    <row r="54" spans="3:8" x14ac:dyDescent="0.25">
      <c r="C54" s="8"/>
      <c r="D54" s="2" t="s">
        <v>7667</v>
      </c>
      <c r="E54" s="2" t="s">
        <v>1631</v>
      </c>
      <c r="F54" s="4">
        <v>5.5</v>
      </c>
      <c r="G54" s="14"/>
      <c r="H54" s="9"/>
    </row>
    <row r="55" spans="3:8" x14ac:dyDescent="0.25">
      <c r="C55" s="8"/>
      <c r="D55" s="2" t="s">
        <v>7668</v>
      </c>
      <c r="E55" s="2" t="s">
        <v>1631</v>
      </c>
      <c r="F55" s="4">
        <v>10</v>
      </c>
      <c r="G55" s="14"/>
      <c r="H55" s="9"/>
    </row>
    <row r="56" spans="3:8" x14ac:dyDescent="0.25">
      <c r="C56" s="8"/>
      <c r="D56" s="2" t="s">
        <v>7669</v>
      </c>
      <c r="E56" s="2" t="s">
        <v>7670</v>
      </c>
      <c r="F56" s="4"/>
      <c r="G56" s="14"/>
      <c r="H56" s="9">
        <v>195</v>
      </c>
    </row>
    <row r="57" spans="3:8" x14ac:dyDescent="0.25">
      <c r="C57" s="8"/>
      <c r="D57" s="2" t="s">
        <v>7678</v>
      </c>
      <c r="E57" s="2" t="s">
        <v>1631</v>
      </c>
      <c r="F57" s="4">
        <v>17</v>
      </c>
      <c r="G57" s="14"/>
      <c r="H57" s="9"/>
    </row>
    <row r="58" spans="3:8" x14ac:dyDescent="0.25">
      <c r="C58" s="8"/>
      <c r="D58" s="2" t="s">
        <v>7679</v>
      </c>
      <c r="E58" s="2" t="s">
        <v>6854</v>
      </c>
      <c r="F58" s="4"/>
      <c r="G58" s="14"/>
      <c r="H58" s="9">
        <v>353.5</v>
      </c>
    </row>
    <row r="59" spans="3:8" x14ac:dyDescent="0.25">
      <c r="C59" s="8"/>
      <c r="D59" s="2" t="s">
        <v>7694</v>
      </c>
      <c r="E59" s="2" t="s">
        <v>1631</v>
      </c>
      <c r="F59" s="4"/>
      <c r="G59" s="14"/>
      <c r="H59" s="9">
        <v>17</v>
      </c>
    </row>
    <row r="60" spans="3:8" x14ac:dyDescent="0.25">
      <c r="C60" s="8"/>
      <c r="D60" s="2" t="s">
        <v>7695</v>
      </c>
      <c r="E60" s="2" t="s">
        <v>1631</v>
      </c>
      <c r="F60" s="4"/>
      <c r="G60" s="14"/>
      <c r="H60" s="9">
        <v>63</v>
      </c>
    </row>
    <row r="61" spans="3:8" x14ac:dyDescent="0.25">
      <c r="C61" s="8"/>
      <c r="D61" s="2" t="s">
        <v>7696</v>
      </c>
      <c r="E61" s="2" t="s">
        <v>1631</v>
      </c>
      <c r="F61" s="4">
        <v>9.5</v>
      </c>
      <c r="G61" s="14"/>
      <c r="H61" s="9"/>
    </row>
    <row r="62" spans="3:8" x14ac:dyDescent="0.25">
      <c r="C62" s="8"/>
      <c r="D62" s="2" t="s">
        <v>7697</v>
      </c>
      <c r="E62" s="2" t="s">
        <v>1631</v>
      </c>
      <c r="F62" s="4">
        <v>286.2</v>
      </c>
      <c r="G62" s="14"/>
      <c r="H62" s="9"/>
    </row>
    <row r="63" spans="3:8" x14ac:dyDescent="0.25">
      <c r="C63" s="8"/>
      <c r="D63" s="2" t="s">
        <v>7717</v>
      </c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7627</v>
      </c>
      <c r="E68" s="76" t="s">
        <v>4322</v>
      </c>
      <c r="F68" s="35"/>
      <c r="G68" s="14"/>
      <c r="H68" s="9">
        <v>287.5</v>
      </c>
    </row>
    <row r="69" spans="3:8" x14ac:dyDescent="0.25">
      <c r="C69" s="8"/>
      <c r="D69" s="2" t="s">
        <v>7628</v>
      </c>
      <c r="E69" s="76" t="s">
        <v>7631</v>
      </c>
      <c r="F69" s="35">
        <v>50.5</v>
      </c>
      <c r="G69" s="14"/>
      <c r="H69" s="9"/>
    </row>
    <row r="70" spans="3:8" x14ac:dyDescent="0.25">
      <c r="C70" s="8"/>
      <c r="D70" s="2" t="s">
        <v>7629</v>
      </c>
      <c r="E70" s="76" t="s">
        <v>5706</v>
      </c>
      <c r="F70" s="35"/>
      <c r="G70" s="14"/>
      <c r="H70" s="9">
        <v>12</v>
      </c>
    </row>
    <row r="71" spans="3:8" x14ac:dyDescent="0.25">
      <c r="C71" s="8"/>
      <c r="D71" s="2" t="s">
        <v>7630</v>
      </c>
      <c r="E71" s="76" t="s">
        <v>7632</v>
      </c>
      <c r="F71" s="35"/>
      <c r="G71" s="14">
        <v>825</v>
      </c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8"/>
      <c r="D76" s="45"/>
      <c r="E76" s="68"/>
      <c r="F76" s="4"/>
      <c r="G76" s="14"/>
      <c r="H76" s="9"/>
    </row>
    <row r="77" spans="3:8" x14ac:dyDescent="0.25">
      <c r="C77" s="8"/>
      <c r="D77" s="2"/>
      <c r="E77" s="2"/>
      <c r="F77" s="4"/>
      <c r="G77" s="14"/>
      <c r="H77" s="9"/>
    </row>
    <row r="78" spans="3:8" x14ac:dyDescent="0.25">
      <c r="C78" s="16"/>
      <c r="D78" s="17"/>
      <c r="E78" s="17" t="s">
        <v>39</v>
      </c>
      <c r="F78" s="4"/>
      <c r="G78" s="14"/>
      <c r="H78" s="9"/>
    </row>
    <row r="79" spans="3:8" x14ac:dyDescent="0.25">
      <c r="C79" s="8"/>
      <c r="D79" s="2"/>
      <c r="E79" s="76" t="s">
        <v>7680</v>
      </c>
      <c r="F79" s="35">
        <v>3918.5</v>
      </c>
      <c r="G79" s="14"/>
      <c r="H79" s="9"/>
    </row>
    <row r="80" spans="3:8" x14ac:dyDescent="0.25">
      <c r="C80" s="8"/>
      <c r="D80" s="2"/>
      <c r="E80" s="76" t="s">
        <v>7681</v>
      </c>
      <c r="F80" s="35">
        <v>2715</v>
      </c>
      <c r="G80" s="14"/>
      <c r="H80" s="9"/>
    </row>
    <row r="81" spans="3:8" x14ac:dyDescent="0.25">
      <c r="C81" s="8"/>
      <c r="D81" s="2"/>
      <c r="E81" s="76" t="s">
        <v>7682</v>
      </c>
      <c r="F81" s="35">
        <v>300</v>
      </c>
      <c r="G81" s="14"/>
      <c r="H81" s="9"/>
    </row>
    <row r="82" spans="3:8" x14ac:dyDescent="0.25">
      <c r="C82" s="8"/>
      <c r="D82" s="2"/>
      <c r="E82" s="76"/>
      <c r="F82" s="35"/>
      <c r="G82" s="14"/>
      <c r="H82" s="9"/>
    </row>
    <row r="83" spans="3:8" x14ac:dyDescent="0.25">
      <c r="C83" s="8"/>
      <c r="D83" s="2"/>
      <c r="E83" s="76"/>
      <c r="F83" s="35"/>
      <c r="G83" s="14"/>
      <c r="H83" s="9"/>
    </row>
    <row r="84" spans="3:8" x14ac:dyDescent="0.25">
      <c r="C84" s="8"/>
      <c r="D84" s="2"/>
      <c r="E84" s="76"/>
      <c r="F84" s="35"/>
      <c r="G84" s="14"/>
      <c r="H84" s="9"/>
    </row>
    <row r="85" spans="3:8" x14ac:dyDescent="0.25">
      <c r="C85" s="8"/>
      <c r="D85" s="2"/>
      <c r="E85" s="76"/>
      <c r="F85" s="35"/>
      <c r="G85" s="14"/>
      <c r="H85" s="9"/>
    </row>
    <row r="86" spans="3:8" x14ac:dyDescent="0.25">
      <c r="C86" s="8"/>
      <c r="D86" s="2"/>
      <c r="E86" s="76"/>
      <c r="F86" s="35"/>
      <c r="G86" s="14"/>
      <c r="H86" s="9"/>
    </row>
    <row r="87" spans="3:8" x14ac:dyDescent="0.25">
      <c r="C87" s="8"/>
      <c r="D87" s="2"/>
      <c r="E87" s="2"/>
      <c r="F87" s="4"/>
      <c r="G87" s="14"/>
      <c r="H87" s="9"/>
    </row>
    <row r="88" spans="3:8" x14ac:dyDescent="0.25">
      <c r="C88" s="19"/>
      <c r="D88" s="20"/>
      <c r="E88" s="20" t="s">
        <v>42</v>
      </c>
      <c r="F88" s="4"/>
      <c r="G88" s="14"/>
      <c r="H88" s="9"/>
    </row>
    <row r="89" spans="3:8" x14ac:dyDescent="0.25">
      <c r="C89" s="34"/>
      <c r="D89" s="45" t="s">
        <v>7626</v>
      </c>
      <c r="E89" s="68" t="s">
        <v>7625</v>
      </c>
      <c r="F89" s="14">
        <v>-150</v>
      </c>
      <c r="G89" s="14"/>
      <c r="H89" s="9"/>
    </row>
    <row r="90" spans="3:8" x14ac:dyDescent="0.25">
      <c r="C90" s="34"/>
      <c r="D90" s="45"/>
      <c r="E90" s="68" t="s">
        <v>7683</v>
      </c>
      <c r="F90" s="14">
        <v>-6</v>
      </c>
      <c r="G90" s="14"/>
      <c r="H90" s="9"/>
    </row>
    <row r="91" spans="3:8" x14ac:dyDescent="0.25">
      <c r="C91" s="34"/>
      <c r="D91" s="45"/>
      <c r="E91" s="68" t="s">
        <v>7684</v>
      </c>
      <c r="F91" s="14">
        <v>-40</v>
      </c>
      <c r="G91" s="14"/>
      <c r="H91" s="9"/>
    </row>
    <row r="92" spans="3:8" x14ac:dyDescent="0.25">
      <c r="C92" s="34"/>
      <c r="D92" s="45"/>
      <c r="E92" s="68" t="s">
        <v>7685</v>
      </c>
      <c r="F92" s="14">
        <v>-112</v>
      </c>
      <c r="G92" s="14"/>
      <c r="H92" s="9"/>
    </row>
    <row r="93" spans="3:8" x14ac:dyDescent="0.25">
      <c r="C93" s="34"/>
      <c r="D93" s="45"/>
      <c r="E93" s="68" t="s">
        <v>7686</v>
      </c>
      <c r="F93" s="14">
        <v>-137.5</v>
      </c>
      <c r="G93" s="14"/>
      <c r="H93" s="9"/>
    </row>
    <row r="94" spans="3:8" x14ac:dyDescent="0.25">
      <c r="C94" s="34"/>
      <c r="D94" s="45"/>
      <c r="E94" s="68" t="s">
        <v>7319</v>
      </c>
      <c r="F94" s="14">
        <v>-5081</v>
      </c>
      <c r="G94" s="14"/>
      <c r="H94" s="9"/>
    </row>
    <row r="95" spans="3:8" x14ac:dyDescent="0.25">
      <c r="C95" s="34"/>
      <c r="D95" s="45"/>
      <c r="E95" s="68" t="s">
        <v>7698</v>
      </c>
      <c r="F95" s="14">
        <v>-101</v>
      </c>
      <c r="G95" s="14"/>
      <c r="H95" s="9"/>
    </row>
    <row r="96" spans="3:8" x14ac:dyDescent="0.25">
      <c r="C96" s="34"/>
      <c r="D96" s="42"/>
      <c r="E96" s="68" t="s">
        <v>7699</v>
      </c>
      <c r="F96" s="14">
        <v>-171</v>
      </c>
      <c r="G96" s="14"/>
      <c r="H96" s="9"/>
    </row>
    <row r="97" spans="3:8" x14ac:dyDescent="0.25">
      <c r="C97" s="34"/>
      <c r="D97" s="42"/>
      <c r="E97" s="68" t="s">
        <v>7700</v>
      </c>
      <c r="F97" s="14">
        <v>-7000</v>
      </c>
      <c r="G97" s="14"/>
      <c r="H97" s="9"/>
    </row>
    <row r="98" spans="3:8" x14ac:dyDescent="0.25">
      <c r="C98" s="34"/>
      <c r="D98" s="42"/>
      <c r="E98" s="68" t="s">
        <v>7702</v>
      </c>
      <c r="F98" s="14">
        <v>-3.96</v>
      </c>
      <c r="G98" s="14"/>
      <c r="H98" s="9"/>
    </row>
    <row r="99" spans="3:8" x14ac:dyDescent="0.25">
      <c r="C99" s="34"/>
      <c r="D99" s="42"/>
      <c r="E99" s="68"/>
      <c r="F99" s="14"/>
      <c r="G99" s="14"/>
      <c r="H99" s="9"/>
    </row>
    <row r="100" spans="3:8" x14ac:dyDescent="0.25">
      <c r="C100" s="34"/>
      <c r="D100" s="42"/>
      <c r="E100" s="68"/>
      <c r="F100" s="14"/>
      <c r="G100" s="14"/>
      <c r="H100" s="9"/>
    </row>
    <row r="101" spans="3:8" ht="15.75" thickBot="1" x14ac:dyDescent="0.3">
      <c r="C101" s="10"/>
      <c r="D101" s="11"/>
      <c r="E101" s="11" t="s">
        <v>44</v>
      </c>
      <c r="F101" s="12">
        <f>SUM(F6:F100)</f>
        <v>-3414.5000000000009</v>
      </c>
      <c r="G101" s="15">
        <f>SUM(G22:G100)</f>
        <v>5908.5</v>
      </c>
      <c r="H101" s="13">
        <f>SUM(H22:H100)</f>
        <v>1349.5</v>
      </c>
    </row>
    <row r="104" spans="3:8" s="3" customFormat="1" ht="18.75" x14ac:dyDescent="0.3">
      <c r="C104" s="1"/>
      <c r="D104" s="1"/>
      <c r="E104" s="38" t="s">
        <v>49</v>
      </c>
      <c r="F104" s="39">
        <f>+H4+F101</f>
        <v>2168.079999999999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72F9-EFCE-408B-AEBC-5213C3021346}">
  <sheetPr codeName="Hoja96"/>
  <dimension ref="C2:J83"/>
  <sheetViews>
    <sheetView topLeftCell="B54" zoomScaleNormal="100" workbookViewId="0">
      <selection activeCell="F83" sqref="F83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</cols>
  <sheetData>
    <row r="2" spans="3:10" ht="15.75" thickBot="1" x14ac:dyDescent="0.3"/>
    <row r="3" spans="3:10" ht="15" customHeight="1" x14ac:dyDescent="0.25">
      <c r="C3" s="143" t="s">
        <v>7703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2168.08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7706</v>
      </c>
      <c r="E6" s="2" t="s">
        <v>5678</v>
      </c>
      <c r="F6" s="109">
        <v>4.8</v>
      </c>
      <c r="G6" s="113"/>
      <c r="H6" s="112"/>
    </row>
    <row r="7" spans="3:10" x14ac:dyDescent="0.25">
      <c r="C7" s="24"/>
      <c r="D7" s="2" t="s">
        <v>7707</v>
      </c>
      <c r="E7" s="2" t="s">
        <v>5678</v>
      </c>
      <c r="F7" s="109">
        <v>4.5</v>
      </c>
      <c r="G7" s="113"/>
      <c r="H7" s="112"/>
      <c r="I7" s="36"/>
      <c r="J7" s="36"/>
    </row>
    <row r="8" spans="3:10" x14ac:dyDescent="0.25">
      <c r="C8" s="24"/>
      <c r="D8" s="2" t="s">
        <v>7708</v>
      </c>
      <c r="E8" s="2" t="s">
        <v>5678</v>
      </c>
      <c r="F8" s="109">
        <v>10</v>
      </c>
      <c r="G8" s="113"/>
      <c r="H8" s="112"/>
      <c r="J8" s="36"/>
    </row>
    <row r="9" spans="3:10" x14ac:dyDescent="0.25">
      <c r="C9" s="24"/>
      <c r="D9" s="2" t="s">
        <v>7709</v>
      </c>
      <c r="E9" s="2" t="s">
        <v>6146</v>
      </c>
      <c r="F9" s="109"/>
      <c r="G9" s="113">
        <v>945</v>
      </c>
      <c r="H9" s="112"/>
      <c r="J9" s="36"/>
    </row>
    <row r="10" spans="3:10" x14ac:dyDescent="0.25">
      <c r="C10" s="24"/>
      <c r="D10" s="2" t="s">
        <v>7710</v>
      </c>
      <c r="E10" s="2" t="s">
        <v>6751</v>
      </c>
      <c r="F10" s="109"/>
      <c r="G10" s="113"/>
      <c r="H10" s="112">
        <v>174</v>
      </c>
      <c r="J10" s="36"/>
    </row>
    <row r="11" spans="3:10" x14ac:dyDescent="0.25">
      <c r="C11" s="24"/>
      <c r="D11" s="2" t="s">
        <v>7711</v>
      </c>
      <c r="E11" s="2" t="s">
        <v>7176</v>
      </c>
      <c r="F11" s="109">
        <v>3356.1</v>
      </c>
      <c r="G11" s="113"/>
      <c r="H11" s="112"/>
      <c r="J11" s="36"/>
    </row>
    <row r="12" spans="3:10" x14ac:dyDescent="0.25">
      <c r="C12" s="24"/>
      <c r="D12" s="2" t="s">
        <v>7712</v>
      </c>
      <c r="E12" s="2" t="s">
        <v>5678</v>
      </c>
      <c r="F12" s="109">
        <v>5</v>
      </c>
      <c r="G12" s="113"/>
      <c r="H12" s="112"/>
      <c r="J12" s="36"/>
    </row>
    <row r="13" spans="3:10" x14ac:dyDescent="0.25">
      <c r="C13" s="24"/>
      <c r="D13" s="2" t="s">
        <v>7713</v>
      </c>
      <c r="E13" s="2" t="s">
        <v>5678</v>
      </c>
      <c r="F13" s="109">
        <v>10</v>
      </c>
      <c r="G13" s="113"/>
      <c r="H13" s="112"/>
      <c r="J13" s="36"/>
    </row>
    <row r="14" spans="3:10" x14ac:dyDescent="0.25">
      <c r="C14" s="24"/>
      <c r="D14" s="2" t="s">
        <v>7714</v>
      </c>
      <c r="E14" s="2" t="s">
        <v>5678</v>
      </c>
      <c r="F14" s="109"/>
      <c r="G14" s="113"/>
      <c r="H14" s="112">
        <v>9</v>
      </c>
      <c r="J14" s="36"/>
    </row>
    <row r="15" spans="3:10" x14ac:dyDescent="0.25">
      <c r="C15" s="24"/>
      <c r="D15" s="2" t="s">
        <v>7715</v>
      </c>
      <c r="E15" s="2" t="s">
        <v>5678</v>
      </c>
      <c r="F15" s="109"/>
      <c r="G15" s="113"/>
      <c r="H15" s="112">
        <v>5</v>
      </c>
      <c r="J15" s="36"/>
    </row>
    <row r="16" spans="3:10" x14ac:dyDescent="0.25">
      <c r="C16" s="8"/>
      <c r="D16" s="2" t="s">
        <v>7716</v>
      </c>
      <c r="E16" s="2" t="s">
        <v>5416</v>
      </c>
      <c r="F16" s="4"/>
      <c r="G16" s="14"/>
      <c r="H16" s="9">
        <v>3350</v>
      </c>
    </row>
    <row r="17" spans="3:8" x14ac:dyDescent="0.25">
      <c r="C17" s="8"/>
      <c r="D17" s="2" t="s">
        <v>7736</v>
      </c>
      <c r="E17" s="2" t="s">
        <v>5678</v>
      </c>
      <c r="F17" s="4"/>
      <c r="G17" s="14"/>
      <c r="H17" s="9">
        <v>12</v>
      </c>
    </row>
    <row r="18" spans="3:8" x14ac:dyDescent="0.25">
      <c r="C18" s="8"/>
      <c r="D18" s="2" t="s">
        <v>7737</v>
      </c>
      <c r="E18" s="2" t="s">
        <v>5678</v>
      </c>
      <c r="F18" s="4">
        <v>5.5</v>
      </c>
      <c r="G18" s="14"/>
      <c r="H18" s="9"/>
    </row>
    <row r="19" spans="3:8" x14ac:dyDescent="0.25">
      <c r="C19" s="8"/>
      <c r="D19" s="2" t="s">
        <v>7738</v>
      </c>
      <c r="E19" s="2" t="s">
        <v>6949</v>
      </c>
      <c r="F19" s="4"/>
      <c r="G19" s="14"/>
      <c r="H19" s="9">
        <v>108.5</v>
      </c>
    </row>
    <row r="20" spans="3:8" x14ac:dyDescent="0.25">
      <c r="C20" s="8"/>
      <c r="D20" s="2" t="s">
        <v>7739</v>
      </c>
      <c r="E20" s="2" t="s">
        <v>4174</v>
      </c>
      <c r="F20" s="4"/>
      <c r="G20" s="14">
        <v>192</v>
      </c>
      <c r="H20" s="9"/>
    </row>
    <row r="21" spans="3:8" x14ac:dyDescent="0.25">
      <c r="C21" s="8"/>
      <c r="D21" s="2" t="s">
        <v>7740</v>
      </c>
      <c r="E21" s="2" t="s">
        <v>5416</v>
      </c>
      <c r="F21" s="4"/>
      <c r="G21" s="14"/>
      <c r="H21" s="9">
        <v>272</v>
      </c>
    </row>
    <row r="22" spans="3:8" x14ac:dyDescent="0.25">
      <c r="C22" s="8"/>
      <c r="D22" s="2" t="s">
        <v>7744</v>
      </c>
      <c r="E22" s="2" t="s">
        <v>5678</v>
      </c>
      <c r="F22" s="4">
        <v>22.5</v>
      </c>
      <c r="G22" s="14"/>
      <c r="H22" s="9"/>
    </row>
    <row r="23" spans="3:8" x14ac:dyDescent="0.25">
      <c r="C23" s="8"/>
      <c r="D23" s="2" t="s">
        <v>7745</v>
      </c>
      <c r="E23" s="2" t="s">
        <v>5678</v>
      </c>
      <c r="F23" s="4">
        <v>16</v>
      </c>
      <c r="G23" s="14"/>
      <c r="H23" s="9"/>
    </row>
    <row r="24" spans="3:8" x14ac:dyDescent="0.25">
      <c r="C24" s="8"/>
      <c r="D24" s="2" t="s">
        <v>7746</v>
      </c>
      <c r="E24" s="2" t="s">
        <v>5678</v>
      </c>
      <c r="F24" s="4">
        <v>2</v>
      </c>
      <c r="G24" s="14"/>
      <c r="H24" s="9"/>
    </row>
    <row r="25" spans="3:8" x14ac:dyDescent="0.25">
      <c r="C25" s="8"/>
      <c r="D25" s="2" t="s">
        <v>7752</v>
      </c>
      <c r="E25" s="2" t="s">
        <v>5678</v>
      </c>
      <c r="F25" s="4"/>
      <c r="G25" s="14"/>
      <c r="H25" s="9">
        <v>12</v>
      </c>
    </row>
    <row r="26" spans="3:8" x14ac:dyDescent="0.25">
      <c r="C26" s="8"/>
      <c r="D26" s="2" t="s">
        <v>7753</v>
      </c>
      <c r="E26" s="2" t="s">
        <v>6925</v>
      </c>
      <c r="F26" s="4">
        <v>67.5</v>
      </c>
      <c r="G26" s="14"/>
      <c r="H26" s="9"/>
    </row>
    <row r="27" spans="3:8" x14ac:dyDescent="0.25">
      <c r="C27" s="8"/>
      <c r="D27" s="2" t="s">
        <v>7754</v>
      </c>
      <c r="E27" s="2" t="s">
        <v>2384</v>
      </c>
      <c r="F27" s="4"/>
      <c r="G27" s="14">
        <v>52.5</v>
      </c>
      <c r="H27" s="9"/>
    </row>
    <row r="28" spans="3:8" x14ac:dyDescent="0.25">
      <c r="C28" s="8"/>
      <c r="D28" s="2" t="s">
        <v>7755</v>
      </c>
      <c r="E28" s="2" t="s">
        <v>5678</v>
      </c>
      <c r="F28" s="4"/>
      <c r="G28" s="14"/>
      <c r="H28" s="9">
        <v>120</v>
      </c>
    </row>
    <row r="29" spans="3:8" x14ac:dyDescent="0.25">
      <c r="C29" s="8"/>
      <c r="D29" s="2" t="s">
        <v>7770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 t="s">
        <v>7717</v>
      </c>
      <c r="E32" s="2" t="s">
        <v>5644</v>
      </c>
      <c r="F32" s="4"/>
      <c r="G32" s="14">
        <v>217.5</v>
      </c>
      <c r="H32" s="9"/>
    </row>
    <row r="33" spans="3:8" x14ac:dyDescent="0.25">
      <c r="C33" s="8"/>
      <c r="D33" s="2" t="s">
        <v>7721</v>
      </c>
      <c r="E33" s="2" t="s">
        <v>7718</v>
      </c>
      <c r="F33" s="4">
        <v>1205.5</v>
      </c>
      <c r="G33" s="14"/>
      <c r="H33" s="9"/>
    </row>
    <row r="34" spans="3:8" x14ac:dyDescent="0.25">
      <c r="C34" s="8"/>
      <c r="D34" s="2" t="s">
        <v>7722</v>
      </c>
      <c r="E34" s="2" t="s">
        <v>6085</v>
      </c>
      <c r="F34" s="4"/>
      <c r="G34" s="14"/>
      <c r="H34" s="9">
        <v>676.5</v>
      </c>
    </row>
    <row r="35" spans="3:8" x14ac:dyDescent="0.25">
      <c r="C35" s="8"/>
      <c r="D35" s="2" t="s">
        <v>7723</v>
      </c>
      <c r="E35" s="2" t="s">
        <v>7176</v>
      </c>
      <c r="F35" s="4">
        <v>603.5</v>
      </c>
      <c r="G35" s="14"/>
      <c r="H35" s="9"/>
    </row>
    <row r="36" spans="3:8" x14ac:dyDescent="0.25">
      <c r="C36" s="8"/>
      <c r="D36" s="2" t="s">
        <v>7724</v>
      </c>
      <c r="E36" s="2" t="s">
        <v>1631</v>
      </c>
      <c r="F36" s="4">
        <v>2</v>
      </c>
      <c r="G36" s="14"/>
      <c r="H36" s="9"/>
    </row>
    <row r="37" spans="3:8" x14ac:dyDescent="0.25">
      <c r="C37" s="8"/>
      <c r="D37" s="2" t="s">
        <v>7725</v>
      </c>
      <c r="E37" s="2" t="s">
        <v>1631</v>
      </c>
      <c r="F37" s="4"/>
      <c r="G37" s="14"/>
      <c r="H37" s="9">
        <v>6.5</v>
      </c>
    </row>
    <row r="38" spans="3:8" x14ac:dyDescent="0.25">
      <c r="C38" s="8"/>
      <c r="D38" s="2" t="s">
        <v>7726</v>
      </c>
      <c r="E38" s="2" t="s">
        <v>1631</v>
      </c>
      <c r="F38" s="4"/>
      <c r="G38" s="14"/>
      <c r="H38" s="9">
        <v>10</v>
      </c>
    </row>
    <row r="39" spans="3:8" x14ac:dyDescent="0.25">
      <c r="C39" s="8"/>
      <c r="D39" s="2" t="s">
        <v>7727</v>
      </c>
      <c r="E39" s="2" t="s">
        <v>1631</v>
      </c>
      <c r="F39" s="4">
        <v>2.5</v>
      </c>
      <c r="G39" s="14"/>
      <c r="H39" s="9"/>
    </row>
    <row r="40" spans="3:8" x14ac:dyDescent="0.25">
      <c r="C40" s="8"/>
      <c r="D40" s="2" t="s">
        <v>7728</v>
      </c>
      <c r="E40" s="2" t="s">
        <v>7719</v>
      </c>
      <c r="F40" s="4"/>
      <c r="G40" s="14"/>
      <c r="H40" s="9">
        <v>38</v>
      </c>
    </row>
    <row r="41" spans="3:8" x14ac:dyDescent="0.25">
      <c r="C41" s="8"/>
      <c r="D41" s="2" t="s">
        <v>7729</v>
      </c>
      <c r="E41" s="2" t="s">
        <v>1631</v>
      </c>
      <c r="F41" s="4">
        <v>4.5</v>
      </c>
      <c r="G41" s="14"/>
      <c r="H41" s="9"/>
    </row>
    <row r="42" spans="3:8" x14ac:dyDescent="0.25">
      <c r="C42" s="8"/>
      <c r="D42" s="2" t="s">
        <v>7730</v>
      </c>
      <c r="E42" s="2" t="s">
        <v>7720</v>
      </c>
      <c r="F42" s="4"/>
      <c r="G42" s="14">
        <v>2506.5</v>
      </c>
      <c r="H42" s="9"/>
    </row>
    <row r="43" spans="3:8" x14ac:dyDescent="0.25">
      <c r="C43" s="8"/>
      <c r="D43" s="2" t="s">
        <v>7731</v>
      </c>
      <c r="E43" s="2" t="s">
        <v>1631</v>
      </c>
      <c r="F43" s="4">
        <v>6</v>
      </c>
      <c r="G43" s="14"/>
      <c r="H43" s="9"/>
    </row>
    <row r="44" spans="3:8" x14ac:dyDescent="0.25">
      <c r="C44" s="8"/>
      <c r="D44" s="2" t="s">
        <v>7741</v>
      </c>
      <c r="E44" s="2" t="s">
        <v>7652</v>
      </c>
      <c r="F44" s="4"/>
      <c r="G44" s="14"/>
      <c r="H44" s="9">
        <v>76</v>
      </c>
    </row>
    <row r="45" spans="3:8" x14ac:dyDescent="0.25">
      <c r="C45" s="8"/>
      <c r="D45" s="2" t="s">
        <v>7756</v>
      </c>
      <c r="E45" s="2" t="s">
        <v>1631</v>
      </c>
      <c r="F45" s="4">
        <v>2</v>
      </c>
      <c r="G45" s="14"/>
      <c r="H45" s="9"/>
    </row>
    <row r="46" spans="3:8" x14ac:dyDescent="0.25">
      <c r="C46" s="8"/>
      <c r="D46" s="2" t="s">
        <v>7757</v>
      </c>
      <c r="E46" s="2" t="s">
        <v>5951</v>
      </c>
      <c r="F46" s="4"/>
      <c r="G46" s="14"/>
      <c r="H46" s="9">
        <v>105</v>
      </c>
    </row>
    <row r="47" spans="3:8" x14ac:dyDescent="0.25">
      <c r="C47" s="8"/>
      <c r="D47" s="2" t="s">
        <v>7760</v>
      </c>
      <c r="E47" s="2" t="s">
        <v>1631</v>
      </c>
      <c r="F47" s="4"/>
      <c r="G47" s="14"/>
      <c r="H47" s="9">
        <v>10</v>
      </c>
    </row>
    <row r="48" spans="3:8" x14ac:dyDescent="0.25">
      <c r="C48" s="8"/>
      <c r="D48" s="2" t="s">
        <v>7761</v>
      </c>
      <c r="E48" s="2" t="s">
        <v>1631</v>
      </c>
      <c r="F48" s="4">
        <v>275</v>
      </c>
      <c r="G48" s="14"/>
      <c r="H48" s="9"/>
    </row>
    <row r="49" spans="3:8" x14ac:dyDescent="0.25">
      <c r="C49" s="8"/>
      <c r="D49" s="2" t="s">
        <v>7779</v>
      </c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29"/>
      <c r="D52" s="30"/>
      <c r="E52" s="30" t="s">
        <v>60</v>
      </c>
      <c r="F52" s="4"/>
      <c r="G52" s="14"/>
      <c r="H52" s="9"/>
    </row>
    <row r="53" spans="3:8" x14ac:dyDescent="0.25">
      <c r="C53" s="8"/>
      <c r="D53" s="2" t="s">
        <v>7705</v>
      </c>
      <c r="E53" s="76" t="s">
        <v>6575</v>
      </c>
      <c r="F53" s="35"/>
      <c r="G53" s="14"/>
      <c r="H53" s="9">
        <v>3200</v>
      </c>
    </row>
    <row r="54" spans="3:8" x14ac:dyDescent="0.25">
      <c r="C54" s="8"/>
      <c r="D54" s="2" t="s">
        <v>7734</v>
      </c>
      <c r="E54" s="76" t="s">
        <v>7735</v>
      </c>
      <c r="F54" s="35"/>
      <c r="G54" s="14">
        <v>733.5</v>
      </c>
      <c r="H54" s="9"/>
    </row>
    <row r="55" spans="3:8" x14ac:dyDescent="0.25">
      <c r="C55" s="8"/>
      <c r="D55" s="2"/>
      <c r="E55" s="76"/>
      <c r="F55" s="35"/>
      <c r="G55" s="14"/>
      <c r="H55" s="9"/>
    </row>
    <row r="56" spans="3:8" x14ac:dyDescent="0.25">
      <c r="C56" s="8"/>
      <c r="D56" s="2"/>
      <c r="E56" s="76"/>
      <c r="F56" s="35"/>
      <c r="G56" s="14"/>
      <c r="H56" s="9"/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16"/>
      <c r="D59" s="17"/>
      <c r="E59" s="17" t="s">
        <v>39</v>
      </c>
      <c r="F59" s="4"/>
      <c r="G59" s="14"/>
      <c r="H59" s="9"/>
    </row>
    <row r="60" spans="3:8" x14ac:dyDescent="0.25">
      <c r="C60" s="8"/>
      <c r="D60" s="2"/>
      <c r="E60" s="76" t="s">
        <v>7732</v>
      </c>
      <c r="F60" s="35">
        <v>985</v>
      </c>
      <c r="G60" s="14"/>
      <c r="H60" s="9"/>
    </row>
    <row r="61" spans="3:8" x14ac:dyDescent="0.25">
      <c r="C61" s="8"/>
      <c r="D61" s="2"/>
      <c r="E61" s="76" t="s">
        <v>7742</v>
      </c>
      <c r="F61" s="35">
        <v>70</v>
      </c>
      <c r="G61" s="14"/>
      <c r="H61" s="9"/>
    </row>
    <row r="62" spans="3:8" x14ac:dyDescent="0.25">
      <c r="C62" s="8"/>
      <c r="D62" s="2"/>
      <c r="E62" s="76" t="s">
        <v>7747</v>
      </c>
      <c r="F62" s="35">
        <v>398.4</v>
      </c>
      <c r="G62" s="14"/>
      <c r="H62" s="9"/>
    </row>
    <row r="63" spans="3:8" x14ac:dyDescent="0.25">
      <c r="C63" s="8"/>
      <c r="D63" s="2"/>
      <c r="E63" s="76" t="s">
        <v>7748</v>
      </c>
      <c r="F63" s="35">
        <v>4187.5</v>
      </c>
      <c r="G63" s="14"/>
      <c r="H63" s="9"/>
    </row>
    <row r="64" spans="3:8" x14ac:dyDescent="0.25">
      <c r="C64" s="8"/>
      <c r="D64" s="2"/>
      <c r="E64" s="76" t="s">
        <v>7749</v>
      </c>
      <c r="F64" s="35">
        <v>3120</v>
      </c>
      <c r="G64" s="14"/>
      <c r="H64" s="9"/>
    </row>
    <row r="65" spans="3:8" x14ac:dyDescent="0.25">
      <c r="C65" s="8"/>
      <c r="D65" s="2"/>
      <c r="E65" s="76" t="s">
        <v>7750</v>
      </c>
      <c r="F65" s="35">
        <v>6</v>
      </c>
      <c r="G65" s="14"/>
      <c r="H65" s="9"/>
    </row>
    <row r="66" spans="3:8" x14ac:dyDescent="0.25">
      <c r="C66" s="8"/>
      <c r="D66" s="2"/>
      <c r="E66" s="76"/>
      <c r="F66" s="35"/>
      <c r="G66" s="14"/>
      <c r="H66" s="9"/>
    </row>
    <row r="67" spans="3:8" x14ac:dyDescent="0.25">
      <c r="C67" s="8"/>
      <c r="D67" s="2"/>
      <c r="E67" s="76"/>
      <c r="F67" s="35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19"/>
      <c r="D69" s="20"/>
      <c r="E69" s="20" t="s">
        <v>42</v>
      </c>
      <c r="F69" s="4"/>
      <c r="G69" s="14"/>
      <c r="H69" s="9"/>
    </row>
    <row r="70" spans="3:8" x14ac:dyDescent="0.25">
      <c r="C70" s="34"/>
      <c r="D70" s="45"/>
      <c r="E70" s="68" t="s">
        <v>7704</v>
      </c>
      <c r="F70" s="14">
        <v>-1330</v>
      </c>
      <c r="G70" s="14"/>
      <c r="H70" s="9"/>
    </row>
    <row r="71" spans="3:8" x14ac:dyDescent="0.25">
      <c r="C71" s="34"/>
      <c r="D71" s="45"/>
      <c r="E71" s="68" t="s">
        <v>7759</v>
      </c>
      <c r="F71" s="14">
        <v>-25</v>
      </c>
      <c r="G71" s="14"/>
      <c r="H71" s="9"/>
    </row>
    <row r="72" spans="3:8" x14ac:dyDescent="0.25">
      <c r="C72" s="34"/>
      <c r="D72" s="45"/>
      <c r="E72" s="68" t="s">
        <v>4965</v>
      </c>
      <c r="F72" s="14">
        <v>-100</v>
      </c>
      <c r="G72" s="14"/>
      <c r="H72" s="9"/>
    </row>
    <row r="73" spans="3:8" x14ac:dyDescent="0.25">
      <c r="C73" s="34"/>
      <c r="D73" s="45"/>
      <c r="E73" s="68" t="s">
        <v>7733</v>
      </c>
      <c r="F73" s="14">
        <v>-425</v>
      </c>
      <c r="G73" s="14"/>
      <c r="H73" s="9"/>
    </row>
    <row r="74" spans="3:8" x14ac:dyDescent="0.25">
      <c r="C74" s="34"/>
      <c r="D74" s="45"/>
      <c r="E74" s="68" t="s">
        <v>7743</v>
      </c>
      <c r="F74" s="14">
        <v>-50</v>
      </c>
      <c r="G74" s="14"/>
      <c r="H74" s="9"/>
    </row>
    <row r="75" spans="3:8" x14ac:dyDescent="0.25">
      <c r="C75" s="34"/>
      <c r="D75" s="45"/>
      <c r="E75" s="68" t="s">
        <v>7560</v>
      </c>
      <c r="F75" s="14">
        <v>-85</v>
      </c>
      <c r="G75" s="14"/>
      <c r="H75" s="9"/>
    </row>
    <row r="76" spans="3:8" x14ac:dyDescent="0.25">
      <c r="C76" s="34"/>
      <c r="D76" s="45"/>
      <c r="E76" s="68" t="s">
        <v>7751</v>
      </c>
      <c r="F76" s="14">
        <v>-1260</v>
      </c>
      <c r="G76" s="14"/>
      <c r="H76" s="9"/>
    </row>
    <row r="77" spans="3:8" x14ac:dyDescent="0.25">
      <c r="C77" s="34"/>
      <c r="D77" s="45"/>
      <c r="E77" s="68" t="s">
        <v>7758</v>
      </c>
      <c r="F77" s="14">
        <v>-15</v>
      </c>
      <c r="G77" s="14"/>
      <c r="H77" s="9"/>
    </row>
    <row r="78" spans="3:8" x14ac:dyDescent="0.25">
      <c r="C78" s="34"/>
      <c r="D78" s="42"/>
      <c r="E78" s="68"/>
      <c r="F78" s="14"/>
      <c r="G78" s="14"/>
      <c r="H78" s="9"/>
    </row>
    <row r="79" spans="3:8" x14ac:dyDescent="0.25">
      <c r="C79" s="34"/>
      <c r="D79" s="42"/>
      <c r="E79" s="68"/>
      <c r="F79" s="14"/>
      <c r="G79" s="14"/>
      <c r="H79" s="9"/>
    </row>
    <row r="80" spans="3:8" ht="15.75" thickBot="1" x14ac:dyDescent="0.3">
      <c r="C80" s="10"/>
      <c r="D80" s="11"/>
      <c r="E80" s="11" t="s">
        <v>44</v>
      </c>
      <c r="F80" s="12">
        <f>SUM(F6:F79)</f>
        <v>11081.8</v>
      </c>
      <c r="G80" s="15">
        <f>SUM(G6:G79)</f>
        <v>4647</v>
      </c>
      <c r="H80" s="13">
        <f>SUM(H6:H79)</f>
        <v>8184.5</v>
      </c>
    </row>
    <row r="83" spans="3:6" s="3" customFormat="1" ht="18.75" x14ac:dyDescent="0.3">
      <c r="C83" s="1"/>
      <c r="D83" s="1"/>
      <c r="E83" s="38" t="s">
        <v>49</v>
      </c>
      <c r="F83" s="39">
        <f>+H4+F80</f>
        <v>13249.88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FE54-D032-4710-BE3C-C005DDCDE3BA}">
  <sheetPr codeName="Hoja97"/>
  <dimension ref="C2:J87"/>
  <sheetViews>
    <sheetView topLeftCell="B56" zoomScaleNormal="100" workbookViewId="0">
      <selection activeCell="F87" sqref="F87"/>
    </sheetView>
  </sheetViews>
  <sheetFormatPr baseColWidth="10" defaultRowHeight="15" x14ac:dyDescent="0.25"/>
  <cols>
    <col min="3" max="3" width="9.570312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7762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13249.88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7770</v>
      </c>
      <c r="E6" s="2" t="s">
        <v>12</v>
      </c>
      <c r="F6" s="109"/>
      <c r="G6" s="113"/>
      <c r="H6" s="112">
        <v>9</v>
      </c>
    </row>
    <row r="7" spans="3:10" x14ac:dyDescent="0.25">
      <c r="C7" s="24"/>
      <c r="D7" s="2" t="s">
        <v>7771</v>
      </c>
      <c r="E7" s="2" t="s">
        <v>12</v>
      </c>
      <c r="F7" s="109">
        <v>10</v>
      </c>
      <c r="G7" s="113"/>
      <c r="H7" s="112">
        <v>8.5</v>
      </c>
      <c r="I7" s="36"/>
      <c r="J7" s="36"/>
    </row>
    <row r="8" spans="3:10" x14ac:dyDescent="0.25">
      <c r="C8" s="24"/>
      <c r="D8" s="2" t="s">
        <v>7772</v>
      </c>
      <c r="E8" s="2" t="s">
        <v>6238</v>
      </c>
      <c r="F8" s="109"/>
      <c r="G8" s="113"/>
      <c r="H8" s="112">
        <v>62</v>
      </c>
      <c r="J8" s="36"/>
    </row>
    <row r="9" spans="3:10" x14ac:dyDescent="0.25">
      <c r="C9" s="24"/>
      <c r="D9" s="2" t="s">
        <v>7773</v>
      </c>
      <c r="E9" s="2" t="s">
        <v>7126</v>
      </c>
      <c r="F9" s="109"/>
      <c r="G9" s="113">
        <v>5585.5</v>
      </c>
      <c r="H9" s="112"/>
      <c r="J9" s="36"/>
    </row>
    <row r="10" spans="3:10" x14ac:dyDescent="0.25">
      <c r="C10" s="24"/>
      <c r="D10" s="2" t="s">
        <v>7774</v>
      </c>
      <c r="E10" s="2" t="s">
        <v>6441</v>
      </c>
      <c r="F10" s="109"/>
      <c r="G10" s="113"/>
      <c r="H10" s="112">
        <v>2683</v>
      </c>
      <c r="J10" s="36"/>
    </row>
    <row r="11" spans="3:10" x14ac:dyDescent="0.25">
      <c r="C11" s="24"/>
      <c r="D11" s="2" t="s">
        <v>7775</v>
      </c>
      <c r="E11" s="2" t="s">
        <v>12</v>
      </c>
      <c r="F11" s="109">
        <v>14</v>
      </c>
      <c r="G11" s="113"/>
      <c r="H11" s="112"/>
      <c r="J11" s="36"/>
    </row>
    <row r="12" spans="3:10" x14ac:dyDescent="0.25">
      <c r="C12" s="24"/>
      <c r="D12" s="2" t="s">
        <v>7776</v>
      </c>
      <c r="E12" s="2" t="s">
        <v>12</v>
      </c>
      <c r="F12" s="109"/>
      <c r="G12" s="113"/>
      <c r="H12" s="112">
        <v>43</v>
      </c>
      <c r="J12" s="36"/>
    </row>
    <row r="13" spans="3:10" x14ac:dyDescent="0.25">
      <c r="C13" s="24"/>
      <c r="D13" s="2" t="s">
        <v>7777</v>
      </c>
      <c r="E13" s="2" t="s">
        <v>12</v>
      </c>
      <c r="F13" s="109">
        <v>8.5</v>
      </c>
      <c r="G13" s="113"/>
      <c r="H13" s="112"/>
      <c r="J13" s="36"/>
    </row>
    <row r="14" spans="3:10" x14ac:dyDescent="0.25">
      <c r="C14" s="24"/>
      <c r="D14" s="2" t="s">
        <v>7778</v>
      </c>
      <c r="E14" s="2" t="s">
        <v>12</v>
      </c>
      <c r="F14" s="109"/>
      <c r="G14" s="113"/>
      <c r="H14" s="112">
        <v>11</v>
      </c>
      <c r="J14" s="36"/>
    </row>
    <row r="15" spans="3:10" x14ac:dyDescent="0.25">
      <c r="C15" s="24"/>
      <c r="D15" s="2" t="s">
        <v>7797</v>
      </c>
      <c r="E15" s="2" t="s">
        <v>6442</v>
      </c>
      <c r="F15" s="109"/>
      <c r="G15" s="113"/>
      <c r="H15" s="112">
        <v>915</v>
      </c>
      <c r="J15" s="36"/>
    </row>
    <row r="16" spans="3:10" x14ac:dyDescent="0.25">
      <c r="C16" s="24"/>
      <c r="D16" s="2" t="s">
        <v>7798</v>
      </c>
      <c r="E16" s="2" t="s">
        <v>12</v>
      </c>
      <c r="F16" s="109">
        <v>5</v>
      </c>
      <c r="G16" s="113"/>
      <c r="H16" s="112"/>
      <c r="J16" s="36"/>
    </row>
    <row r="17" spans="3:10" x14ac:dyDescent="0.25">
      <c r="C17" s="24"/>
      <c r="D17" s="2" t="s">
        <v>7806</v>
      </c>
      <c r="E17" s="2" t="s">
        <v>12</v>
      </c>
      <c r="F17" s="109">
        <v>6</v>
      </c>
      <c r="G17" s="113"/>
      <c r="H17" s="112"/>
      <c r="J17" s="36"/>
    </row>
    <row r="18" spans="3:10" x14ac:dyDescent="0.25">
      <c r="C18" s="24"/>
      <c r="D18" s="2" t="s">
        <v>7807</v>
      </c>
      <c r="E18" s="2" t="s">
        <v>5163</v>
      </c>
      <c r="F18" s="109"/>
      <c r="G18" s="113">
        <v>836</v>
      </c>
      <c r="H18" s="112"/>
      <c r="J18" s="36"/>
    </row>
    <row r="19" spans="3:10" x14ac:dyDescent="0.25">
      <c r="C19" s="24"/>
      <c r="D19" s="2" t="s">
        <v>7808</v>
      </c>
      <c r="E19" s="2" t="s">
        <v>7810</v>
      </c>
      <c r="F19" s="109">
        <v>660</v>
      </c>
      <c r="G19" s="113"/>
      <c r="H19" s="112">
        <v>800</v>
      </c>
      <c r="J19" s="36"/>
    </row>
    <row r="20" spans="3:10" x14ac:dyDescent="0.25">
      <c r="C20" s="24"/>
      <c r="D20" s="43" t="s">
        <v>7809</v>
      </c>
      <c r="E20" s="43" t="s">
        <v>7825</v>
      </c>
      <c r="F20" s="113"/>
      <c r="G20" s="113"/>
      <c r="H20" s="112"/>
      <c r="J20" s="36"/>
    </row>
    <row r="21" spans="3:10" x14ac:dyDescent="0.25">
      <c r="C21" s="24"/>
      <c r="D21" s="2" t="s">
        <v>7814</v>
      </c>
      <c r="E21" s="2" t="s">
        <v>6874</v>
      </c>
      <c r="F21" s="109">
        <v>683</v>
      </c>
      <c r="G21" s="113"/>
      <c r="H21" s="112"/>
      <c r="J21" s="36"/>
    </row>
    <row r="22" spans="3:10" x14ac:dyDescent="0.25">
      <c r="C22" s="24"/>
      <c r="D22" s="2" t="s">
        <v>7815</v>
      </c>
      <c r="E22" s="2" t="s">
        <v>12</v>
      </c>
      <c r="F22" s="109"/>
      <c r="G22" s="113"/>
      <c r="H22" s="112">
        <v>8</v>
      </c>
      <c r="J22" s="36"/>
    </row>
    <row r="23" spans="3:10" x14ac:dyDescent="0.25">
      <c r="C23" s="24"/>
      <c r="D23" s="2" t="s">
        <v>7816</v>
      </c>
      <c r="E23" s="2" t="s">
        <v>12</v>
      </c>
      <c r="F23" s="109"/>
      <c r="G23" s="113"/>
      <c r="H23" s="112">
        <v>18</v>
      </c>
      <c r="J23" s="36"/>
    </row>
    <row r="24" spans="3:10" x14ac:dyDescent="0.25">
      <c r="C24" s="24"/>
      <c r="D24" s="2" t="s">
        <v>7817</v>
      </c>
      <c r="E24" s="2" t="s">
        <v>12</v>
      </c>
      <c r="F24" s="109">
        <v>45</v>
      </c>
      <c r="G24" s="113"/>
      <c r="H24" s="112"/>
      <c r="J24" s="36"/>
    </row>
    <row r="25" spans="3:10" x14ac:dyDescent="0.25">
      <c r="C25" s="24"/>
      <c r="D25" s="2" t="s">
        <v>7818</v>
      </c>
      <c r="E25" s="2" t="s">
        <v>6674</v>
      </c>
      <c r="F25" s="109"/>
      <c r="G25" s="113"/>
      <c r="H25" s="112">
        <v>1717.8</v>
      </c>
      <c r="J25" s="36"/>
    </row>
    <row r="26" spans="3:10" x14ac:dyDescent="0.25">
      <c r="C26" s="24"/>
      <c r="D26" s="2" t="s">
        <v>7819</v>
      </c>
      <c r="E26" s="2" t="s">
        <v>12</v>
      </c>
      <c r="F26" s="109">
        <v>137.5</v>
      </c>
      <c r="G26" s="113"/>
      <c r="H26" s="112"/>
      <c r="J26" s="36"/>
    </row>
    <row r="27" spans="3:10" x14ac:dyDescent="0.25">
      <c r="C27" s="24"/>
      <c r="D27" s="2" t="s">
        <v>7823</v>
      </c>
      <c r="E27" s="2" t="s">
        <v>6593</v>
      </c>
      <c r="F27" s="109">
        <v>690</v>
      </c>
      <c r="G27" s="113"/>
      <c r="H27" s="112"/>
      <c r="J27" s="36"/>
    </row>
    <row r="28" spans="3:10" x14ac:dyDescent="0.25">
      <c r="C28" s="24"/>
      <c r="D28" s="2" t="s">
        <v>7828</v>
      </c>
      <c r="E28" s="2" t="s">
        <v>12</v>
      </c>
      <c r="F28" s="109">
        <v>14</v>
      </c>
      <c r="G28" s="113"/>
      <c r="H28" s="112"/>
      <c r="J28" s="36"/>
    </row>
    <row r="29" spans="3:10" x14ac:dyDescent="0.25">
      <c r="C29" s="24"/>
      <c r="D29" s="2" t="s">
        <v>7839</v>
      </c>
      <c r="E29" s="2"/>
      <c r="F29" s="109"/>
      <c r="G29" s="113"/>
      <c r="H29" s="112"/>
      <c r="J29" s="36"/>
    </row>
    <row r="30" spans="3:10" x14ac:dyDescent="0.25">
      <c r="C30" s="24"/>
      <c r="D30" s="2"/>
      <c r="E30" s="2"/>
      <c r="F30" s="109"/>
      <c r="G30" s="113"/>
      <c r="H30" s="112"/>
      <c r="J30" s="36"/>
    </row>
    <row r="31" spans="3:10" x14ac:dyDescent="0.25">
      <c r="C31" s="24"/>
      <c r="D31" s="2"/>
      <c r="E31" s="2"/>
      <c r="F31" s="109"/>
      <c r="G31" s="113"/>
      <c r="H31" s="112"/>
      <c r="J31" s="36"/>
    </row>
    <row r="32" spans="3:10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 t="s">
        <v>7779</v>
      </c>
      <c r="E33" s="2" t="s">
        <v>48</v>
      </c>
      <c r="F33" s="4"/>
      <c r="G33" s="14"/>
      <c r="H33" s="9">
        <v>35</v>
      </c>
    </row>
    <row r="34" spans="3:8" x14ac:dyDescent="0.25">
      <c r="C34" s="8"/>
      <c r="D34" s="2" t="s">
        <v>7780</v>
      </c>
      <c r="E34" s="2" t="s">
        <v>5416</v>
      </c>
      <c r="F34" s="4"/>
      <c r="G34" s="14"/>
      <c r="H34" s="9">
        <v>75</v>
      </c>
    </row>
    <row r="35" spans="3:8" x14ac:dyDescent="0.25">
      <c r="C35" s="8"/>
      <c r="D35" s="2" t="s">
        <v>7781</v>
      </c>
      <c r="E35" s="2" t="s">
        <v>48</v>
      </c>
      <c r="F35" s="4">
        <v>10</v>
      </c>
      <c r="G35" s="14"/>
      <c r="H35" s="9"/>
    </row>
    <row r="36" spans="3:8" x14ac:dyDescent="0.25">
      <c r="C36" s="8"/>
      <c r="D36" s="2" t="s">
        <v>7782</v>
      </c>
      <c r="E36" s="2" t="s">
        <v>48</v>
      </c>
      <c r="F36" s="4"/>
      <c r="G36" s="14"/>
      <c r="H36" s="9">
        <v>19.5</v>
      </c>
    </row>
    <row r="37" spans="3:8" x14ac:dyDescent="0.25">
      <c r="C37" s="8"/>
      <c r="D37" s="2" t="s">
        <v>7783</v>
      </c>
      <c r="E37" s="2" t="s">
        <v>5415</v>
      </c>
      <c r="F37" s="4"/>
      <c r="G37" s="14"/>
      <c r="H37" s="9">
        <v>1352.5</v>
      </c>
    </row>
    <row r="38" spans="3:8" x14ac:dyDescent="0.25">
      <c r="C38" s="8"/>
      <c r="D38" s="2" t="s">
        <v>7784</v>
      </c>
      <c r="E38" s="2" t="s">
        <v>48</v>
      </c>
      <c r="F38" s="4"/>
      <c r="G38" s="14"/>
      <c r="H38" s="9">
        <v>56</v>
      </c>
    </row>
    <row r="39" spans="3:8" x14ac:dyDescent="0.25">
      <c r="C39" s="8"/>
      <c r="D39" s="2" t="s">
        <v>7785</v>
      </c>
      <c r="E39" s="2" t="s">
        <v>7801</v>
      </c>
      <c r="F39" s="4"/>
      <c r="G39" s="14"/>
      <c r="H39" s="9">
        <v>105</v>
      </c>
    </row>
    <row r="40" spans="3:8" x14ac:dyDescent="0.25">
      <c r="C40" s="8"/>
      <c r="D40" s="2" t="s">
        <v>7786</v>
      </c>
      <c r="E40" s="2" t="s">
        <v>1373</v>
      </c>
      <c r="F40" s="4"/>
      <c r="G40" s="14"/>
      <c r="H40" s="9">
        <v>1360</v>
      </c>
    </row>
    <row r="41" spans="3:8" x14ac:dyDescent="0.25">
      <c r="C41" s="8"/>
      <c r="D41" s="2" t="s">
        <v>7787</v>
      </c>
      <c r="E41" s="2" t="s">
        <v>4855</v>
      </c>
      <c r="F41" s="4">
        <v>9</v>
      </c>
      <c r="G41" s="14"/>
      <c r="H41" s="9"/>
    </row>
    <row r="42" spans="3:8" x14ac:dyDescent="0.25">
      <c r="C42" s="8"/>
      <c r="D42" s="2" t="s">
        <v>7788</v>
      </c>
      <c r="E42" s="2" t="s">
        <v>48</v>
      </c>
      <c r="F42" s="4">
        <v>4.5</v>
      </c>
      <c r="G42" s="14"/>
      <c r="H42" s="9"/>
    </row>
    <row r="43" spans="3:8" x14ac:dyDescent="0.25">
      <c r="C43" s="8"/>
      <c r="D43" s="2" t="s">
        <v>7789</v>
      </c>
      <c r="E43" s="2" t="s">
        <v>48</v>
      </c>
      <c r="F43" s="4"/>
      <c r="G43" s="14"/>
      <c r="H43" s="9">
        <v>12</v>
      </c>
    </row>
    <row r="44" spans="3:8" x14ac:dyDescent="0.25">
      <c r="C44" s="8"/>
      <c r="D44" s="2" t="s">
        <v>7790</v>
      </c>
      <c r="E44" s="2" t="s">
        <v>4620</v>
      </c>
      <c r="F44" s="4"/>
      <c r="G44" s="14"/>
      <c r="H44" s="9">
        <v>3182.7</v>
      </c>
    </row>
    <row r="45" spans="3:8" x14ac:dyDescent="0.25">
      <c r="C45" s="8"/>
      <c r="D45" s="2" t="s">
        <v>7791</v>
      </c>
      <c r="E45" s="2" t="s">
        <v>48</v>
      </c>
      <c r="F45" s="4">
        <v>2.5</v>
      </c>
      <c r="G45" s="14"/>
      <c r="H45" s="9"/>
    </row>
    <row r="46" spans="3:8" x14ac:dyDescent="0.25">
      <c r="C46" s="8"/>
      <c r="D46" s="2" t="s">
        <v>7792</v>
      </c>
      <c r="E46" s="2" t="s">
        <v>7800</v>
      </c>
      <c r="F46" s="4"/>
      <c r="G46" s="14"/>
      <c r="H46" s="9">
        <v>128</v>
      </c>
    </row>
    <row r="47" spans="3:8" x14ac:dyDescent="0.25">
      <c r="C47" s="8"/>
      <c r="D47" s="2" t="s">
        <v>7793</v>
      </c>
      <c r="E47" s="2" t="s">
        <v>5802</v>
      </c>
      <c r="F47" s="4">
        <v>465</v>
      </c>
      <c r="G47" s="14"/>
      <c r="H47" s="9"/>
    </row>
    <row r="48" spans="3:8" x14ac:dyDescent="0.25">
      <c r="C48" s="8"/>
      <c r="D48" s="2" t="s">
        <v>7794</v>
      </c>
      <c r="E48" s="2" t="s">
        <v>48</v>
      </c>
      <c r="F48" s="4"/>
      <c r="G48" s="14"/>
      <c r="H48" s="9">
        <v>8</v>
      </c>
    </row>
    <row r="49" spans="3:8" x14ac:dyDescent="0.25">
      <c r="C49" s="8"/>
      <c r="D49" s="2" t="s">
        <v>7795</v>
      </c>
      <c r="E49" s="2" t="s">
        <v>7799</v>
      </c>
      <c r="F49" s="4"/>
      <c r="G49" s="14"/>
      <c r="H49" s="9">
        <v>20</v>
      </c>
    </row>
    <row r="50" spans="3:8" x14ac:dyDescent="0.25">
      <c r="C50" s="8"/>
      <c r="D50" s="2" t="s">
        <v>7796</v>
      </c>
      <c r="E50" s="2" t="s">
        <v>48</v>
      </c>
      <c r="F50" s="4">
        <v>100</v>
      </c>
      <c r="G50" s="14"/>
      <c r="H50" s="9">
        <v>96</v>
      </c>
    </row>
    <row r="51" spans="3:8" x14ac:dyDescent="0.25">
      <c r="C51" s="8"/>
      <c r="D51" s="2" t="s">
        <v>7811</v>
      </c>
      <c r="E51" s="2" t="s">
        <v>48</v>
      </c>
      <c r="F51" s="4">
        <v>7</v>
      </c>
      <c r="G51" s="14"/>
      <c r="H51" s="9"/>
    </row>
    <row r="52" spans="3:8" x14ac:dyDescent="0.25">
      <c r="C52" s="8"/>
      <c r="D52" s="2" t="s">
        <v>7812</v>
      </c>
      <c r="E52" s="2" t="s">
        <v>48</v>
      </c>
      <c r="F52" s="4">
        <v>4</v>
      </c>
      <c r="G52" s="14"/>
      <c r="H52" s="9"/>
    </row>
    <row r="53" spans="3:8" x14ac:dyDescent="0.25">
      <c r="C53" s="8"/>
      <c r="D53" s="2" t="s">
        <v>7813</v>
      </c>
      <c r="E53" s="2" t="s">
        <v>48</v>
      </c>
      <c r="F53" s="4">
        <v>1.5</v>
      </c>
      <c r="G53" s="14"/>
      <c r="H53" s="9"/>
    </row>
    <row r="54" spans="3:8" x14ac:dyDescent="0.25">
      <c r="C54" s="8"/>
      <c r="D54" s="2" t="s">
        <v>7820</v>
      </c>
      <c r="E54" s="2" t="s">
        <v>7822</v>
      </c>
      <c r="F54" s="4"/>
      <c r="G54" s="14">
        <v>297.5</v>
      </c>
      <c r="H54" s="9"/>
    </row>
    <row r="55" spans="3:8" x14ac:dyDescent="0.25">
      <c r="C55" s="8"/>
      <c r="D55" s="2" t="s">
        <v>7821</v>
      </c>
      <c r="E55" s="2" t="s">
        <v>4620</v>
      </c>
      <c r="F55" s="4"/>
      <c r="G55" s="14">
        <v>80</v>
      </c>
      <c r="H55" s="9"/>
    </row>
    <row r="56" spans="3:8" x14ac:dyDescent="0.25">
      <c r="C56" s="8"/>
      <c r="D56" s="2" t="s">
        <v>7827</v>
      </c>
      <c r="E56" s="2" t="s">
        <v>5022</v>
      </c>
      <c r="F56" s="4"/>
      <c r="G56" s="14">
        <v>1204</v>
      </c>
      <c r="H56" s="9"/>
    </row>
    <row r="57" spans="3:8" x14ac:dyDescent="0.25">
      <c r="C57" s="8"/>
      <c r="D57" s="2" t="s">
        <v>7874</v>
      </c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2" t="s">
        <v>7765</v>
      </c>
      <c r="E61" s="76" t="s">
        <v>7764</v>
      </c>
      <c r="F61" s="35"/>
      <c r="G61" s="14"/>
      <c r="H61" s="9">
        <v>410</v>
      </c>
    </row>
    <row r="62" spans="3:8" x14ac:dyDescent="0.25">
      <c r="C62" s="8"/>
      <c r="D62" s="2" t="s">
        <v>7767</v>
      </c>
      <c r="E62" s="76" t="s">
        <v>7766</v>
      </c>
      <c r="F62" s="35"/>
      <c r="G62" s="14"/>
      <c r="H62" s="9">
        <v>595</v>
      </c>
    </row>
    <row r="63" spans="3:8" x14ac:dyDescent="0.25">
      <c r="C63" s="8"/>
      <c r="D63" s="2" t="s">
        <v>7768</v>
      </c>
      <c r="E63" s="76" t="s">
        <v>6575</v>
      </c>
      <c r="F63" s="35"/>
      <c r="G63" s="14"/>
      <c r="H63" s="9">
        <v>300</v>
      </c>
    </row>
    <row r="64" spans="3:8" x14ac:dyDescent="0.25">
      <c r="C64" s="8"/>
      <c r="D64" s="2" t="s">
        <v>7769</v>
      </c>
      <c r="E64" s="76" t="s">
        <v>7144</v>
      </c>
      <c r="F64" s="35"/>
      <c r="G64" s="14"/>
      <c r="H64" s="9">
        <v>103.5</v>
      </c>
    </row>
    <row r="65" spans="3:8" x14ac:dyDescent="0.25">
      <c r="C65" s="8"/>
      <c r="D65" s="45"/>
      <c r="E65" s="68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16"/>
      <c r="D67" s="17"/>
      <c r="E67" s="17" t="s">
        <v>39</v>
      </c>
      <c r="F67" s="4"/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19"/>
      <c r="D73" s="20"/>
      <c r="E73" s="20" t="s">
        <v>42</v>
      </c>
      <c r="F73" s="4"/>
      <c r="G73" s="14"/>
      <c r="H73" s="9"/>
    </row>
    <row r="74" spans="3:8" x14ac:dyDescent="0.25">
      <c r="C74" s="34"/>
      <c r="D74" s="45"/>
      <c r="E74" s="68" t="s">
        <v>7763</v>
      </c>
      <c r="F74" s="14">
        <v>-482.5</v>
      </c>
      <c r="G74" s="14"/>
      <c r="H74" s="9"/>
    </row>
    <row r="75" spans="3:8" x14ac:dyDescent="0.25">
      <c r="C75" s="34"/>
      <c r="D75" s="45"/>
      <c r="E75" s="68" t="s">
        <v>7829</v>
      </c>
      <c r="F75" s="14">
        <v>-300</v>
      </c>
      <c r="G75" s="14"/>
      <c r="H75" s="9"/>
    </row>
    <row r="76" spans="3:8" x14ac:dyDescent="0.25">
      <c r="C76" s="34"/>
      <c r="D76" s="45"/>
      <c r="E76" s="68" t="s">
        <v>7802</v>
      </c>
      <c r="F76" s="14">
        <v>-6000</v>
      </c>
      <c r="G76" s="14"/>
      <c r="H76" s="9"/>
    </row>
    <row r="77" spans="3:8" x14ac:dyDescent="0.25">
      <c r="C77" s="34"/>
      <c r="D77" s="45"/>
      <c r="E77" s="68" t="s">
        <v>7803</v>
      </c>
      <c r="F77" s="14">
        <v>-6000</v>
      </c>
      <c r="G77" s="14"/>
      <c r="H77" s="9"/>
    </row>
    <row r="78" spans="3:8" x14ac:dyDescent="0.25">
      <c r="C78" s="34"/>
      <c r="D78" s="45"/>
      <c r="E78" s="68" t="s">
        <v>7804</v>
      </c>
      <c r="F78" s="14">
        <v>-54</v>
      </c>
      <c r="G78" s="14"/>
      <c r="H78" s="9"/>
    </row>
    <row r="79" spans="3:8" x14ac:dyDescent="0.25">
      <c r="C79" s="34"/>
      <c r="D79" s="45"/>
      <c r="E79" s="68" t="s">
        <v>7805</v>
      </c>
      <c r="F79" s="14">
        <v>-532.9</v>
      </c>
      <c r="G79" s="14"/>
      <c r="H79" s="9"/>
    </row>
    <row r="80" spans="3:8" x14ac:dyDescent="0.25">
      <c r="C80" s="34"/>
      <c r="D80" s="45"/>
      <c r="E80" s="68" t="s">
        <v>7824</v>
      </c>
      <c r="F80" s="14">
        <v>-760</v>
      </c>
      <c r="G80" s="14"/>
      <c r="H80" s="9"/>
    </row>
    <row r="81" spans="3:8" x14ac:dyDescent="0.25">
      <c r="C81" s="34"/>
      <c r="D81" s="45"/>
      <c r="E81" s="68" t="s">
        <v>7826</v>
      </c>
      <c r="F81" s="14">
        <v>-156</v>
      </c>
      <c r="G81" s="14"/>
      <c r="H81" s="9"/>
    </row>
    <row r="82" spans="3:8" x14ac:dyDescent="0.25">
      <c r="C82" s="34"/>
      <c r="D82" s="42"/>
      <c r="E82" s="68" t="s">
        <v>1274</v>
      </c>
      <c r="F82" s="14">
        <v>-275</v>
      </c>
      <c r="G82" s="14"/>
      <c r="H82" s="9"/>
    </row>
    <row r="83" spans="3:8" x14ac:dyDescent="0.25">
      <c r="C83" s="34"/>
      <c r="D83" s="42"/>
      <c r="E83" s="68"/>
      <c r="F83" s="14"/>
      <c r="G83" s="14"/>
      <c r="H83" s="9"/>
    </row>
    <row r="84" spans="3:8" ht="15.75" thickBot="1" x14ac:dyDescent="0.3">
      <c r="C84" s="10"/>
      <c r="D84" s="11"/>
      <c r="E84" s="11" t="s">
        <v>44</v>
      </c>
      <c r="F84" s="12">
        <f>SUM(F6:F83)</f>
        <v>-11683.9</v>
      </c>
      <c r="G84" s="15">
        <f>SUM(G6:G83)</f>
        <v>8003</v>
      </c>
      <c r="H84" s="13">
        <f>SUM(H6:H83)</f>
        <v>14133.5</v>
      </c>
    </row>
    <row r="87" spans="3:8" s="3" customFormat="1" ht="18.75" x14ac:dyDescent="0.3">
      <c r="C87" s="1"/>
      <c r="D87" s="1"/>
      <c r="E87" s="38" t="s">
        <v>49</v>
      </c>
      <c r="F87" s="39">
        <f>+H4+F84</f>
        <v>1565.9799999999996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6648-8803-4EB5-B1E3-24E7A4DF3336}">
  <sheetPr codeName="Hoja98"/>
  <dimension ref="C2:J115"/>
  <sheetViews>
    <sheetView topLeftCell="B85" zoomScaleNormal="100" workbookViewId="0">
      <selection activeCell="E105" sqref="E10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7830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1565.98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7839</v>
      </c>
      <c r="E6" s="2" t="s">
        <v>7872</v>
      </c>
      <c r="F6" s="109">
        <v>703.5</v>
      </c>
      <c r="G6" s="113"/>
      <c r="H6" s="112"/>
    </row>
    <row r="7" spans="3:10" x14ac:dyDescent="0.25">
      <c r="C7" s="24"/>
      <c r="D7" s="2" t="s">
        <v>7842</v>
      </c>
      <c r="E7" s="2" t="s">
        <v>7871</v>
      </c>
      <c r="F7" s="109">
        <v>126</v>
      </c>
      <c r="G7" s="113"/>
      <c r="H7" s="112"/>
      <c r="I7" s="36"/>
      <c r="J7" s="36"/>
    </row>
    <row r="8" spans="3:10" x14ac:dyDescent="0.25">
      <c r="C8" s="24"/>
      <c r="D8" s="2" t="s">
        <v>7843</v>
      </c>
      <c r="E8" s="2" t="s">
        <v>5850</v>
      </c>
      <c r="F8" s="109"/>
      <c r="G8" s="113"/>
      <c r="H8" s="112">
        <v>8</v>
      </c>
      <c r="J8" s="36"/>
    </row>
    <row r="9" spans="3:10" x14ac:dyDescent="0.25">
      <c r="C9" s="24"/>
      <c r="D9" s="2" t="s">
        <v>7844</v>
      </c>
      <c r="E9" s="2" t="s">
        <v>7870</v>
      </c>
      <c r="F9" s="109"/>
      <c r="G9" s="113"/>
      <c r="H9" s="112">
        <v>195</v>
      </c>
      <c r="J9" s="36"/>
    </row>
    <row r="10" spans="3:10" x14ac:dyDescent="0.25">
      <c r="C10" s="8"/>
      <c r="D10" s="2" t="s">
        <v>7845</v>
      </c>
      <c r="E10" s="2" t="s">
        <v>5850</v>
      </c>
      <c r="F10" s="4">
        <v>18</v>
      </c>
      <c r="G10" s="14"/>
      <c r="H10" s="9"/>
    </row>
    <row r="11" spans="3:10" x14ac:dyDescent="0.25">
      <c r="C11" s="8"/>
      <c r="D11" s="2" t="s">
        <v>7846</v>
      </c>
      <c r="E11" s="2" t="s">
        <v>266</v>
      </c>
      <c r="F11" s="4"/>
      <c r="G11" s="14">
        <v>30</v>
      </c>
      <c r="H11" s="9"/>
    </row>
    <row r="12" spans="3:10" x14ac:dyDescent="0.25">
      <c r="C12" s="8"/>
      <c r="D12" s="2" t="s">
        <v>7847</v>
      </c>
      <c r="E12" s="2" t="s">
        <v>7456</v>
      </c>
      <c r="F12" s="4"/>
      <c r="G12" s="14"/>
      <c r="H12" s="9">
        <v>2160</v>
      </c>
    </row>
    <row r="13" spans="3:10" x14ac:dyDescent="0.25">
      <c r="C13" s="8"/>
      <c r="D13" s="2" t="s">
        <v>7848</v>
      </c>
      <c r="E13" s="2" t="s">
        <v>7126</v>
      </c>
      <c r="F13" s="4">
        <v>1000</v>
      </c>
      <c r="G13" s="14">
        <v>1550</v>
      </c>
      <c r="H13" s="9"/>
    </row>
    <row r="14" spans="3:10" x14ac:dyDescent="0.25">
      <c r="C14" s="8"/>
      <c r="D14" s="2" t="s">
        <v>7849</v>
      </c>
      <c r="E14" s="2" t="s">
        <v>5850</v>
      </c>
      <c r="F14" s="4"/>
      <c r="G14" s="14"/>
      <c r="H14" s="9">
        <v>21</v>
      </c>
    </row>
    <row r="15" spans="3:10" x14ac:dyDescent="0.25">
      <c r="C15" s="8"/>
      <c r="D15" s="2" t="s">
        <v>7850</v>
      </c>
      <c r="E15" s="2" t="s">
        <v>7869</v>
      </c>
      <c r="F15" s="4">
        <v>120</v>
      </c>
      <c r="G15" s="14"/>
      <c r="H15" s="9"/>
    </row>
    <row r="16" spans="3:10" x14ac:dyDescent="0.25">
      <c r="C16" s="8"/>
      <c r="D16" s="2" t="s">
        <v>7851</v>
      </c>
      <c r="E16" s="2" t="s">
        <v>7195</v>
      </c>
      <c r="F16" s="4"/>
      <c r="G16" s="14"/>
      <c r="H16" s="9">
        <v>90</v>
      </c>
    </row>
    <row r="17" spans="3:8" x14ac:dyDescent="0.25">
      <c r="C17" s="8"/>
      <c r="D17" s="2" t="s">
        <v>7852</v>
      </c>
      <c r="E17" s="2" t="s">
        <v>7868</v>
      </c>
      <c r="F17" s="4"/>
      <c r="G17" s="14"/>
      <c r="H17" s="9">
        <v>160</v>
      </c>
    </row>
    <row r="18" spans="3:8" x14ac:dyDescent="0.25">
      <c r="C18" s="8"/>
      <c r="D18" s="2" t="s">
        <v>7853</v>
      </c>
      <c r="E18" s="2" t="s">
        <v>7867</v>
      </c>
      <c r="F18" s="4"/>
      <c r="G18" s="14"/>
      <c r="H18" s="9">
        <v>16</v>
      </c>
    </row>
    <row r="19" spans="3:8" x14ac:dyDescent="0.25">
      <c r="C19" s="8"/>
      <c r="D19" s="2" t="s">
        <v>7854</v>
      </c>
      <c r="E19" s="2" t="s">
        <v>4618</v>
      </c>
      <c r="F19" s="4"/>
      <c r="G19" s="14"/>
      <c r="H19" s="9">
        <v>56</v>
      </c>
    </row>
    <row r="20" spans="3:8" x14ac:dyDescent="0.25">
      <c r="C20" s="8"/>
      <c r="D20" s="2" t="s">
        <v>7855</v>
      </c>
      <c r="E20" s="2" t="s">
        <v>4618</v>
      </c>
      <c r="F20" s="4"/>
      <c r="G20" s="14"/>
      <c r="H20" s="9">
        <v>168</v>
      </c>
    </row>
    <row r="21" spans="3:8" x14ac:dyDescent="0.25">
      <c r="C21" s="8"/>
      <c r="D21" s="2" t="s">
        <v>7856</v>
      </c>
      <c r="E21" s="2" t="s">
        <v>7866</v>
      </c>
      <c r="F21" s="4"/>
      <c r="G21" s="14"/>
      <c r="H21" s="9">
        <v>131.9</v>
      </c>
    </row>
    <row r="22" spans="3:8" x14ac:dyDescent="0.25">
      <c r="C22" s="8"/>
      <c r="D22" s="2" t="s">
        <v>7857</v>
      </c>
      <c r="E22" s="2" t="s">
        <v>5850</v>
      </c>
      <c r="F22" s="4">
        <v>2</v>
      </c>
      <c r="G22" s="14"/>
      <c r="H22" s="9"/>
    </row>
    <row r="23" spans="3:8" x14ac:dyDescent="0.25">
      <c r="C23" s="8"/>
      <c r="D23" s="2" t="s">
        <v>7858</v>
      </c>
      <c r="E23" s="2" t="s">
        <v>5850</v>
      </c>
      <c r="F23" s="4"/>
      <c r="G23" s="14"/>
      <c r="H23" s="9">
        <v>21</v>
      </c>
    </row>
    <row r="24" spans="3:8" x14ac:dyDescent="0.25">
      <c r="C24" s="8"/>
      <c r="D24" s="2" t="s">
        <v>7859</v>
      </c>
      <c r="E24" s="2" t="s">
        <v>5850</v>
      </c>
      <c r="F24" s="4"/>
      <c r="G24" s="14"/>
      <c r="H24" s="9">
        <v>5</v>
      </c>
    </row>
    <row r="25" spans="3:8" x14ac:dyDescent="0.25">
      <c r="C25" s="8"/>
      <c r="D25" s="2" t="s">
        <v>7860</v>
      </c>
      <c r="E25" s="2" t="s">
        <v>7865</v>
      </c>
      <c r="F25" s="4">
        <v>100</v>
      </c>
      <c r="G25" s="14"/>
      <c r="H25" s="9">
        <v>56</v>
      </c>
    </row>
    <row r="26" spans="3:8" x14ac:dyDescent="0.25">
      <c r="C26" s="8"/>
      <c r="D26" s="2" t="s">
        <v>7861</v>
      </c>
      <c r="E26" s="2" t="s">
        <v>7864</v>
      </c>
      <c r="F26" s="4">
        <v>374.5</v>
      </c>
      <c r="G26" s="14"/>
      <c r="H26" s="9"/>
    </row>
    <row r="27" spans="3:8" x14ac:dyDescent="0.25">
      <c r="C27" s="8"/>
      <c r="D27" s="2" t="s">
        <v>7862</v>
      </c>
      <c r="E27" s="2" t="s">
        <v>5850</v>
      </c>
      <c r="F27" s="4">
        <v>4.5</v>
      </c>
      <c r="G27" s="14"/>
      <c r="H27" s="9"/>
    </row>
    <row r="28" spans="3:8" x14ac:dyDescent="0.25">
      <c r="C28" s="8"/>
      <c r="D28" s="2" t="s">
        <v>7863</v>
      </c>
      <c r="E28" s="2" t="s">
        <v>5850</v>
      </c>
      <c r="F28" s="4"/>
      <c r="G28" s="14"/>
      <c r="H28" s="9">
        <v>882.5</v>
      </c>
    </row>
    <row r="29" spans="3:8" x14ac:dyDescent="0.25">
      <c r="C29" s="8"/>
      <c r="D29" s="2" t="s">
        <v>7873</v>
      </c>
      <c r="E29" s="2" t="s">
        <v>5850</v>
      </c>
      <c r="F29" s="4">
        <v>94.5</v>
      </c>
      <c r="G29" s="14"/>
      <c r="H29" s="9"/>
    </row>
    <row r="30" spans="3:8" x14ac:dyDescent="0.25">
      <c r="C30" s="8"/>
      <c r="D30" s="2" t="s">
        <v>7908</v>
      </c>
      <c r="E30" s="2" t="s">
        <v>5850</v>
      </c>
      <c r="F30" s="4"/>
      <c r="G30" s="14"/>
      <c r="H30" s="9">
        <v>15</v>
      </c>
    </row>
    <row r="31" spans="3:8" x14ac:dyDescent="0.25">
      <c r="C31" s="8"/>
      <c r="D31" s="2" t="s">
        <v>7909</v>
      </c>
      <c r="E31" s="2" t="s">
        <v>5850</v>
      </c>
      <c r="F31" s="4">
        <v>8</v>
      </c>
      <c r="G31" s="14"/>
      <c r="H31" s="9"/>
    </row>
    <row r="32" spans="3:8" x14ac:dyDescent="0.25">
      <c r="C32" s="8"/>
      <c r="D32" s="2" t="s">
        <v>7932</v>
      </c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 t="s">
        <v>7874</v>
      </c>
      <c r="E36" s="2" t="s">
        <v>7899</v>
      </c>
      <c r="F36" s="4">
        <v>676</v>
      </c>
      <c r="G36" s="14"/>
      <c r="H36" s="9"/>
    </row>
    <row r="37" spans="3:8" x14ac:dyDescent="0.25">
      <c r="C37" s="8"/>
      <c r="D37" s="2" t="s">
        <v>7875</v>
      </c>
      <c r="E37" s="2" t="s">
        <v>5918</v>
      </c>
      <c r="F37" s="4"/>
      <c r="G37" s="14"/>
      <c r="H37" s="9">
        <v>4.5</v>
      </c>
    </row>
    <row r="38" spans="3:8" x14ac:dyDescent="0.25">
      <c r="C38" s="8"/>
      <c r="D38" s="2" t="s">
        <v>7876</v>
      </c>
      <c r="E38" s="2" t="s">
        <v>5918</v>
      </c>
      <c r="F38" s="4"/>
      <c r="G38" s="14"/>
      <c r="H38" s="9">
        <v>4</v>
      </c>
    </row>
    <row r="39" spans="3:8" x14ac:dyDescent="0.25">
      <c r="C39" s="8"/>
      <c r="D39" s="2" t="s">
        <v>7877</v>
      </c>
      <c r="E39" s="2" t="s">
        <v>7898</v>
      </c>
      <c r="F39" s="4">
        <v>415</v>
      </c>
      <c r="G39" s="14"/>
      <c r="H39" s="9"/>
    </row>
    <row r="40" spans="3:8" x14ac:dyDescent="0.25">
      <c r="C40" s="8"/>
      <c r="D40" s="2" t="s">
        <v>7878</v>
      </c>
      <c r="E40" s="2" t="s">
        <v>6705</v>
      </c>
      <c r="F40" s="4"/>
      <c r="G40" s="14"/>
      <c r="H40" s="9">
        <v>182.2</v>
      </c>
    </row>
    <row r="41" spans="3:8" x14ac:dyDescent="0.25">
      <c r="C41" s="8"/>
      <c r="D41" s="2" t="s">
        <v>7879</v>
      </c>
      <c r="E41" s="2" t="s">
        <v>5422</v>
      </c>
      <c r="F41" s="4"/>
      <c r="G41" s="14"/>
      <c r="H41" s="9">
        <v>272</v>
      </c>
    </row>
    <row r="42" spans="3:8" x14ac:dyDescent="0.25">
      <c r="C42" s="8"/>
      <c r="D42" s="2" t="s">
        <v>7880</v>
      </c>
      <c r="E42" s="2" t="s">
        <v>6662</v>
      </c>
      <c r="F42" s="4"/>
      <c r="G42" s="14">
        <v>4335.2</v>
      </c>
      <c r="H42" s="9"/>
    </row>
    <row r="43" spans="3:8" x14ac:dyDescent="0.25">
      <c r="C43" s="8"/>
      <c r="D43" s="2" t="s">
        <v>7881</v>
      </c>
      <c r="E43" s="2" t="s">
        <v>7897</v>
      </c>
      <c r="F43" s="4">
        <v>82.5</v>
      </c>
      <c r="G43" s="14"/>
      <c r="H43" s="9"/>
    </row>
    <row r="44" spans="3:8" x14ac:dyDescent="0.25">
      <c r="C44" s="8"/>
      <c r="D44" s="2" t="s">
        <v>7882</v>
      </c>
      <c r="E44" s="2" t="s">
        <v>7896</v>
      </c>
      <c r="F44" s="4"/>
      <c r="G44" s="14">
        <v>6067.9</v>
      </c>
      <c r="H44" s="9"/>
    </row>
    <row r="45" spans="3:8" x14ac:dyDescent="0.25">
      <c r="C45" s="8"/>
      <c r="D45" s="2" t="s">
        <v>7883</v>
      </c>
      <c r="E45" s="2" t="s">
        <v>7357</v>
      </c>
      <c r="F45" s="4"/>
      <c r="G45" s="14"/>
      <c r="H45" s="9">
        <v>238</v>
      </c>
    </row>
    <row r="46" spans="3:8" x14ac:dyDescent="0.25">
      <c r="C46" s="8"/>
      <c r="D46" s="2" t="s">
        <v>7884</v>
      </c>
      <c r="E46" s="2" t="s">
        <v>7514</v>
      </c>
      <c r="F46" s="4"/>
      <c r="G46" s="14">
        <v>69</v>
      </c>
      <c r="H46" s="9"/>
    </row>
    <row r="47" spans="3:8" x14ac:dyDescent="0.25">
      <c r="C47" s="8"/>
      <c r="D47" s="2" t="s">
        <v>7885</v>
      </c>
      <c r="E47" s="2" t="s">
        <v>5918</v>
      </c>
      <c r="F47" s="4">
        <v>20</v>
      </c>
      <c r="G47" s="14"/>
      <c r="H47" s="9"/>
    </row>
    <row r="48" spans="3:8" x14ac:dyDescent="0.25">
      <c r="C48" s="8"/>
      <c r="D48" s="2" t="s">
        <v>7886</v>
      </c>
      <c r="E48" s="2" t="s">
        <v>5918</v>
      </c>
      <c r="F48" s="4">
        <v>8</v>
      </c>
      <c r="G48" s="14"/>
      <c r="H48" s="9"/>
    </row>
    <row r="49" spans="3:8" x14ac:dyDescent="0.25">
      <c r="C49" s="8"/>
      <c r="D49" s="2" t="s">
        <v>7887</v>
      </c>
      <c r="E49" s="2" t="s">
        <v>5918</v>
      </c>
      <c r="F49" s="4">
        <v>7</v>
      </c>
      <c r="G49" s="14"/>
      <c r="H49" s="9"/>
    </row>
    <row r="50" spans="3:8" x14ac:dyDescent="0.25">
      <c r="C50" s="8"/>
      <c r="D50" s="2" t="s">
        <v>7888</v>
      </c>
      <c r="E50" s="2" t="s">
        <v>5112</v>
      </c>
      <c r="F50" s="4"/>
      <c r="G50" s="14"/>
      <c r="H50" s="9">
        <v>6027</v>
      </c>
    </row>
    <row r="51" spans="3:8" x14ac:dyDescent="0.25">
      <c r="C51" s="8"/>
      <c r="D51" s="2" t="s">
        <v>7889</v>
      </c>
      <c r="E51" s="2" t="s">
        <v>7895</v>
      </c>
      <c r="F51" s="4">
        <v>500</v>
      </c>
      <c r="G51" s="14"/>
      <c r="H51" s="9"/>
    </row>
    <row r="52" spans="3:8" x14ac:dyDescent="0.25">
      <c r="C52" s="8"/>
      <c r="D52" s="2" t="s">
        <v>7890</v>
      </c>
      <c r="E52" s="2" t="s">
        <v>6085</v>
      </c>
      <c r="F52" s="4"/>
      <c r="G52" s="14"/>
      <c r="H52" s="9">
        <v>408</v>
      </c>
    </row>
    <row r="53" spans="3:8" x14ac:dyDescent="0.25">
      <c r="C53" s="8"/>
      <c r="D53" s="2" t="s">
        <v>7891</v>
      </c>
      <c r="E53" s="2" t="s">
        <v>7894</v>
      </c>
      <c r="F53" s="4"/>
      <c r="G53" s="14"/>
      <c r="H53" s="9">
        <v>47</v>
      </c>
    </row>
    <row r="54" spans="3:8" x14ac:dyDescent="0.25">
      <c r="C54" s="8"/>
      <c r="D54" s="2" t="s">
        <v>7892</v>
      </c>
      <c r="E54" s="2" t="s">
        <v>5918</v>
      </c>
      <c r="F54" s="4"/>
      <c r="G54" s="14"/>
      <c r="H54" s="9">
        <v>41</v>
      </c>
    </row>
    <row r="55" spans="3:8" x14ac:dyDescent="0.25">
      <c r="C55" s="8"/>
      <c r="D55" s="2" t="s">
        <v>7893</v>
      </c>
      <c r="E55" s="2" t="s">
        <v>5918</v>
      </c>
      <c r="F55" s="4">
        <v>2</v>
      </c>
      <c r="G55" s="14"/>
      <c r="H55" s="9"/>
    </row>
    <row r="56" spans="3:8" x14ac:dyDescent="0.25">
      <c r="C56" s="8"/>
      <c r="D56" s="2" t="s">
        <v>7900</v>
      </c>
      <c r="E56" s="2" t="s">
        <v>5918</v>
      </c>
      <c r="F56" s="4"/>
      <c r="G56" s="14"/>
      <c r="H56" s="9">
        <v>30</v>
      </c>
    </row>
    <row r="57" spans="3:8" x14ac:dyDescent="0.25">
      <c r="C57" s="8"/>
      <c r="D57" s="2" t="s">
        <v>7910</v>
      </c>
      <c r="E57" s="2" t="s">
        <v>5918</v>
      </c>
      <c r="F57" s="4">
        <v>40</v>
      </c>
      <c r="G57" s="14"/>
      <c r="H57" s="9"/>
    </row>
    <row r="58" spans="3:8" x14ac:dyDescent="0.25">
      <c r="C58" s="8"/>
      <c r="D58" s="2" t="s">
        <v>7921</v>
      </c>
      <c r="E58" s="2" t="s">
        <v>5918</v>
      </c>
      <c r="F58" s="4">
        <v>3</v>
      </c>
      <c r="G58" s="14"/>
      <c r="H58" s="9"/>
    </row>
    <row r="59" spans="3:8" x14ac:dyDescent="0.25">
      <c r="C59" s="8"/>
      <c r="D59" s="2" t="s">
        <v>7922</v>
      </c>
      <c r="E59" s="2" t="s">
        <v>5918</v>
      </c>
      <c r="F59" s="4">
        <v>5</v>
      </c>
      <c r="G59" s="14"/>
      <c r="H59" s="9"/>
    </row>
    <row r="60" spans="3:8" x14ac:dyDescent="0.25">
      <c r="C60" s="8"/>
      <c r="D60" s="2" t="s">
        <v>7925</v>
      </c>
      <c r="E60" s="2" t="s">
        <v>5918</v>
      </c>
      <c r="F60" s="4"/>
      <c r="G60" s="14"/>
      <c r="H60" s="9">
        <v>4.5</v>
      </c>
    </row>
    <row r="61" spans="3:8" x14ac:dyDescent="0.25">
      <c r="C61" s="8"/>
      <c r="D61" s="2" t="s">
        <v>8009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8" x14ac:dyDescent="0.25">
      <c r="C65" s="8"/>
      <c r="D65" s="2" t="s">
        <v>7831</v>
      </c>
      <c r="E65" s="76" t="s">
        <v>7297</v>
      </c>
      <c r="F65" s="35"/>
      <c r="G65" s="14"/>
      <c r="H65" s="9">
        <v>1898.4</v>
      </c>
    </row>
    <row r="66" spans="3:8" x14ac:dyDescent="0.25">
      <c r="C66" s="8"/>
      <c r="D66" s="2" t="s">
        <v>7832</v>
      </c>
      <c r="E66" s="76" t="s">
        <v>7837</v>
      </c>
      <c r="F66" s="35"/>
      <c r="G66" s="14"/>
      <c r="H66" s="9">
        <v>9</v>
      </c>
    </row>
    <row r="67" spans="3:8" x14ac:dyDescent="0.25">
      <c r="C67" s="8"/>
      <c r="D67" s="2" t="s">
        <v>7833</v>
      </c>
      <c r="E67" s="76" t="s">
        <v>6575</v>
      </c>
      <c r="F67" s="35"/>
      <c r="G67" s="14"/>
      <c r="H67" s="9">
        <v>705</v>
      </c>
    </row>
    <row r="68" spans="3:8" x14ac:dyDescent="0.25">
      <c r="C68" s="8"/>
      <c r="D68" s="2" t="s">
        <v>7834</v>
      </c>
      <c r="E68" s="76" t="s">
        <v>7838</v>
      </c>
      <c r="F68" s="35">
        <v>8</v>
      </c>
      <c r="G68" s="14"/>
      <c r="H68" s="9"/>
    </row>
    <row r="69" spans="3:8" x14ac:dyDescent="0.25">
      <c r="C69" s="8"/>
      <c r="D69" s="2" t="s">
        <v>7835</v>
      </c>
      <c r="E69" s="76" t="s">
        <v>4322</v>
      </c>
      <c r="F69" s="35"/>
      <c r="G69" s="14"/>
      <c r="H69" s="9">
        <v>875</v>
      </c>
    </row>
    <row r="70" spans="3:8" x14ac:dyDescent="0.25">
      <c r="C70" s="8"/>
      <c r="D70" s="2" t="s">
        <v>7841</v>
      </c>
      <c r="E70" s="76" t="s">
        <v>7840</v>
      </c>
      <c r="F70" s="35"/>
      <c r="G70" s="14"/>
      <c r="H70" s="9">
        <v>9735</v>
      </c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45"/>
      <c r="E72" s="68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16"/>
      <c r="D74" s="17"/>
      <c r="E74" s="17" t="s">
        <v>39</v>
      </c>
      <c r="F74" s="4"/>
      <c r="G74" s="14"/>
      <c r="H74" s="9"/>
    </row>
    <row r="75" spans="3:8" x14ac:dyDescent="0.25">
      <c r="C75" s="8"/>
      <c r="D75" s="2"/>
      <c r="E75" s="76" t="s">
        <v>7901</v>
      </c>
      <c r="F75" s="35">
        <v>2324</v>
      </c>
      <c r="G75" s="14"/>
      <c r="H75" s="9"/>
    </row>
    <row r="76" spans="3:8" x14ac:dyDescent="0.25">
      <c r="C76" s="8"/>
      <c r="D76" s="2"/>
      <c r="E76" s="76" t="s">
        <v>7902</v>
      </c>
      <c r="F76" s="35">
        <v>4676</v>
      </c>
      <c r="G76" s="14"/>
      <c r="H76" s="9"/>
    </row>
    <row r="77" spans="3:8" x14ac:dyDescent="0.25">
      <c r="C77" s="8"/>
      <c r="D77" s="2"/>
      <c r="E77" s="76" t="s">
        <v>7903</v>
      </c>
      <c r="F77" s="35">
        <v>5585.5</v>
      </c>
      <c r="G77" s="14"/>
      <c r="H77" s="9"/>
    </row>
    <row r="78" spans="3:8" x14ac:dyDescent="0.25">
      <c r="C78" s="8"/>
      <c r="D78" s="2"/>
      <c r="E78" s="76" t="s">
        <v>7911</v>
      </c>
      <c r="F78" s="35">
        <v>10000</v>
      </c>
      <c r="G78" s="14"/>
      <c r="H78" s="9"/>
    </row>
    <row r="79" spans="3:8" x14ac:dyDescent="0.25">
      <c r="C79" s="8"/>
      <c r="D79" s="2"/>
      <c r="E79" s="76" t="s">
        <v>7919</v>
      </c>
      <c r="F79" s="35">
        <v>17.5</v>
      </c>
      <c r="G79" s="14"/>
      <c r="H79" s="9"/>
    </row>
    <row r="80" spans="3:8" x14ac:dyDescent="0.25">
      <c r="C80" s="8"/>
      <c r="D80" s="2"/>
      <c r="E80" s="76" t="s">
        <v>7920</v>
      </c>
      <c r="F80" s="35">
        <v>2506.5</v>
      </c>
      <c r="G80" s="14"/>
      <c r="H80" s="9"/>
    </row>
    <row r="81" spans="3:8" x14ac:dyDescent="0.25">
      <c r="C81" s="8"/>
      <c r="D81" s="2"/>
      <c r="E81" s="76" t="s">
        <v>7923</v>
      </c>
      <c r="F81" s="35">
        <v>2175</v>
      </c>
      <c r="G81" s="14"/>
      <c r="H81" s="9"/>
    </row>
    <row r="82" spans="3:8" x14ac:dyDescent="0.25">
      <c r="C82" s="8"/>
      <c r="D82" s="2"/>
      <c r="E82" s="76" t="s">
        <v>7924</v>
      </c>
      <c r="F82" s="35">
        <v>825</v>
      </c>
      <c r="G82" s="14"/>
      <c r="H82" s="9"/>
    </row>
    <row r="83" spans="3:8" x14ac:dyDescent="0.25">
      <c r="C83" s="8"/>
      <c r="D83" s="2"/>
      <c r="E83" s="76" t="s">
        <v>7929</v>
      </c>
      <c r="F83" s="35">
        <v>3.5</v>
      </c>
      <c r="G83" s="14"/>
      <c r="H83" s="9"/>
    </row>
    <row r="84" spans="3:8" x14ac:dyDescent="0.25">
      <c r="C84" s="8"/>
      <c r="D84" s="2"/>
      <c r="E84" s="76"/>
      <c r="F84" s="35"/>
      <c r="G84" s="14"/>
      <c r="H84" s="9"/>
    </row>
    <row r="85" spans="3:8" x14ac:dyDescent="0.25">
      <c r="C85" s="8"/>
      <c r="D85" s="2"/>
      <c r="E85" s="2"/>
      <c r="F85" s="4"/>
      <c r="G85" s="14"/>
      <c r="H85" s="9"/>
    </row>
    <row r="86" spans="3:8" x14ac:dyDescent="0.25">
      <c r="C86" s="19"/>
      <c r="D86" s="20"/>
      <c r="E86" s="20" t="s">
        <v>42</v>
      </c>
      <c r="F86" s="4"/>
      <c r="G86" s="14"/>
      <c r="H86" s="9"/>
    </row>
    <row r="87" spans="3:8" x14ac:dyDescent="0.25">
      <c r="C87" s="34"/>
      <c r="D87" s="45"/>
      <c r="E87" s="68" t="s">
        <v>5176</v>
      </c>
      <c r="F87" s="14">
        <v>-1330</v>
      </c>
      <c r="G87" s="14"/>
      <c r="H87" s="9"/>
    </row>
    <row r="88" spans="3:8" x14ac:dyDescent="0.25">
      <c r="C88" s="34"/>
      <c r="D88" s="45"/>
      <c r="E88" s="68" t="s">
        <v>7907</v>
      </c>
      <c r="F88" s="14">
        <v>-2100</v>
      </c>
      <c r="G88" s="14"/>
      <c r="H88" s="9"/>
    </row>
    <row r="89" spans="3:8" x14ac:dyDescent="0.25">
      <c r="C89" s="34"/>
      <c r="D89" s="45"/>
      <c r="E89" s="68" t="s">
        <v>7836</v>
      </c>
      <c r="F89" s="14">
        <v>-105</v>
      </c>
      <c r="G89" s="14"/>
      <c r="H89" s="9"/>
    </row>
    <row r="90" spans="3:8" x14ac:dyDescent="0.25">
      <c r="C90" s="34"/>
      <c r="D90" s="45"/>
      <c r="E90" s="68" t="s">
        <v>7904</v>
      </c>
      <c r="F90" s="14">
        <v>-200</v>
      </c>
      <c r="G90" s="14"/>
      <c r="H90" s="9"/>
    </row>
    <row r="91" spans="3:8" x14ac:dyDescent="0.25">
      <c r="C91" s="34"/>
      <c r="D91" s="45"/>
      <c r="E91" s="68" t="s">
        <v>7905</v>
      </c>
      <c r="F91" s="14">
        <v>-100</v>
      </c>
      <c r="G91" s="14"/>
      <c r="H91" s="9"/>
    </row>
    <row r="92" spans="3:8" x14ac:dyDescent="0.25">
      <c r="C92" s="34"/>
      <c r="D92" s="45"/>
      <c r="E92" s="68" t="s">
        <v>6679</v>
      </c>
      <c r="F92" s="14">
        <v>-20</v>
      </c>
      <c r="G92" s="14"/>
      <c r="H92" s="9"/>
    </row>
    <row r="93" spans="3:8" x14ac:dyDescent="0.25">
      <c r="C93" s="34"/>
      <c r="D93" s="45"/>
      <c r="E93" s="68" t="s">
        <v>7906</v>
      </c>
      <c r="F93" s="14">
        <v>-4.5</v>
      </c>
      <c r="G93" s="14"/>
      <c r="H93" s="9"/>
    </row>
    <row r="94" spans="3:8" x14ac:dyDescent="0.25">
      <c r="C94" s="34"/>
      <c r="D94" s="45"/>
      <c r="E94" s="68" t="s">
        <v>7912</v>
      </c>
      <c r="F94" s="14">
        <v>-80</v>
      </c>
      <c r="G94" s="14"/>
      <c r="H94" s="9"/>
    </row>
    <row r="95" spans="3:8" x14ac:dyDescent="0.25">
      <c r="C95" s="34"/>
      <c r="D95" s="45"/>
      <c r="E95" s="68" t="s">
        <v>7913</v>
      </c>
      <c r="F95" s="14">
        <v>-460</v>
      </c>
      <c r="G95" s="14"/>
      <c r="H95" s="9"/>
    </row>
    <row r="96" spans="3:8" x14ac:dyDescent="0.25">
      <c r="C96" s="34"/>
      <c r="D96" s="45"/>
      <c r="E96" s="68" t="s">
        <v>7914</v>
      </c>
      <c r="F96" s="14">
        <v>-20</v>
      </c>
      <c r="G96" s="14"/>
      <c r="H96" s="9"/>
    </row>
    <row r="97" spans="3:8" x14ac:dyDescent="0.25">
      <c r="C97" s="34"/>
      <c r="D97" s="45"/>
      <c r="E97" s="68" t="s">
        <v>7915</v>
      </c>
      <c r="F97" s="14">
        <v>-235</v>
      </c>
      <c r="G97" s="14"/>
      <c r="H97" s="9"/>
    </row>
    <row r="98" spans="3:8" x14ac:dyDescent="0.25">
      <c r="C98" s="34"/>
      <c r="D98" s="45"/>
      <c r="E98" s="68" t="s">
        <v>7916</v>
      </c>
      <c r="F98" s="14">
        <v>-45</v>
      </c>
      <c r="G98" s="14"/>
      <c r="H98" s="9"/>
    </row>
    <row r="99" spans="3:8" x14ac:dyDescent="0.25">
      <c r="C99" s="34"/>
      <c r="D99" s="45"/>
      <c r="E99" s="68" t="s">
        <v>1466</v>
      </c>
      <c r="F99" s="14">
        <v>-280</v>
      </c>
      <c r="G99" s="14"/>
      <c r="H99" s="9"/>
    </row>
    <row r="100" spans="3:8" x14ac:dyDescent="0.25">
      <c r="C100" s="34"/>
      <c r="D100" s="45"/>
      <c r="E100" s="68" t="s">
        <v>7917</v>
      </c>
      <c r="F100" s="14">
        <v>-370</v>
      </c>
      <c r="G100" s="14"/>
      <c r="H100" s="9"/>
    </row>
    <row r="101" spans="3:8" x14ac:dyDescent="0.25">
      <c r="C101" s="34"/>
      <c r="D101" s="45"/>
      <c r="E101" s="68" t="s">
        <v>1481</v>
      </c>
      <c r="F101" s="14">
        <v>-240</v>
      </c>
      <c r="G101" s="14"/>
      <c r="H101" s="9"/>
    </row>
    <row r="102" spans="3:8" x14ac:dyDescent="0.25">
      <c r="C102" s="34"/>
      <c r="D102" s="45"/>
      <c r="E102" s="68" t="s">
        <v>5429</v>
      </c>
      <c r="F102" s="14">
        <v>-250</v>
      </c>
      <c r="G102" s="14"/>
      <c r="H102" s="9"/>
    </row>
    <row r="103" spans="3:8" x14ac:dyDescent="0.25">
      <c r="C103" s="34"/>
      <c r="D103" s="45"/>
      <c r="E103" s="68" t="s">
        <v>7918</v>
      </c>
      <c r="F103" s="14">
        <v>-240</v>
      </c>
      <c r="G103" s="14"/>
      <c r="H103" s="9"/>
    </row>
    <row r="104" spans="3:8" x14ac:dyDescent="0.25">
      <c r="C104" s="34"/>
      <c r="D104" s="45"/>
      <c r="E104" s="68" t="s">
        <v>5962</v>
      </c>
      <c r="F104" s="14">
        <v>-500</v>
      </c>
      <c r="G104" s="14"/>
      <c r="H104" s="9"/>
    </row>
    <row r="105" spans="3:8" x14ac:dyDescent="0.25">
      <c r="C105" s="34"/>
      <c r="D105" s="45"/>
      <c r="E105" s="68" t="s">
        <v>7926</v>
      </c>
      <c r="F105" s="14">
        <v>-19760</v>
      </c>
      <c r="G105" s="14"/>
      <c r="H105" s="9"/>
    </row>
    <row r="106" spans="3:8" x14ac:dyDescent="0.25">
      <c r="C106" s="34"/>
      <c r="D106" s="45"/>
      <c r="E106" s="68" t="s">
        <v>7751</v>
      </c>
      <c r="F106" s="14">
        <v>-2691</v>
      </c>
      <c r="G106" s="14"/>
      <c r="H106" s="9"/>
    </row>
    <row r="107" spans="3:8" x14ac:dyDescent="0.25">
      <c r="C107" s="34"/>
      <c r="D107" s="45"/>
      <c r="E107" s="68" t="s">
        <v>7927</v>
      </c>
      <c r="F107" s="14">
        <v>-315.5</v>
      </c>
      <c r="G107" s="14"/>
      <c r="H107" s="9"/>
    </row>
    <row r="108" spans="3:8" x14ac:dyDescent="0.25">
      <c r="C108" s="34"/>
      <c r="D108" s="45"/>
      <c r="E108" s="68" t="s">
        <v>7928</v>
      </c>
      <c r="F108" s="14">
        <v>-900</v>
      </c>
      <c r="G108" s="14"/>
      <c r="H108" s="9"/>
    </row>
    <row r="109" spans="3:8" x14ac:dyDescent="0.25">
      <c r="C109" s="34"/>
      <c r="D109" s="45"/>
      <c r="E109" s="68" t="s">
        <v>7930</v>
      </c>
      <c r="F109" s="14">
        <v>-30</v>
      </c>
      <c r="G109" s="14"/>
      <c r="H109" s="9"/>
    </row>
    <row r="110" spans="3:8" x14ac:dyDescent="0.25">
      <c r="C110" s="34"/>
      <c r="D110" s="42"/>
      <c r="E110" s="68"/>
      <c r="F110" s="14"/>
      <c r="G110" s="14"/>
      <c r="H110" s="9"/>
    </row>
    <row r="111" spans="3:8" x14ac:dyDescent="0.25">
      <c r="C111" s="34"/>
      <c r="D111" s="42"/>
      <c r="E111" s="68"/>
      <c r="F111" s="14"/>
      <c r="G111" s="14"/>
      <c r="H111" s="9"/>
    </row>
    <row r="112" spans="3:8" ht="15.75" thickBot="1" x14ac:dyDescent="0.3">
      <c r="C112" s="10"/>
      <c r="D112" s="11"/>
      <c r="E112" s="11" t="s">
        <v>44</v>
      </c>
      <c r="F112" s="12">
        <f>SUM(F6:F111)</f>
        <v>2154.5</v>
      </c>
      <c r="G112" s="15">
        <f>SUM(G6:G111)</f>
        <v>12052.099999999999</v>
      </c>
      <c r="H112" s="13">
        <f>SUM(H6:H111)</f>
        <v>24466</v>
      </c>
    </row>
    <row r="115" spans="3:6" s="3" customFormat="1" ht="18.75" x14ac:dyDescent="0.3">
      <c r="C115" s="1"/>
      <c r="D115" s="1"/>
      <c r="E115" s="38" t="s">
        <v>49</v>
      </c>
      <c r="F115" s="39">
        <f>+H4+F112</f>
        <v>3720.48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2FD6-3E61-4D1E-8501-CEDDD2C9F9FA}">
  <sheetPr codeName="Hoja99"/>
  <dimension ref="C2:J80"/>
  <sheetViews>
    <sheetView topLeftCell="B31" zoomScaleNormal="100" workbookViewId="0">
      <selection activeCell="H4" sqref="H4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7931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3720.48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7932</v>
      </c>
      <c r="E6" s="2" t="s">
        <v>6442</v>
      </c>
      <c r="F6" s="109"/>
      <c r="G6" s="113">
        <v>20</v>
      </c>
      <c r="H6" s="112"/>
    </row>
    <row r="7" spans="3:10" x14ac:dyDescent="0.25">
      <c r="C7" s="24"/>
      <c r="D7" s="2" t="s">
        <v>7933</v>
      </c>
      <c r="E7" s="2" t="s">
        <v>5678</v>
      </c>
      <c r="F7" s="109">
        <v>10</v>
      </c>
      <c r="G7" s="113"/>
      <c r="H7" s="112"/>
      <c r="I7" s="36"/>
      <c r="J7" s="36"/>
    </row>
    <row r="8" spans="3:10" x14ac:dyDescent="0.25">
      <c r="C8" s="24"/>
      <c r="D8" s="2" t="s">
        <v>7934</v>
      </c>
      <c r="E8" s="2" t="s">
        <v>7977</v>
      </c>
      <c r="F8" s="109"/>
      <c r="G8" s="113"/>
      <c r="H8" s="112">
        <v>67</v>
      </c>
      <c r="J8" s="36"/>
    </row>
    <row r="9" spans="3:10" x14ac:dyDescent="0.25">
      <c r="C9" s="24"/>
      <c r="D9" s="2" t="s">
        <v>7935</v>
      </c>
      <c r="E9" s="2" t="s">
        <v>5678</v>
      </c>
      <c r="F9" s="109">
        <v>84</v>
      </c>
      <c r="G9" s="113"/>
      <c r="H9" s="112"/>
      <c r="J9" s="36"/>
    </row>
    <row r="10" spans="3:10" x14ac:dyDescent="0.25">
      <c r="C10" s="8"/>
      <c r="D10" s="2" t="s">
        <v>7936</v>
      </c>
      <c r="E10" s="2" t="s">
        <v>7976</v>
      </c>
      <c r="F10" s="4">
        <v>405</v>
      </c>
      <c r="G10" s="14"/>
      <c r="H10" s="9">
        <v>100</v>
      </c>
    </row>
    <row r="11" spans="3:10" x14ac:dyDescent="0.25">
      <c r="C11" s="8"/>
      <c r="D11" s="2" t="s">
        <v>7937</v>
      </c>
      <c r="E11" s="2" t="s">
        <v>5308</v>
      </c>
      <c r="F11" s="4"/>
      <c r="G11" s="14">
        <v>355</v>
      </c>
      <c r="H11" s="9"/>
    </row>
    <row r="12" spans="3:10" x14ac:dyDescent="0.25">
      <c r="C12" s="8"/>
      <c r="D12" s="2" t="s">
        <v>7938</v>
      </c>
      <c r="E12" s="2" t="s">
        <v>5678</v>
      </c>
      <c r="F12" s="4"/>
      <c r="G12" s="14"/>
      <c r="H12" s="9">
        <v>5</v>
      </c>
    </row>
    <row r="13" spans="3:10" x14ac:dyDescent="0.25">
      <c r="C13" s="8"/>
      <c r="D13" s="2" t="s">
        <v>7939</v>
      </c>
      <c r="E13" s="2" t="s">
        <v>5678</v>
      </c>
      <c r="F13" s="4">
        <v>3</v>
      </c>
      <c r="G13" s="14"/>
      <c r="H13" s="9"/>
    </row>
    <row r="14" spans="3:10" x14ac:dyDescent="0.25">
      <c r="C14" s="8"/>
      <c r="D14" s="2" t="s">
        <v>7940</v>
      </c>
      <c r="E14" s="2" t="s">
        <v>5678</v>
      </c>
      <c r="F14" s="4">
        <v>19</v>
      </c>
      <c r="G14" s="14"/>
      <c r="H14" s="9"/>
    </row>
    <row r="15" spans="3:10" x14ac:dyDescent="0.25">
      <c r="C15" s="8"/>
      <c r="D15" s="2" t="s">
        <v>7941</v>
      </c>
      <c r="E15" s="2" t="s">
        <v>5678</v>
      </c>
      <c r="F15" s="4"/>
      <c r="G15" s="14"/>
      <c r="H15" s="9">
        <v>115</v>
      </c>
    </row>
    <row r="16" spans="3:10" x14ac:dyDescent="0.25">
      <c r="C16" s="8"/>
      <c r="D16" s="2" t="s">
        <v>7942</v>
      </c>
      <c r="E16" s="2" t="s">
        <v>5678</v>
      </c>
      <c r="F16" s="4">
        <v>30</v>
      </c>
      <c r="G16" s="14"/>
      <c r="H16" s="9"/>
    </row>
    <row r="17" spans="3:8" x14ac:dyDescent="0.25">
      <c r="C17" s="8"/>
      <c r="D17" s="2" t="s">
        <v>7943</v>
      </c>
      <c r="E17" s="2" t="s">
        <v>5678</v>
      </c>
      <c r="F17" s="4">
        <v>30.5</v>
      </c>
      <c r="G17" s="14"/>
      <c r="H17" s="9"/>
    </row>
    <row r="18" spans="3:8" x14ac:dyDescent="0.25">
      <c r="C18" s="8"/>
      <c r="D18" s="2" t="s">
        <v>7944</v>
      </c>
      <c r="E18" s="2" t="s">
        <v>5678</v>
      </c>
      <c r="F18" s="4">
        <v>6</v>
      </c>
      <c r="G18" s="14"/>
      <c r="H18" s="9"/>
    </row>
    <row r="19" spans="3:8" x14ac:dyDescent="0.25">
      <c r="C19" s="8"/>
      <c r="D19" s="2" t="s">
        <v>7945</v>
      </c>
      <c r="E19" s="2" t="s">
        <v>5678</v>
      </c>
      <c r="F19" s="4">
        <v>84</v>
      </c>
      <c r="G19" s="14"/>
      <c r="H19" s="9"/>
    </row>
    <row r="20" spans="3:8" x14ac:dyDescent="0.25">
      <c r="C20" s="8"/>
      <c r="D20" s="2" t="s">
        <v>7946</v>
      </c>
      <c r="E20" s="2" t="s">
        <v>5678</v>
      </c>
      <c r="F20" s="4"/>
      <c r="G20" s="14"/>
      <c r="H20" s="9">
        <v>6</v>
      </c>
    </row>
    <row r="21" spans="3:8" x14ac:dyDescent="0.25">
      <c r="C21" s="8"/>
      <c r="D21" s="2" t="s">
        <v>7947</v>
      </c>
      <c r="E21" s="2" t="s">
        <v>5678</v>
      </c>
      <c r="F21" s="4">
        <v>6</v>
      </c>
      <c r="G21" s="14"/>
      <c r="H21" s="9"/>
    </row>
    <row r="22" spans="3:8" x14ac:dyDescent="0.25">
      <c r="C22" s="8"/>
      <c r="D22" s="2" t="s">
        <v>7948</v>
      </c>
      <c r="E22" s="2" t="s">
        <v>5678</v>
      </c>
      <c r="F22" s="4">
        <v>9</v>
      </c>
      <c r="G22" s="14"/>
      <c r="H22" s="9"/>
    </row>
    <row r="23" spans="3:8" x14ac:dyDescent="0.25">
      <c r="C23" s="8"/>
      <c r="D23" s="2" t="s">
        <v>7949</v>
      </c>
      <c r="E23" s="2" t="s">
        <v>5678</v>
      </c>
      <c r="F23" s="4">
        <v>40</v>
      </c>
      <c r="G23" s="14"/>
      <c r="H23" s="9"/>
    </row>
    <row r="24" spans="3:8" x14ac:dyDescent="0.25">
      <c r="C24" s="8"/>
      <c r="D24" s="2" t="s">
        <v>7950</v>
      </c>
      <c r="E24" s="2" t="s">
        <v>7976</v>
      </c>
      <c r="F24" s="4">
        <v>100</v>
      </c>
      <c r="G24" s="14"/>
      <c r="H24" s="9">
        <v>28</v>
      </c>
    </row>
    <row r="25" spans="3:8" x14ac:dyDescent="0.25">
      <c r="C25" s="8"/>
      <c r="D25" s="2" t="s">
        <v>7951</v>
      </c>
      <c r="E25" s="2" t="s">
        <v>5055</v>
      </c>
      <c r="F25" s="4"/>
      <c r="G25" s="14">
        <v>3450</v>
      </c>
      <c r="H25" s="9"/>
    </row>
    <row r="26" spans="3:8" x14ac:dyDescent="0.25">
      <c r="C26" s="8"/>
      <c r="D26" s="2" t="s">
        <v>7952</v>
      </c>
      <c r="E26" s="2" t="s">
        <v>5678</v>
      </c>
      <c r="F26" s="4">
        <v>10</v>
      </c>
      <c r="G26" s="14"/>
      <c r="H26" s="9"/>
    </row>
    <row r="27" spans="3:8" x14ac:dyDescent="0.25">
      <c r="C27" s="8"/>
      <c r="D27" s="2" t="s">
        <v>7953</v>
      </c>
      <c r="E27" s="2" t="s">
        <v>5678</v>
      </c>
      <c r="F27" s="4"/>
      <c r="G27" s="14"/>
      <c r="H27" s="9">
        <v>9</v>
      </c>
    </row>
    <row r="28" spans="3:8" x14ac:dyDescent="0.25">
      <c r="C28" s="8"/>
      <c r="D28" s="2" t="s">
        <v>7954</v>
      </c>
      <c r="E28" s="2" t="s">
        <v>5678</v>
      </c>
      <c r="F28" s="4">
        <v>6</v>
      </c>
      <c r="G28" s="14"/>
      <c r="H28" s="9"/>
    </row>
    <row r="29" spans="3:8" x14ac:dyDescent="0.25">
      <c r="C29" s="8"/>
      <c r="D29" s="2" t="s">
        <v>7955</v>
      </c>
      <c r="E29" s="2" t="s">
        <v>5678</v>
      </c>
      <c r="F29" s="4"/>
      <c r="G29" s="14"/>
      <c r="H29" s="9">
        <v>2</v>
      </c>
    </row>
    <row r="30" spans="3:8" x14ac:dyDescent="0.25">
      <c r="C30" s="8"/>
      <c r="D30" s="2" t="s">
        <v>7956</v>
      </c>
      <c r="E30" s="2" t="s">
        <v>5678</v>
      </c>
      <c r="F30" s="4">
        <v>19</v>
      </c>
      <c r="G30" s="14"/>
      <c r="H30" s="9"/>
    </row>
    <row r="31" spans="3:8" x14ac:dyDescent="0.25">
      <c r="C31" s="8"/>
      <c r="D31" s="2" t="s">
        <v>7957</v>
      </c>
      <c r="E31" s="2" t="s">
        <v>5678</v>
      </c>
      <c r="F31" s="4">
        <v>26</v>
      </c>
      <c r="G31" s="14"/>
      <c r="H31" s="9"/>
    </row>
    <row r="32" spans="3:8" x14ac:dyDescent="0.25">
      <c r="C32" s="8"/>
      <c r="D32" s="2" t="s">
        <v>7958</v>
      </c>
      <c r="E32" s="2" t="s">
        <v>5678</v>
      </c>
      <c r="F32" s="4"/>
      <c r="G32" s="14"/>
      <c r="H32" s="9">
        <v>2.5</v>
      </c>
    </row>
    <row r="33" spans="3:8" x14ac:dyDescent="0.25">
      <c r="C33" s="8"/>
      <c r="D33" s="2" t="s">
        <v>7959</v>
      </c>
      <c r="E33" s="2" t="s">
        <v>5678</v>
      </c>
      <c r="F33" s="4"/>
      <c r="G33" s="14"/>
      <c r="H33" s="9">
        <v>22</v>
      </c>
    </row>
    <row r="34" spans="3:8" x14ac:dyDescent="0.25">
      <c r="C34" s="8"/>
      <c r="D34" s="2" t="s">
        <v>7960</v>
      </c>
      <c r="E34" s="2" t="s">
        <v>5678</v>
      </c>
      <c r="F34" s="4"/>
      <c r="G34" s="14"/>
      <c r="H34" s="9">
        <v>2</v>
      </c>
    </row>
    <row r="35" spans="3:8" x14ac:dyDescent="0.25">
      <c r="C35" s="8"/>
      <c r="D35" s="2" t="s">
        <v>7961</v>
      </c>
      <c r="E35" s="2" t="s">
        <v>5678</v>
      </c>
      <c r="F35" s="4">
        <v>8</v>
      </c>
      <c r="G35" s="14"/>
      <c r="H35" s="9"/>
    </row>
    <row r="36" spans="3:8" x14ac:dyDescent="0.25">
      <c r="C36" s="8"/>
      <c r="D36" s="2" t="s">
        <v>7962</v>
      </c>
      <c r="E36" s="2" t="s">
        <v>5678</v>
      </c>
      <c r="F36" s="4"/>
      <c r="G36" s="14"/>
      <c r="H36" s="9">
        <v>8.5</v>
      </c>
    </row>
    <row r="37" spans="3:8" x14ac:dyDescent="0.25">
      <c r="C37" s="8"/>
      <c r="D37" s="2" t="s">
        <v>7963</v>
      </c>
      <c r="E37" s="2" t="s">
        <v>5678</v>
      </c>
      <c r="F37" s="4"/>
      <c r="G37" s="14"/>
      <c r="H37" s="9">
        <v>12</v>
      </c>
    </row>
    <row r="38" spans="3:8" x14ac:dyDescent="0.25">
      <c r="C38" s="8"/>
      <c r="D38" s="2" t="s">
        <v>7964</v>
      </c>
      <c r="E38" s="2" t="s">
        <v>7975</v>
      </c>
      <c r="F38" s="4"/>
      <c r="G38" s="14"/>
      <c r="H38" s="9">
        <v>70</v>
      </c>
    </row>
    <row r="39" spans="3:8" x14ac:dyDescent="0.25">
      <c r="C39" s="8"/>
      <c r="D39" s="2" t="s">
        <v>7965</v>
      </c>
      <c r="E39" s="2" t="s">
        <v>5678</v>
      </c>
      <c r="F39" s="4">
        <v>15</v>
      </c>
      <c r="G39" s="14"/>
      <c r="H39" s="9"/>
    </row>
    <row r="40" spans="3:8" x14ac:dyDescent="0.25">
      <c r="C40" s="8"/>
      <c r="D40" s="2" t="s">
        <v>7966</v>
      </c>
      <c r="E40" s="2" t="s">
        <v>5678</v>
      </c>
      <c r="F40" s="4"/>
      <c r="G40" s="14"/>
      <c r="H40" s="9">
        <v>11.5</v>
      </c>
    </row>
    <row r="41" spans="3:8" x14ac:dyDescent="0.25">
      <c r="C41" s="8"/>
      <c r="D41" s="2" t="s">
        <v>7967</v>
      </c>
      <c r="E41" s="2" t="s">
        <v>5678</v>
      </c>
      <c r="F41" s="4">
        <v>2</v>
      </c>
      <c r="G41" s="14"/>
      <c r="H41" s="9"/>
    </row>
    <row r="42" spans="3:8" x14ac:dyDescent="0.25">
      <c r="C42" s="8"/>
      <c r="D42" s="2" t="s">
        <v>7968</v>
      </c>
      <c r="E42" s="2" t="s">
        <v>5678</v>
      </c>
      <c r="F42" s="4">
        <v>18</v>
      </c>
      <c r="G42" s="14"/>
      <c r="H42" s="9"/>
    </row>
    <row r="43" spans="3:8" x14ac:dyDescent="0.25">
      <c r="C43" s="8"/>
      <c r="D43" s="2" t="s">
        <v>7969</v>
      </c>
      <c r="E43" s="2" t="s">
        <v>7974</v>
      </c>
      <c r="F43" s="4"/>
      <c r="G43" s="14">
        <v>7276</v>
      </c>
      <c r="H43" s="9"/>
    </row>
    <row r="44" spans="3:8" x14ac:dyDescent="0.25">
      <c r="C44" s="8"/>
      <c r="D44" s="2" t="s">
        <v>7970</v>
      </c>
      <c r="E44" s="2" t="s">
        <v>5678</v>
      </c>
      <c r="F44" s="4"/>
      <c r="G44" s="14"/>
      <c r="H44" s="9">
        <v>47.5</v>
      </c>
    </row>
    <row r="45" spans="3:8" x14ac:dyDescent="0.25">
      <c r="C45" s="8"/>
      <c r="D45" s="2" t="s">
        <v>7971</v>
      </c>
      <c r="E45" s="2" t="s">
        <v>5678</v>
      </c>
      <c r="F45" s="4">
        <v>9</v>
      </c>
      <c r="G45" s="14"/>
      <c r="H45" s="9"/>
    </row>
    <row r="46" spans="3:8" x14ac:dyDescent="0.25">
      <c r="C46" s="8"/>
      <c r="D46" s="2" t="s">
        <v>7972</v>
      </c>
      <c r="E46" s="2" t="s">
        <v>5678</v>
      </c>
      <c r="F46" s="4"/>
      <c r="G46" s="14"/>
      <c r="H46" s="9">
        <v>4</v>
      </c>
    </row>
    <row r="47" spans="3:8" x14ac:dyDescent="0.25">
      <c r="C47" s="8"/>
      <c r="D47" s="2" t="s">
        <v>7973</v>
      </c>
      <c r="E47" s="2" t="s">
        <v>5678</v>
      </c>
      <c r="F47" s="4"/>
      <c r="G47" s="14"/>
      <c r="H47" s="9">
        <v>5</v>
      </c>
    </row>
    <row r="48" spans="3:8" x14ac:dyDescent="0.25">
      <c r="C48" s="8"/>
      <c r="D48" s="2" t="s">
        <v>7990</v>
      </c>
      <c r="E48" s="2"/>
      <c r="F48" s="4"/>
      <c r="G48" s="14"/>
      <c r="H48" s="9"/>
    </row>
    <row r="49" spans="3:8" x14ac:dyDescent="0.25">
      <c r="C49" s="8"/>
      <c r="D49" s="2"/>
      <c r="E49" s="2"/>
      <c r="F49" s="4"/>
      <c r="G49" s="14"/>
      <c r="H49" s="9"/>
    </row>
    <row r="50" spans="3:8" x14ac:dyDescent="0.25">
      <c r="C50" s="8"/>
      <c r="D50" s="2"/>
      <c r="E50" s="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29"/>
      <c r="D52" s="30"/>
      <c r="E52" s="30" t="s">
        <v>60</v>
      </c>
      <c r="F52" s="4"/>
      <c r="G52" s="14"/>
      <c r="H52" s="9"/>
    </row>
    <row r="53" spans="3:8" x14ac:dyDescent="0.25">
      <c r="C53" s="8"/>
      <c r="D53" s="2"/>
      <c r="E53" s="76"/>
      <c r="F53" s="35"/>
      <c r="G53" s="14"/>
      <c r="H53" s="9"/>
    </row>
    <row r="54" spans="3:8" x14ac:dyDescent="0.25">
      <c r="C54" s="8"/>
      <c r="D54" s="2"/>
      <c r="E54" s="76"/>
      <c r="F54" s="35"/>
      <c r="G54" s="14"/>
      <c r="H54" s="9"/>
    </row>
    <row r="55" spans="3:8" x14ac:dyDescent="0.25">
      <c r="C55" s="8"/>
      <c r="D55" s="2"/>
      <c r="E55" s="76"/>
      <c r="F55" s="35"/>
      <c r="G55" s="14"/>
      <c r="H55" s="9"/>
    </row>
    <row r="56" spans="3:8" x14ac:dyDescent="0.25">
      <c r="C56" s="8"/>
      <c r="D56" s="2"/>
      <c r="E56" s="76"/>
      <c r="F56" s="35"/>
      <c r="G56" s="14"/>
      <c r="H56" s="9"/>
    </row>
    <row r="57" spans="3:8" x14ac:dyDescent="0.25">
      <c r="C57" s="8"/>
      <c r="D57" s="45"/>
      <c r="E57" s="68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16"/>
      <c r="D59" s="17"/>
      <c r="E59" s="17" t="s">
        <v>39</v>
      </c>
      <c r="F59" s="4"/>
      <c r="G59" s="14"/>
      <c r="H59" s="9"/>
    </row>
    <row r="60" spans="3:8" x14ac:dyDescent="0.25">
      <c r="C60" s="8"/>
      <c r="D60" s="2"/>
      <c r="E60" s="76"/>
      <c r="F60" s="35"/>
      <c r="G60" s="14"/>
      <c r="H60" s="9"/>
    </row>
    <row r="61" spans="3:8" x14ac:dyDescent="0.25">
      <c r="C61" s="8"/>
      <c r="D61" s="2"/>
      <c r="E61" s="76"/>
      <c r="F61" s="35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19"/>
      <c r="D63" s="20"/>
      <c r="E63" s="20" t="s">
        <v>42</v>
      </c>
      <c r="F63" s="4"/>
      <c r="G63" s="14"/>
      <c r="H63" s="9"/>
    </row>
    <row r="64" spans="3:8" x14ac:dyDescent="0.25">
      <c r="C64" s="34"/>
      <c r="D64" s="45"/>
      <c r="E64" s="68" t="s">
        <v>7978</v>
      </c>
      <c r="F64" s="14">
        <v>-20</v>
      </c>
      <c r="G64" s="14"/>
      <c r="H64" s="9"/>
    </row>
    <row r="65" spans="3:8" x14ac:dyDescent="0.25">
      <c r="C65" s="34"/>
      <c r="D65" s="45"/>
      <c r="E65" s="68" t="s">
        <v>7979</v>
      </c>
      <c r="F65" s="14">
        <v>-50</v>
      </c>
      <c r="G65" s="14"/>
      <c r="H65" s="9"/>
    </row>
    <row r="66" spans="3:8" x14ac:dyDescent="0.25">
      <c r="C66" s="34"/>
      <c r="D66" s="45"/>
      <c r="E66" s="68" t="s">
        <v>7980</v>
      </c>
      <c r="F66" s="14">
        <v>-120</v>
      </c>
      <c r="G66" s="14"/>
      <c r="H66" s="9"/>
    </row>
    <row r="67" spans="3:8" x14ac:dyDescent="0.25">
      <c r="C67" s="34"/>
      <c r="D67" s="45"/>
      <c r="E67" s="68" t="s">
        <v>7981</v>
      </c>
      <c r="F67" s="14">
        <v>-60</v>
      </c>
      <c r="G67" s="14"/>
      <c r="H67" s="9"/>
    </row>
    <row r="68" spans="3:8" x14ac:dyDescent="0.25">
      <c r="C68" s="34"/>
      <c r="D68" s="45"/>
      <c r="E68" s="68" t="s">
        <v>7982</v>
      </c>
      <c r="F68" s="14">
        <v>-4</v>
      </c>
      <c r="G68" s="14"/>
      <c r="H68" s="9"/>
    </row>
    <row r="69" spans="3:8" x14ac:dyDescent="0.25">
      <c r="C69" s="34"/>
      <c r="D69" s="45"/>
      <c r="E69" s="68" t="s">
        <v>7983</v>
      </c>
      <c r="F69" s="14">
        <v>-35</v>
      </c>
      <c r="G69" s="14"/>
      <c r="H69" s="9"/>
    </row>
    <row r="70" spans="3:8" x14ac:dyDescent="0.25">
      <c r="C70" s="34"/>
      <c r="D70" s="45"/>
      <c r="E70" s="68" t="s">
        <v>7984</v>
      </c>
      <c r="F70" s="14">
        <v>-1.5</v>
      </c>
      <c r="G70" s="14"/>
      <c r="H70" s="9"/>
    </row>
    <row r="71" spans="3:8" x14ac:dyDescent="0.25">
      <c r="C71" s="34"/>
      <c r="D71" s="45"/>
      <c r="E71" s="68" t="s">
        <v>7985</v>
      </c>
      <c r="F71" s="14">
        <v>-45</v>
      </c>
      <c r="G71" s="14"/>
      <c r="H71" s="9"/>
    </row>
    <row r="72" spans="3:8" x14ac:dyDescent="0.25">
      <c r="C72" s="34"/>
      <c r="D72" s="45"/>
      <c r="E72" s="68" t="s">
        <v>7986</v>
      </c>
      <c r="F72" s="14">
        <v>-20</v>
      </c>
      <c r="G72" s="14"/>
      <c r="H72" s="9"/>
    </row>
    <row r="73" spans="3:8" x14ac:dyDescent="0.25">
      <c r="C73" s="34"/>
      <c r="D73" s="45"/>
      <c r="E73" s="68"/>
      <c r="F73" s="14"/>
      <c r="G73" s="14"/>
      <c r="H73" s="9"/>
    </row>
    <row r="74" spans="3:8" x14ac:dyDescent="0.25">
      <c r="C74" s="34"/>
      <c r="D74" s="45"/>
      <c r="E74" s="68"/>
      <c r="F74" s="14"/>
      <c r="G74" s="14"/>
      <c r="H74" s="9"/>
    </row>
    <row r="75" spans="3:8" x14ac:dyDescent="0.25">
      <c r="C75" s="34"/>
      <c r="D75" s="45"/>
      <c r="E75" s="68"/>
      <c r="F75" s="14"/>
      <c r="G75" s="14"/>
      <c r="H75" s="9"/>
    </row>
    <row r="76" spans="3:8" x14ac:dyDescent="0.25">
      <c r="C76" s="34"/>
      <c r="D76" s="42"/>
      <c r="E76" s="68"/>
      <c r="F76" s="14"/>
      <c r="G76" s="14"/>
      <c r="H76" s="9"/>
    </row>
    <row r="77" spans="3:8" ht="15.75" thickBot="1" x14ac:dyDescent="0.3">
      <c r="C77" s="10"/>
      <c r="D77" s="11"/>
      <c r="E77" s="11" t="s">
        <v>44</v>
      </c>
      <c r="F77" s="12">
        <f>SUM(F6:F76)</f>
        <v>584</v>
      </c>
      <c r="G77" s="15">
        <f>SUM(G6:G76)</f>
        <v>11101</v>
      </c>
      <c r="H77" s="13">
        <f>SUM(H6:H76)</f>
        <v>517</v>
      </c>
    </row>
    <row r="80" spans="3:8" s="3" customFormat="1" ht="18.75" x14ac:dyDescent="0.3">
      <c r="C80" s="1"/>
      <c r="D80" s="1"/>
      <c r="E80" s="38" t="s">
        <v>49</v>
      </c>
      <c r="F80" s="39">
        <f>+H4+F77</f>
        <v>4304.4799999999996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5144-7650-4BC9-875C-E186B756EE92}">
  <sheetPr codeName="Hoja100"/>
  <dimension ref="C2:J80"/>
  <sheetViews>
    <sheetView topLeftCell="A49" zoomScale="86" zoomScaleNormal="86" workbookViewId="0">
      <selection activeCell="F80" sqref="F80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7987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4304.4799999999996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7990</v>
      </c>
      <c r="E6" s="2" t="s">
        <v>12</v>
      </c>
      <c r="F6" s="109"/>
      <c r="G6" s="113"/>
      <c r="H6" s="112">
        <v>12</v>
      </c>
    </row>
    <row r="7" spans="3:10" x14ac:dyDescent="0.25">
      <c r="C7" s="24"/>
      <c r="D7" s="2" t="s">
        <v>7991</v>
      </c>
      <c r="E7" s="2" t="s">
        <v>12</v>
      </c>
      <c r="F7" s="109"/>
      <c r="G7" s="113"/>
      <c r="H7" s="112">
        <v>26</v>
      </c>
      <c r="I7" s="36"/>
      <c r="J7" s="36"/>
    </row>
    <row r="8" spans="3:10" x14ac:dyDescent="0.25">
      <c r="C8" s="24"/>
      <c r="D8" s="2" t="s">
        <v>7992</v>
      </c>
      <c r="E8" s="2" t="s">
        <v>12</v>
      </c>
      <c r="F8" s="109"/>
      <c r="G8" s="113"/>
      <c r="H8" s="112">
        <v>1</v>
      </c>
      <c r="J8" s="36"/>
    </row>
    <row r="9" spans="3:10" x14ac:dyDescent="0.25">
      <c r="C9" s="24"/>
      <c r="D9" s="2" t="s">
        <v>7993</v>
      </c>
      <c r="E9" s="2" t="s">
        <v>12</v>
      </c>
      <c r="F9" s="109">
        <v>18</v>
      </c>
      <c r="G9" s="113"/>
      <c r="H9" s="112"/>
      <c r="J9" s="36"/>
    </row>
    <row r="10" spans="3:10" x14ac:dyDescent="0.25">
      <c r="C10" s="8"/>
      <c r="D10" s="2" t="s">
        <v>7994</v>
      </c>
      <c r="E10" s="2" t="s">
        <v>12</v>
      </c>
      <c r="F10" s="4">
        <v>15</v>
      </c>
      <c r="G10" s="14"/>
      <c r="H10" s="9"/>
    </row>
    <row r="11" spans="3:10" x14ac:dyDescent="0.25">
      <c r="C11" s="8"/>
      <c r="D11" s="2" t="s">
        <v>7995</v>
      </c>
      <c r="E11" s="2" t="s">
        <v>12</v>
      </c>
      <c r="F11" s="4">
        <v>3</v>
      </c>
      <c r="G11" s="14"/>
      <c r="H11" s="9"/>
    </row>
    <row r="12" spans="3:10" x14ac:dyDescent="0.25">
      <c r="C12" s="8"/>
      <c r="D12" s="2" t="s">
        <v>7996</v>
      </c>
      <c r="E12" s="2" t="s">
        <v>12</v>
      </c>
      <c r="F12" s="4">
        <v>46</v>
      </c>
      <c r="G12" s="14"/>
      <c r="H12" s="9"/>
    </row>
    <row r="13" spans="3:10" x14ac:dyDescent="0.25">
      <c r="C13" s="8"/>
      <c r="D13" s="2" t="s">
        <v>7997</v>
      </c>
      <c r="E13" s="2" t="s">
        <v>12</v>
      </c>
      <c r="F13" s="4">
        <v>14</v>
      </c>
      <c r="G13" s="14"/>
      <c r="H13" s="9"/>
    </row>
    <row r="14" spans="3:10" x14ac:dyDescent="0.25">
      <c r="C14" s="8"/>
      <c r="D14" s="2" t="s">
        <v>7998</v>
      </c>
      <c r="E14" s="2" t="s">
        <v>12</v>
      </c>
      <c r="F14" s="4"/>
      <c r="G14" s="14"/>
      <c r="H14" s="9">
        <v>39.5</v>
      </c>
    </row>
    <row r="15" spans="3:10" x14ac:dyDescent="0.25">
      <c r="C15" s="8"/>
      <c r="D15" s="2" t="s">
        <v>7999</v>
      </c>
      <c r="E15" s="2" t="s">
        <v>3391</v>
      </c>
      <c r="F15" s="4">
        <v>266</v>
      </c>
      <c r="G15" s="14"/>
      <c r="H15" s="9"/>
    </row>
    <row r="16" spans="3:10" x14ac:dyDescent="0.25">
      <c r="C16" s="8"/>
      <c r="D16" s="2" t="s">
        <v>8000</v>
      </c>
      <c r="E16" s="2" t="s">
        <v>8021</v>
      </c>
      <c r="F16" s="4"/>
      <c r="G16" s="14"/>
      <c r="H16" s="9">
        <v>38</v>
      </c>
    </row>
    <row r="17" spans="3:8" x14ac:dyDescent="0.25">
      <c r="C17" s="8"/>
      <c r="D17" s="2" t="s">
        <v>8001</v>
      </c>
      <c r="E17" s="2" t="s">
        <v>8021</v>
      </c>
      <c r="F17" s="4">
        <v>4</v>
      </c>
      <c r="G17" s="14"/>
      <c r="H17" s="9"/>
    </row>
    <row r="18" spans="3:8" x14ac:dyDescent="0.25">
      <c r="C18" s="8"/>
      <c r="D18" s="2" t="s">
        <v>8002</v>
      </c>
      <c r="E18" s="2" t="s">
        <v>6411</v>
      </c>
      <c r="F18" s="4"/>
      <c r="G18" s="14">
        <v>1750</v>
      </c>
      <c r="H18" s="9"/>
    </row>
    <row r="19" spans="3:8" x14ac:dyDescent="0.25">
      <c r="C19" s="8"/>
      <c r="D19" s="2" t="s">
        <v>8003</v>
      </c>
      <c r="E19" s="2" t="s">
        <v>12</v>
      </c>
      <c r="F19" s="4">
        <v>4.5</v>
      </c>
      <c r="G19" s="14"/>
      <c r="H19" s="9"/>
    </row>
    <row r="20" spans="3:8" x14ac:dyDescent="0.25">
      <c r="C20" s="8"/>
      <c r="D20" s="2" t="s">
        <v>8004</v>
      </c>
      <c r="E20" s="2" t="s">
        <v>12</v>
      </c>
      <c r="F20" s="4">
        <v>22.5</v>
      </c>
      <c r="G20" s="14"/>
      <c r="H20" s="9"/>
    </row>
    <row r="21" spans="3:8" x14ac:dyDescent="0.25">
      <c r="C21" s="8"/>
      <c r="D21" s="2" t="s">
        <v>8005</v>
      </c>
      <c r="E21" s="2" t="s">
        <v>12</v>
      </c>
      <c r="F21" s="4">
        <v>5</v>
      </c>
      <c r="G21" s="14"/>
      <c r="H21" s="9"/>
    </row>
    <row r="22" spans="3:8" x14ac:dyDescent="0.25">
      <c r="C22" s="8"/>
      <c r="D22" s="2" t="s">
        <v>8006</v>
      </c>
      <c r="E22" s="2" t="s">
        <v>5018</v>
      </c>
      <c r="F22" s="4">
        <v>320</v>
      </c>
      <c r="G22" s="14"/>
      <c r="H22" s="9"/>
    </row>
    <row r="23" spans="3:8" x14ac:dyDescent="0.25">
      <c r="C23" s="8"/>
      <c r="D23" s="2" t="s">
        <v>8007</v>
      </c>
      <c r="E23" s="2" t="s">
        <v>7126</v>
      </c>
      <c r="F23" s="4"/>
      <c r="G23" s="14">
        <v>45</v>
      </c>
      <c r="H23" s="9"/>
    </row>
    <row r="24" spans="3:8" x14ac:dyDescent="0.25">
      <c r="C24" s="8"/>
      <c r="D24" s="2" t="s">
        <v>8008</v>
      </c>
      <c r="E24" s="2" t="s">
        <v>12</v>
      </c>
      <c r="F24" s="4">
        <v>5</v>
      </c>
      <c r="G24" s="14"/>
      <c r="H24" s="9"/>
    </row>
    <row r="25" spans="3:8" x14ac:dyDescent="0.25">
      <c r="C25" s="8"/>
      <c r="D25" s="2" t="s">
        <v>8026</v>
      </c>
      <c r="E25" s="2" t="s">
        <v>1679</v>
      </c>
      <c r="F25" s="4"/>
      <c r="G25" s="14">
        <v>45</v>
      </c>
      <c r="H25" s="9"/>
    </row>
    <row r="26" spans="3:8" x14ac:dyDescent="0.25">
      <c r="C26" s="8"/>
      <c r="D26" s="2" t="s">
        <v>8027</v>
      </c>
      <c r="E26" s="2" t="s">
        <v>12</v>
      </c>
      <c r="F26" s="4">
        <v>19</v>
      </c>
      <c r="H26" s="9"/>
    </row>
    <row r="27" spans="3:8" x14ac:dyDescent="0.25">
      <c r="C27" s="8"/>
      <c r="D27" s="2" t="s">
        <v>8028</v>
      </c>
      <c r="E27" s="2" t="s">
        <v>12</v>
      </c>
      <c r="F27" s="4">
        <v>28</v>
      </c>
      <c r="G27" s="14"/>
      <c r="H27" s="9"/>
    </row>
    <row r="28" spans="3:8" x14ac:dyDescent="0.25">
      <c r="C28" s="8"/>
      <c r="D28" s="2" t="s">
        <v>8029</v>
      </c>
      <c r="E28" s="2" t="s">
        <v>12</v>
      </c>
      <c r="F28" s="4">
        <v>12</v>
      </c>
      <c r="G28" s="14"/>
      <c r="H28" s="9"/>
    </row>
    <row r="29" spans="3:8" x14ac:dyDescent="0.25">
      <c r="C29" s="8"/>
      <c r="D29" s="2" t="s">
        <v>8030</v>
      </c>
      <c r="E29" s="2" t="s">
        <v>6674</v>
      </c>
      <c r="F29" s="4"/>
      <c r="G29" s="14">
        <v>648.6</v>
      </c>
      <c r="H29" s="9"/>
    </row>
    <row r="30" spans="3:8" x14ac:dyDescent="0.25">
      <c r="C30" s="8"/>
      <c r="D30" s="2" t="s">
        <v>8031</v>
      </c>
      <c r="E30" s="2" t="s">
        <v>12</v>
      </c>
      <c r="F30" s="4">
        <v>9</v>
      </c>
      <c r="G30" s="14"/>
      <c r="H30" s="9"/>
    </row>
    <row r="31" spans="3:8" x14ac:dyDescent="0.25">
      <c r="C31" s="8"/>
      <c r="D31" s="2" t="s">
        <v>8032</v>
      </c>
      <c r="E31" s="2" t="s">
        <v>8035</v>
      </c>
      <c r="F31" s="4"/>
      <c r="G31" s="14"/>
      <c r="H31" s="9">
        <v>300</v>
      </c>
    </row>
    <row r="32" spans="3:8" x14ac:dyDescent="0.25">
      <c r="C32" s="8"/>
      <c r="D32" s="2" t="s">
        <v>8033</v>
      </c>
      <c r="E32" s="2" t="s">
        <v>8034</v>
      </c>
      <c r="F32" s="4">
        <v>93</v>
      </c>
      <c r="G32" s="14"/>
      <c r="H32" s="9"/>
    </row>
    <row r="33" spans="3:8" x14ac:dyDescent="0.25">
      <c r="C33" s="8"/>
      <c r="D33" s="2" t="s">
        <v>8039</v>
      </c>
      <c r="E33" s="2" t="s">
        <v>8040</v>
      </c>
      <c r="F33" s="4">
        <v>1535</v>
      </c>
      <c r="G33" s="14"/>
      <c r="H33" s="9"/>
    </row>
    <row r="34" spans="3:8" x14ac:dyDescent="0.25">
      <c r="C34" s="8"/>
      <c r="D34" s="2" t="s">
        <v>8045</v>
      </c>
      <c r="E34" s="2" t="s">
        <v>12</v>
      </c>
      <c r="F34" s="4">
        <v>63</v>
      </c>
      <c r="G34" s="14"/>
      <c r="H34" s="9"/>
    </row>
    <row r="35" spans="3:8" x14ac:dyDescent="0.25">
      <c r="C35" s="8"/>
      <c r="D35" s="2" t="s">
        <v>8046</v>
      </c>
      <c r="E35" s="2" t="s">
        <v>12</v>
      </c>
      <c r="F35" s="4">
        <v>10</v>
      </c>
      <c r="G35" s="14"/>
      <c r="H35" s="9"/>
    </row>
    <row r="36" spans="3:8" x14ac:dyDescent="0.25">
      <c r="C36" s="8"/>
      <c r="D36" s="2" t="s">
        <v>8049</v>
      </c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 t="s">
        <v>8009</v>
      </c>
      <c r="E38" s="2" t="s">
        <v>5951</v>
      </c>
      <c r="F38" s="4"/>
      <c r="G38" s="14"/>
      <c r="H38" s="9">
        <v>147</v>
      </c>
    </row>
    <row r="39" spans="3:8" x14ac:dyDescent="0.25">
      <c r="C39" s="8"/>
      <c r="D39" s="2" t="s">
        <v>8010</v>
      </c>
      <c r="E39" s="2" t="s">
        <v>48</v>
      </c>
      <c r="F39" s="4">
        <v>52</v>
      </c>
      <c r="G39" s="14"/>
      <c r="H39" s="9"/>
    </row>
    <row r="40" spans="3:8" x14ac:dyDescent="0.25">
      <c r="C40" s="8"/>
      <c r="D40" s="2" t="s">
        <v>8011</v>
      </c>
      <c r="E40" s="2" t="s">
        <v>4619</v>
      </c>
      <c r="F40" s="4"/>
      <c r="G40" s="14"/>
      <c r="H40" s="9">
        <v>40</v>
      </c>
    </row>
    <row r="41" spans="3:8" x14ac:dyDescent="0.25">
      <c r="C41" s="8"/>
      <c r="D41" s="2" t="s">
        <v>8012</v>
      </c>
      <c r="E41" s="2" t="s">
        <v>6705</v>
      </c>
      <c r="F41" s="4">
        <v>375</v>
      </c>
      <c r="G41" s="14"/>
      <c r="H41" s="9"/>
    </row>
    <row r="42" spans="3:8" x14ac:dyDescent="0.25">
      <c r="C42" s="8"/>
      <c r="D42" s="2" t="s">
        <v>8013</v>
      </c>
      <c r="E42" s="2" t="s">
        <v>48</v>
      </c>
      <c r="F42" s="4">
        <v>10</v>
      </c>
      <c r="G42" s="14"/>
      <c r="H42" s="9"/>
    </row>
    <row r="43" spans="3:8" x14ac:dyDescent="0.25">
      <c r="C43" s="8"/>
      <c r="D43" s="2" t="s">
        <v>8014</v>
      </c>
      <c r="E43" s="2" t="s">
        <v>48</v>
      </c>
      <c r="F43" s="4">
        <v>5.5</v>
      </c>
      <c r="G43" s="14"/>
      <c r="H43" s="9"/>
    </row>
    <row r="44" spans="3:8" x14ac:dyDescent="0.25">
      <c r="C44" s="8"/>
      <c r="D44" s="2" t="s">
        <v>8015</v>
      </c>
      <c r="E44" s="2" t="s">
        <v>6854</v>
      </c>
      <c r="F44" s="4">
        <v>2</v>
      </c>
      <c r="G44" s="14"/>
      <c r="H44" s="9"/>
    </row>
    <row r="45" spans="3:8" x14ac:dyDescent="0.25">
      <c r="C45" s="8"/>
      <c r="D45" s="2" t="s">
        <v>8016</v>
      </c>
      <c r="E45" s="2" t="s">
        <v>8020</v>
      </c>
      <c r="F45" s="4"/>
      <c r="G45" s="14">
        <v>137.5</v>
      </c>
      <c r="H45" s="9"/>
    </row>
    <row r="46" spans="3:8" x14ac:dyDescent="0.25">
      <c r="C46" s="8"/>
      <c r="D46" s="2" t="s">
        <v>8017</v>
      </c>
      <c r="E46" s="2" t="s">
        <v>48</v>
      </c>
      <c r="G46" s="14"/>
      <c r="H46" s="9"/>
    </row>
    <row r="47" spans="3:8" x14ac:dyDescent="0.25">
      <c r="C47" s="8"/>
      <c r="D47" s="2" t="s">
        <v>8018</v>
      </c>
      <c r="E47" s="2" t="s">
        <v>48</v>
      </c>
      <c r="F47" s="4">
        <v>44.5</v>
      </c>
      <c r="G47" s="14"/>
      <c r="H47" s="9"/>
    </row>
    <row r="48" spans="3:8" x14ac:dyDescent="0.25">
      <c r="C48" s="8"/>
      <c r="D48" s="2" t="s">
        <v>8019</v>
      </c>
      <c r="E48" s="2" t="s">
        <v>48</v>
      </c>
      <c r="F48" s="4">
        <v>5</v>
      </c>
      <c r="G48" s="14"/>
      <c r="H48" s="9">
        <v>11</v>
      </c>
    </row>
    <row r="49" spans="3:8" x14ac:dyDescent="0.25">
      <c r="C49" s="8"/>
      <c r="D49" s="2" t="s">
        <v>8036</v>
      </c>
      <c r="E49" s="2" t="s">
        <v>48</v>
      </c>
      <c r="F49" s="4">
        <v>8.5</v>
      </c>
      <c r="G49" s="14"/>
      <c r="H49" s="9"/>
    </row>
    <row r="50" spans="3:8" x14ac:dyDescent="0.25">
      <c r="C50" s="8"/>
      <c r="D50" s="2" t="s">
        <v>8037</v>
      </c>
      <c r="E50" s="2" t="s">
        <v>48</v>
      </c>
      <c r="F50" s="4">
        <v>17</v>
      </c>
      <c r="G50" s="14"/>
      <c r="H50" s="9"/>
    </row>
    <row r="51" spans="3:8" x14ac:dyDescent="0.25">
      <c r="C51" s="8"/>
      <c r="D51" s="2" t="s">
        <v>8038</v>
      </c>
      <c r="E51" s="2" t="s">
        <v>48</v>
      </c>
      <c r="F51" s="4">
        <v>1</v>
      </c>
      <c r="G51" s="14"/>
      <c r="H51" s="9"/>
    </row>
    <row r="52" spans="3:8" x14ac:dyDescent="0.25">
      <c r="C52" s="8"/>
      <c r="D52" s="2" t="s">
        <v>8047</v>
      </c>
      <c r="E52" s="2" t="s">
        <v>6674</v>
      </c>
      <c r="F52" s="4"/>
      <c r="G52" s="14">
        <v>98.6</v>
      </c>
      <c r="H52" s="9"/>
    </row>
    <row r="53" spans="3:8" x14ac:dyDescent="0.25">
      <c r="C53" s="8"/>
      <c r="D53" s="2" t="s">
        <v>8065</v>
      </c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29"/>
      <c r="D55" s="30"/>
      <c r="E55" s="30" t="s">
        <v>60</v>
      </c>
      <c r="F55" s="4"/>
      <c r="G55" s="14"/>
      <c r="H55" s="9"/>
    </row>
    <row r="56" spans="3:8" x14ac:dyDescent="0.25">
      <c r="C56" s="8"/>
      <c r="D56" s="2" t="s">
        <v>7989</v>
      </c>
      <c r="E56" s="76" t="s">
        <v>4322</v>
      </c>
      <c r="F56" s="35"/>
      <c r="G56" s="14"/>
      <c r="H56" s="9">
        <v>115</v>
      </c>
    </row>
    <row r="57" spans="3:8" x14ac:dyDescent="0.25">
      <c r="C57" s="8"/>
      <c r="D57" s="2"/>
      <c r="E57" s="76"/>
      <c r="F57" s="35"/>
      <c r="G57" s="14"/>
      <c r="H57" s="9"/>
    </row>
    <row r="58" spans="3:8" x14ac:dyDescent="0.25">
      <c r="C58" s="8"/>
      <c r="D58" s="2"/>
      <c r="E58" s="76"/>
      <c r="F58" s="35"/>
      <c r="G58" s="14"/>
      <c r="H58" s="9"/>
    </row>
    <row r="59" spans="3:8" x14ac:dyDescent="0.25">
      <c r="C59" s="8"/>
      <c r="D59" s="2"/>
      <c r="E59" s="76"/>
      <c r="F59" s="35"/>
      <c r="G59" s="14"/>
      <c r="H59" s="9"/>
    </row>
    <row r="60" spans="3:8" x14ac:dyDescent="0.25">
      <c r="C60" s="8"/>
      <c r="D60" s="45"/>
      <c r="E60" s="68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16"/>
      <c r="D62" s="17"/>
      <c r="E62" s="17" t="s">
        <v>39</v>
      </c>
      <c r="F62" s="4"/>
      <c r="G62" s="14"/>
      <c r="H62" s="9"/>
    </row>
    <row r="63" spans="3:8" ht="15.75" customHeight="1" x14ac:dyDescent="0.25">
      <c r="C63" s="8"/>
      <c r="D63" s="2"/>
      <c r="E63" s="76" t="s">
        <v>8022</v>
      </c>
      <c r="F63" s="35">
        <v>4.5</v>
      </c>
      <c r="G63" s="14"/>
      <c r="H63" s="9"/>
    </row>
    <row r="64" spans="3:8" ht="15.75" customHeight="1" x14ac:dyDescent="0.25">
      <c r="C64" s="8"/>
      <c r="D64" s="2"/>
      <c r="E64" s="76" t="s">
        <v>8023</v>
      </c>
      <c r="F64" s="35">
        <v>1550</v>
      </c>
      <c r="G64" s="14"/>
      <c r="H64" s="9"/>
    </row>
    <row r="65" spans="3:8" ht="15.75" customHeight="1" x14ac:dyDescent="0.25">
      <c r="C65" s="8"/>
      <c r="D65" s="2"/>
      <c r="E65" s="76" t="s">
        <v>8024</v>
      </c>
      <c r="F65" s="35">
        <v>55</v>
      </c>
      <c r="G65" s="14"/>
      <c r="H65" s="9"/>
    </row>
    <row r="66" spans="3:8" x14ac:dyDescent="0.25">
      <c r="C66" s="8"/>
      <c r="D66" s="2"/>
      <c r="E66" s="76"/>
      <c r="F66" s="35"/>
      <c r="G66" s="14"/>
      <c r="H66" s="9"/>
    </row>
    <row r="67" spans="3:8" x14ac:dyDescent="0.25">
      <c r="C67" s="8"/>
      <c r="D67" s="2"/>
      <c r="E67" s="2"/>
      <c r="F67" s="4"/>
      <c r="G67" s="14"/>
      <c r="H67" s="9"/>
    </row>
    <row r="68" spans="3:8" x14ac:dyDescent="0.25">
      <c r="C68" s="19"/>
      <c r="D68" s="20"/>
      <c r="E68" s="20" t="s">
        <v>42</v>
      </c>
      <c r="F68" s="4"/>
      <c r="G68" s="14"/>
      <c r="H68" s="9"/>
    </row>
    <row r="69" spans="3:8" x14ac:dyDescent="0.25">
      <c r="C69" s="34"/>
      <c r="D69" s="45"/>
      <c r="E69" s="68" t="s">
        <v>7988</v>
      </c>
      <c r="F69" s="14">
        <v>-376</v>
      </c>
      <c r="G69" s="14"/>
      <c r="H69" s="9"/>
    </row>
    <row r="70" spans="3:8" x14ac:dyDescent="0.25">
      <c r="C70" s="34"/>
      <c r="D70" s="45"/>
      <c r="E70" s="68" t="s">
        <v>8025</v>
      </c>
      <c r="F70" s="14">
        <v>-3000</v>
      </c>
      <c r="G70" s="14"/>
      <c r="H70" s="9"/>
    </row>
    <row r="71" spans="3:8" x14ac:dyDescent="0.25">
      <c r="C71" s="34"/>
      <c r="D71" s="45"/>
      <c r="E71" s="68" t="s">
        <v>8041</v>
      </c>
      <c r="F71" s="14">
        <v>-1330</v>
      </c>
      <c r="G71" s="14"/>
      <c r="H71" s="9"/>
    </row>
    <row r="72" spans="3:8" x14ac:dyDescent="0.25">
      <c r="C72" s="34"/>
      <c r="D72" s="45"/>
      <c r="E72" s="68" t="s">
        <v>8042</v>
      </c>
      <c r="F72" s="14">
        <v>-50</v>
      </c>
      <c r="G72" s="14"/>
      <c r="H72" s="9"/>
    </row>
    <row r="73" spans="3:8" x14ac:dyDescent="0.25">
      <c r="C73" s="34"/>
      <c r="D73" s="45"/>
      <c r="E73" s="68" t="s">
        <v>8043</v>
      </c>
      <c r="F73" s="14">
        <v>-1017.2</v>
      </c>
      <c r="G73" s="14"/>
      <c r="H73" s="9"/>
    </row>
    <row r="74" spans="3:8" x14ac:dyDescent="0.25">
      <c r="C74" s="34"/>
      <c r="D74" s="45"/>
      <c r="E74" s="68" t="s">
        <v>8044</v>
      </c>
      <c r="F74" s="14">
        <v>-10</v>
      </c>
      <c r="G74" s="14"/>
      <c r="H74" s="9"/>
    </row>
    <row r="75" spans="3:8" x14ac:dyDescent="0.25">
      <c r="C75" s="34"/>
      <c r="D75" s="45"/>
      <c r="E75" s="68"/>
      <c r="F75" s="14"/>
      <c r="G75" s="14"/>
      <c r="H75" s="9"/>
    </row>
    <row r="76" spans="3:8" x14ac:dyDescent="0.25">
      <c r="C76" s="34"/>
      <c r="D76" s="42"/>
      <c r="E76" s="68"/>
      <c r="F76" s="14"/>
      <c r="G76" s="14"/>
      <c r="H76" s="9"/>
    </row>
    <row r="77" spans="3:8" ht="15.75" thickBot="1" x14ac:dyDescent="0.3">
      <c r="C77" s="10"/>
      <c r="D77" s="11"/>
      <c r="E77" s="11" t="s">
        <v>44</v>
      </c>
      <c r="F77" s="12">
        <f>SUM(F6:F76)</f>
        <v>-1161.2</v>
      </c>
      <c r="G77" s="15">
        <f>SUM(G6:G76)</f>
        <v>2724.7</v>
      </c>
      <c r="H77" s="13">
        <f>SUM(H6:H76)</f>
        <v>729.5</v>
      </c>
    </row>
    <row r="80" spans="3:8" s="3" customFormat="1" ht="18.75" x14ac:dyDescent="0.3">
      <c r="C80" s="1"/>
      <c r="D80" s="1"/>
      <c r="E80" s="38" t="s">
        <v>49</v>
      </c>
      <c r="F80" s="39">
        <f>+H4+F77</f>
        <v>3143.2799999999997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A664-8DB3-4323-A285-E9FDF9978186}">
  <sheetPr codeName="Hoja101"/>
  <dimension ref="C2:J72"/>
  <sheetViews>
    <sheetView topLeftCell="A43" zoomScale="89" zoomScaleNormal="89" workbookViewId="0">
      <selection activeCell="F72" sqref="F72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8048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3143.28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8049</v>
      </c>
      <c r="E6" s="2" t="s">
        <v>7126</v>
      </c>
      <c r="F6" s="109">
        <v>225</v>
      </c>
      <c r="G6" s="113"/>
      <c r="H6" s="112"/>
    </row>
    <row r="7" spans="3:10" x14ac:dyDescent="0.25">
      <c r="C7" s="24"/>
      <c r="D7" s="2" t="s">
        <v>8053</v>
      </c>
      <c r="E7" s="2" t="s">
        <v>6778</v>
      </c>
      <c r="F7" s="109">
        <v>35</v>
      </c>
      <c r="G7" s="113"/>
      <c r="H7" s="112"/>
      <c r="I7" s="36"/>
      <c r="J7" s="36"/>
    </row>
    <row r="8" spans="3:10" x14ac:dyDescent="0.25">
      <c r="C8" s="24"/>
      <c r="D8" s="2" t="s">
        <v>8054</v>
      </c>
      <c r="E8" s="2" t="s">
        <v>5678</v>
      </c>
      <c r="F8" s="109">
        <v>33</v>
      </c>
      <c r="G8" s="113"/>
      <c r="H8" s="112"/>
      <c r="J8" s="36"/>
    </row>
    <row r="9" spans="3:10" x14ac:dyDescent="0.25">
      <c r="C9" s="24"/>
      <c r="D9" s="2" t="s">
        <v>8055</v>
      </c>
      <c r="E9" s="2" t="s">
        <v>7871</v>
      </c>
      <c r="F9" s="109"/>
      <c r="G9" s="113"/>
      <c r="H9" s="112">
        <v>290</v>
      </c>
      <c r="J9" s="36"/>
    </row>
    <row r="10" spans="3:10" x14ac:dyDescent="0.25">
      <c r="C10" s="8"/>
      <c r="D10" s="2" t="s">
        <v>8056</v>
      </c>
      <c r="E10" s="2" t="s">
        <v>5678</v>
      </c>
      <c r="F10" s="4">
        <v>32</v>
      </c>
      <c r="G10" s="14"/>
      <c r="H10" s="9"/>
    </row>
    <row r="11" spans="3:10" x14ac:dyDescent="0.25">
      <c r="C11" s="8"/>
      <c r="D11" s="2" t="s">
        <v>8057</v>
      </c>
      <c r="E11" s="2" t="s">
        <v>5678</v>
      </c>
      <c r="F11" s="4"/>
      <c r="G11" s="14"/>
      <c r="H11" s="9">
        <v>9</v>
      </c>
    </row>
    <row r="12" spans="3:10" x14ac:dyDescent="0.25">
      <c r="C12" s="8"/>
      <c r="D12" s="2" t="s">
        <v>8058</v>
      </c>
      <c r="E12" s="2" t="s">
        <v>5678</v>
      </c>
      <c r="F12" s="4">
        <v>21</v>
      </c>
      <c r="G12" s="14"/>
      <c r="H12" s="9"/>
    </row>
    <row r="13" spans="3:10" x14ac:dyDescent="0.25">
      <c r="C13" s="8"/>
      <c r="D13" s="2" t="s">
        <v>8059</v>
      </c>
      <c r="E13" s="2" t="s">
        <v>7126</v>
      </c>
      <c r="F13" s="4"/>
      <c r="G13" s="14">
        <v>542.5</v>
      </c>
      <c r="H13" s="9"/>
    </row>
    <row r="14" spans="3:10" x14ac:dyDescent="0.25">
      <c r="C14" s="8"/>
      <c r="D14" s="2" t="s">
        <v>8060</v>
      </c>
      <c r="E14" s="2" t="s">
        <v>5678</v>
      </c>
      <c r="F14" s="4">
        <v>2</v>
      </c>
      <c r="G14" s="14"/>
      <c r="H14" s="9"/>
    </row>
    <row r="15" spans="3:10" x14ac:dyDescent="0.25">
      <c r="C15" s="8"/>
      <c r="D15" s="2" t="s">
        <v>8061</v>
      </c>
      <c r="E15" s="2" t="s">
        <v>8076</v>
      </c>
      <c r="F15" s="4"/>
      <c r="G15" s="14"/>
      <c r="H15" s="9">
        <v>1600</v>
      </c>
    </row>
    <row r="16" spans="3:10" x14ac:dyDescent="0.25">
      <c r="C16" s="8"/>
      <c r="D16" s="2" t="s">
        <v>8062</v>
      </c>
      <c r="E16" s="2" t="s">
        <v>5678</v>
      </c>
      <c r="F16" s="4">
        <v>6</v>
      </c>
      <c r="G16" s="14"/>
      <c r="H16" s="9"/>
    </row>
    <row r="17" spans="3:8" x14ac:dyDescent="0.25">
      <c r="C17" s="8"/>
      <c r="D17" s="2" t="s">
        <v>8063</v>
      </c>
      <c r="E17" s="2" t="s">
        <v>5678</v>
      </c>
      <c r="F17" s="4">
        <v>75</v>
      </c>
      <c r="G17" s="14"/>
      <c r="H17" s="9"/>
    </row>
    <row r="18" spans="3:8" x14ac:dyDescent="0.25">
      <c r="C18" s="8"/>
      <c r="D18" s="2" t="s">
        <v>8064</v>
      </c>
      <c r="E18" s="2" t="s">
        <v>6751</v>
      </c>
      <c r="F18" s="4"/>
      <c r="G18" s="14"/>
      <c r="H18" s="9">
        <v>2735.9</v>
      </c>
    </row>
    <row r="19" spans="3:8" x14ac:dyDescent="0.25">
      <c r="C19" s="8"/>
      <c r="D19" s="2" t="s">
        <v>8077</v>
      </c>
      <c r="E19" s="2" t="s">
        <v>5525</v>
      </c>
      <c r="F19" s="4">
        <v>344</v>
      </c>
      <c r="G19" s="14"/>
      <c r="H19" s="9"/>
    </row>
    <row r="20" spans="3:8" x14ac:dyDescent="0.25">
      <c r="C20" s="8"/>
      <c r="D20" s="2" t="s">
        <v>8078</v>
      </c>
      <c r="E20" s="2" t="s">
        <v>12</v>
      </c>
      <c r="F20" s="4"/>
      <c r="G20" s="14"/>
      <c r="H20" s="9">
        <v>20</v>
      </c>
    </row>
    <row r="21" spans="3:8" x14ac:dyDescent="0.25">
      <c r="C21" s="8"/>
      <c r="D21" s="2" t="s">
        <v>8079</v>
      </c>
      <c r="E21" s="2" t="s">
        <v>8083</v>
      </c>
      <c r="F21" s="4"/>
      <c r="G21" s="14"/>
      <c r="H21" s="9">
        <v>6523</v>
      </c>
    </row>
    <row r="22" spans="3:8" x14ac:dyDescent="0.25">
      <c r="C22" s="8"/>
      <c r="D22" s="2" t="s">
        <v>8080</v>
      </c>
      <c r="E22" s="2" t="s">
        <v>7126</v>
      </c>
      <c r="F22" s="4"/>
      <c r="G22" s="14">
        <v>394</v>
      </c>
      <c r="H22" s="9"/>
    </row>
    <row r="23" spans="3:8" x14ac:dyDescent="0.25">
      <c r="C23" s="8"/>
      <c r="D23" s="2" t="s">
        <v>8081</v>
      </c>
      <c r="E23" s="2" t="s">
        <v>8082</v>
      </c>
      <c r="F23" s="4">
        <v>11000</v>
      </c>
      <c r="G23" s="14">
        <v>8729</v>
      </c>
      <c r="H23" s="9"/>
    </row>
    <row r="24" spans="3:8" x14ac:dyDescent="0.25">
      <c r="C24" s="8"/>
      <c r="D24" s="2" t="s">
        <v>8088</v>
      </c>
      <c r="E24" s="2" t="s">
        <v>8076</v>
      </c>
      <c r="F24" s="4"/>
      <c r="G24" s="14"/>
      <c r="H24" s="9">
        <v>600</v>
      </c>
    </row>
    <row r="25" spans="3:8" x14ac:dyDescent="0.25">
      <c r="C25" s="8"/>
      <c r="D25" s="2" t="s">
        <v>8089</v>
      </c>
      <c r="E25" s="2" t="s">
        <v>6593</v>
      </c>
      <c r="F25" s="4">
        <v>1595</v>
      </c>
      <c r="G25" s="14"/>
      <c r="H25" s="9"/>
    </row>
    <row r="26" spans="3:8" x14ac:dyDescent="0.25">
      <c r="C26" s="8"/>
      <c r="D26" s="2" t="s">
        <v>8090</v>
      </c>
      <c r="E26" s="2" t="s">
        <v>12</v>
      </c>
      <c r="F26" s="4">
        <v>18</v>
      </c>
      <c r="G26" s="14"/>
      <c r="H26" s="9"/>
    </row>
    <row r="27" spans="3:8" x14ac:dyDescent="0.25">
      <c r="C27" s="8"/>
      <c r="D27" s="2" t="s">
        <v>8091</v>
      </c>
      <c r="E27" s="2" t="s">
        <v>12</v>
      </c>
      <c r="F27" s="4">
        <v>9</v>
      </c>
      <c r="G27" s="14"/>
      <c r="H27" s="9"/>
    </row>
    <row r="28" spans="3:8" x14ac:dyDescent="0.25">
      <c r="C28" s="8"/>
      <c r="D28" s="2" t="s">
        <v>8093</v>
      </c>
      <c r="E28" s="2" t="s">
        <v>8092</v>
      </c>
      <c r="F28" s="4"/>
      <c r="G28" s="14"/>
      <c r="H28" s="9">
        <v>1445.4</v>
      </c>
    </row>
    <row r="29" spans="3:8" x14ac:dyDescent="0.25">
      <c r="C29" s="8"/>
      <c r="D29" s="2" t="s">
        <v>8097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 t="s">
        <v>8065</v>
      </c>
      <c r="E32" s="2" t="s">
        <v>6963</v>
      </c>
      <c r="F32" s="4"/>
      <c r="G32" s="14"/>
      <c r="H32" s="9">
        <v>3120</v>
      </c>
    </row>
    <row r="33" spans="3:8" x14ac:dyDescent="0.25">
      <c r="C33" s="8"/>
      <c r="D33" s="2" t="s">
        <v>8066</v>
      </c>
      <c r="E33" s="2" t="s">
        <v>1631</v>
      </c>
      <c r="F33" s="4">
        <v>100</v>
      </c>
      <c r="G33" s="14"/>
      <c r="H33" s="9"/>
    </row>
    <row r="34" spans="3:8" x14ac:dyDescent="0.25">
      <c r="C34" s="8"/>
      <c r="D34" s="2" t="s">
        <v>8067</v>
      </c>
      <c r="E34" s="2" t="s">
        <v>1631</v>
      </c>
      <c r="F34" s="4"/>
      <c r="G34" s="14"/>
      <c r="H34" s="9">
        <v>4</v>
      </c>
    </row>
    <row r="35" spans="3:8" x14ac:dyDescent="0.25">
      <c r="C35" s="8"/>
      <c r="D35" s="2" t="s">
        <v>8068</v>
      </c>
      <c r="E35" s="2" t="s">
        <v>1631</v>
      </c>
      <c r="F35" s="3">
        <v>4</v>
      </c>
      <c r="G35" s="14"/>
      <c r="H35" s="9"/>
    </row>
    <row r="36" spans="3:8" x14ac:dyDescent="0.25">
      <c r="C36" s="8"/>
      <c r="D36" s="2" t="s">
        <v>8069</v>
      </c>
      <c r="E36" s="2" t="s">
        <v>6061</v>
      </c>
      <c r="F36" s="4"/>
      <c r="G36" s="14"/>
      <c r="H36" s="9">
        <v>330</v>
      </c>
    </row>
    <row r="37" spans="3:8" x14ac:dyDescent="0.25">
      <c r="C37" s="8"/>
      <c r="D37" s="2" t="s">
        <v>8070</v>
      </c>
      <c r="E37" s="2" t="s">
        <v>4619</v>
      </c>
      <c r="F37" s="4"/>
      <c r="G37" s="14"/>
      <c r="H37" s="9">
        <v>37</v>
      </c>
    </row>
    <row r="38" spans="3:8" x14ac:dyDescent="0.25">
      <c r="C38" s="8"/>
      <c r="D38" s="2" t="s">
        <v>8071</v>
      </c>
      <c r="E38" s="2" t="s">
        <v>1631</v>
      </c>
      <c r="F38" s="4">
        <v>8</v>
      </c>
      <c r="G38" s="14"/>
      <c r="H38" s="9"/>
    </row>
    <row r="39" spans="3:8" x14ac:dyDescent="0.25">
      <c r="C39" s="8"/>
      <c r="D39" s="2" t="s">
        <v>8072</v>
      </c>
      <c r="E39" s="2" t="s">
        <v>1631</v>
      </c>
      <c r="F39" s="4">
        <v>5</v>
      </c>
      <c r="G39" s="14"/>
      <c r="H39" s="9"/>
    </row>
    <row r="40" spans="3:8" x14ac:dyDescent="0.25">
      <c r="C40" s="8"/>
      <c r="D40" s="2" t="s">
        <v>8073</v>
      </c>
      <c r="E40" s="2" t="s">
        <v>1631</v>
      </c>
      <c r="F40" s="4">
        <v>2.5</v>
      </c>
      <c r="G40" s="14"/>
      <c r="H40" s="9"/>
    </row>
    <row r="41" spans="3:8" x14ac:dyDescent="0.25">
      <c r="C41" s="8"/>
      <c r="D41" s="2" t="s">
        <v>8085</v>
      </c>
      <c r="E41" s="2" t="s">
        <v>1456</v>
      </c>
      <c r="F41" s="4"/>
      <c r="G41" s="14">
        <v>472.5</v>
      </c>
      <c r="H41" s="9"/>
    </row>
    <row r="42" spans="3:8" x14ac:dyDescent="0.25">
      <c r="C42" s="8"/>
      <c r="D42" s="2" t="s">
        <v>8086</v>
      </c>
      <c r="E42" s="2" t="s">
        <v>8087</v>
      </c>
      <c r="F42" s="4">
        <v>308</v>
      </c>
      <c r="G42" s="14"/>
      <c r="H42" s="9"/>
    </row>
    <row r="43" spans="3:8" x14ac:dyDescent="0.25">
      <c r="C43" s="8"/>
      <c r="D43" s="2" t="s">
        <v>8094</v>
      </c>
      <c r="E43" s="2" t="s">
        <v>1631</v>
      </c>
      <c r="F43" s="4">
        <v>7</v>
      </c>
      <c r="G43" s="14"/>
      <c r="H43" s="9"/>
    </row>
    <row r="44" spans="3:8" x14ac:dyDescent="0.25">
      <c r="C44" s="8"/>
      <c r="D44" s="2" t="s">
        <v>8116</v>
      </c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29"/>
      <c r="D47" s="30"/>
      <c r="E47" s="30" t="s">
        <v>60</v>
      </c>
      <c r="F47" s="4"/>
      <c r="G47" s="14"/>
      <c r="H47" s="9"/>
    </row>
    <row r="48" spans="3:8" x14ac:dyDescent="0.25">
      <c r="C48" s="8"/>
      <c r="D48" s="2" t="s">
        <v>8051</v>
      </c>
      <c r="E48" s="76" t="s">
        <v>8052</v>
      </c>
      <c r="F48" s="35">
        <v>57.5</v>
      </c>
      <c r="G48" s="14"/>
      <c r="H48" s="9"/>
    </row>
    <row r="49" spans="3:8" x14ac:dyDescent="0.25">
      <c r="C49" s="8"/>
      <c r="D49" s="2"/>
      <c r="E49" s="76"/>
      <c r="F49" s="35"/>
      <c r="G49" s="14"/>
      <c r="H49" s="9"/>
    </row>
    <row r="50" spans="3:8" x14ac:dyDescent="0.25">
      <c r="C50" s="8"/>
      <c r="D50" s="2"/>
      <c r="E50" s="76"/>
      <c r="F50" s="35"/>
      <c r="G50" s="14"/>
      <c r="H50" s="9"/>
    </row>
    <row r="51" spans="3:8" x14ac:dyDescent="0.25">
      <c r="C51" s="8"/>
      <c r="D51" s="2"/>
      <c r="E51" s="76"/>
      <c r="F51" s="35"/>
      <c r="G51" s="14"/>
      <c r="H51" s="9"/>
    </row>
    <row r="52" spans="3:8" x14ac:dyDescent="0.25">
      <c r="C52" s="8"/>
      <c r="D52" s="45"/>
      <c r="E52" s="68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16"/>
      <c r="D54" s="17"/>
      <c r="E54" s="17" t="s">
        <v>39</v>
      </c>
      <c r="F54" s="4"/>
      <c r="G54" s="14"/>
      <c r="H54" s="9"/>
    </row>
    <row r="55" spans="3:8" ht="15.75" customHeight="1" x14ac:dyDescent="0.25">
      <c r="C55" s="8"/>
      <c r="D55" s="2"/>
      <c r="E55" s="76" t="s">
        <v>8074</v>
      </c>
      <c r="F55" s="35">
        <v>45</v>
      </c>
      <c r="G55" s="14"/>
      <c r="H55" s="9"/>
    </row>
    <row r="56" spans="3:8" ht="15.75" customHeight="1" x14ac:dyDescent="0.25">
      <c r="C56" s="8"/>
      <c r="D56" s="2"/>
      <c r="E56" s="76"/>
      <c r="F56" s="35"/>
      <c r="G56" s="14"/>
      <c r="H56" s="9"/>
    </row>
    <row r="57" spans="3:8" ht="15.75" customHeight="1" x14ac:dyDescent="0.25">
      <c r="C57" s="8"/>
      <c r="D57" s="2"/>
      <c r="E57" s="76"/>
      <c r="F57" s="35"/>
      <c r="G57" s="14"/>
      <c r="H57" s="9"/>
    </row>
    <row r="58" spans="3:8" x14ac:dyDescent="0.25">
      <c r="C58" s="8"/>
      <c r="D58" s="2"/>
      <c r="E58" s="76"/>
      <c r="F58" s="35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19"/>
      <c r="D60" s="20"/>
      <c r="E60" s="20" t="s">
        <v>42</v>
      </c>
      <c r="F60" s="4"/>
      <c r="G60" s="14"/>
      <c r="H60" s="9"/>
    </row>
    <row r="61" spans="3:8" x14ac:dyDescent="0.25">
      <c r="C61" s="34"/>
      <c r="D61" s="45"/>
      <c r="E61" s="68" t="s">
        <v>8050</v>
      </c>
      <c r="F61" s="14">
        <v>-900</v>
      </c>
      <c r="G61" s="14"/>
      <c r="H61" s="9"/>
    </row>
    <row r="62" spans="3:8" x14ac:dyDescent="0.25">
      <c r="C62" s="34"/>
      <c r="D62" s="45"/>
      <c r="E62" s="68" t="s">
        <v>8075</v>
      </c>
      <c r="F62" s="14">
        <v>-350</v>
      </c>
      <c r="G62" s="14"/>
      <c r="H62" s="9"/>
    </row>
    <row r="63" spans="3:8" x14ac:dyDescent="0.25">
      <c r="C63" s="34"/>
      <c r="D63" s="45"/>
      <c r="E63" s="68" t="s">
        <v>4056</v>
      </c>
      <c r="F63" s="14">
        <v>-5</v>
      </c>
      <c r="G63" s="14"/>
      <c r="H63" s="9"/>
    </row>
    <row r="64" spans="3:8" x14ac:dyDescent="0.25">
      <c r="C64" s="34"/>
      <c r="D64" s="45"/>
      <c r="E64" s="68" t="s">
        <v>8084</v>
      </c>
      <c r="F64" s="14">
        <v>-100</v>
      </c>
      <c r="G64" s="14"/>
      <c r="H64" s="9"/>
    </row>
    <row r="65" spans="3:8" x14ac:dyDescent="0.25">
      <c r="C65" s="34"/>
      <c r="D65" s="45"/>
      <c r="E65" s="68" t="s">
        <v>1274</v>
      </c>
      <c r="F65" s="14">
        <v>-2905</v>
      </c>
      <c r="G65" s="14"/>
      <c r="H65" s="9"/>
    </row>
    <row r="66" spans="3:8" x14ac:dyDescent="0.25">
      <c r="C66" s="34"/>
      <c r="D66" s="45"/>
      <c r="E66" s="68" t="s">
        <v>7826</v>
      </c>
      <c r="F66" s="14">
        <v>-100</v>
      </c>
      <c r="G66" s="14"/>
      <c r="H66" s="9"/>
    </row>
    <row r="67" spans="3:8" x14ac:dyDescent="0.25">
      <c r="C67" s="34"/>
      <c r="D67" s="45"/>
      <c r="E67" s="68"/>
      <c r="F67" s="14"/>
      <c r="G67" s="14"/>
      <c r="H67" s="9"/>
    </row>
    <row r="68" spans="3:8" x14ac:dyDescent="0.25">
      <c r="C68" s="34"/>
      <c r="D68" s="42"/>
      <c r="E68" s="68"/>
      <c r="F68" s="14"/>
      <c r="G68" s="14"/>
      <c r="H68" s="9"/>
    </row>
    <row r="69" spans="3:8" ht="15.75" thickBot="1" x14ac:dyDescent="0.3">
      <c r="C69" s="10"/>
      <c r="D69" s="11"/>
      <c r="E69" s="11" t="s">
        <v>44</v>
      </c>
      <c r="F69" s="12">
        <f>SUM(F6:F68)</f>
        <v>9572</v>
      </c>
      <c r="G69" s="15">
        <f>SUM(G6:G68)</f>
        <v>10138</v>
      </c>
      <c r="H69" s="13">
        <f>SUM(H6:H68)</f>
        <v>16714.3</v>
      </c>
    </row>
    <row r="72" spans="3:8" s="3" customFormat="1" ht="18.75" x14ac:dyDescent="0.3">
      <c r="C72" s="1"/>
      <c r="D72" s="1"/>
      <c r="E72" s="38" t="s">
        <v>49</v>
      </c>
      <c r="F72" s="39">
        <f>+H4+F69</f>
        <v>12715.28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3FC3-8C26-4027-BB57-BDB0EDB32A90}">
  <sheetPr codeName="Hoja102"/>
  <dimension ref="C2:J88"/>
  <sheetViews>
    <sheetView topLeftCell="A56" zoomScale="89" zoomScaleNormal="89" workbookViewId="0">
      <selection activeCell="F88" sqref="F88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8095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12715.28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8097</v>
      </c>
      <c r="E6" s="2" t="s">
        <v>6829</v>
      </c>
      <c r="F6" s="109">
        <v>55</v>
      </c>
      <c r="G6" s="113"/>
      <c r="H6" s="112"/>
    </row>
    <row r="7" spans="3:10" x14ac:dyDescent="0.25">
      <c r="C7" s="24"/>
      <c r="D7" s="2" t="s">
        <v>8098</v>
      </c>
      <c r="E7" s="2" t="s">
        <v>6593</v>
      </c>
      <c r="F7" s="109">
        <v>600</v>
      </c>
      <c r="G7" s="113"/>
      <c r="H7" s="112"/>
      <c r="I7" s="36"/>
      <c r="J7" s="36"/>
    </row>
    <row r="8" spans="3:10" x14ac:dyDescent="0.25">
      <c r="C8" s="24"/>
      <c r="D8" s="2" t="s">
        <v>8099</v>
      </c>
      <c r="E8" s="2" t="s">
        <v>12</v>
      </c>
      <c r="F8" s="109"/>
      <c r="G8" s="113"/>
      <c r="H8" s="112">
        <v>9</v>
      </c>
      <c r="J8" s="36"/>
    </row>
    <row r="9" spans="3:10" x14ac:dyDescent="0.25">
      <c r="C9" s="24"/>
      <c r="D9" s="2" t="s">
        <v>8100</v>
      </c>
      <c r="E9" s="2" t="s">
        <v>6610</v>
      </c>
      <c r="F9" s="109">
        <v>477</v>
      </c>
      <c r="G9" s="113"/>
      <c r="H9" s="112"/>
      <c r="J9" s="36"/>
    </row>
    <row r="10" spans="3:10" x14ac:dyDescent="0.25">
      <c r="C10" s="8"/>
      <c r="D10" s="2" t="s">
        <v>8101</v>
      </c>
      <c r="E10" s="2" t="s">
        <v>12</v>
      </c>
      <c r="F10" s="4">
        <v>32</v>
      </c>
      <c r="G10" s="14"/>
      <c r="H10" s="9"/>
    </row>
    <row r="11" spans="3:10" x14ac:dyDescent="0.25">
      <c r="C11" s="8"/>
      <c r="D11" s="2" t="s">
        <v>8102</v>
      </c>
      <c r="E11" s="2" t="s">
        <v>12</v>
      </c>
      <c r="F11" s="4"/>
      <c r="G11" s="14"/>
      <c r="H11" s="9">
        <v>10</v>
      </c>
    </row>
    <row r="12" spans="3:10" x14ac:dyDescent="0.25">
      <c r="C12" s="8"/>
      <c r="D12" s="2" t="s">
        <v>8103</v>
      </c>
      <c r="E12" s="2" t="s">
        <v>12</v>
      </c>
      <c r="F12" s="4">
        <v>76</v>
      </c>
      <c r="G12" s="14"/>
      <c r="H12" s="9"/>
    </row>
    <row r="13" spans="3:10" x14ac:dyDescent="0.25">
      <c r="C13" s="8"/>
      <c r="D13" s="2" t="s">
        <v>8104</v>
      </c>
      <c r="E13" s="2" t="s">
        <v>12</v>
      </c>
      <c r="F13" s="4"/>
      <c r="G13" s="14"/>
      <c r="H13" s="9">
        <v>2</v>
      </c>
    </row>
    <row r="14" spans="3:10" x14ac:dyDescent="0.25">
      <c r="C14" s="8"/>
      <c r="D14" s="2" t="s">
        <v>8105</v>
      </c>
      <c r="E14" s="2" t="s">
        <v>8115</v>
      </c>
      <c r="F14" s="4">
        <v>704</v>
      </c>
      <c r="G14" s="14"/>
      <c r="H14" s="9"/>
    </row>
    <row r="15" spans="3:10" x14ac:dyDescent="0.25">
      <c r="C15" s="8"/>
      <c r="D15" s="2" t="s">
        <v>8106</v>
      </c>
      <c r="E15" s="2" t="s">
        <v>1152</v>
      </c>
      <c r="F15" s="4">
        <v>160</v>
      </c>
      <c r="G15" s="14"/>
      <c r="H15" s="9"/>
    </row>
    <row r="16" spans="3:10" x14ac:dyDescent="0.25">
      <c r="C16" s="8"/>
      <c r="D16" s="2" t="s">
        <v>8107</v>
      </c>
      <c r="E16" s="2" t="s">
        <v>6829</v>
      </c>
      <c r="F16" s="4">
        <v>256</v>
      </c>
      <c r="G16" s="14"/>
      <c r="H16" s="9"/>
    </row>
    <row r="17" spans="3:8" x14ac:dyDescent="0.25">
      <c r="C17" s="8"/>
      <c r="D17" s="2" t="s">
        <v>8108</v>
      </c>
      <c r="E17" s="2" t="s">
        <v>12</v>
      </c>
      <c r="F17" s="4">
        <v>1.5</v>
      </c>
      <c r="G17" s="14"/>
      <c r="H17" s="9"/>
    </row>
    <row r="18" spans="3:8" x14ac:dyDescent="0.25">
      <c r="C18" s="8"/>
      <c r="D18" s="2" t="s">
        <v>8109</v>
      </c>
      <c r="E18" s="2" t="s">
        <v>12</v>
      </c>
      <c r="F18" s="4"/>
      <c r="G18" s="14"/>
      <c r="H18" s="9">
        <v>96</v>
      </c>
    </row>
    <row r="19" spans="3:8" x14ac:dyDescent="0.25">
      <c r="C19" s="8"/>
      <c r="D19" s="2" t="s">
        <v>8110</v>
      </c>
      <c r="E19" s="2" t="s">
        <v>6360</v>
      </c>
      <c r="F19" s="4">
        <v>773</v>
      </c>
      <c r="G19" s="14"/>
      <c r="H19" s="9"/>
    </row>
    <row r="20" spans="3:8" x14ac:dyDescent="0.25">
      <c r="C20" s="8"/>
      <c r="D20" s="2" t="s">
        <v>8111</v>
      </c>
      <c r="E20" s="2" t="s">
        <v>6439</v>
      </c>
      <c r="F20" s="4"/>
      <c r="G20" s="14"/>
      <c r="H20" s="9">
        <v>3305.6</v>
      </c>
    </row>
    <row r="21" spans="3:8" x14ac:dyDescent="0.25">
      <c r="C21" s="8"/>
      <c r="D21" s="2" t="s">
        <v>8112</v>
      </c>
      <c r="E21" s="2" t="s">
        <v>12</v>
      </c>
      <c r="F21" s="4"/>
      <c r="G21" s="14"/>
      <c r="H21" s="9">
        <v>20.5</v>
      </c>
    </row>
    <row r="22" spans="3:8" x14ac:dyDescent="0.25">
      <c r="C22" s="8"/>
      <c r="D22" s="2" t="s">
        <v>8113</v>
      </c>
      <c r="E22" s="2" t="s">
        <v>6166</v>
      </c>
      <c r="F22" s="4">
        <v>50</v>
      </c>
      <c r="G22" s="14"/>
      <c r="H22" s="9"/>
    </row>
    <row r="23" spans="3:8" x14ac:dyDescent="0.25">
      <c r="C23" s="8"/>
      <c r="D23" s="2" t="s">
        <v>8114</v>
      </c>
      <c r="E23" s="2" t="s">
        <v>12</v>
      </c>
      <c r="F23" s="4">
        <v>4</v>
      </c>
      <c r="G23" s="14"/>
      <c r="H23" s="9"/>
    </row>
    <row r="24" spans="3:8" x14ac:dyDescent="0.25">
      <c r="C24" s="8"/>
      <c r="D24" s="2" t="s">
        <v>8137</v>
      </c>
      <c r="E24" s="2" t="s">
        <v>12</v>
      </c>
      <c r="F24" s="4">
        <v>85</v>
      </c>
      <c r="G24" s="14"/>
      <c r="H24" s="9"/>
    </row>
    <row r="25" spans="3:8" x14ac:dyDescent="0.25">
      <c r="C25" s="8"/>
      <c r="D25" s="2" t="s">
        <v>8138</v>
      </c>
      <c r="E25" s="2" t="s">
        <v>12</v>
      </c>
      <c r="F25" s="4">
        <v>3</v>
      </c>
      <c r="G25" s="14"/>
      <c r="H25" s="9"/>
    </row>
    <row r="26" spans="3:8" x14ac:dyDescent="0.25">
      <c r="C26" s="8"/>
      <c r="D26" s="2" t="s">
        <v>8139</v>
      </c>
      <c r="E26" s="2" t="s">
        <v>1679</v>
      </c>
      <c r="F26" s="4"/>
      <c r="G26" s="14">
        <v>51</v>
      </c>
      <c r="H26" s="9"/>
    </row>
    <row r="27" spans="3:8" x14ac:dyDescent="0.25">
      <c r="C27" s="8"/>
      <c r="D27" s="2" t="s">
        <v>8140</v>
      </c>
      <c r="E27" s="2" t="s">
        <v>12</v>
      </c>
      <c r="F27" s="4">
        <v>2</v>
      </c>
      <c r="G27" s="14"/>
      <c r="H27" s="9"/>
    </row>
    <row r="28" spans="3:8" x14ac:dyDescent="0.25">
      <c r="C28" s="8"/>
      <c r="D28" s="2" t="s">
        <v>8141</v>
      </c>
      <c r="E28" s="2" t="s">
        <v>12</v>
      </c>
      <c r="F28" s="4">
        <v>70</v>
      </c>
      <c r="G28" s="14"/>
      <c r="H28" s="9"/>
    </row>
    <row r="29" spans="3:8" x14ac:dyDescent="0.25">
      <c r="C29" s="8"/>
      <c r="D29" s="2" t="s">
        <v>8142</v>
      </c>
      <c r="E29" s="2" t="s">
        <v>7871</v>
      </c>
      <c r="F29" s="4">
        <v>200</v>
      </c>
      <c r="G29" s="14">
        <v>15</v>
      </c>
      <c r="H29" s="9"/>
    </row>
    <row r="30" spans="3:8" x14ac:dyDescent="0.25">
      <c r="C30" s="8"/>
      <c r="D30" s="2" t="s">
        <v>8143</v>
      </c>
      <c r="E30" s="2" t="s">
        <v>3391</v>
      </c>
      <c r="F30" s="4">
        <v>104</v>
      </c>
      <c r="G30" s="14"/>
      <c r="H30" s="9"/>
    </row>
    <row r="31" spans="3:8" x14ac:dyDescent="0.25">
      <c r="C31" s="8"/>
      <c r="D31" s="2" t="s">
        <v>8144</v>
      </c>
      <c r="E31" s="2" t="s">
        <v>7176</v>
      </c>
      <c r="F31" s="4"/>
      <c r="G31" s="14">
        <v>1700</v>
      </c>
      <c r="H31" s="9"/>
    </row>
    <row r="32" spans="3:8" x14ac:dyDescent="0.25">
      <c r="C32" s="8"/>
      <c r="D32" s="2" t="s">
        <v>8145</v>
      </c>
      <c r="E32" s="2" t="s">
        <v>12</v>
      </c>
      <c r="F32" s="4">
        <v>5</v>
      </c>
      <c r="G32" s="14"/>
      <c r="H32" s="9"/>
    </row>
    <row r="33" spans="3:8" x14ac:dyDescent="0.25">
      <c r="C33" s="8"/>
      <c r="D33" s="2" t="s">
        <v>8146</v>
      </c>
      <c r="E33" s="2" t="s">
        <v>12</v>
      </c>
      <c r="F33" s="4">
        <v>12</v>
      </c>
      <c r="G33" s="14"/>
      <c r="H33" s="9"/>
    </row>
    <row r="34" spans="3:8" x14ac:dyDescent="0.25">
      <c r="C34" s="8"/>
      <c r="D34" s="2" t="s">
        <v>8147</v>
      </c>
      <c r="E34" s="2" t="s">
        <v>4635</v>
      </c>
      <c r="F34" s="4">
        <v>138</v>
      </c>
      <c r="G34" s="14"/>
      <c r="H34" s="9"/>
    </row>
    <row r="35" spans="3:8" x14ac:dyDescent="0.25">
      <c r="C35" s="8"/>
      <c r="D35" s="2" t="s">
        <v>8148</v>
      </c>
      <c r="E35" s="2" t="s">
        <v>12</v>
      </c>
      <c r="F35" s="4">
        <v>35</v>
      </c>
      <c r="G35" s="14"/>
      <c r="H35" s="9"/>
    </row>
    <row r="36" spans="3:8" x14ac:dyDescent="0.25">
      <c r="C36" s="8"/>
      <c r="D36" s="2" t="s">
        <v>8149</v>
      </c>
      <c r="E36" s="2" t="s">
        <v>12</v>
      </c>
      <c r="F36" s="4">
        <v>5</v>
      </c>
      <c r="G36" s="14"/>
      <c r="H36" s="9"/>
    </row>
    <row r="37" spans="3:8" x14ac:dyDescent="0.25">
      <c r="C37" s="8"/>
      <c r="D37" s="2" t="s">
        <v>8153</v>
      </c>
      <c r="E37" s="2" t="s">
        <v>12</v>
      </c>
      <c r="F37" s="4">
        <v>3100</v>
      </c>
      <c r="G37" s="14"/>
      <c r="H37" s="9"/>
    </row>
    <row r="38" spans="3:8" x14ac:dyDescent="0.25">
      <c r="C38" s="8"/>
      <c r="D38" s="2" t="s">
        <v>8155</v>
      </c>
      <c r="E38" s="2" t="s">
        <v>12</v>
      </c>
      <c r="F38" s="4">
        <v>12</v>
      </c>
      <c r="G38" s="14"/>
      <c r="H38" s="9"/>
    </row>
    <row r="39" spans="3:8" x14ac:dyDescent="0.25">
      <c r="C39" s="8"/>
      <c r="D39" s="2" t="s">
        <v>8159</v>
      </c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 t="s">
        <v>8116</v>
      </c>
      <c r="E41" s="2" t="s">
        <v>8134</v>
      </c>
      <c r="F41" s="4">
        <v>440.8</v>
      </c>
      <c r="G41" s="14"/>
      <c r="H41" s="9"/>
    </row>
    <row r="42" spans="3:8" x14ac:dyDescent="0.25">
      <c r="C42" s="8"/>
      <c r="D42" s="2" t="s">
        <v>8117</v>
      </c>
      <c r="E42" s="2" t="s">
        <v>7899</v>
      </c>
      <c r="F42" s="4"/>
      <c r="G42" s="14">
        <v>52.5</v>
      </c>
      <c r="H42" s="9"/>
    </row>
    <row r="43" spans="3:8" x14ac:dyDescent="0.25">
      <c r="C43" s="8"/>
      <c r="D43" s="2" t="s">
        <v>8118</v>
      </c>
      <c r="E43" s="2" t="s">
        <v>285</v>
      </c>
      <c r="F43" s="4"/>
      <c r="G43" s="14">
        <v>1202</v>
      </c>
      <c r="H43" s="9"/>
    </row>
    <row r="44" spans="3:8" x14ac:dyDescent="0.25">
      <c r="C44" s="8"/>
      <c r="D44" s="2" t="s">
        <v>8119</v>
      </c>
      <c r="E44" s="2" t="s">
        <v>1631</v>
      </c>
      <c r="F44" s="4">
        <v>22</v>
      </c>
      <c r="G44" s="14"/>
      <c r="H44" s="9"/>
    </row>
    <row r="45" spans="3:8" x14ac:dyDescent="0.25">
      <c r="C45" s="8"/>
      <c r="D45" s="2" t="s">
        <v>8120</v>
      </c>
      <c r="E45" s="2" t="s">
        <v>1631</v>
      </c>
      <c r="F45" s="4">
        <v>10</v>
      </c>
      <c r="G45" s="14"/>
      <c r="H45" s="9"/>
    </row>
    <row r="46" spans="3:8" x14ac:dyDescent="0.25">
      <c r="C46" s="8"/>
      <c r="D46" s="2" t="s">
        <v>8121</v>
      </c>
      <c r="E46" s="2" t="s">
        <v>1631</v>
      </c>
      <c r="F46" s="4">
        <v>8</v>
      </c>
      <c r="G46" s="14"/>
      <c r="H46" s="9"/>
    </row>
    <row r="47" spans="3:8" x14ac:dyDescent="0.25">
      <c r="C47" s="8"/>
      <c r="D47" s="2" t="s">
        <v>8122</v>
      </c>
      <c r="E47" s="2" t="s">
        <v>1631</v>
      </c>
      <c r="F47" s="4">
        <v>14</v>
      </c>
      <c r="G47" s="14"/>
      <c r="H47" s="9"/>
    </row>
    <row r="48" spans="3:8" x14ac:dyDescent="0.25">
      <c r="C48" s="8"/>
      <c r="D48" s="2" t="s">
        <v>8123</v>
      </c>
      <c r="E48" s="2" t="s">
        <v>1373</v>
      </c>
      <c r="F48" s="4"/>
      <c r="G48" s="14">
        <v>3140</v>
      </c>
      <c r="H48" s="9"/>
    </row>
    <row r="49" spans="3:8" x14ac:dyDescent="0.25">
      <c r="C49" s="8"/>
      <c r="D49" s="2" t="s">
        <v>8124</v>
      </c>
      <c r="E49" s="2" t="s">
        <v>1631</v>
      </c>
      <c r="F49" s="4"/>
      <c r="G49" s="14"/>
      <c r="H49" s="9">
        <v>4</v>
      </c>
    </row>
    <row r="50" spans="3:8" x14ac:dyDescent="0.25">
      <c r="C50" s="8"/>
      <c r="D50" s="2" t="s">
        <v>8125</v>
      </c>
      <c r="E50" s="2" t="s">
        <v>1631</v>
      </c>
      <c r="F50" s="4">
        <v>7</v>
      </c>
      <c r="G50" s="14"/>
      <c r="H50" s="9"/>
    </row>
    <row r="51" spans="3:8" x14ac:dyDescent="0.25">
      <c r="C51" s="8"/>
      <c r="D51" s="2" t="s">
        <v>8126</v>
      </c>
      <c r="E51" s="2" t="s">
        <v>1631</v>
      </c>
      <c r="F51" s="4">
        <v>32</v>
      </c>
      <c r="G51" s="14"/>
      <c r="H51" s="9"/>
    </row>
    <row r="52" spans="3:8" x14ac:dyDescent="0.25">
      <c r="C52" s="8"/>
      <c r="D52" s="2" t="s">
        <v>8127</v>
      </c>
      <c r="E52" s="2" t="s">
        <v>1631</v>
      </c>
      <c r="F52" s="4">
        <v>8</v>
      </c>
      <c r="G52" s="14"/>
      <c r="H52" s="9"/>
    </row>
    <row r="53" spans="3:8" x14ac:dyDescent="0.25">
      <c r="C53" s="8"/>
      <c r="D53" s="2" t="s">
        <v>8128</v>
      </c>
      <c r="E53" s="2" t="s">
        <v>8133</v>
      </c>
      <c r="F53" s="4">
        <v>168</v>
      </c>
      <c r="G53" s="14"/>
      <c r="H53" s="9"/>
    </row>
    <row r="54" spans="3:8" x14ac:dyDescent="0.25">
      <c r="C54" s="8"/>
      <c r="D54" s="2" t="s">
        <v>8150</v>
      </c>
      <c r="E54" s="2" t="s">
        <v>8151</v>
      </c>
      <c r="F54" s="4"/>
      <c r="G54" s="14">
        <v>7930</v>
      </c>
      <c r="H54" s="9"/>
    </row>
    <row r="55" spans="3:8" x14ac:dyDescent="0.25">
      <c r="C55" s="8"/>
      <c r="D55" s="2" t="s">
        <v>8175</v>
      </c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29"/>
      <c r="D58" s="30"/>
      <c r="E58" s="30" t="s">
        <v>60</v>
      </c>
      <c r="F58" s="4"/>
      <c r="G58" s="14"/>
      <c r="H58" s="9"/>
    </row>
    <row r="59" spans="3:8" x14ac:dyDescent="0.25">
      <c r="C59" s="8"/>
      <c r="D59" s="2" t="s">
        <v>8096</v>
      </c>
      <c r="E59" s="76" t="s">
        <v>4268</v>
      </c>
      <c r="F59" s="35"/>
      <c r="G59" s="14"/>
      <c r="H59" s="9">
        <v>52</v>
      </c>
    </row>
    <row r="60" spans="3:8" x14ac:dyDescent="0.25">
      <c r="C60" s="8"/>
      <c r="D60" s="2"/>
      <c r="E60" s="76"/>
      <c r="F60" s="35"/>
      <c r="G60" s="14"/>
      <c r="H60" s="9"/>
    </row>
    <row r="61" spans="3:8" x14ac:dyDescent="0.25">
      <c r="C61" s="8"/>
      <c r="D61" s="2"/>
      <c r="E61" s="76"/>
      <c r="F61" s="35"/>
      <c r="G61" s="14"/>
      <c r="H61" s="9"/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45"/>
      <c r="E63" s="68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16"/>
      <c r="D65" s="17"/>
      <c r="E65" s="17" t="s">
        <v>39</v>
      </c>
      <c r="F65" s="4"/>
      <c r="G65" s="14"/>
      <c r="H65" s="9"/>
    </row>
    <row r="66" spans="3:8" ht="15.75" customHeight="1" x14ac:dyDescent="0.25">
      <c r="C66" s="8"/>
      <c r="D66" s="2"/>
      <c r="E66" s="76" t="s">
        <v>8129</v>
      </c>
      <c r="F66" s="35">
        <v>52.5</v>
      </c>
      <c r="G66" s="14"/>
      <c r="H66" s="9"/>
    </row>
    <row r="67" spans="3:8" ht="15.75" customHeight="1" x14ac:dyDescent="0.25">
      <c r="C67" s="8"/>
      <c r="D67" s="2"/>
      <c r="E67" s="76" t="s">
        <v>8130</v>
      </c>
      <c r="F67" s="35">
        <v>137.5</v>
      </c>
      <c r="G67" s="14"/>
      <c r="H67" s="9"/>
    </row>
    <row r="68" spans="3:8" ht="15.75" customHeight="1" x14ac:dyDescent="0.25">
      <c r="C68" s="8"/>
      <c r="D68" s="2"/>
      <c r="E68" s="76" t="s">
        <v>8135</v>
      </c>
      <c r="F68" s="35">
        <v>542.5</v>
      </c>
      <c r="G68" s="14"/>
      <c r="H68" s="9"/>
    </row>
    <row r="69" spans="3:8" x14ac:dyDescent="0.25">
      <c r="C69" s="8"/>
      <c r="D69" s="2"/>
      <c r="E69" s="76" t="s">
        <v>8136</v>
      </c>
      <c r="F69" s="35">
        <v>394</v>
      </c>
      <c r="G69" s="14"/>
      <c r="H69" s="9"/>
    </row>
    <row r="70" spans="3:8" x14ac:dyDescent="0.25">
      <c r="C70" s="8"/>
      <c r="D70" s="2"/>
      <c r="E70" s="76" t="s">
        <v>8152</v>
      </c>
      <c r="F70" s="35">
        <v>300</v>
      </c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19"/>
      <c r="D77" s="20"/>
      <c r="E77" s="20" t="s">
        <v>42</v>
      </c>
      <c r="F77" s="4"/>
      <c r="G77" s="14"/>
      <c r="H77" s="9"/>
    </row>
    <row r="78" spans="3:8" x14ac:dyDescent="0.25">
      <c r="C78" s="34"/>
      <c r="D78" s="45"/>
      <c r="E78" s="68" t="s">
        <v>8131</v>
      </c>
      <c r="F78" s="14">
        <v>-5271.19</v>
      </c>
      <c r="G78" s="14"/>
      <c r="H78" s="9"/>
    </row>
    <row r="79" spans="3:8" x14ac:dyDescent="0.25">
      <c r="C79" s="34"/>
      <c r="D79" s="45"/>
      <c r="E79" s="68" t="s">
        <v>8132</v>
      </c>
      <c r="F79" s="14">
        <v>-7444.92</v>
      </c>
      <c r="G79" s="14"/>
      <c r="H79" s="9"/>
    </row>
    <row r="80" spans="3:8" x14ac:dyDescent="0.25">
      <c r="C80" s="34"/>
      <c r="D80" s="45"/>
      <c r="E80" s="68" t="s">
        <v>3155</v>
      </c>
      <c r="F80" s="14">
        <v>-386.6</v>
      </c>
      <c r="G80" s="14"/>
      <c r="H80" s="9"/>
    </row>
    <row r="81" spans="3:8" x14ac:dyDescent="0.25">
      <c r="C81" s="34"/>
      <c r="D81" s="45"/>
      <c r="E81" s="68" t="s">
        <v>1274</v>
      </c>
      <c r="F81" s="14">
        <v>-4670</v>
      </c>
      <c r="G81" s="14"/>
      <c r="H81" s="9"/>
    </row>
    <row r="82" spans="3:8" x14ac:dyDescent="0.25">
      <c r="C82" s="34"/>
      <c r="D82" s="45"/>
      <c r="E82" s="68" t="s">
        <v>8154</v>
      </c>
      <c r="F82" s="14">
        <v>-30</v>
      </c>
      <c r="G82" s="14"/>
      <c r="H82" s="9"/>
    </row>
    <row r="83" spans="3:8" x14ac:dyDescent="0.25">
      <c r="C83" s="34"/>
      <c r="D83" s="45"/>
      <c r="E83" s="68" t="s">
        <v>8156</v>
      </c>
      <c r="F83" s="14">
        <v>-150</v>
      </c>
      <c r="G83" s="14"/>
      <c r="H83" s="9"/>
    </row>
    <row r="84" spans="3:8" x14ac:dyDescent="0.25">
      <c r="C84" s="34"/>
      <c r="D84" s="42"/>
      <c r="E84" s="68"/>
      <c r="F84" s="14"/>
      <c r="G84" s="14"/>
      <c r="H84" s="9"/>
    </row>
    <row r="85" spans="3:8" ht="15.75" thickBot="1" x14ac:dyDescent="0.3">
      <c r="C85" s="10"/>
      <c r="D85" s="11"/>
      <c r="E85" s="11" t="s">
        <v>44</v>
      </c>
      <c r="F85" s="12">
        <f>SUM(F6:F84)</f>
        <v>-8856.91</v>
      </c>
      <c r="G85" s="15">
        <f>SUM(G6:G84)</f>
        <v>14090.5</v>
      </c>
      <c r="H85" s="13">
        <f>SUM(H6:H84)</f>
        <v>3499.1</v>
      </c>
    </row>
    <row r="88" spans="3:8" s="3" customFormat="1" ht="18.75" x14ac:dyDescent="0.3">
      <c r="C88" s="1"/>
      <c r="D88" s="1"/>
      <c r="E88" s="38" t="s">
        <v>49</v>
      </c>
      <c r="F88" s="39">
        <f>+H4+F85</f>
        <v>3858.3700000000008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9B17-E96E-44CF-8567-60F47E7D519B}">
  <sheetPr codeName="Hoja103"/>
  <dimension ref="C2:J80"/>
  <sheetViews>
    <sheetView topLeftCell="A49" zoomScale="89" zoomScaleNormal="89" workbookViewId="0">
      <selection activeCell="F80" sqref="F80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8157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3858.37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8159</v>
      </c>
      <c r="E6" s="2" t="s">
        <v>5678</v>
      </c>
      <c r="F6" s="109"/>
      <c r="G6" s="113"/>
      <c r="H6" s="112">
        <v>18</v>
      </c>
    </row>
    <row r="7" spans="3:10" x14ac:dyDescent="0.25">
      <c r="C7" s="24"/>
      <c r="D7" s="2" t="s">
        <v>8160</v>
      </c>
      <c r="E7" s="2" t="s">
        <v>5678</v>
      </c>
      <c r="F7" s="109"/>
      <c r="G7" s="113"/>
      <c r="H7" s="112">
        <v>13</v>
      </c>
      <c r="I7" s="36"/>
      <c r="J7" s="36"/>
    </row>
    <row r="8" spans="3:10" x14ac:dyDescent="0.25">
      <c r="C8" s="24"/>
      <c r="D8" s="2" t="s">
        <v>8161</v>
      </c>
      <c r="E8" s="2" t="s">
        <v>6278</v>
      </c>
      <c r="F8" s="109"/>
      <c r="G8" s="113"/>
      <c r="H8" s="112">
        <v>462</v>
      </c>
      <c r="J8" s="36"/>
    </row>
    <row r="9" spans="3:10" x14ac:dyDescent="0.25">
      <c r="C9" s="24"/>
      <c r="D9" s="2" t="s">
        <v>8162</v>
      </c>
      <c r="E9" s="2" t="s">
        <v>8173</v>
      </c>
      <c r="F9" s="109">
        <v>3683</v>
      </c>
      <c r="G9" s="113"/>
      <c r="H9" s="112"/>
      <c r="J9" s="36"/>
    </row>
    <row r="10" spans="3:10" x14ac:dyDescent="0.25">
      <c r="C10" s="8"/>
      <c r="D10" s="2" t="s">
        <v>8163</v>
      </c>
      <c r="E10" s="2" t="s">
        <v>5678</v>
      </c>
      <c r="F10" s="4">
        <v>4</v>
      </c>
      <c r="G10" s="14"/>
      <c r="H10" s="9"/>
    </row>
    <row r="11" spans="3:10" x14ac:dyDescent="0.25">
      <c r="C11" s="8"/>
      <c r="D11" s="2" t="s">
        <v>8164</v>
      </c>
      <c r="E11" s="2" t="s">
        <v>5678</v>
      </c>
      <c r="F11" s="4">
        <v>60</v>
      </c>
      <c r="G11" s="14"/>
      <c r="H11" s="9"/>
    </row>
    <row r="12" spans="3:10" x14ac:dyDescent="0.25">
      <c r="C12" s="8"/>
      <c r="D12" s="2" t="s">
        <v>8165</v>
      </c>
      <c r="E12" s="2" t="s">
        <v>7126</v>
      </c>
      <c r="F12" s="4"/>
      <c r="G12" s="14">
        <v>2260</v>
      </c>
      <c r="H12" s="9"/>
    </row>
    <row r="13" spans="3:10" x14ac:dyDescent="0.25">
      <c r="C13" s="8"/>
      <c r="D13" s="2" t="s">
        <v>8166</v>
      </c>
      <c r="E13" s="2" t="s">
        <v>2701</v>
      </c>
      <c r="F13" s="4"/>
      <c r="G13" s="14"/>
      <c r="H13" s="9">
        <v>2278.4</v>
      </c>
    </row>
    <row r="14" spans="3:10" x14ac:dyDescent="0.25">
      <c r="C14" s="8"/>
      <c r="D14" s="2" t="s">
        <v>8167</v>
      </c>
      <c r="E14" s="2" t="s">
        <v>5678</v>
      </c>
      <c r="F14" s="4">
        <v>7</v>
      </c>
      <c r="G14" s="14"/>
      <c r="H14" s="9"/>
    </row>
    <row r="15" spans="3:10" x14ac:dyDescent="0.25">
      <c r="C15" s="8"/>
      <c r="D15" s="2" t="s">
        <v>8168</v>
      </c>
      <c r="E15" s="2" t="s">
        <v>5678</v>
      </c>
      <c r="F15" s="4">
        <v>5</v>
      </c>
      <c r="G15" s="14"/>
      <c r="H15" s="9"/>
    </row>
    <row r="16" spans="3:10" x14ac:dyDescent="0.25">
      <c r="C16" s="8"/>
      <c r="D16" s="2" t="s">
        <v>8169</v>
      </c>
      <c r="E16" s="2" t="s">
        <v>8173</v>
      </c>
      <c r="F16" s="4">
        <v>872</v>
      </c>
      <c r="G16" s="14"/>
      <c r="H16" s="9"/>
    </row>
    <row r="17" spans="3:8" x14ac:dyDescent="0.25">
      <c r="C17" s="8"/>
      <c r="D17" s="2" t="s">
        <v>8170</v>
      </c>
      <c r="E17" s="2" t="s">
        <v>6593</v>
      </c>
      <c r="F17" s="4">
        <v>67.5</v>
      </c>
      <c r="G17" s="14"/>
      <c r="H17" s="9"/>
    </row>
    <row r="18" spans="3:8" x14ac:dyDescent="0.25">
      <c r="C18" s="8"/>
      <c r="D18" s="2" t="s">
        <v>8171</v>
      </c>
      <c r="E18" s="2" t="s">
        <v>5112</v>
      </c>
      <c r="F18" s="4">
        <v>1360</v>
      </c>
      <c r="G18" s="14"/>
      <c r="H18" s="9"/>
    </row>
    <row r="19" spans="3:8" x14ac:dyDescent="0.25">
      <c r="C19" s="8"/>
      <c r="D19" s="2" t="s">
        <v>8172</v>
      </c>
      <c r="E19" s="2" t="s">
        <v>5329</v>
      </c>
      <c r="F19" s="4"/>
      <c r="G19" s="14"/>
      <c r="H19" s="9">
        <v>305.8</v>
      </c>
    </row>
    <row r="20" spans="3:8" x14ac:dyDescent="0.25">
      <c r="C20" s="8"/>
      <c r="D20" s="2" t="s">
        <v>8185</v>
      </c>
      <c r="E20" s="2" t="s">
        <v>8186</v>
      </c>
      <c r="F20" s="4">
        <v>225</v>
      </c>
      <c r="G20" s="14"/>
      <c r="H20" s="9"/>
    </row>
    <row r="21" spans="3:8" x14ac:dyDescent="0.25">
      <c r="C21" s="8"/>
      <c r="D21" s="2" t="s">
        <v>8187</v>
      </c>
      <c r="E21" s="2" t="s">
        <v>6166</v>
      </c>
      <c r="F21" s="4">
        <v>15</v>
      </c>
      <c r="G21" s="14"/>
      <c r="H21" s="9"/>
    </row>
    <row r="22" spans="3:8" x14ac:dyDescent="0.25">
      <c r="C22" s="8"/>
      <c r="D22" s="2" t="s">
        <v>8188</v>
      </c>
      <c r="E22" s="2" t="s">
        <v>8197</v>
      </c>
      <c r="F22" s="4">
        <v>44</v>
      </c>
      <c r="G22" s="14"/>
      <c r="H22" s="9"/>
    </row>
    <row r="23" spans="3:8" x14ac:dyDescent="0.25">
      <c r="C23" s="8"/>
      <c r="D23" s="2" t="s">
        <v>8189</v>
      </c>
      <c r="E23" s="2" t="s">
        <v>5678</v>
      </c>
      <c r="F23" s="4">
        <v>2.5</v>
      </c>
      <c r="G23" s="14"/>
      <c r="H23" s="9"/>
    </row>
    <row r="24" spans="3:8" x14ac:dyDescent="0.25">
      <c r="C24" s="8"/>
      <c r="D24" s="2" t="s">
        <v>8190</v>
      </c>
      <c r="E24" s="2" t="s">
        <v>5678</v>
      </c>
      <c r="F24" s="4">
        <v>2</v>
      </c>
      <c r="G24" s="14"/>
      <c r="H24" s="9"/>
    </row>
    <row r="25" spans="3:8" x14ac:dyDescent="0.25">
      <c r="C25" s="8"/>
      <c r="D25" s="2" t="s">
        <v>8191</v>
      </c>
      <c r="E25" s="2" t="s">
        <v>5678</v>
      </c>
      <c r="F25" s="4">
        <v>43</v>
      </c>
      <c r="G25" s="14"/>
      <c r="H25" s="9"/>
    </row>
    <row r="26" spans="3:8" x14ac:dyDescent="0.25">
      <c r="C26" s="8"/>
      <c r="D26" s="2" t="s">
        <v>8192</v>
      </c>
      <c r="E26" s="2" t="s">
        <v>8196</v>
      </c>
      <c r="F26" s="4"/>
      <c r="G26" s="14"/>
      <c r="H26" s="9">
        <v>1070</v>
      </c>
    </row>
    <row r="27" spans="3:8" x14ac:dyDescent="0.25">
      <c r="C27" s="8"/>
      <c r="D27" s="2" t="s">
        <v>8193</v>
      </c>
      <c r="E27" s="2" t="s">
        <v>5631</v>
      </c>
      <c r="F27" s="4">
        <v>3713</v>
      </c>
      <c r="G27" s="14"/>
      <c r="H27" s="9"/>
    </row>
    <row r="28" spans="3:8" x14ac:dyDescent="0.25">
      <c r="C28" s="8"/>
      <c r="D28" s="2" t="s">
        <v>8194</v>
      </c>
      <c r="E28" s="2" t="s">
        <v>5678</v>
      </c>
      <c r="F28" s="4"/>
      <c r="G28" s="14"/>
      <c r="H28" s="9">
        <v>34.5</v>
      </c>
    </row>
    <row r="29" spans="3:8" x14ac:dyDescent="0.25">
      <c r="C29" s="8"/>
      <c r="D29" s="2" t="s">
        <v>8210</v>
      </c>
      <c r="E29" s="2" t="s">
        <v>6441</v>
      </c>
      <c r="F29" s="4"/>
      <c r="G29" s="14"/>
      <c r="H29" s="9">
        <v>2665</v>
      </c>
    </row>
    <row r="30" spans="3:8" x14ac:dyDescent="0.25">
      <c r="C30" s="8"/>
      <c r="D30" s="2" t="s">
        <v>8212</v>
      </c>
      <c r="E30" s="2" t="s">
        <v>5678</v>
      </c>
      <c r="F30" s="4">
        <v>5</v>
      </c>
      <c r="G30" s="14"/>
      <c r="H30" s="9"/>
    </row>
    <row r="31" spans="3:8" x14ac:dyDescent="0.25">
      <c r="C31" s="8"/>
      <c r="D31" s="2" t="s">
        <v>8227</v>
      </c>
      <c r="E31" s="2"/>
      <c r="F31" s="4"/>
      <c r="G31" s="14"/>
      <c r="H31" s="9"/>
    </row>
    <row r="32" spans="3:8" x14ac:dyDescent="0.25">
      <c r="C32" s="8"/>
      <c r="D32" s="2" t="s">
        <v>8175</v>
      </c>
      <c r="E32" s="2" t="s">
        <v>1631</v>
      </c>
      <c r="F32" s="4">
        <v>49.5</v>
      </c>
      <c r="G32" s="14"/>
      <c r="H32" s="9"/>
    </row>
    <row r="33" spans="3:8" x14ac:dyDescent="0.25">
      <c r="C33" s="8"/>
      <c r="D33" s="2" t="s">
        <v>8176</v>
      </c>
      <c r="E33" s="2" t="s">
        <v>6055</v>
      </c>
      <c r="F33" s="4"/>
      <c r="G33" s="14">
        <v>315</v>
      </c>
      <c r="H33" s="9"/>
    </row>
    <row r="34" spans="3:8" x14ac:dyDescent="0.25">
      <c r="C34" s="8"/>
      <c r="D34" s="2" t="s">
        <v>8177</v>
      </c>
      <c r="E34" s="2" t="s">
        <v>8174</v>
      </c>
      <c r="F34" s="4">
        <v>222</v>
      </c>
      <c r="G34" s="14"/>
      <c r="H34" s="9"/>
    </row>
    <row r="35" spans="3:8" x14ac:dyDescent="0.25">
      <c r="C35" s="8"/>
      <c r="D35" s="2" t="s">
        <v>8178</v>
      </c>
      <c r="E35" s="2" t="s">
        <v>6278</v>
      </c>
      <c r="F35" s="4"/>
      <c r="G35" s="14"/>
      <c r="H35" s="9">
        <v>36</v>
      </c>
    </row>
    <row r="36" spans="3:8" x14ac:dyDescent="0.25">
      <c r="C36" s="8"/>
      <c r="D36" s="2" t="s">
        <v>8179</v>
      </c>
      <c r="E36" s="2" t="s">
        <v>1631</v>
      </c>
      <c r="F36" s="4">
        <v>35</v>
      </c>
      <c r="G36" s="14"/>
      <c r="H36" s="9"/>
    </row>
    <row r="37" spans="3:8" x14ac:dyDescent="0.25">
      <c r="C37" s="8"/>
      <c r="D37" s="2" t="s">
        <v>8180</v>
      </c>
      <c r="E37" s="2" t="s">
        <v>8181</v>
      </c>
      <c r="F37" s="4"/>
      <c r="G37" s="14"/>
      <c r="H37" s="9">
        <v>23</v>
      </c>
    </row>
    <row r="38" spans="3:8" x14ac:dyDescent="0.25">
      <c r="C38" s="8"/>
      <c r="D38" s="2" t="s">
        <v>8198</v>
      </c>
      <c r="E38" s="2" t="s">
        <v>1631</v>
      </c>
      <c r="F38" s="4">
        <v>4</v>
      </c>
      <c r="G38" s="14"/>
      <c r="H38" s="9"/>
    </row>
    <row r="39" spans="3:8" x14ac:dyDescent="0.25">
      <c r="C39" s="8"/>
      <c r="D39" s="2" t="s">
        <v>8199</v>
      </c>
      <c r="E39" s="2" t="s">
        <v>8200</v>
      </c>
      <c r="F39" s="4"/>
      <c r="G39" s="14"/>
      <c r="H39" s="9">
        <v>3131.5</v>
      </c>
    </row>
    <row r="40" spans="3:8" x14ac:dyDescent="0.25">
      <c r="C40" s="8"/>
      <c r="D40" s="2" t="s">
        <v>8202</v>
      </c>
      <c r="E40" s="2" t="s">
        <v>1631</v>
      </c>
      <c r="F40" s="4">
        <v>45</v>
      </c>
      <c r="G40" s="14"/>
      <c r="H40" s="9"/>
    </row>
    <row r="41" spans="3:8" x14ac:dyDescent="0.25">
      <c r="C41" s="8"/>
      <c r="D41" s="2" t="s">
        <v>8203</v>
      </c>
      <c r="E41" s="2" t="s">
        <v>1631</v>
      </c>
      <c r="F41" s="4">
        <v>8</v>
      </c>
      <c r="G41" s="14"/>
      <c r="H41" s="9"/>
    </row>
    <row r="42" spans="3:8" x14ac:dyDescent="0.25">
      <c r="C42" s="8"/>
      <c r="D42" s="2" t="s">
        <v>8213</v>
      </c>
      <c r="E42" s="43" t="s">
        <v>8215</v>
      </c>
      <c r="F42" s="4"/>
      <c r="G42" s="14"/>
      <c r="H42" s="9"/>
    </row>
    <row r="43" spans="3:8" x14ac:dyDescent="0.25">
      <c r="C43" s="8"/>
      <c r="D43" s="2" t="s">
        <v>8214</v>
      </c>
      <c r="E43" s="2" t="s">
        <v>1631</v>
      </c>
      <c r="F43" s="4">
        <v>5</v>
      </c>
      <c r="G43" s="14"/>
      <c r="H43" s="9"/>
    </row>
    <row r="44" spans="3:8" x14ac:dyDescent="0.25">
      <c r="C44" s="8"/>
      <c r="D44" s="2" t="s">
        <v>8240</v>
      </c>
      <c r="E44" s="2" t="s">
        <v>8241</v>
      </c>
      <c r="F44" s="4"/>
      <c r="G44" s="14">
        <v>4755</v>
      </c>
      <c r="H44" s="9">
        <v>2755</v>
      </c>
    </row>
    <row r="45" spans="3:8" x14ac:dyDescent="0.25">
      <c r="C45" s="8"/>
      <c r="D45" s="2" t="s">
        <v>8242</v>
      </c>
      <c r="E45" s="2"/>
      <c r="F45" s="4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29"/>
      <c r="D48" s="30"/>
      <c r="E48" s="30" t="s">
        <v>60</v>
      </c>
      <c r="F48" s="4"/>
      <c r="G48" s="14"/>
      <c r="H48" s="9"/>
    </row>
    <row r="49" spans="3:8" x14ac:dyDescent="0.25">
      <c r="C49" s="8"/>
      <c r="D49" s="2" t="s">
        <v>8158</v>
      </c>
      <c r="E49" s="76" t="s">
        <v>7837</v>
      </c>
      <c r="F49" s="35"/>
      <c r="G49" s="14"/>
      <c r="H49" s="9">
        <v>177</v>
      </c>
    </row>
    <row r="50" spans="3:8" x14ac:dyDescent="0.25">
      <c r="C50" s="8"/>
      <c r="D50" s="2" t="s">
        <v>8195</v>
      </c>
      <c r="E50" s="76" t="s">
        <v>4322</v>
      </c>
      <c r="F50" s="35"/>
      <c r="G50" s="14"/>
      <c r="H50" s="9">
        <v>317</v>
      </c>
    </row>
    <row r="51" spans="3:8" x14ac:dyDescent="0.25">
      <c r="C51" s="8"/>
      <c r="D51" s="2" t="s">
        <v>8205</v>
      </c>
      <c r="E51" s="76" t="s">
        <v>8207</v>
      </c>
      <c r="F51" s="35"/>
      <c r="G51" s="14"/>
      <c r="H51" s="9">
        <v>3200</v>
      </c>
    </row>
    <row r="52" spans="3:8" x14ac:dyDescent="0.25">
      <c r="C52" s="8"/>
      <c r="D52" s="2" t="s">
        <v>8206</v>
      </c>
      <c r="E52" s="76" t="s">
        <v>7837</v>
      </c>
      <c r="F52" s="35"/>
      <c r="G52" s="14"/>
      <c r="H52" s="9">
        <v>18</v>
      </c>
    </row>
    <row r="53" spans="3:8" x14ac:dyDescent="0.25">
      <c r="C53" s="8"/>
      <c r="D53" s="2" t="s">
        <v>8208</v>
      </c>
      <c r="E53" s="68" t="s">
        <v>8209</v>
      </c>
      <c r="F53" s="4"/>
      <c r="G53" s="14"/>
      <c r="H53" s="9">
        <v>1567</v>
      </c>
    </row>
    <row r="54" spans="3:8" x14ac:dyDescent="0.25">
      <c r="C54" s="8"/>
      <c r="D54" s="2" t="s">
        <v>8211</v>
      </c>
      <c r="E54" s="76" t="s">
        <v>7837</v>
      </c>
      <c r="F54" s="4"/>
      <c r="G54" s="14"/>
      <c r="H54" s="9">
        <v>210</v>
      </c>
    </row>
    <row r="55" spans="3:8" x14ac:dyDescent="0.25">
      <c r="C55" s="8"/>
      <c r="D55" s="2"/>
      <c r="E55" s="68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16"/>
      <c r="D57" s="17"/>
      <c r="E57" s="17" t="s">
        <v>39</v>
      </c>
      <c r="F57" s="4"/>
      <c r="G57" s="14"/>
      <c r="H57" s="9"/>
    </row>
    <row r="58" spans="3:8" ht="15.75" customHeight="1" x14ac:dyDescent="0.25">
      <c r="C58" s="8"/>
      <c r="D58" s="2"/>
      <c r="E58" s="76" t="s">
        <v>8182</v>
      </c>
      <c r="F58" s="35">
        <v>3232.1</v>
      </c>
      <c r="G58" s="14"/>
      <c r="H58" s="9"/>
    </row>
    <row r="59" spans="3:8" ht="15.75" customHeight="1" x14ac:dyDescent="0.25">
      <c r="C59" s="8"/>
      <c r="D59" s="2"/>
      <c r="E59" s="76" t="s">
        <v>8183</v>
      </c>
      <c r="F59" s="35">
        <v>6380</v>
      </c>
      <c r="G59" s="14"/>
      <c r="H59" s="9"/>
    </row>
    <row r="60" spans="3:8" ht="15.75" customHeight="1" x14ac:dyDescent="0.25">
      <c r="C60" s="8"/>
      <c r="D60" s="2"/>
      <c r="E60" s="76" t="s">
        <v>8204</v>
      </c>
      <c r="F60" s="35">
        <v>3140</v>
      </c>
      <c r="G60" s="14"/>
      <c r="H60" s="9"/>
    </row>
    <row r="61" spans="3:8" x14ac:dyDescent="0.25">
      <c r="C61" s="8"/>
      <c r="D61" s="2"/>
      <c r="E61" s="76" t="s">
        <v>8219</v>
      </c>
      <c r="F61" s="35">
        <v>7276</v>
      </c>
      <c r="G61" s="14"/>
      <c r="H61" s="9"/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2"/>
      <c r="E63" s="76"/>
      <c r="F63" s="35"/>
      <c r="G63" s="14"/>
      <c r="H63" s="9"/>
    </row>
    <row r="64" spans="3:8" x14ac:dyDescent="0.25">
      <c r="C64" s="8"/>
      <c r="D64" s="2"/>
      <c r="E64" s="76"/>
      <c r="F64" s="35"/>
      <c r="G64" s="14"/>
      <c r="H64" s="9"/>
    </row>
    <row r="65" spans="3:8" x14ac:dyDescent="0.25">
      <c r="C65" s="8"/>
      <c r="D65" s="2"/>
      <c r="E65" s="76"/>
      <c r="F65" s="35"/>
      <c r="G65" s="14"/>
      <c r="H65" s="9"/>
    </row>
    <row r="66" spans="3:8" x14ac:dyDescent="0.25">
      <c r="C66" s="8"/>
      <c r="D66" s="2"/>
      <c r="E66" s="76"/>
      <c r="F66" s="35"/>
      <c r="G66" s="14"/>
      <c r="H66" s="9"/>
    </row>
    <row r="67" spans="3:8" x14ac:dyDescent="0.25">
      <c r="C67" s="8"/>
      <c r="D67" s="2"/>
      <c r="E67" s="76"/>
      <c r="F67" s="35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19"/>
      <c r="D69" s="20"/>
      <c r="E69" s="20" t="s">
        <v>42</v>
      </c>
      <c r="F69" s="4"/>
      <c r="G69" s="14"/>
      <c r="H69" s="9"/>
    </row>
    <row r="70" spans="3:8" x14ac:dyDescent="0.25">
      <c r="C70" s="34"/>
      <c r="D70" s="45"/>
      <c r="E70" s="68" t="s">
        <v>8184</v>
      </c>
      <c r="F70" s="14">
        <v>-2</v>
      </c>
      <c r="G70" s="14"/>
      <c r="H70" s="9"/>
    </row>
    <row r="71" spans="3:8" x14ac:dyDescent="0.25">
      <c r="C71" s="34"/>
      <c r="D71" s="45"/>
      <c r="E71" s="68" t="s">
        <v>8201</v>
      </c>
      <c r="F71" s="14">
        <v>-15567.9</v>
      </c>
      <c r="G71" s="14"/>
      <c r="H71" s="9"/>
    </row>
    <row r="72" spans="3:8" x14ac:dyDescent="0.25">
      <c r="C72" s="34"/>
      <c r="D72" s="45"/>
      <c r="E72" s="68" t="s">
        <v>7621</v>
      </c>
      <c r="F72" s="14">
        <v>-6861.5</v>
      </c>
      <c r="G72" s="14"/>
      <c r="H72" s="9"/>
    </row>
    <row r="73" spans="3:8" x14ac:dyDescent="0.25">
      <c r="C73" s="34"/>
      <c r="D73" s="45"/>
      <c r="E73" s="68" t="s">
        <v>8216</v>
      </c>
      <c r="F73" s="14">
        <v>-100</v>
      </c>
      <c r="G73" s="14"/>
      <c r="H73" s="9"/>
    </row>
    <row r="74" spans="3:8" x14ac:dyDescent="0.25">
      <c r="C74" s="34"/>
      <c r="D74" s="45"/>
      <c r="E74" s="68" t="s">
        <v>8217</v>
      </c>
      <c r="F74" s="14">
        <v>-215</v>
      </c>
      <c r="G74" s="14"/>
      <c r="H74" s="9"/>
    </row>
    <row r="75" spans="3:8" x14ac:dyDescent="0.25">
      <c r="C75" s="34"/>
      <c r="D75" s="45"/>
      <c r="E75" s="68" t="s">
        <v>8218</v>
      </c>
      <c r="F75" s="14">
        <v>-50</v>
      </c>
      <c r="G75" s="14"/>
      <c r="H75" s="9"/>
    </row>
    <row r="76" spans="3:8" x14ac:dyDescent="0.25">
      <c r="C76" s="34"/>
      <c r="D76" s="42"/>
      <c r="E76" s="68"/>
      <c r="F76" s="14"/>
      <c r="G76" s="14"/>
      <c r="H76" s="9"/>
    </row>
    <row r="77" spans="3:8" ht="15.75" thickBot="1" x14ac:dyDescent="0.3">
      <c r="C77" s="10"/>
      <c r="D77" s="11"/>
      <c r="E77" s="11" t="s">
        <v>44</v>
      </c>
      <c r="F77" s="12">
        <f>SUM(F6:F76)</f>
        <v>7708.1999999999989</v>
      </c>
      <c r="G77" s="15">
        <f>SUM(G6:G76)</f>
        <v>7330</v>
      </c>
      <c r="H77" s="13">
        <f>SUM(H6:H76)</f>
        <v>18281.2</v>
      </c>
    </row>
    <row r="80" spans="3:8" s="3" customFormat="1" ht="18.75" x14ac:dyDescent="0.3">
      <c r="C80" s="1"/>
      <c r="D80" s="1"/>
      <c r="E80" s="38" t="s">
        <v>49</v>
      </c>
      <c r="F80" s="39">
        <f>+H4+F77</f>
        <v>11566.57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AF30-D859-4A3E-959E-4F8ED5B4EB7D}">
  <sheetPr codeName="Hoja104"/>
  <dimension ref="C2:J82"/>
  <sheetViews>
    <sheetView topLeftCell="A35" zoomScale="89" zoomScaleNormal="89" workbookViewId="0">
      <selection activeCell="E45" sqref="E4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8220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11566.57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8227</v>
      </c>
      <c r="E6" s="2" t="s">
        <v>12</v>
      </c>
      <c r="F6" s="109">
        <v>49</v>
      </c>
      <c r="G6" s="113"/>
      <c r="H6" s="112"/>
    </row>
    <row r="7" spans="3:10" x14ac:dyDescent="0.25">
      <c r="C7" s="24"/>
      <c r="D7" s="2" t="s">
        <v>8228</v>
      </c>
      <c r="E7" s="2" t="s">
        <v>8239</v>
      </c>
      <c r="F7" s="109"/>
      <c r="G7" s="113"/>
      <c r="H7" s="112">
        <v>35</v>
      </c>
      <c r="I7" s="36"/>
      <c r="J7" s="36"/>
    </row>
    <row r="8" spans="3:10" x14ac:dyDescent="0.25">
      <c r="C8" s="24"/>
      <c r="D8" s="2" t="s">
        <v>8229</v>
      </c>
      <c r="E8" s="2" t="s">
        <v>12</v>
      </c>
      <c r="F8" s="109"/>
      <c r="G8" s="113"/>
      <c r="H8" s="112">
        <v>45</v>
      </c>
      <c r="J8" s="36"/>
    </row>
    <row r="9" spans="3:10" x14ac:dyDescent="0.25">
      <c r="C9" s="24"/>
      <c r="D9" s="2" t="s">
        <v>8230</v>
      </c>
      <c r="E9" s="2" t="s">
        <v>12</v>
      </c>
      <c r="F9" s="109">
        <v>22</v>
      </c>
      <c r="G9" s="113"/>
      <c r="H9" s="112"/>
      <c r="J9" s="36"/>
    </row>
    <row r="10" spans="3:10" x14ac:dyDescent="0.25">
      <c r="C10" s="8"/>
      <c r="D10" s="2" t="s">
        <v>8231</v>
      </c>
      <c r="E10" s="2" t="s">
        <v>12</v>
      </c>
      <c r="F10" s="4"/>
      <c r="G10" s="14"/>
      <c r="H10" s="9">
        <v>12</v>
      </c>
    </row>
    <row r="11" spans="3:10" x14ac:dyDescent="0.25">
      <c r="C11" s="8"/>
      <c r="D11" s="2" t="s">
        <v>8232</v>
      </c>
      <c r="E11" s="2" t="s">
        <v>12</v>
      </c>
      <c r="F11" s="4">
        <v>5</v>
      </c>
      <c r="G11" s="14"/>
      <c r="H11" s="9"/>
    </row>
    <row r="12" spans="3:10" x14ac:dyDescent="0.25">
      <c r="C12" s="8"/>
      <c r="D12" s="2" t="s">
        <v>8233</v>
      </c>
      <c r="E12" s="2" t="s">
        <v>12</v>
      </c>
      <c r="F12" s="4"/>
      <c r="G12" s="14"/>
      <c r="H12" s="9">
        <v>17</v>
      </c>
    </row>
    <row r="13" spans="3:10" x14ac:dyDescent="0.25">
      <c r="C13" s="8"/>
      <c r="D13" s="2" t="s">
        <v>8234</v>
      </c>
      <c r="E13" s="2" t="s">
        <v>12</v>
      </c>
      <c r="F13" s="4">
        <v>10</v>
      </c>
      <c r="G13" s="14"/>
      <c r="H13" s="9"/>
    </row>
    <row r="14" spans="3:10" x14ac:dyDescent="0.25">
      <c r="C14" s="8"/>
      <c r="D14" s="2" t="s">
        <v>8235</v>
      </c>
      <c r="E14" s="2" t="s">
        <v>12</v>
      </c>
      <c r="F14" s="4">
        <v>12</v>
      </c>
      <c r="G14" s="14"/>
      <c r="H14" s="9"/>
    </row>
    <row r="15" spans="3:10" x14ac:dyDescent="0.25">
      <c r="C15" s="8"/>
      <c r="D15" s="2" t="s">
        <v>8236</v>
      </c>
      <c r="E15" s="2" t="s">
        <v>6593</v>
      </c>
      <c r="F15" s="4">
        <v>1730</v>
      </c>
      <c r="G15" s="14"/>
      <c r="H15" s="9"/>
    </row>
    <row r="16" spans="3:10" x14ac:dyDescent="0.25">
      <c r="C16" s="8"/>
      <c r="D16" s="2" t="s">
        <v>8237</v>
      </c>
      <c r="E16" s="2" t="s">
        <v>8239</v>
      </c>
      <c r="F16" s="4"/>
      <c r="G16" s="14"/>
      <c r="H16" s="9">
        <v>740</v>
      </c>
    </row>
    <row r="17" spans="3:8" x14ac:dyDescent="0.25">
      <c r="C17" s="8"/>
      <c r="D17" s="2" t="s">
        <v>8238</v>
      </c>
      <c r="E17" s="2" t="s">
        <v>12</v>
      </c>
      <c r="F17" s="4">
        <v>17</v>
      </c>
      <c r="G17" s="14"/>
      <c r="H17" s="9"/>
    </row>
    <row r="18" spans="3:8" x14ac:dyDescent="0.25">
      <c r="C18" s="8"/>
      <c r="D18" s="2" t="s">
        <v>8258</v>
      </c>
      <c r="E18" s="2" t="s">
        <v>8259</v>
      </c>
      <c r="F18" s="4">
        <v>217.5</v>
      </c>
      <c r="G18" s="14"/>
      <c r="H18" s="9"/>
    </row>
    <row r="19" spans="3:8" x14ac:dyDescent="0.25">
      <c r="C19" s="8"/>
      <c r="D19" s="2" t="s">
        <v>8265</v>
      </c>
      <c r="E19" s="2" t="s">
        <v>12</v>
      </c>
      <c r="F19" s="4">
        <v>45</v>
      </c>
      <c r="G19" s="14"/>
      <c r="H19" s="9"/>
    </row>
    <row r="20" spans="3:8" x14ac:dyDescent="0.25">
      <c r="C20" s="8"/>
      <c r="D20" s="2" t="s">
        <v>8266</v>
      </c>
      <c r="E20" s="2" t="s">
        <v>12</v>
      </c>
      <c r="F20" s="4">
        <v>28</v>
      </c>
      <c r="G20" s="14"/>
      <c r="H20" s="9"/>
    </row>
    <row r="21" spans="3:8" x14ac:dyDescent="0.25">
      <c r="C21" s="8"/>
      <c r="D21" s="2" t="s">
        <v>8267</v>
      </c>
      <c r="E21" s="2" t="s">
        <v>12</v>
      </c>
      <c r="F21" s="4">
        <v>32</v>
      </c>
      <c r="G21" s="14"/>
      <c r="H21" s="9"/>
    </row>
    <row r="22" spans="3:8" x14ac:dyDescent="0.25">
      <c r="C22" s="8"/>
      <c r="D22" s="2" t="s">
        <v>8268</v>
      </c>
      <c r="E22" s="2" t="s">
        <v>12</v>
      </c>
      <c r="F22" s="4">
        <v>14</v>
      </c>
      <c r="G22" s="14"/>
      <c r="H22" s="9"/>
    </row>
    <row r="23" spans="3:8" x14ac:dyDescent="0.25">
      <c r="C23" s="8"/>
      <c r="D23" s="2" t="s">
        <v>8274</v>
      </c>
      <c r="E23" s="2" t="s">
        <v>12</v>
      </c>
      <c r="F23" s="4">
        <v>5</v>
      </c>
      <c r="G23" s="14"/>
      <c r="H23" s="9"/>
    </row>
    <row r="24" spans="3:8" x14ac:dyDescent="0.25">
      <c r="C24" s="8"/>
      <c r="D24" s="2" t="s">
        <v>8275</v>
      </c>
      <c r="E24" s="2" t="s">
        <v>266</v>
      </c>
      <c r="F24" s="4"/>
      <c r="G24" s="14">
        <v>139.5</v>
      </c>
      <c r="H24" s="9"/>
    </row>
    <row r="25" spans="3:8" x14ac:dyDescent="0.25">
      <c r="C25" s="8"/>
      <c r="D25" s="2" t="s">
        <v>8276</v>
      </c>
      <c r="E25" s="2" t="s">
        <v>12</v>
      </c>
      <c r="F25" s="4">
        <v>2.5</v>
      </c>
      <c r="G25" s="14"/>
      <c r="H25" s="9"/>
    </row>
    <row r="26" spans="3:8" x14ac:dyDescent="0.25">
      <c r="C26" s="8"/>
      <c r="D26" s="2" t="s">
        <v>8281</v>
      </c>
      <c r="E26" s="2"/>
      <c r="F26" s="4"/>
      <c r="G26" s="14"/>
      <c r="H26" s="9"/>
    </row>
    <row r="27" spans="3:8" x14ac:dyDescent="0.25">
      <c r="C27" s="8"/>
      <c r="D27" s="2"/>
      <c r="E27" s="2"/>
      <c r="F27" s="4"/>
      <c r="G27" s="14"/>
      <c r="H27" s="9"/>
    </row>
    <row r="28" spans="3:8" x14ac:dyDescent="0.25">
      <c r="C28" s="8"/>
      <c r="D28" s="2"/>
      <c r="E28" s="2"/>
      <c r="F28" s="4"/>
      <c r="G28" s="14"/>
      <c r="H28" s="9"/>
    </row>
    <row r="29" spans="3:8" x14ac:dyDescent="0.25">
      <c r="C29" s="8"/>
      <c r="D29" s="2" t="s">
        <v>8242</v>
      </c>
      <c r="E29" s="2" t="s">
        <v>6092</v>
      </c>
      <c r="F29" s="4">
        <v>50</v>
      </c>
      <c r="G29" s="14"/>
      <c r="H29" s="9"/>
    </row>
    <row r="30" spans="3:8" x14ac:dyDescent="0.25">
      <c r="C30" s="8"/>
      <c r="D30" s="2" t="s">
        <v>8243</v>
      </c>
      <c r="E30" s="2" t="s">
        <v>8252</v>
      </c>
      <c r="F30" s="4">
        <v>252</v>
      </c>
      <c r="G30" s="14"/>
      <c r="H30" s="9"/>
    </row>
    <row r="31" spans="3:8" x14ac:dyDescent="0.25">
      <c r="C31" s="8"/>
      <c r="D31" s="2" t="s">
        <v>8244</v>
      </c>
      <c r="E31" s="2" t="s">
        <v>8251</v>
      </c>
      <c r="F31" s="4">
        <v>1358.7</v>
      </c>
      <c r="G31" s="14"/>
      <c r="H31" s="9"/>
    </row>
    <row r="32" spans="3:8" x14ac:dyDescent="0.25">
      <c r="C32" s="8"/>
      <c r="D32" s="2" t="s">
        <v>8245</v>
      </c>
      <c r="E32" s="2" t="s">
        <v>5910</v>
      </c>
      <c r="F32" s="4">
        <v>476.2</v>
      </c>
      <c r="G32" s="14"/>
      <c r="H32" s="9"/>
    </row>
    <row r="33" spans="3:8" x14ac:dyDescent="0.25">
      <c r="C33" s="8"/>
      <c r="D33" s="2" t="s">
        <v>8246</v>
      </c>
      <c r="E33" s="2" t="s">
        <v>6705</v>
      </c>
      <c r="F33" s="4">
        <v>1113</v>
      </c>
      <c r="G33" s="14"/>
      <c r="H33" s="9"/>
    </row>
    <row r="34" spans="3:8" x14ac:dyDescent="0.25">
      <c r="C34" s="8"/>
      <c r="D34" s="2" t="s">
        <v>8247</v>
      </c>
      <c r="E34" s="2" t="s">
        <v>6092</v>
      </c>
      <c r="F34" s="4">
        <v>5</v>
      </c>
      <c r="G34" s="14"/>
      <c r="H34" s="9"/>
    </row>
    <row r="35" spans="3:8" x14ac:dyDescent="0.25">
      <c r="C35" s="8"/>
      <c r="D35" s="2" t="s">
        <v>8248</v>
      </c>
      <c r="E35" s="2" t="s">
        <v>6092</v>
      </c>
      <c r="F35" s="4">
        <v>6</v>
      </c>
      <c r="G35" s="14"/>
      <c r="H35" s="9"/>
    </row>
    <row r="36" spans="3:8" x14ac:dyDescent="0.25">
      <c r="C36" s="8"/>
      <c r="D36" s="2" t="s">
        <v>8249</v>
      </c>
      <c r="E36" s="2" t="s">
        <v>6092</v>
      </c>
      <c r="F36" s="4">
        <v>4</v>
      </c>
      <c r="G36" s="14"/>
      <c r="H36" s="9"/>
    </row>
    <row r="37" spans="3:8" x14ac:dyDescent="0.25">
      <c r="C37" s="8"/>
      <c r="D37" s="2" t="s">
        <v>8250</v>
      </c>
      <c r="E37" s="2" t="s">
        <v>6092</v>
      </c>
      <c r="F37" s="4"/>
      <c r="G37" s="14"/>
      <c r="H37" s="9">
        <v>5</v>
      </c>
    </row>
    <row r="38" spans="3:8" x14ac:dyDescent="0.25">
      <c r="C38" s="8"/>
      <c r="D38" s="2" t="s">
        <v>8260</v>
      </c>
      <c r="E38" s="2" t="s">
        <v>723</v>
      </c>
      <c r="F38" s="4"/>
      <c r="G38" s="14"/>
      <c r="H38" s="9">
        <v>430.5</v>
      </c>
    </row>
    <row r="39" spans="3:8" x14ac:dyDescent="0.25">
      <c r="C39" s="8"/>
      <c r="D39" s="2" t="s">
        <v>8261</v>
      </c>
      <c r="E39" s="2" t="s">
        <v>6092</v>
      </c>
      <c r="F39" s="4">
        <v>8</v>
      </c>
      <c r="G39" s="14"/>
      <c r="H39" s="9"/>
    </row>
    <row r="40" spans="3:8" x14ac:dyDescent="0.25">
      <c r="C40" s="8"/>
      <c r="D40" s="2" t="s">
        <v>8269</v>
      </c>
      <c r="E40" s="2" t="s">
        <v>6092</v>
      </c>
      <c r="F40" s="4">
        <v>6.5</v>
      </c>
      <c r="G40" s="14"/>
      <c r="H40" s="9"/>
    </row>
    <row r="41" spans="3:8" x14ac:dyDescent="0.25">
      <c r="C41" s="8"/>
      <c r="D41" s="2" t="s">
        <v>8270</v>
      </c>
      <c r="E41" s="2" t="s">
        <v>8151</v>
      </c>
      <c r="F41" s="4"/>
      <c r="G41" s="14">
        <v>4510</v>
      </c>
      <c r="H41" s="9"/>
    </row>
    <row r="42" spans="3:8" x14ac:dyDescent="0.25">
      <c r="C42" s="8"/>
      <c r="D42" s="2" t="s">
        <v>8272</v>
      </c>
      <c r="E42" s="2" t="s">
        <v>8273</v>
      </c>
      <c r="F42" s="4"/>
      <c r="G42" s="14"/>
      <c r="H42" s="9">
        <v>10000</v>
      </c>
    </row>
    <row r="43" spans="3:8" x14ac:dyDescent="0.25">
      <c r="C43" s="8"/>
      <c r="D43" s="43" t="s">
        <v>8297</v>
      </c>
      <c r="E43" s="43" t="s">
        <v>1073</v>
      </c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29"/>
      <c r="D46" s="30"/>
      <c r="E46" s="30" t="s">
        <v>60</v>
      </c>
      <c r="F46" s="4"/>
      <c r="G46" s="14"/>
      <c r="H46" s="9"/>
    </row>
    <row r="47" spans="3:8" x14ac:dyDescent="0.25">
      <c r="C47" s="8"/>
      <c r="D47" s="2" t="s">
        <v>8222</v>
      </c>
      <c r="E47" s="76" t="s">
        <v>5089</v>
      </c>
      <c r="F47" s="35"/>
      <c r="G47" s="14"/>
      <c r="H47" s="9">
        <v>18</v>
      </c>
    </row>
    <row r="48" spans="3:8" x14ac:dyDescent="0.25">
      <c r="C48" s="8"/>
      <c r="D48" s="2" t="s">
        <v>8223</v>
      </c>
      <c r="E48" s="76" t="s">
        <v>8226</v>
      </c>
      <c r="F48" s="35"/>
      <c r="G48" s="14"/>
      <c r="H48" s="9">
        <v>78</v>
      </c>
    </row>
    <row r="49" spans="3:8" x14ac:dyDescent="0.25">
      <c r="C49" s="8"/>
      <c r="D49" s="2" t="s">
        <v>8224</v>
      </c>
      <c r="E49" s="76" t="s">
        <v>1737</v>
      </c>
      <c r="F49" s="35"/>
      <c r="G49" s="14"/>
      <c r="H49" s="9">
        <v>6252</v>
      </c>
    </row>
    <row r="50" spans="3:8" x14ac:dyDescent="0.25">
      <c r="C50" s="8"/>
      <c r="D50" s="2" t="s">
        <v>8225</v>
      </c>
      <c r="E50" s="76" t="s">
        <v>5089</v>
      </c>
      <c r="F50" s="35"/>
      <c r="G50" s="14"/>
      <c r="H50" s="9">
        <v>217</v>
      </c>
    </row>
    <row r="51" spans="3:8" x14ac:dyDescent="0.25">
      <c r="C51" s="8"/>
      <c r="D51" s="2"/>
      <c r="E51" s="68"/>
      <c r="F51" s="4"/>
      <c r="G51" s="14"/>
      <c r="H51" s="9"/>
    </row>
    <row r="52" spans="3:8" x14ac:dyDescent="0.25">
      <c r="C52" s="8"/>
      <c r="D52" s="2"/>
      <c r="E52" s="76"/>
      <c r="F52" s="4"/>
      <c r="G52" s="14"/>
      <c r="H52" s="9"/>
    </row>
    <row r="53" spans="3:8" x14ac:dyDescent="0.25">
      <c r="C53" s="8"/>
      <c r="D53" s="2"/>
      <c r="E53" s="68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16"/>
      <c r="D55" s="17"/>
      <c r="E55" s="17" t="s">
        <v>39</v>
      </c>
      <c r="F55" s="4"/>
      <c r="G55" s="14"/>
      <c r="H55" s="9"/>
    </row>
    <row r="56" spans="3:8" ht="15.75" customHeight="1" x14ac:dyDescent="0.25">
      <c r="C56" s="8"/>
      <c r="D56" s="2"/>
      <c r="E56" s="76" t="s">
        <v>8253</v>
      </c>
      <c r="F56" s="35">
        <v>1700</v>
      </c>
      <c r="G56" s="14"/>
      <c r="H56" s="9"/>
    </row>
    <row r="57" spans="3:8" ht="15.75" customHeight="1" x14ac:dyDescent="0.25">
      <c r="C57" s="8"/>
      <c r="D57" s="2"/>
      <c r="E57" s="76" t="s">
        <v>8254</v>
      </c>
      <c r="F57" s="35">
        <v>2260</v>
      </c>
      <c r="G57" s="14"/>
      <c r="H57" s="9"/>
    </row>
    <row r="58" spans="3:8" x14ac:dyDescent="0.25">
      <c r="C58" s="8"/>
      <c r="D58" s="2"/>
      <c r="E58" s="76" t="s">
        <v>8262</v>
      </c>
      <c r="F58" s="35">
        <v>3450</v>
      </c>
      <c r="G58" s="14"/>
      <c r="H58" s="9"/>
    </row>
    <row r="59" spans="3:8" x14ac:dyDescent="0.25">
      <c r="C59" s="8"/>
      <c r="D59" s="2"/>
      <c r="E59" s="76" t="s">
        <v>8271</v>
      </c>
      <c r="F59" s="35">
        <v>45</v>
      </c>
      <c r="G59" s="14"/>
      <c r="H59" s="9"/>
    </row>
    <row r="60" spans="3:8" x14ac:dyDescent="0.25">
      <c r="C60" s="8"/>
      <c r="D60" s="2"/>
      <c r="E60" s="76"/>
      <c r="F60" s="35"/>
      <c r="G60" s="14"/>
      <c r="H60" s="9"/>
    </row>
    <row r="61" spans="3:8" x14ac:dyDescent="0.25">
      <c r="C61" s="8"/>
      <c r="D61" s="2"/>
      <c r="E61" s="76"/>
      <c r="F61" s="35"/>
      <c r="G61" s="14"/>
      <c r="H61" s="9"/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2"/>
      <c r="E63" s="76"/>
      <c r="F63" s="35"/>
      <c r="G63" s="14"/>
      <c r="H63" s="9"/>
    </row>
    <row r="64" spans="3:8" x14ac:dyDescent="0.25">
      <c r="C64" s="8"/>
      <c r="D64" s="2"/>
      <c r="E64" s="76"/>
      <c r="F64" s="35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19"/>
      <c r="D66" s="20"/>
      <c r="E66" s="20" t="s">
        <v>42</v>
      </c>
      <c r="F66" s="14"/>
      <c r="G66" s="14"/>
      <c r="H66" s="9"/>
    </row>
    <row r="67" spans="3:8" x14ac:dyDescent="0.25">
      <c r="C67" s="34"/>
      <c r="D67" s="45"/>
      <c r="E67" s="76" t="s">
        <v>8154</v>
      </c>
      <c r="F67" s="14">
        <v>-30</v>
      </c>
      <c r="G67" s="14"/>
      <c r="H67" s="9"/>
    </row>
    <row r="68" spans="3:8" x14ac:dyDescent="0.25">
      <c r="C68" s="34"/>
      <c r="D68" s="45"/>
      <c r="E68" s="68" t="s">
        <v>8221</v>
      </c>
      <c r="F68" s="14">
        <v>-125</v>
      </c>
      <c r="G68" s="14"/>
      <c r="H68" s="9"/>
    </row>
    <row r="69" spans="3:8" x14ac:dyDescent="0.25">
      <c r="C69" s="34"/>
      <c r="D69" s="45"/>
      <c r="E69" s="68" t="s">
        <v>8041</v>
      </c>
      <c r="F69" s="14">
        <v>-1330</v>
      </c>
      <c r="G69" s="14"/>
      <c r="H69" s="9"/>
    </row>
    <row r="70" spans="3:8" x14ac:dyDescent="0.25">
      <c r="C70" s="34"/>
      <c r="D70" s="45"/>
      <c r="E70" s="68" t="s">
        <v>8255</v>
      </c>
      <c r="F70" s="14">
        <v>-30</v>
      </c>
      <c r="G70" s="14"/>
      <c r="H70" s="9"/>
    </row>
    <row r="71" spans="3:8" x14ac:dyDescent="0.25">
      <c r="C71" s="34"/>
      <c r="D71" s="45"/>
      <c r="E71" s="68" t="s">
        <v>8256</v>
      </c>
      <c r="F71" s="14">
        <v>-20</v>
      </c>
      <c r="G71" s="14"/>
      <c r="H71" s="9"/>
    </row>
    <row r="72" spans="3:8" x14ac:dyDescent="0.25">
      <c r="C72" s="34"/>
      <c r="D72" s="45"/>
      <c r="E72" s="68" t="s">
        <v>8263</v>
      </c>
      <c r="F72" s="14">
        <v>-3450</v>
      </c>
      <c r="G72" s="14"/>
      <c r="H72" s="9"/>
    </row>
    <row r="73" spans="3:8" x14ac:dyDescent="0.25">
      <c r="C73" s="34"/>
      <c r="D73" s="45"/>
      <c r="E73" s="68" t="s">
        <v>8257</v>
      </c>
      <c r="F73" s="14">
        <v>-2.5</v>
      </c>
      <c r="G73" s="14"/>
      <c r="H73" s="9"/>
    </row>
    <row r="74" spans="3:8" x14ac:dyDescent="0.25">
      <c r="C74" s="34"/>
      <c r="D74" s="45"/>
      <c r="E74" s="68" t="s">
        <v>8264</v>
      </c>
      <c r="F74" s="14">
        <v>-162.5</v>
      </c>
      <c r="G74" s="14"/>
      <c r="H74" s="9"/>
    </row>
    <row r="75" spans="3:8" x14ac:dyDescent="0.25">
      <c r="C75" s="34"/>
      <c r="D75" s="45"/>
      <c r="E75" s="68" t="s">
        <v>1274</v>
      </c>
      <c r="F75" s="14">
        <v>-1583.4</v>
      </c>
      <c r="G75" s="14"/>
      <c r="H75" s="9"/>
    </row>
    <row r="76" spans="3:8" x14ac:dyDescent="0.25">
      <c r="C76" s="34"/>
      <c r="D76" s="45"/>
      <c r="E76" s="68" t="s">
        <v>8277</v>
      </c>
      <c r="F76" s="14">
        <v>-120</v>
      </c>
      <c r="G76" s="14"/>
      <c r="H76" s="9"/>
    </row>
    <row r="77" spans="3:8" x14ac:dyDescent="0.25">
      <c r="C77" s="34"/>
      <c r="D77" s="45"/>
      <c r="E77" s="68"/>
      <c r="F77" s="14"/>
      <c r="G77" s="14"/>
      <c r="H77" s="9"/>
    </row>
    <row r="78" spans="3:8" x14ac:dyDescent="0.25">
      <c r="C78" s="34"/>
      <c r="D78" s="42"/>
      <c r="E78" s="68"/>
      <c r="F78" s="14"/>
      <c r="G78" s="14"/>
      <c r="H78" s="9"/>
    </row>
    <row r="79" spans="3:8" ht="15.75" thickBot="1" x14ac:dyDescent="0.3">
      <c r="C79" s="10"/>
      <c r="D79" s="11"/>
      <c r="E79" s="11" t="s">
        <v>44</v>
      </c>
      <c r="F79" s="12">
        <f>SUM(F6:F78)</f>
        <v>6070</v>
      </c>
      <c r="G79" s="15">
        <f>SUM(G6:G78)</f>
        <v>4649.5</v>
      </c>
      <c r="H79" s="13">
        <f>SUM(H6:H78)</f>
        <v>17849.5</v>
      </c>
    </row>
    <row r="82" spans="3:6" s="3" customFormat="1" ht="18.75" x14ac:dyDescent="0.3">
      <c r="C82" s="1"/>
      <c r="D82" s="1"/>
      <c r="E82" s="38" t="s">
        <v>49</v>
      </c>
      <c r="F82" s="39">
        <f>+H4+F79</f>
        <v>17636.57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C161-3BDD-4C0D-9B76-DBA286312D63}">
  <sheetPr codeName="Hoja105"/>
  <dimension ref="C2:J107"/>
  <sheetViews>
    <sheetView topLeftCell="A21" zoomScale="89" zoomScaleNormal="89" workbookViewId="0">
      <selection activeCell="D25" sqref="D2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8278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17636.57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8281</v>
      </c>
      <c r="E6" s="2" t="s">
        <v>5918</v>
      </c>
      <c r="F6" s="109">
        <v>15</v>
      </c>
      <c r="G6" s="113"/>
      <c r="H6" s="112"/>
    </row>
    <row r="7" spans="3:10" x14ac:dyDescent="0.25">
      <c r="C7" s="24"/>
      <c r="D7" s="2" t="s">
        <v>8282</v>
      </c>
      <c r="E7" s="2" t="s">
        <v>5918</v>
      </c>
      <c r="F7" s="109">
        <v>18</v>
      </c>
      <c r="G7" s="113"/>
      <c r="H7" s="112"/>
      <c r="I7" s="36"/>
      <c r="J7" s="36"/>
    </row>
    <row r="8" spans="3:10" x14ac:dyDescent="0.25">
      <c r="C8" s="24"/>
      <c r="D8" s="2" t="s">
        <v>8283</v>
      </c>
      <c r="E8" s="2" t="s">
        <v>5918</v>
      </c>
      <c r="F8" s="109">
        <v>5</v>
      </c>
      <c r="G8" s="113"/>
      <c r="H8" s="112"/>
      <c r="J8" s="36"/>
    </row>
    <row r="9" spans="3:10" x14ac:dyDescent="0.25">
      <c r="C9" s="24"/>
      <c r="D9" s="2" t="s">
        <v>8284</v>
      </c>
      <c r="E9" s="2" t="s">
        <v>8296</v>
      </c>
      <c r="F9" s="109"/>
      <c r="G9" s="113"/>
      <c r="H9" s="112">
        <v>160</v>
      </c>
      <c r="J9" s="36"/>
    </row>
    <row r="10" spans="3:10" x14ac:dyDescent="0.25">
      <c r="C10" s="8"/>
      <c r="D10" s="2" t="s">
        <v>8285</v>
      </c>
      <c r="E10" s="2" t="s">
        <v>8173</v>
      </c>
      <c r="F10" s="4">
        <v>133.69999999999999</v>
      </c>
      <c r="G10" s="14"/>
      <c r="H10" s="9"/>
    </row>
    <row r="11" spans="3:10" x14ac:dyDescent="0.25">
      <c r="C11" s="8"/>
      <c r="D11" s="2" t="s">
        <v>8286</v>
      </c>
      <c r="E11" s="2" t="s">
        <v>7126</v>
      </c>
      <c r="F11" s="4">
        <v>386.5</v>
      </c>
      <c r="G11" s="14"/>
      <c r="H11" s="9"/>
    </row>
    <row r="12" spans="3:10" x14ac:dyDescent="0.25">
      <c r="C12" s="8"/>
      <c r="D12" s="2" t="s">
        <v>8287</v>
      </c>
      <c r="E12" s="2" t="s">
        <v>5918</v>
      </c>
      <c r="F12" s="4"/>
      <c r="G12" s="14"/>
      <c r="H12" s="9">
        <v>98.5</v>
      </c>
    </row>
    <row r="13" spans="3:10" x14ac:dyDescent="0.25">
      <c r="C13" s="8"/>
      <c r="D13" s="2" t="s">
        <v>8288</v>
      </c>
      <c r="E13" s="2" t="s">
        <v>7871</v>
      </c>
      <c r="F13" s="4">
        <v>390</v>
      </c>
      <c r="G13" s="14"/>
      <c r="H13" s="9"/>
    </row>
    <row r="14" spans="3:10" x14ac:dyDescent="0.25">
      <c r="C14" s="8"/>
      <c r="D14" s="2" t="s">
        <v>8289</v>
      </c>
      <c r="E14" s="2" t="s">
        <v>8295</v>
      </c>
      <c r="F14" s="4"/>
      <c r="G14" s="14"/>
      <c r="H14" s="9">
        <v>300</v>
      </c>
    </row>
    <row r="15" spans="3:10" x14ac:dyDescent="0.25">
      <c r="C15" s="8"/>
      <c r="D15" s="2" t="s">
        <v>8290</v>
      </c>
      <c r="E15" s="2" t="s">
        <v>5918</v>
      </c>
      <c r="F15" s="4"/>
      <c r="G15" s="14"/>
      <c r="H15" s="9">
        <v>5</v>
      </c>
    </row>
    <row r="16" spans="3:10" x14ac:dyDescent="0.25">
      <c r="C16" s="8"/>
      <c r="D16" s="2" t="s">
        <v>8291</v>
      </c>
      <c r="E16" s="2" t="s">
        <v>5918</v>
      </c>
      <c r="F16" s="4">
        <v>17</v>
      </c>
      <c r="G16" s="14"/>
      <c r="H16" s="9"/>
    </row>
    <row r="17" spans="3:8" x14ac:dyDescent="0.25">
      <c r="C17" s="8"/>
      <c r="D17" s="2" t="s">
        <v>8292</v>
      </c>
      <c r="E17" s="2" t="s">
        <v>8295</v>
      </c>
      <c r="F17" s="4"/>
      <c r="G17" s="14"/>
      <c r="H17" s="9">
        <v>38</v>
      </c>
    </row>
    <row r="18" spans="3:8" x14ac:dyDescent="0.25">
      <c r="C18" s="8"/>
      <c r="D18" s="2" t="s">
        <v>8293</v>
      </c>
      <c r="E18" s="2" t="s">
        <v>5918</v>
      </c>
      <c r="F18" s="4"/>
      <c r="G18" s="14"/>
      <c r="H18" s="9">
        <v>25</v>
      </c>
    </row>
    <row r="19" spans="3:8" x14ac:dyDescent="0.25">
      <c r="C19" s="8"/>
      <c r="D19" s="2" t="s">
        <v>8294</v>
      </c>
      <c r="E19" s="2" t="s">
        <v>4254</v>
      </c>
      <c r="F19" s="4"/>
      <c r="G19" s="14">
        <v>294.60000000000002</v>
      </c>
      <c r="H19" s="9"/>
    </row>
    <row r="20" spans="3:8" x14ac:dyDescent="0.25">
      <c r="C20" s="8"/>
      <c r="D20" s="2" t="s">
        <v>8338</v>
      </c>
      <c r="E20" s="2" t="s">
        <v>7719</v>
      </c>
      <c r="F20" s="4"/>
      <c r="G20" s="14"/>
      <c r="H20" s="9">
        <v>130</v>
      </c>
    </row>
    <row r="21" spans="3:8" x14ac:dyDescent="0.25">
      <c r="C21" s="8"/>
      <c r="D21" s="2" t="s">
        <v>8339</v>
      </c>
      <c r="E21" s="2" t="s">
        <v>5918</v>
      </c>
      <c r="F21" s="4"/>
      <c r="G21" s="14"/>
      <c r="H21" s="9">
        <v>6.5</v>
      </c>
    </row>
    <row r="22" spans="3:8" x14ac:dyDescent="0.25">
      <c r="C22" s="8"/>
      <c r="D22" s="2" t="s">
        <v>8340</v>
      </c>
      <c r="E22" s="2" t="s">
        <v>6610</v>
      </c>
      <c r="F22" s="4"/>
      <c r="G22" s="14"/>
      <c r="H22" s="9">
        <v>1548</v>
      </c>
    </row>
    <row r="23" spans="3:8" x14ac:dyDescent="0.25">
      <c r="C23" s="8"/>
      <c r="D23" s="2" t="s">
        <v>8341</v>
      </c>
      <c r="E23" s="2" t="s">
        <v>5918</v>
      </c>
      <c r="F23" s="4">
        <v>5</v>
      </c>
      <c r="G23" s="14"/>
      <c r="H23" s="9"/>
    </row>
    <row r="24" spans="3:8" x14ac:dyDescent="0.25">
      <c r="C24" s="8"/>
      <c r="D24" s="2" t="s">
        <v>8346</v>
      </c>
      <c r="E24" s="2" t="s">
        <v>5918</v>
      </c>
      <c r="F24" s="4">
        <v>10</v>
      </c>
      <c r="G24" s="14"/>
      <c r="H24" s="9"/>
    </row>
    <row r="25" spans="3:8" x14ac:dyDescent="0.25">
      <c r="C25" s="8"/>
      <c r="D25" s="2" t="s">
        <v>8381</v>
      </c>
      <c r="E25" s="2"/>
      <c r="F25" s="4"/>
      <c r="G25" s="14"/>
      <c r="H25" s="9"/>
    </row>
    <row r="26" spans="3:8" x14ac:dyDescent="0.25">
      <c r="C26" s="8"/>
      <c r="D26" s="2"/>
      <c r="E26" s="2"/>
      <c r="F26" s="4"/>
      <c r="G26" s="14"/>
      <c r="H26" s="9"/>
    </row>
    <row r="27" spans="3:8" x14ac:dyDescent="0.25">
      <c r="C27" s="8"/>
      <c r="D27" s="2" t="s">
        <v>8298</v>
      </c>
      <c r="E27" s="2" t="s">
        <v>5708</v>
      </c>
      <c r="F27" s="4">
        <v>4</v>
      </c>
      <c r="G27" s="14"/>
      <c r="H27" s="9"/>
    </row>
    <row r="28" spans="3:8" x14ac:dyDescent="0.25">
      <c r="C28" s="8"/>
      <c r="D28" s="2" t="s">
        <v>8305</v>
      </c>
      <c r="E28" s="2" t="s">
        <v>5708</v>
      </c>
      <c r="F28" s="4"/>
      <c r="G28" s="14"/>
      <c r="H28" s="9">
        <v>7</v>
      </c>
    </row>
    <row r="29" spans="3:8" x14ac:dyDescent="0.25">
      <c r="C29" s="8"/>
      <c r="D29" s="2" t="s">
        <v>8306</v>
      </c>
      <c r="E29" s="2" t="s">
        <v>8035</v>
      </c>
      <c r="F29" s="4"/>
      <c r="G29" s="14"/>
      <c r="H29" s="9">
        <v>1989</v>
      </c>
    </row>
    <row r="30" spans="3:8" x14ac:dyDescent="0.25">
      <c r="C30" s="8"/>
      <c r="D30" s="2" t="s">
        <v>8307</v>
      </c>
      <c r="E30" s="2" t="s">
        <v>5708</v>
      </c>
      <c r="F30" s="4"/>
      <c r="G30" s="14"/>
      <c r="H30" s="9">
        <v>6</v>
      </c>
    </row>
    <row r="31" spans="3:8" x14ac:dyDescent="0.25">
      <c r="C31" s="8"/>
      <c r="D31" s="2" t="s">
        <v>8308</v>
      </c>
      <c r="E31" s="2" t="s">
        <v>5708</v>
      </c>
      <c r="F31" s="4">
        <v>7.5</v>
      </c>
      <c r="G31" s="14"/>
      <c r="H31" s="9"/>
    </row>
    <row r="32" spans="3:8" x14ac:dyDescent="0.25">
      <c r="C32" s="8"/>
      <c r="D32" s="2" t="s">
        <v>8309</v>
      </c>
      <c r="E32" s="2" t="s">
        <v>5708</v>
      </c>
      <c r="F32" s="4"/>
      <c r="G32" s="14"/>
      <c r="H32" s="9">
        <v>170.5</v>
      </c>
    </row>
    <row r="33" spans="3:8" x14ac:dyDescent="0.25">
      <c r="C33" s="8"/>
      <c r="D33" s="2" t="s">
        <v>8310</v>
      </c>
      <c r="E33" s="2" t="s">
        <v>5708</v>
      </c>
      <c r="F33" s="4"/>
      <c r="G33" s="14"/>
      <c r="H33" s="9">
        <v>5</v>
      </c>
    </row>
    <row r="34" spans="3:8" x14ac:dyDescent="0.25">
      <c r="C34" s="8"/>
      <c r="D34" s="2" t="s">
        <v>8311</v>
      </c>
      <c r="E34" s="2" t="s">
        <v>5708</v>
      </c>
      <c r="F34" s="4"/>
      <c r="G34" s="14"/>
      <c r="H34" s="9">
        <v>35</v>
      </c>
    </row>
    <row r="35" spans="3:8" x14ac:dyDescent="0.25">
      <c r="C35" s="8"/>
      <c r="D35" s="2" t="s">
        <v>8312</v>
      </c>
      <c r="E35" s="2" t="s">
        <v>8328</v>
      </c>
      <c r="F35" s="4"/>
      <c r="G35" s="14">
        <v>75</v>
      </c>
      <c r="H35" s="9"/>
    </row>
    <row r="36" spans="3:8" x14ac:dyDescent="0.25">
      <c r="C36" s="8"/>
      <c r="D36" s="2" t="s">
        <v>8313</v>
      </c>
      <c r="E36" s="2" t="s">
        <v>8327</v>
      </c>
      <c r="F36" s="4">
        <v>165</v>
      </c>
      <c r="G36" s="14"/>
      <c r="H36" s="9"/>
    </row>
    <row r="37" spans="3:8" x14ac:dyDescent="0.25">
      <c r="C37" s="8"/>
      <c r="D37" s="2" t="s">
        <v>8314</v>
      </c>
      <c r="E37" s="2" t="s">
        <v>4322</v>
      </c>
      <c r="F37" s="4"/>
      <c r="G37" s="14"/>
      <c r="H37" s="9">
        <v>350</v>
      </c>
    </row>
    <row r="38" spans="3:8" x14ac:dyDescent="0.25">
      <c r="C38" s="8"/>
      <c r="D38" s="2" t="s">
        <v>8315</v>
      </c>
      <c r="E38" s="2" t="s">
        <v>5708</v>
      </c>
      <c r="F38" s="4">
        <v>4.5</v>
      </c>
      <c r="G38" s="14"/>
      <c r="H38" s="9"/>
    </row>
    <row r="39" spans="3:8" x14ac:dyDescent="0.25">
      <c r="C39" s="8"/>
      <c r="D39" s="2" t="s">
        <v>8316</v>
      </c>
      <c r="E39" s="2" t="s">
        <v>5708</v>
      </c>
      <c r="F39" s="4"/>
      <c r="G39" s="14"/>
      <c r="H39" s="9">
        <v>6</v>
      </c>
    </row>
    <row r="40" spans="3:8" x14ac:dyDescent="0.25">
      <c r="C40" s="8"/>
      <c r="D40" s="2" t="s">
        <v>8317</v>
      </c>
      <c r="E40" s="2" t="s">
        <v>8326</v>
      </c>
      <c r="F40" s="4"/>
      <c r="G40" s="14"/>
      <c r="H40" s="9">
        <v>342.6</v>
      </c>
    </row>
    <row r="41" spans="3:8" x14ac:dyDescent="0.25">
      <c r="C41" s="8"/>
      <c r="D41" s="2" t="s">
        <v>8318</v>
      </c>
      <c r="E41" s="2" t="s">
        <v>4548</v>
      </c>
      <c r="F41" s="4">
        <v>132.4</v>
      </c>
      <c r="G41" s="14"/>
      <c r="H41" s="9"/>
    </row>
    <row r="42" spans="3:8" x14ac:dyDescent="0.25">
      <c r="C42" s="8"/>
      <c r="D42" s="2" t="s">
        <v>8319</v>
      </c>
      <c r="E42" s="2" t="s">
        <v>164</v>
      </c>
      <c r="F42" s="4">
        <v>9700</v>
      </c>
      <c r="G42" s="14"/>
      <c r="H42" s="9"/>
    </row>
    <row r="43" spans="3:8" x14ac:dyDescent="0.25">
      <c r="C43" s="8"/>
      <c r="D43" s="2" t="s">
        <v>8320</v>
      </c>
      <c r="E43" s="2" t="s">
        <v>5708</v>
      </c>
      <c r="F43" s="4"/>
      <c r="G43" s="14"/>
      <c r="H43" s="9">
        <v>18</v>
      </c>
    </row>
    <row r="44" spans="3:8" x14ac:dyDescent="0.25">
      <c r="C44" s="8"/>
      <c r="D44" s="2" t="s">
        <v>8321</v>
      </c>
      <c r="E44" s="2" t="s">
        <v>5708</v>
      </c>
      <c r="F44" s="4">
        <v>9</v>
      </c>
      <c r="G44" s="14"/>
      <c r="H44" s="9"/>
    </row>
    <row r="45" spans="3:8" x14ac:dyDescent="0.25">
      <c r="C45" s="8"/>
      <c r="D45" s="2" t="s">
        <v>8322</v>
      </c>
      <c r="E45" s="2" t="s">
        <v>5708</v>
      </c>
      <c r="F45" s="4">
        <v>11</v>
      </c>
      <c r="G45" s="14"/>
      <c r="H45" s="9"/>
    </row>
    <row r="46" spans="3:8" x14ac:dyDescent="0.25">
      <c r="C46" s="8"/>
      <c r="D46" s="2" t="s">
        <v>8323</v>
      </c>
      <c r="E46" s="2" t="s">
        <v>5708</v>
      </c>
      <c r="F46" s="4">
        <v>13</v>
      </c>
      <c r="G46" s="14"/>
      <c r="H46" s="9"/>
    </row>
    <row r="47" spans="3:8" x14ac:dyDescent="0.25">
      <c r="C47" s="8"/>
      <c r="D47" s="2" t="s">
        <v>8324</v>
      </c>
      <c r="E47" s="2" t="s">
        <v>5802</v>
      </c>
      <c r="F47" s="4">
        <v>96</v>
      </c>
      <c r="G47" s="14"/>
      <c r="H47" s="9"/>
    </row>
    <row r="48" spans="3:8" x14ac:dyDescent="0.25">
      <c r="C48" s="8"/>
      <c r="D48" s="2" t="s">
        <v>8325</v>
      </c>
      <c r="E48" s="2" t="s">
        <v>5802</v>
      </c>
      <c r="F48" s="4"/>
      <c r="G48" s="14"/>
      <c r="H48" s="9">
        <v>1725</v>
      </c>
    </row>
    <row r="49" spans="3:8" x14ac:dyDescent="0.25">
      <c r="C49" s="8"/>
      <c r="D49" s="2" t="s">
        <v>8342</v>
      </c>
      <c r="E49" s="2" t="s">
        <v>5708</v>
      </c>
      <c r="F49" s="4">
        <v>5</v>
      </c>
      <c r="G49" s="14"/>
      <c r="H49" s="9"/>
    </row>
    <row r="50" spans="3:8" x14ac:dyDescent="0.25">
      <c r="C50" s="8"/>
      <c r="D50" s="2" t="s">
        <v>8347</v>
      </c>
      <c r="E50" s="2" t="s">
        <v>5708</v>
      </c>
      <c r="F50" s="4"/>
      <c r="G50" s="14"/>
      <c r="H50" s="9">
        <v>156.6</v>
      </c>
    </row>
    <row r="51" spans="3:8" x14ac:dyDescent="0.25">
      <c r="C51" s="8"/>
      <c r="D51" s="2" t="s">
        <v>8355</v>
      </c>
      <c r="E51" s="2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29"/>
      <c r="D56" s="30"/>
      <c r="E56" s="30" t="s">
        <v>60</v>
      </c>
      <c r="F56" s="4"/>
      <c r="G56" s="14"/>
      <c r="H56" s="9"/>
    </row>
    <row r="57" spans="3:8" x14ac:dyDescent="0.25">
      <c r="C57" s="8"/>
      <c r="D57" s="2" t="s">
        <v>8279</v>
      </c>
      <c r="E57" s="76" t="s">
        <v>5089</v>
      </c>
      <c r="F57" s="35"/>
      <c r="G57" s="14"/>
      <c r="H57" s="9">
        <v>18</v>
      </c>
    </row>
    <row r="58" spans="3:8" x14ac:dyDescent="0.25">
      <c r="C58" s="8"/>
      <c r="D58" s="2" t="s">
        <v>8280</v>
      </c>
      <c r="E58" s="76" t="s">
        <v>5089</v>
      </c>
      <c r="F58" s="35"/>
      <c r="G58" s="14"/>
      <c r="H58" s="9">
        <v>21</v>
      </c>
    </row>
    <row r="59" spans="3:8" x14ac:dyDescent="0.25">
      <c r="C59" s="8"/>
      <c r="D59" s="2" t="s">
        <v>8303</v>
      </c>
      <c r="E59" s="76" t="s">
        <v>8302</v>
      </c>
      <c r="F59" s="35"/>
      <c r="G59" s="14">
        <v>6680.9</v>
      </c>
      <c r="H59" s="9"/>
    </row>
    <row r="60" spans="3:8" x14ac:dyDescent="0.25">
      <c r="C60" s="8"/>
      <c r="D60" s="2" t="s">
        <v>8304</v>
      </c>
      <c r="E60" s="76" t="s">
        <v>8302</v>
      </c>
      <c r="F60" s="35"/>
      <c r="G60" s="14">
        <v>563</v>
      </c>
      <c r="H60" s="9"/>
    </row>
    <row r="61" spans="3:8" x14ac:dyDescent="0.25">
      <c r="C61" s="8"/>
      <c r="D61" s="2"/>
      <c r="E61" s="68"/>
      <c r="F61" s="4"/>
      <c r="G61" s="14"/>
      <c r="H61" s="9"/>
    </row>
    <row r="62" spans="3:8" x14ac:dyDescent="0.25">
      <c r="C62" s="8"/>
      <c r="D62" s="2"/>
      <c r="E62" s="76"/>
      <c r="F62" s="4"/>
      <c r="G62" s="14"/>
      <c r="H62" s="9"/>
    </row>
    <row r="63" spans="3:8" x14ac:dyDescent="0.25">
      <c r="C63" s="8"/>
      <c r="D63" s="2"/>
      <c r="E63" s="68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16"/>
      <c r="D65" s="17"/>
      <c r="E65" s="17" t="s">
        <v>39</v>
      </c>
      <c r="F65" s="4"/>
      <c r="G65" s="14"/>
      <c r="H65" s="9"/>
    </row>
    <row r="66" spans="3:8" ht="15.75" customHeight="1" x14ac:dyDescent="0.25">
      <c r="C66" s="8"/>
      <c r="D66" s="2"/>
      <c r="E66" s="76" t="s">
        <v>8329</v>
      </c>
      <c r="F66" s="35">
        <v>139.5</v>
      </c>
      <c r="G66" s="14"/>
      <c r="H66" s="9"/>
    </row>
    <row r="67" spans="3:8" ht="15.75" customHeight="1" x14ac:dyDescent="0.25">
      <c r="C67" s="8"/>
      <c r="D67" s="2"/>
      <c r="E67" s="76" t="s">
        <v>8330</v>
      </c>
      <c r="F67" s="35">
        <v>32</v>
      </c>
      <c r="G67" s="14"/>
      <c r="H67" s="9"/>
    </row>
    <row r="68" spans="3:8" x14ac:dyDescent="0.25">
      <c r="C68" s="8"/>
      <c r="D68" s="2"/>
      <c r="E68" s="76" t="s">
        <v>8331</v>
      </c>
      <c r="F68" s="35">
        <v>165</v>
      </c>
      <c r="G68" s="14"/>
      <c r="H68" s="9"/>
    </row>
    <row r="69" spans="3:8" x14ac:dyDescent="0.25">
      <c r="C69" s="8"/>
      <c r="D69" s="2"/>
      <c r="E69" s="76" t="s">
        <v>8332</v>
      </c>
      <c r="F69" s="35">
        <v>45</v>
      </c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14"/>
      <c r="G76" s="14"/>
      <c r="H76" s="9"/>
    </row>
    <row r="77" spans="3:8" x14ac:dyDescent="0.25">
      <c r="C77" s="34"/>
      <c r="D77" s="45"/>
      <c r="E77" s="76" t="s">
        <v>8299</v>
      </c>
      <c r="F77" s="14">
        <v>-122.5</v>
      </c>
      <c r="G77" s="14"/>
      <c r="H77" s="9"/>
    </row>
    <row r="78" spans="3:8" x14ac:dyDescent="0.25">
      <c r="C78" s="34"/>
      <c r="D78" s="45"/>
      <c r="E78" s="68" t="s">
        <v>8300</v>
      </c>
      <c r="F78" s="14">
        <v>-760</v>
      </c>
      <c r="G78" s="14"/>
      <c r="H78" s="9"/>
    </row>
    <row r="79" spans="3:8" x14ac:dyDescent="0.25">
      <c r="C79" s="34"/>
      <c r="D79" s="45"/>
      <c r="E79" s="68" t="s">
        <v>8301</v>
      </c>
      <c r="F79" s="14">
        <v>-1665</v>
      </c>
      <c r="G79" s="14"/>
      <c r="H79" s="9"/>
    </row>
    <row r="80" spans="3:8" x14ac:dyDescent="0.25">
      <c r="C80" s="34"/>
      <c r="D80" s="45"/>
      <c r="E80" s="68" t="s">
        <v>8333</v>
      </c>
      <c r="F80" s="14">
        <v>-1</v>
      </c>
      <c r="G80" s="14"/>
      <c r="H80" s="9"/>
    </row>
    <row r="81" spans="3:8" x14ac:dyDescent="0.25">
      <c r="C81" s="34"/>
      <c r="D81" s="45"/>
      <c r="E81" s="68" t="s">
        <v>8334</v>
      </c>
      <c r="F81" s="14">
        <v>-36</v>
      </c>
      <c r="G81" s="14"/>
      <c r="H81" s="9"/>
    </row>
    <row r="82" spans="3:8" x14ac:dyDescent="0.25">
      <c r="C82" s="34"/>
      <c r="D82" s="45"/>
      <c r="E82" s="68" t="s">
        <v>8344</v>
      </c>
      <c r="F82" s="14">
        <v>-50</v>
      </c>
      <c r="G82" s="14"/>
      <c r="H82" s="9"/>
    </row>
    <row r="83" spans="3:8" x14ac:dyDescent="0.25">
      <c r="C83" s="34"/>
      <c r="D83" s="45"/>
      <c r="E83" s="68"/>
      <c r="F83" s="14"/>
      <c r="G83" s="14"/>
      <c r="H83" s="9"/>
    </row>
    <row r="84" spans="3:8" x14ac:dyDescent="0.25">
      <c r="C84" s="34"/>
      <c r="D84" s="45"/>
      <c r="E84" s="68"/>
      <c r="F84" s="14"/>
      <c r="G84" s="14"/>
      <c r="H84" s="9"/>
    </row>
    <row r="85" spans="3:8" x14ac:dyDescent="0.25">
      <c r="C85" s="34"/>
      <c r="D85" s="45"/>
      <c r="E85" s="68"/>
      <c r="F85" s="14"/>
      <c r="G85" s="14"/>
      <c r="H85" s="9"/>
    </row>
    <row r="86" spans="3:8" x14ac:dyDescent="0.25">
      <c r="C86" s="34"/>
      <c r="D86" s="45"/>
      <c r="E86" s="68" t="s">
        <v>8335</v>
      </c>
      <c r="F86" s="14">
        <v>-100</v>
      </c>
      <c r="G86" s="14"/>
      <c r="H86" s="9"/>
    </row>
    <row r="87" spans="3:8" x14ac:dyDescent="0.25">
      <c r="C87" s="34"/>
      <c r="D87" s="45"/>
      <c r="E87" s="68" t="s">
        <v>8336</v>
      </c>
      <c r="F87" s="14">
        <v>-101</v>
      </c>
      <c r="G87" s="14"/>
      <c r="H87" s="9"/>
    </row>
    <row r="88" spans="3:8" x14ac:dyDescent="0.25">
      <c r="C88" s="34"/>
      <c r="D88" s="45"/>
      <c r="E88" s="68" t="s">
        <v>8337</v>
      </c>
      <c r="F88" s="14">
        <v>-10</v>
      </c>
      <c r="G88" s="14"/>
      <c r="H88" s="9"/>
    </row>
    <row r="89" spans="3:8" x14ac:dyDescent="0.25">
      <c r="C89" s="34"/>
      <c r="D89" s="45"/>
      <c r="E89" s="68" t="s">
        <v>8343</v>
      </c>
      <c r="F89" s="14">
        <v>-61</v>
      </c>
      <c r="G89" s="14"/>
      <c r="H89" s="9"/>
    </row>
    <row r="90" spans="3:8" x14ac:dyDescent="0.25">
      <c r="C90" s="34"/>
      <c r="D90" s="45"/>
      <c r="E90" s="68" t="s">
        <v>1466</v>
      </c>
      <c r="F90" s="14">
        <v>-270</v>
      </c>
      <c r="G90" s="14"/>
      <c r="H90" s="9"/>
    </row>
    <row r="91" spans="3:8" x14ac:dyDescent="0.25">
      <c r="C91" s="34"/>
      <c r="D91" s="45"/>
      <c r="E91" s="68" t="s">
        <v>760</v>
      </c>
      <c r="F91" s="14">
        <v>-400</v>
      </c>
      <c r="G91" s="14"/>
      <c r="H91" s="9"/>
    </row>
    <row r="92" spans="3:8" x14ac:dyDescent="0.25">
      <c r="C92" s="34"/>
      <c r="D92" s="45"/>
      <c r="E92" s="68" t="s">
        <v>1481</v>
      </c>
      <c r="F92" s="14">
        <v>-360</v>
      </c>
      <c r="G92" s="14"/>
      <c r="H92" s="9"/>
    </row>
    <row r="93" spans="3:8" x14ac:dyDescent="0.25">
      <c r="C93" s="34"/>
      <c r="D93" s="45"/>
      <c r="E93" s="68" t="s">
        <v>8345</v>
      </c>
      <c r="F93" s="14">
        <v>-60</v>
      </c>
      <c r="G93" s="14"/>
      <c r="H93" s="9"/>
    </row>
    <row r="94" spans="3:8" x14ac:dyDescent="0.25">
      <c r="C94" s="34"/>
      <c r="D94" s="45"/>
      <c r="E94" s="68" t="s">
        <v>5967</v>
      </c>
      <c r="F94" s="14">
        <v>-240</v>
      </c>
      <c r="G94" s="14"/>
      <c r="H94" s="9"/>
    </row>
    <row r="95" spans="3:8" x14ac:dyDescent="0.25">
      <c r="C95" s="34"/>
      <c r="D95" s="45"/>
      <c r="E95" s="68" t="s">
        <v>759</v>
      </c>
      <c r="F95" s="14">
        <v>-440</v>
      </c>
      <c r="G95" s="14"/>
      <c r="H95" s="9"/>
    </row>
    <row r="96" spans="3:8" x14ac:dyDescent="0.25">
      <c r="C96" s="34"/>
      <c r="D96" s="45"/>
      <c r="E96" s="68" t="s">
        <v>8348</v>
      </c>
      <c r="F96" s="14">
        <v>-3.5</v>
      </c>
      <c r="G96" s="14"/>
      <c r="H96" s="9"/>
    </row>
    <row r="97" spans="3:9" x14ac:dyDescent="0.25">
      <c r="C97" s="34"/>
      <c r="D97" s="45"/>
      <c r="E97" s="68" t="s">
        <v>1486</v>
      </c>
      <c r="F97" s="14">
        <v>-470</v>
      </c>
      <c r="G97" s="14"/>
      <c r="H97" s="9"/>
    </row>
    <row r="98" spans="3:9" x14ac:dyDescent="0.25">
      <c r="C98" s="34"/>
      <c r="D98" s="45"/>
      <c r="E98" s="68" t="s">
        <v>8349</v>
      </c>
      <c r="F98" s="14">
        <v>-20898.72</v>
      </c>
      <c r="G98" s="14"/>
      <c r="H98" s="9"/>
      <c r="I98" t="s">
        <v>8350</v>
      </c>
    </row>
    <row r="99" spans="3:9" x14ac:dyDescent="0.25">
      <c r="C99" s="34"/>
      <c r="D99" s="45"/>
      <c r="E99" s="68" t="s">
        <v>7928</v>
      </c>
      <c r="F99" s="14">
        <v>-900</v>
      </c>
      <c r="G99" s="14"/>
      <c r="H99" s="9"/>
    </row>
    <row r="100" spans="3:9" x14ac:dyDescent="0.25">
      <c r="C100" s="34"/>
      <c r="D100" s="45"/>
      <c r="E100" s="68" t="s">
        <v>6492</v>
      </c>
      <c r="F100" s="14">
        <v>-155</v>
      </c>
      <c r="G100" s="14"/>
      <c r="H100" s="9"/>
    </row>
    <row r="101" spans="3:9" x14ac:dyDescent="0.25">
      <c r="C101" s="34"/>
      <c r="D101" s="45"/>
      <c r="E101" s="68" t="s">
        <v>8351</v>
      </c>
      <c r="F101" s="14">
        <v>-60</v>
      </c>
      <c r="G101" s="14"/>
      <c r="H101" s="9"/>
    </row>
    <row r="102" spans="3:9" x14ac:dyDescent="0.25">
      <c r="C102" s="34"/>
      <c r="D102" s="45"/>
      <c r="E102" s="68"/>
      <c r="F102" s="14"/>
      <c r="G102" s="14"/>
      <c r="H102" s="9"/>
    </row>
    <row r="103" spans="3:9" x14ac:dyDescent="0.25">
      <c r="C103" s="34"/>
      <c r="D103" s="42"/>
      <c r="E103" s="68"/>
      <c r="F103" s="14"/>
      <c r="G103" s="14"/>
      <c r="H103" s="9"/>
    </row>
    <row r="104" spans="3:9" ht="15.75" thickBot="1" x14ac:dyDescent="0.3">
      <c r="C104" s="10"/>
      <c r="D104" s="11"/>
      <c r="E104" s="11" t="s">
        <v>44</v>
      </c>
      <c r="F104" s="12">
        <f>SUM(F6:F103)</f>
        <v>-15654.62</v>
      </c>
      <c r="G104" s="15">
        <f>SUM(G6:G103)</f>
        <v>7613.5</v>
      </c>
      <c r="H104" s="13">
        <f>SUM(H6:H103)</f>
        <v>7160.7000000000007</v>
      </c>
    </row>
    <row r="107" spans="3:9" s="3" customFormat="1" ht="18.75" x14ac:dyDescent="0.3">
      <c r="C107" s="1"/>
      <c r="D107" s="1"/>
      <c r="E107" s="38" t="s">
        <v>49</v>
      </c>
      <c r="F107" s="39">
        <f>+H4+F104</f>
        <v>1981.9499999999989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A4B0-99FC-4AA1-8F18-195B38DF2E67}">
  <sheetPr codeName="Hoja106"/>
  <dimension ref="C2:J58"/>
  <sheetViews>
    <sheetView topLeftCell="A24" zoomScale="89" zoomScaleNormal="89" workbookViewId="0">
      <selection activeCell="E59" sqref="E59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8352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1981.95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8355</v>
      </c>
      <c r="E6" s="2" t="s">
        <v>48</v>
      </c>
      <c r="F6" s="109">
        <v>9.5</v>
      </c>
      <c r="G6" s="113"/>
      <c r="H6" s="112"/>
    </row>
    <row r="7" spans="3:10" x14ac:dyDescent="0.25">
      <c r="C7" s="24"/>
      <c r="D7" s="2" t="s">
        <v>8356</v>
      </c>
      <c r="E7" s="2" t="s">
        <v>48</v>
      </c>
      <c r="F7" s="109">
        <v>54</v>
      </c>
      <c r="G7" s="113"/>
      <c r="H7" s="112">
        <v>79</v>
      </c>
      <c r="I7" s="36"/>
      <c r="J7" s="36"/>
    </row>
    <row r="8" spans="3:10" x14ac:dyDescent="0.25">
      <c r="C8" s="24"/>
      <c r="D8" s="2" t="s">
        <v>8357</v>
      </c>
      <c r="E8" s="2" t="s">
        <v>48</v>
      </c>
      <c r="F8" s="109">
        <v>31.5</v>
      </c>
      <c r="G8" s="113"/>
      <c r="H8" s="112"/>
      <c r="J8" s="36"/>
    </row>
    <row r="9" spans="3:10" x14ac:dyDescent="0.25">
      <c r="C9" s="24"/>
      <c r="D9" s="2" t="s">
        <v>8358</v>
      </c>
      <c r="E9" s="2" t="s">
        <v>48</v>
      </c>
      <c r="F9" s="109">
        <v>4.5</v>
      </c>
      <c r="G9" s="113"/>
      <c r="H9" s="112"/>
      <c r="J9" s="36"/>
    </row>
    <row r="10" spans="3:10" x14ac:dyDescent="0.25">
      <c r="C10" s="8"/>
      <c r="D10" s="2" t="s">
        <v>8359</v>
      </c>
      <c r="E10" s="2" t="s">
        <v>48</v>
      </c>
      <c r="F10" s="4">
        <v>2.5</v>
      </c>
      <c r="G10" s="14"/>
      <c r="H10" s="9"/>
    </row>
    <row r="11" spans="3:10" x14ac:dyDescent="0.25">
      <c r="C11" s="8"/>
      <c r="D11" s="2" t="s">
        <v>8360</v>
      </c>
      <c r="E11" s="2" t="s">
        <v>48</v>
      </c>
      <c r="F11" s="4">
        <v>4.5</v>
      </c>
      <c r="G11" s="14"/>
      <c r="H11" s="9"/>
    </row>
    <row r="12" spans="3:10" x14ac:dyDescent="0.25">
      <c r="C12" s="8"/>
      <c r="D12" s="2" t="s">
        <v>8361</v>
      </c>
      <c r="E12" s="2" t="s">
        <v>48</v>
      </c>
      <c r="F12" s="4">
        <v>65</v>
      </c>
      <c r="G12" s="14"/>
      <c r="H12" s="9"/>
    </row>
    <row r="13" spans="3:10" x14ac:dyDescent="0.25">
      <c r="C13" s="8"/>
      <c r="D13" s="2" t="s">
        <v>8362</v>
      </c>
      <c r="E13" s="2" t="s">
        <v>48</v>
      </c>
      <c r="F13" s="4">
        <v>5</v>
      </c>
      <c r="G13" s="14"/>
      <c r="H13" s="9"/>
    </row>
    <row r="14" spans="3:10" x14ac:dyDescent="0.25">
      <c r="C14" s="8"/>
      <c r="D14" s="2" t="s">
        <v>8363</v>
      </c>
      <c r="E14" s="2" t="s">
        <v>48</v>
      </c>
      <c r="F14" s="4"/>
      <c r="G14" s="14"/>
      <c r="H14" s="9">
        <v>84</v>
      </c>
    </row>
    <row r="15" spans="3:10" x14ac:dyDescent="0.25">
      <c r="C15" s="8"/>
      <c r="D15" s="2" t="s">
        <v>8364</v>
      </c>
      <c r="E15" s="2" t="s">
        <v>48</v>
      </c>
      <c r="F15" s="4">
        <v>11.5</v>
      </c>
      <c r="G15" s="14"/>
      <c r="H15" s="9"/>
    </row>
    <row r="16" spans="3:10" x14ac:dyDescent="0.25">
      <c r="C16" s="8"/>
      <c r="D16" s="2" t="s">
        <v>8365</v>
      </c>
      <c r="E16" s="2" t="s">
        <v>6593</v>
      </c>
      <c r="F16" s="4"/>
      <c r="G16" s="14"/>
      <c r="H16" s="9">
        <v>23</v>
      </c>
    </row>
    <row r="17" spans="3:8" x14ac:dyDescent="0.25">
      <c r="C17" s="8"/>
      <c r="D17" s="2" t="s">
        <v>8366</v>
      </c>
      <c r="E17" s="2" t="s">
        <v>8369</v>
      </c>
      <c r="F17" s="4">
        <v>23</v>
      </c>
      <c r="G17" s="14"/>
      <c r="H17" s="9"/>
    </row>
    <row r="18" spans="3:8" x14ac:dyDescent="0.25">
      <c r="C18" s="8"/>
      <c r="D18" s="2" t="s">
        <v>8367</v>
      </c>
      <c r="E18" s="2" t="s">
        <v>48</v>
      </c>
      <c r="F18" s="4">
        <v>4.5</v>
      </c>
      <c r="G18" s="14"/>
      <c r="H18" s="9"/>
    </row>
    <row r="19" spans="3:8" x14ac:dyDescent="0.25">
      <c r="C19" s="8"/>
      <c r="D19" s="2" t="s">
        <v>8368</v>
      </c>
      <c r="E19" s="2" t="s">
        <v>48</v>
      </c>
      <c r="F19" s="4"/>
      <c r="G19" s="14"/>
      <c r="H19" s="9">
        <v>29</v>
      </c>
    </row>
    <row r="20" spans="3:8" x14ac:dyDescent="0.25">
      <c r="C20" s="8"/>
      <c r="D20" s="2" t="s">
        <v>8371</v>
      </c>
      <c r="E20" s="2" t="s">
        <v>48</v>
      </c>
      <c r="F20" s="4">
        <v>28</v>
      </c>
      <c r="G20" s="14"/>
      <c r="H20" s="9"/>
    </row>
    <row r="21" spans="3:8" x14ac:dyDescent="0.25">
      <c r="C21" s="8"/>
      <c r="D21" s="2" t="s">
        <v>8372</v>
      </c>
      <c r="E21" s="2" t="s">
        <v>48</v>
      </c>
      <c r="F21" s="4"/>
      <c r="G21" s="14"/>
      <c r="H21" s="9">
        <v>23</v>
      </c>
    </row>
    <row r="22" spans="3:8" x14ac:dyDescent="0.25">
      <c r="C22" s="8"/>
      <c r="D22" s="2" t="s">
        <v>8373</v>
      </c>
      <c r="E22" s="2" t="s">
        <v>48</v>
      </c>
      <c r="F22" s="4"/>
      <c r="G22" s="14"/>
      <c r="H22" s="9">
        <v>354</v>
      </c>
    </row>
    <row r="23" spans="3:8" x14ac:dyDescent="0.25">
      <c r="C23" s="8"/>
      <c r="D23" s="2" t="s">
        <v>8374</v>
      </c>
      <c r="E23" s="2" t="s">
        <v>48</v>
      </c>
      <c r="F23" s="4">
        <v>6</v>
      </c>
      <c r="G23" s="14"/>
      <c r="H23" s="9"/>
    </row>
    <row r="24" spans="3:8" x14ac:dyDescent="0.25">
      <c r="C24" s="8"/>
      <c r="D24" s="2" t="s">
        <v>8376</v>
      </c>
      <c r="E24" s="2" t="s">
        <v>48</v>
      </c>
      <c r="F24" s="4">
        <v>11</v>
      </c>
      <c r="G24" s="14"/>
      <c r="H24" s="9"/>
    </row>
    <row r="25" spans="3:8" x14ac:dyDescent="0.25">
      <c r="C25" s="8"/>
      <c r="D25" s="2" t="s">
        <v>8377</v>
      </c>
      <c r="E25" s="2" t="s">
        <v>48</v>
      </c>
      <c r="F25" s="4"/>
      <c r="G25" s="14"/>
      <c r="H25" s="9">
        <v>5.5</v>
      </c>
    </row>
    <row r="26" spans="3:8" x14ac:dyDescent="0.25">
      <c r="C26" s="8"/>
      <c r="D26" s="2" t="s">
        <v>8402</v>
      </c>
      <c r="E26" s="2"/>
      <c r="F26" s="4"/>
      <c r="G26" s="14"/>
      <c r="H26" s="9"/>
    </row>
    <row r="27" spans="3:8" x14ac:dyDescent="0.25">
      <c r="C27" s="8"/>
      <c r="D27" s="2"/>
      <c r="E27" s="2"/>
      <c r="F27" s="4"/>
      <c r="G27" s="14"/>
      <c r="H27" s="9"/>
    </row>
    <row r="28" spans="3:8" x14ac:dyDescent="0.25">
      <c r="C28" s="8"/>
      <c r="D28" s="2"/>
      <c r="E28" s="2"/>
      <c r="F28" s="4"/>
      <c r="G28" s="14"/>
      <c r="H28" s="9"/>
    </row>
    <row r="29" spans="3:8" x14ac:dyDescent="0.25">
      <c r="C29" s="8"/>
      <c r="D29" s="2"/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29"/>
      <c r="D35" s="30"/>
      <c r="E35" s="30" t="s">
        <v>60</v>
      </c>
      <c r="F35" s="4"/>
      <c r="G35" s="14"/>
      <c r="H35" s="9"/>
    </row>
    <row r="36" spans="3:8" x14ac:dyDescent="0.25">
      <c r="C36" s="8"/>
      <c r="D36" s="2" t="s">
        <v>8353</v>
      </c>
      <c r="E36" s="76" t="s">
        <v>8354</v>
      </c>
      <c r="F36" s="35">
        <v>20</v>
      </c>
      <c r="G36" s="14"/>
      <c r="H36" s="9"/>
    </row>
    <row r="37" spans="3:8" x14ac:dyDescent="0.25">
      <c r="C37" s="8"/>
      <c r="D37" s="2"/>
      <c r="E37" s="76"/>
      <c r="F37" s="35"/>
      <c r="G37" s="14"/>
      <c r="H37" s="9"/>
    </row>
    <row r="38" spans="3:8" x14ac:dyDescent="0.25">
      <c r="C38" s="8"/>
      <c r="D38" s="2"/>
      <c r="E38" s="76"/>
      <c r="F38" s="35"/>
      <c r="G38" s="14"/>
      <c r="H38" s="9"/>
    </row>
    <row r="39" spans="3:8" x14ac:dyDescent="0.25">
      <c r="C39" s="8"/>
      <c r="D39" s="2"/>
      <c r="E39" s="76"/>
      <c r="F39" s="35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16"/>
      <c r="D41" s="17"/>
      <c r="E41" s="17" t="s">
        <v>39</v>
      </c>
      <c r="F41" s="4"/>
      <c r="G41" s="14"/>
      <c r="H41" s="9"/>
    </row>
    <row r="42" spans="3:8" ht="15.75" customHeight="1" x14ac:dyDescent="0.25">
      <c r="C42" s="8"/>
      <c r="D42" s="2"/>
      <c r="E42" s="76"/>
      <c r="F42" s="35"/>
      <c r="G42" s="14"/>
      <c r="H42" s="9"/>
    </row>
    <row r="43" spans="3:8" ht="15.75" customHeight="1" x14ac:dyDescent="0.25">
      <c r="C43" s="8"/>
      <c r="D43" s="2"/>
      <c r="E43" s="76"/>
      <c r="F43" s="35"/>
      <c r="G43" s="14"/>
      <c r="H43" s="9"/>
    </row>
    <row r="44" spans="3:8" x14ac:dyDescent="0.25">
      <c r="C44" s="8"/>
      <c r="D44" s="2"/>
      <c r="E44" s="76"/>
      <c r="F44" s="35"/>
      <c r="G44" s="14"/>
      <c r="H44" s="9"/>
    </row>
    <row r="45" spans="3:8" x14ac:dyDescent="0.25">
      <c r="C45" s="8"/>
      <c r="D45" s="2"/>
      <c r="E45" s="76"/>
      <c r="F45" s="35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19"/>
      <c r="D47" s="20"/>
      <c r="E47" s="20" t="s">
        <v>42</v>
      </c>
      <c r="F47" s="14"/>
      <c r="G47" s="14"/>
      <c r="H47" s="9"/>
    </row>
    <row r="48" spans="3:8" x14ac:dyDescent="0.25">
      <c r="C48" s="34"/>
      <c r="D48" s="45"/>
      <c r="E48" s="76" t="s">
        <v>8370</v>
      </c>
      <c r="F48" s="14">
        <v>-6</v>
      </c>
      <c r="G48" s="14"/>
      <c r="H48" s="9"/>
    </row>
    <row r="49" spans="3:8" x14ac:dyDescent="0.25">
      <c r="C49" s="34"/>
      <c r="D49" s="45"/>
      <c r="E49" s="68" t="s">
        <v>6679</v>
      </c>
      <c r="F49" s="14">
        <v>-60</v>
      </c>
      <c r="G49" s="14"/>
      <c r="H49" s="9"/>
    </row>
    <row r="50" spans="3:8" x14ac:dyDescent="0.25">
      <c r="C50" s="34"/>
      <c r="D50" s="45"/>
      <c r="E50" s="68" t="s">
        <v>758</v>
      </c>
      <c r="F50" s="14">
        <v>-50</v>
      </c>
      <c r="G50" s="14"/>
      <c r="H50" s="9"/>
    </row>
    <row r="51" spans="3:8" x14ac:dyDescent="0.25">
      <c r="C51" s="34"/>
      <c r="D51" s="45"/>
      <c r="E51" s="68" t="s">
        <v>1553</v>
      </c>
      <c r="F51" s="14">
        <v>-40</v>
      </c>
      <c r="G51" s="14"/>
      <c r="H51" s="9"/>
    </row>
    <row r="52" spans="3:8" x14ac:dyDescent="0.25">
      <c r="C52" s="34"/>
      <c r="D52" s="45"/>
      <c r="E52" s="68" t="s">
        <v>8375</v>
      </c>
      <c r="F52" s="14">
        <v>-550</v>
      </c>
      <c r="G52" s="14"/>
      <c r="H52" s="9"/>
    </row>
    <row r="53" spans="3:8" x14ac:dyDescent="0.25">
      <c r="C53" s="34"/>
      <c r="D53" s="45"/>
      <c r="E53" s="68"/>
      <c r="F53" s="14"/>
      <c r="G53" s="14"/>
      <c r="H53" s="9"/>
    </row>
    <row r="54" spans="3:8" x14ac:dyDescent="0.25">
      <c r="C54" s="34"/>
      <c r="D54" s="42"/>
      <c r="E54" s="68"/>
      <c r="F54" s="14"/>
      <c r="G54" s="14"/>
      <c r="H54" s="9"/>
    </row>
    <row r="55" spans="3:8" ht="15.75" thickBot="1" x14ac:dyDescent="0.3">
      <c r="C55" s="10"/>
      <c r="D55" s="11"/>
      <c r="E55" s="11" t="s">
        <v>44</v>
      </c>
      <c r="F55" s="12">
        <f>SUM(F6:F54)</f>
        <v>-425.5</v>
      </c>
      <c r="G55" s="15">
        <f>SUM(G6:G54)</f>
        <v>0</v>
      </c>
      <c r="H55" s="13">
        <f>SUM(H6:H54)</f>
        <v>597.5</v>
      </c>
    </row>
    <row r="58" spans="3:8" s="3" customFormat="1" ht="18.75" x14ac:dyDescent="0.3">
      <c r="C58" s="1"/>
      <c r="D58" s="1"/>
      <c r="E58" s="38" t="s">
        <v>49</v>
      </c>
      <c r="F58" s="39">
        <f>+H4+F55</f>
        <v>1556.45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B2A2-AD93-47FF-9C68-58AE852B53BC}">
  <sheetPr codeName="Hoja107"/>
  <dimension ref="C2:J95"/>
  <sheetViews>
    <sheetView topLeftCell="A66" zoomScale="89" zoomScaleNormal="89" workbookViewId="0">
      <selection activeCell="F95" sqref="F9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8378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1556.45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8381</v>
      </c>
      <c r="E6" s="2" t="s">
        <v>8401</v>
      </c>
      <c r="F6" s="109">
        <v>190</v>
      </c>
      <c r="G6" s="113"/>
      <c r="H6" s="112"/>
    </row>
    <row r="7" spans="3:10" x14ac:dyDescent="0.25">
      <c r="C7" s="24"/>
      <c r="D7" s="2" t="s">
        <v>8382</v>
      </c>
      <c r="E7" s="2" t="s">
        <v>5678</v>
      </c>
      <c r="F7" s="109"/>
      <c r="G7" s="113"/>
      <c r="H7" s="112">
        <v>2</v>
      </c>
      <c r="I7" s="36"/>
      <c r="J7" s="36"/>
    </row>
    <row r="8" spans="3:10" x14ac:dyDescent="0.25">
      <c r="C8" s="24"/>
      <c r="D8" s="2" t="s">
        <v>8383</v>
      </c>
      <c r="E8" s="2" t="s">
        <v>5678</v>
      </c>
      <c r="F8" s="109">
        <v>10</v>
      </c>
      <c r="G8" s="113"/>
      <c r="H8" s="112"/>
      <c r="J8" s="36"/>
    </row>
    <row r="9" spans="3:10" x14ac:dyDescent="0.25">
      <c r="C9" s="24"/>
      <c r="D9" s="2" t="s">
        <v>8384</v>
      </c>
      <c r="E9" s="2" t="s">
        <v>5678</v>
      </c>
      <c r="F9" s="109">
        <v>3</v>
      </c>
      <c r="G9" s="113"/>
      <c r="H9" s="112"/>
      <c r="J9" s="36"/>
    </row>
    <row r="10" spans="3:10" x14ac:dyDescent="0.25">
      <c r="C10" s="8"/>
      <c r="D10" s="2" t="s">
        <v>8385</v>
      </c>
      <c r="E10" s="2" t="s">
        <v>4597</v>
      </c>
      <c r="F10" s="4">
        <v>2574</v>
      </c>
      <c r="G10" s="14"/>
      <c r="H10" s="9"/>
    </row>
    <row r="11" spans="3:10" x14ac:dyDescent="0.25">
      <c r="C11" s="8"/>
      <c r="D11" s="2" t="s">
        <v>8386</v>
      </c>
      <c r="E11" s="2" t="s">
        <v>5678</v>
      </c>
      <c r="F11" s="4">
        <v>6.5</v>
      </c>
      <c r="G11" s="14"/>
      <c r="H11" s="9"/>
    </row>
    <row r="12" spans="3:10" x14ac:dyDescent="0.25">
      <c r="C12" s="8"/>
      <c r="D12" s="2" t="s">
        <v>8387</v>
      </c>
      <c r="E12" s="2" t="s">
        <v>5678</v>
      </c>
      <c r="F12" s="4">
        <v>3</v>
      </c>
      <c r="G12" s="14"/>
      <c r="H12" s="9"/>
    </row>
    <row r="13" spans="3:10" x14ac:dyDescent="0.25">
      <c r="C13" s="8"/>
      <c r="D13" s="2" t="s">
        <v>8388</v>
      </c>
      <c r="E13" s="2" t="s">
        <v>5678</v>
      </c>
      <c r="F13" s="4">
        <v>1</v>
      </c>
      <c r="G13" s="14"/>
      <c r="H13" s="9"/>
    </row>
    <row r="14" spans="3:10" x14ac:dyDescent="0.25">
      <c r="C14" s="8"/>
      <c r="D14" s="2" t="s">
        <v>8389</v>
      </c>
      <c r="E14" s="2" t="s">
        <v>5678</v>
      </c>
      <c r="F14" s="4"/>
      <c r="G14" s="14"/>
      <c r="H14" s="9">
        <v>10</v>
      </c>
    </row>
    <row r="15" spans="3:10" x14ac:dyDescent="0.25">
      <c r="C15" s="8"/>
      <c r="D15" s="2" t="s">
        <v>8390</v>
      </c>
      <c r="E15" s="2" t="s">
        <v>6059</v>
      </c>
      <c r="F15" s="4"/>
      <c r="G15" s="14"/>
      <c r="H15" s="9">
        <v>11</v>
      </c>
    </row>
    <row r="16" spans="3:10" x14ac:dyDescent="0.25">
      <c r="C16" s="8"/>
      <c r="D16" s="2" t="s">
        <v>8391</v>
      </c>
      <c r="E16" s="2" t="s">
        <v>5678</v>
      </c>
      <c r="F16" s="4"/>
      <c r="G16" s="14"/>
      <c r="H16" s="9">
        <v>1</v>
      </c>
    </row>
    <row r="17" spans="3:8" x14ac:dyDescent="0.25">
      <c r="C17" s="8"/>
      <c r="D17" s="2" t="s">
        <v>8392</v>
      </c>
      <c r="E17" s="2" t="s">
        <v>6439</v>
      </c>
      <c r="F17" s="4"/>
      <c r="G17" s="14"/>
      <c r="H17" s="9">
        <v>5087</v>
      </c>
    </row>
    <row r="18" spans="3:8" x14ac:dyDescent="0.25">
      <c r="C18" s="8"/>
      <c r="D18" s="2" t="s">
        <v>8393</v>
      </c>
      <c r="E18" s="2" t="s">
        <v>5678</v>
      </c>
      <c r="F18" s="4">
        <v>5</v>
      </c>
      <c r="G18" s="14"/>
      <c r="H18" s="9"/>
    </row>
    <row r="19" spans="3:8" x14ac:dyDescent="0.25">
      <c r="C19" s="8"/>
      <c r="D19" s="2" t="s">
        <v>8394</v>
      </c>
      <c r="E19" s="2" t="s">
        <v>5678</v>
      </c>
      <c r="F19" s="4">
        <v>10</v>
      </c>
      <c r="G19" s="14"/>
      <c r="H19" s="9"/>
    </row>
    <row r="20" spans="3:8" x14ac:dyDescent="0.25">
      <c r="C20" s="8"/>
      <c r="D20" s="2" t="s">
        <v>8395</v>
      </c>
      <c r="E20" s="2" t="s">
        <v>5678</v>
      </c>
      <c r="F20" s="4">
        <v>12</v>
      </c>
      <c r="G20" s="14"/>
      <c r="H20" s="9"/>
    </row>
    <row r="21" spans="3:8" x14ac:dyDescent="0.25">
      <c r="C21" s="8"/>
      <c r="D21" s="2" t="s">
        <v>8396</v>
      </c>
      <c r="E21" s="2" t="s">
        <v>8400</v>
      </c>
      <c r="F21" s="4">
        <v>206</v>
      </c>
      <c r="G21" s="14"/>
      <c r="H21" s="9"/>
    </row>
    <row r="22" spans="3:8" x14ac:dyDescent="0.25">
      <c r="C22" s="8"/>
      <c r="D22" s="2" t="s">
        <v>8397</v>
      </c>
      <c r="E22" s="2" t="s">
        <v>8399</v>
      </c>
      <c r="F22" s="4"/>
      <c r="G22" s="14">
        <v>345</v>
      </c>
      <c r="H22" s="9"/>
    </row>
    <row r="23" spans="3:8" x14ac:dyDescent="0.25">
      <c r="C23" s="8"/>
      <c r="D23" s="2" t="s">
        <v>8398</v>
      </c>
      <c r="E23" s="2" t="s">
        <v>5678</v>
      </c>
      <c r="F23" s="4">
        <v>15</v>
      </c>
      <c r="G23" s="14"/>
      <c r="H23" s="9"/>
    </row>
    <row r="24" spans="3:8" x14ac:dyDescent="0.25">
      <c r="C24" s="8"/>
      <c r="D24" s="2" t="s">
        <v>8425</v>
      </c>
      <c r="E24" s="2" t="s">
        <v>5678</v>
      </c>
      <c r="F24" s="4"/>
      <c r="G24" s="14"/>
      <c r="H24" s="9">
        <v>5</v>
      </c>
    </row>
    <row r="25" spans="3:8" x14ac:dyDescent="0.25">
      <c r="C25" s="8"/>
      <c r="D25" s="2" t="s">
        <v>8426</v>
      </c>
      <c r="E25" s="2" t="s">
        <v>5678</v>
      </c>
      <c r="F25" s="4">
        <v>10</v>
      </c>
      <c r="G25" s="14"/>
      <c r="H25" s="9"/>
    </row>
    <row r="26" spans="3:8" x14ac:dyDescent="0.25">
      <c r="C26" s="8"/>
      <c r="D26" s="2" t="s">
        <v>8427</v>
      </c>
      <c r="E26" s="2" t="s">
        <v>5388</v>
      </c>
      <c r="F26" s="4">
        <v>1232.4000000000001</v>
      </c>
      <c r="G26" s="14"/>
      <c r="H26" s="9"/>
    </row>
    <row r="27" spans="3:8" x14ac:dyDescent="0.25">
      <c r="C27" s="8"/>
      <c r="D27" s="2" t="s">
        <v>8428</v>
      </c>
      <c r="E27" s="2" t="s">
        <v>5678</v>
      </c>
      <c r="F27" s="4">
        <v>12</v>
      </c>
      <c r="G27" s="14"/>
      <c r="H27" s="9"/>
    </row>
    <row r="28" spans="3:8" x14ac:dyDescent="0.25">
      <c r="C28" s="8"/>
      <c r="D28" s="2" t="s">
        <v>8429</v>
      </c>
      <c r="E28" s="2" t="s">
        <v>5678</v>
      </c>
      <c r="F28" s="4"/>
      <c r="G28" s="14"/>
      <c r="H28" s="9">
        <v>19</v>
      </c>
    </row>
    <row r="29" spans="3:8" x14ac:dyDescent="0.25">
      <c r="C29" s="8"/>
      <c r="D29" s="2" t="s">
        <v>8430</v>
      </c>
      <c r="E29" s="2" t="s">
        <v>7126</v>
      </c>
      <c r="F29" s="4"/>
      <c r="G29" s="14">
        <v>1920</v>
      </c>
      <c r="H29" s="9"/>
    </row>
    <row r="30" spans="3:8" x14ac:dyDescent="0.25">
      <c r="C30" s="8"/>
      <c r="D30" s="2" t="s">
        <v>8431</v>
      </c>
      <c r="E30" s="2" t="s">
        <v>8435</v>
      </c>
      <c r="F30" s="4">
        <v>877.5</v>
      </c>
      <c r="G30" s="14"/>
      <c r="H30" s="9"/>
    </row>
    <row r="31" spans="3:8" x14ac:dyDescent="0.25">
      <c r="C31" s="8"/>
      <c r="D31" s="2" t="s">
        <v>8432</v>
      </c>
      <c r="E31" s="2" t="s">
        <v>8434</v>
      </c>
      <c r="F31" s="4"/>
      <c r="G31" s="14"/>
      <c r="H31" s="9">
        <v>376.2</v>
      </c>
    </row>
    <row r="32" spans="3:8" x14ac:dyDescent="0.25">
      <c r="C32" s="8"/>
      <c r="D32" s="2" t="s">
        <v>8433</v>
      </c>
      <c r="E32" s="2" t="s">
        <v>5678</v>
      </c>
      <c r="F32" s="4">
        <v>9</v>
      </c>
      <c r="G32" s="14"/>
      <c r="H32" s="9"/>
    </row>
    <row r="33" spans="3:8" x14ac:dyDescent="0.25">
      <c r="C33" s="8"/>
      <c r="D33" s="2" t="s">
        <v>8440</v>
      </c>
      <c r="E33" s="2" t="s">
        <v>5678</v>
      </c>
      <c r="F33" s="4">
        <v>2.5</v>
      </c>
      <c r="G33" s="14"/>
      <c r="H33" s="9"/>
    </row>
    <row r="34" spans="3:8" x14ac:dyDescent="0.25">
      <c r="C34" s="8"/>
      <c r="D34" s="2" t="s">
        <v>8441</v>
      </c>
      <c r="E34" s="2" t="s">
        <v>5678</v>
      </c>
      <c r="F34" s="4"/>
      <c r="G34" s="14"/>
      <c r="H34" s="9">
        <v>180</v>
      </c>
    </row>
    <row r="35" spans="3:8" x14ac:dyDescent="0.25">
      <c r="C35" s="8"/>
      <c r="D35" s="2" t="s">
        <v>8442</v>
      </c>
      <c r="E35" s="2" t="s">
        <v>7126</v>
      </c>
      <c r="F35" s="4"/>
      <c r="G35" s="14">
        <v>1700</v>
      </c>
      <c r="H35" s="9"/>
    </row>
    <row r="36" spans="3:8" x14ac:dyDescent="0.25">
      <c r="C36" s="8"/>
      <c r="D36" s="2" t="s">
        <v>8454</v>
      </c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 t="s">
        <v>8402</v>
      </c>
      <c r="E38" s="2" t="s">
        <v>723</v>
      </c>
      <c r="F38" s="4"/>
      <c r="G38" s="14"/>
      <c r="H38" s="9">
        <v>2197.5</v>
      </c>
    </row>
    <row r="39" spans="3:8" x14ac:dyDescent="0.25">
      <c r="C39" s="8"/>
      <c r="D39" s="2" t="s">
        <v>8403</v>
      </c>
      <c r="E39" s="2" t="s">
        <v>7718</v>
      </c>
      <c r="F39" s="4">
        <v>582</v>
      </c>
      <c r="G39" s="14"/>
      <c r="H39" s="9"/>
    </row>
    <row r="40" spans="3:8" x14ac:dyDescent="0.25">
      <c r="C40" s="8"/>
      <c r="D40" s="2" t="s">
        <v>8404</v>
      </c>
      <c r="E40" s="2" t="s">
        <v>48</v>
      </c>
      <c r="F40" s="4">
        <v>10</v>
      </c>
      <c r="G40" s="14"/>
      <c r="H40" s="9"/>
    </row>
    <row r="41" spans="3:8" x14ac:dyDescent="0.25">
      <c r="C41" s="8"/>
      <c r="D41" s="2" t="s">
        <v>8405</v>
      </c>
      <c r="E41" s="2" t="s">
        <v>7719</v>
      </c>
      <c r="F41" s="4"/>
      <c r="G41" s="14"/>
      <c r="H41" s="9">
        <v>38</v>
      </c>
    </row>
    <row r="42" spans="3:8" x14ac:dyDescent="0.25">
      <c r="C42" s="8"/>
      <c r="D42" s="2" t="s">
        <v>8406</v>
      </c>
      <c r="E42" s="2" t="s">
        <v>48</v>
      </c>
      <c r="F42" s="4">
        <v>9</v>
      </c>
      <c r="G42" s="14"/>
      <c r="H42" s="9"/>
    </row>
    <row r="43" spans="3:8" x14ac:dyDescent="0.25">
      <c r="C43" s="8"/>
      <c r="D43" s="2" t="s">
        <v>8407</v>
      </c>
      <c r="E43" s="2" t="s">
        <v>8418</v>
      </c>
      <c r="F43" s="4"/>
      <c r="G43" s="14"/>
      <c r="H43" s="9">
        <v>2800</v>
      </c>
    </row>
    <row r="44" spans="3:8" x14ac:dyDescent="0.25">
      <c r="C44" s="8"/>
      <c r="D44" s="2" t="s">
        <v>8408</v>
      </c>
      <c r="E44" s="2" t="s">
        <v>8418</v>
      </c>
      <c r="F44" s="4">
        <v>8</v>
      </c>
      <c r="G44" s="14"/>
      <c r="H44" s="9"/>
    </row>
    <row r="45" spans="3:8" x14ac:dyDescent="0.25">
      <c r="C45" s="8"/>
      <c r="D45" s="2" t="s">
        <v>8409</v>
      </c>
      <c r="E45" s="2" t="s">
        <v>48</v>
      </c>
      <c r="F45" s="4">
        <v>7</v>
      </c>
      <c r="G45" s="14"/>
      <c r="H45" s="9"/>
    </row>
    <row r="46" spans="3:8" x14ac:dyDescent="0.25">
      <c r="C46" s="8"/>
      <c r="D46" s="2" t="s">
        <v>8410</v>
      </c>
      <c r="E46" s="2" t="s">
        <v>48</v>
      </c>
      <c r="F46" s="4">
        <v>100</v>
      </c>
      <c r="G46" s="14"/>
      <c r="H46" s="9"/>
    </row>
    <row r="47" spans="3:8" x14ac:dyDescent="0.25">
      <c r="C47" s="8"/>
      <c r="D47" s="2" t="s">
        <v>8411</v>
      </c>
      <c r="E47" s="2" t="s">
        <v>8417</v>
      </c>
      <c r="F47" s="4"/>
      <c r="G47" s="14"/>
      <c r="H47" s="9">
        <v>398.5</v>
      </c>
    </row>
    <row r="48" spans="3:8" x14ac:dyDescent="0.25">
      <c r="C48" s="8"/>
      <c r="D48" s="2" t="s">
        <v>8412</v>
      </c>
      <c r="E48" s="2" t="s">
        <v>4731</v>
      </c>
      <c r="F48" s="4"/>
      <c r="G48" s="14"/>
      <c r="H48" s="9">
        <v>2650</v>
      </c>
    </row>
    <row r="49" spans="3:8" x14ac:dyDescent="0.25">
      <c r="C49" s="8"/>
      <c r="D49" s="2" t="s">
        <v>8413</v>
      </c>
      <c r="E49" s="2" t="s">
        <v>48</v>
      </c>
      <c r="F49" s="4">
        <v>6</v>
      </c>
      <c r="G49" s="14"/>
      <c r="H49" s="9"/>
    </row>
    <row r="50" spans="3:8" x14ac:dyDescent="0.25">
      <c r="C50" s="8"/>
      <c r="D50" s="2" t="s">
        <v>8414</v>
      </c>
      <c r="E50" s="2" t="s">
        <v>8200</v>
      </c>
      <c r="F50" s="4">
        <v>400</v>
      </c>
      <c r="G50" s="14"/>
      <c r="H50" s="9">
        <v>254</v>
      </c>
    </row>
    <row r="51" spans="3:8" x14ac:dyDescent="0.25">
      <c r="C51" s="8"/>
      <c r="D51" s="2" t="s">
        <v>8415</v>
      </c>
      <c r="E51" s="2" t="s">
        <v>48</v>
      </c>
      <c r="F51" s="4">
        <v>36.799999999999997</v>
      </c>
      <c r="G51" s="14"/>
      <c r="H51" s="9"/>
    </row>
    <row r="52" spans="3:8" x14ac:dyDescent="0.25">
      <c r="C52" s="8"/>
      <c r="D52" s="2" t="s">
        <v>8416</v>
      </c>
      <c r="E52" s="2" t="s">
        <v>48</v>
      </c>
      <c r="F52" s="4">
        <v>55</v>
      </c>
      <c r="G52" s="14"/>
      <c r="H52" s="9"/>
    </row>
    <row r="53" spans="3:8" x14ac:dyDescent="0.25">
      <c r="C53" s="8"/>
      <c r="D53" s="2" t="s">
        <v>8421</v>
      </c>
      <c r="E53" s="2" t="s">
        <v>48</v>
      </c>
      <c r="F53" s="4">
        <v>18.5</v>
      </c>
      <c r="G53" s="14"/>
      <c r="H53" s="9"/>
    </row>
    <row r="54" spans="3:8" x14ac:dyDescent="0.25">
      <c r="C54" s="8"/>
      <c r="D54" s="2" t="s">
        <v>8436</v>
      </c>
      <c r="E54" s="2" t="s">
        <v>48</v>
      </c>
      <c r="F54" s="4">
        <v>5</v>
      </c>
      <c r="G54" s="14"/>
      <c r="H54" s="9"/>
    </row>
    <row r="55" spans="3:8" x14ac:dyDescent="0.25">
      <c r="C55" s="8"/>
      <c r="D55" s="2" t="s">
        <v>8437</v>
      </c>
      <c r="E55" s="2" t="s">
        <v>48</v>
      </c>
      <c r="F55" s="4">
        <v>6</v>
      </c>
      <c r="G55" s="14"/>
      <c r="H55" s="9"/>
    </row>
    <row r="56" spans="3:8" x14ac:dyDescent="0.25">
      <c r="C56" s="8"/>
      <c r="D56" s="2" t="s">
        <v>8438</v>
      </c>
      <c r="E56" s="2" t="s">
        <v>7719</v>
      </c>
      <c r="F56" s="4"/>
      <c r="G56" s="14"/>
      <c r="H56" s="9">
        <v>198</v>
      </c>
    </row>
    <row r="57" spans="3:8" x14ac:dyDescent="0.25">
      <c r="C57" s="8"/>
      <c r="D57" s="2" t="s">
        <v>8466</v>
      </c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29"/>
      <c r="D63" s="30"/>
      <c r="E63" s="30" t="s">
        <v>60</v>
      </c>
      <c r="F63" s="4"/>
      <c r="G63" s="14"/>
      <c r="H63" s="9"/>
    </row>
    <row r="64" spans="3:8" x14ac:dyDescent="0.25">
      <c r="C64" s="8"/>
      <c r="D64" s="2" t="s">
        <v>8379</v>
      </c>
      <c r="E64" s="76" t="s">
        <v>5415</v>
      </c>
      <c r="F64" s="35"/>
      <c r="G64" s="14"/>
      <c r="H64" s="9">
        <v>25</v>
      </c>
    </row>
    <row r="65" spans="3:8" x14ac:dyDescent="0.25">
      <c r="C65" s="8"/>
      <c r="D65" s="2" t="s">
        <v>8380</v>
      </c>
      <c r="E65" s="76" t="s">
        <v>5415</v>
      </c>
      <c r="F65" s="35"/>
      <c r="G65" s="14"/>
      <c r="H65" s="9">
        <v>1740</v>
      </c>
    </row>
    <row r="66" spans="3:8" x14ac:dyDescent="0.25">
      <c r="C66" s="8"/>
      <c r="D66" s="2" t="s">
        <v>8424</v>
      </c>
      <c r="E66" s="76" t="s">
        <v>7104</v>
      </c>
      <c r="F66" s="35"/>
      <c r="G66" s="14"/>
      <c r="H66" s="9">
        <v>414</v>
      </c>
    </row>
    <row r="67" spans="3:8" x14ac:dyDescent="0.25">
      <c r="C67" s="8"/>
      <c r="D67" s="2"/>
      <c r="E67" s="76"/>
      <c r="F67" s="35"/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8"/>
      <c r="D70" s="2"/>
      <c r="E70" s="2"/>
      <c r="F70" s="4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ht="15.75" customHeight="1" x14ac:dyDescent="0.25">
      <c r="C72" s="8"/>
      <c r="D72" s="2"/>
      <c r="E72" s="76" t="s">
        <v>8419</v>
      </c>
      <c r="F72" s="35">
        <v>50</v>
      </c>
      <c r="G72" s="14"/>
      <c r="H72" s="9"/>
    </row>
    <row r="73" spans="3:8" ht="15.75" customHeight="1" x14ac:dyDescent="0.25">
      <c r="C73" s="8"/>
      <c r="D73" s="2"/>
      <c r="E73" s="76" t="s">
        <v>8439</v>
      </c>
      <c r="F73" s="35">
        <v>2000</v>
      </c>
      <c r="G73" s="14"/>
      <c r="H73" s="9"/>
    </row>
    <row r="74" spans="3:8" x14ac:dyDescent="0.25">
      <c r="C74" s="8"/>
      <c r="D74" s="2"/>
      <c r="E74" s="76" t="s">
        <v>8447</v>
      </c>
      <c r="F74" s="35">
        <v>6000</v>
      </c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19"/>
      <c r="D77" s="20"/>
      <c r="E77" s="20" t="s">
        <v>42</v>
      </c>
      <c r="F77" s="14"/>
      <c r="G77" s="14"/>
      <c r="H77" s="9"/>
    </row>
    <row r="78" spans="3:8" x14ac:dyDescent="0.25">
      <c r="C78" s="34"/>
      <c r="D78" s="45"/>
      <c r="E78" s="68" t="s">
        <v>6972</v>
      </c>
      <c r="F78" s="14">
        <v>-100</v>
      </c>
      <c r="G78" s="14"/>
      <c r="H78" s="9"/>
    </row>
    <row r="79" spans="3:8" x14ac:dyDescent="0.25">
      <c r="C79" s="34"/>
      <c r="D79" s="45"/>
      <c r="E79" s="68" t="s">
        <v>8420</v>
      </c>
      <c r="F79" s="14">
        <v>-380</v>
      </c>
      <c r="G79" s="14"/>
      <c r="H79" s="9"/>
    </row>
    <row r="80" spans="3:8" x14ac:dyDescent="0.25">
      <c r="C80" s="34"/>
      <c r="D80" s="45"/>
      <c r="E80" s="68" t="s">
        <v>8422</v>
      </c>
      <c r="F80" s="14">
        <v>-150</v>
      </c>
      <c r="G80" s="14"/>
      <c r="H80" s="9"/>
    </row>
    <row r="81" spans="3:8" x14ac:dyDescent="0.25">
      <c r="C81" s="34"/>
      <c r="D81" s="45"/>
      <c r="E81" s="68" t="s">
        <v>8423</v>
      </c>
      <c r="F81" s="14">
        <v>-594</v>
      </c>
      <c r="G81" s="14"/>
      <c r="H81" s="9"/>
    </row>
    <row r="82" spans="3:8" x14ac:dyDescent="0.25">
      <c r="C82" s="34"/>
      <c r="D82" s="45"/>
      <c r="E82" s="68" t="s">
        <v>8443</v>
      </c>
      <c r="F82" s="14">
        <v>-20</v>
      </c>
      <c r="G82" s="14"/>
      <c r="H82" s="9"/>
    </row>
    <row r="83" spans="3:8" x14ac:dyDescent="0.25">
      <c r="C83" s="34"/>
      <c r="D83" s="45"/>
      <c r="E83" s="68" t="s">
        <v>8444</v>
      </c>
      <c r="F83" s="14">
        <v>-20</v>
      </c>
      <c r="G83" s="14"/>
      <c r="H83" s="9"/>
    </row>
    <row r="84" spans="3:8" x14ac:dyDescent="0.25">
      <c r="C84" s="34"/>
      <c r="D84" s="45"/>
      <c r="E84" s="68" t="s">
        <v>8445</v>
      </c>
      <c r="F84" s="14">
        <v>-150</v>
      </c>
      <c r="G84" s="14"/>
      <c r="H84" s="9"/>
    </row>
    <row r="85" spans="3:8" x14ac:dyDescent="0.25">
      <c r="C85" s="34"/>
      <c r="D85" s="45"/>
      <c r="E85" s="68" t="s">
        <v>5555</v>
      </c>
      <c r="F85" s="14">
        <v>-150</v>
      </c>
      <c r="G85" s="14"/>
      <c r="H85" s="9"/>
    </row>
    <row r="86" spans="3:8" x14ac:dyDescent="0.25">
      <c r="C86" s="34"/>
      <c r="D86" s="45"/>
      <c r="E86" s="68" t="s">
        <v>8446</v>
      </c>
      <c r="F86" s="14">
        <v>-1680</v>
      </c>
      <c r="G86" s="14"/>
      <c r="H86" s="9"/>
    </row>
    <row r="87" spans="3:8" x14ac:dyDescent="0.25">
      <c r="C87" s="34"/>
      <c r="D87" s="45"/>
      <c r="E87" s="68" t="s">
        <v>6122</v>
      </c>
      <c r="F87" s="14">
        <v>-9390.5</v>
      </c>
      <c r="G87" s="14"/>
      <c r="H87" s="9"/>
    </row>
    <row r="88" spans="3:8" x14ac:dyDescent="0.25">
      <c r="C88" s="34"/>
      <c r="D88" s="45"/>
      <c r="E88" s="68"/>
      <c r="F88" s="14"/>
      <c r="G88" s="14"/>
      <c r="H88" s="9"/>
    </row>
    <row r="89" spans="3:8" x14ac:dyDescent="0.25">
      <c r="C89" s="34"/>
      <c r="D89" s="45"/>
      <c r="E89" s="68"/>
      <c r="F89" s="14"/>
      <c r="G89" s="14"/>
      <c r="H89" s="9"/>
    </row>
    <row r="90" spans="3:8" x14ac:dyDescent="0.25">
      <c r="C90" s="34"/>
      <c r="D90" s="45"/>
      <c r="E90" s="68"/>
      <c r="F90" s="14"/>
      <c r="G90" s="14"/>
      <c r="H90" s="9"/>
    </row>
    <row r="91" spans="3:8" x14ac:dyDescent="0.25">
      <c r="C91" s="34"/>
      <c r="D91" s="42"/>
      <c r="E91" s="68"/>
      <c r="F91" s="14"/>
      <c r="G91" s="14"/>
      <c r="H91" s="9"/>
    </row>
    <row r="92" spans="3:8" ht="15.75" thickBot="1" x14ac:dyDescent="0.3">
      <c r="C92" s="10"/>
      <c r="D92" s="11"/>
      <c r="E92" s="11" t="s">
        <v>44</v>
      </c>
      <c r="F92" s="12">
        <f>SUM(F6:F91)</f>
        <v>1837.7000000000007</v>
      </c>
      <c r="G92" s="15">
        <f>SUM(G6:G91)</f>
        <v>3965</v>
      </c>
      <c r="H92" s="13">
        <f>SUM(H6:H91)</f>
        <v>16406.2</v>
      </c>
    </row>
    <row r="95" spans="3:8" s="3" customFormat="1" ht="18.75" x14ac:dyDescent="0.3">
      <c r="C95" s="1"/>
      <c r="D95" s="1"/>
      <c r="E95" s="38" t="s">
        <v>49</v>
      </c>
      <c r="F95" s="39">
        <f>+H4+F92</f>
        <v>3394.1500000000005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C594-022D-45EE-99B2-D061E66C5324}">
  <sheetPr codeName="Hoja108"/>
  <dimension ref="C2:J83"/>
  <sheetViews>
    <sheetView topLeftCell="A48" zoomScale="89" zoomScaleNormal="89" workbookViewId="0">
      <selection activeCell="F83" sqref="F83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8448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3394.15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8454</v>
      </c>
      <c r="E6" s="2" t="s">
        <v>5678</v>
      </c>
      <c r="F6" s="109">
        <v>5</v>
      </c>
      <c r="G6" s="113"/>
      <c r="H6" s="112"/>
    </row>
    <row r="7" spans="3:10" x14ac:dyDescent="0.25">
      <c r="C7" s="24"/>
      <c r="D7" s="2" t="s">
        <v>8455</v>
      </c>
      <c r="E7" s="2" t="s">
        <v>7609</v>
      </c>
      <c r="F7" s="109"/>
      <c r="G7" s="113">
        <v>4262</v>
      </c>
      <c r="H7" s="112"/>
      <c r="I7" s="36"/>
      <c r="J7" s="36"/>
    </row>
    <row r="8" spans="3:10" x14ac:dyDescent="0.25">
      <c r="C8" s="24"/>
      <c r="D8" s="2" t="s">
        <v>8456</v>
      </c>
      <c r="E8" s="2" t="s">
        <v>5678</v>
      </c>
      <c r="F8" s="109">
        <v>10</v>
      </c>
      <c r="G8" s="113"/>
      <c r="H8" s="112"/>
      <c r="J8" s="36"/>
    </row>
    <row r="9" spans="3:10" x14ac:dyDescent="0.25">
      <c r="C9" s="24"/>
      <c r="D9" s="2" t="s">
        <v>8457</v>
      </c>
      <c r="E9" s="2" t="s">
        <v>5678</v>
      </c>
      <c r="F9" s="109">
        <v>3</v>
      </c>
      <c r="G9" s="113"/>
      <c r="H9" s="112"/>
      <c r="J9" s="36"/>
    </row>
    <row r="10" spans="3:10" x14ac:dyDescent="0.25">
      <c r="C10" s="8"/>
      <c r="D10" s="2" t="s">
        <v>8458</v>
      </c>
      <c r="E10" s="2" t="s">
        <v>5678</v>
      </c>
      <c r="F10" s="4">
        <v>45</v>
      </c>
      <c r="G10" s="14"/>
      <c r="H10" s="9"/>
    </row>
    <row r="11" spans="3:10" x14ac:dyDescent="0.25">
      <c r="C11" s="8"/>
      <c r="D11" s="2" t="s">
        <v>8459</v>
      </c>
      <c r="E11" s="2" t="s">
        <v>8173</v>
      </c>
      <c r="F11" s="4">
        <v>678</v>
      </c>
      <c r="G11" s="14"/>
      <c r="H11" s="9"/>
    </row>
    <row r="12" spans="3:10" x14ac:dyDescent="0.25">
      <c r="C12" s="8"/>
      <c r="D12" s="2" t="s">
        <v>8460</v>
      </c>
      <c r="E12" s="2" t="s">
        <v>5678</v>
      </c>
      <c r="F12" s="4">
        <v>5</v>
      </c>
      <c r="G12" s="14"/>
      <c r="H12" s="9"/>
    </row>
    <row r="13" spans="3:10" x14ac:dyDescent="0.25">
      <c r="C13" s="8"/>
      <c r="D13" s="2" t="s">
        <v>8461</v>
      </c>
      <c r="E13" s="2" t="s">
        <v>7871</v>
      </c>
      <c r="F13" s="4">
        <v>200</v>
      </c>
      <c r="G13" s="14"/>
      <c r="H13" s="9">
        <v>30</v>
      </c>
    </row>
    <row r="14" spans="3:10" x14ac:dyDescent="0.25">
      <c r="C14" s="8"/>
      <c r="D14" s="2" t="s">
        <v>8462</v>
      </c>
      <c r="E14" s="2" t="s">
        <v>5678</v>
      </c>
      <c r="F14" s="4">
        <v>7</v>
      </c>
      <c r="G14" s="14"/>
      <c r="H14" s="9"/>
    </row>
    <row r="15" spans="3:10" x14ac:dyDescent="0.25">
      <c r="C15" s="8"/>
      <c r="D15" s="2" t="s">
        <v>8463</v>
      </c>
      <c r="E15" s="2" t="s">
        <v>5678</v>
      </c>
      <c r="F15" s="4">
        <v>9</v>
      </c>
      <c r="G15" s="14"/>
      <c r="H15" s="9"/>
    </row>
    <row r="16" spans="3:10" x14ac:dyDescent="0.25">
      <c r="C16" s="8"/>
      <c r="D16" s="2" t="s">
        <v>8464</v>
      </c>
      <c r="E16" s="2" t="s">
        <v>7126</v>
      </c>
      <c r="F16" s="4"/>
      <c r="G16" s="14">
        <v>173.4</v>
      </c>
      <c r="H16" s="9"/>
    </row>
    <row r="17" spans="3:8" x14ac:dyDescent="0.25">
      <c r="C17" s="8"/>
      <c r="D17" s="2" t="s">
        <v>8465</v>
      </c>
      <c r="E17" s="2" t="s">
        <v>6610</v>
      </c>
      <c r="F17" s="4">
        <v>23</v>
      </c>
      <c r="G17" s="14"/>
      <c r="H17" s="9"/>
    </row>
    <row r="18" spans="3:8" x14ac:dyDescent="0.25">
      <c r="C18" s="8"/>
      <c r="D18" s="2" t="s">
        <v>8486</v>
      </c>
      <c r="E18" s="2" t="s">
        <v>5678</v>
      </c>
      <c r="F18" s="4">
        <v>4</v>
      </c>
      <c r="G18" s="14"/>
      <c r="H18" s="9"/>
    </row>
    <row r="19" spans="3:8" x14ac:dyDescent="0.25">
      <c r="C19" s="8"/>
      <c r="D19" s="2" t="s">
        <v>8487</v>
      </c>
      <c r="E19" s="2" t="s">
        <v>5678</v>
      </c>
      <c r="F19" s="4">
        <v>15</v>
      </c>
      <c r="G19" s="14"/>
      <c r="H19" s="9"/>
    </row>
    <row r="20" spans="3:8" x14ac:dyDescent="0.25">
      <c r="C20" s="8"/>
      <c r="D20" s="2" t="s">
        <v>8488</v>
      </c>
      <c r="E20" s="2" t="s">
        <v>5678</v>
      </c>
      <c r="F20" s="4">
        <v>4</v>
      </c>
      <c r="G20" s="14"/>
      <c r="H20" s="9"/>
    </row>
    <row r="21" spans="3:8" x14ac:dyDescent="0.25">
      <c r="C21" s="8"/>
      <c r="D21" s="2" t="s">
        <v>8489</v>
      </c>
      <c r="E21" s="2" t="s">
        <v>5678</v>
      </c>
      <c r="F21" s="4">
        <v>10</v>
      </c>
      <c r="G21" s="14"/>
      <c r="H21" s="9"/>
    </row>
    <row r="22" spans="3:8" x14ac:dyDescent="0.25">
      <c r="C22" s="8"/>
      <c r="D22" s="2" t="s">
        <v>8490</v>
      </c>
      <c r="E22" s="2" t="s">
        <v>8493</v>
      </c>
      <c r="F22" s="4"/>
      <c r="G22" s="14"/>
      <c r="H22" s="9">
        <v>25</v>
      </c>
    </row>
    <row r="23" spans="3:8" x14ac:dyDescent="0.25">
      <c r="C23" s="8"/>
      <c r="D23" s="2" t="s">
        <v>8491</v>
      </c>
      <c r="E23" s="2" t="s">
        <v>7078</v>
      </c>
      <c r="F23" s="4"/>
      <c r="G23" s="14"/>
      <c r="H23" s="9">
        <v>29</v>
      </c>
    </row>
    <row r="24" spans="3:8" x14ac:dyDescent="0.25">
      <c r="C24" s="8"/>
      <c r="D24" s="2" t="s">
        <v>8492</v>
      </c>
      <c r="E24" s="2" t="s">
        <v>6146</v>
      </c>
      <c r="F24" s="4"/>
      <c r="G24" s="14">
        <v>945</v>
      </c>
      <c r="H24" s="9"/>
    </row>
    <row r="25" spans="3:8" x14ac:dyDescent="0.25">
      <c r="C25" s="8"/>
      <c r="D25" s="2" t="s">
        <v>8517</v>
      </c>
      <c r="E25" s="2"/>
      <c r="F25" s="4"/>
      <c r="G25" s="14"/>
      <c r="H25" s="9"/>
    </row>
    <row r="26" spans="3:8" x14ac:dyDescent="0.25">
      <c r="C26" s="8"/>
      <c r="D26" s="2"/>
      <c r="E26" s="2"/>
      <c r="F26" s="4"/>
      <c r="G26" s="14"/>
      <c r="H26" s="9"/>
    </row>
    <row r="27" spans="3:8" x14ac:dyDescent="0.25">
      <c r="C27" s="8"/>
      <c r="D27" s="2"/>
      <c r="E27" s="2"/>
      <c r="F27" s="4"/>
      <c r="G27" s="14"/>
      <c r="H27" s="9"/>
    </row>
    <row r="28" spans="3:8" x14ac:dyDescent="0.25">
      <c r="C28" s="8"/>
      <c r="D28" s="2" t="s">
        <v>8466</v>
      </c>
      <c r="E28" s="2" t="s">
        <v>6855</v>
      </c>
      <c r="F28" s="4">
        <v>293.5</v>
      </c>
      <c r="G28" s="14"/>
      <c r="H28" s="9"/>
    </row>
    <row r="29" spans="3:8" x14ac:dyDescent="0.25">
      <c r="C29" s="8"/>
      <c r="D29" s="2" t="s">
        <v>8467</v>
      </c>
      <c r="E29" s="2" t="s">
        <v>7895</v>
      </c>
      <c r="F29" s="4">
        <v>1588.5</v>
      </c>
      <c r="G29" s="14"/>
      <c r="H29" s="9"/>
    </row>
    <row r="30" spans="3:8" x14ac:dyDescent="0.25">
      <c r="C30" s="8"/>
      <c r="D30" s="2" t="s">
        <v>8468</v>
      </c>
      <c r="E30" s="2" t="s">
        <v>5847</v>
      </c>
      <c r="F30" s="4"/>
      <c r="G30" s="14"/>
      <c r="H30" s="9">
        <v>10</v>
      </c>
    </row>
    <row r="31" spans="3:8" x14ac:dyDescent="0.25">
      <c r="C31" s="8"/>
      <c r="D31" s="2" t="s">
        <v>8469</v>
      </c>
      <c r="E31" s="2" t="s">
        <v>5847</v>
      </c>
      <c r="F31" s="4"/>
      <c r="G31" s="14"/>
      <c r="H31" s="9">
        <v>6</v>
      </c>
    </row>
    <row r="32" spans="3:8" x14ac:dyDescent="0.25">
      <c r="C32" s="8"/>
      <c r="D32" s="2" t="s">
        <v>8470</v>
      </c>
      <c r="E32" s="2" t="s">
        <v>7357</v>
      </c>
      <c r="F32" s="4"/>
      <c r="G32" s="14"/>
      <c r="H32" s="9">
        <v>1535</v>
      </c>
    </row>
    <row r="33" spans="3:8" x14ac:dyDescent="0.25">
      <c r="C33" s="8"/>
      <c r="D33" s="2" t="s">
        <v>8471</v>
      </c>
      <c r="E33" s="2" t="s">
        <v>5847</v>
      </c>
      <c r="F33" s="4">
        <v>23</v>
      </c>
      <c r="G33" s="14"/>
      <c r="H33" s="9"/>
    </row>
    <row r="34" spans="3:8" x14ac:dyDescent="0.25">
      <c r="C34" s="8"/>
      <c r="D34" s="2" t="s">
        <v>8472</v>
      </c>
      <c r="E34" s="2" t="s">
        <v>328</v>
      </c>
      <c r="F34" s="4"/>
      <c r="G34" s="14"/>
      <c r="H34" s="9">
        <v>125</v>
      </c>
    </row>
    <row r="35" spans="3:8" x14ac:dyDescent="0.25">
      <c r="C35" s="8"/>
      <c r="D35" s="2" t="s">
        <v>8473</v>
      </c>
      <c r="E35" s="2" t="s">
        <v>5847</v>
      </c>
      <c r="F35" s="4">
        <v>17.5</v>
      </c>
      <c r="G35" s="14"/>
      <c r="H35" s="9"/>
    </row>
    <row r="36" spans="3:8" x14ac:dyDescent="0.25">
      <c r="C36" s="8"/>
      <c r="D36" s="2" t="s">
        <v>8474</v>
      </c>
      <c r="E36" s="2" t="s">
        <v>8477</v>
      </c>
      <c r="F36" s="4">
        <v>2834.8</v>
      </c>
      <c r="G36" s="14"/>
      <c r="H36" s="9"/>
    </row>
    <row r="37" spans="3:8" x14ac:dyDescent="0.25">
      <c r="C37" s="8"/>
      <c r="D37" s="2" t="s">
        <v>8475</v>
      </c>
      <c r="E37" s="2" t="s">
        <v>5710</v>
      </c>
      <c r="F37" s="4"/>
      <c r="G37" s="14">
        <v>393</v>
      </c>
      <c r="H37" s="9"/>
    </row>
    <row r="38" spans="3:8" x14ac:dyDescent="0.25">
      <c r="C38" s="8"/>
      <c r="D38" s="2" t="s">
        <v>8476</v>
      </c>
      <c r="E38" s="2" t="s">
        <v>6949</v>
      </c>
      <c r="F38" s="4"/>
      <c r="G38" s="14"/>
      <c r="H38" s="9">
        <v>208</v>
      </c>
    </row>
    <row r="39" spans="3:8" x14ac:dyDescent="0.25">
      <c r="C39" s="8"/>
      <c r="D39" s="2" t="s">
        <v>8494</v>
      </c>
      <c r="E39" s="2" t="s">
        <v>8499</v>
      </c>
      <c r="F39" s="4"/>
      <c r="G39" s="14"/>
      <c r="H39" s="9">
        <v>390.4</v>
      </c>
    </row>
    <row r="40" spans="3:8" x14ac:dyDescent="0.25">
      <c r="C40" s="8"/>
      <c r="D40" s="2" t="s">
        <v>8495</v>
      </c>
      <c r="E40" s="2" t="s">
        <v>7899</v>
      </c>
      <c r="F40" s="4"/>
      <c r="G40" s="14">
        <v>34</v>
      </c>
      <c r="H40" s="9"/>
    </row>
    <row r="41" spans="3:8" x14ac:dyDescent="0.25">
      <c r="C41" s="8"/>
      <c r="D41" s="2" t="s">
        <v>8496</v>
      </c>
      <c r="E41" s="2" t="s">
        <v>7822</v>
      </c>
      <c r="F41" s="4"/>
      <c r="G41" s="14">
        <v>110</v>
      </c>
      <c r="H41" s="9"/>
    </row>
    <row r="42" spans="3:8" x14ac:dyDescent="0.25">
      <c r="C42" s="8"/>
      <c r="D42" s="2" t="s">
        <v>8497</v>
      </c>
      <c r="E42" s="2" t="s">
        <v>5847</v>
      </c>
      <c r="F42" s="4">
        <v>18</v>
      </c>
      <c r="G42" s="14"/>
      <c r="H42" s="9"/>
    </row>
    <row r="43" spans="3:8" x14ac:dyDescent="0.25">
      <c r="C43" s="8"/>
      <c r="D43" s="2" t="s">
        <v>8498</v>
      </c>
      <c r="E43" s="2" t="s">
        <v>5847</v>
      </c>
      <c r="F43" s="4">
        <v>11.5</v>
      </c>
      <c r="G43" s="14"/>
      <c r="H43" s="9"/>
    </row>
    <row r="44" spans="3:8" x14ac:dyDescent="0.25">
      <c r="C44" s="8"/>
      <c r="D44" s="2" t="s">
        <v>8532</v>
      </c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29"/>
      <c r="D46" s="30"/>
      <c r="E46" s="30" t="s">
        <v>60</v>
      </c>
      <c r="F46" s="4"/>
      <c r="G46" s="14"/>
      <c r="H46" s="9"/>
    </row>
    <row r="47" spans="3:8" x14ac:dyDescent="0.25">
      <c r="C47" s="8"/>
      <c r="D47" s="2" t="s">
        <v>8451</v>
      </c>
      <c r="E47" s="76" t="s">
        <v>6722</v>
      </c>
      <c r="F47" s="35"/>
      <c r="G47" s="14"/>
      <c r="H47" s="9">
        <v>1348.8</v>
      </c>
    </row>
    <row r="48" spans="3:8" x14ac:dyDescent="0.25">
      <c r="C48" s="8"/>
      <c r="D48" s="2" t="s">
        <v>8452</v>
      </c>
      <c r="E48" s="76" t="s">
        <v>5089</v>
      </c>
      <c r="F48" s="35"/>
      <c r="G48" s="14"/>
      <c r="H48" s="9">
        <v>230.5</v>
      </c>
    </row>
    <row r="49" spans="3:9" x14ac:dyDescent="0.25">
      <c r="C49" s="8"/>
      <c r="D49" s="2" t="s">
        <v>8453</v>
      </c>
      <c r="E49" s="76" t="s">
        <v>4322</v>
      </c>
      <c r="F49" s="35"/>
      <c r="G49" s="14"/>
      <c r="H49" s="9">
        <v>50</v>
      </c>
    </row>
    <row r="50" spans="3:9" x14ac:dyDescent="0.25">
      <c r="C50" s="8"/>
      <c r="D50" s="2" t="s">
        <v>8485</v>
      </c>
      <c r="E50" s="76" t="s">
        <v>8484</v>
      </c>
      <c r="F50" s="35"/>
      <c r="G50" s="14"/>
      <c r="H50" s="9">
        <v>350</v>
      </c>
    </row>
    <row r="51" spans="3:9" x14ac:dyDescent="0.25">
      <c r="C51" s="8"/>
      <c r="D51" s="2" t="s">
        <v>8507</v>
      </c>
      <c r="E51" s="76" t="s">
        <v>8484</v>
      </c>
      <c r="F51" s="35"/>
      <c r="G51" s="14"/>
      <c r="H51" s="9">
        <v>380</v>
      </c>
    </row>
    <row r="52" spans="3:9" x14ac:dyDescent="0.25">
      <c r="C52" s="8"/>
      <c r="D52" s="2"/>
      <c r="E52" s="76"/>
      <c r="F52" s="35"/>
      <c r="G52" s="14"/>
      <c r="H52" s="9"/>
    </row>
    <row r="53" spans="3:9" x14ac:dyDescent="0.25">
      <c r="C53" s="8"/>
      <c r="D53" s="2"/>
      <c r="E53" s="2"/>
      <c r="F53" s="4"/>
      <c r="G53" s="14"/>
      <c r="H53" s="9"/>
    </row>
    <row r="54" spans="3:9" x14ac:dyDescent="0.25">
      <c r="C54" s="16"/>
      <c r="D54" s="17"/>
      <c r="E54" s="17" t="s">
        <v>39</v>
      </c>
      <c r="F54" s="4"/>
      <c r="G54" s="14"/>
      <c r="H54" s="9"/>
    </row>
    <row r="55" spans="3:9" ht="15.75" customHeight="1" x14ac:dyDescent="0.25">
      <c r="C55" s="8"/>
      <c r="D55" s="2"/>
      <c r="E55" s="76" t="s">
        <v>8478</v>
      </c>
      <c r="F55" s="35">
        <v>1920</v>
      </c>
      <c r="G55" s="14"/>
      <c r="H55" s="9"/>
    </row>
    <row r="56" spans="3:9" ht="15.75" customHeight="1" x14ac:dyDescent="0.25">
      <c r="C56" s="8"/>
      <c r="D56" s="2"/>
      <c r="E56" s="76" t="s">
        <v>8479</v>
      </c>
      <c r="F56" s="35">
        <v>1700</v>
      </c>
      <c r="G56" s="14"/>
      <c r="H56" s="9"/>
    </row>
    <row r="57" spans="3:9" x14ac:dyDescent="0.25">
      <c r="C57" s="8"/>
      <c r="D57" s="2"/>
      <c r="E57" s="76" t="s">
        <v>8480</v>
      </c>
      <c r="F57" s="35">
        <v>12</v>
      </c>
      <c r="G57" s="14"/>
      <c r="H57" s="9"/>
    </row>
    <row r="58" spans="3:9" x14ac:dyDescent="0.25">
      <c r="C58" s="8"/>
      <c r="D58" s="2"/>
      <c r="E58" s="76" t="s">
        <v>8500</v>
      </c>
      <c r="F58" s="35">
        <v>472.5</v>
      </c>
      <c r="G58" s="14"/>
      <c r="H58" s="9"/>
    </row>
    <row r="59" spans="3:9" x14ac:dyDescent="0.25">
      <c r="C59" s="8"/>
      <c r="D59" s="2"/>
      <c r="E59" s="76" t="s">
        <v>8501</v>
      </c>
      <c r="F59" s="35">
        <v>52.5</v>
      </c>
      <c r="G59" s="14"/>
      <c r="H59" s="9"/>
    </row>
    <row r="60" spans="3:9" x14ac:dyDescent="0.25">
      <c r="C60" s="8"/>
      <c r="D60" s="2"/>
      <c r="E60" s="76" t="s">
        <v>8502</v>
      </c>
      <c r="F60" s="35">
        <v>75</v>
      </c>
      <c r="G60" s="14"/>
      <c r="H60" s="9"/>
    </row>
    <row r="61" spans="3:9" x14ac:dyDescent="0.25">
      <c r="C61" s="8"/>
      <c r="D61" s="2"/>
      <c r="E61" s="76" t="s">
        <v>8503</v>
      </c>
      <c r="F61" s="35">
        <v>115</v>
      </c>
      <c r="G61" s="14"/>
      <c r="H61" s="9"/>
    </row>
    <row r="62" spans="3:9" x14ac:dyDescent="0.25">
      <c r="C62" s="8"/>
      <c r="D62" s="2"/>
      <c r="E62" s="76" t="s">
        <v>8508</v>
      </c>
      <c r="F62" s="35">
        <v>120</v>
      </c>
      <c r="G62" s="14"/>
      <c r="H62" s="9"/>
    </row>
    <row r="63" spans="3:9" x14ac:dyDescent="0.25">
      <c r="C63" s="8"/>
      <c r="D63" s="2"/>
      <c r="E63" s="76"/>
      <c r="F63" s="35"/>
      <c r="G63" s="14"/>
      <c r="H63" s="9"/>
      <c r="I63" s="36"/>
    </row>
    <row r="64" spans="3:9" x14ac:dyDescent="0.25">
      <c r="C64" s="8"/>
      <c r="D64" s="2"/>
      <c r="E64" s="2"/>
      <c r="F64" s="4"/>
      <c r="G64" s="14"/>
      <c r="H64" s="9"/>
    </row>
    <row r="65" spans="3:8" x14ac:dyDescent="0.25">
      <c r="C65" s="19"/>
      <c r="D65" s="20"/>
      <c r="E65" s="20" t="s">
        <v>42</v>
      </c>
      <c r="F65" s="14"/>
      <c r="G65" s="14"/>
      <c r="H65" s="9"/>
    </row>
    <row r="66" spans="3:8" x14ac:dyDescent="0.25">
      <c r="C66" s="34"/>
      <c r="D66" s="45"/>
      <c r="E66" s="68" t="s">
        <v>8449</v>
      </c>
      <c r="F66" s="14">
        <v>-60</v>
      </c>
      <c r="G66" s="14"/>
      <c r="H66" s="9"/>
    </row>
    <row r="67" spans="3:8" x14ac:dyDescent="0.25">
      <c r="C67" s="34"/>
      <c r="D67" s="45"/>
      <c r="E67" s="68" t="s">
        <v>8450</v>
      </c>
      <c r="F67" s="14">
        <v>-900</v>
      </c>
      <c r="G67" s="14"/>
      <c r="H67" s="9"/>
    </row>
    <row r="68" spans="3:8" x14ac:dyDescent="0.25">
      <c r="C68" s="34"/>
      <c r="D68" s="45"/>
      <c r="E68" s="68" t="s">
        <v>8481</v>
      </c>
      <c r="F68" s="14">
        <v>-15</v>
      </c>
      <c r="G68" s="14"/>
      <c r="H68" s="9"/>
    </row>
    <row r="69" spans="3:8" x14ac:dyDescent="0.25">
      <c r="C69" s="34"/>
      <c r="D69" s="45"/>
      <c r="E69" s="68" t="s">
        <v>8482</v>
      </c>
      <c r="F69" s="14">
        <v>-194.4</v>
      </c>
      <c r="G69" s="14"/>
      <c r="H69" s="9"/>
    </row>
    <row r="70" spans="3:8" x14ac:dyDescent="0.25">
      <c r="C70" s="34"/>
      <c r="D70" s="45"/>
      <c r="E70" s="68" t="s">
        <v>8483</v>
      </c>
      <c r="F70" s="14">
        <v>-840</v>
      </c>
      <c r="G70" s="14"/>
      <c r="H70" s="9"/>
    </row>
    <row r="71" spans="3:8" x14ac:dyDescent="0.25">
      <c r="C71" s="34"/>
      <c r="D71" s="45"/>
      <c r="E71" s="68" t="s">
        <v>8504</v>
      </c>
      <c r="F71" s="14">
        <v>-50</v>
      </c>
      <c r="G71" s="14"/>
      <c r="H71" s="9"/>
    </row>
    <row r="72" spans="3:8" x14ac:dyDescent="0.25">
      <c r="C72" s="34"/>
      <c r="D72" s="45"/>
      <c r="E72" s="68" t="s">
        <v>8505</v>
      </c>
      <c r="F72" s="14">
        <v>-10000</v>
      </c>
      <c r="G72" s="14"/>
      <c r="H72" s="9"/>
    </row>
    <row r="73" spans="3:8" x14ac:dyDescent="0.25">
      <c r="C73" s="34"/>
      <c r="D73" s="45"/>
      <c r="E73" s="68" t="s">
        <v>8506</v>
      </c>
      <c r="F73" s="14">
        <v>-20</v>
      </c>
      <c r="G73" s="14"/>
      <c r="H73" s="9"/>
    </row>
    <row r="74" spans="3:8" x14ac:dyDescent="0.25">
      <c r="C74" s="34"/>
      <c r="D74" s="45"/>
      <c r="E74" s="68" t="s">
        <v>8509</v>
      </c>
      <c r="F74" s="14">
        <v>-100</v>
      </c>
      <c r="G74" s="14"/>
      <c r="H74" s="9"/>
    </row>
    <row r="75" spans="3:8" x14ac:dyDescent="0.25">
      <c r="C75" s="34"/>
      <c r="D75" s="45"/>
      <c r="E75" s="68"/>
      <c r="F75" s="14"/>
      <c r="G75" s="14"/>
      <c r="H75" s="9"/>
    </row>
    <row r="76" spans="3:8" x14ac:dyDescent="0.25">
      <c r="C76" s="34"/>
      <c r="D76" s="45"/>
      <c r="E76" s="68"/>
      <c r="F76" s="14"/>
      <c r="G76" s="14"/>
      <c r="H76" s="9"/>
    </row>
    <row r="77" spans="3:8" x14ac:dyDescent="0.25">
      <c r="C77" s="34"/>
      <c r="D77" s="45"/>
      <c r="E77" s="68"/>
      <c r="F77" s="14"/>
      <c r="G77" s="14"/>
      <c r="H77" s="9"/>
    </row>
    <row r="78" spans="3:8" x14ac:dyDescent="0.25">
      <c r="C78" s="34"/>
      <c r="D78" s="45"/>
      <c r="E78" s="68"/>
      <c r="F78" s="14"/>
      <c r="G78" s="14"/>
      <c r="H78" s="9"/>
    </row>
    <row r="79" spans="3:8" x14ac:dyDescent="0.25">
      <c r="C79" s="34"/>
      <c r="D79" s="42"/>
      <c r="E79" s="68"/>
      <c r="F79" s="14"/>
      <c r="G79" s="14"/>
      <c r="H79" s="9"/>
    </row>
    <row r="80" spans="3:8" ht="15.75" thickBot="1" x14ac:dyDescent="0.3">
      <c r="C80" s="10"/>
      <c r="D80" s="11"/>
      <c r="E80" s="11" t="s">
        <v>44</v>
      </c>
      <c r="F80" s="12">
        <f>SUM(F6:F79)</f>
        <v>-1907.6000000000004</v>
      </c>
      <c r="G80" s="15">
        <f>SUM(G6:G79)</f>
        <v>5917.4</v>
      </c>
      <c r="H80" s="13">
        <f>SUM(H6:H79)</f>
        <v>4717.7</v>
      </c>
    </row>
    <row r="83" spans="3:6" s="3" customFormat="1" ht="18.75" x14ac:dyDescent="0.3">
      <c r="C83" s="1"/>
      <c r="D83" s="1"/>
      <c r="E83" s="38" t="s">
        <v>49</v>
      </c>
      <c r="F83" s="39">
        <f>+H4+F80</f>
        <v>1486.5499999999997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7621-3542-4017-90C5-49C3A7CD7E77}">
  <sheetPr codeName="Hoja109"/>
  <dimension ref="C2:J97"/>
  <sheetViews>
    <sheetView topLeftCell="A49" zoomScale="89" zoomScaleNormal="89" workbookViewId="0">
      <selection activeCell="H37" sqref="H37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8593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1486.55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8517</v>
      </c>
      <c r="E6" s="2" t="s">
        <v>2384</v>
      </c>
      <c r="F6" s="109"/>
      <c r="G6" s="113"/>
      <c r="H6" s="112">
        <v>180</v>
      </c>
    </row>
    <row r="7" spans="3:10" x14ac:dyDescent="0.25">
      <c r="C7" s="24"/>
      <c r="D7" s="2" t="s">
        <v>8518</v>
      </c>
      <c r="E7" s="2" t="s">
        <v>6662</v>
      </c>
      <c r="F7" s="109"/>
      <c r="G7" s="113">
        <v>2938</v>
      </c>
      <c r="H7" s="112"/>
      <c r="I7" s="36"/>
      <c r="J7" s="36"/>
    </row>
    <row r="8" spans="3:10" x14ac:dyDescent="0.25">
      <c r="C8" s="24"/>
      <c r="D8" s="2" t="s">
        <v>8519</v>
      </c>
      <c r="E8" s="2" t="s">
        <v>5678</v>
      </c>
      <c r="F8" s="109">
        <v>5</v>
      </c>
      <c r="G8" s="113"/>
      <c r="H8" s="112"/>
      <c r="J8" s="36"/>
    </row>
    <row r="9" spans="3:10" x14ac:dyDescent="0.25">
      <c r="C9" s="24"/>
      <c r="D9" s="2" t="s">
        <v>8520</v>
      </c>
      <c r="E9" s="2" t="s">
        <v>8546</v>
      </c>
      <c r="F9" s="109"/>
      <c r="G9" s="113"/>
      <c r="H9" s="112">
        <v>166</v>
      </c>
      <c r="J9" s="36"/>
    </row>
    <row r="10" spans="3:10" x14ac:dyDescent="0.25">
      <c r="C10" s="8"/>
      <c r="D10" s="2" t="s">
        <v>8521</v>
      </c>
      <c r="E10" s="2" t="s">
        <v>8547</v>
      </c>
      <c r="F10" s="4">
        <v>1662.5</v>
      </c>
      <c r="G10" s="14"/>
      <c r="H10" s="9"/>
    </row>
    <row r="11" spans="3:10" x14ac:dyDescent="0.25">
      <c r="C11" s="8"/>
      <c r="D11" s="2" t="s">
        <v>8522</v>
      </c>
      <c r="E11" s="2" t="s">
        <v>8548</v>
      </c>
      <c r="F11" s="4">
        <v>341</v>
      </c>
      <c r="G11" s="14"/>
      <c r="H11" s="9"/>
    </row>
    <row r="12" spans="3:10" x14ac:dyDescent="0.25">
      <c r="C12" s="8"/>
      <c r="D12" s="2" t="s">
        <v>8523</v>
      </c>
      <c r="E12" s="2" t="s">
        <v>8549</v>
      </c>
      <c r="F12" s="4">
        <v>967</v>
      </c>
      <c r="G12" s="14"/>
      <c r="H12" s="9"/>
    </row>
    <row r="13" spans="3:10" x14ac:dyDescent="0.25">
      <c r="C13" s="8"/>
      <c r="D13" s="2" t="s">
        <v>8524</v>
      </c>
      <c r="E13" s="2" t="s">
        <v>266</v>
      </c>
      <c r="F13" s="4"/>
      <c r="G13" s="14">
        <v>802.5</v>
      </c>
      <c r="H13" s="9"/>
    </row>
    <row r="14" spans="3:10" x14ac:dyDescent="0.25">
      <c r="C14" s="8"/>
      <c r="D14" s="2" t="s">
        <v>8525</v>
      </c>
      <c r="E14" s="2" t="s">
        <v>5678</v>
      </c>
      <c r="F14" s="4">
        <v>3</v>
      </c>
      <c r="G14" s="14"/>
      <c r="H14" s="9"/>
    </row>
    <row r="15" spans="3:10" x14ac:dyDescent="0.25">
      <c r="C15" s="8"/>
      <c r="D15" s="2" t="s">
        <v>8526</v>
      </c>
      <c r="E15" s="2" t="s">
        <v>5678</v>
      </c>
      <c r="F15" s="4">
        <v>2</v>
      </c>
      <c r="G15" s="14"/>
      <c r="H15" s="9"/>
    </row>
    <row r="16" spans="3:10" x14ac:dyDescent="0.25">
      <c r="C16" s="8"/>
      <c r="D16" s="2" t="s">
        <v>8527</v>
      </c>
      <c r="E16" s="2" t="s">
        <v>8550</v>
      </c>
      <c r="F16" s="4"/>
      <c r="G16" s="14">
        <v>1375</v>
      </c>
      <c r="H16" s="9"/>
    </row>
    <row r="17" spans="3:8" x14ac:dyDescent="0.25">
      <c r="C17" s="8"/>
      <c r="D17" s="2" t="s">
        <v>8528</v>
      </c>
      <c r="E17" s="2" t="s">
        <v>5678</v>
      </c>
      <c r="F17" s="4">
        <v>567</v>
      </c>
      <c r="G17" s="14"/>
      <c r="H17" s="9"/>
    </row>
    <row r="18" spans="3:8" x14ac:dyDescent="0.25">
      <c r="C18" s="8"/>
      <c r="D18" s="2" t="s">
        <v>8529</v>
      </c>
      <c r="E18" s="2" t="s">
        <v>5678</v>
      </c>
      <c r="F18" s="4">
        <v>3</v>
      </c>
      <c r="G18" s="14"/>
      <c r="H18" s="9"/>
    </row>
    <row r="19" spans="3:8" x14ac:dyDescent="0.25">
      <c r="C19" s="8"/>
      <c r="D19" s="2" t="s">
        <v>8530</v>
      </c>
      <c r="E19" s="2" t="s">
        <v>8551</v>
      </c>
      <c r="F19" s="4">
        <v>787.5</v>
      </c>
      <c r="G19" s="14"/>
      <c r="H19" s="9"/>
    </row>
    <row r="20" spans="3:8" x14ac:dyDescent="0.25">
      <c r="C20" s="8"/>
      <c r="D20" s="2" t="s">
        <v>8531</v>
      </c>
      <c r="E20" s="2" t="s">
        <v>5678</v>
      </c>
      <c r="F20" s="4">
        <v>11.5</v>
      </c>
      <c r="G20" s="14"/>
      <c r="H20" s="9"/>
    </row>
    <row r="21" spans="3:8" x14ac:dyDescent="0.25">
      <c r="C21" s="8"/>
      <c r="D21" s="2" t="s">
        <v>8561</v>
      </c>
      <c r="E21" s="2" t="s">
        <v>5678</v>
      </c>
      <c r="F21" s="4">
        <v>3</v>
      </c>
      <c r="G21" s="14"/>
      <c r="H21" s="9"/>
    </row>
    <row r="22" spans="3:8" x14ac:dyDescent="0.25">
      <c r="C22" s="8"/>
      <c r="D22" s="2" t="s">
        <v>8564</v>
      </c>
      <c r="E22" s="2" t="s">
        <v>5678</v>
      </c>
      <c r="F22" s="4"/>
      <c r="G22" s="14"/>
      <c r="H22" s="9">
        <v>19</v>
      </c>
    </row>
    <row r="23" spans="3:8" x14ac:dyDescent="0.25">
      <c r="C23" s="8"/>
      <c r="D23" s="2" t="s">
        <v>8565</v>
      </c>
      <c r="E23" s="2" t="s">
        <v>5678</v>
      </c>
      <c r="F23" s="4"/>
      <c r="G23" s="14"/>
      <c r="H23" s="9">
        <v>12.5</v>
      </c>
    </row>
    <row r="24" spans="3:8" x14ac:dyDescent="0.25">
      <c r="C24" s="8"/>
      <c r="D24" s="2" t="s">
        <v>8566</v>
      </c>
      <c r="E24" s="2" t="s">
        <v>5678</v>
      </c>
      <c r="F24" s="4"/>
      <c r="G24" s="14"/>
      <c r="H24" s="9">
        <v>5</v>
      </c>
    </row>
    <row r="25" spans="3:8" x14ac:dyDescent="0.25">
      <c r="C25" s="8"/>
      <c r="D25" s="2" t="s">
        <v>8567</v>
      </c>
      <c r="E25" s="2" t="s">
        <v>5678</v>
      </c>
      <c r="F25" s="4">
        <v>1</v>
      </c>
      <c r="G25" s="14"/>
      <c r="H25" s="9"/>
    </row>
    <row r="26" spans="3:8" x14ac:dyDescent="0.25">
      <c r="C26" s="8"/>
      <c r="D26" s="2" t="s">
        <v>8568</v>
      </c>
      <c r="E26" s="2" t="s">
        <v>6593</v>
      </c>
      <c r="F26" s="4"/>
      <c r="G26" s="14"/>
      <c r="H26" s="9">
        <v>18</v>
      </c>
    </row>
    <row r="27" spans="3:8" x14ac:dyDescent="0.25">
      <c r="C27" s="8"/>
      <c r="D27" s="2" t="s">
        <v>8569</v>
      </c>
      <c r="E27" s="2" t="s">
        <v>5678</v>
      </c>
      <c r="F27" s="4">
        <v>180</v>
      </c>
      <c r="G27" s="14"/>
      <c r="H27" s="9"/>
    </row>
    <row r="28" spans="3:8" x14ac:dyDescent="0.25">
      <c r="C28" s="8"/>
      <c r="D28" s="2" t="s">
        <v>8570</v>
      </c>
      <c r="E28" s="2" t="s">
        <v>5678</v>
      </c>
      <c r="F28" s="4"/>
      <c r="G28" s="14"/>
      <c r="H28" s="9">
        <v>35</v>
      </c>
    </row>
    <row r="29" spans="3:8" x14ac:dyDescent="0.25">
      <c r="C29" s="8"/>
      <c r="D29" s="2" t="s">
        <v>8571</v>
      </c>
      <c r="E29" s="2" t="s">
        <v>5678</v>
      </c>
      <c r="F29" s="4"/>
      <c r="G29" s="14"/>
      <c r="H29" s="9">
        <v>5</v>
      </c>
    </row>
    <row r="30" spans="3:8" x14ac:dyDescent="0.25">
      <c r="C30" s="8"/>
      <c r="D30" s="2" t="s">
        <v>8572</v>
      </c>
      <c r="E30" s="2" t="s">
        <v>7126</v>
      </c>
      <c r="F30" s="4"/>
      <c r="G30" s="14">
        <v>565</v>
      </c>
      <c r="H30" s="9"/>
    </row>
    <row r="31" spans="3:8" x14ac:dyDescent="0.25">
      <c r="C31" s="8"/>
      <c r="D31" s="2" t="s">
        <v>8573</v>
      </c>
      <c r="E31" s="2" t="s">
        <v>6593</v>
      </c>
      <c r="F31" s="4">
        <v>15</v>
      </c>
      <c r="G31" s="14"/>
      <c r="H31" s="9"/>
    </row>
    <row r="32" spans="3:8" x14ac:dyDescent="0.25">
      <c r="C32" s="8"/>
      <c r="D32" s="2" t="s">
        <v>8574</v>
      </c>
      <c r="E32" s="2" t="s">
        <v>5678</v>
      </c>
      <c r="F32" s="4"/>
      <c r="G32" s="14"/>
      <c r="H32" s="9">
        <v>9</v>
      </c>
    </row>
    <row r="33" spans="3:8" x14ac:dyDescent="0.25">
      <c r="C33" s="8"/>
      <c r="D33" s="2" t="s">
        <v>8575</v>
      </c>
      <c r="E33" s="2" t="s">
        <v>5678</v>
      </c>
      <c r="F33" s="4">
        <v>4</v>
      </c>
      <c r="G33" s="14"/>
      <c r="H33" s="9"/>
    </row>
    <row r="34" spans="3:8" x14ac:dyDescent="0.25">
      <c r="C34" s="8"/>
      <c r="D34" s="2" t="s">
        <v>8576</v>
      </c>
      <c r="E34" s="43" t="s">
        <v>2381</v>
      </c>
      <c r="F34" s="4"/>
      <c r="G34" s="14"/>
      <c r="H34" s="9"/>
    </row>
    <row r="35" spans="3:8" x14ac:dyDescent="0.25">
      <c r="C35" s="8"/>
      <c r="D35" s="2" t="s">
        <v>8577</v>
      </c>
      <c r="E35" s="2" t="s">
        <v>5018</v>
      </c>
      <c r="F35" s="4"/>
      <c r="G35" s="14">
        <v>87</v>
      </c>
      <c r="H35" s="9"/>
    </row>
    <row r="36" spans="3:8" x14ac:dyDescent="0.25">
      <c r="C36" s="8"/>
      <c r="D36" s="2" t="s">
        <v>8598</v>
      </c>
      <c r="E36" s="2" t="s">
        <v>8599</v>
      </c>
      <c r="F36" s="4"/>
      <c r="G36" s="14"/>
      <c r="H36" s="9">
        <v>775</v>
      </c>
    </row>
    <row r="37" spans="3:8" x14ac:dyDescent="0.25">
      <c r="C37" s="8"/>
      <c r="D37" s="2" t="s">
        <v>8532</v>
      </c>
      <c r="E37" s="2" t="s">
        <v>8542</v>
      </c>
      <c r="F37" s="4">
        <v>83.6</v>
      </c>
      <c r="G37" s="14"/>
      <c r="H37" s="9"/>
    </row>
    <row r="38" spans="3:8" x14ac:dyDescent="0.25">
      <c r="C38" s="8"/>
      <c r="D38" s="2" t="s">
        <v>8533</v>
      </c>
      <c r="E38" s="2" t="s">
        <v>5231</v>
      </c>
      <c r="F38" s="4">
        <v>1</v>
      </c>
      <c r="G38" s="14"/>
      <c r="H38" s="9"/>
    </row>
    <row r="39" spans="3:8" x14ac:dyDescent="0.25">
      <c r="C39" s="8"/>
      <c r="D39" s="2" t="s">
        <v>8534</v>
      </c>
      <c r="E39" s="2" t="s">
        <v>3577</v>
      </c>
      <c r="F39" s="4">
        <v>308.39999999999998</v>
      </c>
      <c r="G39" s="14"/>
      <c r="H39" s="9"/>
    </row>
    <row r="40" spans="3:8" x14ac:dyDescent="0.25">
      <c r="C40" s="8"/>
      <c r="D40" s="2" t="s">
        <v>8535</v>
      </c>
      <c r="E40" s="2" t="s">
        <v>5231</v>
      </c>
      <c r="F40" s="4"/>
      <c r="G40" s="14"/>
      <c r="H40" s="9">
        <v>5.5</v>
      </c>
    </row>
    <row r="41" spans="3:8" x14ac:dyDescent="0.25">
      <c r="C41" s="8"/>
      <c r="D41" s="2" t="s">
        <v>8536</v>
      </c>
      <c r="E41" s="2" t="s">
        <v>8543</v>
      </c>
      <c r="F41" s="4"/>
      <c r="G41" s="14"/>
      <c r="H41" s="9">
        <v>14</v>
      </c>
    </row>
    <row r="42" spans="3:8" x14ac:dyDescent="0.25">
      <c r="C42" s="8"/>
      <c r="D42" s="2" t="s">
        <v>8537</v>
      </c>
      <c r="E42" s="2" t="s">
        <v>8543</v>
      </c>
      <c r="F42" s="4"/>
      <c r="G42" s="14"/>
      <c r="H42" s="9">
        <v>7</v>
      </c>
    </row>
    <row r="43" spans="3:8" x14ac:dyDescent="0.25">
      <c r="C43" s="8"/>
      <c r="D43" s="2" t="s">
        <v>8538</v>
      </c>
      <c r="E43" s="2" t="s">
        <v>8544</v>
      </c>
      <c r="F43" s="4">
        <v>754.5</v>
      </c>
      <c r="G43" s="14"/>
      <c r="H43" s="9"/>
    </row>
    <row r="44" spans="3:8" x14ac:dyDescent="0.25">
      <c r="C44" s="8"/>
      <c r="D44" s="2" t="s">
        <v>8539</v>
      </c>
      <c r="E44" s="2" t="s">
        <v>5951</v>
      </c>
      <c r="F44" s="4"/>
      <c r="G44" s="14"/>
      <c r="H44" s="9">
        <v>3070</v>
      </c>
    </row>
    <row r="45" spans="3:8" x14ac:dyDescent="0.25">
      <c r="C45" s="8"/>
      <c r="D45" s="2" t="s">
        <v>8540</v>
      </c>
      <c r="E45" s="2" t="s">
        <v>5231</v>
      </c>
      <c r="F45" s="4"/>
      <c r="G45" s="14"/>
      <c r="H45" s="9">
        <v>40</v>
      </c>
    </row>
    <row r="46" spans="3:8" x14ac:dyDescent="0.25">
      <c r="C46" s="8"/>
      <c r="D46" s="2" t="s">
        <v>8541</v>
      </c>
      <c r="E46" s="2" t="s">
        <v>8545</v>
      </c>
      <c r="F46" s="4"/>
      <c r="G46" s="14"/>
      <c r="H46" s="9">
        <v>146.4</v>
      </c>
    </row>
    <row r="47" spans="3:8" x14ac:dyDescent="0.25">
      <c r="C47" s="8"/>
      <c r="D47" s="2" t="s">
        <v>8562</v>
      </c>
      <c r="E47" s="2" t="s">
        <v>5231</v>
      </c>
      <c r="F47" s="4">
        <v>7</v>
      </c>
      <c r="G47" s="14"/>
      <c r="H47" s="9"/>
    </row>
    <row r="48" spans="3:8" x14ac:dyDescent="0.25">
      <c r="C48" s="8"/>
      <c r="D48" s="2" t="s">
        <v>8578</v>
      </c>
      <c r="E48" s="2" t="s">
        <v>5231</v>
      </c>
      <c r="F48" s="4"/>
      <c r="G48" s="14"/>
      <c r="H48" s="9">
        <v>27</v>
      </c>
    </row>
    <row r="49" spans="3:8" x14ac:dyDescent="0.25">
      <c r="C49" s="8"/>
      <c r="D49" s="2" t="s">
        <v>8579</v>
      </c>
      <c r="E49" s="2" t="s">
        <v>5231</v>
      </c>
      <c r="F49" s="4">
        <v>0.3</v>
      </c>
      <c r="G49" s="14"/>
      <c r="H49" s="9"/>
    </row>
    <row r="50" spans="3:8" x14ac:dyDescent="0.25">
      <c r="C50" s="8"/>
      <c r="D50" s="2" t="s">
        <v>8580</v>
      </c>
      <c r="E50" s="2" t="s">
        <v>5231</v>
      </c>
      <c r="F50" s="4">
        <v>2</v>
      </c>
      <c r="G50" s="14"/>
      <c r="H50" s="9"/>
    </row>
    <row r="51" spans="3:8" x14ac:dyDescent="0.25">
      <c r="C51" s="8"/>
      <c r="D51" s="2" t="s">
        <v>8581</v>
      </c>
      <c r="E51" s="2" t="s">
        <v>5231</v>
      </c>
      <c r="F51" s="4"/>
      <c r="G51" s="14"/>
      <c r="H51" s="9">
        <v>22</v>
      </c>
    </row>
    <row r="52" spans="3:8" x14ac:dyDescent="0.25">
      <c r="C52" s="8"/>
      <c r="D52" s="2" t="s">
        <v>8582</v>
      </c>
      <c r="E52" s="2" t="s">
        <v>6441</v>
      </c>
      <c r="F52" s="4"/>
      <c r="G52" s="14"/>
      <c r="H52" s="9">
        <v>3060</v>
      </c>
    </row>
    <row r="53" spans="3:8" x14ac:dyDescent="0.25">
      <c r="C53" s="8"/>
      <c r="D53" s="2" t="s">
        <v>8583</v>
      </c>
      <c r="E53" s="2" t="s">
        <v>7609</v>
      </c>
      <c r="F53" s="4"/>
      <c r="G53" s="14">
        <v>4788</v>
      </c>
      <c r="H53" s="9"/>
    </row>
    <row r="54" spans="3:8" x14ac:dyDescent="0.25">
      <c r="C54" s="8"/>
      <c r="D54" s="2" t="s">
        <v>8584</v>
      </c>
      <c r="E54" s="2" t="s">
        <v>8585</v>
      </c>
      <c r="F54" s="4"/>
      <c r="G54" s="14">
        <v>500</v>
      </c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2" t="s">
        <v>8510</v>
      </c>
      <c r="E61" s="76" t="s">
        <v>8511</v>
      </c>
      <c r="F61" s="35">
        <v>13.4</v>
      </c>
      <c r="G61" s="14"/>
      <c r="H61" s="9"/>
    </row>
    <row r="62" spans="3:8" x14ac:dyDescent="0.25">
      <c r="C62" s="8"/>
      <c r="D62" s="2" t="s">
        <v>8512</v>
      </c>
      <c r="E62" s="76" t="s">
        <v>8515</v>
      </c>
      <c r="F62" s="35"/>
      <c r="G62" s="14"/>
      <c r="H62" s="9">
        <v>670</v>
      </c>
    </row>
    <row r="63" spans="3:8" x14ac:dyDescent="0.25">
      <c r="C63" s="8"/>
      <c r="D63" s="2" t="s">
        <v>8513</v>
      </c>
      <c r="E63" s="76" t="s">
        <v>8516</v>
      </c>
      <c r="F63" s="35"/>
      <c r="G63" s="14"/>
      <c r="H63" s="9">
        <v>528</v>
      </c>
    </row>
    <row r="64" spans="3:8" x14ac:dyDescent="0.25">
      <c r="C64" s="8"/>
      <c r="D64" s="2" t="s">
        <v>8514</v>
      </c>
      <c r="E64" s="76" t="s">
        <v>4268</v>
      </c>
      <c r="F64" s="35"/>
      <c r="G64" s="14"/>
      <c r="H64" s="9">
        <v>65</v>
      </c>
    </row>
    <row r="65" spans="3:9" x14ac:dyDescent="0.25">
      <c r="C65" s="8"/>
      <c r="D65" s="2" t="s">
        <v>8563</v>
      </c>
      <c r="E65" s="76" t="s">
        <v>4268</v>
      </c>
      <c r="F65" s="35"/>
      <c r="G65" s="14"/>
      <c r="H65" s="9">
        <v>475</v>
      </c>
    </row>
    <row r="66" spans="3:9" x14ac:dyDescent="0.25">
      <c r="C66" s="8"/>
      <c r="D66" s="2" t="s">
        <v>8600</v>
      </c>
      <c r="E66" s="2" t="s">
        <v>8599</v>
      </c>
      <c r="F66" s="4"/>
      <c r="G66" s="14"/>
      <c r="H66" s="9">
        <v>3279.8</v>
      </c>
    </row>
    <row r="67" spans="3:9" x14ac:dyDescent="0.25">
      <c r="C67" s="8"/>
      <c r="D67" s="2"/>
      <c r="E67" s="2"/>
      <c r="F67" s="4"/>
      <c r="G67" s="14"/>
      <c r="H67" s="9"/>
    </row>
    <row r="68" spans="3:9" x14ac:dyDescent="0.25">
      <c r="C68" s="16"/>
      <c r="D68" s="17"/>
      <c r="E68" s="17" t="s">
        <v>39</v>
      </c>
      <c r="F68" s="4"/>
      <c r="G68" s="14"/>
      <c r="H68" s="9"/>
    </row>
    <row r="69" spans="3:9" ht="15.75" customHeight="1" x14ac:dyDescent="0.25">
      <c r="C69" s="8"/>
      <c r="D69" s="2"/>
      <c r="E69" s="76" t="s">
        <v>8552</v>
      </c>
      <c r="F69" s="35">
        <v>6</v>
      </c>
      <c r="G69" s="14"/>
      <c r="H69" s="9"/>
    </row>
    <row r="70" spans="3:9" ht="15.75" customHeight="1" x14ac:dyDescent="0.25">
      <c r="C70" s="8"/>
      <c r="D70" s="2"/>
      <c r="E70" s="76" t="s">
        <v>8553</v>
      </c>
      <c r="F70" s="35">
        <v>5.5</v>
      </c>
      <c r="G70" s="14"/>
      <c r="H70" s="9"/>
    </row>
    <row r="71" spans="3:9" x14ac:dyDescent="0.25">
      <c r="C71" s="8"/>
      <c r="D71" s="2"/>
      <c r="E71" s="76" t="s">
        <v>8554</v>
      </c>
      <c r="F71" s="35">
        <v>15</v>
      </c>
      <c r="G71" s="14"/>
      <c r="H71" s="9"/>
    </row>
    <row r="72" spans="3:9" x14ac:dyDescent="0.25">
      <c r="C72" s="8"/>
      <c r="D72" s="2"/>
      <c r="E72" s="76" t="s">
        <v>8555</v>
      </c>
      <c r="F72" s="35">
        <v>10</v>
      </c>
      <c r="G72" s="14"/>
      <c r="H72" s="9"/>
    </row>
    <row r="73" spans="3:9" x14ac:dyDescent="0.25">
      <c r="C73" s="8"/>
      <c r="D73" s="2"/>
      <c r="E73" s="76" t="s">
        <v>8556</v>
      </c>
      <c r="F73" s="35">
        <v>229.7</v>
      </c>
      <c r="G73" s="14"/>
      <c r="H73" s="9"/>
    </row>
    <row r="74" spans="3:9" x14ac:dyDescent="0.25">
      <c r="C74" s="8"/>
      <c r="D74" s="2"/>
      <c r="E74" s="76" t="s">
        <v>8557</v>
      </c>
      <c r="F74" s="35">
        <v>21</v>
      </c>
      <c r="G74" s="14"/>
      <c r="H74" s="9"/>
    </row>
    <row r="75" spans="3:9" x14ac:dyDescent="0.25">
      <c r="C75" s="8"/>
      <c r="D75" s="2"/>
      <c r="E75" s="76" t="s">
        <v>8586</v>
      </c>
      <c r="F75" s="35">
        <v>2011.2</v>
      </c>
      <c r="G75" s="14"/>
      <c r="H75" s="9"/>
    </row>
    <row r="76" spans="3:9" x14ac:dyDescent="0.25">
      <c r="C76" s="8"/>
      <c r="D76" s="2"/>
      <c r="E76" s="76" t="s">
        <v>8447</v>
      </c>
      <c r="F76" s="35">
        <v>2000</v>
      </c>
      <c r="G76" s="14"/>
      <c r="H76" s="9"/>
    </row>
    <row r="77" spans="3:9" x14ac:dyDescent="0.25">
      <c r="C77" s="8"/>
      <c r="D77" s="2"/>
      <c r="E77" s="76" t="s">
        <v>8589</v>
      </c>
      <c r="F77" s="35">
        <v>1688.8</v>
      </c>
      <c r="G77" s="14"/>
      <c r="H77" s="9"/>
      <c r="I77" s="36"/>
    </row>
    <row r="78" spans="3:9" x14ac:dyDescent="0.25">
      <c r="C78" s="8"/>
      <c r="D78" s="2"/>
      <c r="E78" s="2"/>
      <c r="F78" s="4"/>
      <c r="G78" s="14"/>
      <c r="H78" s="9"/>
    </row>
    <row r="79" spans="3:9" x14ac:dyDescent="0.25">
      <c r="C79" s="19"/>
      <c r="D79" s="20"/>
      <c r="E79" s="20" t="s">
        <v>42</v>
      </c>
      <c r="F79" s="14"/>
      <c r="G79" s="14"/>
      <c r="H79" s="9"/>
    </row>
    <row r="80" spans="3:9" x14ac:dyDescent="0.25">
      <c r="C80" s="34"/>
      <c r="D80" s="45"/>
      <c r="E80" s="68" t="s">
        <v>8558</v>
      </c>
      <c r="F80" s="14">
        <v>-16.5</v>
      </c>
      <c r="G80" s="14"/>
      <c r="H80" s="9"/>
    </row>
    <row r="81" spans="3:8" x14ac:dyDescent="0.25">
      <c r="C81" s="34"/>
      <c r="D81" s="45"/>
      <c r="E81" s="68" t="s">
        <v>8559</v>
      </c>
      <c r="F81" s="14">
        <v>-353</v>
      </c>
      <c r="G81" s="14"/>
      <c r="H81" s="9"/>
    </row>
    <row r="82" spans="3:8" x14ac:dyDescent="0.25">
      <c r="C82" s="34"/>
      <c r="D82" s="45"/>
      <c r="E82" s="68" t="s">
        <v>8560</v>
      </c>
      <c r="F82" s="14">
        <v>-295</v>
      </c>
      <c r="G82" s="14"/>
      <c r="H82" s="9"/>
    </row>
    <row r="83" spans="3:8" x14ac:dyDescent="0.25">
      <c r="C83" s="34"/>
      <c r="D83" s="45"/>
      <c r="E83" s="68" t="s">
        <v>8587</v>
      </c>
      <c r="F83" s="14">
        <v>-70</v>
      </c>
      <c r="G83" s="14"/>
      <c r="H83" s="9"/>
    </row>
    <row r="84" spans="3:8" x14ac:dyDescent="0.25">
      <c r="C84" s="34"/>
      <c r="D84" s="45"/>
      <c r="E84" s="68" t="s">
        <v>8588</v>
      </c>
      <c r="F84" s="14">
        <v>-295</v>
      </c>
      <c r="G84" s="14"/>
      <c r="H84" s="9"/>
    </row>
    <row r="85" spans="3:8" x14ac:dyDescent="0.25">
      <c r="C85" s="34"/>
      <c r="D85" s="45"/>
      <c r="E85" s="68" t="s">
        <v>8590</v>
      </c>
      <c r="F85" s="14">
        <v>-10</v>
      </c>
      <c r="G85" s="14"/>
      <c r="H85" s="9"/>
    </row>
    <row r="86" spans="3:8" x14ac:dyDescent="0.25">
      <c r="C86" s="34"/>
      <c r="D86" s="45"/>
      <c r="E86" s="68" t="s">
        <v>8595</v>
      </c>
      <c r="F86" s="14">
        <v>-6875</v>
      </c>
      <c r="G86" s="14"/>
      <c r="H86" s="9"/>
    </row>
    <row r="87" spans="3:8" x14ac:dyDescent="0.25">
      <c r="C87" s="34"/>
      <c r="D87" s="45"/>
      <c r="E87" s="68" t="s">
        <v>8594</v>
      </c>
      <c r="F87" s="14">
        <v>-988.2</v>
      </c>
      <c r="G87" s="14"/>
      <c r="H87" s="9"/>
    </row>
    <row r="88" spans="3:8" x14ac:dyDescent="0.25">
      <c r="C88" s="34"/>
      <c r="D88" s="45"/>
      <c r="E88" s="68" t="s">
        <v>8591</v>
      </c>
      <c r="F88" s="14">
        <v>-70</v>
      </c>
      <c r="G88" s="14"/>
      <c r="H88" s="9"/>
    </row>
    <row r="89" spans="3:8" x14ac:dyDescent="0.25">
      <c r="C89" s="34"/>
      <c r="D89" s="45"/>
      <c r="E89" s="68" t="s">
        <v>8592</v>
      </c>
      <c r="F89" s="14">
        <v>-35</v>
      </c>
      <c r="G89" s="14"/>
      <c r="H89" s="9"/>
    </row>
    <row r="90" spans="3:8" x14ac:dyDescent="0.25">
      <c r="C90" s="34"/>
      <c r="D90" s="45"/>
      <c r="E90" s="68" t="s">
        <v>8596</v>
      </c>
      <c r="F90" s="14">
        <v>-290</v>
      </c>
      <c r="G90" s="14"/>
      <c r="H90" s="9"/>
    </row>
    <row r="91" spans="3:8" x14ac:dyDescent="0.25">
      <c r="C91" s="34"/>
      <c r="D91" s="45"/>
      <c r="E91" s="68" t="s">
        <v>8597</v>
      </c>
      <c r="F91" s="14">
        <v>-180</v>
      </c>
      <c r="G91" s="14"/>
      <c r="H91" s="9"/>
    </row>
    <row r="92" spans="3:8" x14ac:dyDescent="0.25">
      <c r="C92" s="34"/>
      <c r="D92" s="45"/>
      <c r="E92" s="68"/>
      <c r="F92" s="14"/>
      <c r="G92" s="14"/>
      <c r="H92" s="9"/>
    </row>
    <row r="93" spans="3:8" x14ac:dyDescent="0.25">
      <c r="C93" s="34"/>
      <c r="D93" s="42"/>
      <c r="E93" s="68"/>
      <c r="F93" s="14"/>
      <c r="G93" s="14"/>
      <c r="H93" s="9"/>
    </row>
    <row r="94" spans="3:8" ht="15.75" thickBot="1" x14ac:dyDescent="0.3">
      <c r="C94" s="10"/>
      <c r="D94" s="11"/>
      <c r="E94" s="11" t="s">
        <v>44</v>
      </c>
      <c r="F94" s="12">
        <f>SUM(F6:F93)</f>
        <v>2232.199999999998</v>
      </c>
      <c r="G94" s="15">
        <f>SUM(G6:G93)</f>
        <v>11055.5</v>
      </c>
      <c r="H94" s="13">
        <f>SUM(H6:H93)</f>
        <v>12634.2</v>
      </c>
    </row>
    <row r="97" spans="3:6" s="3" customFormat="1" ht="18.75" x14ac:dyDescent="0.3">
      <c r="C97" s="1"/>
      <c r="D97" s="1"/>
      <c r="E97" s="38" t="s">
        <v>49</v>
      </c>
      <c r="F97" s="39">
        <f>+H4+F94</f>
        <v>3718.7499999999982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6B9A-5394-4CCB-8773-DA4C49EBEA03}">
  <sheetPr codeName="Hoja110"/>
  <dimension ref="C2:J95"/>
  <sheetViews>
    <sheetView topLeftCell="A46" zoomScale="89" zoomScaleNormal="89" workbookViewId="0">
      <selection activeCell="D52" sqref="D52:H52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8601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10103.25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8604</v>
      </c>
      <c r="E6" s="2" t="s">
        <v>12</v>
      </c>
      <c r="F6" s="109">
        <v>14</v>
      </c>
      <c r="G6" s="113"/>
      <c r="H6" s="112"/>
    </row>
    <row r="7" spans="3:10" x14ac:dyDescent="0.25">
      <c r="C7" s="24"/>
      <c r="D7" s="2" t="s">
        <v>8605</v>
      </c>
      <c r="E7" s="2" t="s">
        <v>4173</v>
      </c>
      <c r="F7" s="109"/>
      <c r="G7" s="113">
        <v>55</v>
      </c>
      <c r="H7" s="112"/>
      <c r="I7" s="36"/>
      <c r="J7" s="36"/>
    </row>
    <row r="8" spans="3:10" x14ac:dyDescent="0.25">
      <c r="C8" s="24"/>
      <c r="D8" s="2" t="s">
        <v>8606</v>
      </c>
      <c r="E8" s="2" t="s">
        <v>8092</v>
      </c>
      <c r="F8" s="109"/>
      <c r="G8" s="113"/>
      <c r="H8" s="112">
        <v>1543.5</v>
      </c>
      <c r="J8" s="36"/>
    </row>
    <row r="9" spans="3:10" x14ac:dyDescent="0.25">
      <c r="C9" s="24"/>
      <c r="D9" s="2" t="s">
        <v>8607</v>
      </c>
      <c r="E9" s="2" t="s">
        <v>8634</v>
      </c>
      <c r="F9" s="109">
        <v>310</v>
      </c>
      <c r="G9" s="113"/>
      <c r="H9" s="112"/>
      <c r="J9" s="36"/>
    </row>
    <row r="10" spans="3:10" x14ac:dyDescent="0.25">
      <c r="C10" s="8"/>
      <c r="D10" s="2" t="s">
        <v>8608</v>
      </c>
      <c r="E10" s="2" t="s">
        <v>12</v>
      </c>
      <c r="F10" s="4">
        <v>30</v>
      </c>
      <c r="G10" s="14"/>
      <c r="H10" s="9"/>
    </row>
    <row r="11" spans="3:10" x14ac:dyDescent="0.25">
      <c r="C11" s="8"/>
      <c r="D11" s="2" t="s">
        <v>8609</v>
      </c>
      <c r="E11" s="2" t="s">
        <v>12</v>
      </c>
      <c r="F11" s="4">
        <v>15</v>
      </c>
      <c r="G11" s="14"/>
      <c r="H11" s="9"/>
    </row>
    <row r="12" spans="3:10" x14ac:dyDescent="0.25">
      <c r="C12" s="8"/>
      <c r="D12" s="2" t="s">
        <v>8610</v>
      </c>
      <c r="E12" s="2" t="s">
        <v>8633</v>
      </c>
      <c r="F12" s="4"/>
      <c r="G12" s="14"/>
      <c r="H12" s="9">
        <v>277.5</v>
      </c>
    </row>
    <row r="13" spans="3:10" x14ac:dyDescent="0.25">
      <c r="C13" s="8"/>
      <c r="D13" s="2" t="s">
        <v>8611</v>
      </c>
      <c r="E13" s="2" t="s">
        <v>4597</v>
      </c>
      <c r="F13" s="4"/>
      <c r="G13" s="14">
        <v>2143</v>
      </c>
      <c r="H13" s="9"/>
    </row>
    <row r="14" spans="3:10" x14ac:dyDescent="0.25">
      <c r="C14" s="8"/>
      <c r="D14" s="2" t="s">
        <v>8612</v>
      </c>
      <c r="E14" s="2" t="s">
        <v>7869</v>
      </c>
      <c r="F14" s="4">
        <v>114</v>
      </c>
      <c r="G14" s="14"/>
      <c r="H14" s="9"/>
    </row>
    <row r="15" spans="3:10" x14ac:dyDescent="0.25">
      <c r="C15" s="8"/>
      <c r="D15" s="2" t="s">
        <v>8613</v>
      </c>
      <c r="E15" s="2" t="s">
        <v>12</v>
      </c>
      <c r="F15" s="4"/>
      <c r="G15" s="14"/>
      <c r="H15" s="9">
        <v>25.5</v>
      </c>
    </row>
    <row r="16" spans="3:10" x14ac:dyDescent="0.25">
      <c r="C16" s="8"/>
      <c r="D16" s="2" t="s">
        <v>8614</v>
      </c>
      <c r="E16" s="2" t="s">
        <v>12</v>
      </c>
      <c r="F16" s="4"/>
      <c r="G16" s="14"/>
      <c r="H16" s="9">
        <v>8</v>
      </c>
    </row>
    <row r="17" spans="3:8" x14ac:dyDescent="0.25">
      <c r="C17" s="8"/>
      <c r="D17" s="2" t="s">
        <v>8615</v>
      </c>
      <c r="E17" s="2" t="s">
        <v>6593</v>
      </c>
      <c r="F17" s="4">
        <v>207</v>
      </c>
      <c r="G17" s="14"/>
      <c r="H17" s="9"/>
    </row>
    <row r="18" spans="3:8" x14ac:dyDescent="0.25">
      <c r="C18" s="8"/>
      <c r="D18" s="2" t="s">
        <v>8616</v>
      </c>
      <c r="E18" s="2" t="s">
        <v>8632</v>
      </c>
      <c r="F18" s="4"/>
      <c r="G18" s="14">
        <v>78</v>
      </c>
      <c r="H18" s="9"/>
    </row>
    <row r="19" spans="3:8" x14ac:dyDescent="0.25">
      <c r="C19" s="8"/>
      <c r="D19" s="2" t="s">
        <v>8617</v>
      </c>
      <c r="E19" s="2" t="s">
        <v>12</v>
      </c>
      <c r="F19" s="4"/>
      <c r="G19" s="14"/>
      <c r="H19" s="9">
        <v>4</v>
      </c>
    </row>
    <row r="20" spans="3:8" x14ac:dyDescent="0.25">
      <c r="C20" s="8"/>
      <c r="D20" s="2" t="s">
        <v>8618</v>
      </c>
      <c r="E20" s="2" t="s">
        <v>12</v>
      </c>
      <c r="F20" s="4">
        <v>32</v>
      </c>
      <c r="G20" s="14"/>
      <c r="H20" s="9"/>
    </row>
    <row r="21" spans="3:8" x14ac:dyDescent="0.25">
      <c r="C21" s="8"/>
      <c r="D21" s="2" t="s">
        <v>8619</v>
      </c>
      <c r="E21" s="2" t="s">
        <v>12</v>
      </c>
      <c r="F21" s="4">
        <v>4</v>
      </c>
      <c r="G21" s="14"/>
      <c r="H21" s="9"/>
    </row>
    <row r="22" spans="3:8" x14ac:dyDescent="0.25">
      <c r="C22" s="8"/>
      <c r="D22" s="2" t="s">
        <v>8620</v>
      </c>
      <c r="E22" s="2" t="s">
        <v>8631</v>
      </c>
      <c r="F22" s="4">
        <v>700</v>
      </c>
      <c r="G22" s="14"/>
      <c r="H22" s="9"/>
    </row>
    <row r="23" spans="3:8" x14ac:dyDescent="0.25">
      <c r="C23" s="8"/>
      <c r="D23" s="2" t="s">
        <v>8621</v>
      </c>
      <c r="E23" s="2" t="s">
        <v>8626</v>
      </c>
      <c r="F23" s="4">
        <v>274.5</v>
      </c>
      <c r="G23" s="14"/>
      <c r="H23" s="9"/>
    </row>
    <row r="24" spans="3:8" x14ac:dyDescent="0.25">
      <c r="C24" s="8"/>
      <c r="D24" s="2" t="s">
        <v>8622</v>
      </c>
      <c r="E24" s="2" t="s">
        <v>5678</v>
      </c>
      <c r="F24" s="4">
        <v>44.9</v>
      </c>
      <c r="G24" s="14"/>
      <c r="H24" s="9"/>
    </row>
    <row r="25" spans="3:8" x14ac:dyDescent="0.25">
      <c r="C25" s="8"/>
      <c r="D25" s="2" t="s">
        <v>8623</v>
      </c>
      <c r="E25" s="2" t="s">
        <v>5678</v>
      </c>
      <c r="F25" s="4">
        <v>60</v>
      </c>
      <c r="G25" s="14"/>
      <c r="H25" s="9"/>
    </row>
    <row r="26" spans="3:8" x14ac:dyDescent="0.25">
      <c r="C26" s="8"/>
      <c r="D26" s="2" t="s">
        <v>8624</v>
      </c>
      <c r="E26" s="2" t="s">
        <v>8625</v>
      </c>
      <c r="F26" s="4">
        <v>6</v>
      </c>
      <c r="G26" s="14"/>
      <c r="H26" s="9">
        <v>500</v>
      </c>
    </row>
    <row r="27" spans="3:8" x14ac:dyDescent="0.25">
      <c r="C27" s="8"/>
      <c r="D27" s="2" t="s">
        <v>8630</v>
      </c>
      <c r="E27" s="2" t="s">
        <v>5678</v>
      </c>
      <c r="F27" s="4">
        <v>15</v>
      </c>
      <c r="G27" s="14"/>
      <c r="H27" s="9"/>
    </row>
    <row r="28" spans="3:8" x14ac:dyDescent="0.25">
      <c r="C28" s="8"/>
      <c r="D28" s="2" t="s">
        <v>8658</v>
      </c>
      <c r="E28" s="2" t="s">
        <v>5678</v>
      </c>
      <c r="F28" s="4">
        <v>100</v>
      </c>
      <c r="G28" s="14"/>
      <c r="H28" s="9"/>
    </row>
    <row r="29" spans="3:8" x14ac:dyDescent="0.25">
      <c r="C29" s="8"/>
      <c r="D29" s="2" t="s">
        <v>8659</v>
      </c>
      <c r="E29" s="2" t="s">
        <v>8661</v>
      </c>
      <c r="F29" s="4">
        <v>100</v>
      </c>
      <c r="G29" s="14">
        <v>52</v>
      </c>
      <c r="H29" s="9"/>
    </row>
    <row r="30" spans="3:8" x14ac:dyDescent="0.25">
      <c r="C30" s="8"/>
      <c r="D30" s="2" t="s">
        <v>8660</v>
      </c>
      <c r="E30" s="2" t="s">
        <v>6238</v>
      </c>
      <c r="F30" s="4">
        <v>2000</v>
      </c>
      <c r="G30" s="14">
        <v>859</v>
      </c>
      <c r="H30" s="9"/>
    </row>
    <row r="31" spans="3:8" x14ac:dyDescent="0.25">
      <c r="C31" s="8"/>
      <c r="D31" s="2" t="s">
        <v>8678</v>
      </c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8" x14ac:dyDescent="0.25">
      <c r="C33" s="8"/>
      <c r="D33" s="2"/>
      <c r="E33" s="2"/>
      <c r="F33" s="4"/>
      <c r="G33" s="14"/>
      <c r="H33" s="9"/>
    </row>
    <row r="34" spans="3:8" x14ac:dyDescent="0.25">
      <c r="C34" s="8"/>
      <c r="D34" s="2" t="s">
        <v>8635</v>
      </c>
      <c r="E34" s="2" t="s">
        <v>6091</v>
      </c>
      <c r="F34" s="4"/>
      <c r="G34" s="14"/>
      <c r="H34" s="9">
        <v>873.5</v>
      </c>
    </row>
    <row r="35" spans="3:8" x14ac:dyDescent="0.25">
      <c r="C35" s="8"/>
      <c r="D35" s="2" t="s">
        <v>8636</v>
      </c>
      <c r="E35" s="2" t="s">
        <v>7800</v>
      </c>
      <c r="F35" s="4"/>
      <c r="G35" s="14"/>
      <c r="H35" s="9">
        <v>3070</v>
      </c>
    </row>
    <row r="36" spans="3:8" x14ac:dyDescent="0.25">
      <c r="C36" s="8"/>
      <c r="D36" s="2" t="s">
        <v>8637</v>
      </c>
      <c r="E36" s="2" t="s">
        <v>6393</v>
      </c>
      <c r="F36" s="4"/>
      <c r="G36" s="14"/>
      <c r="H36" s="9">
        <v>1575</v>
      </c>
    </row>
    <row r="37" spans="3:8" x14ac:dyDescent="0.25">
      <c r="C37" s="8"/>
      <c r="D37" s="2" t="s">
        <v>8638</v>
      </c>
      <c r="E37" s="2" t="s">
        <v>48</v>
      </c>
      <c r="F37" s="4"/>
      <c r="G37" s="14"/>
      <c r="H37" s="9">
        <v>106</v>
      </c>
    </row>
    <row r="38" spans="3:8" x14ac:dyDescent="0.25">
      <c r="C38" s="8"/>
      <c r="D38" s="2" t="s">
        <v>8639</v>
      </c>
      <c r="E38" s="2" t="s">
        <v>6297</v>
      </c>
      <c r="F38" s="4"/>
      <c r="G38" s="14"/>
      <c r="H38" s="9">
        <v>668</v>
      </c>
    </row>
    <row r="39" spans="3:8" x14ac:dyDescent="0.25">
      <c r="C39" s="8"/>
      <c r="D39" s="2" t="s">
        <v>8640</v>
      </c>
      <c r="E39" s="2" t="s">
        <v>48</v>
      </c>
      <c r="F39" s="4">
        <v>5</v>
      </c>
      <c r="G39" s="14"/>
      <c r="H39" s="9"/>
    </row>
    <row r="40" spans="3:8" x14ac:dyDescent="0.25">
      <c r="C40" s="8"/>
      <c r="D40" s="2" t="s">
        <v>8641</v>
      </c>
      <c r="E40" s="2" t="s">
        <v>48</v>
      </c>
      <c r="F40" s="4"/>
      <c r="G40" s="14"/>
      <c r="H40" s="9">
        <v>32</v>
      </c>
    </row>
    <row r="41" spans="3:8" x14ac:dyDescent="0.25">
      <c r="C41" s="8"/>
      <c r="D41" s="2" t="s">
        <v>8642</v>
      </c>
      <c r="E41" s="2" t="s">
        <v>48</v>
      </c>
      <c r="F41" s="4">
        <v>5.5</v>
      </c>
      <c r="G41" s="14"/>
      <c r="H41" s="9"/>
    </row>
    <row r="42" spans="3:8" x14ac:dyDescent="0.25">
      <c r="C42" s="8"/>
      <c r="D42" s="2" t="s">
        <v>8643</v>
      </c>
      <c r="E42" s="2" t="s">
        <v>6167</v>
      </c>
      <c r="F42" s="4"/>
      <c r="G42" s="14">
        <v>60.3</v>
      </c>
      <c r="H42" s="9"/>
    </row>
    <row r="43" spans="3:8" x14ac:dyDescent="0.25">
      <c r="C43" s="8"/>
      <c r="D43" s="2" t="s">
        <v>8644</v>
      </c>
      <c r="E43" s="2" t="s">
        <v>48</v>
      </c>
      <c r="F43" s="4">
        <v>5</v>
      </c>
      <c r="G43" s="14"/>
      <c r="H43" s="9"/>
    </row>
    <row r="44" spans="3:8" x14ac:dyDescent="0.25">
      <c r="C44" s="8"/>
      <c r="D44" s="2" t="s">
        <v>8645</v>
      </c>
      <c r="E44" s="2" t="s">
        <v>48</v>
      </c>
      <c r="F44" s="4">
        <v>10</v>
      </c>
      <c r="G44" s="14"/>
      <c r="H44" s="9"/>
    </row>
    <row r="45" spans="3:8" x14ac:dyDescent="0.25">
      <c r="C45" s="8"/>
      <c r="D45" s="2" t="s">
        <v>8646</v>
      </c>
      <c r="E45" s="2" t="s">
        <v>48</v>
      </c>
      <c r="F45" s="4">
        <v>1</v>
      </c>
      <c r="G45" s="14"/>
      <c r="H45" s="9"/>
    </row>
    <row r="46" spans="3:8" x14ac:dyDescent="0.25">
      <c r="C46" s="8"/>
      <c r="D46" s="2" t="s">
        <v>8647</v>
      </c>
      <c r="E46" s="2" t="s">
        <v>48</v>
      </c>
      <c r="F46" s="4">
        <v>4.5</v>
      </c>
      <c r="G46" s="14"/>
      <c r="H46" s="9"/>
    </row>
    <row r="47" spans="3:8" x14ac:dyDescent="0.25">
      <c r="C47" s="8"/>
      <c r="D47" s="2" t="s">
        <v>8648</v>
      </c>
      <c r="E47" s="2" t="s">
        <v>48</v>
      </c>
      <c r="F47" s="4"/>
      <c r="G47" s="14"/>
      <c r="H47" s="9">
        <v>10</v>
      </c>
    </row>
    <row r="48" spans="3:8" x14ac:dyDescent="0.25">
      <c r="C48" s="8"/>
      <c r="D48" s="2" t="s">
        <v>8649</v>
      </c>
      <c r="E48" s="2" t="s">
        <v>48</v>
      </c>
      <c r="F48" s="4">
        <v>5</v>
      </c>
      <c r="G48" s="14"/>
      <c r="H48" s="9"/>
    </row>
    <row r="49" spans="3:8" x14ac:dyDescent="0.25">
      <c r="C49" s="8"/>
      <c r="D49" s="2" t="s">
        <v>8650</v>
      </c>
      <c r="E49" s="2" t="s">
        <v>48</v>
      </c>
      <c r="F49" s="4"/>
      <c r="G49" s="14"/>
      <c r="H49" s="9">
        <v>14</v>
      </c>
    </row>
    <row r="50" spans="3:8" x14ac:dyDescent="0.25">
      <c r="C50" s="8"/>
      <c r="D50" s="2" t="s">
        <v>8651</v>
      </c>
      <c r="E50" s="2" t="s">
        <v>5802</v>
      </c>
      <c r="F50" s="4">
        <v>64</v>
      </c>
      <c r="G50" s="14"/>
      <c r="H50" s="9"/>
    </row>
    <row r="51" spans="3:8" x14ac:dyDescent="0.25">
      <c r="C51" s="8"/>
      <c r="D51" s="2" t="s">
        <v>8662</v>
      </c>
      <c r="E51" s="2" t="s">
        <v>6441</v>
      </c>
      <c r="F51" s="4">
        <v>3225</v>
      </c>
      <c r="G51" s="14"/>
      <c r="H51" s="9"/>
    </row>
    <row r="52" spans="3:8" x14ac:dyDescent="0.25">
      <c r="C52" s="8"/>
      <c r="D52" s="2" t="s">
        <v>8663</v>
      </c>
      <c r="E52" s="2" t="s">
        <v>8667</v>
      </c>
      <c r="F52" s="4"/>
      <c r="G52" s="14"/>
      <c r="H52" s="9">
        <v>6900</v>
      </c>
    </row>
    <row r="53" spans="3:8" x14ac:dyDescent="0.25">
      <c r="C53" s="8"/>
      <c r="D53" s="2" t="s">
        <v>8664</v>
      </c>
      <c r="E53" s="2" t="s">
        <v>8666</v>
      </c>
      <c r="F53" s="4"/>
      <c r="G53" s="14"/>
      <c r="H53" s="9">
        <v>73</v>
      </c>
    </row>
    <row r="54" spans="3:8" x14ac:dyDescent="0.25">
      <c r="C54" s="8"/>
      <c r="D54" s="2" t="s">
        <v>8665</v>
      </c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29"/>
      <c r="D58" s="30"/>
      <c r="E58" s="30" t="s">
        <v>60</v>
      </c>
      <c r="F58" s="4"/>
      <c r="G58" s="14"/>
      <c r="H58" s="9"/>
    </row>
    <row r="59" spans="3:8" x14ac:dyDescent="0.25">
      <c r="C59" s="8"/>
      <c r="D59" s="2" t="s">
        <v>8603</v>
      </c>
      <c r="E59" s="76" t="s">
        <v>7565</v>
      </c>
      <c r="F59" s="35"/>
      <c r="G59" s="14"/>
      <c r="H59" s="9">
        <v>212.5</v>
      </c>
    </row>
    <row r="60" spans="3:8" x14ac:dyDescent="0.25">
      <c r="C60" s="8"/>
      <c r="D60" s="2" t="s">
        <v>8627</v>
      </c>
      <c r="E60" s="76" t="s">
        <v>5415</v>
      </c>
      <c r="F60" s="35"/>
      <c r="G60" s="14"/>
      <c r="H60" s="9">
        <v>50</v>
      </c>
    </row>
    <row r="61" spans="3:8" x14ac:dyDescent="0.25">
      <c r="C61" s="8"/>
      <c r="D61" s="2" t="s">
        <v>8628</v>
      </c>
      <c r="E61" s="76" t="s">
        <v>6052</v>
      </c>
      <c r="F61" s="35"/>
      <c r="G61" s="14"/>
      <c r="H61" s="9">
        <v>1404</v>
      </c>
    </row>
    <row r="62" spans="3:8" x14ac:dyDescent="0.25">
      <c r="C62" s="8"/>
      <c r="D62" s="2" t="s">
        <v>8629</v>
      </c>
      <c r="E62" s="76" t="s">
        <v>6052</v>
      </c>
      <c r="F62" s="35"/>
      <c r="G62" s="14"/>
      <c r="H62" s="9">
        <v>207</v>
      </c>
    </row>
    <row r="63" spans="3:8" x14ac:dyDescent="0.25">
      <c r="C63" s="8"/>
      <c r="D63" s="2"/>
      <c r="E63" s="76"/>
      <c r="F63" s="35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9" x14ac:dyDescent="0.25">
      <c r="C65" s="8"/>
      <c r="D65" s="2"/>
      <c r="E65" s="2"/>
      <c r="F65" s="4"/>
      <c r="G65" s="14"/>
      <c r="H65" s="9"/>
    </row>
    <row r="66" spans="3:9" x14ac:dyDescent="0.25">
      <c r="C66" s="16"/>
      <c r="D66" s="17"/>
      <c r="E66" s="17" t="s">
        <v>39</v>
      </c>
      <c r="F66" s="4"/>
      <c r="G66" s="14"/>
      <c r="H66" s="9"/>
    </row>
    <row r="67" spans="3:9" ht="15.75" customHeight="1" x14ac:dyDescent="0.25">
      <c r="C67" s="8"/>
      <c r="D67" s="2"/>
      <c r="E67" s="76" t="s">
        <v>8652</v>
      </c>
      <c r="F67" s="35">
        <v>20</v>
      </c>
      <c r="G67" s="14"/>
      <c r="H67" s="9"/>
    </row>
    <row r="68" spans="3:9" ht="15.75" customHeight="1" x14ac:dyDescent="0.25">
      <c r="C68" s="8"/>
      <c r="D68" s="2"/>
      <c r="E68" s="76" t="s">
        <v>8653</v>
      </c>
      <c r="F68" s="35">
        <v>826.1</v>
      </c>
      <c r="G68" s="14"/>
      <c r="H68" s="9"/>
    </row>
    <row r="69" spans="3:9" x14ac:dyDescent="0.25">
      <c r="C69" s="8"/>
      <c r="D69" s="2"/>
      <c r="E69" s="76" t="s">
        <v>8668</v>
      </c>
      <c r="F69" s="35">
        <v>15</v>
      </c>
      <c r="G69" s="14"/>
      <c r="H69" s="9"/>
    </row>
    <row r="70" spans="3:9" x14ac:dyDescent="0.25">
      <c r="C70" s="8"/>
      <c r="D70" s="2"/>
      <c r="E70" s="76"/>
      <c r="F70" s="35"/>
      <c r="G70" s="14"/>
      <c r="H70" s="9"/>
    </row>
    <row r="71" spans="3:9" x14ac:dyDescent="0.25">
      <c r="C71" s="8"/>
      <c r="D71" s="2"/>
      <c r="E71" s="76"/>
      <c r="F71" s="35"/>
      <c r="G71" s="14"/>
      <c r="H71" s="9"/>
    </row>
    <row r="72" spans="3:9" x14ac:dyDescent="0.25">
      <c r="C72" s="8"/>
      <c r="D72" s="2"/>
      <c r="E72" s="76"/>
      <c r="F72" s="35"/>
      <c r="G72" s="14"/>
      <c r="H72" s="9"/>
    </row>
    <row r="73" spans="3:9" x14ac:dyDescent="0.25">
      <c r="C73" s="8"/>
      <c r="D73" s="2"/>
      <c r="E73" s="76"/>
      <c r="F73" s="35"/>
      <c r="G73" s="14"/>
      <c r="H73" s="9"/>
    </row>
    <row r="74" spans="3:9" x14ac:dyDescent="0.25">
      <c r="C74" s="8"/>
      <c r="D74" s="2"/>
      <c r="E74" s="76"/>
      <c r="F74" s="35"/>
      <c r="G74" s="14"/>
      <c r="H74" s="9"/>
    </row>
    <row r="75" spans="3:9" x14ac:dyDescent="0.25">
      <c r="C75" s="8"/>
      <c r="D75" s="2"/>
      <c r="E75" s="76"/>
      <c r="F75" s="35"/>
      <c r="G75" s="14"/>
      <c r="H75" s="9"/>
      <c r="I75" s="36"/>
    </row>
    <row r="76" spans="3:9" x14ac:dyDescent="0.25">
      <c r="C76" s="8"/>
      <c r="D76" s="2"/>
      <c r="E76" s="2"/>
      <c r="F76" s="4"/>
      <c r="G76" s="14"/>
      <c r="H76" s="9"/>
    </row>
    <row r="77" spans="3:9" x14ac:dyDescent="0.25">
      <c r="C77" s="19"/>
      <c r="D77" s="20"/>
      <c r="E77" s="20" t="s">
        <v>42</v>
      </c>
      <c r="F77" s="14"/>
      <c r="G77" s="14"/>
      <c r="H77" s="9"/>
    </row>
    <row r="78" spans="3:9" x14ac:dyDescent="0.25">
      <c r="C78" s="34"/>
      <c r="D78" s="45"/>
      <c r="E78" s="68" t="s">
        <v>8602</v>
      </c>
      <c r="F78" s="14">
        <v>-280</v>
      </c>
      <c r="G78" s="14"/>
      <c r="H78" s="9"/>
    </row>
    <row r="79" spans="3:9" x14ac:dyDescent="0.25">
      <c r="C79" s="34"/>
      <c r="D79" s="45"/>
      <c r="E79" s="68" t="s">
        <v>8654</v>
      </c>
      <c r="F79" s="14">
        <v>-50</v>
      </c>
      <c r="G79" s="14"/>
      <c r="H79" s="9"/>
    </row>
    <row r="80" spans="3:9" x14ac:dyDescent="0.25">
      <c r="C80" s="34"/>
      <c r="D80" s="45"/>
      <c r="E80" s="68" t="s">
        <v>8655</v>
      </c>
      <c r="F80" s="14">
        <v>-112</v>
      </c>
      <c r="G80" s="14"/>
      <c r="H80" s="9"/>
    </row>
    <row r="81" spans="3:8" x14ac:dyDescent="0.25">
      <c r="C81" s="34"/>
      <c r="D81" s="45"/>
      <c r="E81" s="68" t="s">
        <v>8656</v>
      </c>
      <c r="F81" s="14">
        <v>-245</v>
      </c>
      <c r="G81" s="14"/>
      <c r="H81" s="9"/>
    </row>
    <row r="82" spans="3:8" x14ac:dyDescent="0.25">
      <c r="C82" s="34"/>
      <c r="D82" s="45"/>
      <c r="E82" s="68" t="s">
        <v>8657</v>
      </c>
      <c r="F82" s="14">
        <v>-50</v>
      </c>
      <c r="G82" s="14"/>
      <c r="H82" s="9"/>
    </row>
    <row r="83" spans="3:8" x14ac:dyDescent="0.25">
      <c r="C83" s="34"/>
      <c r="D83" s="45"/>
      <c r="E83" s="68" t="s">
        <v>8669</v>
      </c>
      <c r="F83" s="14">
        <v>-30</v>
      </c>
      <c r="G83" s="14"/>
      <c r="H83" s="9"/>
    </row>
    <row r="84" spans="3:8" x14ac:dyDescent="0.25">
      <c r="C84" s="34"/>
      <c r="D84" s="45"/>
      <c r="E84" s="68" t="s">
        <v>1155</v>
      </c>
      <c r="F84" s="14">
        <v>-10</v>
      </c>
      <c r="G84" s="14"/>
      <c r="H84" s="9"/>
    </row>
    <row r="85" spans="3:8" x14ac:dyDescent="0.25">
      <c r="C85" s="34"/>
      <c r="D85" s="45"/>
      <c r="E85" s="68" t="s">
        <v>8670</v>
      </c>
      <c r="F85" s="14">
        <v>-160</v>
      </c>
      <c r="G85" s="14"/>
      <c r="H85" s="9"/>
    </row>
    <row r="86" spans="3:8" x14ac:dyDescent="0.25">
      <c r="C86" s="34"/>
      <c r="D86" s="45"/>
      <c r="E86" s="68" t="s">
        <v>8671</v>
      </c>
      <c r="F86" s="14">
        <v>-35</v>
      </c>
      <c r="G86" s="14"/>
      <c r="H86" s="9"/>
    </row>
    <row r="87" spans="3:8" x14ac:dyDescent="0.25">
      <c r="C87" s="34"/>
      <c r="D87" s="45"/>
      <c r="E87" s="68"/>
      <c r="F87" s="14"/>
      <c r="G87" s="14"/>
      <c r="H87" s="9"/>
    </row>
    <row r="88" spans="3:8" x14ac:dyDescent="0.25">
      <c r="C88" s="34"/>
      <c r="D88" s="45"/>
      <c r="E88" s="68"/>
      <c r="F88" s="14"/>
      <c r="G88" s="14"/>
      <c r="H88" s="9"/>
    </row>
    <row r="89" spans="3:8" x14ac:dyDescent="0.25">
      <c r="C89" s="34"/>
      <c r="D89" s="45"/>
      <c r="E89" s="68"/>
      <c r="F89" s="14"/>
      <c r="G89" s="14"/>
      <c r="H89" s="9"/>
    </row>
    <row r="90" spans="3:8" x14ac:dyDescent="0.25">
      <c r="C90" s="34"/>
      <c r="D90" s="45"/>
      <c r="E90" s="68"/>
      <c r="F90" s="14"/>
      <c r="G90" s="14"/>
      <c r="H90" s="9"/>
    </row>
    <row r="91" spans="3:8" x14ac:dyDescent="0.25">
      <c r="C91" s="34"/>
      <c r="D91" s="42"/>
      <c r="E91" s="68"/>
      <c r="F91" s="14"/>
      <c r="G91" s="14"/>
      <c r="H91" s="9"/>
    </row>
    <row r="92" spans="3:8" ht="15.75" thickBot="1" x14ac:dyDescent="0.3">
      <c r="C92" s="10"/>
      <c r="D92" s="11"/>
      <c r="E92" s="11" t="s">
        <v>44</v>
      </c>
      <c r="F92" s="12">
        <f>SUM(F6:F91)</f>
        <v>7240.5</v>
      </c>
      <c r="G92" s="15">
        <f>SUM(G6:G91)</f>
        <v>3247.3</v>
      </c>
      <c r="H92" s="13">
        <f>SUM(H6:H91)</f>
        <v>17553.5</v>
      </c>
    </row>
    <row r="95" spans="3:8" s="3" customFormat="1" ht="18.75" x14ac:dyDescent="0.3">
      <c r="C95" s="1"/>
      <c r="D95" s="1"/>
      <c r="E95" s="38" t="s">
        <v>49</v>
      </c>
      <c r="F95" s="39">
        <f>+H4+F92</f>
        <v>17343.75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62B4-B327-47A0-AF6E-E07FF4623341}">
  <sheetPr codeName="Hoja111"/>
  <dimension ref="C2:J120"/>
  <sheetViews>
    <sheetView topLeftCell="A79" zoomScale="89" zoomScaleNormal="89" workbookViewId="0">
      <selection activeCell="D70" sqref="D70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8672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17343.75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8678</v>
      </c>
      <c r="E6" s="2" t="s">
        <v>6797</v>
      </c>
      <c r="F6" s="109">
        <v>3000</v>
      </c>
      <c r="G6" s="113"/>
      <c r="H6" s="112">
        <v>910</v>
      </c>
    </row>
    <row r="7" spans="3:10" x14ac:dyDescent="0.25">
      <c r="C7" s="24"/>
      <c r="D7" s="2" t="s">
        <v>8679</v>
      </c>
      <c r="E7" s="2" t="s">
        <v>5678</v>
      </c>
      <c r="F7" s="109">
        <v>64.5</v>
      </c>
      <c r="G7" s="113"/>
      <c r="H7" s="112"/>
      <c r="I7" s="36"/>
      <c r="J7" s="36"/>
    </row>
    <row r="8" spans="3:10" x14ac:dyDescent="0.25">
      <c r="C8" s="24"/>
      <c r="D8" s="2" t="s">
        <v>8680</v>
      </c>
      <c r="E8" s="2" t="s">
        <v>5678</v>
      </c>
      <c r="F8" s="109">
        <v>5</v>
      </c>
      <c r="G8" s="113"/>
      <c r="H8" s="112"/>
      <c r="J8" s="36"/>
    </row>
    <row r="9" spans="3:10" x14ac:dyDescent="0.25">
      <c r="C9" s="24"/>
      <c r="D9" s="2" t="s">
        <v>8681</v>
      </c>
      <c r="E9" s="2" t="s">
        <v>5678</v>
      </c>
      <c r="F9" s="109">
        <v>13.5</v>
      </c>
      <c r="G9" s="113"/>
      <c r="H9" s="112"/>
      <c r="J9" s="36"/>
    </row>
    <row r="10" spans="3:10" x14ac:dyDescent="0.25">
      <c r="C10" s="8"/>
      <c r="D10" s="2" t="s">
        <v>8682</v>
      </c>
      <c r="E10" s="2" t="s">
        <v>4173</v>
      </c>
      <c r="F10" s="4">
        <v>204</v>
      </c>
      <c r="G10" s="14"/>
      <c r="H10" s="9"/>
    </row>
    <row r="11" spans="3:10" x14ac:dyDescent="0.25">
      <c r="C11" s="8"/>
      <c r="D11" s="2" t="s">
        <v>8683</v>
      </c>
      <c r="E11" s="2" t="s">
        <v>7384</v>
      </c>
      <c r="F11" s="4"/>
      <c r="G11" s="14">
        <v>84</v>
      </c>
      <c r="H11" s="9"/>
    </row>
    <row r="12" spans="3:10" x14ac:dyDescent="0.25">
      <c r="C12" s="8"/>
      <c r="D12" s="2" t="s">
        <v>8684</v>
      </c>
      <c r="E12" s="2" t="s">
        <v>4173</v>
      </c>
      <c r="F12" s="4">
        <v>91.5</v>
      </c>
      <c r="G12" s="14"/>
      <c r="H12" s="9"/>
    </row>
    <row r="13" spans="3:10" x14ac:dyDescent="0.25">
      <c r="C13" s="8"/>
      <c r="D13" s="2" t="s">
        <v>8685</v>
      </c>
      <c r="E13" s="2" t="s">
        <v>5678</v>
      </c>
      <c r="F13" s="4">
        <v>177</v>
      </c>
      <c r="G13" s="14"/>
      <c r="H13" s="9"/>
    </row>
    <row r="14" spans="3:10" x14ac:dyDescent="0.25">
      <c r="C14" s="8"/>
      <c r="D14" s="2" t="s">
        <v>8686</v>
      </c>
      <c r="E14" s="2" t="s">
        <v>8698</v>
      </c>
      <c r="F14" s="4"/>
      <c r="G14" s="14">
        <v>100</v>
      </c>
      <c r="H14" s="9"/>
    </row>
    <row r="15" spans="3:10" x14ac:dyDescent="0.25">
      <c r="C15" s="8"/>
      <c r="D15" s="2" t="s">
        <v>8687</v>
      </c>
      <c r="E15" s="2" t="s">
        <v>8173</v>
      </c>
      <c r="F15" s="4"/>
      <c r="G15" s="14"/>
      <c r="H15" s="9">
        <v>192</v>
      </c>
    </row>
    <row r="16" spans="3:10" x14ac:dyDescent="0.25">
      <c r="C16" s="8"/>
      <c r="D16" s="43" t="s">
        <v>8688</v>
      </c>
      <c r="E16" s="43" t="s">
        <v>8754</v>
      </c>
      <c r="F16" s="4"/>
      <c r="G16" s="14"/>
      <c r="H16" s="9"/>
    </row>
    <row r="17" spans="3:8" x14ac:dyDescent="0.25">
      <c r="C17" s="8"/>
      <c r="D17" s="2" t="s">
        <v>8689</v>
      </c>
      <c r="E17" s="2" t="s">
        <v>6593</v>
      </c>
      <c r="F17" s="4">
        <v>930.5</v>
      </c>
      <c r="G17" s="14"/>
      <c r="H17" s="9"/>
    </row>
    <row r="18" spans="3:8" x14ac:dyDescent="0.25">
      <c r="C18" s="8"/>
      <c r="D18" s="2" t="s">
        <v>8690</v>
      </c>
      <c r="E18" s="2" t="s">
        <v>5678</v>
      </c>
      <c r="F18" s="4"/>
      <c r="G18" s="14"/>
      <c r="H18" s="9">
        <v>11</v>
      </c>
    </row>
    <row r="19" spans="3:8" x14ac:dyDescent="0.25">
      <c r="C19" s="8"/>
      <c r="D19" s="2" t="s">
        <v>8691</v>
      </c>
      <c r="E19" s="2" t="s">
        <v>6751</v>
      </c>
      <c r="F19" s="4"/>
      <c r="G19" s="14"/>
      <c r="H19" s="9">
        <v>50</v>
      </c>
    </row>
    <row r="20" spans="3:8" x14ac:dyDescent="0.25">
      <c r="C20" s="8"/>
      <c r="D20" s="2" t="s">
        <v>8692</v>
      </c>
      <c r="E20" s="2" t="s">
        <v>5678</v>
      </c>
      <c r="F20" s="4">
        <v>13.5</v>
      </c>
      <c r="G20" s="14"/>
      <c r="H20" s="9"/>
    </row>
    <row r="21" spans="3:8" x14ac:dyDescent="0.25">
      <c r="C21" s="8"/>
      <c r="D21" s="43" t="s">
        <v>8693</v>
      </c>
      <c r="E21" s="43" t="s">
        <v>8753</v>
      </c>
      <c r="F21" s="4"/>
      <c r="G21" s="14"/>
      <c r="H21" s="9"/>
    </row>
    <row r="22" spans="3:8" x14ac:dyDescent="0.25">
      <c r="C22" s="8"/>
      <c r="D22" s="2" t="s">
        <v>8694</v>
      </c>
      <c r="E22" s="2" t="s">
        <v>5678</v>
      </c>
      <c r="F22" s="4"/>
      <c r="G22" s="14"/>
      <c r="H22" s="9">
        <v>10</v>
      </c>
    </row>
    <row r="23" spans="3:8" x14ac:dyDescent="0.25">
      <c r="C23" s="8"/>
      <c r="D23" s="2" t="s">
        <v>8695</v>
      </c>
      <c r="E23" s="2" t="s">
        <v>6316</v>
      </c>
      <c r="F23" s="4"/>
      <c r="G23" s="14">
        <v>342.9</v>
      </c>
      <c r="H23" s="9"/>
    </row>
    <row r="24" spans="3:8" x14ac:dyDescent="0.25">
      <c r="C24" s="8"/>
      <c r="D24" s="2" t="s">
        <v>8696</v>
      </c>
      <c r="E24" s="2" t="s">
        <v>5678</v>
      </c>
      <c r="F24" s="4">
        <v>5</v>
      </c>
      <c r="G24" s="14"/>
      <c r="H24" s="9"/>
    </row>
    <row r="25" spans="3:8" x14ac:dyDescent="0.25">
      <c r="C25" s="8"/>
      <c r="D25" s="2" t="s">
        <v>8697</v>
      </c>
      <c r="E25" s="2" t="s">
        <v>5678</v>
      </c>
      <c r="F25" s="4">
        <v>6</v>
      </c>
      <c r="G25" s="14"/>
      <c r="H25" s="9"/>
    </row>
    <row r="26" spans="3:8" x14ac:dyDescent="0.25">
      <c r="C26" s="8"/>
      <c r="D26" s="2" t="s">
        <v>8704</v>
      </c>
      <c r="E26" s="2" t="s">
        <v>5678</v>
      </c>
      <c r="F26" s="4">
        <v>14</v>
      </c>
      <c r="G26" s="14"/>
      <c r="H26" s="9"/>
    </row>
    <row r="27" spans="3:8" x14ac:dyDescent="0.25">
      <c r="C27" s="8"/>
      <c r="D27" s="2" t="s">
        <v>8709</v>
      </c>
      <c r="E27" s="2" t="s">
        <v>5678</v>
      </c>
      <c r="F27" s="4">
        <v>1</v>
      </c>
      <c r="G27" s="14"/>
      <c r="H27" s="9"/>
    </row>
    <row r="28" spans="3:8" x14ac:dyDescent="0.25">
      <c r="C28" s="8"/>
      <c r="D28" s="2" t="s">
        <v>8719</v>
      </c>
      <c r="E28" s="2" t="s">
        <v>5678</v>
      </c>
      <c r="F28" s="4">
        <v>2.2000000000000002</v>
      </c>
      <c r="G28" s="14"/>
      <c r="H28" s="9"/>
    </row>
    <row r="29" spans="3:8" x14ac:dyDescent="0.25">
      <c r="C29" s="8"/>
      <c r="D29" s="2" t="s">
        <v>8720</v>
      </c>
      <c r="E29" s="2" t="s">
        <v>4173</v>
      </c>
      <c r="F29" s="4"/>
      <c r="G29" s="14"/>
      <c r="H29" s="9">
        <v>730</v>
      </c>
    </row>
    <row r="30" spans="3:8" x14ac:dyDescent="0.25">
      <c r="C30" s="8"/>
      <c r="D30" s="2" t="s">
        <v>8721</v>
      </c>
      <c r="E30" s="2" t="s">
        <v>8723</v>
      </c>
      <c r="F30" s="4">
        <v>285</v>
      </c>
      <c r="G30" s="14"/>
      <c r="H30" s="9"/>
    </row>
    <row r="31" spans="3:8" x14ac:dyDescent="0.25">
      <c r="C31" s="8"/>
      <c r="D31" s="2" t="s">
        <v>8722</v>
      </c>
      <c r="E31" s="2" t="s">
        <v>5678</v>
      </c>
      <c r="F31" s="4">
        <v>13</v>
      </c>
      <c r="G31" s="14"/>
      <c r="H31" s="9"/>
    </row>
    <row r="32" spans="3:8" x14ac:dyDescent="0.25">
      <c r="C32" s="8"/>
      <c r="D32" s="2" t="s">
        <v>8732</v>
      </c>
      <c r="E32" s="2" t="s">
        <v>5678</v>
      </c>
      <c r="F32" s="4"/>
      <c r="G32" s="14"/>
      <c r="H32" s="9">
        <v>6</v>
      </c>
    </row>
    <row r="33" spans="3:8" x14ac:dyDescent="0.25">
      <c r="C33" s="8"/>
      <c r="D33" s="2" t="s">
        <v>8733</v>
      </c>
      <c r="E33" s="2" t="s">
        <v>5678</v>
      </c>
      <c r="F33" s="4">
        <v>10</v>
      </c>
      <c r="G33" s="14"/>
      <c r="H33" s="9"/>
    </row>
    <row r="34" spans="3:8" x14ac:dyDescent="0.25">
      <c r="C34" s="8"/>
      <c r="D34" s="2" t="s">
        <v>8734</v>
      </c>
      <c r="E34" s="2" t="s">
        <v>5678</v>
      </c>
      <c r="F34" s="4">
        <v>4</v>
      </c>
      <c r="G34" s="14"/>
      <c r="H34" s="9"/>
    </row>
    <row r="35" spans="3:8" x14ac:dyDescent="0.25">
      <c r="C35" s="8"/>
      <c r="D35" s="2" t="s">
        <v>8735</v>
      </c>
      <c r="E35" s="2" t="s">
        <v>5678</v>
      </c>
      <c r="F35" s="4">
        <v>3.5</v>
      </c>
      <c r="G35" s="14"/>
      <c r="H35" s="9"/>
    </row>
    <row r="36" spans="3:8" x14ac:dyDescent="0.25">
      <c r="C36" s="8"/>
      <c r="D36" s="2" t="s">
        <v>8736</v>
      </c>
      <c r="E36" s="2" t="s">
        <v>5678</v>
      </c>
      <c r="F36" s="4"/>
      <c r="G36" s="14"/>
      <c r="H36" s="9">
        <v>5</v>
      </c>
    </row>
    <row r="37" spans="3:8" x14ac:dyDescent="0.25">
      <c r="C37" s="8"/>
      <c r="D37" s="2" t="s">
        <v>8737</v>
      </c>
      <c r="E37" s="2" t="s">
        <v>5678</v>
      </c>
      <c r="F37" s="4"/>
      <c r="G37" s="14"/>
      <c r="H37" s="9">
        <v>75</v>
      </c>
    </row>
    <row r="38" spans="3:8" x14ac:dyDescent="0.25">
      <c r="C38" s="8"/>
      <c r="D38" s="2" t="s">
        <v>8738</v>
      </c>
      <c r="E38" s="2" t="s">
        <v>158</v>
      </c>
      <c r="F38" s="4">
        <v>9.5</v>
      </c>
      <c r="G38" s="14"/>
      <c r="H38" s="9"/>
    </row>
    <row r="39" spans="3:8" x14ac:dyDescent="0.25">
      <c r="C39" s="8"/>
      <c r="D39" s="2" t="s">
        <v>8739</v>
      </c>
      <c r="E39" s="2" t="s">
        <v>8740</v>
      </c>
      <c r="F39" s="4"/>
      <c r="G39" s="14">
        <v>8</v>
      </c>
      <c r="H39" s="9"/>
    </row>
    <row r="40" spans="3:8" x14ac:dyDescent="0.25">
      <c r="C40" s="8"/>
      <c r="D40" s="2" t="s">
        <v>8760</v>
      </c>
      <c r="E40" s="2" t="s">
        <v>5678</v>
      </c>
      <c r="F40" s="4"/>
      <c r="G40" s="14"/>
      <c r="H40" s="9">
        <v>480</v>
      </c>
    </row>
    <row r="41" spans="3:8" x14ac:dyDescent="0.25">
      <c r="C41" s="8"/>
      <c r="D41" s="2" t="s">
        <v>8761</v>
      </c>
      <c r="E41" s="2" t="s">
        <v>8762</v>
      </c>
      <c r="F41" s="4"/>
      <c r="G41" s="14"/>
      <c r="H41" s="9">
        <v>561</v>
      </c>
    </row>
    <row r="42" spans="3:8" x14ac:dyDescent="0.25">
      <c r="C42" s="8"/>
      <c r="D42" s="2" t="s">
        <v>8774</v>
      </c>
      <c r="E42" s="2"/>
      <c r="F42" s="4"/>
      <c r="G42" s="14"/>
      <c r="H42" s="9"/>
    </row>
    <row r="43" spans="3:8" x14ac:dyDescent="0.25">
      <c r="C43" s="8"/>
      <c r="D43" s="2"/>
      <c r="E43" s="2"/>
      <c r="F43" s="4"/>
      <c r="G43" s="14"/>
      <c r="H43" s="9"/>
    </row>
    <row r="44" spans="3:8" x14ac:dyDescent="0.25">
      <c r="C44" s="8"/>
      <c r="D44" s="2" t="s">
        <v>8665</v>
      </c>
      <c r="E44" s="2" t="s">
        <v>7899</v>
      </c>
      <c r="F44" s="4">
        <v>31.5</v>
      </c>
      <c r="G44" s="14"/>
      <c r="H44" s="9"/>
    </row>
    <row r="45" spans="3:8" x14ac:dyDescent="0.25">
      <c r="C45" s="8"/>
      <c r="D45" s="2" t="s">
        <v>8699</v>
      </c>
      <c r="E45" s="2" t="s">
        <v>8708</v>
      </c>
      <c r="F45" s="4"/>
      <c r="G45" s="14"/>
      <c r="H45" s="9">
        <v>202.5</v>
      </c>
    </row>
    <row r="46" spans="3:8" x14ac:dyDescent="0.25">
      <c r="C46" s="8"/>
      <c r="D46" s="2" t="s">
        <v>8700</v>
      </c>
      <c r="E46" s="2" t="s">
        <v>8707</v>
      </c>
      <c r="F46" s="4"/>
      <c r="G46" s="14"/>
      <c r="H46" s="9">
        <v>2170</v>
      </c>
    </row>
    <row r="47" spans="3:8" x14ac:dyDescent="0.25">
      <c r="C47" s="8"/>
      <c r="D47" s="2" t="s">
        <v>8701</v>
      </c>
      <c r="E47" s="2" t="s">
        <v>4620</v>
      </c>
      <c r="F47" s="4"/>
      <c r="G47" s="14">
        <v>521</v>
      </c>
      <c r="H47" s="9"/>
    </row>
    <row r="48" spans="3:8" x14ac:dyDescent="0.25">
      <c r="C48" s="8"/>
      <c r="D48" s="2" t="s">
        <v>8702</v>
      </c>
      <c r="E48" s="2" t="s">
        <v>5847</v>
      </c>
      <c r="F48" s="4">
        <v>31</v>
      </c>
      <c r="G48" s="14"/>
      <c r="H48" s="9"/>
    </row>
    <row r="49" spans="3:8" x14ac:dyDescent="0.25">
      <c r="C49" s="8"/>
      <c r="D49" s="2" t="s">
        <v>8703</v>
      </c>
      <c r="E49" s="2" t="s">
        <v>58</v>
      </c>
      <c r="F49" s="4"/>
      <c r="G49" s="14"/>
      <c r="H49" s="9">
        <v>32</v>
      </c>
    </row>
    <row r="50" spans="3:8" x14ac:dyDescent="0.25">
      <c r="C50" s="8"/>
      <c r="D50" s="2" t="s">
        <v>8705</v>
      </c>
      <c r="E50" s="2" t="s">
        <v>8706</v>
      </c>
      <c r="F50" s="4"/>
      <c r="G50" s="14"/>
      <c r="H50" s="9">
        <v>70</v>
      </c>
    </row>
    <row r="51" spans="3:8" x14ac:dyDescent="0.25">
      <c r="C51" s="8"/>
      <c r="D51" s="2" t="s">
        <v>8712</v>
      </c>
      <c r="E51" s="2" t="s">
        <v>5847</v>
      </c>
      <c r="F51" s="4">
        <v>4.5</v>
      </c>
      <c r="G51" s="14"/>
      <c r="H51" s="9"/>
    </row>
    <row r="52" spans="3:8" x14ac:dyDescent="0.25">
      <c r="C52" s="8"/>
      <c r="D52" s="2" t="s">
        <v>8724</v>
      </c>
      <c r="E52" s="2" t="s">
        <v>5847</v>
      </c>
      <c r="F52" s="4">
        <v>4.5</v>
      </c>
      <c r="G52" s="14"/>
      <c r="H52" s="9"/>
    </row>
    <row r="53" spans="3:8" x14ac:dyDescent="0.25">
      <c r="C53" s="8"/>
      <c r="D53" s="2" t="s">
        <v>8725</v>
      </c>
      <c r="E53" s="2" t="s">
        <v>5847</v>
      </c>
      <c r="F53" s="4">
        <v>33</v>
      </c>
      <c r="G53" s="14"/>
      <c r="H53" s="9"/>
    </row>
    <row r="54" spans="3:8" x14ac:dyDescent="0.25">
      <c r="C54" s="8"/>
      <c r="D54" s="2" t="s">
        <v>8726</v>
      </c>
      <c r="E54" s="2" t="s">
        <v>5847</v>
      </c>
      <c r="F54" s="4">
        <v>22.5</v>
      </c>
      <c r="G54" s="14"/>
      <c r="H54" s="9"/>
    </row>
    <row r="55" spans="3:8" x14ac:dyDescent="0.25">
      <c r="C55" s="8"/>
      <c r="D55" s="2" t="s">
        <v>8727</v>
      </c>
      <c r="E55" s="2" t="s">
        <v>5847</v>
      </c>
      <c r="F55" s="4">
        <v>6</v>
      </c>
      <c r="G55" s="14"/>
      <c r="H55" s="9"/>
    </row>
    <row r="56" spans="3:8" x14ac:dyDescent="0.25">
      <c r="C56" s="8"/>
      <c r="D56" s="2" t="s">
        <v>8728</v>
      </c>
      <c r="E56" s="2" t="s">
        <v>5847</v>
      </c>
      <c r="F56" s="4">
        <v>15</v>
      </c>
      <c r="G56" s="14"/>
      <c r="H56" s="9"/>
    </row>
    <row r="57" spans="3:8" x14ac:dyDescent="0.25">
      <c r="C57" s="8"/>
      <c r="D57" s="2" t="s">
        <v>8729</v>
      </c>
      <c r="E57" s="2" t="s">
        <v>5847</v>
      </c>
      <c r="F57" s="4">
        <v>3</v>
      </c>
      <c r="G57" s="14"/>
      <c r="H57" s="9"/>
    </row>
    <row r="58" spans="3:8" x14ac:dyDescent="0.25">
      <c r="C58" s="8"/>
      <c r="D58" s="2" t="s">
        <v>8741</v>
      </c>
      <c r="E58" s="2" t="s">
        <v>5847</v>
      </c>
      <c r="F58" s="4">
        <v>36</v>
      </c>
      <c r="G58" s="14"/>
      <c r="H58" s="9"/>
    </row>
    <row r="59" spans="3:8" x14ac:dyDescent="0.25">
      <c r="C59" s="8"/>
      <c r="D59" s="2" t="s">
        <v>8742</v>
      </c>
      <c r="E59" s="2" t="s">
        <v>5847</v>
      </c>
      <c r="F59" s="4"/>
      <c r="G59" s="14"/>
      <c r="H59" s="9">
        <v>6</v>
      </c>
    </row>
    <row r="60" spans="3:8" x14ac:dyDescent="0.25">
      <c r="C60" s="8"/>
      <c r="D60" s="2" t="s">
        <v>8743</v>
      </c>
      <c r="E60" s="2" t="s">
        <v>5847</v>
      </c>
      <c r="F60" s="4">
        <v>25.5</v>
      </c>
      <c r="G60" s="14"/>
      <c r="H60" s="9"/>
    </row>
    <row r="61" spans="3:8" x14ac:dyDescent="0.25">
      <c r="C61" s="8"/>
      <c r="D61" s="2" t="s">
        <v>8744</v>
      </c>
      <c r="E61" s="2" t="s">
        <v>5847</v>
      </c>
      <c r="F61" s="4">
        <v>6</v>
      </c>
      <c r="G61" s="14"/>
      <c r="H61" s="9"/>
    </row>
    <row r="62" spans="3:8" x14ac:dyDescent="0.25">
      <c r="C62" s="8"/>
      <c r="D62" s="2" t="s">
        <v>8745</v>
      </c>
      <c r="E62" s="2" t="s">
        <v>5847</v>
      </c>
      <c r="F62" s="4">
        <v>10</v>
      </c>
      <c r="G62" s="14"/>
      <c r="H62" s="9"/>
    </row>
    <row r="63" spans="3:8" x14ac:dyDescent="0.25">
      <c r="C63" s="8"/>
      <c r="D63" s="2" t="s">
        <v>8746</v>
      </c>
      <c r="E63" s="2" t="s">
        <v>5847</v>
      </c>
      <c r="F63" s="4">
        <v>5</v>
      </c>
      <c r="G63" s="14"/>
      <c r="H63" s="9"/>
    </row>
    <row r="64" spans="3:8" x14ac:dyDescent="0.25">
      <c r="C64" s="8"/>
      <c r="D64" s="2" t="s">
        <v>8747</v>
      </c>
      <c r="E64" s="2" t="s">
        <v>5847</v>
      </c>
      <c r="F64" s="4">
        <v>163</v>
      </c>
      <c r="G64" s="14"/>
      <c r="H64" s="9"/>
    </row>
    <row r="65" spans="3:8" x14ac:dyDescent="0.25">
      <c r="C65" s="8"/>
      <c r="D65" s="2" t="s">
        <v>8748</v>
      </c>
      <c r="E65" s="2" t="s">
        <v>5847</v>
      </c>
      <c r="F65" s="4">
        <v>2.5</v>
      </c>
      <c r="G65" s="14"/>
      <c r="H65" s="9"/>
    </row>
    <row r="66" spans="3:8" x14ac:dyDescent="0.25">
      <c r="C66" s="8"/>
      <c r="D66" s="2" t="s">
        <v>8749</v>
      </c>
      <c r="E66" s="2" t="s">
        <v>3909</v>
      </c>
      <c r="F66" s="4"/>
      <c r="G66" s="14"/>
      <c r="H66" s="9">
        <v>39</v>
      </c>
    </row>
    <row r="67" spans="3:8" x14ac:dyDescent="0.25">
      <c r="C67" s="8"/>
      <c r="D67" s="2" t="s">
        <v>8763</v>
      </c>
      <c r="E67" s="2" t="s">
        <v>5847</v>
      </c>
      <c r="F67" s="4">
        <v>73.5</v>
      </c>
      <c r="G67" s="14"/>
      <c r="H67" s="9"/>
    </row>
    <row r="68" spans="3:8" x14ac:dyDescent="0.25">
      <c r="C68" s="8"/>
      <c r="D68" s="2" t="s">
        <v>8764</v>
      </c>
      <c r="E68" s="2" t="s">
        <v>5847</v>
      </c>
      <c r="F68" s="4">
        <v>5</v>
      </c>
      <c r="G68" s="14"/>
      <c r="H68" s="9"/>
    </row>
    <row r="69" spans="3:8" x14ac:dyDescent="0.25">
      <c r="C69" s="8"/>
      <c r="D69" s="2" t="s">
        <v>8765</v>
      </c>
      <c r="E69" s="2" t="s">
        <v>5847</v>
      </c>
      <c r="F69" s="4"/>
      <c r="G69" s="14"/>
      <c r="H69" s="9">
        <v>12</v>
      </c>
    </row>
    <row r="70" spans="3:8" x14ac:dyDescent="0.25">
      <c r="C70" s="8"/>
      <c r="D70" s="2" t="s">
        <v>8855</v>
      </c>
      <c r="E70" s="2"/>
      <c r="F70" s="4"/>
      <c r="G70" s="14"/>
      <c r="H70" s="9"/>
    </row>
    <row r="71" spans="3:8" x14ac:dyDescent="0.25">
      <c r="C71" s="8"/>
      <c r="D71" s="2"/>
      <c r="E71" s="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8"/>
      <c r="D73" s="2"/>
      <c r="E73" s="2"/>
      <c r="F73" s="4"/>
      <c r="G73" s="14"/>
      <c r="H73" s="9"/>
    </row>
    <row r="74" spans="3:8" x14ac:dyDescent="0.25">
      <c r="C74" s="29"/>
      <c r="D74" s="30"/>
      <c r="E74" s="30" t="s">
        <v>60</v>
      </c>
      <c r="F74" s="4"/>
      <c r="G74" s="14"/>
      <c r="H74" s="9"/>
    </row>
    <row r="75" spans="3:8" x14ac:dyDescent="0.25">
      <c r="C75" s="8"/>
      <c r="D75" s="2" t="s">
        <v>8673</v>
      </c>
      <c r="E75" s="76" t="s">
        <v>8677</v>
      </c>
      <c r="F75" s="35"/>
      <c r="G75" s="14"/>
      <c r="H75" s="9">
        <v>17</v>
      </c>
    </row>
    <row r="76" spans="3:8" x14ac:dyDescent="0.25">
      <c r="C76" s="8"/>
      <c r="D76" s="2" t="s">
        <v>8674</v>
      </c>
      <c r="E76" s="76" t="s">
        <v>6052</v>
      </c>
      <c r="F76" s="35"/>
      <c r="G76" s="14"/>
      <c r="H76" s="9">
        <v>104.5</v>
      </c>
    </row>
    <row r="77" spans="3:8" x14ac:dyDescent="0.25">
      <c r="C77" s="8"/>
      <c r="D77" s="2" t="s">
        <v>8675</v>
      </c>
      <c r="E77" s="76" t="s">
        <v>7837</v>
      </c>
      <c r="F77" s="35"/>
      <c r="G77" s="14"/>
      <c r="H77" s="9">
        <v>273</v>
      </c>
    </row>
    <row r="78" spans="3:8" x14ac:dyDescent="0.25">
      <c r="C78" s="8"/>
      <c r="D78" s="2" t="s">
        <v>8676</v>
      </c>
      <c r="E78" s="76" t="s">
        <v>5806</v>
      </c>
      <c r="F78" s="35"/>
      <c r="G78" s="14"/>
      <c r="H78" s="9">
        <v>15</v>
      </c>
    </row>
    <row r="79" spans="3:8" x14ac:dyDescent="0.25">
      <c r="C79" s="8"/>
      <c r="D79" s="2" t="s">
        <v>8731</v>
      </c>
      <c r="E79" s="76" t="s">
        <v>8515</v>
      </c>
      <c r="F79" s="35"/>
      <c r="G79" s="14"/>
      <c r="H79" s="9">
        <v>670</v>
      </c>
    </row>
    <row r="80" spans="3:8" x14ac:dyDescent="0.25">
      <c r="C80" s="8"/>
      <c r="D80" s="2" t="s">
        <v>8770</v>
      </c>
      <c r="E80" s="76" t="s">
        <v>8769</v>
      </c>
      <c r="F80" s="35">
        <v>56.5</v>
      </c>
      <c r="G80" s="14"/>
      <c r="H80" s="9"/>
    </row>
    <row r="81" spans="3:9" x14ac:dyDescent="0.25">
      <c r="C81" s="8"/>
      <c r="D81" s="2" t="s">
        <v>8771</v>
      </c>
      <c r="E81" s="76" t="s">
        <v>1075</v>
      </c>
      <c r="F81" s="35"/>
      <c r="G81" s="14"/>
      <c r="H81" s="9">
        <v>2200</v>
      </c>
    </row>
    <row r="82" spans="3:9" x14ac:dyDescent="0.25">
      <c r="C82" s="8"/>
      <c r="D82" s="2" t="s">
        <v>8717</v>
      </c>
      <c r="E82" s="76" t="s">
        <v>8718</v>
      </c>
      <c r="F82" s="35"/>
      <c r="G82" s="14"/>
      <c r="H82" s="9">
        <v>235</v>
      </c>
    </row>
    <row r="83" spans="3:9" x14ac:dyDescent="0.25">
      <c r="C83" s="8"/>
      <c r="D83" s="2"/>
      <c r="E83" s="2"/>
      <c r="F83" s="4"/>
      <c r="G83" s="14"/>
      <c r="H83" s="9"/>
    </row>
    <row r="84" spans="3:9" x14ac:dyDescent="0.25">
      <c r="C84" s="8"/>
      <c r="D84" s="2"/>
      <c r="E84" s="2"/>
      <c r="F84" s="4"/>
      <c r="G84" s="14"/>
      <c r="H84" s="9"/>
    </row>
    <row r="85" spans="3:9" x14ac:dyDescent="0.25">
      <c r="C85" s="16"/>
      <c r="D85" s="17"/>
      <c r="E85" s="17" t="s">
        <v>39</v>
      </c>
      <c r="F85" s="4"/>
      <c r="G85" s="14"/>
      <c r="H85" s="9"/>
    </row>
    <row r="86" spans="3:9" ht="15.75" customHeight="1" x14ac:dyDescent="0.25">
      <c r="C86" s="8"/>
      <c r="D86" s="2"/>
      <c r="E86" s="76" t="s">
        <v>8710</v>
      </c>
      <c r="F86" s="35">
        <v>859</v>
      </c>
      <c r="G86" s="14"/>
      <c r="H86" s="9"/>
    </row>
    <row r="87" spans="3:9" ht="15.75" customHeight="1" x14ac:dyDescent="0.25">
      <c r="C87" s="8"/>
      <c r="D87" s="2"/>
      <c r="E87" s="76" t="s">
        <v>8711</v>
      </c>
      <c r="F87" s="35">
        <v>28</v>
      </c>
      <c r="G87" s="14"/>
      <c r="H87" s="9"/>
    </row>
    <row r="88" spans="3:9" x14ac:dyDescent="0.25">
      <c r="C88" s="8"/>
      <c r="D88" s="2"/>
      <c r="E88" s="76" t="s">
        <v>8715</v>
      </c>
      <c r="F88" s="35">
        <v>34</v>
      </c>
      <c r="G88" s="14"/>
      <c r="H88" s="9"/>
    </row>
    <row r="89" spans="3:9" x14ac:dyDescent="0.25">
      <c r="C89" s="8"/>
      <c r="D89" s="2"/>
      <c r="E89" s="76" t="s">
        <v>8730</v>
      </c>
      <c r="F89" s="35">
        <v>52</v>
      </c>
      <c r="G89" s="14"/>
      <c r="H89" s="9"/>
    </row>
    <row r="90" spans="3:9" x14ac:dyDescent="0.25">
      <c r="C90" s="8"/>
      <c r="D90" s="2"/>
      <c r="E90" s="76" t="s">
        <v>8750</v>
      </c>
      <c r="F90" s="35">
        <v>9.9</v>
      </c>
      <c r="G90" s="14"/>
      <c r="H90" s="9"/>
    </row>
    <row r="91" spans="3:9" x14ac:dyDescent="0.25">
      <c r="C91" s="8"/>
      <c r="D91" s="2"/>
      <c r="E91" s="76" t="s">
        <v>8751</v>
      </c>
      <c r="F91" s="35">
        <v>52</v>
      </c>
      <c r="G91" s="14"/>
      <c r="H91" s="9"/>
    </row>
    <row r="92" spans="3:9" x14ac:dyDescent="0.25">
      <c r="C92" s="8"/>
      <c r="D92" s="2"/>
      <c r="E92" s="76" t="s">
        <v>8758</v>
      </c>
      <c r="F92" s="35">
        <v>1.2</v>
      </c>
      <c r="G92" s="14"/>
      <c r="H92" s="9"/>
    </row>
    <row r="93" spans="3:9" x14ac:dyDescent="0.25">
      <c r="C93" s="8"/>
      <c r="D93" s="2"/>
      <c r="E93" s="76" t="s">
        <v>5018</v>
      </c>
      <c r="F93" s="35">
        <v>2143</v>
      </c>
      <c r="G93" s="14"/>
      <c r="H93" s="9"/>
    </row>
    <row r="94" spans="3:9" x14ac:dyDescent="0.25">
      <c r="C94" s="8"/>
      <c r="D94" s="2"/>
      <c r="E94" s="76"/>
      <c r="F94" s="35"/>
      <c r="G94" s="14"/>
      <c r="H94" s="9"/>
      <c r="I94" s="36"/>
    </row>
    <row r="95" spans="3:9" x14ac:dyDescent="0.25">
      <c r="C95" s="8"/>
      <c r="D95" s="2"/>
      <c r="E95" s="2"/>
      <c r="F95" s="4"/>
      <c r="G95" s="14"/>
      <c r="H95" s="9"/>
    </row>
    <row r="96" spans="3:9" x14ac:dyDescent="0.25">
      <c r="C96" s="19"/>
      <c r="D96" s="20"/>
      <c r="E96" s="20" t="s">
        <v>42</v>
      </c>
      <c r="F96" s="14"/>
      <c r="G96" s="14"/>
      <c r="H96" s="9"/>
    </row>
    <row r="97" spans="3:8" x14ac:dyDescent="0.25">
      <c r="C97" s="34"/>
      <c r="D97" s="45"/>
      <c r="E97" s="68" t="s">
        <v>4446</v>
      </c>
      <c r="F97" s="14">
        <v>-1330</v>
      </c>
      <c r="G97" s="14"/>
      <c r="H97" s="9"/>
    </row>
    <row r="98" spans="3:8" x14ac:dyDescent="0.25">
      <c r="C98" s="34"/>
      <c r="D98" s="45"/>
      <c r="E98" s="68" t="s">
        <v>8757</v>
      </c>
      <c r="F98" s="14">
        <v>-210</v>
      </c>
      <c r="G98" s="14"/>
      <c r="H98" s="9"/>
    </row>
    <row r="99" spans="3:8" x14ac:dyDescent="0.25">
      <c r="C99" s="34"/>
      <c r="D99" s="45"/>
      <c r="E99" s="68" t="s">
        <v>8713</v>
      </c>
      <c r="F99" s="14">
        <v>-125</v>
      </c>
      <c r="G99" s="14"/>
      <c r="H99" s="9"/>
    </row>
    <row r="100" spans="3:8" x14ac:dyDescent="0.25">
      <c r="C100" s="34"/>
      <c r="D100" s="45"/>
      <c r="E100" s="68" t="s">
        <v>8714</v>
      </c>
      <c r="F100" s="14">
        <v>-100</v>
      </c>
      <c r="G100" s="14"/>
      <c r="H100" s="9"/>
    </row>
    <row r="101" spans="3:8" x14ac:dyDescent="0.25">
      <c r="C101" s="34"/>
      <c r="D101" s="45"/>
      <c r="E101" s="68" t="s">
        <v>8716</v>
      </c>
      <c r="F101" s="14">
        <v>-1080</v>
      </c>
      <c r="G101" s="14"/>
      <c r="H101" s="9"/>
    </row>
    <row r="102" spans="3:8" x14ac:dyDescent="0.25">
      <c r="C102" s="34"/>
      <c r="D102" s="45"/>
      <c r="E102" s="68" t="s">
        <v>8752</v>
      </c>
      <c r="F102" s="14">
        <v>-358</v>
      </c>
      <c r="G102" s="14"/>
      <c r="H102" s="9"/>
    </row>
    <row r="103" spans="3:8" x14ac:dyDescent="0.25">
      <c r="C103" s="34"/>
      <c r="D103" s="45"/>
      <c r="E103" s="68" t="s">
        <v>8755</v>
      </c>
      <c r="F103" s="14">
        <v>-3530.9</v>
      </c>
      <c r="G103" s="14"/>
      <c r="H103" s="9"/>
    </row>
    <row r="104" spans="3:8" x14ac:dyDescent="0.25">
      <c r="C104" s="34"/>
      <c r="D104" s="45"/>
      <c r="E104" s="68" t="s">
        <v>7560</v>
      </c>
      <c r="F104" s="14">
        <v>-60</v>
      </c>
      <c r="G104" s="14"/>
      <c r="H104" s="9"/>
    </row>
    <row r="105" spans="3:8" x14ac:dyDescent="0.25">
      <c r="C105" s="34"/>
      <c r="D105" s="45"/>
      <c r="E105" s="68" t="s">
        <v>8756</v>
      </c>
      <c r="F105" s="14">
        <v>-488.4</v>
      </c>
      <c r="G105" s="14"/>
      <c r="H105" s="9"/>
    </row>
    <row r="106" spans="3:8" x14ac:dyDescent="0.25">
      <c r="C106" s="34"/>
      <c r="D106" s="45"/>
      <c r="E106" s="68" t="s">
        <v>8759</v>
      </c>
      <c r="F106" s="14">
        <v>-40</v>
      </c>
      <c r="G106" s="14"/>
      <c r="H106" s="9"/>
    </row>
    <row r="107" spans="3:8" x14ac:dyDescent="0.25">
      <c r="C107" s="34"/>
      <c r="D107" s="45"/>
      <c r="E107" s="68" t="s">
        <v>1481</v>
      </c>
      <c r="F107" s="14">
        <v>-360</v>
      </c>
      <c r="G107" s="14"/>
      <c r="H107" s="9"/>
    </row>
    <row r="108" spans="3:8" x14ac:dyDescent="0.25">
      <c r="C108" s="34"/>
      <c r="D108" s="45"/>
      <c r="E108" s="68" t="s">
        <v>8766</v>
      </c>
      <c r="F108" s="14">
        <v>-300</v>
      </c>
      <c r="G108" s="14"/>
      <c r="H108" s="9"/>
    </row>
    <row r="109" spans="3:8" x14ac:dyDescent="0.25">
      <c r="C109" s="34"/>
      <c r="D109" s="45"/>
      <c r="E109" s="68" t="s">
        <v>8767</v>
      </c>
      <c r="F109" s="14">
        <v>-300</v>
      </c>
      <c r="G109" s="14"/>
      <c r="H109" s="9"/>
    </row>
    <row r="110" spans="3:8" x14ac:dyDescent="0.25">
      <c r="C110" s="34"/>
      <c r="D110" s="45"/>
      <c r="E110" s="68" t="s">
        <v>8768</v>
      </c>
      <c r="F110" s="14">
        <v>-240</v>
      </c>
      <c r="G110" s="14"/>
      <c r="H110" s="9"/>
    </row>
    <row r="111" spans="3:8" x14ac:dyDescent="0.25">
      <c r="C111" s="34"/>
      <c r="D111" s="45"/>
      <c r="E111" s="68" t="s">
        <v>759</v>
      </c>
      <c r="F111" s="14">
        <v>-500</v>
      </c>
      <c r="G111" s="14"/>
      <c r="H111" s="9"/>
    </row>
    <row r="112" spans="3:8" x14ac:dyDescent="0.25">
      <c r="C112" s="34"/>
      <c r="D112" s="45"/>
      <c r="E112" s="68" t="s">
        <v>760</v>
      </c>
      <c r="F112" s="14">
        <v>-390</v>
      </c>
      <c r="G112" s="14"/>
      <c r="H112" s="9"/>
    </row>
    <row r="113" spans="3:8" x14ac:dyDescent="0.25">
      <c r="C113" s="34"/>
      <c r="D113" s="45"/>
      <c r="E113" s="68" t="s">
        <v>7928</v>
      </c>
      <c r="F113" s="14">
        <v>-825</v>
      </c>
      <c r="G113" s="14"/>
      <c r="H113" s="9"/>
    </row>
    <row r="114" spans="3:8" x14ac:dyDescent="0.25">
      <c r="C114" s="34"/>
      <c r="D114" s="45"/>
      <c r="E114" s="68" t="s">
        <v>1486</v>
      </c>
      <c r="F114" s="14">
        <v>-410</v>
      </c>
      <c r="G114" s="14"/>
      <c r="H114" s="9"/>
    </row>
    <row r="115" spans="3:8" x14ac:dyDescent="0.25">
      <c r="C115" s="34"/>
      <c r="D115" s="45"/>
      <c r="E115" s="68" t="s">
        <v>8772</v>
      </c>
      <c r="F115" s="14">
        <v>-10</v>
      </c>
      <c r="G115" s="14"/>
      <c r="H115" s="9"/>
    </row>
    <row r="116" spans="3:8" x14ac:dyDescent="0.25">
      <c r="C116" s="34"/>
      <c r="D116" s="42"/>
      <c r="E116" s="68"/>
      <c r="F116" s="14"/>
      <c r="G116" s="14"/>
      <c r="H116" s="9"/>
    </row>
    <row r="117" spans="3:8" ht="15.75" thickBot="1" x14ac:dyDescent="0.3">
      <c r="C117" s="10"/>
      <c r="D117" s="11"/>
      <c r="E117" s="11" t="s">
        <v>44</v>
      </c>
      <c r="F117" s="12">
        <f>SUM(F6:F116)</f>
        <v>-2091.5000000000009</v>
      </c>
      <c r="G117" s="15">
        <f>SUM(G6:G116)</f>
        <v>1055.9000000000001</v>
      </c>
      <c r="H117" s="13">
        <f>SUM(H6:H116)</f>
        <v>9076</v>
      </c>
    </row>
    <row r="120" spans="3:8" s="3" customFormat="1" ht="18.75" x14ac:dyDescent="0.3">
      <c r="C120" s="1"/>
      <c r="D120" s="1"/>
      <c r="E120" s="38" t="s">
        <v>49</v>
      </c>
      <c r="F120" s="39">
        <f>+H4+F117</f>
        <v>15252.25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B9B3-9DBC-49E4-A936-A94987E5AF32}">
  <sheetPr codeName="Hoja112"/>
  <dimension ref="C2:J69"/>
  <sheetViews>
    <sheetView topLeftCell="A40" zoomScale="89" zoomScaleNormal="89" workbookViewId="0">
      <selection activeCell="F61" sqref="F61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8773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15252.25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8774</v>
      </c>
      <c r="E6" s="2" t="s">
        <v>12</v>
      </c>
      <c r="F6" s="109"/>
      <c r="G6" s="113"/>
      <c r="H6" s="112">
        <v>18</v>
      </c>
    </row>
    <row r="7" spans="3:10" x14ac:dyDescent="0.25">
      <c r="C7" s="24"/>
      <c r="D7" s="2" t="s">
        <v>8776</v>
      </c>
      <c r="E7" s="2" t="s">
        <v>12</v>
      </c>
      <c r="F7" s="109">
        <v>62</v>
      </c>
      <c r="G7" s="113"/>
      <c r="H7" s="112"/>
      <c r="I7" s="36"/>
      <c r="J7" s="36"/>
    </row>
    <row r="8" spans="3:10" x14ac:dyDescent="0.25">
      <c r="C8" s="24"/>
      <c r="D8" s="2" t="s">
        <v>8777</v>
      </c>
      <c r="E8" s="2" t="s">
        <v>12</v>
      </c>
      <c r="F8" s="109">
        <v>8.5</v>
      </c>
      <c r="G8" s="113"/>
      <c r="H8" s="112"/>
      <c r="J8" s="36"/>
    </row>
    <row r="9" spans="3:10" x14ac:dyDescent="0.25">
      <c r="C9" s="24"/>
      <c r="D9" s="2" t="s">
        <v>8778</v>
      </c>
      <c r="E9" s="2" t="s">
        <v>12</v>
      </c>
      <c r="F9" s="109">
        <v>32</v>
      </c>
      <c r="G9" s="113"/>
      <c r="H9" s="112"/>
      <c r="J9" s="36"/>
    </row>
    <row r="10" spans="3:10" x14ac:dyDescent="0.25">
      <c r="C10" s="8"/>
      <c r="D10" s="2" t="s">
        <v>8779</v>
      </c>
      <c r="E10" s="2" t="s">
        <v>12</v>
      </c>
      <c r="F10" s="4">
        <v>3.5</v>
      </c>
      <c r="G10" s="14"/>
      <c r="H10" s="9"/>
    </row>
    <row r="11" spans="3:10" x14ac:dyDescent="0.25">
      <c r="C11" s="8"/>
      <c r="D11" s="2" t="s">
        <v>8780</v>
      </c>
      <c r="E11" s="2" t="s">
        <v>12</v>
      </c>
      <c r="F11" s="4">
        <v>25</v>
      </c>
      <c r="G11" s="14"/>
      <c r="H11" s="9"/>
    </row>
    <row r="12" spans="3:10" x14ac:dyDescent="0.25">
      <c r="C12" s="8"/>
      <c r="D12" s="2" t="s">
        <v>8781</v>
      </c>
      <c r="E12" s="2" t="s">
        <v>12</v>
      </c>
      <c r="F12" s="4"/>
      <c r="G12" s="14"/>
      <c r="H12" s="9">
        <v>19</v>
      </c>
    </row>
    <row r="13" spans="3:10" x14ac:dyDescent="0.25">
      <c r="C13" s="8"/>
      <c r="D13" s="2" t="s">
        <v>8782</v>
      </c>
      <c r="E13" s="2" t="s">
        <v>12</v>
      </c>
      <c r="F13" s="4">
        <v>27</v>
      </c>
      <c r="G13" s="14"/>
      <c r="H13" s="9"/>
    </row>
    <row r="14" spans="3:10" x14ac:dyDescent="0.25">
      <c r="C14" s="8"/>
      <c r="D14" s="2" t="s">
        <v>8783</v>
      </c>
      <c r="E14" s="2" t="s">
        <v>12</v>
      </c>
      <c r="F14" s="4">
        <v>12</v>
      </c>
      <c r="G14" s="14"/>
      <c r="H14" s="9"/>
    </row>
    <row r="15" spans="3:10" x14ac:dyDescent="0.25">
      <c r="C15" s="8"/>
      <c r="D15" s="2" t="s">
        <v>8784</v>
      </c>
      <c r="E15" s="2" t="s">
        <v>12</v>
      </c>
      <c r="F15" s="4">
        <v>14</v>
      </c>
      <c r="G15" s="14"/>
      <c r="H15" s="9"/>
    </row>
    <row r="16" spans="3:10" x14ac:dyDescent="0.25">
      <c r="C16" s="8"/>
      <c r="D16" s="2" t="s">
        <v>8785</v>
      </c>
      <c r="E16" s="2" t="s">
        <v>12</v>
      </c>
      <c r="F16" s="4"/>
      <c r="G16" s="14"/>
      <c r="H16" s="9">
        <v>30.5</v>
      </c>
    </row>
    <row r="17" spans="3:8" x14ac:dyDescent="0.25">
      <c r="C17" s="8"/>
      <c r="D17" s="2" t="s">
        <v>8786</v>
      </c>
      <c r="E17" s="2" t="s">
        <v>12</v>
      </c>
      <c r="F17" s="4">
        <v>35</v>
      </c>
      <c r="G17" s="14"/>
      <c r="H17" s="9"/>
    </row>
    <row r="18" spans="3:8" x14ac:dyDescent="0.25">
      <c r="C18" s="8"/>
      <c r="D18" s="2" t="s">
        <v>8787</v>
      </c>
      <c r="E18" s="2" t="s">
        <v>12</v>
      </c>
      <c r="F18" s="4">
        <v>6</v>
      </c>
      <c r="G18" s="14"/>
      <c r="H18" s="9"/>
    </row>
    <row r="19" spans="3:8" x14ac:dyDescent="0.25">
      <c r="C19" s="8"/>
      <c r="D19" s="2" t="s">
        <v>8788</v>
      </c>
      <c r="E19" s="2" t="s">
        <v>12</v>
      </c>
      <c r="F19" s="4">
        <v>9</v>
      </c>
      <c r="G19" s="14"/>
      <c r="H19" s="9"/>
    </row>
    <row r="20" spans="3:8" x14ac:dyDescent="0.25">
      <c r="C20" s="8"/>
      <c r="D20" s="2" t="s">
        <v>8789</v>
      </c>
      <c r="E20" s="2" t="s">
        <v>12</v>
      </c>
      <c r="F20" s="4">
        <v>5</v>
      </c>
      <c r="G20" s="14"/>
      <c r="H20" s="9"/>
    </row>
    <row r="21" spans="3:8" x14ac:dyDescent="0.25">
      <c r="C21" s="8"/>
      <c r="D21" s="2" t="s">
        <v>8790</v>
      </c>
      <c r="E21" s="2" t="s">
        <v>12</v>
      </c>
      <c r="F21" s="4">
        <v>3.2</v>
      </c>
      <c r="G21" s="14"/>
      <c r="H21" s="9"/>
    </row>
    <row r="22" spans="3:8" x14ac:dyDescent="0.25">
      <c r="C22" s="8"/>
      <c r="D22" s="2" t="s">
        <v>8791</v>
      </c>
      <c r="E22" s="2" t="s">
        <v>12</v>
      </c>
      <c r="F22" s="4"/>
      <c r="G22" s="14"/>
      <c r="H22" s="9">
        <v>1</v>
      </c>
    </row>
    <row r="23" spans="3:8" x14ac:dyDescent="0.25">
      <c r="C23" s="8"/>
      <c r="D23" s="2" t="s">
        <v>8792</v>
      </c>
      <c r="E23" s="2" t="s">
        <v>12</v>
      </c>
      <c r="F23" s="4">
        <v>9.5</v>
      </c>
      <c r="G23" s="14"/>
      <c r="H23" s="9"/>
    </row>
    <row r="24" spans="3:8" x14ac:dyDescent="0.25">
      <c r="C24" s="8"/>
      <c r="D24" s="2" t="s">
        <v>8793</v>
      </c>
      <c r="E24" s="2" t="s">
        <v>8806</v>
      </c>
      <c r="F24" s="4">
        <v>3337.4</v>
      </c>
      <c r="G24" s="14"/>
      <c r="H24" s="9"/>
    </row>
    <row r="25" spans="3:8" x14ac:dyDescent="0.25">
      <c r="C25" s="8"/>
      <c r="D25" s="2" t="s">
        <v>8794</v>
      </c>
      <c r="E25" s="2" t="s">
        <v>12</v>
      </c>
      <c r="F25" s="4">
        <v>9</v>
      </c>
      <c r="G25" s="14"/>
      <c r="H25" s="9"/>
    </row>
    <row r="26" spans="3:8" x14ac:dyDescent="0.25">
      <c r="C26" s="8"/>
      <c r="D26" s="2" t="s">
        <v>8795</v>
      </c>
      <c r="E26" s="2" t="s">
        <v>12</v>
      </c>
      <c r="F26" s="4"/>
      <c r="G26" s="14"/>
      <c r="H26" s="9">
        <v>53</v>
      </c>
    </row>
    <row r="27" spans="3:8" x14ac:dyDescent="0.25">
      <c r="C27" s="8"/>
      <c r="D27" s="2" t="s">
        <v>8796</v>
      </c>
      <c r="E27" s="2" t="s">
        <v>12</v>
      </c>
      <c r="F27" s="4"/>
      <c r="G27" s="14"/>
      <c r="H27" s="9">
        <v>3</v>
      </c>
    </row>
    <row r="28" spans="3:8" x14ac:dyDescent="0.25">
      <c r="C28" s="8"/>
      <c r="D28" s="2" t="s">
        <v>8797</v>
      </c>
      <c r="E28" s="2" t="s">
        <v>12</v>
      </c>
      <c r="F28" s="4"/>
      <c r="G28" s="14"/>
      <c r="H28" s="9">
        <v>52</v>
      </c>
    </row>
    <row r="29" spans="3:8" x14ac:dyDescent="0.25">
      <c r="C29" s="8"/>
      <c r="D29" s="2" t="s">
        <v>8798</v>
      </c>
      <c r="E29" s="2" t="s">
        <v>12</v>
      </c>
      <c r="F29" s="4">
        <v>4</v>
      </c>
      <c r="G29" s="14"/>
      <c r="H29" s="9"/>
    </row>
    <row r="30" spans="3:8" x14ac:dyDescent="0.25">
      <c r="C30" s="8"/>
      <c r="D30" s="2" t="s">
        <v>8799</v>
      </c>
      <c r="E30" s="2" t="s">
        <v>12</v>
      </c>
      <c r="F30" s="4"/>
      <c r="G30" s="14"/>
      <c r="H30" s="9">
        <v>9</v>
      </c>
    </row>
    <row r="31" spans="3:8" x14ac:dyDescent="0.25">
      <c r="C31" s="8"/>
      <c r="D31" s="2" t="s">
        <v>8800</v>
      </c>
      <c r="E31" s="2" t="s">
        <v>12</v>
      </c>
      <c r="F31" s="4">
        <v>3</v>
      </c>
      <c r="G31" s="14"/>
      <c r="H31" s="9"/>
    </row>
    <row r="32" spans="3:8" x14ac:dyDescent="0.25">
      <c r="C32" s="8"/>
      <c r="D32" s="2" t="s">
        <v>8801</v>
      </c>
      <c r="E32" s="2" t="s">
        <v>12</v>
      </c>
      <c r="F32" s="4"/>
      <c r="G32" s="14"/>
      <c r="H32" s="9">
        <v>15</v>
      </c>
    </row>
    <row r="33" spans="3:8" x14ac:dyDescent="0.25">
      <c r="C33" s="8"/>
      <c r="D33" s="2" t="s">
        <v>8802</v>
      </c>
      <c r="E33" s="2" t="s">
        <v>12</v>
      </c>
      <c r="F33" s="4">
        <v>6</v>
      </c>
      <c r="G33" s="14"/>
      <c r="H33" s="9"/>
    </row>
    <row r="34" spans="3:8" x14ac:dyDescent="0.25">
      <c r="C34" s="8"/>
      <c r="D34" s="2" t="s">
        <v>8803</v>
      </c>
      <c r="E34" s="2" t="s">
        <v>12</v>
      </c>
      <c r="F34" s="4">
        <v>3</v>
      </c>
      <c r="G34" s="14"/>
      <c r="H34" s="9"/>
    </row>
    <row r="35" spans="3:8" x14ac:dyDescent="0.25">
      <c r="C35" s="8"/>
      <c r="D35" s="2" t="s">
        <v>8804</v>
      </c>
      <c r="E35" s="2" t="s">
        <v>12</v>
      </c>
      <c r="F35" s="4">
        <v>20</v>
      </c>
      <c r="G35" s="14"/>
      <c r="H35" s="9"/>
    </row>
    <row r="36" spans="3:8" x14ac:dyDescent="0.25">
      <c r="C36" s="8"/>
      <c r="D36" s="2" t="s">
        <v>8805</v>
      </c>
      <c r="E36" s="2" t="s">
        <v>12</v>
      </c>
      <c r="F36" s="4">
        <v>8.5</v>
      </c>
      <c r="G36" s="14"/>
      <c r="H36" s="9"/>
    </row>
    <row r="37" spans="3:8" x14ac:dyDescent="0.25">
      <c r="C37" s="8"/>
      <c r="D37" s="2" t="s">
        <v>8824</v>
      </c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29"/>
      <c r="D41" s="30"/>
      <c r="E41" s="30" t="s">
        <v>60</v>
      </c>
      <c r="F41" s="4"/>
      <c r="G41" s="14"/>
      <c r="H41" s="9"/>
    </row>
    <row r="42" spans="3:8" x14ac:dyDescent="0.25">
      <c r="C42" s="8"/>
      <c r="D42" s="2" t="s">
        <v>8775</v>
      </c>
      <c r="E42" s="76" t="s">
        <v>2936</v>
      </c>
      <c r="F42" s="35">
        <v>53</v>
      </c>
      <c r="G42" s="14"/>
      <c r="H42" s="9"/>
    </row>
    <row r="43" spans="3:8" x14ac:dyDescent="0.25">
      <c r="C43" s="8"/>
      <c r="D43" s="2"/>
      <c r="E43" s="76"/>
      <c r="F43" s="35"/>
      <c r="G43" s="14"/>
      <c r="H43" s="9"/>
    </row>
    <row r="44" spans="3:8" x14ac:dyDescent="0.25">
      <c r="C44" s="8"/>
      <c r="D44" s="2"/>
      <c r="E44" s="76"/>
      <c r="F44" s="35"/>
      <c r="G44" s="14"/>
      <c r="H44" s="9"/>
    </row>
    <row r="45" spans="3:8" x14ac:dyDescent="0.25">
      <c r="C45" s="8"/>
      <c r="D45" s="2"/>
      <c r="E45" s="76"/>
      <c r="F45" s="35"/>
      <c r="G45" s="14"/>
      <c r="H45" s="9"/>
    </row>
    <row r="46" spans="3:8" x14ac:dyDescent="0.25">
      <c r="C46" s="8"/>
      <c r="D46" s="2"/>
      <c r="E46" s="2"/>
      <c r="F46" s="4"/>
      <c r="G46" s="14"/>
      <c r="H46" s="9"/>
    </row>
    <row r="47" spans="3:8" x14ac:dyDescent="0.25">
      <c r="C47" s="8"/>
      <c r="D47" s="2"/>
      <c r="E47" s="2"/>
      <c r="F47" s="4"/>
      <c r="G47" s="14"/>
      <c r="H47" s="9"/>
    </row>
    <row r="48" spans="3:8" x14ac:dyDescent="0.25">
      <c r="C48" s="16"/>
      <c r="D48" s="17"/>
      <c r="E48" s="17" t="s">
        <v>39</v>
      </c>
      <c r="F48" s="4"/>
      <c r="G48" s="14"/>
      <c r="H48" s="9"/>
    </row>
    <row r="49" spans="3:9" ht="15.75" customHeight="1" x14ac:dyDescent="0.25">
      <c r="C49" s="8"/>
      <c r="D49" s="2"/>
      <c r="E49" s="76" t="s">
        <v>8807</v>
      </c>
      <c r="F49" s="35">
        <v>3450</v>
      </c>
      <c r="G49" s="14"/>
      <c r="H49" s="9"/>
    </row>
    <row r="50" spans="3:9" ht="15.75" customHeight="1" x14ac:dyDescent="0.25">
      <c r="C50" s="8"/>
      <c r="D50" s="2"/>
      <c r="E50" s="76"/>
      <c r="F50" s="35"/>
      <c r="G50" s="14"/>
      <c r="H50" s="9"/>
    </row>
    <row r="51" spans="3:9" x14ac:dyDescent="0.25">
      <c r="C51" s="8"/>
      <c r="D51" s="2"/>
      <c r="E51" s="76"/>
      <c r="F51" s="35"/>
      <c r="G51" s="14"/>
      <c r="H51" s="9"/>
    </row>
    <row r="52" spans="3:9" x14ac:dyDescent="0.25">
      <c r="C52" s="8"/>
      <c r="D52" s="2"/>
      <c r="E52" s="76"/>
      <c r="F52" s="35"/>
      <c r="G52" s="14"/>
      <c r="H52" s="9"/>
    </row>
    <row r="53" spans="3:9" x14ac:dyDescent="0.25">
      <c r="C53" s="8"/>
      <c r="D53" s="2"/>
      <c r="E53" s="76"/>
      <c r="F53" s="35"/>
      <c r="G53" s="14"/>
      <c r="H53" s="9"/>
      <c r="I53" s="36"/>
    </row>
    <row r="54" spans="3:9" x14ac:dyDescent="0.25">
      <c r="C54" s="8"/>
      <c r="D54" s="2"/>
      <c r="E54" s="2"/>
      <c r="F54" s="4"/>
      <c r="G54" s="14"/>
      <c r="H54" s="9"/>
    </row>
    <row r="55" spans="3:9" x14ac:dyDescent="0.25">
      <c r="C55" s="19"/>
      <c r="D55" s="20"/>
      <c r="E55" s="20" t="s">
        <v>42</v>
      </c>
      <c r="F55" s="14"/>
      <c r="G55" s="14"/>
      <c r="H55" s="9"/>
    </row>
    <row r="56" spans="3:9" x14ac:dyDescent="0.25">
      <c r="C56" s="34"/>
      <c r="D56" s="45"/>
      <c r="E56" s="68" t="s">
        <v>8808</v>
      </c>
      <c r="F56" s="14">
        <v>-45</v>
      </c>
      <c r="G56" s="14"/>
      <c r="H56" s="9"/>
    </row>
    <row r="57" spans="3:9" x14ac:dyDescent="0.25">
      <c r="C57" s="34"/>
      <c r="D57" s="45"/>
      <c r="E57" s="68" t="s">
        <v>8809</v>
      </c>
      <c r="F57" s="14">
        <v>-90</v>
      </c>
      <c r="G57" s="14"/>
      <c r="H57" s="9"/>
    </row>
    <row r="58" spans="3:9" x14ac:dyDescent="0.25">
      <c r="C58" s="34"/>
      <c r="D58" s="45"/>
      <c r="E58" s="68" t="s">
        <v>8810</v>
      </c>
      <c r="F58" s="14">
        <v>-20</v>
      </c>
      <c r="G58" s="14"/>
      <c r="H58" s="9"/>
    </row>
    <row r="59" spans="3:9" x14ac:dyDescent="0.25">
      <c r="C59" s="34"/>
      <c r="D59" s="45"/>
      <c r="E59" s="68" t="s">
        <v>8811</v>
      </c>
      <c r="F59" s="14">
        <v>-50</v>
      </c>
      <c r="G59" s="14"/>
      <c r="H59" s="9"/>
    </row>
    <row r="60" spans="3:9" x14ac:dyDescent="0.25">
      <c r="C60" s="34"/>
      <c r="D60" s="45"/>
      <c r="E60" s="68" t="s">
        <v>7518</v>
      </c>
      <c r="F60" s="14">
        <v>-50</v>
      </c>
      <c r="G60" s="14"/>
      <c r="H60" s="9"/>
    </row>
    <row r="61" spans="3:9" x14ac:dyDescent="0.25">
      <c r="C61" s="34"/>
      <c r="D61" s="45"/>
      <c r="E61" s="68" t="s">
        <v>8420</v>
      </c>
      <c r="F61" s="14">
        <v>-86</v>
      </c>
      <c r="G61" s="14"/>
      <c r="H61" s="9"/>
    </row>
    <row r="62" spans="3:9" x14ac:dyDescent="0.25">
      <c r="C62" s="34"/>
      <c r="D62" s="45"/>
      <c r="E62" s="68"/>
      <c r="F62" s="14"/>
      <c r="G62" s="14"/>
      <c r="H62" s="9"/>
    </row>
    <row r="63" spans="3:9" x14ac:dyDescent="0.25">
      <c r="C63" s="34"/>
      <c r="D63" s="45"/>
      <c r="E63" s="68"/>
      <c r="F63" s="14"/>
      <c r="G63" s="14"/>
      <c r="H63" s="9"/>
    </row>
    <row r="64" spans="3:9" x14ac:dyDescent="0.25">
      <c r="C64" s="34"/>
      <c r="D64" s="45"/>
      <c r="E64" s="68"/>
      <c r="F64" s="14"/>
      <c r="G64" s="14"/>
      <c r="H64" s="9"/>
    </row>
    <row r="65" spans="3:8" x14ac:dyDescent="0.25">
      <c r="C65" s="34"/>
      <c r="D65" s="45"/>
      <c r="E65" s="68"/>
      <c r="F65" s="14"/>
      <c r="G65" s="14"/>
      <c r="H65" s="9"/>
    </row>
    <row r="66" spans="3:8" ht="15.75" thickBot="1" x14ac:dyDescent="0.3">
      <c r="C66" s="10"/>
      <c r="D66" s="11"/>
      <c r="E66" s="11" t="s">
        <v>44</v>
      </c>
      <c r="F66" s="12">
        <f>SUM(F6:F65)</f>
        <v>6804.6</v>
      </c>
      <c r="G66" s="15">
        <f>SUM(G6:G65)</f>
        <v>0</v>
      </c>
      <c r="H66" s="13">
        <f>SUM(H6:H65)</f>
        <v>200.5</v>
      </c>
    </row>
    <row r="69" spans="3:8" s="3" customFormat="1" ht="18.75" x14ac:dyDescent="0.3">
      <c r="C69" s="1"/>
      <c r="D69" s="1"/>
      <c r="E69" s="38" t="s">
        <v>49</v>
      </c>
      <c r="F69" s="39">
        <f>+H4+F66</f>
        <v>22056.85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17EF-6631-4EA9-855D-26051BCC78C5}">
  <sheetPr codeName="Hoja113"/>
  <dimension ref="C2:J95"/>
  <sheetViews>
    <sheetView topLeftCell="A62" zoomScale="89" zoomScaleNormal="89" workbookViewId="0">
      <selection activeCell="F95" sqref="F9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8812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22056.85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8824</v>
      </c>
      <c r="E6" s="2" t="s">
        <v>5911</v>
      </c>
      <c r="F6" s="109"/>
      <c r="G6" s="113">
        <v>6240</v>
      </c>
      <c r="H6" s="112"/>
    </row>
    <row r="7" spans="3:10" x14ac:dyDescent="0.25">
      <c r="C7" s="24"/>
      <c r="D7" s="2" t="s">
        <v>8825</v>
      </c>
      <c r="E7" s="2" t="s">
        <v>5638</v>
      </c>
      <c r="F7" s="109"/>
      <c r="G7" s="113"/>
      <c r="H7" s="112">
        <v>79.5</v>
      </c>
      <c r="I7" s="36"/>
      <c r="J7" s="36"/>
    </row>
    <row r="8" spans="3:10" x14ac:dyDescent="0.25">
      <c r="C8" s="24"/>
      <c r="D8" s="2" t="s">
        <v>8826</v>
      </c>
      <c r="E8" s="2" t="s">
        <v>8854</v>
      </c>
      <c r="F8" s="109"/>
      <c r="G8" s="113"/>
      <c r="H8" s="112">
        <v>171</v>
      </c>
      <c r="J8" s="36"/>
    </row>
    <row r="9" spans="3:10" x14ac:dyDescent="0.25">
      <c r="C9" s="24"/>
      <c r="D9" s="2" t="s">
        <v>8827</v>
      </c>
      <c r="E9" s="2" t="s">
        <v>8853</v>
      </c>
      <c r="F9" s="109"/>
      <c r="G9" s="113"/>
      <c r="H9" s="112">
        <v>1448</v>
      </c>
      <c r="J9" s="36"/>
    </row>
    <row r="10" spans="3:10" x14ac:dyDescent="0.25">
      <c r="C10" s="8"/>
      <c r="D10" s="2" t="s">
        <v>8828</v>
      </c>
      <c r="E10" s="2" t="s">
        <v>6440</v>
      </c>
      <c r="F10" s="4"/>
      <c r="G10" s="14"/>
      <c r="H10" s="9">
        <v>26.5</v>
      </c>
    </row>
    <row r="11" spans="3:10" x14ac:dyDescent="0.25">
      <c r="C11" s="8"/>
      <c r="D11" s="2" t="s">
        <v>8829</v>
      </c>
      <c r="E11" s="2" t="s">
        <v>8852</v>
      </c>
      <c r="F11" s="4">
        <v>335</v>
      </c>
      <c r="G11" s="14"/>
      <c r="H11" s="9"/>
    </row>
    <row r="12" spans="3:10" x14ac:dyDescent="0.25">
      <c r="C12" s="8"/>
      <c r="D12" s="2" t="s">
        <v>8830</v>
      </c>
      <c r="E12" s="2" t="s">
        <v>6925</v>
      </c>
      <c r="F12" s="4">
        <v>266.5</v>
      </c>
      <c r="G12" s="14"/>
      <c r="H12" s="9"/>
    </row>
    <row r="13" spans="3:10" x14ac:dyDescent="0.25">
      <c r="C13" s="8"/>
      <c r="D13" s="2" t="s">
        <v>8831</v>
      </c>
      <c r="E13" s="2" t="s">
        <v>6440</v>
      </c>
      <c r="F13" s="4">
        <v>7.5</v>
      </c>
      <c r="G13" s="14"/>
      <c r="H13" s="9"/>
    </row>
    <row r="14" spans="3:10" x14ac:dyDescent="0.25">
      <c r="C14" s="8"/>
      <c r="D14" s="2" t="s">
        <v>8832</v>
      </c>
      <c r="E14" s="2" t="s">
        <v>6440</v>
      </c>
      <c r="F14" s="4">
        <v>79</v>
      </c>
      <c r="G14" s="14"/>
      <c r="H14" s="9"/>
    </row>
    <row r="15" spans="3:10" x14ac:dyDescent="0.25">
      <c r="C15" s="8"/>
      <c r="D15" s="2" t="s">
        <v>8833</v>
      </c>
      <c r="E15" s="2" t="s">
        <v>6440</v>
      </c>
      <c r="F15" s="4">
        <v>12.5</v>
      </c>
      <c r="G15" s="14"/>
      <c r="H15" s="9"/>
    </row>
    <row r="16" spans="3:10" x14ac:dyDescent="0.25">
      <c r="C16" s="8"/>
      <c r="D16" s="2" t="s">
        <v>8834</v>
      </c>
      <c r="E16" s="2" t="s">
        <v>4597</v>
      </c>
      <c r="F16" s="4"/>
      <c r="G16" s="14">
        <v>170</v>
      </c>
      <c r="H16" s="9"/>
    </row>
    <row r="17" spans="3:8" x14ac:dyDescent="0.25">
      <c r="C17" s="8"/>
      <c r="D17" s="2" t="s">
        <v>8835</v>
      </c>
      <c r="E17" s="2" t="s">
        <v>8076</v>
      </c>
      <c r="F17" s="4"/>
      <c r="G17" s="14">
        <v>82.9</v>
      </c>
      <c r="H17" s="9">
        <v>5000</v>
      </c>
    </row>
    <row r="18" spans="3:8" x14ac:dyDescent="0.25">
      <c r="C18" s="8"/>
      <c r="D18" s="2" t="s">
        <v>8836</v>
      </c>
      <c r="E18" s="2" t="s">
        <v>4516</v>
      </c>
      <c r="F18" s="4"/>
      <c r="G18" s="14">
        <v>92.1</v>
      </c>
      <c r="H18" s="9"/>
    </row>
    <row r="19" spans="3:8" x14ac:dyDescent="0.25">
      <c r="C19" s="8"/>
      <c r="D19" s="2" t="s">
        <v>8837</v>
      </c>
      <c r="E19" s="2" t="s">
        <v>7456</v>
      </c>
      <c r="F19" s="4"/>
      <c r="G19" s="14"/>
      <c r="H19" s="9">
        <v>2730</v>
      </c>
    </row>
    <row r="20" spans="3:8" x14ac:dyDescent="0.25">
      <c r="C20" s="8"/>
      <c r="D20" s="2" t="s">
        <v>8838</v>
      </c>
      <c r="E20" s="2" t="s">
        <v>6440</v>
      </c>
      <c r="F20" s="4">
        <v>10</v>
      </c>
      <c r="G20" s="14"/>
      <c r="H20" s="9"/>
    </row>
    <row r="21" spans="3:8" x14ac:dyDescent="0.25">
      <c r="C21" s="8"/>
      <c r="D21" s="2" t="s">
        <v>8839</v>
      </c>
      <c r="E21" s="2" t="s">
        <v>8851</v>
      </c>
      <c r="F21" s="4"/>
      <c r="G21" s="14"/>
      <c r="H21" s="9">
        <v>350</v>
      </c>
    </row>
    <row r="22" spans="3:8" x14ac:dyDescent="0.25">
      <c r="C22" s="8"/>
      <c r="D22" s="2" t="s">
        <v>8840</v>
      </c>
      <c r="E22" s="2" t="s">
        <v>6440</v>
      </c>
      <c r="F22" s="4">
        <v>10</v>
      </c>
      <c r="G22" s="14"/>
      <c r="H22" s="9"/>
    </row>
    <row r="23" spans="3:8" x14ac:dyDescent="0.25">
      <c r="C23" s="8"/>
      <c r="D23" s="2" t="s">
        <v>8841</v>
      </c>
      <c r="E23" s="2" t="s">
        <v>6440</v>
      </c>
      <c r="F23" s="4">
        <v>7</v>
      </c>
      <c r="G23" s="14"/>
      <c r="H23" s="9"/>
    </row>
    <row r="24" spans="3:8" x14ac:dyDescent="0.25">
      <c r="C24" s="8"/>
      <c r="D24" s="2" t="s">
        <v>8842</v>
      </c>
      <c r="E24" s="2" t="s">
        <v>6440</v>
      </c>
      <c r="F24" s="4">
        <v>10</v>
      </c>
      <c r="G24" s="14"/>
      <c r="H24" s="9"/>
    </row>
    <row r="25" spans="3:8" x14ac:dyDescent="0.25">
      <c r="C25" s="8"/>
      <c r="D25" s="2" t="s">
        <v>8843</v>
      </c>
      <c r="E25" s="2" t="s">
        <v>6440</v>
      </c>
      <c r="F25" s="4"/>
      <c r="G25" s="14"/>
      <c r="H25" s="9">
        <v>24</v>
      </c>
    </row>
    <row r="26" spans="3:8" x14ac:dyDescent="0.25">
      <c r="C26" s="8"/>
      <c r="D26" s="2" t="s">
        <v>8844</v>
      </c>
      <c r="E26" s="2" t="s">
        <v>6440</v>
      </c>
      <c r="F26" s="4">
        <v>20</v>
      </c>
      <c r="G26" s="14"/>
      <c r="H26" s="9"/>
    </row>
    <row r="27" spans="3:8" x14ac:dyDescent="0.25">
      <c r="C27" s="8"/>
      <c r="D27" s="2" t="s">
        <v>8845</v>
      </c>
      <c r="E27" s="2" t="s">
        <v>6440</v>
      </c>
      <c r="F27" s="4"/>
      <c r="G27" s="14"/>
      <c r="H27" s="9">
        <v>31.5</v>
      </c>
    </row>
    <row r="28" spans="3:8" x14ac:dyDescent="0.25">
      <c r="C28" s="8"/>
      <c r="D28" s="2" t="s">
        <v>8846</v>
      </c>
      <c r="E28" s="2" t="s">
        <v>6440</v>
      </c>
      <c r="F28" s="4">
        <v>5</v>
      </c>
      <c r="G28" s="14"/>
      <c r="H28" s="9"/>
    </row>
    <row r="29" spans="3:8" x14ac:dyDescent="0.25">
      <c r="C29" s="8"/>
      <c r="D29" s="2" t="s">
        <v>8847</v>
      </c>
      <c r="E29" s="2" t="s">
        <v>6440</v>
      </c>
      <c r="F29" s="4">
        <v>10</v>
      </c>
      <c r="G29" s="14"/>
      <c r="H29" s="9"/>
    </row>
    <row r="30" spans="3:8" x14ac:dyDescent="0.25">
      <c r="C30" s="8"/>
      <c r="D30" s="2" t="s">
        <v>8848</v>
      </c>
      <c r="E30" s="2" t="s">
        <v>6440</v>
      </c>
      <c r="F30" s="4">
        <v>20</v>
      </c>
      <c r="G30" s="14"/>
      <c r="H30" s="9"/>
    </row>
    <row r="31" spans="3:8" x14ac:dyDescent="0.25">
      <c r="C31" s="8"/>
      <c r="D31" s="2" t="s">
        <v>8849</v>
      </c>
      <c r="E31" s="2" t="s">
        <v>8850</v>
      </c>
      <c r="F31" s="4">
        <v>221.6</v>
      </c>
      <c r="G31" s="14"/>
      <c r="H31" s="9"/>
    </row>
    <row r="32" spans="3:8" x14ac:dyDescent="0.25">
      <c r="C32" s="8"/>
      <c r="D32" s="2" t="s">
        <v>8876</v>
      </c>
      <c r="E32" s="2" t="s">
        <v>5678</v>
      </c>
      <c r="F32" s="4">
        <v>90</v>
      </c>
      <c r="G32" s="14"/>
      <c r="H32" s="9"/>
    </row>
    <row r="33" spans="3:8" x14ac:dyDescent="0.25">
      <c r="C33" s="8"/>
      <c r="D33" s="2" t="s">
        <v>8877</v>
      </c>
      <c r="E33" s="2" t="s">
        <v>6440</v>
      </c>
      <c r="F33" s="4">
        <v>8.5</v>
      </c>
      <c r="G33" s="14"/>
      <c r="H33" s="9"/>
    </row>
    <row r="34" spans="3:8" x14ac:dyDescent="0.25">
      <c r="C34" s="8"/>
      <c r="D34" s="2" t="s">
        <v>8878</v>
      </c>
      <c r="E34" s="2" t="s">
        <v>8887</v>
      </c>
      <c r="F34" s="4"/>
      <c r="G34" s="14"/>
      <c r="H34" s="9">
        <v>58</v>
      </c>
    </row>
    <row r="35" spans="3:8" x14ac:dyDescent="0.25">
      <c r="C35" s="8"/>
      <c r="D35" s="2" t="s">
        <v>8879</v>
      </c>
      <c r="E35" s="2" t="s">
        <v>6440</v>
      </c>
      <c r="F35" s="4">
        <v>12.5</v>
      </c>
      <c r="G35" s="14"/>
      <c r="H35" s="9"/>
    </row>
    <row r="36" spans="3:8" x14ac:dyDescent="0.25">
      <c r="C36" s="8"/>
      <c r="D36" s="2" t="s">
        <v>8880</v>
      </c>
      <c r="E36" s="2" t="s">
        <v>6440</v>
      </c>
      <c r="F36" s="4">
        <v>1</v>
      </c>
      <c r="G36" s="14"/>
      <c r="H36" s="9"/>
    </row>
    <row r="37" spans="3:8" x14ac:dyDescent="0.25">
      <c r="C37" s="8"/>
      <c r="D37" s="2" t="s">
        <v>8881</v>
      </c>
      <c r="E37" s="2" t="s">
        <v>8886</v>
      </c>
      <c r="F37" s="4">
        <v>620</v>
      </c>
      <c r="G37" s="14"/>
      <c r="H37" s="9"/>
    </row>
    <row r="38" spans="3:8" x14ac:dyDescent="0.25">
      <c r="C38" s="8"/>
      <c r="D38" s="2" t="s">
        <v>8882</v>
      </c>
      <c r="E38" s="2" t="s">
        <v>8885</v>
      </c>
      <c r="F38" s="4">
        <v>480</v>
      </c>
      <c r="G38" s="14"/>
      <c r="H38" s="9"/>
    </row>
    <row r="39" spans="3:8" x14ac:dyDescent="0.25">
      <c r="C39" s="8"/>
      <c r="D39" s="2" t="s">
        <v>8883</v>
      </c>
      <c r="E39" s="2" t="s">
        <v>8885</v>
      </c>
      <c r="F39" s="4">
        <v>336.5</v>
      </c>
      <c r="G39" s="14"/>
      <c r="H39" s="9"/>
    </row>
    <row r="40" spans="3:8" x14ac:dyDescent="0.25">
      <c r="C40" s="8"/>
      <c r="D40" s="2" t="s">
        <v>8884</v>
      </c>
      <c r="E40" s="2" t="s">
        <v>6553</v>
      </c>
      <c r="F40" s="4"/>
      <c r="G40" s="14">
        <v>5.5</v>
      </c>
      <c r="H40" s="9"/>
    </row>
    <row r="41" spans="3:8" x14ac:dyDescent="0.25">
      <c r="C41" s="8"/>
      <c r="D41" s="2" t="s">
        <v>8889</v>
      </c>
      <c r="E41" s="2" t="s">
        <v>7126</v>
      </c>
      <c r="F41" s="4"/>
      <c r="G41" s="14">
        <v>448</v>
      </c>
      <c r="H41" s="9"/>
    </row>
    <row r="42" spans="3:8" x14ac:dyDescent="0.25">
      <c r="C42" s="8"/>
      <c r="D42" s="2" t="s">
        <v>8890</v>
      </c>
      <c r="E42" s="2" t="s">
        <v>4666</v>
      </c>
      <c r="F42" s="4"/>
      <c r="G42" s="14"/>
      <c r="H42" s="9">
        <v>170</v>
      </c>
    </row>
    <row r="43" spans="3:8" x14ac:dyDescent="0.25">
      <c r="C43" s="8"/>
      <c r="D43" s="2" t="s">
        <v>8897</v>
      </c>
      <c r="E43" s="2"/>
      <c r="F43" s="4"/>
      <c r="G43" s="14"/>
      <c r="H43" s="9"/>
    </row>
    <row r="44" spans="3:8" x14ac:dyDescent="0.25">
      <c r="C44" s="8"/>
      <c r="D44" s="2"/>
      <c r="E44" s="2"/>
      <c r="F44" s="4"/>
      <c r="G44" s="14"/>
      <c r="H44" s="9"/>
    </row>
    <row r="45" spans="3:8" x14ac:dyDescent="0.25">
      <c r="C45" s="8"/>
      <c r="D45" s="2"/>
      <c r="E45" s="2"/>
      <c r="F45" s="4"/>
      <c r="G45" s="14"/>
      <c r="H45" s="9"/>
    </row>
    <row r="46" spans="3:8" x14ac:dyDescent="0.25">
      <c r="C46" s="8"/>
      <c r="D46" s="2" t="s">
        <v>8855</v>
      </c>
      <c r="E46" s="2" t="s">
        <v>6092</v>
      </c>
      <c r="F46" s="4">
        <v>9</v>
      </c>
      <c r="G46" s="14"/>
      <c r="H46" s="9"/>
    </row>
    <row r="47" spans="3:8" x14ac:dyDescent="0.25">
      <c r="C47" s="8"/>
      <c r="D47" s="2" t="s">
        <v>8856</v>
      </c>
      <c r="E47" s="2" t="s">
        <v>6092</v>
      </c>
      <c r="F47" s="4"/>
      <c r="G47" s="14"/>
      <c r="H47" s="9">
        <v>12.5</v>
      </c>
    </row>
    <row r="48" spans="3:8" x14ac:dyDescent="0.25">
      <c r="C48" s="8"/>
      <c r="D48" s="2" t="s">
        <v>8857</v>
      </c>
      <c r="E48" s="2" t="s">
        <v>6092</v>
      </c>
      <c r="F48" s="4"/>
      <c r="G48" s="14"/>
      <c r="H48" s="9">
        <v>5</v>
      </c>
    </row>
    <row r="49" spans="3:8" x14ac:dyDescent="0.25">
      <c r="C49" s="8"/>
      <c r="D49" s="2" t="s">
        <v>8858</v>
      </c>
      <c r="E49" s="2" t="s">
        <v>6092</v>
      </c>
      <c r="F49" s="4">
        <v>6</v>
      </c>
      <c r="G49" s="14"/>
      <c r="H49" s="9"/>
    </row>
    <row r="50" spans="3:8" x14ac:dyDescent="0.25">
      <c r="C50" s="8"/>
      <c r="D50" s="2" t="s">
        <v>8859</v>
      </c>
      <c r="E50" s="2" t="s">
        <v>6092</v>
      </c>
      <c r="F50" s="4">
        <v>6</v>
      </c>
      <c r="G50" s="14"/>
      <c r="H50" s="9"/>
    </row>
    <row r="51" spans="3:8" x14ac:dyDescent="0.25">
      <c r="C51" s="8"/>
      <c r="D51" s="2" t="s">
        <v>8860</v>
      </c>
      <c r="E51" s="2" t="s">
        <v>4618</v>
      </c>
      <c r="F51" s="4"/>
      <c r="G51" s="14"/>
      <c r="H51" s="9">
        <v>42</v>
      </c>
    </row>
    <row r="52" spans="3:8" x14ac:dyDescent="0.25">
      <c r="C52" s="8"/>
      <c r="D52" s="2" t="s">
        <v>8861</v>
      </c>
      <c r="E52" s="2" t="s">
        <v>4618</v>
      </c>
      <c r="F52" s="4"/>
      <c r="G52" s="14"/>
      <c r="H52" s="9">
        <v>1026</v>
      </c>
    </row>
    <row r="53" spans="3:8" x14ac:dyDescent="0.25">
      <c r="C53" s="8"/>
      <c r="D53" s="2" t="s">
        <v>8862</v>
      </c>
      <c r="E53" s="2" t="s">
        <v>8870</v>
      </c>
      <c r="F53" s="4">
        <v>105</v>
      </c>
      <c r="G53" s="14"/>
      <c r="H53" s="9"/>
    </row>
    <row r="54" spans="3:8" x14ac:dyDescent="0.25">
      <c r="C54" s="8"/>
      <c r="D54" s="2" t="s">
        <v>8863</v>
      </c>
      <c r="E54" s="2" t="s">
        <v>6092</v>
      </c>
      <c r="F54" s="4"/>
      <c r="G54" s="14"/>
      <c r="H54" s="9">
        <v>47</v>
      </c>
    </row>
    <row r="55" spans="3:8" x14ac:dyDescent="0.25">
      <c r="C55" s="8"/>
      <c r="D55" s="2" t="s">
        <v>8864</v>
      </c>
      <c r="E55" s="2" t="s">
        <v>6092</v>
      </c>
      <c r="F55" s="4">
        <v>15</v>
      </c>
      <c r="G55" s="14"/>
      <c r="H55" s="9"/>
    </row>
    <row r="56" spans="3:8" x14ac:dyDescent="0.25">
      <c r="C56" s="8"/>
      <c r="D56" s="2" t="s">
        <v>8865</v>
      </c>
      <c r="E56" s="2" t="s">
        <v>6092</v>
      </c>
      <c r="F56" s="4">
        <v>7</v>
      </c>
      <c r="G56" s="14"/>
      <c r="H56" s="9"/>
    </row>
    <row r="57" spans="3:8" x14ac:dyDescent="0.25">
      <c r="C57" s="8"/>
      <c r="D57" s="2" t="s">
        <v>8866</v>
      </c>
      <c r="E57" s="2" t="s">
        <v>6092</v>
      </c>
      <c r="F57" s="4">
        <v>300</v>
      </c>
      <c r="G57" s="14"/>
      <c r="H57" s="9"/>
    </row>
    <row r="58" spans="3:8" x14ac:dyDescent="0.25">
      <c r="C58" s="8"/>
      <c r="D58" s="2" t="s">
        <v>8867</v>
      </c>
      <c r="E58" s="2" t="s">
        <v>6092</v>
      </c>
      <c r="F58" s="4">
        <v>1.5</v>
      </c>
      <c r="G58" s="14"/>
      <c r="H58" s="9"/>
    </row>
    <row r="59" spans="3:8" x14ac:dyDescent="0.25">
      <c r="C59" s="8"/>
      <c r="D59" s="2" t="s">
        <v>8868</v>
      </c>
      <c r="E59" s="2" t="s">
        <v>6092</v>
      </c>
      <c r="F59" s="4"/>
      <c r="G59" s="14"/>
      <c r="H59" s="9">
        <v>6.5</v>
      </c>
    </row>
    <row r="60" spans="3:8" x14ac:dyDescent="0.25">
      <c r="C60" s="8"/>
      <c r="D60" s="2" t="s">
        <v>8869</v>
      </c>
      <c r="E60" s="2" t="s">
        <v>7144</v>
      </c>
      <c r="F60" s="4"/>
      <c r="G60" s="14"/>
      <c r="H60" s="9">
        <v>6900</v>
      </c>
    </row>
    <row r="61" spans="3:8" x14ac:dyDescent="0.25">
      <c r="C61" s="8"/>
      <c r="D61" s="2" t="s">
        <v>8888</v>
      </c>
      <c r="E61" s="2" t="s">
        <v>6092</v>
      </c>
      <c r="F61" s="4">
        <v>17</v>
      </c>
      <c r="G61" s="14"/>
      <c r="H61" s="9"/>
    </row>
    <row r="62" spans="3:8" x14ac:dyDescent="0.25">
      <c r="C62" s="8"/>
      <c r="D62" s="2" t="s">
        <v>8909</v>
      </c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29"/>
      <c r="D64" s="30"/>
      <c r="E64" s="30" t="s">
        <v>60</v>
      </c>
      <c r="F64" s="4"/>
      <c r="G64" s="14"/>
      <c r="H64" s="9"/>
    </row>
    <row r="65" spans="3:9" x14ac:dyDescent="0.25">
      <c r="C65" s="8"/>
      <c r="D65" s="2" t="s">
        <v>8815</v>
      </c>
      <c r="E65" s="76" t="s">
        <v>8816</v>
      </c>
      <c r="F65" s="35">
        <v>200</v>
      </c>
      <c r="G65" s="14"/>
      <c r="H65" s="9"/>
    </row>
    <row r="66" spans="3:9" x14ac:dyDescent="0.25">
      <c r="C66" s="8"/>
      <c r="D66" s="2" t="s">
        <v>8817</v>
      </c>
      <c r="E66" s="76" t="s">
        <v>8821</v>
      </c>
      <c r="F66" s="35"/>
      <c r="G66" s="14"/>
      <c r="H66" s="9">
        <v>100</v>
      </c>
    </row>
    <row r="67" spans="3:9" x14ac:dyDescent="0.25">
      <c r="C67" s="8"/>
      <c r="D67" s="2" t="s">
        <v>8818</v>
      </c>
      <c r="E67" s="76" t="s">
        <v>8823</v>
      </c>
      <c r="F67" s="35"/>
      <c r="G67" s="14"/>
      <c r="H67" s="9">
        <v>26</v>
      </c>
    </row>
    <row r="68" spans="3:9" x14ac:dyDescent="0.25">
      <c r="C68" s="8"/>
      <c r="D68" s="2" t="s">
        <v>8819</v>
      </c>
      <c r="E68" s="76" t="s">
        <v>5706</v>
      </c>
      <c r="F68" s="35"/>
      <c r="G68" s="14"/>
      <c r="H68" s="9">
        <v>125</v>
      </c>
    </row>
    <row r="69" spans="3:9" x14ac:dyDescent="0.25">
      <c r="C69" s="8"/>
      <c r="D69" s="2" t="s">
        <v>8820</v>
      </c>
      <c r="E69" s="76" t="s">
        <v>8822</v>
      </c>
      <c r="F69" s="35"/>
      <c r="G69" s="14"/>
      <c r="H69" s="9">
        <v>207</v>
      </c>
    </row>
    <row r="70" spans="3:9" x14ac:dyDescent="0.25">
      <c r="C70" s="8"/>
      <c r="D70" s="2" t="s">
        <v>8873</v>
      </c>
      <c r="E70" s="76" t="s">
        <v>8875</v>
      </c>
      <c r="F70" s="35"/>
      <c r="G70" s="14"/>
      <c r="H70" s="9">
        <v>181.5</v>
      </c>
    </row>
    <row r="71" spans="3:9" x14ac:dyDescent="0.25">
      <c r="C71" s="8"/>
      <c r="D71" s="2" t="s">
        <v>8874</v>
      </c>
      <c r="E71" s="76" t="s">
        <v>8875</v>
      </c>
      <c r="F71" s="35"/>
      <c r="G71" s="14"/>
      <c r="H71" s="9">
        <v>345</v>
      </c>
    </row>
    <row r="72" spans="3:9" x14ac:dyDescent="0.25">
      <c r="C72" s="8"/>
      <c r="D72" s="2"/>
      <c r="E72" s="2"/>
      <c r="F72" s="4"/>
      <c r="G72" s="14"/>
      <c r="H72" s="9"/>
    </row>
    <row r="73" spans="3:9" x14ac:dyDescent="0.25">
      <c r="C73" s="8"/>
      <c r="D73" s="2"/>
      <c r="E73" s="2"/>
      <c r="F73" s="4"/>
      <c r="G73" s="14"/>
      <c r="H73" s="9"/>
    </row>
    <row r="74" spans="3:9" x14ac:dyDescent="0.25">
      <c r="C74" s="16"/>
      <c r="D74" s="17"/>
      <c r="E74" s="17" t="s">
        <v>39</v>
      </c>
      <c r="F74" s="4"/>
      <c r="G74" s="14"/>
      <c r="H74" s="9"/>
    </row>
    <row r="75" spans="3:9" ht="15.75" customHeight="1" x14ac:dyDescent="0.25">
      <c r="C75" s="8"/>
      <c r="D75" s="2"/>
      <c r="E75" s="76" t="s">
        <v>8871</v>
      </c>
      <c r="F75" s="35">
        <v>2000</v>
      </c>
      <c r="G75" s="14"/>
      <c r="H75" s="9"/>
    </row>
    <row r="76" spans="3:9" ht="15.75" customHeight="1" x14ac:dyDescent="0.25">
      <c r="C76" s="8"/>
      <c r="D76" s="2"/>
      <c r="E76" s="76" t="s">
        <v>402</v>
      </c>
      <c r="F76" s="35">
        <v>4</v>
      </c>
      <c r="G76" s="14"/>
      <c r="H76" s="9"/>
    </row>
    <row r="77" spans="3:9" x14ac:dyDescent="0.25">
      <c r="C77" s="8"/>
      <c r="D77" s="2"/>
      <c r="E77" s="76"/>
      <c r="F77" s="35"/>
      <c r="G77" s="14"/>
      <c r="H77" s="9"/>
    </row>
    <row r="78" spans="3:9" x14ac:dyDescent="0.25">
      <c r="C78" s="8"/>
      <c r="D78" s="2"/>
      <c r="E78" s="76"/>
      <c r="F78" s="35"/>
      <c r="G78" s="14"/>
      <c r="H78" s="9"/>
    </row>
    <row r="79" spans="3:9" x14ac:dyDescent="0.25">
      <c r="C79" s="8"/>
      <c r="D79" s="2"/>
      <c r="E79" s="76"/>
      <c r="F79" s="35"/>
      <c r="G79" s="14"/>
      <c r="H79" s="9"/>
      <c r="I79" s="36"/>
    </row>
    <row r="80" spans="3:9" x14ac:dyDescent="0.25">
      <c r="C80" s="8"/>
      <c r="D80" s="2"/>
      <c r="E80" s="2"/>
      <c r="F80" s="4"/>
      <c r="G80" s="14"/>
      <c r="H80" s="9"/>
    </row>
    <row r="81" spans="3:8" x14ac:dyDescent="0.25">
      <c r="C81" s="19"/>
      <c r="D81" s="20"/>
      <c r="E81" s="20" t="s">
        <v>42</v>
      </c>
      <c r="F81" s="14"/>
      <c r="G81" s="14"/>
      <c r="H81" s="9"/>
    </row>
    <row r="82" spans="3:8" x14ac:dyDescent="0.25">
      <c r="C82" s="34"/>
      <c r="D82" s="45"/>
      <c r="E82" s="68" t="s">
        <v>8813</v>
      </c>
      <c r="F82" s="14">
        <v>-100</v>
      </c>
      <c r="G82" s="14"/>
      <c r="H82" s="9"/>
    </row>
    <row r="83" spans="3:8" x14ac:dyDescent="0.25">
      <c r="C83" s="34"/>
      <c r="D83" s="45"/>
      <c r="E83" s="68" t="s">
        <v>8814</v>
      </c>
      <c r="F83" s="14">
        <v>-50</v>
      </c>
      <c r="G83" s="14"/>
      <c r="H83" s="9"/>
    </row>
    <row r="84" spans="3:8" x14ac:dyDescent="0.25">
      <c r="C84" s="34"/>
      <c r="D84" s="45"/>
      <c r="E84" s="68" t="s">
        <v>3405</v>
      </c>
      <c r="F84" s="14">
        <v>-110</v>
      </c>
      <c r="G84" s="14"/>
      <c r="H84" s="9"/>
    </row>
    <row r="85" spans="3:8" x14ac:dyDescent="0.25">
      <c r="C85" s="34"/>
      <c r="D85" s="45"/>
      <c r="E85" s="68" t="s">
        <v>8872</v>
      </c>
      <c r="F85" s="14">
        <v>-320</v>
      </c>
      <c r="G85" s="14"/>
      <c r="H85" s="9"/>
    </row>
    <row r="86" spans="3:8" x14ac:dyDescent="0.25">
      <c r="C86" s="34"/>
      <c r="D86" s="45"/>
      <c r="E86" s="68" t="s">
        <v>8891</v>
      </c>
      <c r="F86" s="14">
        <v>-3005</v>
      </c>
      <c r="G86" s="14"/>
      <c r="H86" s="9"/>
    </row>
    <row r="87" spans="3:8" x14ac:dyDescent="0.25">
      <c r="C87" s="34"/>
      <c r="D87" s="45"/>
      <c r="E87" s="68"/>
      <c r="F87" s="14"/>
      <c r="G87" s="14"/>
      <c r="H87" s="9"/>
    </row>
    <row r="88" spans="3:8" x14ac:dyDescent="0.25">
      <c r="C88" s="34"/>
      <c r="D88" s="45"/>
      <c r="E88" s="68"/>
      <c r="F88" s="14"/>
      <c r="G88" s="14"/>
      <c r="H88" s="9"/>
    </row>
    <row r="89" spans="3:8" x14ac:dyDescent="0.25">
      <c r="C89" s="34"/>
      <c r="D89" s="45"/>
      <c r="E89" s="68"/>
      <c r="F89" s="14"/>
      <c r="G89" s="14"/>
      <c r="H89" s="9"/>
    </row>
    <row r="90" spans="3:8" x14ac:dyDescent="0.25">
      <c r="C90" s="34"/>
      <c r="D90" s="45"/>
      <c r="E90" s="68"/>
      <c r="F90" s="14"/>
      <c r="G90" s="14"/>
      <c r="H90" s="9"/>
    </row>
    <row r="91" spans="3:8" x14ac:dyDescent="0.25">
      <c r="C91" s="34"/>
      <c r="D91" s="45"/>
      <c r="E91" s="68"/>
      <c r="F91" s="14"/>
      <c r="G91" s="14"/>
      <c r="H91" s="9"/>
    </row>
    <row r="92" spans="3:8" ht="15.75" thickBot="1" x14ac:dyDescent="0.3">
      <c r="C92" s="10"/>
      <c r="D92" s="11"/>
      <c r="E92" s="11" t="s">
        <v>44</v>
      </c>
      <c r="F92" s="12">
        <f>SUM(F6:F91)</f>
        <v>1648.1000000000004</v>
      </c>
      <c r="G92" s="15">
        <f>SUM(G6:G91)</f>
        <v>7038.5</v>
      </c>
      <c r="H92" s="13">
        <f>SUM(H6:H91)</f>
        <v>19112</v>
      </c>
    </row>
    <row r="95" spans="3:8" s="3" customFormat="1" ht="18.75" x14ac:dyDescent="0.3">
      <c r="C95" s="1"/>
      <c r="D95" s="1"/>
      <c r="E95" s="38" t="s">
        <v>49</v>
      </c>
      <c r="F95" s="39">
        <f>+H4+F92</f>
        <v>23704.949999999997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665F-DF46-46ED-BD1B-1856C1DFAD16}">
  <sheetPr codeName="Hoja114"/>
  <dimension ref="C2:J97"/>
  <sheetViews>
    <sheetView topLeftCell="A58" zoomScale="89" zoomScaleNormal="89" workbookViewId="0">
      <selection activeCell="G21" sqref="G21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8892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23704.95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8897</v>
      </c>
      <c r="E6" s="2" t="s">
        <v>5678</v>
      </c>
      <c r="F6" s="109">
        <v>1</v>
      </c>
      <c r="G6" s="113"/>
      <c r="H6" s="112"/>
    </row>
    <row r="7" spans="3:10" x14ac:dyDescent="0.25">
      <c r="C7" s="24"/>
      <c r="D7" s="2" t="s">
        <v>8898</v>
      </c>
      <c r="E7" s="2" t="s">
        <v>7126</v>
      </c>
      <c r="F7" s="109"/>
      <c r="G7" s="113">
        <v>1054</v>
      </c>
      <c r="H7" s="112"/>
      <c r="I7" s="36"/>
      <c r="J7" s="36"/>
    </row>
    <row r="8" spans="3:10" x14ac:dyDescent="0.25">
      <c r="C8" s="24"/>
      <c r="D8" s="2" t="s">
        <v>8899</v>
      </c>
      <c r="E8" s="2" t="s">
        <v>8850</v>
      </c>
      <c r="F8" s="109">
        <v>405.6</v>
      </c>
      <c r="G8" s="113"/>
      <c r="H8" s="112"/>
      <c r="J8" s="36"/>
    </row>
    <row r="9" spans="3:10" x14ac:dyDescent="0.25">
      <c r="C9" s="24"/>
      <c r="D9" s="2" t="s">
        <v>8900</v>
      </c>
      <c r="E9" s="2" t="s">
        <v>5678</v>
      </c>
      <c r="F9" s="109">
        <v>1</v>
      </c>
      <c r="G9" s="113"/>
      <c r="H9" s="112"/>
      <c r="J9" s="36"/>
    </row>
    <row r="10" spans="3:10" x14ac:dyDescent="0.25">
      <c r="C10" s="8"/>
      <c r="D10" s="2" t="s">
        <v>8901</v>
      </c>
      <c r="E10" s="2" t="s">
        <v>5678</v>
      </c>
      <c r="F10" s="4">
        <v>13</v>
      </c>
      <c r="G10" s="14"/>
      <c r="H10" s="9"/>
    </row>
    <row r="11" spans="3:10" x14ac:dyDescent="0.25">
      <c r="C11" s="8"/>
      <c r="D11" s="2" t="s">
        <v>8902</v>
      </c>
      <c r="E11" s="2" t="s">
        <v>5678</v>
      </c>
      <c r="F11" s="4">
        <v>5</v>
      </c>
      <c r="G11" s="14"/>
      <c r="H11" s="9"/>
    </row>
    <row r="12" spans="3:10" x14ac:dyDescent="0.25">
      <c r="C12" s="8"/>
      <c r="D12" s="2" t="s">
        <v>8903</v>
      </c>
      <c r="E12" s="2" t="s">
        <v>1679</v>
      </c>
      <c r="F12" s="4"/>
      <c r="G12" s="14">
        <v>14.96</v>
      </c>
      <c r="H12" s="9"/>
    </row>
    <row r="13" spans="3:10" x14ac:dyDescent="0.25">
      <c r="C13" s="8"/>
      <c r="D13" s="2" t="s">
        <v>8904</v>
      </c>
      <c r="E13" s="2" t="s">
        <v>5678</v>
      </c>
      <c r="F13" s="4">
        <v>450</v>
      </c>
      <c r="G13" s="14"/>
      <c r="H13" s="9"/>
    </row>
    <row r="14" spans="3:10" x14ac:dyDescent="0.25">
      <c r="C14" s="8"/>
      <c r="D14" s="2" t="s">
        <v>8905</v>
      </c>
      <c r="E14" s="2" t="s">
        <v>2701</v>
      </c>
      <c r="F14" s="4"/>
      <c r="G14" s="14"/>
      <c r="H14" s="9">
        <v>1600</v>
      </c>
    </row>
    <row r="15" spans="3:10" x14ac:dyDescent="0.25">
      <c r="C15" s="8"/>
      <c r="D15" s="2" t="s">
        <v>8906</v>
      </c>
      <c r="E15" s="2" t="s">
        <v>8908</v>
      </c>
      <c r="F15" s="4">
        <v>110.5</v>
      </c>
      <c r="G15" s="14"/>
      <c r="H15" s="9"/>
    </row>
    <row r="16" spans="3:10" x14ac:dyDescent="0.25">
      <c r="C16" s="8"/>
      <c r="D16" s="2" t="s">
        <v>8907</v>
      </c>
      <c r="E16" s="2" t="s">
        <v>4597</v>
      </c>
      <c r="F16" s="4"/>
      <c r="G16" s="14"/>
      <c r="H16" s="9">
        <v>233</v>
      </c>
    </row>
    <row r="17" spans="3:8" x14ac:dyDescent="0.25">
      <c r="C17" s="8"/>
      <c r="D17" s="2" t="s">
        <v>8938</v>
      </c>
      <c r="E17" s="2" t="s">
        <v>5678</v>
      </c>
      <c r="F17" s="4">
        <v>3</v>
      </c>
      <c r="G17" s="14"/>
      <c r="H17" s="9"/>
    </row>
    <row r="18" spans="3:8" x14ac:dyDescent="0.25">
      <c r="C18" s="8"/>
      <c r="D18" s="2" t="s">
        <v>8946</v>
      </c>
      <c r="E18" s="2" t="s">
        <v>5678</v>
      </c>
      <c r="F18" s="4">
        <v>4</v>
      </c>
      <c r="G18" s="14"/>
      <c r="H18" s="9"/>
    </row>
    <row r="19" spans="3:8" x14ac:dyDescent="0.25">
      <c r="C19" s="8"/>
      <c r="D19" s="2" t="s">
        <v>8947</v>
      </c>
      <c r="E19" s="2" t="s">
        <v>8948</v>
      </c>
      <c r="F19" s="4"/>
      <c r="G19" s="14"/>
      <c r="H19" s="9">
        <v>6370</v>
      </c>
    </row>
    <row r="20" spans="3:8" x14ac:dyDescent="0.25">
      <c r="C20" s="8"/>
      <c r="D20" s="2" t="s">
        <v>8949</v>
      </c>
      <c r="E20" s="2" t="s">
        <v>8547</v>
      </c>
      <c r="F20" s="4">
        <v>276</v>
      </c>
      <c r="G20" s="14"/>
      <c r="H20" s="9"/>
    </row>
    <row r="21" spans="3:8" x14ac:dyDescent="0.25">
      <c r="C21" s="8"/>
      <c r="D21" s="2" t="s">
        <v>8955</v>
      </c>
      <c r="E21" s="2" t="s">
        <v>4173</v>
      </c>
      <c r="F21" s="4"/>
      <c r="G21" s="14">
        <v>261.5</v>
      </c>
      <c r="H21" s="9"/>
    </row>
    <row r="22" spans="3:8" x14ac:dyDescent="0.25">
      <c r="C22" s="8"/>
      <c r="D22" s="2" t="s">
        <v>8959</v>
      </c>
      <c r="E22" s="2" t="s">
        <v>8958</v>
      </c>
      <c r="F22" s="4">
        <v>25</v>
      </c>
      <c r="G22" s="14"/>
      <c r="H22" s="9"/>
    </row>
    <row r="23" spans="3:8" x14ac:dyDescent="0.25">
      <c r="C23" s="8"/>
      <c r="D23" s="2" t="s">
        <v>8966</v>
      </c>
      <c r="E23" s="2" t="s">
        <v>8958</v>
      </c>
      <c r="F23" s="4">
        <v>135</v>
      </c>
      <c r="G23" s="14"/>
      <c r="H23" s="9"/>
    </row>
    <row r="24" spans="3:8" x14ac:dyDescent="0.25">
      <c r="C24" s="8"/>
      <c r="D24" s="2" t="s">
        <v>8967</v>
      </c>
      <c r="E24" s="2" t="s">
        <v>8958</v>
      </c>
      <c r="F24" s="4">
        <v>3</v>
      </c>
      <c r="G24" s="14"/>
      <c r="H24" s="9"/>
    </row>
    <row r="25" spans="3:8" x14ac:dyDescent="0.25">
      <c r="C25" s="8"/>
      <c r="D25" s="2" t="s">
        <v>8968</v>
      </c>
      <c r="E25" s="2" t="s">
        <v>8958</v>
      </c>
      <c r="F25" s="4">
        <v>20</v>
      </c>
      <c r="G25" s="14"/>
      <c r="H25" s="9"/>
    </row>
    <row r="26" spans="3:8" x14ac:dyDescent="0.25">
      <c r="C26" s="8"/>
      <c r="D26" s="2" t="s">
        <v>8969</v>
      </c>
      <c r="E26" s="2" t="s">
        <v>8958</v>
      </c>
      <c r="F26" s="4">
        <v>40</v>
      </c>
      <c r="G26" s="14"/>
      <c r="H26" s="9"/>
    </row>
    <row r="27" spans="3:8" x14ac:dyDescent="0.25">
      <c r="C27" s="8"/>
      <c r="D27" s="2" t="s">
        <v>8970</v>
      </c>
      <c r="E27" s="2" t="s">
        <v>8958</v>
      </c>
      <c r="F27" s="4">
        <v>6</v>
      </c>
      <c r="G27" s="14"/>
      <c r="H27" s="9"/>
    </row>
    <row r="28" spans="3:8" x14ac:dyDescent="0.25">
      <c r="C28" s="8"/>
      <c r="D28" s="2" t="s">
        <v>8981</v>
      </c>
      <c r="E28" s="2"/>
      <c r="F28" s="4"/>
      <c r="G28" s="14"/>
      <c r="H28" s="9"/>
    </row>
    <row r="29" spans="3:8" x14ac:dyDescent="0.25">
      <c r="C29" s="8"/>
      <c r="D29" s="2" t="s">
        <v>8909</v>
      </c>
      <c r="E29" s="2" t="s">
        <v>5394</v>
      </c>
      <c r="F29" s="4">
        <v>18</v>
      </c>
      <c r="G29" s="14"/>
      <c r="H29" s="9"/>
    </row>
    <row r="30" spans="3:8" x14ac:dyDescent="0.25">
      <c r="C30" s="8"/>
      <c r="D30" s="2" t="s">
        <v>8910</v>
      </c>
      <c r="E30" s="2" t="s">
        <v>8934</v>
      </c>
      <c r="F30" s="4"/>
      <c r="G30" s="14"/>
      <c r="H30" s="9">
        <v>84</v>
      </c>
    </row>
    <row r="31" spans="3:8" x14ac:dyDescent="0.25">
      <c r="C31" s="8"/>
      <c r="D31" s="2" t="s">
        <v>8911</v>
      </c>
      <c r="E31" s="2" t="s">
        <v>6167</v>
      </c>
      <c r="F31" s="4"/>
      <c r="G31" s="14"/>
      <c r="H31" s="9">
        <v>9</v>
      </c>
    </row>
    <row r="32" spans="3:8" x14ac:dyDescent="0.25">
      <c r="C32" s="8"/>
      <c r="D32" s="2" t="s">
        <v>8912</v>
      </c>
      <c r="E32" s="2" t="s">
        <v>8933</v>
      </c>
      <c r="F32" s="4">
        <v>347.4</v>
      </c>
      <c r="G32" s="14"/>
      <c r="H32" s="9"/>
    </row>
    <row r="33" spans="3:8" x14ac:dyDescent="0.25">
      <c r="C33" s="8"/>
      <c r="D33" s="2" t="s">
        <v>8913</v>
      </c>
      <c r="E33" s="2" t="s">
        <v>5394</v>
      </c>
      <c r="F33" s="4">
        <v>18</v>
      </c>
      <c r="G33" s="14"/>
      <c r="H33" s="9"/>
    </row>
    <row r="34" spans="3:8" x14ac:dyDescent="0.25">
      <c r="C34" s="8"/>
      <c r="D34" s="2" t="s">
        <v>8914</v>
      </c>
      <c r="E34" s="2" t="s">
        <v>5394</v>
      </c>
      <c r="F34" s="4">
        <v>48</v>
      </c>
      <c r="G34" s="14"/>
      <c r="H34" s="9"/>
    </row>
    <row r="35" spans="3:8" x14ac:dyDescent="0.25">
      <c r="C35" s="8"/>
      <c r="D35" s="2" t="s">
        <v>8915</v>
      </c>
      <c r="E35" s="2" t="s">
        <v>5394</v>
      </c>
      <c r="F35" s="4">
        <v>2.5</v>
      </c>
      <c r="G35" s="14"/>
      <c r="H35" s="9"/>
    </row>
    <row r="36" spans="3:8" x14ac:dyDescent="0.25">
      <c r="C36" s="8"/>
      <c r="D36" s="2" t="s">
        <v>8916</v>
      </c>
      <c r="E36" s="2" t="s">
        <v>5394</v>
      </c>
      <c r="F36" s="4">
        <v>11</v>
      </c>
      <c r="G36" s="14"/>
      <c r="H36" s="9"/>
    </row>
    <row r="37" spans="3:8" x14ac:dyDescent="0.25">
      <c r="C37" s="8"/>
      <c r="D37" s="2" t="s">
        <v>8917</v>
      </c>
      <c r="E37" s="2" t="s">
        <v>7396</v>
      </c>
      <c r="F37" s="4"/>
      <c r="G37" s="14"/>
      <c r="H37" s="9">
        <v>550</v>
      </c>
    </row>
    <row r="38" spans="3:8" x14ac:dyDescent="0.25">
      <c r="C38" s="8"/>
      <c r="D38" s="2" t="s">
        <v>8918</v>
      </c>
      <c r="E38" s="2" t="s">
        <v>5394</v>
      </c>
      <c r="F38" s="4">
        <v>48</v>
      </c>
      <c r="G38" s="14"/>
      <c r="H38" s="9"/>
    </row>
    <row r="39" spans="3:8" x14ac:dyDescent="0.25">
      <c r="C39" s="8"/>
      <c r="D39" s="2" t="s">
        <v>8919</v>
      </c>
      <c r="E39" s="2" t="s">
        <v>8932</v>
      </c>
      <c r="F39" s="4">
        <v>143.6</v>
      </c>
      <c r="G39" s="14"/>
      <c r="H39" s="9"/>
    </row>
    <row r="40" spans="3:8" x14ac:dyDescent="0.25">
      <c r="C40" s="8"/>
      <c r="D40" s="2" t="s">
        <v>8920</v>
      </c>
      <c r="E40" s="2" t="s">
        <v>5394</v>
      </c>
      <c r="F40" s="4">
        <v>10</v>
      </c>
      <c r="G40" s="14"/>
      <c r="H40" s="9"/>
    </row>
    <row r="41" spans="3:8" x14ac:dyDescent="0.25">
      <c r="C41" s="8"/>
      <c r="D41" s="2" t="s">
        <v>8921</v>
      </c>
      <c r="E41" s="2" t="s">
        <v>5524</v>
      </c>
      <c r="F41" s="4"/>
      <c r="G41" s="14"/>
      <c r="H41" s="9">
        <v>150</v>
      </c>
    </row>
    <row r="42" spans="3:8" x14ac:dyDescent="0.25">
      <c r="C42" s="8"/>
      <c r="D42" s="2" t="s">
        <v>8922</v>
      </c>
      <c r="E42" s="2" t="s">
        <v>5394</v>
      </c>
      <c r="F42" s="4">
        <v>31.8</v>
      </c>
      <c r="G42" s="14"/>
      <c r="H42" s="9"/>
    </row>
    <row r="43" spans="3:8" x14ac:dyDescent="0.25">
      <c r="C43" s="8"/>
      <c r="D43" s="2" t="s">
        <v>8923</v>
      </c>
      <c r="E43" s="2" t="s">
        <v>5394</v>
      </c>
      <c r="F43" s="4">
        <v>10</v>
      </c>
      <c r="G43" s="14"/>
      <c r="H43" s="9"/>
    </row>
    <row r="44" spans="3:8" x14ac:dyDescent="0.25">
      <c r="C44" s="8"/>
      <c r="D44" s="2" t="s">
        <v>8924</v>
      </c>
      <c r="E44" s="2" t="s">
        <v>5394</v>
      </c>
      <c r="F44" s="4">
        <v>26</v>
      </c>
      <c r="G44" s="14"/>
      <c r="H44" s="9"/>
    </row>
    <row r="45" spans="3:8" x14ac:dyDescent="0.25">
      <c r="C45" s="8"/>
      <c r="D45" s="2" t="s">
        <v>8925</v>
      </c>
      <c r="E45" s="2" t="s">
        <v>5394</v>
      </c>
      <c r="F45" s="4">
        <v>36</v>
      </c>
      <c r="G45" s="14"/>
      <c r="H45" s="9"/>
    </row>
    <row r="46" spans="3:8" x14ac:dyDescent="0.25">
      <c r="C46" s="8"/>
      <c r="D46" s="2" t="s">
        <v>8926</v>
      </c>
      <c r="E46" s="2" t="s">
        <v>5394</v>
      </c>
      <c r="F46" s="4">
        <v>8.5</v>
      </c>
      <c r="G46" s="14"/>
      <c r="H46" s="9"/>
    </row>
    <row r="47" spans="3:8" x14ac:dyDescent="0.25">
      <c r="C47" s="8"/>
      <c r="D47" s="2" t="s">
        <v>8927</v>
      </c>
      <c r="E47" s="2" t="s">
        <v>5394</v>
      </c>
      <c r="F47" s="4">
        <v>3.5</v>
      </c>
      <c r="G47" s="14"/>
      <c r="H47" s="9"/>
    </row>
    <row r="48" spans="3:8" x14ac:dyDescent="0.25">
      <c r="C48" s="8"/>
      <c r="D48" s="2" t="s">
        <v>8928</v>
      </c>
      <c r="E48" s="2" t="s">
        <v>5394</v>
      </c>
      <c r="F48" s="4">
        <v>2.5</v>
      </c>
      <c r="G48" s="14"/>
      <c r="H48" s="9"/>
    </row>
    <row r="49" spans="3:8" x14ac:dyDescent="0.25">
      <c r="C49" s="8"/>
      <c r="D49" s="2" t="s">
        <v>8929</v>
      </c>
      <c r="E49" s="2" t="s">
        <v>8954</v>
      </c>
      <c r="F49" s="4"/>
      <c r="G49" s="14">
        <v>2060</v>
      </c>
      <c r="H49" s="9"/>
    </row>
    <row r="50" spans="3:8" x14ac:dyDescent="0.25">
      <c r="C50" s="8"/>
      <c r="D50" s="2" t="s">
        <v>8930</v>
      </c>
      <c r="E50" s="2" t="s">
        <v>5394</v>
      </c>
      <c r="F50" s="4">
        <v>110</v>
      </c>
      <c r="G50" s="14"/>
      <c r="H50" s="9"/>
    </row>
    <row r="51" spans="3:8" x14ac:dyDescent="0.25">
      <c r="C51" s="8"/>
      <c r="D51" s="2" t="s">
        <v>8931</v>
      </c>
      <c r="E51" s="2" t="s">
        <v>5394</v>
      </c>
      <c r="F51" s="4">
        <v>5</v>
      </c>
      <c r="G51" s="14"/>
      <c r="H51" s="9"/>
    </row>
    <row r="52" spans="3:8" x14ac:dyDescent="0.25">
      <c r="C52" s="8"/>
      <c r="D52" s="2" t="s">
        <v>8939</v>
      </c>
      <c r="E52" s="2" t="s">
        <v>5394</v>
      </c>
      <c r="F52" s="4">
        <v>18</v>
      </c>
      <c r="G52" s="14"/>
      <c r="H52" s="9"/>
    </row>
    <row r="53" spans="3:8" x14ac:dyDescent="0.25">
      <c r="C53" s="8"/>
      <c r="D53" s="2" t="s">
        <v>8940</v>
      </c>
      <c r="E53" s="2" t="s">
        <v>5394</v>
      </c>
      <c r="F53" s="4">
        <v>32.5</v>
      </c>
      <c r="G53" s="14"/>
      <c r="H53" s="9"/>
    </row>
    <row r="54" spans="3:8" x14ac:dyDescent="0.25">
      <c r="C54" s="8"/>
      <c r="D54" s="2" t="s">
        <v>8941</v>
      </c>
      <c r="E54" s="2" t="s">
        <v>8943</v>
      </c>
      <c r="F54" s="4"/>
      <c r="G54" s="14">
        <v>152.30000000000001</v>
      </c>
      <c r="H54" s="9"/>
    </row>
    <row r="55" spans="3:8" x14ac:dyDescent="0.25">
      <c r="C55" s="8"/>
      <c r="D55" s="2" t="s">
        <v>8942</v>
      </c>
      <c r="E55" s="2" t="s">
        <v>5394</v>
      </c>
      <c r="F55" s="4">
        <v>33.5</v>
      </c>
      <c r="G55" s="14"/>
      <c r="H55" s="9"/>
    </row>
    <row r="56" spans="3:8" x14ac:dyDescent="0.25">
      <c r="C56" s="8"/>
      <c r="D56" s="2" t="s">
        <v>8950</v>
      </c>
      <c r="E56" s="2" t="s">
        <v>5394</v>
      </c>
      <c r="F56" s="4">
        <v>5.5</v>
      </c>
      <c r="G56" s="14"/>
      <c r="H56" s="9"/>
    </row>
    <row r="57" spans="3:8" x14ac:dyDescent="0.25">
      <c r="C57" s="8"/>
      <c r="D57" s="2" t="s">
        <v>8951</v>
      </c>
      <c r="E57" s="2" t="s">
        <v>8952</v>
      </c>
      <c r="F57" s="4">
        <v>195</v>
      </c>
      <c r="G57" s="14"/>
      <c r="H57" s="9"/>
    </row>
    <row r="58" spans="3:8" x14ac:dyDescent="0.25">
      <c r="C58" s="8"/>
      <c r="D58" s="2" t="s">
        <v>8953</v>
      </c>
      <c r="E58" s="2" t="s">
        <v>4855</v>
      </c>
      <c r="F58" s="4"/>
      <c r="G58" s="14"/>
      <c r="H58" s="9">
        <v>2379</v>
      </c>
    </row>
    <row r="59" spans="3:8" x14ac:dyDescent="0.25">
      <c r="C59" s="8"/>
      <c r="D59" s="2" t="s">
        <v>8956</v>
      </c>
      <c r="E59" s="2" t="s">
        <v>5394</v>
      </c>
      <c r="F59" s="4">
        <v>1.2</v>
      </c>
      <c r="G59" s="14"/>
      <c r="H59" s="9"/>
    </row>
    <row r="60" spans="3:8" x14ac:dyDescent="0.25">
      <c r="C60" s="8"/>
      <c r="D60" s="2" t="s">
        <v>8971</v>
      </c>
      <c r="E60" s="2" t="s">
        <v>6553</v>
      </c>
      <c r="F60" s="4"/>
      <c r="G60" s="14">
        <v>25</v>
      </c>
      <c r="H60" s="9"/>
    </row>
    <row r="61" spans="3:8" x14ac:dyDescent="0.25">
      <c r="C61" s="8"/>
      <c r="D61" s="2" t="s">
        <v>8972</v>
      </c>
      <c r="E61" s="2" t="s">
        <v>8974</v>
      </c>
      <c r="F61" s="4"/>
      <c r="G61" s="14">
        <v>6440</v>
      </c>
      <c r="H61" s="9"/>
    </row>
    <row r="62" spans="3:8" x14ac:dyDescent="0.25">
      <c r="C62" s="8"/>
      <c r="D62" s="2" t="s">
        <v>8973</v>
      </c>
      <c r="E62" s="2" t="s">
        <v>5394</v>
      </c>
      <c r="F62" s="4">
        <v>4.5</v>
      </c>
      <c r="G62" s="14"/>
      <c r="H62" s="9"/>
    </row>
    <row r="63" spans="3:8" x14ac:dyDescent="0.25">
      <c r="C63" s="8"/>
      <c r="D63" s="2" t="s">
        <v>8998</v>
      </c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29"/>
      <c r="D66" s="30"/>
      <c r="E66" s="30" t="s">
        <v>60</v>
      </c>
      <c r="F66" s="4"/>
      <c r="G66" s="14"/>
      <c r="H66" s="9"/>
    </row>
    <row r="67" spans="3:8" x14ac:dyDescent="0.25">
      <c r="C67" s="8"/>
      <c r="D67" s="2" t="s">
        <v>8893</v>
      </c>
      <c r="E67" s="76" t="s">
        <v>8894</v>
      </c>
      <c r="F67" s="35">
        <v>103.5</v>
      </c>
      <c r="G67" s="14"/>
      <c r="H67" s="9"/>
    </row>
    <row r="68" spans="3:8" x14ac:dyDescent="0.25">
      <c r="C68" s="8"/>
      <c r="D68" s="2" t="s">
        <v>8895</v>
      </c>
      <c r="E68" s="76" t="s">
        <v>8875</v>
      </c>
      <c r="F68" s="35">
        <v>763.5</v>
      </c>
      <c r="G68" s="14"/>
      <c r="H68" s="9"/>
    </row>
    <row r="69" spans="3:8" x14ac:dyDescent="0.25">
      <c r="C69" s="8"/>
      <c r="D69" s="2" t="s">
        <v>8896</v>
      </c>
      <c r="E69" s="76" t="s">
        <v>3335</v>
      </c>
      <c r="F69" s="35">
        <v>10</v>
      </c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2"/>
      <c r="F74" s="4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6"/>
      <c r="D76" s="17"/>
      <c r="E76" s="17" t="s">
        <v>39</v>
      </c>
      <c r="F76" s="4"/>
      <c r="G76" s="14"/>
      <c r="H76" s="9"/>
    </row>
    <row r="77" spans="3:8" ht="15.75" customHeight="1" x14ac:dyDescent="0.25">
      <c r="C77" s="8"/>
      <c r="D77" s="2"/>
      <c r="E77" s="76" t="s">
        <v>8935</v>
      </c>
      <c r="F77" s="35">
        <v>448</v>
      </c>
      <c r="G77" s="14"/>
      <c r="H77" s="9"/>
    </row>
    <row r="78" spans="3:8" ht="15.75" customHeight="1" x14ac:dyDescent="0.25">
      <c r="C78" s="8"/>
      <c r="D78" s="2"/>
      <c r="E78" s="76" t="s">
        <v>8944</v>
      </c>
      <c r="F78" s="35">
        <v>40</v>
      </c>
      <c r="G78" s="14"/>
      <c r="H78" s="9"/>
    </row>
    <row r="79" spans="3:8" x14ac:dyDescent="0.25">
      <c r="C79" s="8"/>
      <c r="D79" s="2"/>
      <c r="E79" s="76" t="s">
        <v>8975</v>
      </c>
      <c r="F79" s="35">
        <v>9.5</v>
      </c>
      <c r="G79" s="14"/>
      <c r="H79" s="9"/>
    </row>
    <row r="80" spans="3:8" x14ac:dyDescent="0.25">
      <c r="C80" s="8"/>
      <c r="D80" s="2"/>
      <c r="E80" s="76" t="s">
        <v>8976</v>
      </c>
      <c r="F80" s="35">
        <v>2824.7</v>
      </c>
      <c r="G80" s="14"/>
      <c r="H80" s="9"/>
    </row>
    <row r="81" spans="3:9" x14ac:dyDescent="0.25">
      <c r="C81" s="8"/>
      <c r="D81" s="2"/>
      <c r="E81" s="76"/>
      <c r="F81" s="35"/>
      <c r="G81" s="14"/>
      <c r="H81" s="9"/>
      <c r="I81" s="36"/>
    </row>
    <row r="82" spans="3:9" x14ac:dyDescent="0.25">
      <c r="C82" s="8"/>
      <c r="D82" s="2"/>
      <c r="E82" s="2"/>
      <c r="F82" s="4"/>
      <c r="G82" s="14"/>
      <c r="H82" s="9"/>
    </row>
    <row r="83" spans="3:9" x14ac:dyDescent="0.25">
      <c r="C83" s="19"/>
      <c r="D83" s="20"/>
      <c r="E83" s="20" t="s">
        <v>42</v>
      </c>
      <c r="F83" s="14"/>
      <c r="G83" s="14"/>
      <c r="H83" s="9"/>
    </row>
    <row r="84" spans="3:9" x14ac:dyDescent="0.25">
      <c r="C84" s="34"/>
      <c r="D84" s="45"/>
      <c r="E84" s="68" t="s">
        <v>8936</v>
      </c>
      <c r="F84" s="14">
        <v>-10</v>
      </c>
      <c r="G84" s="14"/>
      <c r="H84" s="9"/>
    </row>
    <row r="85" spans="3:9" x14ac:dyDescent="0.25">
      <c r="C85" s="34"/>
      <c r="D85" s="45"/>
      <c r="E85" s="68" t="s">
        <v>1156</v>
      </c>
      <c r="F85" s="14">
        <v>-4.5</v>
      </c>
      <c r="G85" s="14"/>
      <c r="H85" s="9"/>
    </row>
    <row r="86" spans="3:9" x14ac:dyDescent="0.25">
      <c r="C86" s="34"/>
      <c r="D86" s="45"/>
      <c r="E86" s="68" t="s">
        <v>8937</v>
      </c>
      <c r="F86" s="14">
        <v>-30</v>
      </c>
      <c r="G86" s="14"/>
      <c r="H86" s="9"/>
    </row>
    <row r="87" spans="3:9" x14ac:dyDescent="0.25">
      <c r="C87" s="34"/>
      <c r="D87" s="45"/>
      <c r="E87" s="68" t="s">
        <v>8945</v>
      </c>
      <c r="F87" s="14">
        <v>-25</v>
      </c>
      <c r="G87" s="14"/>
      <c r="H87" s="9"/>
    </row>
    <row r="88" spans="3:9" x14ac:dyDescent="0.25">
      <c r="C88" s="34"/>
      <c r="D88" s="45"/>
      <c r="E88" s="68" t="s">
        <v>8957</v>
      </c>
      <c r="F88" s="14">
        <v>-100</v>
      </c>
      <c r="G88" s="14"/>
      <c r="H88" s="9"/>
    </row>
    <row r="89" spans="3:9" x14ac:dyDescent="0.25">
      <c r="C89" s="34"/>
      <c r="D89" s="45"/>
      <c r="E89" s="68" t="s">
        <v>1274</v>
      </c>
      <c r="F89" s="14">
        <v>-3978</v>
      </c>
      <c r="G89" s="14"/>
      <c r="H89" s="9"/>
    </row>
    <row r="90" spans="3:9" x14ac:dyDescent="0.25">
      <c r="C90" s="34"/>
      <c r="D90" s="45"/>
      <c r="E90" s="68" t="s">
        <v>8964</v>
      </c>
      <c r="F90" s="14">
        <v>-21271.3</v>
      </c>
      <c r="G90" s="14"/>
      <c r="H90" s="9"/>
    </row>
    <row r="91" spans="3:9" x14ac:dyDescent="0.25">
      <c r="C91" s="34"/>
      <c r="D91" s="45"/>
      <c r="E91" s="68" t="s">
        <v>8965</v>
      </c>
      <c r="F91" s="14">
        <v>-646</v>
      </c>
      <c r="G91" s="14"/>
      <c r="H91" s="9"/>
    </row>
    <row r="92" spans="3:9" x14ac:dyDescent="0.25">
      <c r="C92" s="34"/>
      <c r="D92" s="45"/>
      <c r="E92" s="68"/>
      <c r="F92" s="14"/>
      <c r="G92" s="14"/>
      <c r="H92" s="9"/>
    </row>
    <row r="93" spans="3:9" x14ac:dyDescent="0.25">
      <c r="C93" s="34"/>
      <c r="D93" s="45"/>
      <c r="E93" s="68"/>
      <c r="F93" s="14"/>
      <c r="G93" s="14"/>
      <c r="H93" s="9"/>
    </row>
    <row r="94" spans="3:9" ht="15.75" thickBot="1" x14ac:dyDescent="0.3">
      <c r="C94" s="10"/>
      <c r="D94" s="11"/>
      <c r="E94" s="11" t="s">
        <v>44</v>
      </c>
      <c r="F94" s="12">
        <f>SUM(F6:F93)</f>
        <v>-19197.5</v>
      </c>
      <c r="G94" s="15">
        <f>SUM(G6:G93)</f>
        <v>10007.76</v>
      </c>
      <c r="H94" s="13">
        <f>SUM(H6:H93)</f>
        <v>11375</v>
      </c>
    </row>
    <row r="97" spans="3:6" s="3" customFormat="1" ht="18.75" x14ac:dyDescent="0.3">
      <c r="C97" s="1"/>
      <c r="D97" s="1"/>
      <c r="E97" s="38" t="s">
        <v>49</v>
      </c>
      <c r="F97" s="39">
        <f>+H4+F94</f>
        <v>4507.4500000000007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C4CC-E5FC-45F9-A189-5DC40A494F7B}">
  <sheetPr codeName="Hoja115"/>
  <dimension ref="C2:J86"/>
  <sheetViews>
    <sheetView topLeftCell="A38" zoomScale="89" zoomScaleNormal="89" workbookViewId="0">
      <selection activeCell="F86" sqref="F86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8977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4507.45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8981</v>
      </c>
      <c r="E6" s="2" t="s">
        <v>8997</v>
      </c>
      <c r="F6" s="109">
        <v>427</v>
      </c>
      <c r="G6" s="113"/>
      <c r="H6" s="112"/>
    </row>
    <row r="7" spans="3:10" x14ac:dyDescent="0.25">
      <c r="C7" s="24"/>
      <c r="D7" s="2" t="s">
        <v>8982</v>
      </c>
      <c r="E7" s="2" t="s">
        <v>8996</v>
      </c>
      <c r="F7" s="109"/>
      <c r="G7" s="113">
        <v>3075</v>
      </c>
      <c r="H7" s="112"/>
    </row>
    <row r="8" spans="3:10" x14ac:dyDescent="0.25">
      <c r="C8" s="24"/>
      <c r="D8" s="2" t="s">
        <v>8983</v>
      </c>
      <c r="E8" s="2" t="s">
        <v>6440</v>
      </c>
      <c r="F8" s="109">
        <v>3</v>
      </c>
      <c r="G8" s="113"/>
      <c r="H8" s="112"/>
      <c r="I8" s="36"/>
      <c r="J8" s="36"/>
    </row>
    <row r="9" spans="3:10" x14ac:dyDescent="0.25">
      <c r="C9" s="24"/>
      <c r="D9" s="2" t="s">
        <v>8984</v>
      </c>
      <c r="E9" s="2" t="s">
        <v>6440</v>
      </c>
      <c r="F9" s="109"/>
      <c r="G9" s="113"/>
      <c r="H9" s="112">
        <v>9</v>
      </c>
      <c r="J9" s="36"/>
    </row>
    <row r="10" spans="3:10" x14ac:dyDescent="0.25">
      <c r="C10" s="24"/>
      <c r="D10" s="2" t="s">
        <v>8985</v>
      </c>
      <c r="E10" s="2" t="s">
        <v>6440</v>
      </c>
      <c r="F10" s="109">
        <v>23</v>
      </c>
      <c r="G10" s="113"/>
      <c r="H10" s="112"/>
      <c r="J10" s="36"/>
    </row>
    <row r="11" spans="3:10" x14ac:dyDescent="0.25">
      <c r="C11" s="8"/>
      <c r="D11" s="2" t="s">
        <v>8986</v>
      </c>
      <c r="E11" s="2" t="s">
        <v>6593</v>
      </c>
      <c r="F11" s="4">
        <v>267</v>
      </c>
      <c r="G11" s="14"/>
      <c r="H11" s="9"/>
    </row>
    <row r="12" spans="3:10" x14ac:dyDescent="0.25">
      <c r="C12" s="8"/>
      <c r="D12" s="2" t="s">
        <v>8987</v>
      </c>
      <c r="E12" s="2" t="s">
        <v>6440</v>
      </c>
      <c r="F12" s="4">
        <v>2.5</v>
      </c>
      <c r="G12" s="14"/>
      <c r="H12" s="9"/>
    </row>
    <row r="13" spans="3:10" x14ac:dyDescent="0.25">
      <c r="C13" s="8"/>
      <c r="D13" s="2" t="s">
        <v>8988</v>
      </c>
      <c r="E13" s="2" t="s">
        <v>6440</v>
      </c>
      <c r="F13" s="4"/>
      <c r="G13" s="14"/>
      <c r="H13" s="9">
        <v>129.5</v>
      </c>
    </row>
    <row r="14" spans="3:10" x14ac:dyDescent="0.25">
      <c r="C14" s="8"/>
      <c r="D14" s="2" t="s">
        <v>8989</v>
      </c>
      <c r="E14" s="2" t="s">
        <v>7126</v>
      </c>
      <c r="F14" s="4"/>
      <c r="G14" s="14">
        <v>1814</v>
      </c>
      <c r="H14" s="9"/>
    </row>
    <row r="15" spans="3:10" x14ac:dyDescent="0.25">
      <c r="C15" s="8"/>
      <c r="D15" s="2" t="s">
        <v>8990</v>
      </c>
      <c r="E15" s="2" t="s">
        <v>6440</v>
      </c>
      <c r="F15" s="4">
        <v>122.2</v>
      </c>
      <c r="G15" s="14"/>
      <c r="H15" s="9"/>
    </row>
    <row r="16" spans="3:10" x14ac:dyDescent="0.25">
      <c r="C16" s="8"/>
      <c r="D16" s="2" t="s">
        <v>8991</v>
      </c>
      <c r="E16" s="2" t="s">
        <v>6440</v>
      </c>
      <c r="F16" s="4"/>
      <c r="G16" s="14"/>
      <c r="H16" s="9">
        <v>202.5</v>
      </c>
    </row>
    <row r="17" spans="3:8" x14ac:dyDescent="0.25">
      <c r="C17" s="8"/>
      <c r="D17" s="2" t="s">
        <v>8992</v>
      </c>
      <c r="E17" s="2" t="s">
        <v>6440</v>
      </c>
      <c r="F17" s="4">
        <v>10</v>
      </c>
      <c r="G17" s="14"/>
      <c r="H17" s="9"/>
    </row>
    <row r="18" spans="3:8" x14ac:dyDescent="0.25">
      <c r="C18" s="8"/>
      <c r="D18" s="2" t="s">
        <v>8993</v>
      </c>
      <c r="E18" s="2" t="s">
        <v>6440</v>
      </c>
      <c r="F18" s="4"/>
      <c r="G18" s="14"/>
      <c r="H18" s="9">
        <v>7.5</v>
      </c>
    </row>
    <row r="19" spans="3:8" x14ac:dyDescent="0.25">
      <c r="C19" s="8"/>
      <c r="D19" s="2" t="s">
        <v>8994</v>
      </c>
      <c r="E19" s="2" t="s">
        <v>6440</v>
      </c>
      <c r="F19" s="4">
        <v>2.5</v>
      </c>
      <c r="G19" s="14"/>
      <c r="H19" s="9"/>
    </row>
    <row r="20" spans="3:8" x14ac:dyDescent="0.25">
      <c r="C20" s="8"/>
      <c r="D20" s="2" t="s">
        <v>8995</v>
      </c>
      <c r="E20" s="2" t="s">
        <v>6440</v>
      </c>
      <c r="F20" s="4">
        <v>18</v>
      </c>
      <c r="G20" s="14"/>
      <c r="H20" s="9"/>
    </row>
    <row r="21" spans="3:8" x14ac:dyDescent="0.25">
      <c r="C21" s="8"/>
      <c r="D21" s="2" t="s">
        <v>9012</v>
      </c>
      <c r="E21" s="2" t="s">
        <v>6440</v>
      </c>
      <c r="F21" s="4">
        <v>6</v>
      </c>
      <c r="G21" s="14"/>
      <c r="H21" s="9"/>
    </row>
    <row r="22" spans="3:8" x14ac:dyDescent="0.25">
      <c r="C22" s="8"/>
      <c r="D22" s="2" t="s">
        <v>9013</v>
      </c>
      <c r="E22" s="2" t="s">
        <v>6440</v>
      </c>
      <c r="F22" s="4">
        <v>2.5</v>
      </c>
      <c r="G22" s="14"/>
      <c r="H22" s="9"/>
    </row>
    <row r="23" spans="3:8" x14ac:dyDescent="0.25">
      <c r="C23" s="8"/>
      <c r="D23" s="2" t="s">
        <v>9014</v>
      </c>
      <c r="E23" s="2" t="s">
        <v>6440</v>
      </c>
      <c r="F23" s="4">
        <v>11</v>
      </c>
      <c r="G23" s="14"/>
      <c r="H23" s="9"/>
    </row>
    <row r="24" spans="3:8" x14ac:dyDescent="0.25">
      <c r="C24" s="8"/>
      <c r="D24" s="2" t="s">
        <v>9015</v>
      </c>
      <c r="E24" s="2" t="s">
        <v>6440</v>
      </c>
      <c r="F24" s="4">
        <v>9</v>
      </c>
      <c r="G24" s="14"/>
      <c r="H24" s="9"/>
    </row>
    <row r="25" spans="3:8" x14ac:dyDescent="0.25">
      <c r="C25" s="8"/>
      <c r="D25" s="2" t="s">
        <v>9016</v>
      </c>
      <c r="E25" s="2" t="s">
        <v>7126</v>
      </c>
      <c r="F25" s="4"/>
      <c r="G25" s="14">
        <v>617</v>
      </c>
      <c r="H25" s="9"/>
    </row>
    <row r="26" spans="3:8" x14ac:dyDescent="0.25">
      <c r="C26" s="8"/>
      <c r="D26" s="2" t="s">
        <v>9017</v>
      </c>
      <c r="E26" s="2" t="s">
        <v>6661</v>
      </c>
      <c r="F26" s="4"/>
      <c r="G26" s="14"/>
      <c r="H26" s="9">
        <v>170</v>
      </c>
    </row>
    <row r="27" spans="3:8" x14ac:dyDescent="0.25">
      <c r="C27" s="8"/>
      <c r="D27" s="2" t="s">
        <v>9018</v>
      </c>
      <c r="E27" s="2" t="s">
        <v>6610</v>
      </c>
      <c r="F27" s="4"/>
      <c r="G27" s="14"/>
      <c r="H27" s="9">
        <v>280</v>
      </c>
    </row>
    <row r="28" spans="3:8" x14ac:dyDescent="0.25">
      <c r="C28" s="8"/>
      <c r="D28" s="2" t="s">
        <v>9019</v>
      </c>
      <c r="E28" s="2" t="s">
        <v>4666</v>
      </c>
      <c r="F28" s="4"/>
      <c r="G28" s="14"/>
      <c r="H28" s="9">
        <v>350</v>
      </c>
    </row>
    <row r="29" spans="3:8" x14ac:dyDescent="0.25">
      <c r="C29" s="8"/>
      <c r="D29" s="2" t="s">
        <v>9045</v>
      </c>
      <c r="E29" s="2"/>
      <c r="F29" s="4"/>
      <c r="G29" s="14"/>
      <c r="H29" s="9"/>
    </row>
    <row r="30" spans="3:8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 t="s">
        <v>8998</v>
      </c>
      <c r="E32" s="2" t="s">
        <v>48</v>
      </c>
      <c r="F32" s="4">
        <v>21</v>
      </c>
      <c r="G32" s="14"/>
      <c r="H32" s="9"/>
    </row>
    <row r="33" spans="3:8" x14ac:dyDescent="0.25">
      <c r="C33" s="8"/>
      <c r="D33" s="2" t="s">
        <v>8999</v>
      </c>
      <c r="E33" s="2" t="s">
        <v>6396</v>
      </c>
      <c r="F33" s="4"/>
      <c r="G33" s="14">
        <v>699.5</v>
      </c>
      <c r="H33" s="9"/>
    </row>
    <row r="34" spans="3:8" x14ac:dyDescent="0.25">
      <c r="C34" s="8"/>
      <c r="D34" s="2" t="s">
        <v>9000</v>
      </c>
      <c r="E34" s="2" t="s">
        <v>6091</v>
      </c>
      <c r="F34" s="4"/>
      <c r="G34" s="14">
        <v>31.5</v>
      </c>
      <c r="H34" s="9"/>
    </row>
    <row r="35" spans="3:8" x14ac:dyDescent="0.25">
      <c r="C35" s="8"/>
      <c r="D35" s="2" t="s">
        <v>9001</v>
      </c>
      <c r="E35" s="2" t="s">
        <v>9010</v>
      </c>
      <c r="F35" s="4">
        <v>190</v>
      </c>
      <c r="G35" s="14"/>
      <c r="H35" s="9"/>
    </row>
    <row r="36" spans="3:8" x14ac:dyDescent="0.25">
      <c r="C36" s="8"/>
      <c r="D36" s="2" t="s">
        <v>9002</v>
      </c>
      <c r="E36" s="2" t="s">
        <v>48</v>
      </c>
      <c r="F36" s="4"/>
      <c r="G36" s="14"/>
      <c r="H36" s="9">
        <v>9</v>
      </c>
    </row>
    <row r="37" spans="3:8" x14ac:dyDescent="0.25">
      <c r="C37" s="8"/>
      <c r="D37" s="2" t="s">
        <v>9003</v>
      </c>
      <c r="E37" s="2" t="s">
        <v>48</v>
      </c>
      <c r="F37" s="4">
        <v>30</v>
      </c>
      <c r="G37" s="14"/>
      <c r="H37" s="9"/>
    </row>
    <row r="38" spans="3:8" x14ac:dyDescent="0.25">
      <c r="C38" s="8"/>
      <c r="D38" s="2" t="s">
        <v>9004</v>
      </c>
      <c r="E38" s="2" t="s">
        <v>48</v>
      </c>
      <c r="F38" s="4">
        <v>66</v>
      </c>
      <c r="G38" s="14"/>
      <c r="H38" s="9"/>
    </row>
    <row r="39" spans="3:8" x14ac:dyDescent="0.25">
      <c r="C39" s="8"/>
      <c r="D39" s="2" t="s">
        <v>9005</v>
      </c>
      <c r="E39" s="2" t="s">
        <v>9009</v>
      </c>
      <c r="F39" s="4">
        <v>973.7</v>
      </c>
      <c r="G39" s="14"/>
      <c r="H39" s="9"/>
    </row>
    <row r="40" spans="3:8" x14ac:dyDescent="0.25">
      <c r="C40" s="8"/>
      <c r="D40" s="2" t="s">
        <v>9006</v>
      </c>
      <c r="E40" s="2" t="s">
        <v>9008</v>
      </c>
      <c r="F40" s="4"/>
      <c r="G40" s="14"/>
      <c r="H40" s="9">
        <v>2199.5</v>
      </c>
    </row>
    <row r="41" spans="3:8" x14ac:dyDescent="0.25">
      <c r="C41" s="8"/>
      <c r="D41" s="2" t="s">
        <v>9007</v>
      </c>
      <c r="E41" s="2" t="s">
        <v>48</v>
      </c>
      <c r="F41" s="4">
        <v>5</v>
      </c>
      <c r="G41" s="14"/>
      <c r="H41" s="9"/>
    </row>
    <row r="42" spans="3:8" x14ac:dyDescent="0.25">
      <c r="C42" s="8"/>
      <c r="D42" s="2" t="s">
        <v>9022</v>
      </c>
      <c r="E42" s="2" t="s">
        <v>48</v>
      </c>
      <c r="F42" s="4">
        <v>3</v>
      </c>
      <c r="G42" s="14"/>
      <c r="H42" s="9"/>
    </row>
    <row r="43" spans="3:8" x14ac:dyDescent="0.25">
      <c r="C43" s="8"/>
      <c r="D43" s="2" t="s">
        <v>9023</v>
      </c>
      <c r="E43" s="2" t="s">
        <v>9027</v>
      </c>
      <c r="F43" s="4"/>
      <c r="G43" s="14"/>
      <c r="H43" s="9">
        <v>7357.7</v>
      </c>
    </row>
    <row r="44" spans="3:8" x14ac:dyDescent="0.25">
      <c r="C44" s="8"/>
      <c r="D44" s="2" t="s">
        <v>9024</v>
      </c>
      <c r="E44" s="2" t="s">
        <v>48</v>
      </c>
      <c r="F44" s="4">
        <v>23</v>
      </c>
      <c r="G44" s="14"/>
      <c r="H44" s="9"/>
    </row>
    <row r="45" spans="3:8" x14ac:dyDescent="0.25">
      <c r="C45" s="8"/>
      <c r="D45" s="2" t="s">
        <v>9025</v>
      </c>
      <c r="E45" s="2" t="s">
        <v>5951</v>
      </c>
      <c r="F45" s="4"/>
      <c r="G45" s="14"/>
      <c r="H45" s="9">
        <v>1228</v>
      </c>
    </row>
    <row r="46" spans="3:8" x14ac:dyDescent="0.25">
      <c r="C46" s="8"/>
      <c r="D46" s="2" t="s">
        <v>9026</v>
      </c>
      <c r="E46" s="2" t="s">
        <v>723</v>
      </c>
      <c r="F46" s="4">
        <v>97</v>
      </c>
      <c r="G46" s="14"/>
      <c r="H46" s="9"/>
    </row>
    <row r="47" spans="3:8" x14ac:dyDescent="0.25">
      <c r="C47" s="8"/>
      <c r="D47" s="2" t="s">
        <v>9029</v>
      </c>
      <c r="E47" s="2" t="s">
        <v>48</v>
      </c>
      <c r="F47" s="4">
        <v>2</v>
      </c>
      <c r="G47" s="14"/>
      <c r="H47" s="9"/>
    </row>
    <row r="48" spans="3:8" x14ac:dyDescent="0.25">
      <c r="C48" s="8"/>
      <c r="D48" s="2" t="s">
        <v>9030</v>
      </c>
      <c r="E48" s="2" t="s">
        <v>9032</v>
      </c>
      <c r="F48" s="4"/>
      <c r="G48" s="14"/>
      <c r="H48" s="9">
        <v>175</v>
      </c>
    </row>
    <row r="49" spans="3:8" x14ac:dyDescent="0.25">
      <c r="C49" s="8"/>
      <c r="D49" s="2" t="s">
        <v>9031</v>
      </c>
      <c r="E49" s="2" t="s">
        <v>48</v>
      </c>
      <c r="F49" s="4">
        <v>50</v>
      </c>
      <c r="G49" s="14"/>
      <c r="H49" s="9"/>
    </row>
    <row r="50" spans="3:8" x14ac:dyDescent="0.25">
      <c r="C50" s="8"/>
      <c r="D50" s="2" t="s">
        <v>9055</v>
      </c>
      <c r="E50" s="2" t="s">
        <v>6393</v>
      </c>
      <c r="F50" s="4"/>
      <c r="G50" s="14"/>
      <c r="H50" s="9">
        <v>1260</v>
      </c>
    </row>
    <row r="51" spans="3:8" x14ac:dyDescent="0.25">
      <c r="C51" s="8"/>
      <c r="D51" s="2" t="s">
        <v>9056</v>
      </c>
      <c r="E51" s="2"/>
      <c r="F51" s="4"/>
      <c r="G51" s="14"/>
      <c r="H51" s="9"/>
    </row>
    <row r="52" spans="3:8" x14ac:dyDescent="0.25">
      <c r="C52" s="8"/>
      <c r="D52" s="2"/>
      <c r="E52" s="2"/>
      <c r="F52" s="4"/>
      <c r="G52" s="14"/>
      <c r="H52" s="9"/>
    </row>
    <row r="53" spans="3:8" x14ac:dyDescent="0.25">
      <c r="C53" s="29"/>
      <c r="D53" s="30"/>
      <c r="E53" s="30" t="s">
        <v>60</v>
      </c>
      <c r="F53" s="4"/>
      <c r="G53" s="14"/>
      <c r="H53" s="9"/>
    </row>
    <row r="54" spans="3:8" x14ac:dyDescent="0.25">
      <c r="C54" s="8"/>
      <c r="D54" s="2" t="s">
        <v>8979</v>
      </c>
      <c r="E54" s="76" t="s">
        <v>8978</v>
      </c>
      <c r="F54" s="35">
        <v>318</v>
      </c>
      <c r="G54" s="14"/>
      <c r="H54" s="9"/>
    </row>
    <row r="55" spans="3:8" x14ac:dyDescent="0.25">
      <c r="C55" s="8"/>
      <c r="D55" s="2" t="s">
        <v>8980</v>
      </c>
      <c r="E55" s="76" t="s">
        <v>8875</v>
      </c>
      <c r="F55" s="35">
        <v>32</v>
      </c>
      <c r="G55" s="14"/>
      <c r="H55" s="9"/>
    </row>
    <row r="56" spans="3:8" x14ac:dyDescent="0.25">
      <c r="C56" s="8"/>
      <c r="D56" s="2" t="s">
        <v>9034</v>
      </c>
      <c r="E56" s="76" t="s">
        <v>1075</v>
      </c>
      <c r="F56" s="35"/>
      <c r="G56" s="14"/>
      <c r="H56" s="9">
        <v>660</v>
      </c>
    </row>
    <row r="57" spans="3:8" x14ac:dyDescent="0.25">
      <c r="C57" s="8"/>
      <c r="D57" s="2"/>
      <c r="E57" s="76"/>
      <c r="F57" s="35"/>
      <c r="G57" s="14"/>
      <c r="H57" s="9"/>
    </row>
    <row r="58" spans="3:8" x14ac:dyDescent="0.25">
      <c r="C58" s="8"/>
      <c r="D58" s="2"/>
      <c r="E58" s="76"/>
      <c r="F58" s="35"/>
      <c r="G58" s="14"/>
      <c r="H58" s="9"/>
    </row>
    <row r="59" spans="3:8" x14ac:dyDescent="0.25">
      <c r="C59" s="8"/>
      <c r="D59" s="2"/>
      <c r="E59" s="76"/>
      <c r="F59" s="35"/>
      <c r="G59" s="14"/>
      <c r="H59" s="9"/>
    </row>
    <row r="60" spans="3:8" x14ac:dyDescent="0.25">
      <c r="C60" s="8"/>
      <c r="D60" s="2"/>
      <c r="E60" s="76"/>
      <c r="F60" s="35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16"/>
      <c r="D63" s="17"/>
      <c r="E63" s="17" t="s">
        <v>39</v>
      </c>
      <c r="F63" s="4"/>
      <c r="G63" s="14"/>
      <c r="H63" s="9"/>
    </row>
    <row r="64" spans="3:8" ht="15.75" customHeight="1" x14ac:dyDescent="0.25">
      <c r="C64" s="8"/>
      <c r="D64" s="2"/>
      <c r="E64" s="68" t="s">
        <v>9011</v>
      </c>
      <c r="F64" s="35">
        <v>1054</v>
      </c>
      <c r="G64" s="14"/>
      <c r="H64" s="9"/>
    </row>
    <row r="65" spans="3:9" ht="15.75" customHeight="1" x14ac:dyDescent="0.25">
      <c r="C65" s="8"/>
      <c r="D65" s="2"/>
      <c r="E65" s="68" t="s">
        <v>9020</v>
      </c>
      <c r="F65" s="35">
        <v>2743</v>
      </c>
      <c r="G65" s="14"/>
      <c r="H65" s="9"/>
    </row>
    <row r="66" spans="3:9" x14ac:dyDescent="0.25">
      <c r="C66" s="8"/>
      <c r="D66" s="2"/>
      <c r="E66" s="76" t="s">
        <v>9021</v>
      </c>
      <c r="F66" s="35">
        <v>2257</v>
      </c>
      <c r="G66" s="14"/>
      <c r="H66" s="9"/>
    </row>
    <row r="67" spans="3:9" x14ac:dyDescent="0.25">
      <c r="C67" s="8"/>
      <c r="D67" s="2"/>
      <c r="E67" s="76" t="s">
        <v>9036</v>
      </c>
      <c r="F67" s="35">
        <v>60</v>
      </c>
      <c r="G67" s="14"/>
      <c r="H67" s="9"/>
    </row>
    <row r="68" spans="3:9" x14ac:dyDescent="0.25">
      <c r="C68" s="8"/>
      <c r="D68" s="2"/>
      <c r="E68" s="76" t="s">
        <v>402</v>
      </c>
      <c r="F68" s="35">
        <v>17</v>
      </c>
      <c r="G68" s="14"/>
      <c r="H68" s="9"/>
      <c r="I68" s="36"/>
    </row>
    <row r="69" spans="3:9" x14ac:dyDescent="0.25">
      <c r="C69" s="8"/>
      <c r="D69" s="2"/>
      <c r="E69" s="76" t="s">
        <v>9038</v>
      </c>
      <c r="F69" s="35">
        <v>6032.2</v>
      </c>
      <c r="G69" s="14"/>
      <c r="H69" s="9"/>
      <c r="I69" s="36"/>
    </row>
    <row r="70" spans="3:9" x14ac:dyDescent="0.25">
      <c r="C70" s="8"/>
      <c r="D70" s="2"/>
      <c r="E70" s="76"/>
      <c r="F70" s="35"/>
      <c r="G70" s="14"/>
      <c r="H70" s="9"/>
      <c r="I70" s="36"/>
    </row>
    <row r="71" spans="3:9" x14ac:dyDescent="0.25">
      <c r="C71" s="8"/>
      <c r="D71" s="2"/>
      <c r="E71" s="76"/>
      <c r="F71" s="35"/>
      <c r="G71" s="14"/>
      <c r="H71" s="9"/>
      <c r="I71" s="36"/>
    </row>
    <row r="72" spans="3:9" x14ac:dyDescent="0.25">
      <c r="C72" s="8"/>
      <c r="D72" s="2"/>
      <c r="E72" s="2"/>
      <c r="F72" s="4"/>
      <c r="G72" s="14"/>
      <c r="H72" s="9"/>
    </row>
    <row r="73" spans="3:9" x14ac:dyDescent="0.25">
      <c r="C73" s="19"/>
      <c r="D73" s="20"/>
      <c r="E73" s="20" t="s">
        <v>42</v>
      </c>
      <c r="F73" s="14"/>
      <c r="G73" s="14"/>
      <c r="H73" s="9"/>
    </row>
    <row r="74" spans="3:9" x14ac:dyDescent="0.25">
      <c r="C74" s="34"/>
      <c r="D74" s="45"/>
      <c r="E74" s="68" t="s">
        <v>1942</v>
      </c>
      <c r="F74" s="14">
        <v>-43</v>
      </c>
      <c r="G74" s="14"/>
      <c r="H74" s="9"/>
    </row>
    <row r="75" spans="3:9" x14ac:dyDescent="0.25">
      <c r="C75" s="34"/>
      <c r="D75" s="45"/>
      <c r="E75" s="68" t="s">
        <v>9028</v>
      </c>
      <c r="F75" s="14">
        <v>-11500</v>
      </c>
      <c r="G75" s="14"/>
      <c r="H75" s="9"/>
    </row>
    <row r="76" spans="3:9" x14ac:dyDescent="0.25">
      <c r="C76" s="34"/>
      <c r="D76" s="45"/>
      <c r="E76" s="68" t="s">
        <v>9033</v>
      </c>
      <c r="F76" s="14">
        <v>-130</v>
      </c>
      <c r="G76" s="14"/>
      <c r="H76" s="9"/>
    </row>
    <row r="77" spans="3:9" x14ac:dyDescent="0.25">
      <c r="C77" s="34"/>
      <c r="D77" s="45"/>
      <c r="E77" s="68" t="s">
        <v>9035</v>
      </c>
      <c r="F77" s="14">
        <v>-440</v>
      </c>
      <c r="G77" s="14"/>
      <c r="H77" s="9"/>
    </row>
    <row r="78" spans="3:9" x14ac:dyDescent="0.25">
      <c r="C78" s="34"/>
      <c r="D78" s="45"/>
      <c r="E78" s="68" t="s">
        <v>9037</v>
      </c>
      <c r="F78" s="14">
        <v>-32.200000000000003</v>
      </c>
      <c r="G78" s="14"/>
      <c r="H78" s="9"/>
    </row>
    <row r="79" spans="3:9" x14ac:dyDescent="0.25">
      <c r="C79" s="34"/>
      <c r="D79" s="45"/>
      <c r="E79" s="68" t="s">
        <v>1274</v>
      </c>
      <c r="F79" s="14">
        <v>-1190.7</v>
      </c>
      <c r="G79" s="14"/>
      <c r="H79" s="9"/>
    </row>
    <row r="80" spans="3:9" x14ac:dyDescent="0.25">
      <c r="C80" s="34"/>
      <c r="D80" s="45"/>
      <c r="E80" s="68" t="s">
        <v>9039</v>
      </c>
      <c r="F80" s="14">
        <v>-65</v>
      </c>
      <c r="G80" s="14"/>
      <c r="H80" s="9"/>
    </row>
    <row r="81" spans="3:8" x14ac:dyDescent="0.25">
      <c r="C81" s="34"/>
      <c r="D81" s="45"/>
      <c r="E81" s="68"/>
      <c r="F81" s="14"/>
      <c r="G81" s="14"/>
      <c r="H81" s="9"/>
    </row>
    <row r="82" spans="3:8" x14ac:dyDescent="0.25">
      <c r="C82" s="34"/>
      <c r="D82" s="45"/>
      <c r="E82" s="68"/>
      <c r="F82" s="14"/>
      <c r="G82" s="14"/>
      <c r="H82" s="9"/>
    </row>
    <row r="83" spans="3:8" ht="15.75" thickBot="1" x14ac:dyDescent="0.3">
      <c r="C83" s="10"/>
      <c r="D83" s="11"/>
      <c r="E83" s="11" t="s">
        <v>44</v>
      </c>
      <c r="F83" s="12">
        <f>SUM(F6:F82)</f>
        <v>1476.6999999999987</v>
      </c>
      <c r="G83" s="15">
        <f>SUM(G6:G82)</f>
        <v>6237</v>
      </c>
      <c r="H83" s="13">
        <f>SUM(H6:H82)</f>
        <v>14037.7</v>
      </c>
    </row>
    <row r="86" spans="3:8" s="3" customFormat="1" ht="18.75" x14ac:dyDescent="0.3">
      <c r="C86" s="1"/>
      <c r="D86" s="1"/>
      <c r="E86" s="38" t="s">
        <v>49</v>
      </c>
      <c r="F86" s="39">
        <f>+H4+F83</f>
        <v>5984.1499999999987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079F-9D7D-4FCC-B0DA-E74083279A28}">
  <sheetPr codeName="Hoja116"/>
  <dimension ref="C2:J98"/>
  <sheetViews>
    <sheetView topLeftCell="A57" zoomScale="89" zoomScaleNormal="89" workbookViewId="0">
      <selection activeCell="F98" sqref="F98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9040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5984.15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9045</v>
      </c>
      <c r="E6" s="2" t="s">
        <v>12</v>
      </c>
      <c r="F6" s="109">
        <v>10</v>
      </c>
      <c r="G6" s="113"/>
      <c r="H6" s="112"/>
    </row>
    <row r="7" spans="3:10" x14ac:dyDescent="0.25">
      <c r="C7" s="24"/>
      <c r="D7" s="2" t="s">
        <v>9046</v>
      </c>
      <c r="E7" s="2" t="s">
        <v>6359</v>
      </c>
      <c r="F7" s="109">
        <v>35</v>
      </c>
      <c r="G7" s="113"/>
      <c r="H7" s="112"/>
      <c r="I7" s="36"/>
      <c r="J7" s="36"/>
    </row>
    <row r="8" spans="3:10" x14ac:dyDescent="0.25">
      <c r="C8" s="24"/>
      <c r="D8" s="2" t="s">
        <v>9047</v>
      </c>
      <c r="E8" s="2" t="s">
        <v>12</v>
      </c>
      <c r="F8" s="109">
        <v>57</v>
      </c>
      <c r="G8" s="113"/>
      <c r="H8" s="112"/>
      <c r="J8" s="36"/>
    </row>
    <row r="9" spans="3:10" x14ac:dyDescent="0.25">
      <c r="C9" s="24"/>
      <c r="D9" s="2" t="s">
        <v>9048</v>
      </c>
      <c r="E9" s="2" t="s">
        <v>12</v>
      </c>
      <c r="F9" s="109">
        <v>4</v>
      </c>
      <c r="G9" s="113"/>
      <c r="H9" s="112"/>
      <c r="J9" s="36"/>
    </row>
    <row r="10" spans="3:10" x14ac:dyDescent="0.25">
      <c r="C10" s="8"/>
      <c r="D10" s="2" t="s">
        <v>9049</v>
      </c>
      <c r="E10" s="2" t="s">
        <v>12</v>
      </c>
      <c r="F10" s="4">
        <v>18</v>
      </c>
      <c r="G10" s="14"/>
      <c r="H10" s="9"/>
    </row>
    <row r="11" spans="3:10" x14ac:dyDescent="0.25">
      <c r="C11" s="8"/>
      <c r="D11" s="2" t="s">
        <v>9050</v>
      </c>
      <c r="E11" s="2" t="s">
        <v>12</v>
      </c>
      <c r="F11" s="4">
        <v>14</v>
      </c>
      <c r="G11" s="14"/>
      <c r="H11" s="9"/>
    </row>
    <row r="12" spans="3:10" x14ac:dyDescent="0.25">
      <c r="C12" s="8"/>
      <c r="D12" s="2" t="s">
        <v>9051</v>
      </c>
      <c r="E12" s="2" t="s">
        <v>12</v>
      </c>
      <c r="F12" s="4"/>
      <c r="G12" s="14"/>
      <c r="H12" s="9">
        <v>21</v>
      </c>
    </row>
    <row r="13" spans="3:10" x14ac:dyDescent="0.25">
      <c r="C13" s="8"/>
      <c r="D13" s="2" t="s">
        <v>9052</v>
      </c>
      <c r="E13" s="2" t="s">
        <v>12</v>
      </c>
      <c r="F13" s="4"/>
      <c r="G13" s="14"/>
      <c r="H13" s="9">
        <v>194.5</v>
      </c>
    </row>
    <row r="14" spans="3:10" x14ac:dyDescent="0.25">
      <c r="C14" s="8"/>
      <c r="D14" s="2" t="s">
        <v>9053</v>
      </c>
      <c r="E14" s="2" t="s">
        <v>12</v>
      </c>
      <c r="F14" s="4"/>
      <c r="G14" s="14"/>
      <c r="H14" s="9">
        <v>28</v>
      </c>
    </row>
    <row r="15" spans="3:10" x14ac:dyDescent="0.25">
      <c r="C15" s="8"/>
      <c r="D15" s="2" t="s">
        <v>9054</v>
      </c>
      <c r="E15" s="2" t="s">
        <v>12</v>
      </c>
      <c r="F15" s="4">
        <v>11</v>
      </c>
      <c r="G15" s="14"/>
      <c r="H15" s="9"/>
    </row>
    <row r="16" spans="3:10" x14ac:dyDescent="0.25">
      <c r="C16" s="8"/>
      <c r="D16" s="2" t="s">
        <v>9069</v>
      </c>
      <c r="E16" s="2" t="s">
        <v>9072</v>
      </c>
      <c r="F16" s="4"/>
      <c r="G16" s="14"/>
      <c r="H16" s="9">
        <v>2938</v>
      </c>
    </row>
    <row r="17" spans="3:8" x14ac:dyDescent="0.25">
      <c r="C17" s="8"/>
      <c r="D17" s="2" t="s">
        <v>9070</v>
      </c>
      <c r="E17" s="2" t="s">
        <v>12</v>
      </c>
      <c r="F17" s="4"/>
      <c r="G17" s="14"/>
      <c r="H17" s="9">
        <v>68.5</v>
      </c>
    </row>
    <row r="18" spans="3:8" x14ac:dyDescent="0.25">
      <c r="C18" s="8"/>
      <c r="D18" s="2" t="s">
        <v>9071</v>
      </c>
      <c r="E18" s="2" t="s">
        <v>6751</v>
      </c>
      <c r="F18" s="4"/>
      <c r="G18" s="14"/>
      <c r="H18" s="9">
        <v>160</v>
      </c>
    </row>
    <row r="19" spans="3:8" x14ac:dyDescent="0.25">
      <c r="C19" s="8"/>
      <c r="D19" s="2" t="s">
        <v>9078</v>
      </c>
      <c r="E19" s="2" t="s">
        <v>6166</v>
      </c>
      <c r="F19" s="4"/>
      <c r="G19" s="14"/>
      <c r="H19" s="9">
        <v>869</v>
      </c>
    </row>
    <row r="20" spans="3:8" x14ac:dyDescent="0.25">
      <c r="C20" s="8"/>
      <c r="D20" s="2" t="s">
        <v>9079</v>
      </c>
      <c r="E20" s="2" t="s">
        <v>6275</v>
      </c>
      <c r="F20" s="4"/>
      <c r="G20" s="14">
        <v>234</v>
      </c>
      <c r="H20" s="9"/>
    </row>
    <row r="21" spans="3:8" x14ac:dyDescent="0.25">
      <c r="C21" s="8"/>
      <c r="D21" s="2" t="s">
        <v>9080</v>
      </c>
      <c r="E21" s="2" t="s">
        <v>5918</v>
      </c>
      <c r="F21" s="4">
        <v>34</v>
      </c>
      <c r="G21" s="14"/>
      <c r="H21" s="9"/>
    </row>
    <row r="22" spans="3:8" x14ac:dyDescent="0.25">
      <c r="C22" s="8"/>
      <c r="D22" s="2" t="s">
        <v>9081</v>
      </c>
      <c r="E22" s="2" t="s">
        <v>5918</v>
      </c>
      <c r="F22" s="4"/>
      <c r="G22" s="14"/>
      <c r="H22" s="9">
        <v>91.5</v>
      </c>
    </row>
    <row r="23" spans="3:8" x14ac:dyDescent="0.25">
      <c r="C23" s="8"/>
      <c r="D23" s="2" t="s">
        <v>9082</v>
      </c>
      <c r="E23" s="2" t="s">
        <v>5918</v>
      </c>
      <c r="F23" s="4">
        <v>23.5</v>
      </c>
      <c r="G23" s="14"/>
      <c r="H23" s="9"/>
    </row>
    <row r="24" spans="3:8" x14ac:dyDescent="0.25">
      <c r="C24" s="8"/>
      <c r="D24" s="2" t="s">
        <v>9083</v>
      </c>
      <c r="E24" s="2" t="s">
        <v>9094</v>
      </c>
      <c r="F24" s="4">
        <v>355</v>
      </c>
      <c r="G24" s="14"/>
      <c r="H24" s="9"/>
    </row>
    <row r="25" spans="3:8" x14ac:dyDescent="0.25">
      <c r="C25" s="8"/>
      <c r="D25" s="2" t="s">
        <v>9084</v>
      </c>
      <c r="E25" s="2" t="s">
        <v>6593</v>
      </c>
      <c r="F25" s="4"/>
      <c r="G25" s="14">
        <v>192</v>
      </c>
      <c r="H25" s="9"/>
    </row>
    <row r="26" spans="3:8" x14ac:dyDescent="0.25">
      <c r="C26" s="8"/>
      <c r="D26" s="2" t="s">
        <v>9085</v>
      </c>
      <c r="E26" s="2" t="s">
        <v>5918</v>
      </c>
      <c r="F26" s="4">
        <v>49</v>
      </c>
      <c r="G26" s="14"/>
      <c r="H26" s="9"/>
    </row>
    <row r="27" spans="3:8" x14ac:dyDescent="0.25">
      <c r="C27" s="8"/>
      <c r="D27" s="2" t="s">
        <v>9086</v>
      </c>
      <c r="E27" s="2" t="s">
        <v>5918</v>
      </c>
      <c r="F27" s="4">
        <v>49</v>
      </c>
      <c r="G27" s="14"/>
      <c r="H27" s="9"/>
    </row>
    <row r="28" spans="3:8" x14ac:dyDescent="0.25">
      <c r="C28" s="8"/>
      <c r="D28" s="2" t="s">
        <v>9087</v>
      </c>
      <c r="E28" s="2" t="s">
        <v>5918</v>
      </c>
      <c r="F28" s="4">
        <v>1</v>
      </c>
      <c r="G28" s="14"/>
      <c r="H28" s="9"/>
    </row>
    <row r="29" spans="3:8" x14ac:dyDescent="0.25">
      <c r="C29" s="8"/>
      <c r="D29" s="2" t="s">
        <v>9088</v>
      </c>
      <c r="E29" s="2" t="s">
        <v>5918</v>
      </c>
      <c r="F29" s="4">
        <v>169</v>
      </c>
      <c r="G29" s="14"/>
      <c r="H29" s="9"/>
    </row>
    <row r="30" spans="3:8" x14ac:dyDescent="0.25">
      <c r="C30" s="8"/>
      <c r="D30" s="2" t="s">
        <v>9089</v>
      </c>
      <c r="E30" s="2" t="s">
        <v>5918</v>
      </c>
      <c r="F30" s="4">
        <v>219.5</v>
      </c>
      <c r="G30" s="14"/>
      <c r="H30" s="9"/>
    </row>
    <row r="31" spans="3:8" x14ac:dyDescent="0.25">
      <c r="C31" s="8"/>
      <c r="D31" s="2" t="s">
        <v>9090</v>
      </c>
      <c r="E31" s="2" t="s">
        <v>5918</v>
      </c>
      <c r="F31" s="4">
        <v>3.5</v>
      </c>
      <c r="G31" s="14"/>
      <c r="H31" s="9"/>
    </row>
    <row r="32" spans="3:8" x14ac:dyDescent="0.25">
      <c r="C32" s="8"/>
      <c r="D32" s="2" t="s">
        <v>9091</v>
      </c>
      <c r="E32" s="2" t="s">
        <v>9093</v>
      </c>
      <c r="F32" s="4">
        <v>350</v>
      </c>
      <c r="G32" s="14"/>
      <c r="H32" s="9"/>
    </row>
    <row r="33" spans="3:8" x14ac:dyDescent="0.25">
      <c r="C33" s="8"/>
      <c r="D33" s="2" t="s">
        <v>9092</v>
      </c>
      <c r="E33" s="2" t="s">
        <v>5918</v>
      </c>
      <c r="F33" s="4">
        <v>75</v>
      </c>
      <c r="G33" s="14"/>
      <c r="H33" s="9"/>
    </row>
    <row r="34" spans="3:8" x14ac:dyDescent="0.25">
      <c r="C34" s="8"/>
      <c r="D34" s="2" t="s">
        <v>9106</v>
      </c>
      <c r="E34" s="2" t="s">
        <v>9110</v>
      </c>
      <c r="F34" s="4"/>
      <c r="G34" s="14">
        <v>475</v>
      </c>
      <c r="H34" s="9"/>
    </row>
    <row r="35" spans="3:8" x14ac:dyDescent="0.25">
      <c r="C35" s="8"/>
      <c r="D35" s="2" t="s">
        <v>9107</v>
      </c>
      <c r="E35" s="2" t="s">
        <v>9109</v>
      </c>
      <c r="F35" s="4"/>
      <c r="G35" s="14"/>
      <c r="H35" s="9">
        <v>730</v>
      </c>
    </row>
    <row r="36" spans="3:8" x14ac:dyDescent="0.25">
      <c r="C36" s="8"/>
      <c r="D36" s="2" t="s">
        <v>9108</v>
      </c>
      <c r="E36" s="2" t="s">
        <v>9116</v>
      </c>
      <c r="F36" s="4">
        <v>2220</v>
      </c>
      <c r="G36" s="14"/>
      <c r="H36" s="9"/>
    </row>
    <row r="37" spans="3:8" x14ac:dyDescent="0.25">
      <c r="C37" s="8"/>
      <c r="D37" s="2" t="s">
        <v>9119</v>
      </c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 t="s">
        <v>9056</v>
      </c>
      <c r="E41" s="2" t="s">
        <v>6705</v>
      </c>
      <c r="F41" s="4"/>
      <c r="G41" s="14"/>
      <c r="H41" s="9">
        <v>214</v>
      </c>
    </row>
    <row r="42" spans="3:8" x14ac:dyDescent="0.25">
      <c r="C42" s="8"/>
      <c r="D42" s="2" t="s">
        <v>9057</v>
      </c>
      <c r="E42" s="2" t="s">
        <v>8934</v>
      </c>
      <c r="F42" s="4"/>
      <c r="G42" s="14"/>
      <c r="H42" s="9">
        <v>393.5</v>
      </c>
    </row>
    <row r="43" spans="3:8" x14ac:dyDescent="0.25">
      <c r="C43" s="8"/>
      <c r="D43" s="2" t="s">
        <v>9058</v>
      </c>
      <c r="E43" s="2" t="s">
        <v>6441</v>
      </c>
      <c r="F43" s="4">
        <v>5133.2</v>
      </c>
      <c r="G43" s="14"/>
      <c r="H43" s="9"/>
    </row>
    <row r="44" spans="3:8" x14ac:dyDescent="0.25">
      <c r="C44" s="8"/>
      <c r="D44" s="2" t="s">
        <v>9059</v>
      </c>
      <c r="E44" s="2" t="s">
        <v>1631</v>
      </c>
      <c r="F44" s="4">
        <v>6</v>
      </c>
      <c r="G44" s="14"/>
      <c r="H44" s="9"/>
    </row>
    <row r="45" spans="3:8" x14ac:dyDescent="0.25">
      <c r="C45" s="8"/>
      <c r="D45" s="2" t="s">
        <v>9060</v>
      </c>
      <c r="E45" s="2" t="s">
        <v>1631</v>
      </c>
      <c r="F45" s="4">
        <v>7.5</v>
      </c>
      <c r="G45" s="14"/>
      <c r="H45" s="9"/>
    </row>
    <row r="46" spans="3:8" x14ac:dyDescent="0.25">
      <c r="C46" s="8"/>
      <c r="D46" s="2" t="s">
        <v>9061</v>
      </c>
      <c r="E46" s="2" t="s">
        <v>1631</v>
      </c>
      <c r="F46" s="4"/>
      <c r="G46" s="14"/>
      <c r="H46" s="9">
        <v>24</v>
      </c>
    </row>
    <row r="47" spans="3:8" x14ac:dyDescent="0.25">
      <c r="C47" s="8"/>
      <c r="D47" s="2" t="s">
        <v>9062</v>
      </c>
      <c r="E47" s="2" t="s">
        <v>7899</v>
      </c>
      <c r="F47" s="4"/>
      <c r="G47" s="14">
        <v>919.8</v>
      </c>
      <c r="H47" s="9"/>
    </row>
    <row r="48" spans="3:8" x14ac:dyDescent="0.25">
      <c r="C48" s="8"/>
      <c r="D48" s="2" t="s">
        <v>9063</v>
      </c>
      <c r="E48" s="2" t="s">
        <v>1631</v>
      </c>
      <c r="F48" s="4">
        <v>1</v>
      </c>
      <c r="G48" s="14"/>
      <c r="H48" s="9"/>
    </row>
    <row r="49" spans="3:8" x14ac:dyDescent="0.25">
      <c r="C49" s="8"/>
      <c r="D49" s="2" t="s">
        <v>9064</v>
      </c>
      <c r="E49" s="2" t="s">
        <v>6441</v>
      </c>
      <c r="F49" s="4"/>
      <c r="G49" s="14">
        <v>4995</v>
      </c>
      <c r="H49" s="9"/>
    </row>
    <row r="50" spans="3:8" x14ac:dyDescent="0.25">
      <c r="C50" s="8"/>
      <c r="D50" s="2" t="s">
        <v>9073</v>
      </c>
      <c r="E50" s="2" t="s">
        <v>58</v>
      </c>
      <c r="F50" s="4"/>
      <c r="G50" s="14"/>
      <c r="H50" s="9">
        <v>21</v>
      </c>
    </row>
    <row r="51" spans="3:8" x14ac:dyDescent="0.25">
      <c r="C51" s="8"/>
      <c r="D51" s="2" t="s">
        <v>9074</v>
      </c>
      <c r="E51" s="2" t="s">
        <v>5416</v>
      </c>
      <c r="F51" s="4"/>
      <c r="G51" s="14"/>
      <c r="H51" s="9">
        <v>195.5</v>
      </c>
    </row>
    <row r="52" spans="3:8" x14ac:dyDescent="0.25">
      <c r="C52" s="8"/>
      <c r="D52" s="2" t="s">
        <v>9075</v>
      </c>
      <c r="E52" s="2" t="s">
        <v>9076</v>
      </c>
      <c r="F52" s="4">
        <v>302.39999999999998</v>
      </c>
      <c r="G52" s="14"/>
      <c r="H52" s="9"/>
    </row>
    <row r="53" spans="3:8" x14ac:dyDescent="0.25">
      <c r="C53" s="8"/>
      <c r="D53" s="2" t="s">
        <v>9095</v>
      </c>
      <c r="E53" s="2" t="s">
        <v>9103</v>
      </c>
      <c r="F53" s="4">
        <v>1002</v>
      </c>
      <c r="G53" s="14"/>
      <c r="H53" s="9"/>
    </row>
    <row r="54" spans="3:8" x14ac:dyDescent="0.25">
      <c r="C54" s="8"/>
      <c r="D54" s="2" t="s">
        <v>9096</v>
      </c>
      <c r="E54" s="2" t="s">
        <v>1631</v>
      </c>
      <c r="F54" s="4">
        <v>17.5</v>
      </c>
      <c r="G54" s="14"/>
      <c r="H54" s="9"/>
    </row>
    <row r="55" spans="3:8" x14ac:dyDescent="0.25">
      <c r="C55" s="8"/>
      <c r="D55" s="2" t="s">
        <v>9097</v>
      </c>
      <c r="E55" s="2" t="s">
        <v>1631</v>
      </c>
      <c r="F55" s="4">
        <v>1</v>
      </c>
      <c r="G55" s="14"/>
      <c r="H55" s="9"/>
    </row>
    <row r="56" spans="3:8" x14ac:dyDescent="0.25">
      <c r="C56" s="8"/>
      <c r="D56" s="2" t="s">
        <v>9098</v>
      </c>
      <c r="E56" s="2" t="s">
        <v>1631</v>
      </c>
      <c r="F56" s="4">
        <v>724</v>
      </c>
      <c r="G56" s="14"/>
      <c r="H56" s="9"/>
    </row>
    <row r="57" spans="3:8" x14ac:dyDescent="0.25">
      <c r="C57" s="8"/>
      <c r="D57" s="2" t="s">
        <v>9099</v>
      </c>
      <c r="E57" s="2" t="s">
        <v>5951</v>
      </c>
      <c r="F57" s="4"/>
      <c r="G57" s="14"/>
      <c r="H57" s="9">
        <v>1535</v>
      </c>
    </row>
    <row r="58" spans="3:8" x14ac:dyDescent="0.25">
      <c r="C58" s="8"/>
      <c r="D58" s="2" t="s">
        <v>9100</v>
      </c>
      <c r="E58" s="2" t="s">
        <v>1631</v>
      </c>
      <c r="F58" s="4"/>
      <c r="G58" s="14"/>
      <c r="H58" s="9">
        <v>5</v>
      </c>
    </row>
    <row r="59" spans="3:8" x14ac:dyDescent="0.25">
      <c r="C59" s="8"/>
      <c r="D59" s="2" t="s">
        <v>9101</v>
      </c>
      <c r="E59" s="2" t="s">
        <v>9102</v>
      </c>
      <c r="F59" s="4"/>
      <c r="G59" s="14"/>
      <c r="H59" s="9">
        <v>569</v>
      </c>
    </row>
    <row r="60" spans="3:8" x14ac:dyDescent="0.25">
      <c r="C60" s="8"/>
      <c r="D60" s="2" t="s">
        <v>9111</v>
      </c>
      <c r="E60" s="2" t="s">
        <v>7126</v>
      </c>
      <c r="F60" s="4"/>
      <c r="G60" s="14">
        <v>22.5</v>
      </c>
      <c r="H60" s="9"/>
    </row>
    <row r="61" spans="3:8" x14ac:dyDescent="0.25">
      <c r="C61" s="8"/>
      <c r="D61" s="2" t="s">
        <v>9143</v>
      </c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9" x14ac:dyDescent="0.25">
      <c r="C65" s="29"/>
      <c r="D65" s="30"/>
      <c r="E65" s="30" t="s">
        <v>60</v>
      </c>
      <c r="F65" s="4"/>
      <c r="G65" s="14"/>
      <c r="H65" s="9"/>
    </row>
    <row r="66" spans="3:9" x14ac:dyDescent="0.25">
      <c r="C66" s="8"/>
      <c r="D66" s="2" t="s">
        <v>9042</v>
      </c>
      <c r="E66" s="2" t="s">
        <v>9041</v>
      </c>
      <c r="F66" s="35">
        <v>39</v>
      </c>
      <c r="G66" s="14"/>
      <c r="H66" s="9"/>
    </row>
    <row r="67" spans="3:9" x14ac:dyDescent="0.25">
      <c r="C67" s="8"/>
      <c r="D67" s="2"/>
      <c r="E67" s="76"/>
      <c r="F67" s="35"/>
      <c r="G67" s="14"/>
      <c r="H67" s="9"/>
    </row>
    <row r="68" spans="3:9" x14ac:dyDescent="0.25">
      <c r="C68" s="8"/>
      <c r="D68" s="2" t="s">
        <v>9044</v>
      </c>
      <c r="E68" s="76" t="s">
        <v>9043</v>
      </c>
      <c r="F68" s="35">
        <v>345</v>
      </c>
      <c r="G68" s="14"/>
      <c r="H68" s="9"/>
    </row>
    <row r="69" spans="3:9" x14ac:dyDescent="0.25">
      <c r="C69" s="8"/>
      <c r="D69" s="2"/>
      <c r="E69" s="76"/>
      <c r="F69" s="35"/>
      <c r="G69" s="14"/>
      <c r="H69" s="9"/>
    </row>
    <row r="70" spans="3:9" x14ac:dyDescent="0.25">
      <c r="C70" s="8"/>
      <c r="D70" s="2"/>
      <c r="E70" s="76"/>
      <c r="F70" s="35"/>
      <c r="G70" s="14"/>
      <c r="H70" s="9"/>
    </row>
    <row r="71" spans="3:9" x14ac:dyDescent="0.25">
      <c r="C71" s="8"/>
      <c r="D71" s="2"/>
      <c r="E71" s="76"/>
      <c r="F71" s="35"/>
      <c r="G71" s="14"/>
      <c r="H71" s="9"/>
    </row>
    <row r="72" spans="3:9" x14ac:dyDescent="0.25">
      <c r="C72" s="8"/>
      <c r="D72" s="2"/>
      <c r="E72" s="76"/>
      <c r="F72" s="35"/>
      <c r="G72" s="14"/>
      <c r="H72" s="9"/>
    </row>
    <row r="73" spans="3:9" x14ac:dyDescent="0.25">
      <c r="C73" s="8"/>
      <c r="D73" s="2"/>
      <c r="E73" s="2"/>
      <c r="F73" s="4"/>
      <c r="G73" s="14"/>
      <c r="H73" s="9"/>
    </row>
    <row r="74" spans="3:9" x14ac:dyDescent="0.25">
      <c r="C74" s="8"/>
      <c r="D74" s="2"/>
      <c r="E74" s="2"/>
      <c r="F74" s="4"/>
      <c r="G74" s="14"/>
      <c r="H74" s="9"/>
    </row>
    <row r="75" spans="3:9" x14ac:dyDescent="0.25">
      <c r="C75" s="16"/>
      <c r="D75" s="17"/>
      <c r="E75" s="17" t="s">
        <v>39</v>
      </c>
      <c r="F75" s="4"/>
      <c r="G75" s="14"/>
      <c r="H75" s="9"/>
    </row>
    <row r="76" spans="3:9" ht="15.75" customHeight="1" x14ac:dyDescent="0.25">
      <c r="C76" s="8"/>
      <c r="D76" s="2"/>
      <c r="E76" s="68" t="s">
        <v>9065</v>
      </c>
      <c r="F76" s="35">
        <v>20</v>
      </c>
      <c r="G76" s="14"/>
      <c r="H76" s="9"/>
    </row>
    <row r="77" spans="3:9" ht="15.75" customHeight="1" x14ac:dyDescent="0.25">
      <c r="C77" s="8"/>
      <c r="D77" s="2"/>
      <c r="E77" s="68" t="s">
        <v>9067</v>
      </c>
      <c r="F77" s="35">
        <v>1814</v>
      </c>
      <c r="G77" s="14"/>
      <c r="H77" s="9"/>
    </row>
    <row r="78" spans="3:9" x14ac:dyDescent="0.25">
      <c r="C78" s="8"/>
      <c r="D78" s="2"/>
      <c r="E78" s="76" t="s">
        <v>9066</v>
      </c>
      <c r="F78" s="35">
        <v>617</v>
      </c>
      <c r="G78" s="14"/>
      <c r="H78" s="9"/>
    </row>
    <row r="79" spans="3:9" x14ac:dyDescent="0.25">
      <c r="C79" s="8"/>
      <c r="D79" s="2"/>
      <c r="E79" s="76" t="s">
        <v>9112</v>
      </c>
      <c r="F79" s="35">
        <v>34</v>
      </c>
      <c r="G79" s="14"/>
      <c r="H79" s="9"/>
    </row>
    <row r="80" spans="3:9" x14ac:dyDescent="0.25">
      <c r="C80" s="8"/>
      <c r="D80" s="2"/>
      <c r="E80" s="76"/>
      <c r="F80" s="35"/>
      <c r="G80" s="14"/>
      <c r="H80" s="9"/>
      <c r="I80" s="36"/>
    </row>
    <row r="81" spans="3:9" x14ac:dyDescent="0.25">
      <c r="C81" s="8"/>
      <c r="D81" s="2"/>
      <c r="E81" s="76"/>
      <c r="F81" s="35"/>
      <c r="G81" s="14"/>
      <c r="H81" s="9"/>
      <c r="I81" s="36"/>
    </row>
    <row r="82" spans="3:9" x14ac:dyDescent="0.25">
      <c r="C82" s="8"/>
      <c r="D82" s="2"/>
      <c r="E82" s="76"/>
      <c r="F82" s="35"/>
      <c r="G82" s="14"/>
      <c r="H82" s="9"/>
      <c r="I82" s="36"/>
    </row>
    <row r="83" spans="3:9" x14ac:dyDescent="0.25">
      <c r="C83" s="8"/>
      <c r="D83" s="2"/>
      <c r="E83" s="76"/>
      <c r="F83" s="35"/>
      <c r="G83" s="14"/>
      <c r="H83" s="9"/>
      <c r="I83" s="36"/>
    </row>
    <row r="84" spans="3:9" x14ac:dyDescent="0.25">
      <c r="C84" s="8"/>
      <c r="D84" s="2"/>
      <c r="E84" s="2"/>
      <c r="F84" s="4"/>
      <c r="G84" s="14"/>
      <c r="H84" s="9"/>
    </row>
    <row r="85" spans="3:9" x14ac:dyDescent="0.25">
      <c r="C85" s="19"/>
      <c r="D85" s="20"/>
      <c r="E85" s="20" t="s">
        <v>42</v>
      </c>
      <c r="F85" s="14"/>
      <c r="G85" s="14"/>
      <c r="H85" s="9"/>
    </row>
    <row r="86" spans="3:9" x14ac:dyDescent="0.25">
      <c r="C86" s="34"/>
      <c r="D86" s="45"/>
      <c r="E86" s="68" t="s">
        <v>9068</v>
      </c>
      <c r="F86" s="14">
        <v>-362.8</v>
      </c>
      <c r="G86" s="14"/>
      <c r="H86" s="9"/>
    </row>
    <row r="87" spans="3:9" x14ac:dyDescent="0.25">
      <c r="C87" s="34"/>
      <c r="D87" s="45"/>
      <c r="E87" s="68" t="s">
        <v>9077</v>
      </c>
      <c r="F87" s="14">
        <v>-7.5</v>
      </c>
      <c r="G87" s="14"/>
      <c r="H87" s="9"/>
    </row>
    <row r="88" spans="3:9" x14ac:dyDescent="0.25">
      <c r="C88" s="34"/>
      <c r="D88" s="45"/>
      <c r="E88" s="68" t="s">
        <v>9104</v>
      </c>
      <c r="F88" s="14">
        <v>-486</v>
      </c>
      <c r="G88" s="14"/>
      <c r="H88" s="9"/>
    </row>
    <row r="89" spans="3:9" x14ac:dyDescent="0.25">
      <c r="C89" s="34"/>
      <c r="D89" s="45"/>
      <c r="E89" s="68" t="s">
        <v>9105</v>
      </c>
      <c r="F89" s="14">
        <v>-180</v>
      </c>
      <c r="G89" s="14"/>
      <c r="H89" s="9"/>
    </row>
    <row r="90" spans="3:9" x14ac:dyDescent="0.25">
      <c r="C90" s="34"/>
      <c r="D90" s="45"/>
      <c r="E90" s="68" t="s">
        <v>9113</v>
      </c>
      <c r="F90" s="14">
        <v>-20</v>
      </c>
      <c r="G90" s="14"/>
      <c r="H90" s="9"/>
    </row>
    <row r="91" spans="3:9" x14ac:dyDescent="0.25">
      <c r="C91" s="34"/>
      <c r="D91" s="45"/>
      <c r="E91" s="68" t="s">
        <v>9114</v>
      </c>
      <c r="F91" s="14">
        <v>-4769.5</v>
      </c>
      <c r="G91" s="14"/>
      <c r="H91" s="9"/>
    </row>
    <row r="92" spans="3:9" x14ac:dyDescent="0.25">
      <c r="C92" s="34"/>
      <c r="D92" s="45"/>
      <c r="E92" s="68" t="s">
        <v>9115</v>
      </c>
      <c r="F92" s="14">
        <v>-1500</v>
      </c>
      <c r="G92" s="14"/>
      <c r="H92" s="9"/>
    </row>
    <row r="93" spans="3:9" x14ac:dyDescent="0.25">
      <c r="C93" s="34"/>
      <c r="D93" s="45"/>
      <c r="E93" s="68"/>
      <c r="F93" s="14"/>
      <c r="G93" s="14"/>
      <c r="H93" s="9"/>
    </row>
    <row r="94" spans="3:9" x14ac:dyDescent="0.25">
      <c r="C94" s="34"/>
      <c r="D94" s="45"/>
      <c r="E94" s="68"/>
      <c r="F94" s="14"/>
      <c r="G94" s="14"/>
      <c r="H94" s="9"/>
    </row>
    <row r="95" spans="3:9" ht="15.75" thickBot="1" x14ac:dyDescent="0.3">
      <c r="C95" s="10"/>
      <c r="D95" s="11"/>
      <c r="E95" s="11" t="s">
        <v>44</v>
      </c>
      <c r="F95" s="12">
        <f>SUM(F6:F94)</f>
        <v>6435.3000000000011</v>
      </c>
      <c r="G95" s="15">
        <f>SUM(G6:G94)</f>
        <v>6838.3</v>
      </c>
      <c r="H95" s="13">
        <f>SUM(H6:H94)</f>
        <v>8057.5</v>
      </c>
    </row>
    <row r="98" spans="3:6" s="3" customFormat="1" ht="18.75" x14ac:dyDescent="0.3">
      <c r="C98" s="1"/>
      <c r="D98" s="1"/>
      <c r="E98" s="38" t="s">
        <v>49</v>
      </c>
      <c r="F98" s="39">
        <f>+H4+F95</f>
        <v>12419.45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AC29-8D83-49A4-B45B-B136769942B4}">
  <sheetPr codeName="Hoja117"/>
  <dimension ref="C2:K89"/>
  <sheetViews>
    <sheetView topLeftCell="A52" zoomScale="89" zoomScaleNormal="89" workbookViewId="0">
      <selection activeCell="F89" sqref="F89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9117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12419.45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9119</v>
      </c>
      <c r="E6" s="2" t="s">
        <v>5850</v>
      </c>
      <c r="F6" s="109"/>
      <c r="G6" s="113"/>
      <c r="H6" s="112">
        <v>7.5</v>
      </c>
    </row>
    <row r="7" spans="3:10" x14ac:dyDescent="0.25">
      <c r="C7" s="24"/>
      <c r="D7" s="2" t="s">
        <v>9120</v>
      </c>
      <c r="E7" s="2" t="s">
        <v>5850</v>
      </c>
      <c r="F7" s="109"/>
      <c r="G7" s="113"/>
      <c r="H7" s="112">
        <v>17.5</v>
      </c>
      <c r="I7" s="36"/>
      <c r="J7" s="36"/>
    </row>
    <row r="8" spans="3:10" x14ac:dyDescent="0.25">
      <c r="C8" s="24"/>
      <c r="D8" s="2" t="s">
        <v>9121</v>
      </c>
      <c r="E8" s="2" t="s">
        <v>5850</v>
      </c>
      <c r="F8" s="109">
        <v>67.5</v>
      </c>
      <c r="G8" s="113"/>
      <c r="H8" s="112"/>
      <c r="J8" s="36"/>
    </row>
    <row r="9" spans="3:10" x14ac:dyDescent="0.25">
      <c r="C9" s="24"/>
      <c r="D9" s="2" t="s">
        <v>9122</v>
      </c>
      <c r="E9" s="2" t="s">
        <v>5850</v>
      </c>
      <c r="F9" s="109">
        <v>48</v>
      </c>
      <c r="G9" s="113"/>
      <c r="H9" s="112"/>
      <c r="J9" s="36"/>
    </row>
    <row r="10" spans="3:10" x14ac:dyDescent="0.25">
      <c r="C10" s="8"/>
      <c r="D10" s="2" t="s">
        <v>9123</v>
      </c>
      <c r="E10" s="2" t="s">
        <v>5850</v>
      </c>
      <c r="F10" s="4"/>
      <c r="G10" s="14"/>
      <c r="H10" s="9">
        <v>2.5</v>
      </c>
    </row>
    <row r="11" spans="3:10" x14ac:dyDescent="0.25">
      <c r="C11" s="8"/>
      <c r="D11" s="2" t="s">
        <v>9124</v>
      </c>
      <c r="E11" s="2" t="s">
        <v>6166</v>
      </c>
      <c r="F11" s="4"/>
      <c r="G11" s="14"/>
      <c r="H11" s="9">
        <v>54</v>
      </c>
    </row>
    <row r="12" spans="3:10" x14ac:dyDescent="0.25">
      <c r="C12" s="8"/>
      <c r="D12" s="2" t="s">
        <v>9125</v>
      </c>
      <c r="E12" s="2" t="s">
        <v>6395</v>
      </c>
      <c r="F12" s="4">
        <v>1500</v>
      </c>
      <c r="G12" s="14"/>
      <c r="H12" s="9">
        <v>170</v>
      </c>
    </row>
    <row r="13" spans="3:10" x14ac:dyDescent="0.25">
      <c r="C13" s="8"/>
      <c r="D13" s="2" t="s">
        <v>9126</v>
      </c>
      <c r="E13" s="2" t="s">
        <v>9116</v>
      </c>
      <c r="F13" s="4"/>
      <c r="G13" s="14">
        <v>597</v>
      </c>
      <c r="H13" s="9"/>
    </row>
    <row r="14" spans="3:10" x14ac:dyDescent="0.25">
      <c r="C14" s="8"/>
      <c r="D14" s="2" t="s">
        <v>9127</v>
      </c>
      <c r="E14" s="2" t="s">
        <v>5850</v>
      </c>
      <c r="F14" s="4">
        <v>6</v>
      </c>
      <c r="G14" s="14"/>
      <c r="H14" s="9"/>
    </row>
    <row r="15" spans="3:10" x14ac:dyDescent="0.25">
      <c r="C15" s="8"/>
      <c r="D15" s="2" t="s">
        <v>9128</v>
      </c>
      <c r="E15" s="2" t="s">
        <v>6780</v>
      </c>
      <c r="F15" s="4"/>
      <c r="G15" s="14"/>
      <c r="H15" s="9">
        <v>20</v>
      </c>
    </row>
    <row r="16" spans="3:10" x14ac:dyDescent="0.25">
      <c r="C16" s="8"/>
      <c r="D16" s="2" t="s">
        <v>9129</v>
      </c>
      <c r="E16" s="2" t="s">
        <v>5850</v>
      </c>
      <c r="F16" s="4">
        <v>14</v>
      </c>
      <c r="G16" s="14"/>
      <c r="H16" s="9"/>
    </row>
    <row r="17" spans="3:8" x14ac:dyDescent="0.25">
      <c r="C17" s="8"/>
      <c r="D17" s="2" t="s">
        <v>9130</v>
      </c>
      <c r="E17" s="2" t="s">
        <v>8092</v>
      </c>
      <c r="F17" s="4"/>
      <c r="G17" s="14"/>
      <c r="H17" s="9">
        <v>2550</v>
      </c>
    </row>
    <row r="18" spans="3:8" x14ac:dyDescent="0.25">
      <c r="C18" s="8"/>
      <c r="D18" s="2" t="s">
        <v>9131</v>
      </c>
      <c r="E18" s="2" t="s">
        <v>9142</v>
      </c>
      <c r="F18" s="4">
        <v>424.5</v>
      </c>
      <c r="G18" s="14"/>
      <c r="H18" s="9"/>
    </row>
    <row r="19" spans="3:8" x14ac:dyDescent="0.25">
      <c r="C19" s="8"/>
      <c r="D19" s="2" t="s">
        <v>9132</v>
      </c>
      <c r="E19" s="2" t="s">
        <v>7869</v>
      </c>
      <c r="F19" s="4">
        <v>475.5</v>
      </c>
      <c r="G19" s="14"/>
      <c r="H19" s="9"/>
    </row>
    <row r="20" spans="3:8" x14ac:dyDescent="0.25">
      <c r="C20" s="8"/>
      <c r="D20" s="2" t="s">
        <v>9133</v>
      </c>
      <c r="E20" s="2" t="s">
        <v>5850</v>
      </c>
      <c r="F20" s="4">
        <v>7</v>
      </c>
      <c r="G20" s="14"/>
      <c r="H20" s="9"/>
    </row>
    <row r="21" spans="3:8" x14ac:dyDescent="0.25">
      <c r="C21" s="8"/>
      <c r="D21" s="2" t="s">
        <v>9134</v>
      </c>
      <c r="E21" s="2" t="s">
        <v>5850</v>
      </c>
      <c r="F21" s="4">
        <v>13.5</v>
      </c>
      <c r="G21" s="14"/>
      <c r="H21" s="9"/>
    </row>
    <row r="22" spans="3:8" x14ac:dyDescent="0.25">
      <c r="C22" s="8"/>
      <c r="D22" s="2" t="s">
        <v>9135</v>
      </c>
      <c r="E22" s="2" t="s">
        <v>8850</v>
      </c>
      <c r="F22" s="4">
        <v>1026</v>
      </c>
      <c r="G22" s="14"/>
      <c r="H22" s="9"/>
    </row>
    <row r="23" spans="3:8" x14ac:dyDescent="0.25">
      <c r="C23" s="8"/>
      <c r="D23" s="2" t="s">
        <v>9136</v>
      </c>
      <c r="E23" s="2" t="s">
        <v>5850</v>
      </c>
      <c r="F23" s="4">
        <v>5</v>
      </c>
      <c r="G23" s="14"/>
      <c r="H23" s="9"/>
    </row>
    <row r="24" spans="3:8" x14ac:dyDescent="0.25">
      <c r="C24" s="8"/>
      <c r="D24" s="2" t="s">
        <v>9137</v>
      </c>
      <c r="E24" s="2" t="s">
        <v>9141</v>
      </c>
      <c r="F24" s="4">
        <v>45</v>
      </c>
      <c r="G24" s="14"/>
      <c r="H24" s="9"/>
    </row>
    <row r="25" spans="3:8" x14ac:dyDescent="0.25">
      <c r="C25" s="8"/>
      <c r="D25" s="2" t="s">
        <v>9138</v>
      </c>
      <c r="E25" s="2" t="s">
        <v>9140</v>
      </c>
      <c r="F25" s="4">
        <v>600</v>
      </c>
      <c r="G25" s="14"/>
      <c r="H25" s="9">
        <v>20</v>
      </c>
    </row>
    <row r="26" spans="3:8" x14ac:dyDescent="0.25">
      <c r="C26" s="8"/>
      <c r="D26" s="2" t="s">
        <v>9139</v>
      </c>
      <c r="E26" s="2" t="s">
        <v>5850</v>
      </c>
      <c r="F26" s="4"/>
      <c r="G26" s="14"/>
      <c r="H26" s="9">
        <v>378</v>
      </c>
    </row>
    <row r="27" spans="3:8" x14ac:dyDescent="0.25">
      <c r="C27" s="8"/>
      <c r="D27" s="2" t="s">
        <v>9160</v>
      </c>
      <c r="E27" s="2" t="s">
        <v>6524</v>
      </c>
      <c r="F27" s="4"/>
      <c r="G27" s="14"/>
      <c r="H27" s="9">
        <v>63</v>
      </c>
    </row>
    <row r="28" spans="3:8" x14ac:dyDescent="0.25">
      <c r="C28" s="8"/>
      <c r="D28" s="2" t="s">
        <v>9161</v>
      </c>
      <c r="E28" s="2" t="s">
        <v>5850</v>
      </c>
      <c r="F28" s="4">
        <v>8</v>
      </c>
      <c r="G28" s="14"/>
      <c r="H28" s="9"/>
    </row>
    <row r="29" spans="3:8" x14ac:dyDescent="0.25">
      <c r="C29" s="8"/>
      <c r="D29" s="2" t="s">
        <v>9162</v>
      </c>
      <c r="E29" s="2" t="s">
        <v>5850</v>
      </c>
      <c r="F29" s="4">
        <v>8</v>
      </c>
      <c r="G29" s="14"/>
      <c r="H29" s="9"/>
    </row>
    <row r="30" spans="3:8" x14ac:dyDescent="0.25">
      <c r="C30" s="8"/>
      <c r="D30" s="2" t="s">
        <v>9163</v>
      </c>
      <c r="E30" s="2" t="s">
        <v>5850</v>
      </c>
      <c r="F30" s="4">
        <v>13</v>
      </c>
      <c r="G30" s="14"/>
      <c r="H30" s="9"/>
    </row>
    <row r="31" spans="3:8" x14ac:dyDescent="0.25">
      <c r="C31" s="8"/>
      <c r="D31" s="2" t="s">
        <v>9164</v>
      </c>
      <c r="E31" s="2" t="s">
        <v>5240</v>
      </c>
      <c r="F31" s="4">
        <v>259</v>
      </c>
      <c r="G31" s="14"/>
      <c r="H31" s="9"/>
    </row>
    <row r="32" spans="3:8" x14ac:dyDescent="0.25">
      <c r="C32" s="8"/>
      <c r="D32" s="2" t="s">
        <v>9165</v>
      </c>
      <c r="E32" s="2" t="s">
        <v>5850</v>
      </c>
      <c r="F32" s="4">
        <v>11</v>
      </c>
      <c r="G32" s="14"/>
      <c r="H32" s="9"/>
    </row>
    <row r="33" spans="3:8" x14ac:dyDescent="0.25">
      <c r="C33" s="8"/>
      <c r="D33" s="2" t="s">
        <v>9166</v>
      </c>
      <c r="E33" s="2" t="s">
        <v>9173</v>
      </c>
      <c r="F33" s="4"/>
      <c r="G33" s="14">
        <v>5</v>
      </c>
      <c r="H33" s="9"/>
    </row>
    <row r="34" spans="3:8" x14ac:dyDescent="0.25">
      <c r="C34" s="8"/>
      <c r="D34" s="2" t="s">
        <v>9167</v>
      </c>
      <c r="E34" s="2" t="s">
        <v>5850</v>
      </c>
      <c r="F34" s="4">
        <v>5.5</v>
      </c>
      <c r="G34" s="14"/>
      <c r="H34" s="9"/>
    </row>
    <row r="35" spans="3:8" x14ac:dyDescent="0.25">
      <c r="C35" s="8"/>
      <c r="D35" s="2" t="s">
        <v>9168</v>
      </c>
      <c r="E35" s="2" t="s">
        <v>9172</v>
      </c>
      <c r="F35" s="4"/>
      <c r="G35" s="14">
        <v>1985.9</v>
      </c>
      <c r="H35" s="9"/>
    </row>
    <row r="36" spans="3:8" x14ac:dyDescent="0.25">
      <c r="C36" s="8"/>
      <c r="D36" s="2" t="s">
        <v>9169</v>
      </c>
      <c r="E36" s="2" t="s">
        <v>6553</v>
      </c>
      <c r="F36" s="4"/>
      <c r="G36" s="14">
        <v>1925</v>
      </c>
      <c r="H36" s="9"/>
    </row>
    <row r="37" spans="3:8" x14ac:dyDescent="0.25">
      <c r="C37" s="8"/>
      <c r="D37" s="2" t="s">
        <v>9170</v>
      </c>
      <c r="E37" s="2" t="s">
        <v>5850</v>
      </c>
      <c r="F37" s="4"/>
      <c r="G37" s="14"/>
      <c r="H37" s="9">
        <v>5</v>
      </c>
    </row>
    <row r="38" spans="3:8" x14ac:dyDescent="0.25">
      <c r="C38" s="8"/>
      <c r="D38" s="2" t="s">
        <v>9171</v>
      </c>
      <c r="E38" s="2" t="s">
        <v>5850</v>
      </c>
      <c r="F38" s="4">
        <v>3</v>
      </c>
      <c r="G38" s="14"/>
      <c r="H38" s="9"/>
    </row>
    <row r="39" spans="3:8" x14ac:dyDescent="0.25">
      <c r="C39" s="8"/>
      <c r="D39" s="2" t="s">
        <v>9184</v>
      </c>
      <c r="E39" s="2" t="s">
        <v>5850</v>
      </c>
      <c r="F39" s="4"/>
      <c r="G39" s="14"/>
      <c r="H39" s="9">
        <v>1.5</v>
      </c>
    </row>
    <row r="40" spans="3:8" x14ac:dyDescent="0.25">
      <c r="C40" s="8"/>
      <c r="D40" s="2" t="s">
        <v>9185</v>
      </c>
      <c r="E40" s="2" t="s">
        <v>4597</v>
      </c>
      <c r="F40" s="4"/>
      <c r="G40" s="14">
        <v>2</v>
      </c>
      <c r="H40" s="9"/>
    </row>
    <row r="41" spans="3:8" x14ac:dyDescent="0.25">
      <c r="C41" s="8"/>
      <c r="D41" s="2" t="s">
        <v>9186</v>
      </c>
      <c r="E41" s="2" t="s">
        <v>5850</v>
      </c>
      <c r="F41" s="4">
        <v>14</v>
      </c>
      <c r="G41" s="14"/>
      <c r="H41" s="9"/>
    </row>
    <row r="42" spans="3:8" x14ac:dyDescent="0.25">
      <c r="C42" s="8"/>
      <c r="D42" s="2" t="s">
        <v>9187</v>
      </c>
      <c r="E42" s="2" t="s">
        <v>5850</v>
      </c>
      <c r="F42" s="4"/>
      <c r="G42" s="14"/>
      <c r="H42" s="9">
        <v>11</v>
      </c>
    </row>
    <row r="43" spans="3:8" x14ac:dyDescent="0.25">
      <c r="C43" s="8"/>
      <c r="D43" s="2" t="s">
        <v>9188</v>
      </c>
      <c r="E43" s="2" t="s">
        <v>5850</v>
      </c>
      <c r="F43" s="4">
        <v>4.5</v>
      </c>
      <c r="G43" s="14"/>
      <c r="H43" s="9"/>
    </row>
    <row r="44" spans="3:8" x14ac:dyDescent="0.25">
      <c r="C44" s="8"/>
      <c r="D44" s="2" t="s">
        <v>9196</v>
      </c>
      <c r="E44" s="2"/>
      <c r="F44" s="4"/>
      <c r="G44" s="14"/>
      <c r="H44" s="9"/>
    </row>
    <row r="45" spans="3:8" x14ac:dyDescent="0.25">
      <c r="C45" s="8"/>
      <c r="D45" s="2" t="s">
        <v>9143</v>
      </c>
      <c r="E45" s="2" t="s">
        <v>6533</v>
      </c>
      <c r="F45" s="4"/>
      <c r="G45" s="14">
        <v>98</v>
      </c>
      <c r="H45" s="9"/>
    </row>
    <row r="46" spans="3:8" x14ac:dyDescent="0.25">
      <c r="C46" s="8"/>
      <c r="D46" s="2" t="s">
        <v>9144</v>
      </c>
      <c r="E46" s="2" t="s">
        <v>7146</v>
      </c>
      <c r="F46" s="4">
        <v>50</v>
      </c>
      <c r="G46" s="14"/>
      <c r="H46" s="9"/>
    </row>
    <row r="47" spans="3:8" x14ac:dyDescent="0.25">
      <c r="C47" s="8"/>
      <c r="D47" s="2" t="s">
        <v>9145</v>
      </c>
      <c r="E47" s="2" t="s">
        <v>5422</v>
      </c>
      <c r="F47" s="4"/>
      <c r="G47" s="14"/>
      <c r="H47" s="9">
        <v>2149</v>
      </c>
    </row>
    <row r="48" spans="3:8" x14ac:dyDescent="0.25">
      <c r="C48" s="8"/>
      <c r="D48" s="2" t="s">
        <v>9146</v>
      </c>
      <c r="E48" s="2" t="s">
        <v>7126</v>
      </c>
      <c r="F48" s="4"/>
      <c r="G48" s="14">
        <v>22.5</v>
      </c>
      <c r="H48" s="9"/>
    </row>
    <row r="49" spans="3:8" x14ac:dyDescent="0.25">
      <c r="C49" s="8"/>
      <c r="D49" s="2" t="s">
        <v>9147</v>
      </c>
      <c r="E49" s="2" t="s">
        <v>9151</v>
      </c>
      <c r="F49" s="4"/>
      <c r="G49" s="14">
        <v>45.5</v>
      </c>
      <c r="H49" s="9"/>
    </row>
    <row r="50" spans="3:8" x14ac:dyDescent="0.25">
      <c r="C50" s="8"/>
      <c r="D50" s="2" t="s">
        <v>9148</v>
      </c>
      <c r="E50" s="2" t="s">
        <v>4947</v>
      </c>
      <c r="F50" s="4">
        <v>475</v>
      </c>
      <c r="G50" s="14"/>
      <c r="H50" s="9"/>
    </row>
    <row r="51" spans="3:8" x14ac:dyDescent="0.25">
      <c r="C51" s="8"/>
      <c r="D51" s="2" t="s">
        <v>9149</v>
      </c>
      <c r="E51" s="2" t="s">
        <v>7146</v>
      </c>
      <c r="F51" s="4">
        <v>68</v>
      </c>
      <c r="G51" s="14"/>
      <c r="H51" s="9"/>
    </row>
    <row r="52" spans="3:8" x14ac:dyDescent="0.25">
      <c r="C52" s="8"/>
      <c r="D52" s="2" t="s">
        <v>9150</v>
      </c>
      <c r="E52" s="2" t="s">
        <v>7146</v>
      </c>
      <c r="F52" s="4"/>
      <c r="G52" s="14"/>
      <c r="H52" s="9">
        <v>4</v>
      </c>
    </row>
    <row r="53" spans="3:8" x14ac:dyDescent="0.25">
      <c r="C53" s="8"/>
      <c r="D53" s="2" t="s">
        <v>9174</v>
      </c>
      <c r="E53" s="2" t="s">
        <v>7146</v>
      </c>
      <c r="F53" s="4"/>
      <c r="G53" s="14"/>
      <c r="H53" s="9">
        <v>14</v>
      </c>
    </row>
    <row r="54" spans="3:8" x14ac:dyDescent="0.25">
      <c r="C54" s="8"/>
      <c r="D54" s="2" t="s">
        <v>9175</v>
      </c>
      <c r="E54" s="2" t="s">
        <v>7146</v>
      </c>
      <c r="F54" s="4"/>
      <c r="G54" s="14"/>
      <c r="H54" s="9">
        <v>27</v>
      </c>
    </row>
    <row r="55" spans="3:8" x14ac:dyDescent="0.25">
      <c r="C55" s="8"/>
      <c r="D55" s="2" t="s">
        <v>9176</v>
      </c>
      <c r="E55" s="2" t="s">
        <v>9177</v>
      </c>
      <c r="F55" s="4"/>
      <c r="G55" s="14"/>
      <c r="H55" s="9">
        <v>76</v>
      </c>
    </row>
    <row r="56" spans="3:8" x14ac:dyDescent="0.25">
      <c r="C56" s="8"/>
      <c r="D56" s="2" t="s">
        <v>9180</v>
      </c>
      <c r="E56" s="2" t="s">
        <v>7146</v>
      </c>
      <c r="F56" s="4">
        <v>9</v>
      </c>
      <c r="G56" s="14"/>
      <c r="H56" s="9"/>
    </row>
    <row r="57" spans="3:8" x14ac:dyDescent="0.25">
      <c r="C57" s="8"/>
      <c r="D57" s="2" t="s">
        <v>9181</v>
      </c>
      <c r="E57" s="2" t="s">
        <v>7146</v>
      </c>
      <c r="F57" s="4">
        <v>11</v>
      </c>
      <c r="G57" s="14"/>
      <c r="H57" s="9"/>
    </row>
    <row r="58" spans="3:8" x14ac:dyDescent="0.25">
      <c r="C58" s="8"/>
      <c r="D58" s="2" t="s">
        <v>9182</v>
      </c>
      <c r="E58" s="2" t="s">
        <v>9183</v>
      </c>
      <c r="F58" s="4"/>
      <c r="G58" s="14">
        <v>1270</v>
      </c>
      <c r="H58" s="9"/>
    </row>
    <row r="59" spans="3:8" x14ac:dyDescent="0.25">
      <c r="C59" s="8"/>
      <c r="D59" s="2" t="s">
        <v>9224</v>
      </c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2"/>
      <c r="E61" s="2" t="s">
        <v>7172</v>
      </c>
      <c r="F61" s="35"/>
      <c r="G61" s="14"/>
      <c r="H61" s="9">
        <v>1421</v>
      </c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2"/>
      <c r="E63" s="76"/>
      <c r="F63" s="35"/>
      <c r="G63" s="14"/>
      <c r="H63" s="9"/>
    </row>
    <row r="64" spans="3:8" x14ac:dyDescent="0.25">
      <c r="C64" s="16"/>
      <c r="D64" s="17"/>
      <c r="E64" s="17" t="s">
        <v>39</v>
      </c>
      <c r="F64" s="4"/>
      <c r="G64" s="14"/>
      <c r="H64" s="9"/>
    </row>
    <row r="65" spans="3:9" ht="15.75" customHeight="1" x14ac:dyDescent="0.25">
      <c r="C65" s="8"/>
      <c r="D65" s="2"/>
      <c r="E65" s="68" t="s">
        <v>9152</v>
      </c>
      <c r="F65" s="35">
        <v>20</v>
      </c>
      <c r="G65" s="14"/>
      <c r="H65" s="9"/>
    </row>
    <row r="66" spans="3:9" x14ac:dyDescent="0.25">
      <c r="C66" s="8"/>
      <c r="D66" s="2"/>
      <c r="E66" s="76" t="s">
        <v>9153</v>
      </c>
      <c r="F66" s="35">
        <v>192</v>
      </c>
      <c r="G66" s="14"/>
      <c r="H66" s="9"/>
    </row>
    <row r="67" spans="3:9" x14ac:dyDescent="0.25">
      <c r="C67" s="8"/>
      <c r="D67" s="2"/>
      <c r="E67" s="76" t="s">
        <v>9179</v>
      </c>
      <c r="F67" s="35">
        <v>1180</v>
      </c>
      <c r="G67" s="14"/>
      <c r="H67" s="9"/>
    </row>
    <row r="68" spans="3:9" x14ac:dyDescent="0.25">
      <c r="C68" s="8"/>
      <c r="D68" s="2"/>
      <c r="E68" s="76"/>
      <c r="F68" s="35"/>
      <c r="G68" s="14"/>
      <c r="H68" s="9"/>
      <c r="I68" s="36"/>
    </row>
    <row r="69" spans="3:9" x14ac:dyDescent="0.25">
      <c r="C69" s="8"/>
      <c r="D69" s="2"/>
      <c r="E69" s="76"/>
      <c r="F69" s="35"/>
      <c r="G69" s="14"/>
      <c r="H69" s="9"/>
      <c r="I69" s="36"/>
    </row>
    <row r="70" spans="3:9" x14ac:dyDescent="0.25">
      <c r="C70" s="8"/>
      <c r="D70" s="2"/>
      <c r="E70" s="76"/>
      <c r="F70" s="35"/>
      <c r="G70" s="14"/>
      <c r="H70" s="9"/>
      <c r="I70" s="36"/>
    </row>
    <row r="71" spans="3:9" x14ac:dyDescent="0.25">
      <c r="C71" s="8"/>
      <c r="D71" s="2"/>
      <c r="E71" s="76"/>
      <c r="F71" s="35"/>
      <c r="G71" s="14"/>
      <c r="H71" s="9"/>
      <c r="I71" s="36"/>
    </row>
    <row r="72" spans="3:9" x14ac:dyDescent="0.25">
      <c r="C72" s="8"/>
      <c r="D72" s="2"/>
      <c r="E72" s="2"/>
      <c r="F72" s="4"/>
      <c r="G72" s="14"/>
      <c r="H72" s="9"/>
    </row>
    <row r="73" spans="3:9" x14ac:dyDescent="0.25">
      <c r="C73" s="19"/>
      <c r="D73" s="20"/>
      <c r="E73" s="20" t="s">
        <v>42</v>
      </c>
      <c r="F73" s="14"/>
      <c r="G73" s="14"/>
      <c r="H73" s="9"/>
    </row>
    <row r="74" spans="3:9" x14ac:dyDescent="0.25">
      <c r="C74" s="34"/>
      <c r="D74" s="45"/>
      <c r="E74" s="68" t="s">
        <v>9118</v>
      </c>
      <c r="F74" s="14">
        <v>-240</v>
      </c>
      <c r="G74" s="14"/>
      <c r="H74" s="9"/>
    </row>
    <row r="75" spans="3:9" x14ac:dyDescent="0.25">
      <c r="C75" s="34"/>
      <c r="D75" s="45"/>
      <c r="E75" s="68" t="s">
        <v>9154</v>
      </c>
      <c r="F75" s="14">
        <v>-11376.1</v>
      </c>
      <c r="G75" s="14"/>
      <c r="H75" s="9"/>
    </row>
    <row r="76" spans="3:9" x14ac:dyDescent="0.25">
      <c r="C76" s="34"/>
      <c r="D76" s="45"/>
      <c r="E76" s="68" t="s">
        <v>9155</v>
      </c>
      <c r="F76" s="14">
        <v>-40</v>
      </c>
      <c r="G76" s="14"/>
      <c r="H76" s="9"/>
    </row>
    <row r="77" spans="3:9" x14ac:dyDescent="0.25">
      <c r="C77" s="34"/>
      <c r="D77" s="45"/>
      <c r="E77" s="68" t="s">
        <v>9159</v>
      </c>
      <c r="F77" s="14">
        <v>-4.4000000000000004</v>
      </c>
      <c r="G77" s="14"/>
      <c r="H77" s="9"/>
    </row>
    <row r="78" spans="3:9" x14ac:dyDescent="0.25">
      <c r="C78" s="34"/>
      <c r="D78" s="45"/>
      <c r="E78" s="68" t="s">
        <v>9158</v>
      </c>
      <c r="F78" s="14">
        <v>-2.5</v>
      </c>
      <c r="G78" s="14"/>
      <c r="H78" s="9"/>
    </row>
    <row r="79" spans="3:9" x14ac:dyDescent="0.25">
      <c r="C79" s="34"/>
      <c r="D79" s="45"/>
      <c r="E79" s="68" t="s">
        <v>9157</v>
      </c>
      <c r="F79" s="14">
        <v>-3</v>
      </c>
      <c r="G79" s="14"/>
      <c r="H79" s="9"/>
    </row>
    <row r="80" spans="3:9" x14ac:dyDescent="0.25">
      <c r="C80" s="34"/>
      <c r="D80" s="45"/>
      <c r="E80" s="68" t="s">
        <v>9156</v>
      </c>
      <c r="F80" s="14">
        <v>-393.4</v>
      </c>
      <c r="G80" s="14"/>
      <c r="H80" s="9"/>
    </row>
    <row r="81" spans="3:11" x14ac:dyDescent="0.25">
      <c r="C81" s="34"/>
      <c r="D81" s="45"/>
      <c r="E81" s="68" t="s">
        <v>9178</v>
      </c>
      <c r="F81" s="14">
        <v>-113</v>
      </c>
      <c r="G81" s="14"/>
      <c r="H81" s="9"/>
    </row>
    <row r="82" spans="3:11" x14ac:dyDescent="0.25">
      <c r="C82" s="34"/>
      <c r="D82" s="45"/>
      <c r="E82" s="68" t="s">
        <v>9114</v>
      </c>
      <c r="F82" s="14">
        <v>-2150</v>
      </c>
      <c r="G82" s="14"/>
      <c r="H82" s="9"/>
    </row>
    <row r="83" spans="3:11" x14ac:dyDescent="0.25">
      <c r="C83" s="34"/>
      <c r="D83" s="45"/>
      <c r="E83" s="68" t="s">
        <v>9189</v>
      </c>
      <c r="F83" s="14">
        <v>-1400</v>
      </c>
      <c r="G83" s="14"/>
      <c r="H83" s="9"/>
    </row>
    <row r="84" spans="3:11" x14ac:dyDescent="0.25">
      <c r="C84" s="34"/>
      <c r="D84" s="45"/>
      <c r="E84" s="68"/>
      <c r="F84" s="14"/>
      <c r="G84" s="14"/>
      <c r="H84" s="9"/>
      <c r="K84">
        <v>7243.9</v>
      </c>
    </row>
    <row r="85" spans="3:11" x14ac:dyDescent="0.25">
      <c r="C85" s="34"/>
      <c r="D85" s="45"/>
      <c r="E85" s="68"/>
      <c r="F85" s="14"/>
      <c r="G85" s="14"/>
      <c r="H85" s="9"/>
      <c r="K85">
        <v>521</v>
      </c>
    </row>
    <row r="86" spans="3:11" ht="15.75" thickBot="1" x14ac:dyDescent="0.3">
      <c r="C86" s="10"/>
      <c r="D86" s="11"/>
      <c r="E86" s="11" t="s">
        <v>44</v>
      </c>
      <c r="F86" s="12">
        <f>SUM(F6:F85)</f>
        <v>-9159.4</v>
      </c>
      <c r="G86" s="15">
        <f>SUM(G6:G85)</f>
        <v>5950.9</v>
      </c>
      <c r="H86" s="13">
        <f>SUM(H6:H85)</f>
        <v>6991</v>
      </c>
      <c r="K86">
        <v>1270</v>
      </c>
    </row>
    <row r="89" spans="3:11" s="3" customFormat="1" ht="18.75" x14ac:dyDescent="0.3">
      <c r="C89" s="1"/>
      <c r="D89" s="1"/>
      <c r="E89" s="38" t="s">
        <v>49</v>
      </c>
      <c r="F89" s="39">
        <f>+H4+F86</f>
        <v>3260.0500000000011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0ADB-C774-40FD-94DD-451B592DD60D}">
  <sheetPr codeName="Hoja118"/>
  <dimension ref="C2:K129"/>
  <sheetViews>
    <sheetView topLeftCell="A85" zoomScale="89" zoomScaleNormal="89" workbookViewId="0">
      <selection activeCell="E96" sqref="E96:F96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9190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3260.05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9196</v>
      </c>
      <c r="E6" s="2" t="s">
        <v>6440</v>
      </c>
      <c r="F6" s="109">
        <v>60</v>
      </c>
      <c r="G6" s="113"/>
      <c r="H6" s="112"/>
    </row>
    <row r="7" spans="3:10" x14ac:dyDescent="0.25">
      <c r="C7" s="24"/>
      <c r="D7" s="2" t="s">
        <v>9197</v>
      </c>
      <c r="E7" s="2" t="s">
        <v>6440</v>
      </c>
      <c r="F7" s="109">
        <v>3</v>
      </c>
      <c r="G7" s="113"/>
      <c r="H7" s="112"/>
      <c r="I7" s="36"/>
      <c r="J7" s="36"/>
    </row>
    <row r="8" spans="3:10" x14ac:dyDescent="0.25">
      <c r="C8" s="24"/>
      <c r="D8" s="2" t="s">
        <v>9198</v>
      </c>
      <c r="E8" s="2" t="s">
        <v>6440</v>
      </c>
      <c r="F8" s="109">
        <v>64</v>
      </c>
      <c r="G8" s="113"/>
      <c r="H8" s="112"/>
      <c r="J8" s="36"/>
    </row>
    <row r="9" spans="3:10" x14ac:dyDescent="0.25">
      <c r="C9" s="24"/>
      <c r="D9" s="2" t="s">
        <v>9199</v>
      </c>
      <c r="E9" s="2" t="s">
        <v>1152</v>
      </c>
      <c r="F9" s="109"/>
      <c r="G9" s="113"/>
      <c r="H9" s="112">
        <v>190</v>
      </c>
      <c r="J9" s="36"/>
    </row>
    <row r="10" spans="3:10" x14ac:dyDescent="0.25">
      <c r="C10" s="8"/>
      <c r="D10" s="2" t="s">
        <v>9200</v>
      </c>
      <c r="E10" s="2" t="s">
        <v>7126</v>
      </c>
      <c r="F10" s="4">
        <v>22.5</v>
      </c>
      <c r="G10" s="14"/>
      <c r="H10" s="9"/>
    </row>
    <row r="11" spans="3:10" x14ac:dyDescent="0.25">
      <c r="C11" s="8"/>
      <c r="D11" s="2" t="s">
        <v>9201</v>
      </c>
      <c r="E11" s="2" t="s">
        <v>6593</v>
      </c>
      <c r="F11" s="4">
        <v>342</v>
      </c>
      <c r="G11" s="14"/>
      <c r="H11" s="9"/>
    </row>
    <row r="12" spans="3:10" x14ac:dyDescent="0.25">
      <c r="C12" s="8"/>
      <c r="D12" s="2" t="s">
        <v>9202</v>
      </c>
      <c r="E12" s="2" t="s">
        <v>6440</v>
      </c>
      <c r="F12" s="4">
        <v>3.5</v>
      </c>
      <c r="G12" s="14"/>
      <c r="H12" s="9"/>
    </row>
    <row r="13" spans="3:10" x14ac:dyDescent="0.25">
      <c r="C13" s="8"/>
      <c r="D13" s="2" t="s">
        <v>9203</v>
      </c>
      <c r="E13" s="2" t="s">
        <v>9151</v>
      </c>
      <c r="F13" s="4"/>
      <c r="G13" s="14"/>
      <c r="H13" s="9">
        <v>74.400000000000006</v>
      </c>
    </row>
    <row r="14" spans="3:10" x14ac:dyDescent="0.25">
      <c r="C14" s="8"/>
      <c r="D14" s="2" t="s">
        <v>9204</v>
      </c>
      <c r="E14" s="2" t="s">
        <v>6440</v>
      </c>
      <c r="F14" s="4">
        <v>31.5</v>
      </c>
      <c r="G14" s="14"/>
      <c r="H14" s="9"/>
    </row>
    <row r="15" spans="3:10" x14ac:dyDescent="0.25">
      <c r="C15" s="8"/>
      <c r="D15" s="2" t="s">
        <v>9205</v>
      </c>
      <c r="E15" s="2" t="s">
        <v>4385</v>
      </c>
      <c r="F15" s="4"/>
      <c r="G15" s="14"/>
      <c r="H15" s="9">
        <v>515</v>
      </c>
    </row>
    <row r="16" spans="3:10" x14ac:dyDescent="0.25">
      <c r="C16" s="8"/>
      <c r="D16" s="2" t="s">
        <v>9206</v>
      </c>
      <c r="E16" s="2" t="s">
        <v>6440</v>
      </c>
      <c r="F16" s="4"/>
      <c r="G16" s="14"/>
      <c r="H16" s="9">
        <v>5.5</v>
      </c>
    </row>
    <row r="17" spans="3:11" x14ac:dyDescent="0.25">
      <c r="C17" s="8"/>
      <c r="D17" s="2" t="s">
        <v>9207</v>
      </c>
      <c r="E17" s="2" t="s">
        <v>7079</v>
      </c>
      <c r="F17" s="4"/>
      <c r="G17" s="14"/>
      <c r="H17" s="9">
        <v>70</v>
      </c>
    </row>
    <row r="18" spans="3:11" x14ac:dyDescent="0.25">
      <c r="C18" s="8"/>
      <c r="D18" s="2" t="s">
        <v>9208</v>
      </c>
      <c r="E18" s="2" t="s">
        <v>9223</v>
      </c>
      <c r="F18" s="4"/>
      <c r="G18" s="14"/>
      <c r="H18" s="9">
        <v>1393</v>
      </c>
    </row>
    <row r="19" spans="3:11" x14ac:dyDescent="0.25">
      <c r="C19" s="8"/>
      <c r="D19" s="2" t="s">
        <v>9209</v>
      </c>
      <c r="E19" s="2" t="s">
        <v>8740</v>
      </c>
      <c r="F19" s="4"/>
      <c r="G19" s="14"/>
      <c r="H19" s="9">
        <v>69.400000000000006</v>
      </c>
    </row>
    <row r="20" spans="3:11" x14ac:dyDescent="0.25">
      <c r="C20" s="8"/>
      <c r="D20" s="2" t="s">
        <v>9210</v>
      </c>
      <c r="E20" s="2" t="s">
        <v>6440</v>
      </c>
      <c r="F20" s="4"/>
      <c r="G20" s="14"/>
      <c r="H20" s="9">
        <v>18</v>
      </c>
    </row>
    <row r="21" spans="3:11" x14ac:dyDescent="0.25">
      <c r="C21" s="8"/>
      <c r="D21" s="2" t="s">
        <v>9211</v>
      </c>
      <c r="E21" s="2" t="s">
        <v>4516</v>
      </c>
      <c r="F21" s="4"/>
      <c r="G21" s="14"/>
      <c r="H21" s="9">
        <v>159.19999999999999</v>
      </c>
    </row>
    <row r="22" spans="3:11" x14ac:dyDescent="0.25">
      <c r="C22" s="8"/>
      <c r="D22" s="2" t="s">
        <v>9212</v>
      </c>
      <c r="E22" s="2" t="s">
        <v>6440</v>
      </c>
      <c r="F22" s="4">
        <v>86.9</v>
      </c>
      <c r="G22" s="14"/>
      <c r="H22" s="9"/>
    </row>
    <row r="23" spans="3:11" x14ac:dyDescent="0.25">
      <c r="C23" s="8"/>
      <c r="D23" s="2" t="s">
        <v>9213</v>
      </c>
      <c r="E23" s="2" t="s">
        <v>6440</v>
      </c>
      <c r="F23" s="4">
        <v>3</v>
      </c>
      <c r="G23" s="14"/>
      <c r="H23" s="9"/>
    </row>
    <row r="24" spans="3:11" x14ac:dyDescent="0.25">
      <c r="C24" s="8"/>
      <c r="D24" s="2" t="s">
        <v>9214</v>
      </c>
      <c r="E24" s="2" t="s">
        <v>6440</v>
      </c>
      <c r="F24" s="4"/>
      <c r="G24" s="14"/>
      <c r="H24" s="9">
        <v>23</v>
      </c>
    </row>
    <row r="25" spans="3:11" x14ac:dyDescent="0.25">
      <c r="C25" s="8"/>
      <c r="D25" s="2" t="s">
        <v>9215</v>
      </c>
      <c r="E25" s="2" t="s">
        <v>8740</v>
      </c>
      <c r="F25" s="4"/>
      <c r="G25" s="14"/>
      <c r="H25" s="9">
        <v>9</v>
      </c>
    </row>
    <row r="26" spans="3:11" x14ac:dyDescent="0.25">
      <c r="C26" s="8"/>
      <c r="D26" s="2" t="s">
        <v>9216</v>
      </c>
      <c r="E26" s="2" t="s">
        <v>6441</v>
      </c>
      <c r="F26" s="4">
        <v>1675</v>
      </c>
      <c r="G26" s="14"/>
      <c r="H26" s="9"/>
    </row>
    <row r="27" spans="3:11" x14ac:dyDescent="0.25">
      <c r="C27" s="8"/>
      <c r="D27" s="2" t="s">
        <v>9217</v>
      </c>
      <c r="E27" s="2" t="s">
        <v>4597</v>
      </c>
      <c r="F27" s="4"/>
      <c r="G27" s="14"/>
      <c r="H27" s="9">
        <v>733</v>
      </c>
    </row>
    <row r="28" spans="3:11" x14ac:dyDescent="0.25">
      <c r="C28" s="8"/>
      <c r="D28" s="2" t="s">
        <v>9218</v>
      </c>
      <c r="E28" s="2" t="s">
        <v>6440</v>
      </c>
      <c r="F28" s="4">
        <v>4.8</v>
      </c>
      <c r="G28" s="14"/>
      <c r="H28" s="9"/>
      <c r="K28">
        <f>20*60</f>
        <v>1200</v>
      </c>
    </row>
    <row r="29" spans="3:11" x14ac:dyDescent="0.25">
      <c r="C29" s="8"/>
      <c r="D29" s="2" t="s">
        <v>9219</v>
      </c>
      <c r="E29" s="2" t="s">
        <v>6440</v>
      </c>
      <c r="F29" s="4">
        <v>5</v>
      </c>
      <c r="G29" s="14"/>
      <c r="H29" s="9"/>
    </row>
    <row r="30" spans="3:11" x14ac:dyDescent="0.25">
      <c r="C30" s="8"/>
      <c r="D30" s="2" t="s">
        <v>9220</v>
      </c>
      <c r="E30" s="2" t="s">
        <v>6440</v>
      </c>
      <c r="F30" s="4">
        <v>10</v>
      </c>
      <c r="G30" s="14"/>
      <c r="H30" s="9"/>
    </row>
    <row r="31" spans="3:11" x14ac:dyDescent="0.25">
      <c r="C31" s="8"/>
      <c r="D31" s="2" t="s">
        <v>9221</v>
      </c>
      <c r="E31" s="2" t="s">
        <v>6440</v>
      </c>
      <c r="F31" s="4">
        <v>11</v>
      </c>
      <c r="G31" s="14"/>
      <c r="H31" s="9"/>
    </row>
    <row r="32" spans="3:11" x14ac:dyDescent="0.25">
      <c r="C32" s="8"/>
      <c r="D32" s="2" t="s">
        <v>9252</v>
      </c>
      <c r="E32" s="2" t="s">
        <v>6662</v>
      </c>
      <c r="F32" s="4"/>
      <c r="G32" s="14">
        <v>4149</v>
      </c>
      <c r="H32" s="9"/>
    </row>
    <row r="33" spans="3:8" x14ac:dyDescent="0.25">
      <c r="C33" s="8"/>
      <c r="D33" s="2" t="s">
        <v>9253</v>
      </c>
      <c r="E33" s="2" t="s">
        <v>6440</v>
      </c>
      <c r="F33" s="4"/>
      <c r="G33" s="14"/>
      <c r="H33" s="9">
        <v>7</v>
      </c>
    </row>
    <row r="34" spans="3:8" x14ac:dyDescent="0.25">
      <c r="C34" s="8"/>
      <c r="D34" s="2" t="s">
        <v>9254</v>
      </c>
      <c r="E34" s="2" t="s">
        <v>6440</v>
      </c>
      <c r="F34" s="4"/>
      <c r="G34" s="14"/>
      <c r="H34" s="9">
        <v>10</v>
      </c>
    </row>
    <row r="35" spans="3:8" x14ac:dyDescent="0.25">
      <c r="C35" s="8"/>
      <c r="D35" s="2" t="s">
        <v>9255</v>
      </c>
      <c r="E35" s="2" t="s">
        <v>6440</v>
      </c>
      <c r="F35" s="4"/>
      <c r="G35" s="14"/>
      <c r="H35" s="9">
        <v>9</v>
      </c>
    </row>
    <row r="36" spans="3:8" x14ac:dyDescent="0.25">
      <c r="C36" s="8"/>
      <c r="D36" s="2" t="s">
        <v>9256</v>
      </c>
      <c r="E36" s="2" t="s">
        <v>6440</v>
      </c>
      <c r="F36" s="4">
        <v>4.5</v>
      </c>
      <c r="G36" s="14"/>
      <c r="H36" s="9"/>
    </row>
    <row r="37" spans="3:8" x14ac:dyDescent="0.25">
      <c r="C37" s="8"/>
      <c r="D37" s="2" t="s">
        <v>9262</v>
      </c>
      <c r="E37" s="2" t="s">
        <v>6440</v>
      </c>
      <c r="F37" s="4">
        <v>133</v>
      </c>
      <c r="G37" s="14"/>
      <c r="H37" s="9"/>
    </row>
    <row r="38" spans="3:8" x14ac:dyDescent="0.25">
      <c r="C38" s="8"/>
      <c r="D38" s="2" t="s">
        <v>9263</v>
      </c>
      <c r="E38" s="2" t="s">
        <v>6440</v>
      </c>
      <c r="F38" s="4"/>
      <c r="G38" s="14"/>
      <c r="H38" s="9">
        <v>6</v>
      </c>
    </row>
    <row r="39" spans="3:8" x14ac:dyDescent="0.25">
      <c r="C39" s="8"/>
      <c r="D39" s="2" t="s">
        <v>9264</v>
      </c>
      <c r="E39" s="2" t="s">
        <v>6440</v>
      </c>
      <c r="F39" s="4">
        <v>22.5</v>
      </c>
      <c r="G39" s="14"/>
      <c r="H39" s="9"/>
    </row>
    <row r="40" spans="3:8" x14ac:dyDescent="0.25">
      <c r="C40" s="8"/>
      <c r="D40" s="2" t="s">
        <v>9265</v>
      </c>
      <c r="E40" s="2" t="s">
        <v>5330</v>
      </c>
      <c r="F40" s="4"/>
      <c r="G40" s="14"/>
      <c r="H40" s="9">
        <v>92.1</v>
      </c>
    </row>
    <row r="41" spans="3:8" x14ac:dyDescent="0.25">
      <c r="C41" s="8"/>
      <c r="D41" s="2" t="s">
        <v>9319</v>
      </c>
      <c r="E41" s="2"/>
      <c r="F41" s="4"/>
      <c r="G41" s="14"/>
      <c r="H41" s="9"/>
    </row>
    <row r="42" spans="3:8" x14ac:dyDescent="0.25">
      <c r="C42" s="8"/>
      <c r="D42" s="2" t="s">
        <v>9224</v>
      </c>
      <c r="E42" s="2" t="s">
        <v>5802</v>
      </c>
      <c r="F42" s="4">
        <v>6</v>
      </c>
      <c r="G42" s="14"/>
      <c r="H42" s="9"/>
    </row>
    <row r="43" spans="3:8" x14ac:dyDescent="0.25">
      <c r="C43" s="8"/>
      <c r="D43" s="2" t="s">
        <v>9225</v>
      </c>
      <c r="E43" s="2" t="s">
        <v>1631</v>
      </c>
      <c r="F43" s="4">
        <v>23</v>
      </c>
      <c r="G43" s="14"/>
      <c r="H43" s="9"/>
    </row>
    <row r="44" spans="3:8" x14ac:dyDescent="0.25">
      <c r="C44" s="8"/>
      <c r="D44" s="2" t="s">
        <v>9226</v>
      </c>
      <c r="E44" s="2" t="s">
        <v>1631</v>
      </c>
      <c r="F44" s="4">
        <v>11.5</v>
      </c>
      <c r="G44" s="14"/>
      <c r="H44" s="9"/>
    </row>
    <row r="45" spans="3:8" x14ac:dyDescent="0.25">
      <c r="C45" s="8"/>
      <c r="D45" s="2" t="s">
        <v>9227</v>
      </c>
      <c r="E45" s="2" t="s">
        <v>1631</v>
      </c>
      <c r="F45" s="4"/>
      <c r="G45" s="14"/>
      <c r="H45" s="9">
        <v>2</v>
      </c>
    </row>
    <row r="46" spans="3:8" x14ac:dyDescent="0.25">
      <c r="C46" s="8"/>
      <c r="D46" s="2" t="s">
        <v>9228</v>
      </c>
      <c r="E46" s="2" t="s">
        <v>1631</v>
      </c>
      <c r="F46" s="4">
        <v>4</v>
      </c>
      <c r="G46" s="14"/>
      <c r="H46" s="9"/>
    </row>
    <row r="47" spans="3:8" x14ac:dyDescent="0.25">
      <c r="C47" s="8"/>
      <c r="D47" s="2" t="s">
        <v>9229</v>
      </c>
      <c r="E47" s="2" t="s">
        <v>1631</v>
      </c>
      <c r="F47" s="4">
        <v>12</v>
      </c>
      <c r="G47" s="14"/>
      <c r="H47" s="9"/>
    </row>
    <row r="48" spans="3:8" x14ac:dyDescent="0.25">
      <c r="C48" s="8"/>
      <c r="D48" s="2" t="s">
        <v>9230</v>
      </c>
      <c r="E48" s="2" t="s">
        <v>1631</v>
      </c>
      <c r="F48" s="4">
        <v>31.8</v>
      </c>
      <c r="G48" s="14"/>
      <c r="H48" s="9"/>
    </row>
    <row r="49" spans="3:8" x14ac:dyDescent="0.25">
      <c r="C49" s="8"/>
      <c r="D49" s="2" t="s">
        <v>9231</v>
      </c>
      <c r="E49" s="2" t="s">
        <v>9233</v>
      </c>
      <c r="F49" s="4">
        <v>133.80000000000001</v>
      </c>
      <c r="G49" s="14"/>
      <c r="H49" s="9"/>
    </row>
    <row r="50" spans="3:8" x14ac:dyDescent="0.25">
      <c r="C50" s="8"/>
      <c r="D50" s="2" t="s">
        <v>9232</v>
      </c>
      <c r="E50" s="2" t="s">
        <v>58</v>
      </c>
      <c r="F50" s="4"/>
      <c r="G50" s="14"/>
      <c r="H50" s="9">
        <v>145</v>
      </c>
    </row>
    <row r="51" spans="3:8" x14ac:dyDescent="0.25">
      <c r="C51" s="8"/>
      <c r="D51" s="2" t="s">
        <v>9257</v>
      </c>
      <c r="E51" s="2" t="s">
        <v>1631</v>
      </c>
      <c r="F51" s="4">
        <v>18</v>
      </c>
      <c r="G51" s="14"/>
      <c r="H51" s="9"/>
    </row>
    <row r="52" spans="3:8" x14ac:dyDescent="0.25">
      <c r="C52" s="8"/>
      <c r="D52" s="2" t="s">
        <v>9258</v>
      </c>
      <c r="E52" s="2" t="s">
        <v>1631</v>
      </c>
      <c r="F52" s="4"/>
      <c r="G52" s="14"/>
      <c r="H52" s="9">
        <v>60</v>
      </c>
    </row>
    <row r="53" spans="3:8" x14ac:dyDescent="0.25">
      <c r="C53" s="8"/>
      <c r="D53" s="2" t="s">
        <v>9266</v>
      </c>
      <c r="E53" s="2" t="s">
        <v>5802</v>
      </c>
      <c r="F53" s="4">
        <v>2.4</v>
      </c>
      <c r="G53" s="14"/>
      <c r="H53" s="9"/>
    </row>
    <row r="54" spans="3:8" x14ac:dyDescent="0.25">
      <c r="C54" s="8"/>
      <c r="D54" s="2" t="s">
        <v>9267</v>
      </c>
      <c r="E54" s="2" t="s">
        <v>1631</v>
      </c>
      <c r="F54" s="4"/>
      <c r="G54" s="14"/>
      <c r="H54" s="9">
        <v>227.2</v>
      </c>
    </row>
    <row r="55" spans="3:8" x14ac:dyDescent="0.25">
      <c r="C55" s="8"/>
      <c r="D55" s="2" t="s">
        <v>9268</v>
      </c>
      <c r="E55" s="2" t="s">
        <v>1631</v>
      </c>
      <c r="F55" s="4"/>
      <c r="G55" s="14"/>
      <c r="H55" s="9">
        <v>95.4</v>
      </c>
    </row>
    <row r="56" spans="3:8" x14ac:dyDescent="0.25">
      <c r="C56" s="8"/>
      <c r="D56" s="2" t="s">
        <v>9269</v>
      </c>
      <c r="E56" s="2" t="s">
        <v>1631</v>
      </c>
      <c r="F56" s="4"/>
      <c r="G56" s="14"/>
      <c r="H56" s="9">
        <v>9</v>
      </c>
    </row>
    <row r="57" spans="3:8" x14ac:dyDescent="0.25">
      <c r="C57" s="8"/>
      <c r="D57" s="2" t="s">
        <v>9270</v>
      </c>
      <c r="E57" s="2" t="s">
        <v>1631</v>
      </c>
      <c r="F57" s="4"/>
      <c r="G57" s="14"/>
      <c r="H57" s="9">
        <v>203</v>
      </c>
    </row>
    <row r="58" spans="3:8" x14ac:dyDescent="0.25">
      <c r="C58" s="8"/>
      <c r="D58" s="2" t="s">
        <v>9271</v>
      </c>
      <c r="E58" s="2" t="s">
        <v>1373</v>
      </c>
      <c r="F58" s="4"/>
      <c r="G58" s="14">
        <v>4640</v>
      </c>
      <c r="H58" s="9"/>
    </row>
    <row r="59" spans="3:8" x14ac:dyDescent="0.25">
      <c r="C59" s="8"/>
      <c r="D59" s="2" t="s">
        <v>9272</v>
      </c>
      <c r="E59" s="2" t="s">
        <v>5802</v>
      </c>
      <c r="F59" s="4">
        <v>3430</v>
      </c>
      <c r="G59" s="14"/>
      <c r="H59" s="9"/>
    </row>
    <row r="60" spans="3:8" x14ac:dyDescent="0.25">
      <c r="C60" s="8"/>
      <c r="D60" s="2" t="s">
        <v>9273</v>
      </c>
      <c r="E60" s="2" t="s">
        <v>9274</v>
      </c>
      <c r="F60" s="4"/>
      <c r="G60" s="14">
        <v>5</v>
      </c>
      <c r="H60" s="9"/>
    </row>
    <row r="61" spans="3:8" x14ac:dyDescent="0.25">
      <c r="C61" s="8"/>
      <c r="D61" s="2" t="s">
        <v>9293</v>
      </c>
      <c r="E61" s="2"/>
      <c r="F61" s="4"/>
      <c r="G61" s="14"/>
      <c r="H61" s="9"/>
    </row>
    <row r="62" spans="3:8" ht="12.75" customHeight="1" x14ac:dyDescent="0.25">
      <c r="C62" s="8"/>
      <c r="D62" s="2"/>
      <c r="E62" s="2"/>
      <c r="F62" s="4"/>
      <c r="G62" s="14"/>
      <c r="H62" s="9"/>
    </row>
    <row r="63" spans="3:8" x14ac:dyDescent="0.25">
      <c r="C63" s="8"/>
      <c r="D63" s="2"/>
      <c r="E63" s="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8"/>
      <c r="D65" s="2"/>
      <c r="E65" s="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9192</v>
      </c>
      <c r="E68" s="2" t="s">
        <v>4322</v>
      </c>
      <c r="F68" s="35"/>
      <c r="G68" s="14"/>
      <c r="H68" s="97">
        <v>286.5</v>
      </c>
    </row>
    <row r="69" spans="3:8" x14ac:dyDescent="0.25">
      <c r="C69" s="8"/>
      <c r="D69" s="2" t="s">
        <v>9193</v>
      </c>
      <c r="E69" s="2" t="s">
        <v>9191</v>
      </c>
      <c r="F69" s="35"/>
      <c r="G69" s="14"/>
      <c r="H69" s="97">
        <v>14.5</v>
      </c>
    </row>
    <row r="70" spans="3:8" x14ac:dyDescent="0.25">
      <c r="C70" s="8"/>
      <c r="D70" s="2" t="s">
        <v>9194</v>
      </c>
      <c r="E70" s="2" t="s">
        <v>4322</v>
      </c>
      <c r="F70" s="35"/>
      <c r="G70" s="14"/>
      <c r="H70" s="97">
        <v>50</v>
      </c>
    </row>
    <row r="71" spans="3:8" x14ac:dyDescent="0.25">
      <c r="C71" s="8"/>
      <c r="D71" s="2" t="s">
        <v>9195</v>
      </c>
      <c r="E71" s="2" t="s">
        <v>8207</v>
      </c>
      <c r="F71" s="35"/>
      <c r="G71" s="14"/>
      <c r="H71" s="97">
        <v>1950</v>
      </c>
    </row>
    <row r="72" spans="3:8" x14ac:dyDescent="0.25">
      <c r="C72" s="8"/>
      <c r="D72" s="2"/>
      <c r="E72" s="2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16"/>
      <c r="D75" s="17"/>
      <c r="E75" s="17" t="s">
        <v>39</v>
      </c>
      <c r="F75" s="4"/>
      <c r="G75" s="14"/>
      <c r="H75" s="9"/>
    </row>
    <row r="76" spans="3:8" ht="15.75" customHeight="1" x14ac:dyDescent="0.25">
      <c r="C76" s="8"/>
      <c r="D76" s="2"/>
      <c r="E76" s="68" t="s">
        <v>9234</v>
      </c>
      <c r="F76" s="35">
        <v>107.1</v>
      </c>
      <c r="G76" s="14"/>
      <c r="H76" s="9"/>
    </row>
    <row r="77" spans="3:8" x14ac:dyDescent="0.25">
      <c r="C77" s="8"/>
      <c r="D77" s="2"/>
      <c r="E77" s="76" t="s">
        <v>9235</v>
      </c>
      <c r="F77" s="35">
        <v>1892.9</v>
      </c>
      <c r="G77" s="14"/>
      <c r="H77" s="9"/>
    </row>
    <row r="78" spans="3:8" x14ac:dyDescent="0.25">
      <c r="C78" s="8"/>
      <c r="D78" s="2"/>
      <c r="E78" s="76" t="s">
        <v>9236</v>
      </c>
      <c r="F78" s="35">
        <v>563</v>
      </c>
      <c r="G78" s="14"/>
      <c r="H78" s="9"/>
    </row>
    <row r="79" spans="3:8" x14ac:dyDescent="0.25">
      <c r="C79" s="8"/>
      <c r="D79" s="2"/>
      <c r="E79" s="76" t="s">
        <v>9237</v>
      </c>
      <c r="F79" s="35">
        <v>6680.9</v>
      </c>
      <c r="G79" s="14"/>
      <c r="H79" s="9"/>
    </row>
    <row r="80" spans="3:8" x14ac:dyDescent="0.25">
      <c r="C80" s="8"/>
      <c r="D80" s="2"/>
      <c r="E80" s="76" t="s">
        <v>9238</v>
      </c>
      <c r="F80" s="35">
        <v>15.1</v>
      </c>
      <c r="G80" s="14"/>
      <c r="H80" s="9"/>
    </row>
    <row r="81" spans="3:9" x14ac:dyDescent="0.25">
      <c r="C81" s="8"/>
      <c r="D81" s="2"/>
      <c r="E81" s="76" t="s">
        <v>9239</v>
      </c>
      <c r="F81" s="35">
        <v>521</v>
      </c>
      <c r="G81" s="14"/>
      <c r="H81" s="9"/>
    </row>
    <row r="82" spans="3:9" x14ac:dyDescent="0.25">
      <c r="C82" s="8"/>
      <c r="D82" s="2"/>
      <c r="E82" s="76" t="s">
        <v>9240</v>
      </c>
      <c r="F82" s="35">
        <v>1270</v>
      </c>
      <c r="G82" s="14"/>
      <c r="H82" s="9"/>
    </row>
    <row r="83" spans="3:9" x14ac:dyDescent="0.25">
      <c r="C83" s="8"/>
      <c r="D83" s="2"/>
      <c r="E83" s="76" t="s">
        <v>9241</v>
      </c>
      <c r="F83" s="35">
        <v>597</v>
      </c>
      <c r="G83" s="14"/>
      <c r="H83" s="9"/>
    </row>
    <row r="84" spans="3:9" x14ac:dyDescent="0.25">
      <c r="C84" s="8"/>
      <c r="D84" s="2"/>
      <c r="E84" s="76" t="s">
        <v>9242</v>
      </c>
      <c r="F84" s="35">
        <v>22.5</v>
      </c>
      <c r="G84" s="14"/>
      <c r="H84" s="9"/>
      <c r="I84" s="36"/>
    </row>
    <row r="85" spans="3:9" x14ac:dyDescent="0.25">
      <c r="C85" s="8"/>
      <c r="D85" s="2"/>
      <c r="E85" s="76" t="s">
        <v>9243</v>
      </c>
      <c r="F85" s="35">
        <v>22.5</v>
      </c>
      <c r="G85" s="14"/>
      <c r="H85" s="9"/>
      <c r="I85" s="36"/>
    </row>
    <row r="86" spans="3:9" x14ac:dyDescent="0.25">
      <c r="C86" s="8"/>
      <c r="D86" s="2"/>
      <c r="E86" s="76" t="s">
        <v>9244</v>
      </c>
      <c r="F86" s="35">
        <v>995</v>
      </c>
      <c r="G86" s="14"/>
      <c r="H86" s="9"/>
      <c r="I86" s="36"/>
    </row>
    <row r="87" spans="3:9" x14ac:dyDescent="0.25">
      <c r="C87" s="8"/>
      <c r="D87" s="2"/>
      <c r="E87" s="76" t="s">
        <v>9245</v>
      </c>
      <c r="F87" s="35">
        <v>1925</v>
      </c>
      <c r="G87" s="14"/>
      <c r="H87" s="9"/>
      <c r="I87" s="36"/>
    </row>
    <row r="88" spans="3:9" x14ac:dyDescent="0.25">
      <c r="C88" s="8"/>
      <c r="D88" s="2"/>
      <c r="E88" s="76" t="s">
        <v>9246</v>
      </c>
      <c r="F88" s="35">
        <v>1499.9</v>
      </c>
      <c r="G88" s="14"/>
      <c r="H88" s="9"/>
      <c r="I88" s="36"/>
    </row>
    <row r="89" spans="3:9" x14ac:dyDescent="0.25">
      <c r="C89" s="8"/>
      <c r="D89" s="2"/>
      <c r="E89" s="76" t="s">
        <v>9275</v>
      </c>
      <c r="F89" s="35">
        <v>5.5</v>
      </c>
      <c r="G89" s="14"/>
      <c r="H89" s="9"/>
      <c r="I89" s="36"/>
    </row>
    <row r="90" spans="3:9" x14ac:dyDescent="0.25">
      <c r="C90" s="8"/>
      <c r="D90" s="2"/>
      <c r="E90" s="76" t="s">
        <v>9275</v>
      </c>
      <c r="F90" s="35">
        <v>25</v>
      </c>
      <c r="G90" s="14"/>
      <c r="H90" s="9"/>
      <c r="I90" s="36"/>
    </row>
    <row r="91" spans="3:9" x14ac:dyDescent="0.25">
      <c r="C91" s="8"/>
      <c r="D91" s="2"/>
      <c r="E91" s="76" t="s">
        <v>9276</v>
      </c>
      <c r="F91" s="35">
        <v>699.5</v>
      </c>
      <c r="G91" s="14"/>
      <c r="H91" s="9"/>
      <c r="I91" s="36"/>
    </row>
    <row r="92" spans="3:9" x14ac:dyDescent="0.25">
      <c r="C92" s="8"/>
      <c r="D92" s="2"/>
      <c r="E92" s="76" t="s">
        <v>9277</v>
      </c>
      <c r="F92" s="35">
        <v>919.8</v>
      </c>
      <c r="G92" s="14"/>
      <c r="H92" s="9"/>
      <c r="I92" s="36"/>
    </row>
    <row r="93" spans="3:9" x14ac:dyDescent="0.25">
      <c r="C93" s="8"/>
      <c r="D93" s="2"/>
      <c r="E93" s="76" t="s">
        <v>9278</v>
      </c>
      <c r="F93" s="35">
        <v>80.7</v>
      </c>
      <c r="G93" s="14"/>
      <c r="H93" s="9"/>
      <c r="I93" s="36"/>
    </row>
    <row r="94" spans="3:9" x14ac:dyDescent="0.25">
      <c r="C94" s="8"/>
      <c r="D94" s="2"/>
      <c r="E94" s="76" t="s">
        <v>9279</v>
      </c>
      <c r="F94" s="35">
        <v>7.5</v>
      </c>
      <c r="G94" s="14"/>
      <c r="H94" s="9"/>
      <c r="I94" s="36"/>
    </row>
    <row r="95" spans="3:9" x14ac:dyDescent="0.25">
      <c r="C95" s="8"/>
      <c r="D95" s="2"/>
      <c r="E95" s="76" t="s">
        <v>9289</v>
      </c>
      <c r="F95" s="35">
        <v>5</v>
      </c>
      <c r="G95" s="14"/>
      <c r="H95" s="9"/>
      <c r="I95" s="36"/>
    </row>
    <row r="96" spans="3:9" x14ac:dyDescent="0.25">
      <c r="C96" s="8"/>
      <c r="D96" s="2"/>
      <c r="E96" s="76" t="s">
        <v>9290</v>
      </c>
      <c r="F96" s="35">
        <v>64</v>
      </c>
      <c r="G96" s="14"/>
      <c r="H96" s="9"/>
      <c r="I96" s="36"/>
    </row>
    <row r="97" spans="3:9" x14ac:dyDescent="0.25">
      <c r="C97" s="8"/>
      <c r="D97" s="2"/>
      <c r="E97" s="76" t="s">
        <v>9291</v>
      </c>
      <c r="F97" s="35">
        <v>12.2</v>
      </c>
      <c r="G97" s="14"/>
      <c r="H97" s="9"/>
      <c r="I97" s="36"/>
    </row>
    <row r="98" spans="3:9" x14ac:dyDescent="0.25">
      <c r="C98" s="8"/>
      <c r="D98" s="2"/>
      <c r="E98" s="2"/>
      <c r="F98" s="4"/>
      <c r="G98" s="14"/>
      <c r="H98" s="9"/>
    </row>
    <row r="99" spans="3:9" x14ac:dyDescent="0.25">
      <c r="C99" s="19"/>
      <c r="D99" s="20"/>
      <c r="E99" s="20" t="s">
        <v>42</v>
      </c>
      <c r="F99" s="14"/>
      <c r="G99" s="14"/>
      <c r="H99" s="9"/>
    </row>
    <row r="100" spans="3:9" x14ac:dyDescent="0.25">
      <c r="C100" s="34"/>
      <c r="D100" s="45"/>
      <c r="E100" s="68" t="s">
        <v>9222</v>
      </c>
      <c r="F100" s="14">
        <v>-1200</v>
      </c>
      <c r="G100" s="14"/>
      <c r="H100" s="9"/>
    </row>
    <row r="101" spans="3:9" x14ac:dyDescent="0.25">
      <c r="C101" s="34"/>
      <c r="D101" s="45"/>
      <c r="E101" s="68" t="s">
        <v>9250</v>
      </c>
      <c r="F101" s="14">
        <v>-1330</v>
      </c>
      <c r="G101" s="14"/>
      <c r="H101" s="9"/>
    </row>
    <row r="102" spans="3:9" x14ac:dyDescent="0.25">
      <c r="C102" s="34"/>
      <c r="D102" s="45"/>
      <c r="E102" s="68" t="s">
        <v>9251</v>
      </c>
      <c r="F102" s="14">
        <v>-462.5</v>
      </c>
      <c r="G102" s="14"/>
      <c r="H102" s="9"/>
    </row>
    <row r="103" spans="3:9" x14ac:dyDescent="0.25">
      <c r="C103" s="34"/>
      <c r="D103" s="45"/>
      <c r="E103" s="68" t="s">
        <v>9247</v>
      </c>
      <c r="F103" s="14">
        <v>-36</v>
      </c>
      <c r="G103" s="14"/>
      <c r="H103" s="9"/>
    </row>
    <row r="104" spans="3:9" x14ac:dyDescent="0.25">
      <c r="C104" s="34"/>
      <c r="D104" s="45"/>
      <c r="E104" s="68" t="s">
        <v>9248</v>
      </c>
      <c r="F104" s="14">
        <v>-100</v>
      </c>
      <c r="G104" s="14"/>
      <c r="H104" s="9"/>
    </row>
    <row r="105" spans="3:9" x14ac:dyDescent="0.25">
      <c r="C105" s="34"/>
      <c r="D105" s="45"/>
      <c r="E105" s="68" t="s">
        <v>9249</v>
      </c>
      <c r="F105" s="14">
        <v>-100</v>
      </c>
      <c r="G105" s="14"/>
      <c r="H105" s="9"/>
    </row>
    <row r="106" spans="3:9" x14ac:dyDescent="0.25">
      <c r="C106" s="34"/>
      <c r="D106" s="45"/>
      <c r="E106" s="68" t="s">
        <v>9259</v>
      </c>
      <c r="F106" s="14">
        <v>-30</v>
      </c>
      <c r="G106" s="14"/>
      <c r="H106" s="9"/>
    </row>
    <row r="107" spans="3:9" x14ac:dyDescent="0.25">
      <c r="C107" s="34"/>
      <c r="D107" s="45"/>
      <c r="E107" s="68" t="s">
        <v>9260</v>
      </c>
      <c r="F107" s="14">
        <v>-30</v>
      </c>
      <c r="G107" s="14"/>
      <c r="H107" s="9"/>
    </row>
    <row r="108" spans="3:9" x14ac:dyDescent="0.25">
      <c r="C108" s="34"/>
      <c r="D108" s="45"/>
      <c r="E108" s="68" t="s">
        <v>9261</v>
      </c>
      <c r="F108" s="14">
        <v>-10</v>
      </c>
      <c r="G108" s="14"/>
      <c r="H108" s="9"/>
    </row>
    <row r="109" spans="3:9" x14ac:dyDescent="0.25">
      <c r="C109" s="34"/>
      <c r="D109" s="45"/>
      <c r="E109" s="68" t="s">
        <v>1274</v>
      </c>
      <c r="F109" s="14">
        <v>-2945</v>
      </c>
      <c r="G109" s="14"/>
      <c r="H109" s="9"/>
    </row>
    <row r="110" spans="3:9" x14ac:dyDescent="0.25">
      <c r="C110" s="34"/>
      <c r="D110" s="45"/>
      <c r="E110" s="68" t="s">
        <v>9280</v>
      </c>
      <c r="F110" s="14">
        <v>-50</v>
      </c>
      <c r="G110" s="14"/>
      <c r="H110" s="9"/>
    </row>
    <row r="111" spans="3:9" x14ac:dyDescent="0.25">
      <c r="C111" s="34"/>
      <c r="D111" s="45"/>
      <c r="E111" s="68" t="s">
        <v>9281</v>
      </c>
      <c r="F111" s="14">
        <v>-40</v>
      </c>
      <c r="G111" s="14"/>
      <c r="H111" s="9"/>
    </row>
    <row r="112" spans="3:9" x14ac:dyDescent="0.25">
      <c r="C112" s="34"/>
      <c r="D112" s="45"/>
      <c r="E112" s="68" t="s">
        <v>9282</v>
      </c>
      <c r="F112" s="14">
        <v>-240</v>
      </c>
      <c r="G112" s="14"/>
      <c r="H112" s="9"/>
    </row>
    <row r="113" spans="3:8" x14ac:dyDescent="0.25">
      <c r="C113" s="34"/>
      <c r="D113" s="45"/>
      <c r="E113" s="68" t="s">
        <v>9283</v>
      </c>
      <c r="F113" s="14">
        <v>-350</v>
      </c>
      <c r="G113" s="14"/>
      <c r="H113" s="9"/>
    </row>
    <row r="114" spans="3:8" x14ac:dyDescent="0.25">
      <c r="C114" s="34"/>
      <c r="D114" s="45"/>
      <c r="E114" s="68" t="s">
        <v>9284</v>
      </c>
      <c r="F114" s="14">
        <v>-3430</v>
      </c>
      <c r="G114" s="14"/>
      <c r="H114" s="9"/>
    </row>
    <row r="115" spans="3:8" x14ac:dyDescent="0.25">
      <c r="C115" s="34"/>
      <c r="D115" s="45"/>
      <c r="E115" s="68" t="s">
        <v>1486</v>
      </c>
      <c r="F115" s="14">
        <v>-480</v>
      </c>
      <c r="G115" s="14"/>
      <c r="H115" s="9"/>
    </row>
    <row r="116" spans="3:8" x14ac:dyDescent="0.25">
      <c r="C116" s="34"/>
      <c r="D116" s="45"/>
      <c r="E116" s="68" t="s">
        <v>5429</v>
      </c>
      <c r="F116" s="14">
        <v>-310</v>
      </c>
      <c r="G116" s="14"/>
      <c r="H116" s="9"/>
    </row>
    <row r="117" spans="3:8" x14ac:dyDescent="0.25">
      <c r="C117" s="34"/>
      <c r="D117" s="45"/>
      <c r="E117" s="68" t="s">
        <v>9285</v>
      </c>
      <c r="F117" s="14">
        <v>-270</v>
      </c>
      <c r="G117" s="14"/>
      <c r="H117" s="9"/>
    </row>
    <row r="118" spans="3:8" x14ac:dyDescent="0.25">
      <c r="C118" s="34"/>
      <c r="D118" s="45"/>
      <c r="E118" s="68" t="s">
        <v>9286</v>
      </c>
      <c r="F118" s="14">
        <v>-400</v>
      </c>
      <c r="G118" s="14"/>
      <c r="H118" s="9"/>
    </row>
    <row r="119" spans="3:8" x14ac:dyDescent="0.25">
      <c r="C119" s="34"/>
      <c r="D119" s="45"/>
      <c r="E119" s="68" t="s">
        <v>9287</v>
      </c>
      <c r="F119" s="14">
        <v>-51.8</v>
      </c>
      <c r="G119" s="14"/>
      <c r="H119" s="9"/>
    </row>
    <row r="120" spans="3:8" x14ac:dyDescent="0.25">
      <c r="C120" s="34"/>
      <c r="D120" s="45"/>
      <c r="E120" s="68" t="s">
        <v>9288</v>
      </c>
      <c r="F120" s="14">
        <v>-260</v>
      </c>
      <c r="G120" s="14"/>
      <c r="H120" s="9"/>
    </row>
    <row r="121" spans="3:8" x14ac:dyDescent="0.25">
      <c r="C121" s="34"/>
      <c r="D121" s="45"/>
      <c r="E121" s="68" t="s">
        <v>7928</v>
      </c>
      <c r="F121" s="14">
        <v>-900</v>
      </c>
      <c r="G121" s="14"/>
      <c r="H121" s="9"/>
    </row>
    <row r="122" spans="3:8" x14ac:dyDescent="0.25">
      <c r="C122" s="34"/>
      <c r="D122" s="45"/>
      <c r="E122" s="68"/>
      <c r="F122" s="14"/>
      <c r="G122" s="14"/>
      <c r="H122" s="9"/>
    </row>
    <row r="123" spans="3:8" x14ac:dyDescent="0.25">
      <c r="C123" s="34"/>
      <c r="D123" s="45"/>
      <c r="E123" s="68"/>
      <c r="F123" s="14"/>
      <c r="G123" s="14"/>
      <c r="H123" s="9"/>
    </row>
    <row r="124" spans="3:8" x14ac:dyDescent="0.25">
      <c r="C124" s="34"/>
      <c r="D124" s="45"/>
      <c r="E124" s="68"/>
      <c r="F124" s="14"/>
      <c r="G124" s="14"/>
      <c r="H124" s="9"/>
    </row>
    <row r="125" spans="3:8" x14ac:dyDescent="0.25">
      <c r="C125" s="34"/>
      <c r="D125" s="45"/>
      <c r="E125" s="68"/>
      <c r="F125" s="14"/>
      <c r="G125" s="14"/>
      <c r="H125" s="9"/>
    </row>
    <row r="126" spans="3:8" ht="15.75" thickBot="1" x14ac:dyDescent="0.3">
      <c r="C126" s="10"/>
      <c r="D126" s="11"/>
      <c r="E126" s="11" t="s">
        <v>44</v>
      </c>
      <c r="F126" s="12">
        <f>SUM(F6:F125)</f>
        <v>11060.500000000004</v>
      </c>
      <c r="G126" s="15">
        <f>SUM(G6:G125)</f>
        <v>8794</v>
      </c>
      <c r="H126" s="13">
        <f>SUM(H6:H125)</f>
        <v>6426.2</v>
      </c>
    </row>
    <row r="129" spans="3:6" s="3" customFormat="1" ht="18.75" x14ac:dyDescent="0.3">
      <c r="C129" s="1"/>
      <c r="D129" s="1"/>
      <c r="E129" s="38" t="s">
        <v>49</v>
      </c>
      <c r="F129" s="39">
        <f>+H4+F126</f>
        <v>14320.550000000003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AEC5-1001-4268-BCA3-0BF88A20E5B7}">
  <sheetPr codeName="Hoja119"/>
  <dimension ref="C2:J62"/>
  <sheetViews>
    <sheetView topLeftCell="A22" zoomScale="89" zoomScaleNormal="89" workbookViewId="0">
      <selection activeCell="E15" sqref="E15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15.5703125" style="3" bestFit="1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9292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4">
        <v>14320.55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9293</v>
      </c>
      <c r="E6" s="2" t="s">
        <v>7146</v>
      </c>
      <c r="F6" s="109"/>
      <c r="G6" s="113"/>
      <c r="H6" s="112">
        <v>15.5</v>
      </c>
    </row>
    <row r="7" spans="3:10" x14ac:dyDescent="0.25">
      <c r="C7" s="24"/>
      <c r="D7" s="2" t="s">
        <v>9294</v>
      </c>
      <c r="E7" s="2" t="s">
        <v>7146</v>
      </c>
      <c r="F7" s="109"/>
      <c r="G7" s="113"/>
      <c r="H7" s="112">
        <v>19.5</v>
      </c>
      <c r="I7" s="36"/>
      <c r="J7" s="36"/>
    </row>
    <row r="8" spans="3:10" x14ac:dyDescent="0.25">
      <c r="C8" s="24"/>
      <c r="D8" s="2" t="s">
        <v>9295</v>
      </c>
      <c r="E8" s="2" t="s">
        <v>7146</v>
      </c>
      <c r="F8" s="109">
        <v>31.8</v>
      </c>
      <c r="G8" s="113"/>
      <c r="H8" s="112"/>
      <c r="J8" s="36"/>
    </row>
    <row r="9" spans="3:10" x14ac:dyDescent="0.25">
      <c r="C9" s="24"/>
      <c r="D9" s="2" t="s">
        <v>9296</v>
      </c>
      <c r="E9" s="2" t="s">
        <v>7146</v>
      </c>
      <c r="F9" s="109"/>
      <c r="G9" s="113"/>
      <c r="H9" s="112">
        <v>6.5</v>
      </c>
      <c r="J9" s="36"/>
    </row>
    <row r="10" spans="3:10" x14ac:dyDescent="0.25">
      <c r="C10" s="8"/>
      <c r="D10" s="2" t="s">
        <v>9297</v>
      </c>
      <c r="E10" s="2" t="s">
        <v>7146</v>
      </c>
      <c r="F10" s="4">
        <v>60</v>
      </c>
      <c r="G10" s="14"/>
      <c r="H10" s="9"/>
    </row>
    <row r="11" spans="3:10" x14ac:dyDescent="0.25">
      <c r="C11" s="8"/>
      <c r="D11" s="2" t="s">
        <v>9298</v>
      </c>
      <c r="E11" s="2" t="s">
        <v>7146</v>
      </c>
      <c r="F11" s="4">
        <v>9</v>
      </c>
      <c r="G11" s="14"/>
      <c r="H11" s="9"/>
    </row>
    <row r="12" spans="3:10" x14ac:dyDescent="0.25">
      <c r="C12" s="8"/>
      <c r="D12" s="2" t="s">
        <v>9299</v>
      </c>
      <c r="E12" s="2" t="s">
        <v>7146</v>
      </c>
      <c r="F12" s="4">
        <v>3</v>
      </c>
      <c r="G12" s="14"/>
      <c r="H12" s="9"/>
    </row>
    <row r="13" spans="3:10" x14ac:dyDescent="0.25">
      <c r="C13" s="8"/>
      <c r="D13" s="2" t="s">
        <v>9300</v>
      </c>
      <c r="E13" s="2" t="s">
        <v>7146</v>
      </c>
      <c r="F13" s="4"/>
      <c r="G13" s="14"/>
      <c r="H13" s="9">
        <v>48</v>
      </c>
    </row>
    <row r="14" spans="3:10" x14ac:dyDescent="0.25">
      <c r="C14" s="8"/>
      <c r="D14" s="2" t="s">
        <v>9301</v>
      </c>
      <c r="E14" s="2" t="s">
        <v>7146</v>
      </c>
      <c r="F14" s="4">
        <v>2</v>
      </c>
      <c r="G14" s="14"/>
      <c r="H14" s="9"/>
    </row>
    <row r="15" spans="3:10" x14ac:dyDescent="0.25">
      <c r="C15" s="8"/>
      <c r="D15" s="2" t="s">
        <v>9302</v>
      </c>
      <c r="E15" s="2" t="s">
        <v>7146</v>
      </c>
      <c r="F15" s="4"/>
      <c r="G15" s="14"/>
      <c r="H15" s="9">
        <v>21</v>
      </c>
    </row>
    <row r="16" spans="3:10" x14ac:dyDescent="0.25">
      <c r="C16" s="8"/>
      <c r="D16" s="2" t="s">
        <v>9303</v>
      </c>
      <c r="E16" s="2" t="s">
        <v>7146</v>
      </c>
      <c r="F16" s="4">
        <v>40</v>
      </c>
      <c r="G16" s="14"/>
      <c r="H16" s="9"/>
    </row>
    <row r="17" spans="3:8" x14ac:dyDescent="0.25">
      <c r="C17" s="8"/>
      <c r="D17" s="2" t="s">
        <v>9304</v>
      </c>
      <c r="E17" s="2" t="s">
        <v>7146</v>
      </c>
      <c r="F17" s="4">
        <v>6</v>
      </c>
      <c r="G17" s="14"/>
      <c r="H17" s="9"/>
    </row>
    <row r="18" spans="3:8" x14ac:dyDescent="0.25">
      <c r="C18" s="8"/>
      <c r="D18" s="2" t="s">
        <v>9305</v>
      </c>
      <c r="E18" s="2" t="s">
        <v>7146</v>
      </c>
      <c r="F18" s="4">
        <v>55</v>
      </c>
      <c r="G18" s="14"/>
      <c r="H18" s="9"/>
    </row>
    <row r="19" spans="3:8" x14ac:dyDescent="0.25">
      <c r="C19" s="8"/>
      <c r="D19" s="2" t="s">
        <v>9306</v>
      </c>
      <c r="E19" s="2" t="s">
        <v>7146</v>
      </c>
      <c r="F19" s="4">
        <v>2.5</v>
      </c>
      <c r="G19" s="14"/>
      <c r="H19" s="9"/>
    </row>
    <row r="20" spans="3:8" x14ac:dyDescent="0.25">
      <c r="C20" s="8"/>
      <c r="D20" s="2" t="s">
        <v>9307</v>
      </c>
      <c r="E20" s="2" t="s">
        <v>7146</v>
      </c>
      <c r="F20" s="4">
        <v>6</v>
      </c>
      <c r="G20" s="14"/>
      <c r="H20" s="9"/>
    </row>
    <row r="21" spans="3:8" x14ac:dyDescent="0.25">
      <c r="C21" s="8"/>
      <c r="D21" s="2" t="s">
        <v>9308</v>
      </c>
      <c r="E21" s="2" t="s">
        <v>7146</v>
      </c>
      <c r="F21" s="4"/>
      <c r="G21" s="14"/>
      <c r="H21" s="9">
        <v>7.5</v>
      </c>
    </row>
    <row r="22" spans="3:8" x14ac:dyDescent="0.25">
      <c r="C22" s="8"/>
      <c r="D22" s="2" t="s">
        <v>9309</v>
      </c>
      <c r="E22" s="2" t="s">
        <v>7146</v>
      </c>
      <c r="F22" s="4">
        <v>16</v>
      </c>
      <c r="G22" s="14"/>
      <c r="H22" s="9"/>
    </row>
    <row r="23" spans="3:8" x14ac:dyDescent="0.25">
      <c r="C23" s="8"/>
      <c r="D23" s="2" t="s">
        <v>9310</v>
      </c>
      <c r="E23" s="2" t="s">
        <v>7146</v>
      </c>
      <c r="F23" s="4">
        <v>24</v>
      </c>
      <c r="G23" s="14"/>
      <c r="H23" s="9"/>
    </row>
    <row r="24" spans="3:8" x14ac:dyDescent="0.25">
      <c r="C24" s="8"/>
      <c r="D24" s="2" t="s">
        <v>9311</v>
      </c>
      <c r="E24" s="2" t="s">
        <v>5802</v>
      </c>
      <c r="F24" s="4">
        <v>343</v>
      </c>
      <c r="G24" s="14"/>
      <c r="H24" s="9"/>
    </row>
    <row r="25" spans="3:8" x14ac:dyDescent="0.25">
      <c r="C25" s="8"/>
      <c r="D25" s="2" t="s">
        <v>9313</v>
      </c>
      <c r="E25" s="2" t="s">
        <v>7146</v>
      </c>
      <c r="F25" s="4">
        <v>0.8</v>
      </c>
      <c r="G25" s="14"/>
      <c r="H25" s="9"/>
    </row>
    <row r="26" spans="3:8" x14ac:dyDescent="0.25">
      <c r="C26" s="8"/>
      <c r="D26" s="2" t="s">
        <v>9314</v>
      </c>
      <c r="E26" s="2" t="s">
        <v>7146</v>
      </c>
      <c r="F26" s="4">
        <v>4.5</v>
      </c>
      <c r="G26" s="14"/>
      <c r="H26" s="9"/>
    </row>
    <row r="27" spans="3:8" x14ac:dyDescent="0.25">
      <c r="C27" s="8"/>
      <c r="D27" s="2" t="s">
        <v>9315</v>
      </c>
      <c r="E27" s="2" t="s">
        <v>7146</v>
      </c>
      <c r="F27" s="4">
        <v>9</v>
      </c>
      <c r="G27" s="14"/>
      <c r="H27" s="9"/>
    </row>
    <row r="28" spans="3:8" x14ac:dyDescent="0.25">
      <c r="C28" s="8"/>
      <c r="D28" s="2" t="s">
        <v>9316</v>
      </c>
      <c r="E28" s="2" t="s">
        <v>7146</v>
      </c>
      <c r="F28" s="4"/>
      <c r="G28" s="14"/>
      <c r="H28" s="9">
        <v>13.5</v>
      </c>
    </row>
    <row r="29" spans="3:8" x14ac:dyDescent="0.25">
      <c r="C29" s="8"/>
      <c r="D29" s="2" t="s">
        <v>9327</v>
      </c>
      <c r="E29" s="2"/>
      <c r="F29" s="4"/>
      <c r="G29" s="14"/>
      <c r="H29" s="9"/>
    </row>
    <row r="30" spans="3:8" ht="12.75" customHeight="1" x14ac:dyDescent="0.25">
      <c r="C30" s="8"/>
      <c r="D30" s="2"/>
      <c r="E30" s="2"/>
      <c r="F30" s="4"/>
      <c r="G30" s="14"/>
      <c r="H30" s="9"/>
    </row>
    <row r="31" spans="3:8" x14ac:dyDescent="0.25">
      <c r="C31" s="8"/>
      <c r="D31" s="2"/>
      <c r="E31" s="2"/>
      <c r="F31" s="4"/>
      <c r="G31" s="14"/>
      <c r="H31" s="9"/>
    </row>
    <row r="32" spans="3:8" x14ac:dyDescent="0.25">
      <c r="C32" s="8"/>
      <c r="D32" s="2"/>
      <c r="E32" s="2"/>
      <c r="F32" s="4"/>
      <c r="G32" s="14"/>
      <c r="H32" s="9"/>
    </row>
    <row r="33" spans="3:9" x14ac:dyDescent="0.25">
      <c r="C33" s="8"/>
      <c r="D33" s="2"/>
      <c r="E33" s="2"/>
      <c r="F33" s="4"/>
      <c r="G33" s="14"/>
      <c r="H33" s="9"/>
    </row>
    <row r="34" spans="3:9" x14ac:dyDescent="0.25">
      <c r="C34" s="8"/>
      <c r="D34" s="2"/>
      <c r="E34" s="2"/>
      <c r="F34" s="4"/>
      <c r="G34" s="14"/>
      <c r="H34" s="9"/>
    </row>
    <row r="35" spans="3:9" x14ac:dyDescent="0.25">
      <c r="C35" s="29"/>
      <c r="D35" s="30"/>
      <c r="E35" s="30" t="s">
        <v>60</v>
      </c>
      <c r="F35" s="4"/>
      <c r="G35" s="14"/>
      <c r="H35" s="9"/>
    </row>
    <row r="36" spans="3:9" x14ac:dyDescent="0.25">
      <c r="C36" s="8"/>
      <c r="D36" s="2"/>
      <c r="E36" s="2"/>
      <c r="F36" s="35"/>
      <c r="G36" s="14"/>
      <c r="H36" s="9"/>
    </row>
    <row r="37" spans="3:9" x14ac:dyDescent="0.25">
      <c r="C37" s="8"/>
      <c r="D37" s="2"/>
      <c r="E37" s="2"/>
      <c r="F37" s="35"/>
      <c r="G37" s="14"/>
      <c r="H37" s="9"/>
    </row>
    <row r="38" spans="3:9" x14ac:dyDescent="0.25">
      <c r="C38" s="8"/>
      <c r="D38" s="2"/>
      <c r="E38" s="2"/>
      <c r="F38" s="35"/>
      <c r="G38" s="14"/>
      <c r="H38" s="9"/>
    </row>
    <row r="39" spans="3:9" x14ac:dyDescent="0.25">
      <c r="C39" s="8"/>
      <c r="D39" s="2"/>
      <c r="E39" s="2"/>
      <c r="F39" s="35"/>
      <c r="G39" s="14"/>
      <c r="H39" s="9"/>
    </row>
    <row r="40" spans="3:9" x14ac:dyDescent="0.25">
      <c r="C40" s="8"/>
      <c r="D40" s="2"/>
      <c r="E40" s="76"/>
      <c r="F40" s="35"/>
      <c r="G40" s="14"/>
      <c r="H40" s="9"/>
    </row>
    <row r="41" spans="3:9" x14ac:dyDescent="0.25">
      <c r="C41" s="8"/>
      <c r="D41" s="2"/>
      <c r="E41" s="76"/>
      <c r="F41" s="35"/>
      <c r="G41" s="14"/>
      <c r="H41" s="9"/>
    </row>
    <row r="42" spans="3:9" x14ac:dyDescent="0.25">
      <c r="C42" s="16"/>
      <c r="D42" s="17"/>
      <c r="E42" s="17" t="s">
        <v>39</v>
      </c>
      <c r="F42" s="4"/>
      <c r="G42" s="14"/>
      <c r="H42" s="9"/>
    </row>
    <row r="43" spans="3:9" ht="15.75" customHeight="1" x14ac:dyDescent="0.25">
      <c r="C43" s="8"/>
      <c r="D43" s="2"/>
      <c r="E43" s="68"/>
      <c r="F43" s="35"/>
      <c r="G43" s="14"/>
      <c r="H43" s="9"/>
    </row>
    <row r="44" spans="3:9" x14ac:dyDescent="0.25">
      <c r="C44" s="8"/>
      <c r="D44" s="2"/>
      <c r="E44" s="76"/>
      <c r="F44" s="35"/>
      <c r="G44" s="14"/>
      <c r="H44" s="9"/>
    </row>
    <row r="45" spans="3:9" x14ac:dyDescent="0.25">
      <c r="C45" s="8"/>
      <c r="D45" s="2"/>
      <c r="E45" s="76"/>
      <c r="F45" s="35"/>
      <c r="G45" s="14"/>
      <c r="H45" s="9"/>
    </row>
    <row r="46" spans="3:9" x14ac:dyDescent="0.25">
      <c r="C46" s="8"/>
      <c r="D46" s="2"/>
      <c r="E46" s="76"/>
      <c r="F46" s="35"/>
      <c r="G46" s="14"/>
      <c r="H46" s="9"/>
      <c r="I46" s="36"/>
    </row>
    <row r="47" spans="3:9" x14ac:dyDescent="0.25">
      <c r="C47" s="8"/>
      <c r="D47" s="2"/>
      <c r="E47" s="2"/>
      <c r="F47" s="4"/>
      <c r="G47" s="14"/>
      <c r="H47" s="9"/>
    </row>
    <row r="48" spans="3:9" x14ac:dyDescent="0.25">
      <c r="C48" s="19"/>
      <c r="D48" s="20"/>
      <c r="E48" s="20" t="s">
        <v>42</v>
      </c>
      <c r="F48" s="14"/>
      <c r="G48" s="14"/>
      <c r="H48" s="9"/>
    </row>
    <row r="49" spans="3:8" x14ac:dyDescent="0.25">
      <c r="C49" s="34"/>
      <c r="D49" s="45"/>
      <c r="E49" s="68" t="s">
        <v>9312</v>
      </c>
      <c r="F49" s="14">
        <v>-343</v>
      </c>
      <c r="G49" s="14"/>
      <c r="H49" s="9"/>
    </row>
    <row r="50" spans="3:8" x14ac:dyDescent="0.25">
      <c r="C50" s="34"/>
      <c r="D50" s="45"/>
      <c r="E50" s="68" t="s">
        <v>758</v>
      </c>
      <c r="F50" s="14">
        <v>-30</v>
      </c>
      <c r="G50" s="14"/>
      <c r="H50" s="9"/>
    </row>
    <row r="51" spans="3:8" x14ac:dyDescent="0.25">
      <c r="C51" s="34"/>
      <c r="D51" s="45"/>
      <c r="E51" s="68" t="s">
        <v>4701</v>
      </c>
      <c r="F51" s="14">
        <v>-30</v>
      </c>
      <c r="G51" s="14"/>
      <c r="H51" s="9"/>
    </row>
    <row r="52" spans="3:8" x14ac:dyDescent="0.25">
      <c r="C52" s="34"/>
      <c r="D52" s="45"/>
      <c r="E52" s="68"/>
      <c r="F52" s="14"/>
      <c r="G52" s="14"/>
      <c r="H52" s="9"/>
    </row>
    <row r="53" spans="3:8" x14ac:dyDescent="0.25">
      <c r="C53" s="34"/>
      <c r="D53" s="45"/>
      <c r="E53" s="68"/>
      <c r="F53" s="14"/>
      <c r="G53" s="14"/>
      <c r="H53" s="9"/>
    </row>
    <row r="54" spans="3:8" x14ac:dyDescent="0.25">
      <c r="C54" s="34"/>
      <c r="D54" s="45"/>
      <c r="E54" s="68"/>
      <c r="F54" s="14"/>
      <c r="G54" s="14"/>
      <c r="H54" s="9"/>
    </row>
    <row r="55" spans="3:8" x14ac:dyDescent="0.25">
      <c r="C55" s="34"/>
      <c r="D55" s="45"/>
      <c r="E55" s="68"/>
      <c r="F55" s="14"/>
      <c r="G55" s="14"/>
      <c r="H55" s="9"/>
    </row>
    <row r="56" spans="3:8" x14ac:dyDescent="0.25">
      <c r="C56" s="34"/>
      <c r="D56" s="45"/>
      <c r="E56" s="68"/>
      <c r="F56" s="14"/>
      <c r="G56" s="14"/>
      <c r="H56" s="9"/>
    </row>
    <row r="57" spans="3:8" x14ac:dyDescent="0.25">
      <c r="C57" s="34"/>
      <c r="D57" s="45"/>
      <c r="E57" s="68"/>
      <c r="F57" s="14"/>
      <c r="G57" s="14"/>
      <c r="H57" s="9"/>
    </row>
    <row r="58" spans="3:8" x14ac:dyDescent="0.25">
      <c r="C58" s="34"/>
      <c r="D58" s="45"/>
      <c r="E58" s="68"/>
      <c r="F58" s="14"/>
      <c r="G58" s="14"/>
      <c r="H58" s="9"/>
    </row>
    <row r="59" spans="3:8" ht="15.75" thickBot="1" x14ac:dyDescent="0.3">
      <c r="C59" s="10"/>
      <c r="D59" s="11"/>
      <c r="E59" s="11" t="s">
        <v>44</v>
      </c>
      <c r="F59" s="12">
        <f>SUM(F6:F58)</f>
        <v>209.59999999999991</v>
      </c>
      <c r="G59" s="15">
        <f>SUM(G6:G58)</f>
        <v>0</v>
      </c>
      <c r="H59" s="13">
        <f>SUM(H6:H58)</f>
        <v>131.5</v>
      </c>
    </row>
    <row r="62" spans="3:8" s="3" customFormat="1" ht="18.75" x14ac:dyDescent="0.3">
      <c r="C62" s="1"/>
      <c r="D62" s="1"/>
      <c r="E62" s="38" t="s">
        <v>49</v>
      </c>
      <c r="F62" s="39">
        <f>+H4+F59</f>
        <v>14530.15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4BF3-5FB1-48FA-81C2-5F7C480B13F2}">
  <sheetPr codeName="Hoja120"/>
  <dimension ref="C2:J87"/>
  <sheetViews>
    <sheetView topLeftCell="A49" zoomScale="89" zoomScaleNormal="89" workbookViewId="0">
      <selection activeCell="E34" sqref="E34"/>
    </sheetView>
  </sheetViews>
  <sheetFormatPr baseColWidth="10" defaultRowHeight="15" x14ac:dyDescent="0.25"/>
  <cols>
    <col min="3" max="3" width="10.7109375" style="1" customWidth="1"/>
    <col min="4" max="4" width="36" style="1" bestFit="1" customWidth="1"/>
    <col min="5" max="5" width="84.28515625" style="1" customWidth="1"/>
    <col min="6" max="6" width="16.7109375" style="3" bestFit="1" customWidth="1"/>
    <col min="7" max="7" width="15.42578125" style="3" customWidth="1"/>
    <col min="8" max="8" width="24.85546875" style="3" customWidth="1"/>
    <col min="9" max="9" width="17.28515625" bestFit="1" customWidth="1"/>
  </cols>
  <sheetData>
    <row r="2" spans="3:10" ht="15.75" thickBot="1" x14ac:dyDescent="0.3"/>
    <row r="3" spans="3:10" ht="15" customHeight="1" x14ac:dyDescent="0.25">
      <c r="C3" s="143" t="s">
        <v>9317</v>
      </c>
      <c r="D3" s="144"/>
      <c r="E3" s="144"/>
      <c r="F3" s="144"/>
      <c r="G3" s="145"/>
      <c r="H3" s="46" t="s">
        <v>0</v>
      </c>
    </row>
    <row r="4" spans="3:10" ht="15.75" customHeight="1" thickBot="1" x14ac:dyDescent="0.3">
      <c r="C4" s="146"/>
      <c r="D4" s="147"/>
      <c r="E4" s="147"/>
      <c r="F4" s="147"/>
      <c r="G4" s="148"/>
      <c r="H4" s="117">
        <v>14530.15</v>
      </c>
    </row>
    <row r="5" spans="3:10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10" x14ac:dyDescent="0.25">
      <c r="C6" s="24"/>
      <c r="D6" s="2" t="s">
        <v>9319</v>
      </c>
      <c r="E6" s="2" t="s">
        <v>9338</v>
      </c>
      <c r="F6" s="109">
        <v>246</v>
      </c>
      <c r="G6" s="113"/>
      <c r="H6" s="112"/>
    </row>
    <row r="7" spans="3:10" x14ac:dyDescent="0.25">
      <c r="C7" s="24"/>
      <c r="D7" s="2" t="s">
        <v>9320</v>
      </c>
      <c r="E7" s="2" t="s">
        <v>12</v>
      </c>
      <c r="F7" s="109">
        <v>24.5</v>
      </c>
      <c r="G7" s="113"/>
      <c r="H7" s="112"/>
      <c r="I7" s="36"/>
      <c r="J7" s="36"/>
    </row>
    <row r="8" spans="3:10" x14ac:dyDescent="0.25">
      <c r="C8" s="24"/>
      <c r="D8" s="2" t="s">
        <v>9321</v>
      </c>
      <c r="E8" s="2" t="s">
        <v>12</v>
      </c>
      <c r="F8" s="109">
        <v>19</v>
      </c>
      <c r="G8" s="113"/>
      <c r="H8" s="112"/>
      <c r="J8" s="36"/>
    </row>
    <row r="9" spans="3:10" x14ac:dyDescent="0.25">
      <c r="C9" s="24"/>
      <c r="D9" s="2" t="s">
        <v>9322</v>
      </c>
      <c r="E9" s="2" t="s">
        <v>9337</v>
      </c>
      <c r="F9" s="109">
        <v>3830</v>
      </c>
      <c r="G9" s="113"/>
      <c r="H9" s="112"/>
      <c r="J9" s="36"/>
    </row>
    <row r="10" spans="3:10" x14ac:dyDescent="0.25">
      <c r="C10" s="8"/>
      <c r="D10" s="2" t="s">
        <v>9323</v>
      </c>
      <c r="E10" s="2" t="s">
        <v>6166</v>
      </c>
      <c r="F10" s="4">
        <v>360</v>
      </c>
      <c r="G10" s="14"/>
      <c r="H10" s="9"/>
    </row>
    <row r="11" spans="3:10" x14ac:dyDescent="0.25">
      <c r="C11" s="8"/>
      <c r="D11" s="2" t="s">
        <v>9324</v>
      </c>
      <c r="E11" s="2" t="s">
        <v>9336</v>
      </c>
      <c r="F11" s="4">
        <v>160</v>
      </c>
      <c r="G11" s="14"/>
      <c r="H11" s="9"/>
    </row>
    <row r="12" spans="3:10" x14ac:dyDescent="0.25">
      <c r="C12" s="8"/>
      <c r="D12" s="2" t="s">
        <v>9325</v>
      </c>
      <c r="E12" s="2" t="s">
        <v>12</v>
      </c>
      <c r="F12" s="4">
        <v>13</v>
      </c>
      <c r="G12" s="14"/>
      <c r="H12" s="9"/>
    </row>
    <row r="13" spans="3:10" x14ac:dyDescent="0.25">
      <c r="C13" s="8"/>
      <c r="D13" s="2" t="s">
        <v>9326</v>
      </c>
      <c r="E13" s="2" t="s">
        <v>12</v>
      </c>
      <c r="F13" s="4"/>
      <c r="G13" s="14"/>
      <c r="H13" s="9">
        <v>23.5</v>
      </c>
    </row>
    <row r="14" spans="3:10" x14ac:dyDescent="0.25">
      <c r="C14" s="8"/>
      <c r="D14" s="2" t="s">
        <v>9345</v>
      </c>
      <c r="E14" s="2" t="s">
        <v>6797</v>
      </c>
      <c r="F14" s="4"/>
      <c r="G14" s="14">
        <v>7156</v>
      </c>
      <c r="H14" s="9"/>
    </row>
    <row r="15" spans="3:10" x14ac:dyDescent="0.25">
      <c r="C15" s="8"/>
      <c r="D15" s="2" t="s">
        <v>9353</v>
      </c>
      <c r="E15" s="2" t="s">
        <v>12</v>
      </c>
      <c r="F15" s="4"/>
      <c r="G15" s="14"/>
      <c r="H15" s="9">
        <v>26</v>
      </c>
    </row>
    <row r="16" spans="3:10" x14ac:dyDescent="0.25">
      <c r="C16" s="8"/>
      <c r="D16" s="2" t="s">
        <v>9354</v>
      </c>
      <c r="E16" s="2" t="s">
        <v>6166</v>
      </c>
      <c r="F16" s="4">
        <v>690</v>
      </c>
      <c r="G16" s="14"/>
      <c r="H16" s="9"/>
    </row>
    <row r="17" spans="3:9" x14ac:dyDescent="0.25">
      <c r="C17" s="8"/>
      <c r="D17" s="2" t="s">
        <v>9355</v>
      </c>
      <c r="E17" s="2" t="s">
        <v>12</v>
      </c>
      <c r="F17" s="4"/>
      <c r="G17" s="14"/>
      <c r="H17" s="9">
        <v>20</v>
      </c>
    </row>
    <row r="18" spans="3:9" x14ac:dyDescent="0.25">
      <c r="C18" s="8"/>
      <c r="D18" s="2" t="s">
        <v>9356</v>
      </c>
      <c r="E18" s="2" t="s">
        <v>12</v>
      </c>
      <c r="F18" s="4"/>
      <c r="G18" s="14"/>
      <c r="H18" s="9">
        <v>9</v>
      </c>
    </row>
    <row r="19" spans="3:9" x14ac:dyDescent="0.25">
      <c r="C19" s="8"/>
      <c r="D19" s="2" t="s">
        <v>9357</v>
      </c>
      <c r="E19" s="2" t="s">
        <v>12</v>
      </c>
      <c r="F19" s="4"/>
      <c r="G19" s="14"/>
      <c r="H19" s="9">
        <v>5</v>
      </c>
    </row>
    <row r="20" spans="3:9" x14ac:dyDescent="0.25">
      <c r="C20" s="8"/>
      <c r="D20" s="2" t="s">
        <v>9358</v>
      </c>
      <c r="E20" s="2" t="s">
        <v>12</v>
      </c>
      <c r="F20" s="4"/>
      <c r="G20" s="14"/>
      <c r="H20" s="9">
        <v>5.5</v>
      </c>
    </row>
    <row r="21" spans="3:9" x14ac:dyDescent="0.25">
      <c r="C21" s="8"/>
      <c r="D21" s="2" t="s">
        <v>9359</v>
      </c>
      <c r="E21" s="2" t="s">
        <v>9360</v>
      </c>
      <c r="F21" s="4"/>
      <c r="G21" s="14"/>
      <c r="H21" s="9">
        <v>2098.5</v>
      </c>
      <c r="I21">
        <v>2100</v>
      </c>
    </row>
    <row r="22" spans="3:9" x14ac:dyDescent="0.25">
      <c r="C22" s="8"/>
      <c r="D22" s="2" t="s">
        <v>9361</v>
      </c>
      <c r="E22" s="2" t="s">
        <v>12</v>
      </c>
      <c r="F22" s="4">
        <v>6</v>
      </c>
      <c r="G22" s="14"/>
      <c r="H22" s="9"/>
    </row>
    <row r="23" spans="3:9" x14ac:dyDescent="0.25">
      <c r="C23" s="8"/>
      <c r="D23" s="2" t="s">
        <v>9362</v>
      </c>
      <c r="E23" s="2" t="s">
        <v>12</v>
      </c>
      <c r="F23" s="4">
        <v>1</v>
      </c>
      <c r="G23" s="14"/>
      <c r="H23" s="9"/>
    </row>
    <row r="24" spans="3:9" x14ac:dyDescent="0.25">
      <c r="C24" s="8"/>
      <c r="D24" s="2" t="s">
        <v>9363</v>
      </c>
      <c r="E24" s="2" t="s">
        <v>158</v>
      </c>
      <c r="F24" s="4"/>
      <c r="G24" s="14"/>
      <c r="H24" s="9">
        <v>247</v>
      </c>
    </row>
    <row r="25" spans="3:9" x14ac:dyDescent="0.25">
      <c r="C25" s="8"/>
      <c r="D25" s="2" t="s">
        <v>9364</v>
      </c>
      <c r="E25" s="2" t="s">
        <v>12</v>
      </c>
      <c r="F25" s="4">
        <v>6</v>
      </c>
      <c r="G25" s="14"/>
      <c r="H25" s="9"/>
    </row>
    <row r="26" spans="3:9" x14ac:dyDescent="0.25">
      <c r="C26" s="8"/>
      <c r="D26" s="2" t="s">
        <v>9365</v>
      </c>
      <c r="E26" s="2" t="s">
        <v>12</v>
      </c>
      <c r="F26" s="4"/>
      <c r="G26" s="14"/>
      <c r="H26" s="9">
        <v>5</v>
      </c>
    </row>
    <row r="27" spans="3:9" x14ac:dyDescent="0.25">
      <c r="C27" s="8"/>
      <c r="D27" s="2" t="s">
        <v>9366</v>
      </c>
      <c r="E27" s="2" t="s">
        <v>12</v>
      </c>
      <c r="F27" s="4"/>
      <c r="G27" s="14"/>
      <c r="H27" s="9">
        <v>16</v>
      </c>
    </row>
    <row r="28" spans="3:9" x14ac:dyDescent="0.25">
      <c r="C28" s="8"/>
      <c r="D28" s="2" t="s">
        <v>9367</v>
      </c>
      <c r="E28" s="2" t="s">
        <v>12</v>
      </c>
      <c r="F28" s="4"/>
      <c r="G28" s="14"/>
      <c r="H28" s="9">
        <v>2</v>
      </c>
    </row>
    <row r="29" spans="3:9" x14ac:dyDescent="0.25">
      <c r="C29" s="8"/>
      <c r="D29" s="2" t="s">
        <v>9368</v>
      </c>
      <c r="E29" s="2" t="s">
        <v>12</v>
      </c>
      <c r="F29" s="4"/>
      <c r="G29" s="14"/>
      <c r="H29" s="9">
        <v>7</v>
      </c>
    </row>
    <row r="30" spans="3:9" x14ac:dyDescent="0.25">
      <c r="C30" s="8"/>
      <c r="D30" s="2" t="s">
        <v>9369</v>
      </c>
      <c r="E30" s="2" t="s">
        <v>8548</v>
      </c>
      <c r="F30" s="4"/>
      <c r="G30" s="14">
        <v>45</v>
      </c>
      <c r="H30" s="9"/>
    </row>
    <row r="31" spans="3:9" x14ac:dyDescent="0.25">
      <c r="C31" s="8"/>
      <c r="D31" s="2" t="s">
        <v>9374</v>
      </c>
      <c r="E31" s="2" t="s">
        <v>8549</v>
      </c>
      <c r="F31" s="4"/>
      <c r="G31" s="14">
        <v>4160</v>
      </c>
      <c r="H31" s="9"/>
    </row>
    <row r="32" spans="3:9" x14ac:dyDescent="0.25">
      <c r="C32" s="8"/>
      <c r="D32" s="2" t="s">
        <v>9375</v>
      </c>
      <c r="E32" s="2" t="s">
        <v>8549</v>
      </c>
      <c r="F32" s="4"/>
      <c r="G32" s="14">
        <v>2946</v>
      </c>
      <c r="H32" s="9"/>
    </row>
    <row r="33" spans="3:8" x14ac:dyDescent="0.25">
      <c r="C33" s="8"/>
      <c r="D33" s="2" t="s">
        <v>9376</v>
      </c>
      <c r="E33" s="2" t="s">
        <v>8399</v>
      </c>
      <c r="F33" s="4"/>
      <c r="G33" s="14">
        <v>95</v>
      </c>
      <c r="H33" s="9"/>
    </row>
    <row r="34" spans="3:8" x14ac:dyDescent="0.25">
      <c r="C34" s="8"/>
      <c r="D34" s="2"/>
      <c r="E34" s="2"/>
      <c r="F34" s="4"/>
      <c r="G34" s="14"/>
      <c r="H34" s="9"/>
    </row>
    <row r="35" spans="3:8" x14ac:dyDescent="0.25">
      <c r="C35" s="8"/>
      <c r="D35" s="2"/>
      <c r="E35" s="2"/>
      <c r="F35" s="4"/>
      <c r="G35" s="14"/>
      <c r="H35" s="9"/>
    </row>
    <row r="36" spans="3:8" x14ac:dyDescent="0.25">
      <c r="C36" s="8"/>
      <c r="D36" s="2"/>
      <c r="E36" s="2"/>
      <c r="F36" s="4"/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 t="s">
        <v>9327</v>
      </c>
      <c r="E38" s="2" t="s">
        <v>1631</v>
      </c>
      <c r="F38" s="4">
        <v>29</v>
      </c>
      <c r="G38" s="14"/>
      <c r="H38" s="9"/>
    </row>
    <row r="39" spans="3:8" x14ac:dyDescent="0.25">
      <c r="C39" s="8"/>
      <c r="D39" s="2" t="s">
        <v>9328</v>
      </c>
      <c r="E39" s="2" t="s">
        <v>9335</v>
      </c>
      <c r="F39" s="4">
        <v>496.9</v>
      </c>
      <c r="G39" s="14"/>
      <c r="H39" s="9"/>
    </row>
    <row r="40" spans="3:8" x14ac:dyDescent="0.25">
      <c r="C40" s="8"/>
      <c r="D40" s="2" t="s">
        <v>9329</v>
      </c>
      <c r="E40" s="2" t="s">
        <v>1631</v>
      </c>
      <c r="F40" s="4"/>
      <c r="G40" s="14"/>
      <c r="H40" s="9">
        <v>6</v>
      </c>
    </row>
    <row r="41" spans="3:8" x14ac:dyDescent="0.25">
      <c r="C41" s="8"/>
      <c r="D41" s="2" t="s">
        <v>9330</v>
      </c>
      <c r="E41" s="2" t="s">
        <v>1631</v>
      </c>
      <c r="F41" s="4">
        <v>17</v>
      </c>
      <c r="G41" s="14"/>
      <c r="H41" s="9"/>
    </row>
    <row r="42" spans="3:8" x14ac:dyDescent="0.25">
      <c r="C42" s="8"/>
      <c r="D42" s="2" t="s">
        <v>9331</v>
      </c>
      <c r="E42" s="2" t="s">
        <v>1631</v>
      </c>
      <c r="F42" s="4">
        <v>15</v>
      </c>
      <c r="G42" s="14"/>
      <c r="H42" s="9"/>
    </row>
    <row r="43" spans="3:8" x14ac:dyDescent="0.25">
      <c r="C43" s="8"/>
      <c r="D43" s="2" t="s">
        <v>9332</v>
      </c>
      <c r="E43" s="2" t="s">
        <v>1631</v>
      </c>
      <c r="F43" s="4">
        <v>39.5</v>
      </c>
      <c r="G43" s="14"/>
      <c r="H43" s="9"/>
    </row>
    <row r="44" spans="3:8" x14ac:dyDescent="0.25">
      <c r="C44" s="8"/>
      <c r="D44" s="2" t="s">
        <v>9333</v>
      </c>
      <c r="E44" s="2" t="s">
        <v>1631</v>
      </c>
      <c r="F44" s="4">
        <v>5</v>
      </c>
      <c r="G44" s="14"/>
      <c r="H44" s="9"/>
    </row>
    <row r="45" spans="3:8" x14ac:dyDescent="0.25">
      <c r="C45" s="8"/>
      <c r="D45" s="2" t="s">
        <v>9334</v>
      </c>
      <c r="E45" s="2" t="s">
        <v>1631</v>
      </c>
      <c r="F45" s="4">
        <v>24</v>
      </c>
      <c r="G45" s="14"/>
      <c r="H45" s="9"/>
    </row>
    <row r="46" spans="3:8" x14ac:dyDescent="0.25">
      <c r="C46" s="8"/>
      <c r="D46" s="2" t="s">
        <v>9340</v>
      </c>
      <c r="E46" s="2" t="s">
        <v>1631</v>
      </c>
      <c r="F46" s="4">
        <v>4.5</v>
      </c>
      <c r="G46" s="14"/>
      <c r="H46" s="9"/>
    </row>
    <row r="47" spans="3:8" x14ac:dyDescent="0.25">
      <c r="C47" s="8"/>
      <c r="D47" s="2" t="s">
        <v>9341</v>
      </c>
      <c r="E47" s="2" t="s">
        <v>1631</v>
      </c>
      <c r="F47" s="4">
        <v>66.5</v>
      </c>
      <c r="G47" s="14"/>
      <c r="H47" s="9"/>
    </row>
    <row r="48" spans="3:8" x14ac:dyDescent="0.25">
      <c r="C48" s="8"/>
      <c r="D48" s="2" t="s">
        <v>9342</v>
      </c>
      <c r="E48" s="2" t="s">
        <v>1631</v>
      </c>
      <c r="F48" s="4">
        <v>12.5</v>
      </c>
      <c r="G48" s="14"/>
      <c r="H48" s="9"/>
    </row>
    <row r="49" spans="3:8" x14ac:dyDescent="0.25">
      <c r="C49" s="8"/>
      <c r="D49" s="2" t="s">
        <v>9344</v>
      </c>
      <c r="E49" s="2" t="s">
        <v>1631</v>
      </c>
      <c r="F49" s="4"/>
      <c r="G49" s="14"/>
      <c r="H49" s="9">
        <v>7</v>
      </c>
    </row>
    <row r="50" spans="3:8" x14ac:dyDescent="0.25">
      <c r="C50" s="8"/>
      <c r="D50" s="2" t="s">
        <v>9346</v>
      </c>
      <c r="E50" s="2" t="s">
        <v>4855</v>
      </c>
      <c r="F50" s="4"/>
      <c r="G50" s="14"/>
      <c r="H50" s="9">
        <v>447.5</v>
      </c>
    </row>
    <row r="51" spans="3:8" x14ac:dyDescent="0.25">
      <c r="C51" s="8"/>
      <c r="D51" s="2" t="s">
        <v>9347</v>
      </c>
      <c r="E51" s="2" t="s">
        <v>1631</v>
      </c>
      <c r="F51" s="4">
        <v>30</v>
      </c>
      <c r="G51" s="14"/>
      <c r="H51" s="9"/>
    </row>
    <row r="52" spans="3:8" ht="12.75" customHeight="1" x14ac:dyDescent="0.25">
      <c r="C52" s="8"/>
      <c r="D52" s="2"/>
      <c r="E52" s="2"/>
      <c r="F52" s="4"/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29"/>
      <c r="D57" s="30"/>
      <c r="E57" s="30" t="s">
        <v>60</v>
      </c>
      <c r="F57" s="4"/>
      <c r="G57" s="14"/>
      <c r="H57" s="9"/>
    </row>
    <row r="58" spans="3:8" x14ac:dyDescent="0.25">
      <c r="C58" s="8"/>
      <c r="D58" s="2" t="s">
        <v>9352</v>
      </c>
      <c r="E58" s="2" t="s">
        <v>9351</v>
      </c>
      <c r="F58" s="35">
        <v>12.5</v>
      </c>
      <c r="G58" s="14"/>
      <c r="H58" s="9"/>
    </row>
    <row r="59" spans="3:8" x14ac:dyDescent="0.25">
      <c r="C59" s="8"/>
      <c r="D59" s="2"/>
      <c r="E59" s="2"/>
      <c r="F59" s="35"/>
      <c r="G59" s="14"/>
      <c r="H59" s="9"/>
    </row>
    <row r="60" spans="3:8" x14ac:dyDescent="0.25">
      <c r="C60" s="8"/>
      <c r="D60" s="2"/>
      <c r="E60" s="2"/>
      <c r="F60" s="35"/>
      <c r="G60" s="14"/>
      <c r="H60" s="9"/>
    </row>
    <row r="61" spans="3:8" x14ac:dyDescent="0.25">
      <c r="C61" s="8"/>
      <c r="D61" s="2"/>
      <c r="E61" s="2"/>
      <c r="F61" s="35"/>
      <c r="G61" s="14"/>
      <c r="H61" s="9"/>
    </row>
    <row r="62" spans="3:8" x14ac:dyDescent="0.25">
      <c r="C62" s="8"/>
      <c r="D62" s="2"/>
      <c r="E62" s="76"/>
      <c r="F62" s="35"/>
      <c r="G62" s="14"/>
      <c r="H62" s="9"/>
    </row>
    <row r="63" spans="3:8" x14ac:dyDescent="0.25">
      <c r="C63" s="8"/>
      <c r="D63" s="2"/>
      <c r="E63" s="76"/>
      <c r="F63" s="35"/>
      <c r="G63" s="14"/>
      <c r="H63" s="9"/>
    </row>
    <row r="64" spans="3:8" x14ac:dyDescent="0.25">
      <c r="C64" s="16"/>
      <c r="D64" s="17"/>
      <c r="E64" s="17" t="s">
        <v>39</v>
      </c>
      <c r="F64" s="4"/>
      <c r="G64" s="14"/>
      <c r="H64" s="9"/>
    </row>
    <row r="65" spans="3:9" ht="15.75" customHeight="1" x14ac:dyDescent="0.25">
      <c r="C65" s="8"/>
      <c r="D65" s="2"/>
      <c r="E65" s="68" t="s">
        <v>9348</v>
      </c>
      <c r="F65" s="35">
        <v>6097.6</v>
      </c>
      <c r="G65" s="14"/>
      <c r="H65" s="9"/>
    </row>
    <row r="66" spans="3:9" x14ac:dyDescent="0.25">
      <c r="C66" s="8"/>
      <c r="D66" s="2"/>
      <c r="E66" s="76" t="s">
        <v>9378</v>
      </c>
      <c r="F66" s="35">
        <v>6156</v>
      </c>
      <c r="G66" s="14"/>
      <c r="H66" s="9"/>
    </row>
    <row r="67" spans="3:9" x14ac:dyDescent="0.25">
      <c r="C67" s="8"/>
      <c r="D67" s="2"/>
      <c r="E67" s="76"/>
      <c r="F67" s="35"/>
      <c r="G67" s="14"/>
      <c r="H67" s="9"/>
    </row>
    <row r="68" spans="3:9" x14ac:dyDescent="0.25">
      <c r="C68" s="8"/>
      <c r="D68" s="2"/>
      <c r="E68" s="76"/>
      <c r="F68" s="35"/>
      <c r="G68" s="14"/>
      <c r="H68" s="9"/>
      <c r="I68" s="36"/>
    </row>
    <row r="69" spans="3:9" x14ac:dyDescent="0.25">
      <c r="C69" s="8"/>
      <c r="D69" s="2"/>
      <c r="E69" s="2"/>
      <c r="F69" s="4"/>
      <c r="G69" s="14"/>
      <c r="H69" s="9"/>
    </row>
    <row r="70" spans="3:9" x14ac:dyDescent="0.25">
      <c r="C70" s="19"/>
      <c r="D70" s="20"/>
      <c r="E70" s="20" t="s">
        <v>42</v>
      </c>
      <c r="F70" s="14"/>
      <c r="G70" s="14"/>
      <c r="H70" s="9"/>
    </row>
    <row r="71" spans="3:9" x14ac:dyDescent="0.25">
      <c r="C71" s="34"/>
      <c r="D71" s="45"/>
      <c r="E71" s="68" t="s">
        <v>9318</v>
      </c>
      <c r="F71" s="14">
        <v>-1336</v>
      </c>
      <c r="G71" s="14"/>
      <c r="H71" s="9"/>
    </row>
    <row r="72" spans="3:9" x14ac:dyDescent="0.25">
      <c r="C72" s="34"/>
      <c r="D72" s="45"/>
      <c r="E72" s="68" t="s">
        <v>9339</v>
      </c>
      <c r="F72" s="14">
        <v>-64</v>
      </c>
      <c r="G72" s="14"/>
      <c r="H72" s="9"/>
    </row>
    <row r="73" spans="3:9" x14ac:dyDescent="0.25">
      <c r="C73" s="34"/>
      <c r="D73" s="45"/>
      <c r="E73" s="68" t="s">
        <v>9343</v>
      </c>
      <c r="F73" s="14">
        <v>-373</v>
      </c>
      <c r="G73" s="14"/>
      <c r="H73" s="9"/>
    </row>
    <row r="74" spans="3:9" x14ac:dyDescent="0.25">
      <c r="C74" s="34"/>
      <c r="D74" s="45"/>
      <c r="E74" s="68" t="s">
        <v>9349</v>
      </c>
      <c r="F74" s="14">
        <v>-50</v>
      </c>
      <c r="G74" s="14"/>
      <c r="H74" s="9"/>
    </row>
    <row r="75" spans="3:9" x14ac:dyDescent="0.25">
      <c r="C75" s="34"/>
      <c r="D75" s="45"/>
      <c r="E75" s="68" t="s">
        <v>9350</v>
      </c>
      <c r="F75" s="14">
        <v>-70</v>
      </c>
      <c r="G75" s="14"/>
      <c r="H75" s="9"/>
    </row>
    <row r="76" spans="3:9" x14ac:dyDescent="0.25">
      <c r="C76" s="34"/>
      <c r="D76" s="45"/>
      <c r="E76" s="68" t="s">
        <v>9370</v>
      </c>
      <c r="F76" s="14">
        <v>-80</v>
      </c>
      <c r="G76" s="14"/>
      <c r="H76" s="9"/>
    </row>
    <row r="77" spans="3:9" x14ac:dyDescent="0.25">
      <c r="C77" s="34"/>
      <c r="D77" s="45"/>
      <c r="E77" s="68" t="s">
        <v>9371</v>
      </c>
      <c r="F77" s="14">
        <v>-591.12</v>
      </c>
      <c r="G77" s="14"/>
      <c r="H77" s="9"/>
    </row>
    <row r="78" spans="3:9" x14ac:dyDescent="0.25">
      <c r="C78" s="34"/>
      <c r="D78" s="45"/>
      <c r="E78" s="68" t="s">
        <v>6679</v>
      </c>
      <c r="F78" s="14">
        <v>-30</v>
      </c>
      <c r="G78" s="14"/>
      <c r="H78" s="9"/>
    </row>
    <row r="79" spans="3:9" x14ac:dyDescent="0.25">
      <c r="C79" s="34"/>
      <c r="D79" s="45"/>
      <c r="E79" s="68" t="s">
        <v>9372</v>
      </c>
      <c r="F79" s="14">
        <v>-25</v>
      </c>
      <c r="G79" s="14"/>
      <c r="H79" s="9"/>
    </row>
    <row r="80" spans="3:9" x14ac:dyDescent="0.25">
      <c r="C80" s="34"/>
      <c r="D80" s="45"/>
      <c r="E80" s="68" t="s">
        <v>9373</v>
      </c>
      <c r="F80" s="14">
        <v>-4535</v>
      </c>
      <c r="G80" s="14"/>
      <c r="H80" s="9"/>
    </row>
    <row r="81" spans="3:8" x14ac:dyDescent="0.25">
      <c r="C81" s="34"/>
      <c r="D81" s="45"/>
      <c r="E81" s="68" t="s">
        <v>9377</v>
      </c>
      <c r="F81" s="14">
        <v>-8000</v>
      </c>
      <c r="G81" s="14"/>
      <c r="H81" s="9"/>
    </row>
    <row r="82" spans="3:8" x14ac:dyDescent="0.25">
      <c r="C82" s="34"/>
      <c r="D82" s="45"/>
      <c r="E82" s="68"/>
      <c r="F82" s="14"/>
      <c r="G82" s="14"/>
      <c r="H82" s="9"/>
    </row>
    <row r="83" spans="3:8" x14ac:dyDescent="0.25">
      <c r="C83" s="34"/>
      <c r="D83" s="45"/>
      <c r="E83" s="68"/>
      <c r="F83" s="14"/>
      <c r="G83" s="14"/>
      <c r="H83" s="9"/>
    </row>
    <row r="84" spans="3:8" ht="15.75" thickBot="1" x14ac:dyDescent="0.3">
      <c r="C84" s="10"/>
      <c r="D84" s="11"/>
      <c r="E84" s="11" t="s">
        <v>44</v>
      </c>
      <c r="F84" s="12">
        <f>SUM(F6:F83)</f>
        <v>3207.3799999999992</v>
      </c>
      <c r="G84" s="15">
        <f>SUM(G6:G83)</f>
        <v>14402</v>
      </c>
      <c r="H84" s="13">
        <f>SUM(H6:H83)</f>
        <v>2925</v>
      </c>
    </row>
    <row r="87" spans="3:8" s="3" customFormat="1" ht="18.75" x14ac:dyDescent="0.3">
      <c r="C87" s="1"/>
      <c r="D87" s="1"/>
      <c r="E87" s="38" t="s">
        <v>49</v>
      </c>
      <c r="F87" s="39">
        <f>+H4+F84</f>
        <v>17737.53</v>
      </c>
    </row>
  </sheetData>
  <mergeCells count="1">
    <mergeCell ref="C3:G4"/>
  </mergeCells>
  <phoneticPr fontId="3" type="noConversion"/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AEE9-7737-4DC6-ADEB-EB6852DAB75E}">
  <sheetPr codeName="Hoja121"/>
  <dimension ref="C2:H93"/>
  <sheetViews>
    <sheetView workbookViewId="0">
      <selection activeCell="C5" sqref="C5"/>
    </sheetView>
  </sheetViews>
  <sheetFormatPr baseColWidth="10" defaultRowHeight="15" x14ac:dyDescent="0.25"/>
  <cols>
    <col min="4" max="4" width="31.85546875" customWidth="1"/>
    <col min="5" max="5" width="62.28515625" customWidth="1"/>
    <col min="6" max="6" width="22.5703125" customWidth="1"/>
    <col min="7" max="7" width="20.140625" customWidth="1"/>
    <col min="8" max="8" width="21.85546875" customWidth="1"/>
  </cols>
  <sheetData>
    <row r="2" spans="3:8" ht="15.75" thickBot="1" x14ac:dyDescent="0.3"/>
    <row r="3" spans="3:8" x14ac:dyDescent="0.25">
      <c r="C3" s="143" t="s">
        <v>9707</v>
      </c>
      <c r="D3" s="144"/>
      <c r="E3" s="144"/>
      <c r="F3" s="144"/>
      <c r="G3" s="145"/>
      <c r="H3" s="46" t="s">
        <v>0</v>
      </c>
    </row>
    <row r="4" spans="3:8" ht="16.5" thickBot="1" x14ac:dyDescent="0.3">
      <c r="C4" s="146"/>
      <c r="D4" s="147"/>
      <c r="E4" s="147"/>
      <c r="F4" s="147"/>
      <c r="G4" s="148"/>
      <c r="H4" s="117">
        <v>17737.53</v>
      </c>
    </row>
    <row r="5" spans="3:8" x14ac:dyDescent="0.25">
      <c r="C5" s="24" t="s">
        <v>1</v>
      </c>
      <c r="D5" s="25" t="s">
        <v>2</v>
      </c>
      <c r="E5" s="25" t="s">
        <v>3</v>
      </c>
      <c r="F5" s="26" t="s">
        <v>4</v>
      </c>
      <c r="G5" s="26" t="s">
        <v>5</v>
      </c>
      <c r="H5" s="27" t="s">
        <v>6</v>
      </c>
    </row>
    <row r="6" spans="3:8" x14ac:dyDescent="0.25">
      <c r="C6" s="24"/>
      <c r="D6" s="2" t="s">
        <v>9381</v>
      </c>
      <c r="E6" s="2" t="s">
        <v>9382</v>
      </c>
      <c r="F6" s="109"/>
      <c r="G6" s="113"/>
      <c r="H6" s="112">
        <v>20</v>
      </c>
    </row>
    <row r="7" spans="3:8" x14ac:dyDescent="0.25">
      <c r="C7" s="24"/>
      <c r="D7" s="2" t="s">
        <v>9383</v>
      </c>
      <c r="E7" s="2" t="s">
        <v>5678</v>
      </c>
      <c r="F7" s="109">
        <v>10</v>
      </c>
      <c r="G7" s="113"/>
      <c r="H7" s="112"/>
    </row>
    <row r="8" spans="3:8" x14ac:dyDescent="0.25">
      <c r="C8" s="24"/>
      <c r="D8" s="2" t="s">
        <v>9384</v>
      </c>
      <c r="E8" s="2" t="s">
        <v>5678</v>
      </c>
      <c r="F8" s="109">
        <v>35</v>
      </c>
      <c r="G8" s="113"/>
      <c r="H8" s="112"/>
    </row>
    <row r="9" spans="3:8" x14ac:dyDescent="0.25">
      <c r="C9" s="24"/>
      <c r="D9" s="2" t="s">
        <v>9385</v>
      </c>
      <c r="E9" s="2" t="s">
        <v>5678</v>
      </c>
      <c r="F9" s="109">
        <v>12.5</v>
      </c>
      <c r="G9" s="113"/>
      <c r="H9" s="112"/>
    </row>
    <row r="10" spans="3:8" x14ac:dyDescent="0.25">
      <c r="C10" s="8"/>
      <c r="D10" s="2" t="s">
        <v>9386</v>
      </c>
      <c r="E10" s="2" t="s">
        <v>7899</v>
      </c>
      <c r="F10" s="4"/>
      <c r="G10" s="14">
        <v>307.5</v>
      </c>
      <c r="H10" s="9"/>
    </row>
    <row r="11" spans="3:8" x14ac:dyDescent="0.25">
      <c r="C11" s="8"/>
      <c r="D11" s="2" t="s">
        <v>9387</v>
      </c>
      <c r="E11" s="2" t="s">
        <v>6238</v>
      </c>
      <c r="F11" s="4"/>
      <c r="G11" s="14"/>
      <c r="H11" s="9">
        <v>98.5</v>
      </c>
    </row>
    <row r="12" spans="3:8" x14ac:dyDescent="0.25">
      <c r="C12" s="8"/>
      <c r="D12" s="2" t="s">
        <v>9388</v>
      </c>
      <c r="E12" s="2" t="s">
        <v>6441</v>
      </c>
      <c r="F12" s="4">
        <v>2383</v>
      </c>
      <c r="G12" s="14"/>
      <c r="H12" s="9"/>
    </row>
    <row r="13" spans="3:8" x14ac:dyDescent="0.25">
      <c r="C13" s="8"/>
      <c r="D13" s="2" t="s">
        <v>9389</v>
      </c>
      <c r="E13" s="2" t="s">
        <v>5678</v>
      </c>
      <c r="F13" s="4">
        <v>15</v>
      </c>
      <c r="G13" s="14"/>
      <c r="H13" s="9"/>
    </row>
    <row r="14" spans="3:8" x14ac:dyDescent="0.25">
      <c r="C14" s="8"/>
      <c r="D14" s="2" t="s">
        <v>9390</v>
      </c>
      <c r="E14" s="2" t="s">
        <v>5678</v>
      </c>
      <c r="F14" s="4">
        <v>5</v>
      </c>
      <c r="G14" s="14"/>
      <c r="H14" s="9"/>
    </row>
    <row r="15" spans="3:8" x14ac:dyDescent="0.25">
      <c r="C15" s="8"/>
      <c r="D15" s="2" t="s">
        <v>9393</v>
      </c>
      <c r="E15" s="2" t="s">
        <v>5678</v>
      </c>
      <c r="F15" s="4">
        <v>5</v>
      </c>
      <c r="G15" s="14"/>
      <c r="H15" s="9"/>
    </row>
    <row r="16" spans="3:8" x14ac:dyDescent="0.25">
      <c r="C16" s="8"/>
      <c r="D16" s="2" t="s">
        <v>9394</v>
      </c>
      <c r="E16" s="2" t="s">
        <v>5678</v>
      </c>
      <c r="F16" s="4">
        <v>43.5</v>
      </c>
      <c r="G16" s="14"/>
      <c r="H16" s="9"/>
    </row>
    <row r="17" spans="3:8" x14ac:dyDescent="0.25">
      <c r="C17" s="8"/>
      <c r="D17" s="2" t="s">
        <v>9395</v>
      </c>
      <c r="E17" s="2" t="s">
        <v>6854</v>
      </c>
      <c r="F17" s="4"/>
      <c r="G17" s="14"/>
      <c r="H17" s="9">
        <v>877.2</v>
      </c>
    </row>
    <row r="18" spans="3:8" x14ac:dyDescent="0.25">
      <c r="C18" s="8"/>
      <c r="D18" s="2" t="s">
        <v>9396</v>
      </c>
      <c r="E18" s="2" t="s">
        <v>5678</v>
      </c>
      <c r="F18" s="4"/>
      <c r="G18" s="14"/>
      <c r="H18" s="9">
        <v>160</v>
      </c>
    </row>
    <row r="19" spans="3:8" x14ac:dyDescent="0.25">
      <c r="C19" s="8"/>
      <c r="D19" s="2" t="s">
        <v>9397</v>
      </c>
      <c r="E19" s="2" t="s">
        <v>9399</v>
      </c>
      <c r="F19" s="4"/>
      <c r="G19" s="14">
        <v>4184</v>
      </c>
      <c r="H19" s="9"/>
    </row>
    <row r="20" spans="3:8" x14ac:dyDescent="0.25">
      <c r="C20" s="8"/>
      <c r="D20" s="2" t="s">
        <v>9398</v>
      </c>
      <c r="E20" s="2" t="s">
        <v>7176</v>
      </c>
      <c r="F20" s="4"/>
      <c r="G20" s="14">
        <v>508.5</v>
      </c>
      <c r="H20" s="9"/>
    </row>
    <row r="21" spans="3:8" x14ac:dyDescent="0.25">
      <c r="C21" s="8"/>
      <c r="D21" s="2" t="s">
        <v>9401</v>
      </c>
      <c r="E21" s="2" t="s">
        <v>9400</v>
      </c>
      <c r="F21" s="4">
        <v>480</v>
      </c>
      <c r="G21" s="14"/>
      <c r="H21" s="9"/>
    </row>
    <row r="22" spans="3:8" x14ac:dyDescent="0.25">
      <c r="C22" s="8"/>
      <c r="D22" s="2" t="s">
        <v>9402</v>
      </c>
      <c r="E22" s="2" t="s">
        <v>5678</v>
      </c>
      <c r="F22" s="4">
        <v>27</v>
      </c>
      <c r="G22" s="14"/>
      <c r="H22" s="9"/>
    </row>
    <row r="23" spans="3:8" x14ac:dyDescent="0.25">
      <c r="C23" s="8"/>
      <c r="D23" s="2" t="s">
        <v>9403</v>
      </c>
      <c r="E23" s="2" t="s">
        <v>5678</v>
      </c>
      <c r="F23" s="4"/>
      <c r="G23" s="14"/>
      <c r="H23" s="9">
        <v>20.5</v>
      </c>
    </row>
    <row r="24" spans="3:8" x14ac:dyDescent="0.25">
      <c r="C24" s="8"/>
      <c r="D24" s="2" t="s">
        <v>9404</v>
      </c>
      <c r="E24" s="2" t="s">
        <v>5678</v>
      </c>
      <c r="F24" s="4">
        <v>54</v>
      </c>
      <c r="G24" s="14"/>
      <c r="H24" s="9"/>
    </row>
    <row r="25" spans="3:8" x14ac:dyDescent="0.25">
      <c r="C25" s="8"/>
      <c r="D25" s="2" t="s">
        <v>9405</v>
      </c>
      <c r="E25" s="2" t="s">
        <v>5678</v>
      </c>
      <c r="F25" s="4">
        <v>6</v>
      </c>
      <c r="G25" s="14"/>
      <c r="H25" s="9"/>
    </row>
    <row r="26" spans="3:8" x14ac:dyDescent="0.25">
      <c r="C26" s="8"/>
      <c r="D26" s="2" t="s">
        <v>9406</v>
      </c>
      <c r="E26" s="2" t="s">
        <v>5678</v>
      </c>
      <c r="F26" s="4">
        <v>4</v>
      </c>
      <c r="G26" s="14"/>
      <c r="H26" s="9"/>
    </row>
    <row r="27" spans="3:8" x14ac:dyDescent="0.25">
      <c r="C27" s="8"/>
      <c r="D27" s="2" t="s">
        <v>9407</v>
      </c>
      <c r="E27" s="2" t="s">
        <v>5678</v>
      </c>
      <c r="F27" s="4">
        <v>4.5</v>
      </c>
      <c r="G27" s="14"/>
      <c r="H27" s="9"/>
    </row>
    <row r="28" spans="3:8" x14ac:dyDescent="0.25">
      <c r="C28" s="8"/>
      <c r="D28" s="2" t="s">
        <v>9424</v>
      </c>
      <c r="E28" s="2" t="s">
        <v>5678</v>
      </c>
      <c r="F28" s="4">
        <v>1</v>
      </c>
      <c r="G28" s="14"/>
      <c r="H28" s="9"/>
    </row>
    <row r="29" spans="3:8" x14ac:dyDescent="0.25">
      <c r="C29" s="8"/>
      <c r="D29" s="2" t="s">
        <v>9425</v>
      </c>
      <c r="E29" s="2" t="s">
        <v>5678</v>
      </c>
      <c r="F29" s="4">
        <v>69</v>
      </c>
      <c r="G29" s="14"/>
      <c r="H29" s="9"/>
    </row>
    <row r="30" spans="3:8" x14ac:dyDescent="0.25">
      <c r="C30" s="8"/>
      <c r="D30" s="2" t="s">
        <v>9427</v>
      </c>
      <c r="E30" s="2" t="s">
        <v>9426</v>
      </c>
      <c r="F30" s="4"/>
      <c r="G30" s="14"/>
      <c r="H30" s="9">
        <v>857.5</v>
      </c>
    </row>
    <row r="31" spans="3:8" x14ac:dyDescent="0.25">
      <c r="C31" s="8"/>
      <c r="D31" s="2" t="s">
        <v>9428</v>
      </c>
      <c r="E31" s="2" t="s">
        <v>5678</v>
      </c>
      <c r="F31" s="4">
        <v>7</v>
      </c>
      <c r="G31" s="14"/>
      <c r="H31" s="9"/>
    </row>
    <row r="32" spans="3:8" x14ac:dyDescent="0.25">
      <c r="C32" s="8"/>
      <c r="D32" s="2" t="s">
        <v>9429</v>
      </c>
      <c r="E32" s="2" t="s">
        <v>5678</v>
      </c>
      <c r="F32" s="4">
        <v>1.5</v>
      </c>
      <c r="G32" s="14"/>
      <c r="H32" s="9"/>
    </row>
    <row r="33" spans="3:8" x14ac:dyDescent="0.25">
      <c r="C33" s="8"/>
      <c r="D33" s="2" t="s">
        <v>9430</v>
      </c>
      <c r="E33" s="2" t="s">
        <v>5678</v>
      </c>
      <c r="F33" s="4">
        <v>3</v>
      </c>
      <c r="G33" s="14"/>
      <c r="H33" s="9"/>
    </row>
    <row r="34" spans="3:8" x14ac:dyDescent="0.25">
      <c r="C34" s="8"/>
      <c r="D34" s="2" t="s">
        <v>9432</v>
      </c>
      <c r="E34" s="2" t="s">
        <v>5678</v>
      </c>
      <c r="F34" s="4">
        <v>12</v>
      </c>
      <c r="G34" s="14"/>
      <c r="H34" s="9"/>
    </row>
    <row r="35" spans="3:8" x14ac:dyDescent="0.25">
      <c r="C35" s="8"/>
      <c r="D35" s="2" t="s">
        <v>9435</v>
      </c>
      <c r="E35" s="2" t="s">
        <v>7176</v>
      </c>
      <c r="F35" s="4"/>
      <c r="G35" s="14">
        <v>9400</v>
      </c>
      <c r="H35" s="9"/>
    </row>
    <row r="36" spans="3:8" x14ac:dyDescent="0.25">
      <c r="C36" s="8"/>
      <c r="D36" s="2" t="s">
        <v>9436</v>
      </c>
      <c r="E36" s="2" t="s">
        <v>9437</v>
      </c>
      <c r="F36" s="4">
        <v>120</v>
      </c>
      <c r="G36" s="14"/>
      <c r="H36" s="9"/>
    </row>
    <row r="37" spans="3:8" x14ac:dyDescent="0.25">
      <c r="C37" s="8"/>
      <c r="D37" s="2"/>
      <c r="E37" s="2"/>
      <c r="F37" s="4"/>
      <c r="G37" s="14"/>
      <c r="H37" s="9"/>
    </row>
    <row r="38" spans="3:8" x14ac:dyDescent="0.25">
      <c r="C38" s="8"/>
      <c r="D38" s="2"/>
      <c r="E38" s="2"/>
      <c r="F38" s="4"/>
      <c r="G38" s="14"/>
      <c r="H38" s="9"/>
    </row>
    <row r="39" spans="3:8" x14ac:dyDescent="0.25">
      <c r="C39" s="8"/>
      <c r="D39" s="2"/>
      <c r="E39" s="2"/>
      <c r="F39" s="4"/>
      <c r="G39" s="14"/>
      <c r="H39" s="9"/>
    </row>
    <row r="40" spans="3:8" x14ac:dyDescent="0.25">
      <c r="C40" s="8"/>
      <c r="D40" s="2"/>
      <c r="E40" s="2"/>
      <c r="F40" s="4"/>
      <c r="G40" s="14"/>
      <c r="H40" s="9"/>
    </row>
    <row r="41" spans="3:8" x14ac:dyDescent="0.25">
      <c r="C41" s="8"/>
      <c r="D41" s="2" t="s">
        <v>9408</v>
      </c>
      <c r="E41" s="2" t="s">
        <v>5308</v>
      </c>
      <c r="F41" s="4"/>
      <c r="G41" s="14"/>
      <c r="H41" s="9">
        <v>45</v>
      </c>
    </row>
    <row r="42" spans="3:8" x14ac:dyDescent="0.25">
      <c r="C42" s="8"/>
      <c r="D42" s="2" t="s">
        <v>9409</v>
      </c>
      <c r="E42" s="2" t="s">
        <v>9413</v>
      </c>
      <c r="F42" s="4"/>
      <c r="G42" s="14"/>
      <c r="H42" s="9">
        <v>3070</v>
      </c>
    </row>
    <row r="43" spans="3:8" x14ac:dyDescent="0.25">
      <c r="C43" s="8"/>
      <c r="D43" s="2" t="s">
        <v>9410</v>
      </c>
      <c r="E43" s="2" t="s">
        <v>5678</v>
      </c>
      <c r="F43" s="4">
        <v>2.5</v>
      </c>
      <c r="G43" s="14"/>
      <c r="H43" s="9"/>
    </row>
    <row r="44" spans="3:8" x14ac:dyDescent="0.25">
      <c r="C44" s="8"/>
      <c r="D44" s="2" t="s">
        <v>9411</v>
      </c>
      <c r="E44" s="2" t="s">
        <v>5678</v>
      </c>
      <c r="F44" s="4"/>
      <c r="G44" s="14"/>
      <c r="H44" s="9">
        <v>16</v>
      </c>
    </row>
    <row r="45" spans="3:8" x14ac:dyDescent="0.25">
      <c r="C45" s="8"/>
      <c r="D45" s="2" t="s">
        <v>9412</v>
      </c>
      <c r="E45" s="2" t="s">
        <v>5678</v>
      </c>
      <c r="F45" s="4"/>
      <c r="G45" s="14"/>
      <c r="H45" s="9">
        <v>24</v>
      </c>
    </row>
    <row r="46" spans="3:8" x14ac:dyDescent="0.25">
      <c r="C46" s="8"/>
      <c r="D46" s="2" t="s">
        <v>9414</v>
      </c>
      <c r="E46" s="2" t="s">
        <v>5678</v>
      </c>
      <c r="F46" s="4">
        <v>8</v>
      </c>
      <c r="G46" s="14"/>
      <c r="H46" s="9"/>
    </row>
    <row r="47" spans="3:8" x14ac:dyDescent="0.25">
      <c r="C47" s="8"/>
      <c r="D47" s="2" t="s">
        <v>9418</v>
      </c>
      <c r="E47" s="2" t="s">
        <v>5678</v>
      </c>
      <c r="F47" s="4">
        <v>36</v>
      </c>
      <c r="G47" s="14"/>
      <c r="H47" s="9"/>
    </row>
    <row r="48" spans="3:8" x14ac:dyDescent="0.25">
      <c r="C48" s="8"/>
      <c r="D48" s="2" t="s">
        <v>9419</v>
      </c>
      <c r="E48" s="2" t="s">
        <v>5678</v>
      </c>
      <c r="F48" s="4">
        <v>9</v>
      </c>
      <c r="G48" s="14"/>
      <c r="H48" s="9"/>
    </row>
    <row r="49" spans="3:8" x14ac:dyDescent="0.25">
      <c r="C49" s="8"/>
      <c r="D49" s="2" t="s">
        <v>9420</v>
      </c>
      <c r="E49" s="2" t="s">
        <v>5678</v>
      </c>
      <c r="F49" s="4">
        <v>19</v>
      </c>
      <c r="G49" s="14"/>
      <c r="H49" s="9"/>
    </row>
    <row r="50" spans="3:8" x14ac:dyDescent="0.25">
      <c r="C50" s="8"/>
      <c r="D50" s="2" t="s">
        <v>9421</v>
      </c>
      <c r="E50" s="2" t="s">
        <v>5678</v>
      </c>
      <c r="F50" s="4">
        <v>3</v>
      </c>
      <c r="G50" s="14"/>
      <c r="H50" s="9"/>
    </row>
    <row r="51" spans="3:8" x14ac:dyDescent="0.25">
      <c r="C51" s="8"/>
      <c r="D51" s="2" t="s">
        <v>9422</v>
      </c>
      <c r="E51" s="2" t="s">
        <v>5678</v>
      </c>
      <c r="F51" s="4">
        <v>4.5</v>
      </c>
      <c r="G51" s="14"/>
      <c r="H51" s="9"/>
    </row>
    <row r="52" spans="3:8" x14ac:dyDescent="0.25">
      <c r="C52" s="8"/>
      <c r="D52" s="2" t="s">
        <v>9423</v>
      </c>
      <c r="E52" s="2" t="s">
        <v>5678</v>
      </c>
      <c r="F52" s="4">
        <v>5</v>
      </c>
      <c r="G52" s="14"/>
      <c r="H52" s="9"/>
    </row>
    <row r="53" spans="3:8" x14ac:dyDescent="0.25">
      <c r="C53" s="8"/>
      <c r="D53" s="2"/>
      <c r="E53" s="2"/>
      <c r="F53" s="4"/>
      <c r="G53" s="14"/>
      <c r="H53" s="9"/>
    </row>
    <row r="54" spans="3:8" x14ac:dyDescent="0.25">
      <c r="C54" s="8"/>
      <c r="D54" s="2"/>
      <c r="E54" s="2"/>
      <c r="F54" s="4"/>
      <c r="G54" s="14"/>
      <c r="H54" s="9"/>
    </row>
    <row r="55" spans="3:8" x14ac:dyDescent="0.25">
      <c r="C55" s="8"/>
      <c r="D55" s="2"/>
      <c r="E55" s="2"/>
      <c r="F55" s="4"/>
      <c r="G55" s="14"/>
      <c r="H55" s="9"/>
    </row>
    <row r="56" spans="3:8" x14ac:dyDescent="0.25">
      <c r="C56" s="8"/>
      <c r="D56" s="2"/>
      <c r="E56" s="2"/>
      <c r="F56" s="4"/>
      <c r="G56" s="14"/>
      <c r="H56" s="9"/>
    </row>
    <row r="57" spans="3:8" x14ac:dyDescent="0.25">
      <c r="C57" s="8"/>
      <c r="D57" s="2"/>
      <c r="E57" s="2"/>
      <c r="F57" s="4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8"/>
      <c r="D61" s="2"/>
      <c r="E61" s="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29"/>
      <c r="D63" s="30"/>
      <c r="E63" s="30" t="s">
        <v>60</v>
      </c>
      <c r="F63" s="4"/>
      <c r="G63" s="14"/>
      <c r="H63" s="9"/>
    </row>
    <row r="64" spans="3:8" x14ac:dyDescent="0.25">
      <c r="C64" s="8"/>
      <c r="D64" s="2" t="s">
        <v>9379</v>
      </c>
      <c r="E64" s="2" t="s">
        <v>4322</v>
      </c>
      <c r="F64" s="35"/>
      <c r="G64" s="14"/>
      <c r="H64" s="9">
        <v>1351</v>
      </c>
    </row>
    <row r="65" spans="3:8" x14ac:dyDescent="0.25">
      <c r="C65" s="8"/>
      <c r="D65" s="2" t="s">
        <v>9380</v>
      </c>
      <c r="E65" s="2" t="s">
        <v>4322</v>
      </c>
      <c r="F65" s="35"/>
      <c r="G65" s="14"/>
      <c r="H65" s="9">
        <v>746</v>
      </c>
    </row>
    <row r="66" spans="3:8" x14ac:dyDescent="0.25">
      <c r="C66" s="8"/>
      <c r="D66" s="2" t="s">
        <v>9391</v>
      </c>
      <c r="E66" s="2" t="s">
        <v>9392</v>
      </c>
      <c r="F66" s="35"/>
      <c r="G66" s="14"/>
      <c r="H66" s="9">
        <v>960</v>
      </c>
    </row>
    <row r="67" spans="3:8" x14ac:dyDescent="0.25">
      <c r="C67" s="8"/>
      <c r="D67" s="2"/>
      <c r="E67" s="2"/>
      <c r="F67" s="35"/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68"/>
      <c r="F71" s="35"/>
      <c r="G71" s="14"/>
      <c r="H71" s="9"/>
    </row>
    <row r="72" spans="3:8" x14ac:dyDescent="0.25">
      <c r="C72" s="8"/>
      <c r="D72" s="2"/>
      <c r="E72" s="76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2"/>
      <c r="F75" s="4"/>
      <c r="G75" s="14"/>
      <c r="H75" s="9"/>
    </row>
    <row r="76" spans="3:8" x14ac:dyDescent="0.25">
      <c r="C76" s="19"/>
      <c r="D76" s="20"/>
      <c r="E76" s="20" t="s">
        <v>42</v>
      </c>
      <c r="F76" s="14"/>
      <c r="G76" s="14"/>
      <c r="H76" s="9"/>
    </row>
    <row r="77" spans="3:8" x14ac:dyDescent="0.25">
      <c r="C77" s="34"/>
      <c r="D77" s="45"/>
      <c r="E77" s="118" t="s">
        <v>9416</v>
      </c>
      <c r="F77" s="14">
        <v>-164.25</v>
      </c>
      <c r="G77" s="14"/>
      <c r="H77" s="9"/>
    </row>
    <row r="78" spans="3:8" x14ac:dyDescent="0.25">
      <c r="C78" s="34"/>
      <c r="D78" s="45"/>
      <c r="E78" s="118" t="s">
        <v>9415</v>
      </c>
      <c r="F78" s="14">
        <v>-135</v>
      </c>
      <c r="G78" s="14"/>
      <c r="H78" s="9"/>
    </row>
    <row r="79" spans="3:8" x14ac:dyDescent="0.25">
      <c r="C79" s="34"/>
      <c r="D79" s="45"/>
      <c r="E79" s="118" t="s">
        <v>9417</v>
      </c>
      <c r="F79" s="14">
        <v>-654</v>
      </c>
      <c r="G79" s="14"/>
      <c r="H79" s="9"/>
    </row>
    <row r="80" spans="3:8" x14ac:dyDescent="0.25">
      <c r="C80" s="34"/>
      <c r="D80" s="45"/>
      <c r="E80" s="118" t="s">
        <v>4706</v>
      </c>
      <c r="F80" s="14">
        <v>-100</v>
      </c>
      <c r="G80" s="14"/>
      <c r="H80" s="9"/>
    </row>
    <row r="81" spans="3:8" x14ac:dyDescent="0.25">
      <c r="C81" s="34"/>
      <c r="D81" s="45"/>
      <c r="E81" s="118" t="s">
        <v>5336</v>
      </c>
      <c r="F81" s="14">
        <v>-1540</v>
      </c>
      <c r="G81" s="14"/>
      <c r="H81" s="9"/>
    </row>
    <row r="82" spans="3:8" x14ac:dyDescent="0.25">
      <c r="C82" s="34"/>
      <c r="D82" s="45"/>
      <c r="E82" s="118" t="s">
        <v>9431</v>
      </c>
      <c r="F82" s="14">
        <v>-20</v>
      </c>
      <c r="G82" s="14"/>
      <c r="H82" s="9"/>
    </row>
    <row r="83" spans="3:8" x14ac:dyDescent="0.25">
      <c r="C83" s="34"/>
      <c r="D83" s="45"/>
      <c r="E83" s="118" t="s">
        <v>9433</v>
      </c>
      <c r="F83" s="14">
        <v>-5385</v>
      </c>
      <c r="G83" s="14"/>
      <c r="H83" s="9"/>
    </row>
    <row r="84" spans="3:8" x14ac:dyDescent="0.25">
      <c r="C84" s="34"/>
      <c r="D84" s="45"/>
      <c r="E84" s="118" t="s">
        <v>9434</v>
      </c>
      <c r="F84" s="14">
        <v>-12700</v>
      </c>
      <c r="G84" s="14"/>
      <c r="H84" s="9"/>
    </row>
    <row r="85" spans="3:8" x14ac:dyDescent="0.25">
      <c r="C85" s="34"/>
      <c r="D85" s="45"/>
      <c r="E85" s="68"/>
      <c r="F85" s="14"/>
      <c r="G85" s="14"/>
      <c r="H85" s="9"/>
    </row>
    <row r="86" spans="3:8" x14ac:dyDescent="0.25">
      <c r="C86" s="34"/>
      <c r="D86" s="45"/>
      <c r="E86" s="68"/>
      <c r="F86" s="14"/>
      <c r="G86" s="14"/>
      <c r="H86" s="9"/>
    </row>
    <row r="87" spans="3:8" x14ac:dyDescent="0.25">
      <c r="C87" s="34"/>
      <c r="D87" s="45"/>
      <c r="E87" s="68"/>
      <c r="F87" s="14"/>
      <c r="G87" s="14"/>
      <c r="H87" s="9"/>
    </row>
    <row r="88" spans="3:8" x14ac:dyDescent="0.25">
      <c r="C88" s="34"/>
      <c r="D88" s="45"/>
      <c r="E88" s="68"/>
      <c r="F88" s="14"/>
      <c r="G88" s="14"/>
      <c r="H88" s="9"/>
    </row>
    <row r="89" spans="3:8" x14ac:dyDescent="0.25">
      <c r="C89" s="34"/>
      <c r="D89" s="45"/>
      <c r="E89" s="68"/>
      <c r="F89" s="14"/>
      <c r="G89" s="14"/>
      <c r="H89" s="9"/>
    </row>
    <row r="90" spans="3:8" ht="15.75" thickBot="1" x14ac:dyDescent="0.3">
      <c r="C90" s="10"/>
      <c r="D90" s="11"/>
      <c r="E90" s="11" t="s">
        <v>44</v>
      </c>
      <c r="F90" s="12">
        <f>SUM(F6:F89)</f>
        <v>-17313.25</v>
      </c>
      <c r="G90" s="15">
        <f>SUM(G6:G89)</f>
        <v>14400</v>
      </c>
      <c r="H90" s="13">
        <f>SUM(H6:H89)</f>
        <v>8245.7000000000007</v>
      </c>
    </row>
    <row r="91" spans="3:8" x14ac:dyDescent="0.25">
      <c r="C91" s="1"/>
      <c r="D91" s="1"/>
      <c r="E91" s="1"/>
      <c r="F91" s="3"/>
      <c r="G91" s="3"/>
      <c r="H91" s="3"/>
    </row>
    <row r="92" spans="3:8" x14ac:dyDescent="0.25">
      <c r="C92" s="1"/>
      <c r="D92" s="1"/>
      <c r="E92" s="1"/>
      <c r="F92" s="3"/>
      <c r="G92" s="3"/>
      <c r="H92" s="3"/>
    </row>
    <row r="93" spans="3:8" ht="18.75" x14ac:dyDescent="0.3">
      <c r="C93" s="1"/>
      <c r="D93" s="1"/>
      <c r="E93" s="38" t="s">
        <v>49</v>
      </c>
      <c r="F93" s="39">
        <f>+H4+F90</f>
        <v>424.27999999999884</v>
      </c>
      <c r="G93" s="3"/>
      <c r="H93" s="3"/>
    </row>
  </sheetData>
  <mergeCells count="1">
    <mergeCell ref="C3:G4"/>
  </mergeCells>
  <phoneticPr fontId="3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CBB1-4799-4AEF-B9AE-7931DEEA81AB}">
  <sheetPr codeName="Hoja122"/>
  <dimension ref="D2:I94"/>
  <sheetViews>
    <sheetView topLeftCell="A52" workbookViewId="0">
      <selection activeCell="D5" sqref="D5"/>
    </sheetView>
  </sheetViews>
  <sheetFormatPr baseColWidth="10" defaultRowHeight="15" x14ac:dyDescent="0.25"/>
  <cols>
    <col min="4" max="4" width="17.5703125" customWidth="1"/>
    <col min="5" max="5" width="23.42578125" customWidth="1"/>
    <col min="6" max="6" width="56" customWidth="1"/>
    <col min="7" max="7" width="17" customWidth="1"/>
    <col min="8" max="8" width="17.42578125" customWidth="1"/>
    <col min="9" max="9" width="21" customWidth="1"/>
  </cols>
  <sheetData>
    <row r="2" spans="4:9" ht="15.75" thickBot="1" x14ac:dyDescent="0.3"/>
    <row r="3" spans="4:9" x14ac:dyDescent="0.25">
      <c r="D3" s="143" t="s">
        <v>9706</v>
      </c>
      <c r="E3" s="144"/>
      <c r="F3" s="144"/>
      <c r="G3" s="144"/>
      <c r="H3" s="145"/>
      <c r="I3" s="46" t="s">
        <v>0</v>
      </c>
    </row>
    <row r="4" spans="4:9" ht="16.5" thickBot="1" x14ac:dyDescent="0.3">
      <c r="D4" s="146"/>
      <c r="E4" s="147"/>
      <c r="F4" s="147"/>
      <c r="G4" s="147"/>
      <c r="H4" s="148"/>
      <c r="I4" s="117">
        <v>424.28</v>
      </c>
    </row>
    <row r="5" spans="4:9" x14ac:dyDescent="0.25">
      <c r="D5" s="24" t="s">
        <v>1</v>
      </c>
      <c r="E5" s="25" t="s">
        <v>2</v>
      </c>
      <c r="F5" s="25" t="s">
        <v>3</v>
      </c>
      <c r="G5" s="26" t="s">
        <v>4</v>
      </c>
      <c r="H5" s="26" t="s">
        <v>5</v>
      </c>
      <c r="I5" s="27" t="s">
        <v>6</v>
      </c>
    </row>
    <row r="6" spans="4:9" x14ac:dyDescent="0.25">
      <c r="D6" s="24"/>
      <c r="E6" s="2" t="s">
        <v>9438</v>
      </c>
      <c r="F6" s="2" t="s">
        <v>5678</v>
      </c>
      <c r="G6" s="109">
        <v>12.5</v>
      </c>
      <c r="H6" s="113"/>
      <c r="I6" s="112"/>
    </row>
    <row r="7" spans="4:9" x14ac:dyDescent="0.25">
      <c r="D7" s="24"/>
      <c r="E7" s="2" t="s">
        <v>9439</v>
      </c>
      <c r="F7" s="2" t="s">
        <v>5678</v>
      </c>
      <c r="G7" s="109">
        <v>144</v>
      </c>
      <c r="H7" s="113"/>
      <c r="I7" s="112"/>
    </row>
    <row r="8" spans="4:9" x14ac:dyDescent="0.25">
      <c r="D8" s="24"/>
      <c r="E8" s="2" t="s">
        <v>9440</v>
      </c>
      <c r="F8" s="2" t="s">
        <v>5678</v>
      </c>
      <c r="G8" s="109"/>
      <c r="H8" s="113"/>
      <c r="I8" s="112">
        <v>6</v>
      </c>
    </row>
    <row r="9" spans="4:9" x14ac:dyDescent="0.25">
      <c r="D9" s="24"/>
      <c r="E9" s="2" t="s">
        <v>9441</v>
      </c>
      <c r="F9" s="2" t="s">
        <v>6751</v>
      </c>
      <c r="G9" s="109"/>
      <c r="H9" s="113"/>
      <c r="I9" s="112">
        <v>105</v>
      </c>
    </row>
    <row r="10" spans="4:9" x14ac:dyDescent="0.25">
      <c r="D10" s="8"/>
      <c r="E10" s="2" t="s">
        <v>9442</v>
      </c>
      <c r="F10" s="2" t="s">
        <v>5678</v>
      </c>
      <c r="G10" s="4">
        <v>29</v>
      </c>
      <c r="H10" s="14"/>
      <c r="I10" s="9"/>
    </row>
    <row r="11" spans="4:9" x14ac:dyDescent="0.25">
      <c r="D11" s="8"/>
      <c r="E11" s="2" t="s">
        <v>9443</v>
      </c>
      <c r="F11" s="2" t="s">
        <v>5678</v>
      </c>
      <c r="G11" s="4"/>
      <c r="H11" s="14"/>
      <c r="I11" s="9">
        <v>27.6</v>
      </c>
    </row>
    <row r="12" spans="4:9" x14ac:dyDescent="0.25">
      <c r="D12" s="8"/>
      <c r="E12" s="2" t="s">
        <v>9444</v>
      </c>
      <c r="F12" s="2" t="s">
        <v>5678</v>
      </c>
      <c r="G12" s="4">
        <v>14.4</v>
      </c>
      <c r="H12" s="14"/>
      <c r="I12" s="9"/>
    </row>
    <row r="13" spans="4:9" x14ac:dyDescent="0.25">
      <c r="D13" s="8"/>
      <c r="E13" s="2" t="s">
        <v>9445</v>
      </c>
      <c r="F13" s="2" t="s">
        <v>9455</v>
      </c>
      <c r="G13" s="4">
        <v>986.8</v>
      </c>
      <c r="H13" s="14"/>
      <c r="I13" s="9"/>
    </row>
    <row r="14" spans="4:9" x14ac:dyDescent="0.25">
      <c r="D14" s="8"/>
      <c r="E14" s="2" t="s">
        <v>9446</v>
      </c>
      <c r="F14" s="2" t="s">
        <v>9456</v>
      </c>
      <c r="G14" s="4">
        <v>298.8</v>
      </c>
      <c r="H14" s="14"/>
      <c r="I14" s="9"/>
    </row>
    <row r="15" spans="4:9" x14ac:dyDescent="0.25">
      <c r="D15" s="8"/>
      <c r="E15" s="2" t="s">
        <v>9447</v>
      </c>
      <c r="F15" s="2" t="s">
        <v>8273</v>
      </c>
      <c r="G15" s="4"/>
      <c r="H15" s="14"/>
      <c r="I15" s="9">
        <v>1260</v>
      </c>
    </row>
    <row r="16" spans="4:9" x14ac:dyDescent="0.25">
      <c r="D16" s="8"/>
      <c r="E16" s="2" t="s">
        <v>9448</v>
      </c>
      <c r="F16" s="2" t="s">
        <v>9457</v>
      </c>
      <c r="G16" s="4">
        <v>641.5</v>
      </c>
      <c r="H16" s="14"/>
      <c r="I16" s="9"/>
    </row>
    <row r="17" spans="4:9" x14ac:dyDescent="0.25">
      <c r="D17" s="8"/>
      <c r="E17" s="2" t="s">
        <v>9449</v>
      </c>
      <c r="F17" s="2" t="s">
        <v>7126</v>
      </c>
      <c r="G17" s="4">
        <v>3135</v>
      </c>
      <c r="H17" s="14"/>
      <c r="I17" s="9"/>
    </row>
    <row r="18" spans="4:9" x14ac:dyDescent="0.25">
      <c r="D18" s="8"/>
      <c r="E18" s="2" t="s">
        <v>9450</v>
      </c>
      <c r="F18" s="2" t="s">
        <v>5809</v>
      </c>
      <c r="G18" s="4"/>
      <c r="H18" s="14"/>
      <c r="I18" s="9">
        <v>105</v>
      </c>
    </row>
    <row r="19" spans="4:9" x14ac:dyDescent="0.25">
      <c r="D19" s="8"/>
      <c r="E19" s="2" t="s">
        <v>9451</v>
      </c>
      <c r="F19" s="2" t="s">
        <v>5678</v>
      </c>
      <c r="G19" s="4">
        <v>2.5</v>
      </c>
      <c r="H19" s="14"/>
      <c r="I19" s="9"/>
    </row>
    <row r="20" spans="4:9" x14ac:dyDescent="0.25">
      <c r="D20" s="8"/>
      <c r="E20" s="2" t="s">
        <v>9452</v>
      </c>
      <c r="F20" s="2" t="s">
        <v>5678</v>
      </c>
      <c r="G20" s="4"/>
      <c r="H20" s="14"/>
      <c r="I20" s="9">
        <v>60</v>
      </c>
    </row>
    <row r="21" spans="4:9" x14ac:dyDescent="0.25">
      <c r="D21" s="8"/>
      <c r="E21" s="2" t="s">
        <v>9453</v>
      </c>
      <c r="F21" s="2" t="s">
        <v>9458</v>
      </c>
      <c r="G21" s="4"/>
      <c r="H21" s="14"/>
      <c r="I21" s="9">
        <v>405</v>
      </c>
    </row>
    <row r="22" spans="4:9" x14ac:dyDescent="0.25">
      <c r="D22" s="8"/>
      <c r="E22" s="2" t="s">
        <v>9454</v>
      </c>
      <c r="F22" s="2" t="s">
        <v>5678</v>
      </c>
      <c r="G22" s="4"/>
      <c r="H22" s="14"/>
      <c r="I22" s="9">
        <v>8</v>
      </c>
    </row>
    <row r="23" spans="4:9" x14ac:dyDescent="0.25">
      <c r="D23" s="8"/>
      <c r="E23" s="2" t="s">
        <v>9459</v>
      </c>
      <c r="F23" s="2" t="s">
        <v>9460</v>
      </c>
      <c r="G23" s="4">
        <v>320</v>
      </c>
      <c r="H23" s="14"/>
      <c r="I23" s="9"/>
    </row>
    <row r="24" spans="4:9" x14ac:dyDescent="0.25">
      <c r="D24" s="8"/>
      <c r="E24" s="2" t="s">
        <v>9468</v>
      </c>
      <c r="F24" s="2" t="s">
        <v>5678</v>
      </c>
      <c r="G24" s="4">
        <v>3</v>
      </c>
      <c r="H24" s="14"/>
      <c r="I24" s="9"/>
    </row>
    <row r="25" spans="4:9" x14ac:dyDescent="0.25">
      <c r="D25" s="8"/>
      <c r="E25" s="2" t="s">
        <v>9476</v>
      </c>
      <c r="F25" s="2" t="s">
        <v>9477</v>
      </c>
      <c r="G25" s="4">
        <v>133.5</v>
      </c>
      <c r="H25" s="14"/>
      <c r="I25" s="9"/>
    </row>
    <row r="26" spans="4:9" x14ac:dyDescent="0.25">
      <c r="D26" s="8"/>
      <c r="E26" s="2" t="s">
        <v>9478</v>
      </c>
      <c r="F26" s="2" t="s">
        <v>5678</v>
      </c>
      <c r="G26" s="4">
        <v>2</v>
      </c>
      <c r="H26" s="14"/>
      <c r="I26" s="9"/>
    </row>
    <row r="27" spans="4:9" x14ac:dyDescent="0.25">
      <c r="D27" s="8"/>
      <c r="E27" s="2" t="s">
        <v>9479</v>
      </c>
      <c r="F27" s="2" t="s">
        <v>5678</v>
      </c>
      <c r="G27" s="4"/>
      <c r="H27" s="14"/>
      <c r="I27" s="9">
        <v>13</v>
      </c>
    </row>
    <row r="28" spans="4:9" x14ac:dyDescent="0.25">
      <c r="D28" s="8"/>
      <c r="E28" s="2" t="s">
        <v>9480</v>
      </c>
      <c r="F28" s="2" t="s">
        <v>9486</v>
      </c>
      <c r="G28" s="4">
        <v>143.5</v>
      </c>
      <c r="H28" s="14"/>
      <c r="I28" s="9"/>
    </row>
    <row r="29" spans="4:9" x14ac:dyDescent="0.25">
      <c r="D29" s="8"/>
      <c r="E29" s="2" t="s">
        <v>9481</v>
      </c>
      <c r="F29" s="2" t="s">
        <v>5678</v>
      </c>
      <c r="G29" s="4"/>
      <c r="H29" s="14"/>
      <c r="I29" s="9">
        <v>130</v>
      </c>
    </row>
    <row r="30" spans="4:9" x14ac:dyDescent="0.25">
      <c r="D30" s="8"/>
      <c r="E30" s="2" t="s">
        <v>9482</v>
      </c>
      <c r="F30" s="2" t="s">
        <v>8850</v>
      </c>
      <c r="G30" s="4"/>
      <c r="H30" s="14"/>
      <c r="I30" s="9">
        <v>71</v>
      </c>
    </row>
    <row r="31" spans="4:9" x14ac:dyDescent="0.25">
      <c r="D31" s="8"/>
      <c r="E31" s="2" t="s">
        <v>9483</v>
      </c>
      <c r="F31" s="2" t="s">
        <v>1679</v>
      </c>
      <c r="G31" s="4"/>
      <c r="H31" s="14"/>
      <c r="I31" s="9">
        <v>3070.95</v>
      </c>
    </row>
    <row r="32" spans="4:9" x14ac:dyDescent="0.25">
      <c r="D32" s="8"/>
      <c r="E32" s="2" t="s">
        <v>9484</v>
      </c>
      <c r="F32" s="2" t="s">
        <v>5678</v>
      </c>
      <c r="G32" s="4"/>
      <c r="H32" s="14"/>
      <c r="I32" s="9">
        <v>4.5</v>
      </c>
    </row>
    <row r="33" spans="4:9" x14ac:dyDescent="0.25">
      <c r="D33" s="8"/>
      <c r="E33" s="2" t="s">
        <v>9485</v>
      </c>
      <c r="F33" s="2" t="s">
        <v>5678</v>
      </c>
      <c r="G33" s="4">
        <v>103.5</v>
      </c>
      <c r="H33" s="14"/>
      <c r="I33" s="9"/>
    </row>
    <row r="34" spans="4:9" x14ac:dyDescent="0.25">
      <c r="D34" s="8"/>
      <c r="E34" s="2" t="s">
        <v>9489</v>
      </c>
      <c r="F34" s="2" t="s">
        <v>5678</v>
      </c>
      <c r="G34" s="4">
        <v>4.5</v>
      </c>
      <c r="H34" s="14"/>
      <c r="I34" s="9"/>
    </row>
    <row r="35" spans="4:9" x14ac:dyDescent="0.25">
      <c r="D35" s="8"/>
      <c r="E35" s="2" t="s">
        <v>9490</v>
      </c>
      <c r="F35" s="2" t="s">
        <v>5678</v>
      </c>
      <c r="G35" s="4">
        <v>3</v>
      </c>
      <c r="H35" s="14"/>
      <c r="I35" s="9"/>
    </row>
    <row r="36" spans="4:9" x14ac:dyDescent="0.25">
      <c r="D36" s="8"/>
      <c r="E36" s="2" t="s">
        <v>9491</v>
      </c>
      <c r="F36" s="2" t="s">
        <v>9151</v>
      </c>
      <c r="G36" s="4"/>
      <c r="H36" s="14">
        <v>97.7</v>
      </c>
      <c r="I36" s="9"/>
    </row>
    <row r="37" spans="4:9" x14ac:dyDescent="0.25">
      <c r="D37" s="8"/>
      <c r="E37" s="2" t="s">
        <v>9493</v>
      </c>
      <c r="F37" s="2" t="s">
        <v>9492</v>
      </c>
      <c r="G37" s="4"/>
      <c r="H37" s="14"/>
      <c r="I37" s="9">
        <v>135</v>
      </c>
    </row>
    <row r="38" spans="4:9" x14ac:dyDescent="0.25">
      <c r="D38" s="8"/>
      <c r="E38" s="2" t="s">
        <v>9494</v>
      </c>
      <c r="F38" s="2" t="s">
        <v>9151</v>
      </c>
      <c r="G38" s="4"/>
      <c r="H38" s="14">
        <v>206.6</v>
      </c>
      <c r="I38" s="9"/>
    </row>
    <row r="39" spans="4:9" x14ac:dyDescent="0.25">
      <c r="D39" s="8"/>
      <c r="E39" s="2"/>
      <c r="F39" s="2"/>
      <c r="G39" s="4"/>
      <c r="H39" s="14"/>
      <c r="I39" s="9"/>
    </row>
    <row r="40" spans="4:9" x14ac:dyDescent="0.25">
      <c r="D40" s="8"/>
      <c r="E40" s="2"/>
      <c r="F40" s="2"/>
      <c r="G40" s="4"/>
      <c r="H40" s="14"/>
      <c r="I40" s="9"/>
    </row>
    <row r="41" spans="4:9" x14ac:dyDescent="0.25">
      <c r="D41" s="8"/>
      <c r="E41" s="2"/>
      <c r="F41" s="2"/>
      <c r="G41" s="4"/>
      <c r="H41" s="14"/>
      <c r="I41" s="9"/>
    </row>
    <row r="42" spans="4:9" x14ac:dyDescent="0.25">
      <c r="D42" s="8"/>
      <c r="E42" s="2"/>
      <c r="F42" s="2"/>
      <c r="G42" s="4"/>
      <c r="H42" s="14"/>
      <c r="I42" s="9"/>
    </row>
    <row r="43" spans="4:9" x14ac:dyDescent="0.25">
      <c r="D43" s="8"/>
      <c r="E43" s="2"/>
      <c r="F43" s="2"/>
      <c r="G43" s="4"/>
      <c r="H43" s="14"/>
      <c r="I43" s="9"/>
    </row>
    <row r="44" spans="4:9" x14ac:dyDescent="0.25">
      <c r="D44" s="8"/>
      <c r="E44" s="2"/>
      <c r="F44" s="2"/>
      <c r="G44" s="4"/>
      <c r="H44" s="14"/>
      <c r="I44" s="9"/>
    </row>
    <row r="45" spans="4:9" x14ac:dyDescent="0.25">
      <c r="D45" s="8"/>
      <c r="E45" s="2"/>
      <c r="F45" s="2"/>
      <c r="G45" s="4"/>
      <c r="H45" s="14"/>
      <c r="I45" s="9"/>
    </row>
    <row r="46" spans="4:9" x14ac:dyDescent="0.25">
      <c r="D46" s="8"/>
      <c r="E46" s="2"/>
      <c r="F46" s="2"/>
      <c r="G46" s="4"/>
      <c r="H46" s="14"/>
      <c r="I46" s="9"/>
    </row>
    <row r="47" spans="4:9" x14ac:dyDescent="0.25">
      <c r="D47" s="8"/>
      <c r="E47" s="2"/>
      <c r="F47" s="2"/>
      <c r="G47" s="4"/>
      <c r="H47" s="14"/>
      <c r="I47" s="9"/>
    </row>
    <row r="48" spans="4:9" x14ac:dyDescent="0.25">
      <c r="D48" s="8"/>
      <c r="E48" s="2" t="s">
        <v>9461</v>
      </c>
      <c r="F48" s="2" t="s">
        <v>5678</v>
      </c>
      <c r="G48" s="4">
        <v>18</v>
      </c>
      <c r="H48" s="14"/>
      <c r="I48" s="9"/>
    </row>
    <row r="49" spans="4:9" x14ac:dyDescent="0.25">
      <c r="D49" s="8"/>
      <c r="E49" s="2" t="s">
        <v>9462</v>
      </c>
      <c r="F49" s="2" t="s">
        <v>5678</v>
      </c>
      <c r="G49" s="4">
        <v>25</v>
      </c>
      <c r="H49" s="14"/>
      <c r="I49" s="9"/>
    </row>
    <row r="50" spans="4:9" x14ac:dyDescent="0.25">
      <c r="D50" s="8"/>
      <c r="E50" s="2" t="s">
        <v>9463</v>
      </c>
      <c r="F50" s="2" t="s">
        <v>5678</v>
      </c>
      <c r="G50" s="4"/>
      <c r="H50" s="14"/>
      <c r="I50" s="9">
        <v>48</v>
      </c>
    </row>
    <row r="51" spans="4:9" x14ac:dyDescent="0.25">
      <c r="D51" s="8"/>
      <c r="E51" s="2" t="s">
        <v>9464</v>
      </c>
      <c r="F51" s="2" t="s">
        <v>5678</v>
      </c>
      <c r="G51" s="4">
        <v>131.5</v>
      </c>
      <c r="H51" s="14"/>
      <c r="I51" s="9"/>
    </row>
    <row r="52" spans="4:9" x14ac:dyDescent="0.25">
      <c r="D52" s="8"/>
      <c r="E52" s="2" t="s">
        <v>9465</v>
      </c>
      <c r="F52" s="2" t="s">
        <v>5678</v>
      </c>
      <c r="G52" s="4">
        <v>44</v>
      </c>
      <c r="H52" s="14"/>
      <c r="I52" s="9"/>
    </row>
    <row r="53" spans="4:9" x14ac:dyDescent="0.25">
      <c r="D53" s="8"/>
      <c r="E53" s="2" t="s">
        <v>9466</v>
      </c>
      <c r="F53" s="2" t="s">
        <v>9460</v>
      </c>
      <c r="G53" s="4"/>
      <c r="H53" s="14"/>
      <c r="I53" s="9">
        <v>18</v>
      </c>
    </row>
    <row r="54" spans="4:9" x14ac:dyDescent="0.25">
      <c r="D54" s="8"/>
      <c r="E54" s="2" t="s">
        <v>9467</v>
      </c>
      <c r="F54" s="2" t="s">
        <v>5678</v>
      </c>
      <c r="G54" s="4"/>
      <c r="H54" s="14"/>
      <c r="I54" s="9">
        <v>15</v>
      </c>
    </row>
    <row r="55" spans="4:9" x14ac:dyDescent="0.25">
      <c r="D55" s="8"/>
      <c r="E55" s="2" t="s">
        <v>9495</v>
      </c>
      <c r="F55" s="2" t="s">
        <v>5678</v>
      </c>
      <c r="G55" s="4">
        <v>10</v>
      </c>
      <c r="H55" s="14"/>
      <c r="I55" s="9"/>
    </row>
    <row r="56" spans="4:9" x14ac:dyDescent="0.25">
      <c r="D56" s="8"/>
      <c r="E56" s="2"/>
      <c r="F56" s="2"/>
      <c r="G56" s="4"/>
      <c r="H56" s="14"/>
      <c r="I56" s="9"/>
    </row>
    <row r="57" spans="4:9" x14ac:dyDescent="0.25">
      <c r="D57" s="8"/>
      <c r="E57" s="2"/>
      <c r="F57" s="2"/>
      <c r="G57" s="4"/>
      <c r="H57" s="14"/>
      <c r="I57" s="9"/>
    </row>
    <row r="58" spans="4:9" x14ac:dyDescent="0.25">
      <c r="D58" s="8"/>
      <c r="E58" s="2"/>
      <c r="F58" s="2"/>
      <c r="G58" s="4"/>
      <c r="H58" s="14"/>
      <c r="I58" s="9"/>
    </row>
    <row r="59" spans="4:9" x14ac:dyDescent="0.25">
      <c r="D59" s="8"/>
      <c r="E59" s="2"/>
      <c r="F59" s="2"/>
      <c r="G59" s="4"/>
      <c r="H59" s="14"/>
      <c r="I59" s="9"/>
    </row>
    <row r="60" spans="4:9" x14ac:dyDescent="0.25">
      <c r="D60" s="8"/>
      <c r="E60" s="2"/>
      <c r="F60" s="2"/>
      <c r="G60" s="4"/>
      <c r="H60" s="14"/>
      <c r="I60" s="9"/>
    </row>
    <row r="61" spans="4:9" x14ac:dyDescent="0.25">
      <c r="D61" s="29"/>
      <c r="E61" s="30"/>
      <c r="F61" s="30" t="s">
        <v>60</v>
      </c>
      <c r="G61" s="4"/>
      <c r="H61" s="14"/>
      <c r="I61" s="9"/>
    </row>
    <row r="62" spans="4:9" x14ac:dyDescent="0.25">
      <c r="D62" s="8"/>
      <c r="E62" s="2" t="s">
        <v>9469</v>
      </c>
      <c r="F62" s="68" t="s">
        <v>9470</v>
      </c>
      <c r="G62" s="35">
        <v>300</v>
      </c>
      <c r="H62" s="14"/>
      <c r="I62" s="9">
        <v>148</v>
      </c>
    </row>
    <row r="63" spans="4:9" x14ac:dyDescent="0.25">
      <c r="D63" s="8"/>
      <c r="E63" s="2" t="s">
        <v>9488</v>
      </c>
      <c r="F63" s="121" t="s">
        <v>9487</v>
      </c>
      <c r="G63" s="35">
        <v>50</v>
      </c>
      <c r="H63" s="14"/>
      <c r="I63" s="9"/>
    </row>
    <row r="64" spans="4:9" x14ac:dyDescent="0.25">
      <c r="D64" s="8"/>
      <c r="E64" s="2"/>
      <c r="F64" s="2"/>
      <c r="G64" s="35"/>
      <c r="H64" s="14"/>
      <c r="I64" s="9"/>
    </row>
    <row r="65" spans="4:9" x14ac:dyDescent="0.25">
      <c r="D65" s="8"/>
      <c r="E65" s="2"/>
      <c r="F65" s="2"/>
      <c r="G65" s="35"/>
      <c r="H65" s="14"/>
      <c r="I65" s="9"/>
    </row>
    <row r="66" spans="4:9" x14ac:dyDescent="0.25">
      <c r="D66" s="8"/>
      <c r="E66" s="2"/>
      <c r="F66" s="76"/>
      <c r="G66" s="35"/>
      <c r="H66" s="14"/>
      <c r="I66" s="9"/>
    </row>
    <row r="67" spans="4:9" x14ac:dyDescent="0.25">
      <c r="D67" s="8"/>
      <c r="E67" s="2"/>
      <c r="F67" s="76"/>
      <c r="G67" s="35"/>
      <c r="H67" s="14"/>
      <c r="I67" s="9"/>
    </row>
    <row r="68" spans="4:9" x14ac:dyDescent="0.25">
      <c r="D68" s="16"/>
      <c r="E68" s="17"/>
      <c r="F68" s="17" t="s">
        <v>39</v>
      </c>
      <c r="G68" s="4"/>
      <c r="H68" s="14"/>
      <c r="I68" s="9"/>
    </row>
    <row r="69" spans="4:9" x14ac:dyDescent="0.25">
      <c r="D69" s="8"/>
      <c r="E69" s="2"/>
      <c r="F69" s="68" t="s">
        <v>9473</v>
      </c>
      <c r="G69" s="35">
        <v>45</v>
      </c>
      <c r="H69" s="14"/>
      <c r="I69" s="9"/>
    </row>
    <row r="70" spans="4:9" x14ac:dyDescent="0.25">
      <c r="D70" s="8"/>
      <c r="E70" s="2"/>
      <c r="F70" s="68" t="s">
        <v>9472</v>
      </c>
      <c r="G70" s="35">
        <v>508.5</v>
      </c>
      <c r="H70" s="14"/>
      <c r="I70" s="9"/>
    </row>
    <row r="71" spans="4:9" x14ac:dyDescent="0.25">
      <c r="D71" s="8"/>
      <c r="E71" s="2"/>
      <c r="F71" s="68" t="s">
        <v>9475</v>
      </c>
      <c r="G71" s="35">
        <v>9400</v>
      </c>
      <c r="H71" s="14"/>
      <c r="I71" s="9"/>
    </row>
    <row r="72" spans="4:9" x14ac:dyDescent="0.25">
      <c r="D72" s="8"/>
      <c r="E72" s="2"/>
      <c r="F72" s="68" t="s">
        <v>9474</v>
      </c>
      <c r="G72" s="35">
        <v>4184</v>
      </c>
      <c r="H72" s="14"/>
      <c r="I72" s="9"/>
    </row>
    <row r="73" spans="4:9" x14ac:dyDescent="0.25">
      <c r="D73" s="8"/>
      <c r="E73" s="2"/>
      <c r="F73" s="76"/>
      <c r="G73" s="35"/>
      <c r="H73" s="14"/>
      <c r="I73" s="9"/>
    </row>
    <row r="74" spans="4:9" x14ac:dyDescent="0.25">
      <c r="D74" s="8"/>
      <c r="E74" s="2"/>
      <c r="F74" s="76"/>
      <c r="G74" s="35"/>
      <c r="H74" s="14"/>
      <c r="I74" s="9"/>
    </row>
    <row r="75" spans="4:9" x14ac:dyDescent="0.25">
      <c r="D75" s="8"/>
      <c r="E75" s="2"/>
      <c r="F75" s="76"/>
      <c r="G75" s="35"/>
      <c r="H75" s="14"/>
      <c r="I75" s="9"/>
    </row>
    <row r="76" spans="4:9" x14ac:dyDescent="0.25">
      <c r="D76" s="8"/>
      <c r="E76" s="2"/>
      <c r="F76" s="2"/>
      <c r="G76" s="4"/>
      <c r="H76" s="14"/>
      <c r="I76" s="9"/>
    </row>
    <row r="77" spans="4:9" x14ac:dyDescent="0.25">
      <c r="D77" s="19"/>
      <c r="E77" s="20"/>
      <c r="F77" s="20" t="s">
        <v>42</v>
      </c>
      <c r="G77" s="14"/>
      <c r="H77" s="14"/>
      <c r="I77" s="9"/>
    </row>
    <row r="78" spans="4:9" x14ac:dyDescent="0.25">
      <c r="D78" s="34"/>
      <c r="E78" s="45"/>
      <c r="F78" s="118" t="s">
        <v>9471</v>
      </c>
      <c r="G78" s="14">
        <v>-459</v>
      </c>
      <c r="H78" s="14"/>
      <c r="I78" s="9"/>
    </row>
    <row r="79" spans="4:9" x14ac:dyDescent="0.25">
      <c r="D79" s="34"/>
      <c r="E79" s="45"/>
      <c r="F79" s="118" t="s">
        <v>9496</v>
      </c>
      <c r="G79" s="14">
        <v>-3512.4</v>
      </c>
      <c r="H79" s="14"/>
      <c r="I79" s="9"/>
    </row>
    <row r="80" spans="4:9" x14ac:dyDescent="0.25">
      <c r="D80" s="34"/>
      <c r="E80" s="45"/>
      <c r="F80" s="118" t="s">
        <v>9497</v>
      </c>
      <c r="G80" s="14">
        <v>-40</v>
      </c>
      <c r="H80" s="14"/>
      <c r="I80" s="9"/>
    </row>
    <row r="81" spans="4:9" x14ac:dyDescent="0.25">
      <c r="D81" s="34"/>
      <c r="E81" s="45"/>
      <c r="F81" s="118" t="s">
        <v>9498</v>
      </c>
      <c r="G81" s="14">
        <v>-540</v>
      </c>
      <c r="H81" s="14"/>
      <c r="I81" s="9"/>
    </row>
    <row r="82" spans="4:9" x14ac:dyDescent="0.25">
      <c r="D82" s="34"/>
      <c r="E82" s="45"/>
      <c r="F82" s="118"/>
      <c r="G82" s="14"/>
      <c r="H82" s="14"/>
      <c r="I82" s="9"/>
    </row>
    <row r="83" spans="4:9" x14ac:dyDescent="0.25">
      <c r="D83" s="34"/>
      <c r="E83" s="45"/>
      <c r="F83" s="118"/>
      <c r="G83" s="14"/>
      <c r="H83" s="14"/>
      <c r="I83" s="9"/>
    </row>
    <row r="84" spans="4:9" x14ac:dyDescent="0.25">
      <c r="D84" s="34"/>
      <c r="E84" s="45"/>
      <c r="F84" s="118"/>
      <c r="G84" s="14"/>
      <c r="H84" s="14"/>
      <c r="I84" s="9"/>
    </row>
    <row r="85" spans="4:9" x14ac:dyDescent="0.25">
      <c r="D85" s="34"/>
      <c r="E85" s="45"/>
      <c r="F85" s="118"/>
      <c r="G85" s="14"/>
      <c r="H85" s="14"/>
      <c r="I85" s="9"/>
    </row>
    <row r="86" spans="4:9" x14ac:dyDescent="0.25">
      <c r="D86" s="34"/>
      <c r="E86" s="45"/>
      <c r="F86" s="68"/>
      <c r="G86" s="14"/>
      <c r="H86" s="14"/>
      <c r="I86" s="9"/>
    </row>
    <row r="87" spans="4:9" x14ac:dyDescent="0.25">
      <c r="D87" s="34"/>
      <c r="E87" s="45"/>
      <c r="F87" s="68"/>
      <c r="G87" s="14"/>
      <c r="H87" s="14"/>
      <c r="I87" s="9"/>
    </row>
    <row r="88" spans="4:9" x14ac:dyDescent="0.25">
      <c r="D88" s="34"/>
      <c r="E88" s="45"/>
      <c r="F88" s="68"/>
      <c r="G88" s="14"/>
      <c r="H88" s="14"/>
      <c r="I88" s="9"/>
    </row>
    <row r="89" spans="4:9" x14ac:dyDescent="0.25">
      <c r="D89" s="34"/>
      <c r="E89" s="45"/>
      <c r="F89" s="68"/>
      <c r="G89" s="14"/>
      <c r="H89" s="14"/>
      <c r="I89" s="9"/>
    </row>
    <row r="90" spans="4:9" x14ac:dyDescent="0.25">
      <c r="D90" s="34"/>
      <c r="E90" s="45"/>
      <c r="F90" s="68"/>
      <c r="G90" s="14"/>
      <c r="H90" s="14"/>
      <c r="I90" s="9"/>
    </row>
    <row r="91" spans="4:9" ht="15.75" thickBot="1" x14ac:dyDescent="0.3">
      <c r="D91" s="10"/>
      <c r="E91" s="11"/>
      <c r="F91" s="11" t="s">
        <v>44</v>
      </c>
      <c r="G91" s="12">
        <f>SUM(G6:G90)</f>
        <v>16142.099999999999</v>
      </c>
      <c r="H91" s="15">
        <f>SUM(H6:H90)</f>
        <v>304.3</v>
      </c>
      <c r="I91" s="13">
        <f>SUM(I6:I90)</f>
        <v>5630.0499999999993</v>
      </c>
    </row>
    <row r="94" spans="4:9" ht="21" x14ac:dyDescent="0.3">
      <c r="F94" s="119" t="s">
        <v>49</v>
      </c>
      <c r="G94" s="120">
        <f>I4+G91</f>
        <v>16566.379999999997</v>
      </c>
    </row>
  </sheetData>
  <mergeCells count="1">
    <mergeCell ref="D3:H4"/>
  </mergeCells>
  <phoneticPr fontId="3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9D3C-1A33-4FBE-BC11-F6269CB7F733}">
  <sheetPr codeName="Hoja123"/>
  <dimension ref="D3:I90"/>
  <sheetViews>
    <sheetView topLeftCell="A34" zoomScale="85" zoomScaleNormal="85" workbookViewId="0">
      <selection activeCell="D6" sqref="D6"/>
    </sheetView>
  </sheetViews>
  <sheetFormatPr baseColWidth="10" defaultRowHeight="15" x14ac:dyDescent="0.25"/>
  <cols>
    <col min="5" max="5" width="24.140625" customWidth="1"/>
    <col min="6" max="6" width="94.5703125" customWidth="1"/>
    <col min="7" max="7" width="19.28515625" customWidth="1"/>
    <col min="8" max="8" width="13.7109375" customWidth="1"/>
    <col min="9" max="9" width="18.7109375" customWidth="1"/>
  </cols>
  <sheetData>
    <row r="3" spans="4:9" ht="15.75" thickBot="1" x14ac:dyDescent="0.3"/>
    <row r="4" spans="4:9" x14ac:dyDescent="0.25">
      <c r="D4" s="143" t="s">
        <v>9705</v>
      </c>
      <c r="E4" s="144"/>
      <c r="F4" s="144"/>
      <c r="G4" s="144"/>
      <c r="H4" s="145"/>
      <c r="I4" s="46" t="s">
        <v>0</v>
      </c>
    </row>
    <row r="5" spans="4:9" ht="16.5" thickBot="1" x14ac:dyDescent="0.3">
      <c r="D5" s="146"/>
      <c r="E5" s="147"/>
      <c r="F5" s="147"/>
      <c r="G5" s="147"/>
      <c r="H5" s="148"/>
      <c r="I5" s="117">
        <v>16566.38</v>
      </c>
    </row>
    <row r="6" spans="4:9" x14ac:dyDescent="0.25">
      <c r="D6" s="24" t="s">
        <v>1</v>
      </c>
      <c r="E6" s="25" t="s">
        <v>2</v>
      </c>
      <c r="F6" s="25" t="s">
        <v>3</v>
      </c>
      <c r="G6" s="26" t="s">
        <v>4</v>
      </c>
      <c r="H6" s="26" t="s">
        <v>5</v>
      </c>
      <c r="I6" s="27" t="s">
        <v>6</v>
      </c>
    </row>
    <row r="7" spans="4:9" x14ac:dyDescent="0.25">
      <c r="D7" s="24"/>
      <c r="E7" s="2" t="s">
        <v>9501</v>
      </c>
      <c r="F7" s="2" t="s">
        <v>6854</v>
      </c>
      <c r="G7" s="109"/>
      <c r="H7" s="113"/>
      <c r="I7" s="112">
        <v>55</v>
      </c>
    </row>
    <row r="8" spans="4:9" x14ac:dyDescent="0.25">
      <c r="D8" s="24"/>
      <c r="E8" s="2" t="s">
        <v>9502</v>
      </c>
      <c r="F8" s="2" t="s">
        <v>6593</v>
      </c>
      <c r="G8" s="109">
        <v>420</v>
      </c>
      <c r="H8" s="113"/>
      <c r="I8" s="112"/>
    </row>
    <row r="9" spans="4:9" x14ac:dyDescent="0.25">
      <c r="D9" s="24"/>
      <c r="E9" s="2" t="s">
        <v>9503</v>
      </c>
      <c r="F9" s="2" t="s">
        <v>6085</v>
      </c>
      <c r="G9" s="109"/>
      <c r="H9" s="113"/>
      <c r="I9" s="112">
        <v>46</v>
      </c>
    </row>
    <row r="10" spans="4:9" x14ac:dyDescent="0.25">
      <c r="D10" s="8"/>
      <c r="E10" s="2" t="s">
        <v>9504</v>
      </c>
      <c r="F10" s="2" t="s">
        <v>5678</v>
      </c>
      <c r="G10" s="4"/>
      <c r="H10" s="14"/>
      <c r="I10" s="9">
        <v>36</v>
      </c>
    </row>
    <row r="11" spans="4:9" x14ac:dyDescent="0.25">
      <c r="D11" s="8"/>
      <c r="E11" s="2" t="s">
        <v>9505</v>
      </c>
      <c r="F11" s="2" t="s">
        <v>9518</v>
      </c>
      <c r="G11" s="4">
        <v>59.5</v>
      </c>
      <c r="H11" s="14"/>
      <c r="I11" s="9"/>
    </row>
    <row r="12" spans="4:9" x14ac:dyDescent="0.25">
      <c r="D12" s="8"/>
      <c r="E12" s="2" t="s">
        <v>9506</v>
      </c>
      <c r="F12" s="2" t="s">
        <v>6439</v>
      </c>
      <c r="G12" s="4"/>
      <c r="H12" s="14"/>
      <c r="I12" s="9">
        <v>5285</v>
      </c>
    </row>
    <row r="13" spans="4:9" x14ac:dyDescent="0.25">
      <c r="D13" s="8"/>
      <c r="E13" s="2" t="s">
        <v>9507</v>
      </c>
      <c r="F13" s="2" t="s">
        <v>5678</v>
      </c>
      <c r="G13" s="4"/>
      <c r="H13" s="14"/>
      <c r="I13" s="9">
        <v>22.8</v>
      </c>
    </row>
    <row r="14" spans="4:9" x14ac:dyDescent="0.25">
      <c r="D14" s="8"/>
      <c r="E14" s="2" t="s">
        <v>9508</v>
      </c>
      <c r="F14" s="2" t="s">
        <v>8740</v>
      </c>
      <c r="G14" s="4"/>
      <c r="H14" s="14"/>
      <c r="I14" s="9">
        <v>2</v>
      </c>
    </row>
    <row r="15" spans="4:9" x14ac:dyDescent="0.25">
      <c r="D15" s="8"/>
      <c r="E15" s="2" t="s">
        <v>9509</v>
      </c>
      <c r="F15" s="2" t="s">
        <v>8850</v>
      </c>
      <c r="G15" s="4">
        <v>3340</v>
      </c>
      <c r="H15" s="14"/>
      <c r="I15" s="9"/>
    </row>
    <row r="16" spans="4:9" x14ac:dyDescent="0.25">
      <c r="D16" s="8"/>
      <c r="E16" s="2" t="s">
        <v>9510</v>
      </c>
      <c r="F16" s="2" t="s">
        <v>7126</v>
      </c>
      <c r="G16" s="4"/>
      <c r="H16" s="14">
        <v>850</v>
      </c>
      <c r="I16" s="9"/>
    </row>
    <row r="17" spans="4:9" x14ac:dyDescent="0.25">
      <c r="D17" s="8"/>
      <c r="E17" s="2" t="s">
        <v>9511</v>
      </c>
      <c r="F17" s="2" t="s">
        <v>9519</v>
      </c>
      <c r="G17" s="4">
        <v>1050</v>
      </c>
      <c r="H17" s="14"/>
      <c r="I17" s="9"/>
    </row>
    <row r="18" spans="4:9" x14ac:dyDescent="0.25">
      <c r="D18" s="8"/>
      <c r="E18" s="2" t="s">
        <v>9512</v>
      </c>
      <c r="F18" s="2" t="s">
        <v>5678</v>
      </c>
      <c r="G18" s="4">
        <v>35</v>
      </c>
      <c r="H18" s="14"/>
      <c r="I18" s="9"/>
    </row>
    <row r="19" spans="4:9" x14ac:dyDescent="0.25">
      <c r="D19" s="8"/>
      <c r="E19" s="2" t="s">
        <v>9513</v>
      </c>
      <c r="F19" s="2" t="s">
        <v>4079</v>
      </c>
      <c r="G19" s="4"/>
      <c r="H19" s="14"/>
      <c r="I19" s="9">
        <v>150</v>
      </c>
    </row>
    <row r="20" spans="4:9" x14ac:dyDescent="0.25">
      <c r="D20" s="8"/>
      <c r="E20" s="2" t="s">
        <v>9514</v>
      </c>
      <c r="F20" s="2" t="s">
        <v>9520</v>
      </c>
      <c r="G20" s="4">
        <v>700</v>
      </c>
      <c r="H20" s="14"/>
      <c r="I20" s="9">
        <v>64.5</v>
      </c>
    </row>
    <row r="21" spans="4:9" x14ac:dyDescent="0.25">
      <c r="D21" s="8"/>
      <c r="E21" s="2" t="s">
        <v>9515</v>
      </c>
      <c r="F21" s="2" t="s">
        <v>9520</v>
      </c>
      <c r="G21" s="4"/>
      <c r="H21" s="14"/>
      <c r="I21" s="9">
        <v>45</v>
      </c>
    </row>
    <row r="22" spans="4:9" x14ac:dyDescent="0.25">
      <c r="D22" s="8"/>
      <c r="E22" s="2" t="s">
        <v>9516</v>
      </c>
      <c r="F22" s="2" t="s">
        <v>9455</v>
      </c>
      <c r="G22" s="4">
        <v>930</v>
      </c>
      <c r="H22" s="14"/>
      <c r="I22" s="9"/>
    </row>
    <row r="23" spans="4:9" x14ac:dyDescent="0.25">
      <c r="D23" s="8"/>
      <c r="E23" s="2" t="s">
        <v>9517</v>
      </c>
      <c r="F23" s="2" t="s">
        <v>5678</v>
      </c>
      <c r="G23" s="4">
        <v>12.2</v>
      </c>
      <c r="H23" s="14"/>
      <c r="I23" s="9"/>
    </row>
    <row r="24" spans="4:9" x14ac:dyDescent="0.25">
      <c r="D24" s="8"/>
      <c r="E24" s="2" t="s">
        <v>9527</v>
      </c>
      <c r="F24" s="2" t="s">
        <v>7899</v>
      </c>
      <c r="G24" s="4">
        <v>93</v>
      </c>
      <c r="H24" s="14"/>
      <c r="I24" s="9"/>
    </row>
    <row r="25" spans="4:9" x14ac:dyDescent="0.25">
      <c r="D25" s="8"/>
      <c r="E25" s="2" t="s">
        <v>9528</v>
      </c>
      <c r="F25" s="2" t="s">
        <v>5678</v>
      </c>
      <c r="G25" s="4"/>
      <c r="H25" s="14"/>
      <c r="I25" s="9">
        <v>110</v>
      </c>
    </row>
    <row r="26" spans="4:9" x14ac:dyDescent="0.25">
      <c r="D26" s="8"/>
      <c r="E26" s="2" t="s">
        <v>9529</v>
      </c>
      <c r="F26" s="2" t="s">
        <v>5678</v>
      </c>
      <c r="G26" s="4">
        <v>22</v>
      </c>
      <c r="H26" s="14"/>
      <c r="I26" s="9"/>
    </row>
    <row r="27" spans="4:9" x14ac:dyDescent="0.25">
      <c r="D27" s="8"/>
      <c r="E27" s="2" t="s">
        <v>9530</v>
      </c>
      <c r="F27" s="2" t="s">
        <v>7126</v>
      </c>
      <c r="G27" s="4"/>
      <c r="H27" s="14">
        <v>9</v>
      </c>
      <c r="I27" s="9"/>
    </row>
    <row r="28" spans="4:9" x14ac:dyDescent="0.25">
      <c r="D28" s="8"/>
      <c r="E28" s="2" t="s">
        <v>9536</v>
      </c>
      <c r="F28" s="2" t="s">
        <v>5678</v>
      </c>
      <c r="G28" s="4"/>
      <c r="H28" s="14"/>
      <c r="I28" s="9">
        <v>9.5</v>
      </c>
    </row>
    <row r="29" spans="4:9" x14ac:dyDescent="0.25">
      <c r="D29" s="123"/>
      <c r="E29" s="124" t="s">
        <v>9537</v>
      </c>
      <c r="F29" s="124" t="s">
        <v>2002</v>
      </c>
      <c r="G29" s="125"/>
      <c r="H29" s="126"/>
      <c r="I29" s="127"/>
    </row>
    <row r="30" spans="4:9" x14ac:dyDescent="0.25">
      <c r="D30" s="8"/>
      <c r="E30" s="2" t="s">
        <v>9538</v>
      </c>
      <c r="F30" s="2" t="s">
        <v>5678</v>
      </c>
      <c r="G30" s="4">
        <v>9</v>
      </c>
      <c r="H30" s="14"/>
      <c r="I30" s="9"/>
    </row>
    <row r="31" spans="4:9" x14ac:dyDescent="0.25">
      <c r="D31" s="8"/>
      <c r="E31" s="2" t="s">
        <v>9539</v>
      </c>
      <c r="F31" s="2" t="s">
        <v>5678</v>
      </c>
      <c r="G31" s="4"/>
      <c r="H31" s="14"/>
      <c r="I31" s="9">
        <v>27</v>
      </c>
    </row>
    <row r="32" spans="4:9" x14ac:dyDescent="0.25">
      <c r="D32" s="8"/>
      <c r="E32" s="2" t="s">
        <v>9540</v>
      </c>
      <c r="F32" s="2" t="s">
        <v>7126</v>
      </c>
      <c r="G32" s="4"/>
      <c r="H32" s="14">
        <v>147</v>
      </c>
      <c r="I32" s="9"/>
    </row>
    <row r="33" spans="4:9" x14ac:dyDescent="0.25">
      <c r="D33" s="8"/>
      <c r="E33" s="2" t="s">
        <v>9541</v>
      </c>
      <c r="F33" s="40" t="s">
        <v>9399</v>
      </c>
      <c r="G33" s="4">
        <v>3482</v>
      </c>
      <c r="H33" s="14"/>
      <c r="I33" s="9"/>
    </row>
    <row r="34" spans="4:9" x14ac:dyDescent="0.25">
      <c r="D34" s="8"/>
      <c r="E34" s="2" t="s">
        <v>9545</v>
      </c>
      <c r="F34" s="2" t="s">
        <v>5678</v>
      </c>
      <c r="G34" s="4">
        <v>4</v>
      </c>
      <c r="H34" s="14"/>
      <c r="I34" s="9"/>
    </row>
    <row r="35" spans="4:9" x14ac:dyDescent="0.25">
      <c r="D35" s="8"/>
      <c r="E35" s="2" t="s">
        <v>9546</v>
      </c>
      <c r="F35" s="2" t="s">
        <v>8740</v>
      </c>
      <c r="G35" s="4"/>
      <c r="H35" s="14"/>
      <c r="I35" s="9">
        <v>64.2</v>
      </c>
    </row>
    <row r="36" spans="4:9" x14ac:dyDescent="0.25">
      <c r="D36" s="8"/>
      <c r="E36" s="2" t="s">
        <v>9547</v>
      </c>
      <c r="F36" s="2" t="s">
        <v>9360</v>
      </c>
      <c r="G36" s="4">
        <v>300</v>
      </c>
      <c r="H36" s="14"/>
      <c r="I36" s="9">
        <v>35</v>
      </c>
    </row>
    <row r="37" spans="4:9" x14ac:dyDescent="0.25">
      <c r="D37" s="8"/>
      <c r="E37" s="2" t="s">
        <v>9551</v>
      </c>
      <c r="F37" s="2" t="s">
        <v>9552</v>
      </c>
      <c r="G37" s="4"/>
      <c r="H37" s="14"/>
      <c r="I37" s="9">
        <v>4</v>
      </c>
    </row>
    <row r="38" spans="4:9" x14ac:dyDescent="0.25">
      <c r="D38" s="8"/>
      <c r="E38" s="2" t="s">
        <v>9557</v>
      </c>
      <c r="F38" s="2" t="s">
        <v>9556</v>
      </c>
      <c r="G38" s="4"/>
      <c r="H38" s="14"/>
      <c r="I38" s="9">
        <v>395</v>
      </c>
    </row>
    <row r="39" spans="4:9" x14ac:dyDescent="0.25">
      <c r="D39" s="8"/>
      <c r="E39" s="2"/>
      <c r="F39" s="2"/>
      <c r="G39" s="4"/>
      <c r="H39" s="14"/>
      <c r="I39" s="9"/>
    </row>
    <row r="40" spans="4:9" x14ac:dyDescent="0.25">
      <c r="D40" s="8"/>
      <c r="E40" s="2"/>
      <c r="F40" s="2"/>
      <c r="G40" s="4"/>
      <c r="H40" s="14"/>
      <c r="I40" s="9"/>
    </row>
    <row r="41" spans="4:9" x14ac:dyDescent="0.25">
      <c r="D41" s="8"/>
      <c r="E41" s="2"/>
      <c r="F41" s="2"/>
      <c r="G41" s="4"/>
      <c r="H41" s="14"/>
      <c r="I41" s="9"/>
    </row>
    <row r="42" spans="4:9" x14ac:dyDescent="0.25">
      <c r="D42" s="8"/>
      <c r="E42" s="2"/>
      <c r="F42" s="2"/>
      <c r="G42" s="4"/>
      <c r="H42" s="14"/>
      <c r="I42" s="9"/>
    </row>
    <row r="43" spans="4:9" x14ac:dyDescent="0.25">
      <c r="D43" s="8"/>
      <c r="E43" s="2" t="s">
        <v>9521</v>
      </c>
      <c r="F43" s="2" t="s">
        <v>9522</v>
      </c>
      <c r="G43" s="4">
        <v>14.5</v>
      </c>
      <c r="H43" s="14"/>
      <c r="I43" s="9"/>
    </row>
    <row r="44" spans="4:9" x14ac:dyDescent="0.25">
      <c r="D44" s="8"/>
      <c r="E44" s="2" t="s">
        <v>9523</v>
      </c>
      <c r="F44" s="2" t="s">
        <v>5678</v>
      </c>
      <c r="G44" s="4"/>
      <c r="H44" s="14"/>
      <c r="I44" s="9">
        <v>67.099999999999994</v>
      </c>
    </row>
    <row r="45" spans="4:9" x14ac:dyDescent="0.25">
      <c r="D45" s="8"/>
      <c r="E45" s="2" t="s">
        <v>9524</v>
      </c>
      <c r="F45" s="2" t="s">
        <v>5678</v>
      </c>
      <c r="G45" s="4">
        <v>14.5</v>
      </c>
      <c r="H45" s="14"/>
      <c r="I45" s="9"/>
    </row>
    <row r="46" spans="4:9" x14ac:dyDescent="0.25">
      <c r="D46" s="8"/>
      <c r="E46" s="2" t="s">
        <v>9525</v>
      </c>
      <c r="F46" s="2" t="s">
        <v>5678</v>
      </c>
      <c r="G46" s="4"/>
      <c r="H46" s="14"/>
      <c r="I46" s="9">
        <v>32</v>
      </c>
    </row>
    <row r="47" spans="4:9" x14ac:dyDescent="0.25">
      <c r="D47" s="8"/>
      <c r="E47" s="2" t="s">
        <v>9526</v>
      </c>
      <c r="F47" s="2" t="s">
        <v>5678</v>
      </c>
      <c r="G47" s="4">
        <v>17</v>
      </c>
      <c r="H47" s="14"/>
      <c r="I47" s="9"/>
    </row>
    <row r="48" spans="4:9" x14ac:dyDescent="0.25">
      <c r="D48" s="8"/>
      <c r="E48" s="2" t="s">
        <v>9542</v>
      </c>
      <c r="F48" s="2" t="s">
        <v>5678</v>
      </c>
      <c r="G48" s="4">
        <v>11</v>
      </c>
      <c r="H48" s="14"/>
      <c r="I48" s="9"/>
    </row>
    <row r="49" spans="4:9" x14ac:dyDescent="0.25">
      <c r="D49" s="8"/>
      <c r="E49" s="2" t="s">
        <v>9553</v>
      </c>
      <c r="F49" s="2" t="s">
        <v>7126</v>
      </c>
      <c r="G49" s="4"/>
      <c r="H49" s="14">
        <v>67.8</v>
      </c>
      <c r="I49" s="9"/>
    </row>
    <row r="50" spans="4:9" x14ac:dyDescent="0.25">
      <c r="D50" s="8"/>
      <c r="E50" s="2"/>
      <c r="F50" s="2"/>
      <c r="G50" s="4"/>
      <c r="H50" s="14"/>
      <c r="I50" s="9"/>
    </row>
    <row r="51" spans="4:9" x14ac:dyDescent="0.25">
      <c r="D51" s="8"/>
      <c r="E51" s="2"/>
      <c r="F51" s="2"/>
      <c r="G51" s="4"/>
      <c r="H51" s="14"/>
      <c r="I51" s="9"/>
    </row>
    <row r="52" spans="4:9" x14ac:dyDescent="0.25">
      <c r="D52" s="8"/>
      <c r="E52" s="2"/>
      <c r="F52" s="2"/>
      <c r="G52" s="4"/>
      <c r="H52" s="14"/>
      <c r="I52" s="9"/>
    </row>
    <row r="53" spans="4:9" x14ac:dyDescent="0.25">
      <c r="D53" s="8"/>
      <c r="E53" s="2"/>
      <c r="F53" s="2"/>
      <c r="G53" s="4"/>
      <c r="H53" s="14"/>
      <c r="I53" s="9"/>
    </row>
    <row r="54" spans="4:9" x14ac:dyDescent="0.25">
      <c r="D54" s="8"/>
      <c r="E54" s="2"/>
      <c r="F54" s="2"/>
      <c r="G54" s="4"/>
      <c r="H54" s="14"/>
      <c r="I54" s="9"/>
    </row>
    <row r="55" spans="4:9" x14ac:dyDescent="0.25">
      <c r="D55" s="8"/>
      <c r="E55" s="2"/>
      <c r="F55" s="2"/>
      <c r="G55" s="4"/>
      <c r="H55" s="14"/>
      <c r="I55" s="9"/>
    </row>
    <row r="56" spans="4:9" x14ac:dyDescent="0.25">
      <c r="D56" s="8"/>
      <c r="E56" s="2"/>
      <c r="F56" s="2"/>
      <c r="G56" s="4"/>
      <c r="H56" s="14"/>
      <c r="I56" s="9"/>
    </row>
    <row r="57" spans="4:9" x14ac:dyDescent="0.25">
      <c r="D57" s="29"/>
      <c r="E57" s="30"/>
      <c r="F57" s="30" t="s">
        <v>60</v>
      </c>
      <c r="G57" s="4"/>
      <c r="H57" s="14"/>
      <c r="I57" s="9"/>
    </row>
    <row r="58" spans="4:9" x14ac:dyDescent="0.25">
      <c r="D58" s="8"/>
      <c r="E58" s="2" t="s">
        <v>9500</v>
      </c>
      <c r="F58" s="2" t="s">
        <v>9499</v>
      </c>
      <c r="G58" s="109"/>
      <c r="H58" s="113"/>
      <c r="I58" s="112">
        <v>1725</v>
      </c>
    </row>
    <row r="59" spans="4:9" x14ac:dyDescent="0.25">
      <c r="D59" s="8"/>
      <c r="E59" s="2" t="s">
        <v>9531</v>
      </c>
      <c r="F59" s="122" t="s">
        <v>9532</v>
      </c>
      <c r="G59" s="35">
        <v>382</v>
      </c>
      <c r="H59" s="14"/>
      <c r="I59" s="9">
        <v>70</v>
      </c>
    </row>
    <row r="60" spans="4:9" x14ac:dyDescent="0.25">
      <c r="D60" s="8"/>
      <c r="E60" s="2" t="s">
        <v>9555</v>
      </c>
      <c r="F60" s="2" t="s">
        <v>9556</v>
      </c>
      <c r="G60" s="35"/>
      <c r="H60" s="14"/>
      <c r="I60" s="9">
        <v>1115</v>
      </c>
    </row>
    <row r="61" spans="4:9" x14ac:dyDescent="0.25">
      <c r="D61" s="8"/>
      <c r="E61" s="2"/>
      <c r="F61" s="2"/>
      <c r="G61" s="35"/>
      <c r="H61" s="14"/>
      <c r="I61" s="9"/>
    </row>
    <row r="62" spans="4:9" x14ac:dyDescent="0.25">
      <c r="D62" s="8"/>
      <c r="E62" s="2"/>
      <c r="F62" s="76"/>
      <c r="G62" s="35"/>
      <c r="H62" s="14"/>
      <c r="I62" s="9"/>
    </row>
    <row r="63" spans="4:9" x14ac:dyDescent="0.25">
      <c r="D63" s="8"/>
      <c r="E63" s="2"/>
      <c r="F63" s="76"/>
      <c r="G63" s="35"/>
      <c r="H63" s="14"/>
      <c r="I63" s="9"/>
    </row>
    <row r="64" spans="4:9" x14ac:dyDescent="0.25">
      <c r="D64" s="16"/>
      <c r="E64" s="17"/>
      <c r="F64" s="17" t="s">
        <v>39</v>
      </c>
      <c r="G64" s="4"/>
      <c r="H64" s="14"/>
      <c r="I64" s="9"/>
    </row>
    <row r="65" spans="4:9" x14ac:dyDescent="0.25">
      <c r="D65" s="8"/>
      <c r="E65" s="2"/>
      <c r="F65" s="68" t="s">
        <v>9543</v>
      </c>
      <c r="G65" s="35">
        <v>4.4000000000000004</v>
      </c>
      <c r="H65" s="14"/>
      <c r="I65" s="9"/>
    </row>
    <row r="66" spans="4:9" x14ac:dyDescent="0.25">
      <c r="D66" s="8"/>
      <c r="E66" s="2"/>
      <c r="F66" s="68" t="s">
        <v>9544</v>
      </c>
      <c r="G66" s="35">
        <v>307.5</v>
      </c>
      <c r="H66" s="14"/>
      <c r="I66" s="9"/>
    </row>
    <row r="67" spans="4:9" x14ac:dyDescent="0.25">
      <c r="D67" s="8"/>
      <c r="E67" s="2"/>
      <c r="F67" s="68" t="s">
        <v>9548</v>
      </c>
      <c r="G67" s="35">
        <v>206.6</v>
      </c>
      <c r="H67" s="14"/>
      <c r="I67" s="9"/>
    </row>
    <row r="68" spans="4:9" x14ac:dyDescent="0.25">
      <c r="D68" s="8"/>
      <c r="E68" s="2"/>
      <c r="F68" s="68"/>
      <c r="G68" s="35"/>
      <c r="H68" s="14"/>
      <c r="I68" s="9"/>
    </row>
    <row r="69" spans="4:9" x14ac:dyDescent="0.25">
      <c r="D69" s="8"/>
      <c r="E69" s="2"/>
      <c r="F69" s="76"/>
      <c r="G69" s="35"/>
      <c r="H69" s="14"/>
      <c r="I69" s="9"/>
    </row>
    <row r="70" spans="4:9" x14ac:dyDescent="0.25">
      <c r="D70" s="8"/>
      <c r="E70" s="2"/>
      <c r="F70" s="76"/>
      <c r="G70" s="35"/>
      <c r="H70" s="14"/>
      <c r="I70" s="9"/>
    </row>
    <row r="71" spans="4:9" x14ac:dyDescent="0.25">
      <c r="D71" s="8"/>
      <c r="E71" s="2"/>
      <c r="F71" s="76"/>
      <c r="G71" s="35"/>
      <c r="H71" s="14"/>
      <c r="I71" s="9"/>
    </row>
    <row r="72" spans="4:9" x14ac:dyDescent="0.25">
      <c r="D72" s="8"/>
      <c r="E72" s="2"/>
      <c r="F72" s="2"/>
      <c r="G72" s="4"/>
      <c r="H72" s="14"/>
      <c r="I72" s="9"/>
    </row>
    <row r="73" spans="4:9" x14ac:dyDescent="0.25">
      <c r="D73" s="19"/>
      <c r="E73" s="20"/>
      <c r="F73" s="20" t="s">
        <v>42</v>
      </c>
      <c r="G73" s="14"/>
      <c r="H73" s="14"/>
      <c r="I73" s="9"/>
    </row>
    <row r="74" spans="4:9" x14ac:dyDescent="0.25">
      <c r="D74" s="34"/>
      <c r="E74" s="45"/>
      <c r="F74" s="118" t="s">
        <v>9533</v>
      </c>
      <c r="G74" s="14">
        <v>-15570.7</v>
      </c>
      <c r="H74" s="14"/>
      <c r="I74" s="9"/>
    </row>
    <row r="75" spans="4:9" x14ac:dyDescent="0.25">
      <c r="D75" s="34"/>
      <c r="E75" s="45"/>
      <c r="F75" s="118" t="s">
        <v>9534</v>
      </c>
      <c r="G75" s="14">
        <v>-220</v>
      </c>
      <c r="H75" s="14"/>
      <c r="I75" s="9"/>
    </row>
    <row r="76" spans="4:9" x14ac:dyDescent="0.25">
      <c r="D76" s="34"/>
      <c r="E76" s="45"/>
      <c r="F76" s="118" t="s">
        <v>9535</v>
      </c>
      <c r="G76" s="14">
        <v>-646</v>
      </c>
      <c r="H76" s="14"/>
      <c r="I76" s="9"/>
    </row>
    <row r="77" spans="4:9" x14ac:dyDescent="0.25">
      <c r="D77" s="34"/>
      <c r="E77" s="45"/>
      <c r="F77" s="118" t="s">
        <v>9549</v>
      </c>
      <c r="G77" s="14">
        <v>-206.6</v>
      </c>
      <c r="H77" s="14"/>
      <c r="I77" s="9"/>
    </row>
    <row r="78" spans="4:9" x14ac:dyDescent="0.25">
      <c r="D78" s="34"/>
      <c r="E78" s="45"/>
      <c r="F78" s="118" t="s">
        <v>9550</v>
      </c>
      <c r="G78" s="14">
        <v>-1005</v>
      </c>
      <c r="H78" s="14"/>
      <c r="I78" s="9"/>
    </row>
    <row r="79" spans="4:9" x14ac:dyDescent="0.25">
      <c r="D79" s="34"/>
      <c r="E79" s="45"/>
      <c r="F79" s="118" t="s">
        <v>9554</v>
      </c>
      <c r="G79" s="14">
        <v>-100</v>
      </c>
      <c r="H79" s="14"/>
      <c r="I79" s="9"/>
    </row>
    <row r="80" spans="4:9" x14ac:dyDescent="0.25">
      <c r="D80" s="34"/>
      <c r="E80" s="45"/>
      <c r="F80" s="118" t="s">
        <v>9372</v>
      </c>
      <c r="G80" s="14">
        <v>-185</v>
      </c>
      <c r="H80" s="14"/>
      <c r="I80" s="9"/>
    </row>
    <row r="81" spans="4:9" x14ac:dyDescent="0.25">
      <c r="D81" s="34"/>
      <c r="E81" s="45"/>
      <c r="F81" s="118"/>
      <c r="G81" s="14"/>
      <c r="H81" s="14"/>
      <c r="I81" s="9"/>
    </row>
    <row r="82" spans="4:9" x14ac:dyDescent="0.25">
      <c r="D82" s="34"/>
      <c r="E82" s="45"/>
      <c r="F82" s="68"/>
      <c r="G82" s="14"/>
      <c r="H82" s="14"/>
      <c r="I82" s="9"/>
    </row>
    <row r="83" spans="4:9" x14ac:dyDescent="0.25">
      <c r="D83" s="34"/>
      <c r="E83" s="45"/>
      <c r="F83" s="68"/>
      <c r="G83" s="14"/>
      <c r="H83" s="14"/>
      <c r="I83" s="9"/>
    </row>
    <row r="84" spans="4:9" x14ac:dyDescent="0.25">
      <c r="D84" s="34"/>
      <c r="E84" s="45"/>
      <c r="F84" s="68"/>
      <c r="G84" s="14"/>
      <c r="H84" s="14"/>
      <c r="I84" s="9"/>
    </row>
    <row r="85" spans="4:9" x14ac:dyDescent="0.25">
      <c r="D85" s="34"/>
      <c r="E85" s="45"/>
      <c r="F85" s="68"/>
      <c r="G85" s="14"/>
      <c r="H85" s="14"/>
      <c r="I85" s="9"/>
    </row>
    <row r="86" spans="4:9" x14ac:dyDescent="0.25">
      <c r="D86" s="34"/>
      <c r="E86" s="45"/>
      <c r="F86" s="68"/>
      <c r="G86" s="14"/>
      <c r="H86" s="14"/>
      <c r="I86" s="9"/>
    </row>
    <row r="87" spans="4:9" ht="15.75" thickBot="1" x14ac:dyDescent="0.3">
      <c r="D87" s="10"/>
      <c r="E87" s="11"/>
      <c r="F87" s="11" t="s">
        <v>44</v>
      </c>
      <c r="G87" s="12">
        <f>SUM(G7:G86)</f>
        <v>-6519.1</v>
      </c>
      <c r="H87" s="15">
        <f>SUM(H7:H86)</f>
        <v>1073.8</v>
      </c>
      <c r="I87" s="13">
        <f>SUM(I7:I86)</f>
        <v>9360.1</v>
      </c>
    </row>
    <row r="90" spans="4:9" ht="21" x14ac:dyDescent="0.3">
      <c r="F90" s="119" t="s">
        <v>49</v>
      </c>
      <c r="G90" s="120">
        <f>I5+G87</f>
        <v>10047.280000000001</v>
      </c>
    </row>
  </sheetData>
  <mergeCells count="1">
    <mergeCell ref="D4:H5"/>
  </mergeCells>
  <phoneticPr fontId="3" type="noConversion"/>
  <pageMargins left="0.7" right="0.7" top="0.75" bottom="0.75" header="0.3" footer="0.3"/>
  <pageSetup paperSize="179" orientation="portrait" horizontalDpi="203" verticalDpi="203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00E0-7BC6-4E15-AE85-2C9D103B0425}">
  <sheetPr codeName="Hoja124"/>
  <dimension ref="E3:J94"/>
  <sheetViews>
    <sheetView topLeftCell="A40" workbookViewId="0">
      <selection activeCell="E6" sqref="E6"/>
    </sheetView>
  </sheetViews>
  <sheetFormatPr baseColWidth="10" defaultRowHeight="15" x14ac:dyDescent="0.25"/>
  <cols>
    <col min="5" max="5" width="13.7109375" customWidth="1"/>
    <col min="6" max="6" width="21.28515625" customWidth="1"/>
    <col min="7" max="7" width="67.42578125" customWidth="1"/>
    <col min="8" max="8" width="20.7109375" customWidth="1"/>
    <col min="9" max="9" width="15.42578125" customWidth="1"/>
    <col min="10" max="10" width="23.140625" customWidth="1"/>
  </cols>
  <sheetData>
    <row r="3" spans="5:10" ht="15.75" thickBot="1" x14ac:dyDescent="0.3"/>
    <row r="4" spans="5:10" x14ac:dyDescent="0.25">
      <c r="E4" s="143" t="s">
        <v>9704</v>
      </c>
      <c r="F4" s="144"/>
      <c r="G4" s="144"/>
      <c r="H4" s="144"/>
      <c r="I4" s="145"/>
      <c r="J4" s="46" t="s">
        <v>0</v>
      </c>
    </row>
    <row r="5" spans="5:10" ht="16.5" thickBot="1" x14ac:dyDescent="0.3">
      <c r="E5" s="146"/>
      <c r="F5" s="147"/>
      <c r="G5" s="147"/>
      <c r="H5" s="147"/>
      <c r="I5" s="148"/>
      <c r="J5" s="117">
        <v>10047.280000000001</v>
      </c>
    </row>
    <row r="6" spans="5:10" x14ac:dyDescent="0.25">
      <c r="E6" s="24" t="s">
        <v>1</v>
      </c>
      <c r="F6" s="25" t="s">
        <v>2</v>
      </c>
      <c r="G6" s="25" t="s">
        <v>3</v>
      </c>
      <c r="H6" s="26" t="s">
        <v>4</v>
      </c>
      <c r="I6" s="26" t="s">
        <v>5</v>
      </c>
      <c r="J6" s="27" t="s">
        <v>6</v>
      </c>
    </row>
    <row r="7" spans="5:10" x14ac:dyDescent="0.25">
      <c r="E7" s="24"/>
      <c r="F7" s="2" t="s">
        <v>9558</v>
      </c>
      <c r="G7" s="2" t="s">
        <v>6610</v>
      </c>
      <c r="H7" s="109">
        <v>335</v>
      </c>
      <c r="I7" s="113"/>
      <c r="J7" s="112"/>
    </row>
    <row r="8" spans="5:10" ht="15.75" x14ac:dyDescent="0.25">
      <c r="E8" s="131"/>
      <c r="F8" s="132" t="s">
        <v>9559</v>
      </c>
      <c r="G8" s="132" t="s">
        <v>2002</v>
      </c>
      <c r="H8" s="133"/>
      <c r="I8" s="134"/>
      <c r="J8" s="135"/>
    </row>
    <row r="9" spans="5:10" x14ac:dyDescent="0.25">
      <c r="E9" s="24"/>
      <c r="F9" s="2" t="s">
        <v>9560</v>
      </c>
      <c r="G9" s="2" t="s">
        <v>6593</v>
      </c>
      <c r="H9" s="109">
        <v>649</v>
      </c>
      <c r="I9" s="113"/>
      <c r="J9" s="112"/>
    </row>
    <row r="10" spans="5:10" x14ac:dyDescent="0.25">
      <c r="E10" s="8"/>
      <c r="F10" s="2" t="s">
        <v>9561</v>
      </c>
      <c r="G10" s="2" t="s">
        <v>9577</v>
      </c>
      <c r="H10" s="4"/>
      <c r="I10" s="14">
        <v>351.9</v>
      </c>
      <c r="J10" s="9"/>
    </row>
    <row r="11" spans="5:10" x14ac:dyDescent="0.25">
      <c r="E11" s="8"/>
      <c r="F11" s="2" t="s">
        <v>9562</v>
      </c>
      <c r="G11" s="2" t="s">
        <v>9578</v>
      </c>
      <c r="H11" s="4"/>
      <c r="I11" s="14"/>
      <c r="J11" s="9">
        <v>45</v>
      </c>
    </row>
    <row r="12" spans="5:10" x14ac:dyDescent="0.25">
      <c r="E12" s="8"/>
      <c r="F12" s="2" t="s">
        <v>9563</v>
      </c>
      <c r="G12" s="2" t="s">
        <v>8850</v>
      </c>
      <c r="H12" s="4">
        <v>1715</v>
      </c>
      <c r="I12" s="14"/>
      <c r="J12" s="9"/>
    </row>
    <row r="13" spans="5:10" x14ac:dyDescent="0.25">
      <c r="E13" s="8"/>
      <c r="F13" s="2" t="s">
        <v>9564</v>
      </c>
      <c r="G13" s="2" t="s">
        <v>2384</v>
      </c>
      <c r="H13" s="4"/>
      <c r="I13" s="14">
        <v>166.5</v>
      </c>
      <c r="J13" s="9"/>
    </row>
    <row r="14" spans="5:10" x14ac:dyDescent="0.25">
      <c r="E14" s="8"/>
      <c r="F14" s="2" t="s">
        <v>9565</v>
      </c>
      <c r="G14" s="2" t="s">
        <v>5678</v>
      </c>
      <c r="H14" s="4">
        <v>136</v>
      </c>
      <c r="I14" s="14"/>
      <c r="J14" s="9"/>
    </row>
    <row r="15" spans="5:10" x14ac:dyDescent="0.25">
      <c r="E15" s="8"/>
      <c r="F15" s="2" t="s">
        <v>9566</v>
      </c>
      <c r="G15" s="2" t="s">
        <v>5678</v>
      </c>
      <c r="H15" s="4">
        <v>30</v>
      </c>
      <c r="I15" s="14"/>
      <c r="J15" s="9"/>
    </row>
    <row r="16" spans="5:10" x14ac:dyDescent="0.25">
      <c r="E16" s="8"/>
      <c r="F16" s="2" t="s">
        <v>9567</v>
      </c>
      <c r="G16" s="2" t="s">
        <v>5678</v>
      </c>
      <c r="H16" s="4">
        <v>25</v>
      </c>
      <c r="I16" s="14"/>
      <c r="J16" s="9"/>
    </row>
    <row r="17" spans="5:10" x14ac:dyDescent="0.25">
      <c r="E17" s="8"/>
      <c r="F17" s="2" t="s">
        <v>9568</v>
      </c>
      <c r="G17" s="2" t="s">
        <v>5678</v>
      </c>
      <c r="H17" s="4">
        <v>397.5</v>
      </c>
      <c r="I17" s="14"/>
      <c r="J17" s="9"/>
    </row>
    <row r="18" spans="5:10" x14ac:dyDescent="0.25">
      <c r="E18" s="8"/>
      <c r="F18" s="2" t="s">
        <v>9569</v>
      </c>
      <c r="G18" s="2" t="s">
        <v>5678</v>
      </c>
      <c r="H18" s="4">
        <v>2</v>
      </c>
      <c r="I18" s="14"/>
      <c r="J18" s="9"/>
    </row>
    <row r="19" spans="5:10" x14ac:dyDescent="0.25">
      <c r="E19" s="8"/>
      <c r="F19" s="2" t="s">
        <v>9570</v>
      </c>
      <c r="G19" s="2" t="s">
        <v>5678</v>
      </c>
      <c r="H19" s="4">
        <v>5.5</v>
      </c>
      <c r="I19" s="14"/>
      <c r="J19" s="9"/>
    </row>
    <row r="20" spans="5:10" x14ac:dyDescent="0.25">
      <c r="E20" s="8"/>
      <c r="F20" s="2" t="s">
        <v>9571</v>
      </c>
      <c r="G20" s="2" t="s">
        <v>5678</v>
      </c>
      <c r="H20" s="4">
        <v>2.5</v>
      </c>
      <c r="I20" s="14"/>
      <c r="J20" s="9"/>
    </row>
    <row r="21" spans="5:10" x14ac:dyDescent="0.25">
      <c r="E21" s="8"/>
      <c r="F21" s="2" t="s">
        <v>9572</v>
      </c>
      <c r="G21" s="2" t="s">
        <v>5678</v>
      </c>
      <c r="H21" s="4">
        <v>4</v>
      </c>
      <c r="I21" s="14"/>
      <c r="J21" s="9"/>
    </row>
    <row r="22" spans="5:10" x14ac:dyDescent="0.25">
      <c r="E22" s="8"/>
      <c r="F22" s="2" t="s">
        <v>9573</v>
      </c>
      <c r="G22" s="2" t="s">
        <v>5678</v>
      </c>
      <c r="H22" s="4">
        <v>5</v>
      </c>
      <c r="I22" s="14"/>
      <c r="J22" s="9"/>
    </row>
    <row r="23" spans="5:10" x14ac:dyDescent="0.25">
      <c r="E23" s="8"/>
      <c r="F23" s="2" t="s">
        <v>9574</v>
      </c>
      <c r="G23" s="2" t="s">
        <v>5678</v>
      </c>
      <c r="H23" s="4">
        <v>175</v>
      </c>
      <c r="I23" s="14"/>
      <c r="J23" s="9"/>
    </row>
    <row r="24" spans="5:10" x14ac:dyDescent="0.25">
      <c r="E24" s="8"/>
      <c r="F24" s="2" t="s">
        <v>9575</v>
      </c>
      <c r="G24" s="2" t="s">
        <v>5678</v>
      </c>
      <c r="H24" s="4"/>
      <c r="I24" s="14"/>
      <c r="J24" s="9">
        <v>32</v>
      </c>
    </row>
    <row r="25" spans="5:10" x14ac:dyDescent="0.25">
      <c r="E25" s="8"/>
      <c r="F25" s="2" t="s">
        <v>9576</v>
      </c>
      <c r="G25" s="2" t="s">
        <v>9455</v>
      </c>
      <c r="H25" s="4"/>
      <c r="I25" s="14"/>
      <c r="J25" s="9">
        <v>128</v>
      </c>
    </row>
    <row r="26" spans="5:10" x14ac:dyDescent="0.25">
      <c r="E26" s="8"/>
      <c r="F26" s="2" t="s">
        <v>9579</v>
      </c>
      <c r="G26" s="2" t="s">
        <v>5678</v>
      </c>
      <c r="H26" s="4"/>
      <c r="I26" s="14"/>
      <c r="J26" s="9">
        <v>25</v>
      </c>
    </row>
    <row r="27" spans="5:10" x14ac:dyDescent="0.25">
      <c r="E27" s="8"/>
      <c r="F27" s="2" t="s">
        <v>9580</v>
      </c>
      <c r="G27" s="2" t="s">
        <v>9584</v>
      </c>
      <c r="H27" s="4">
        <v>100</v>
      </c>
      <c r="I27" s="14"/>
      <c r="J27" s="9">
        <v>52.5</v>
      </c>
    </row>
    <row r="28" spans="5:10" x14ac:dyDescent="0.25">
      <c r="E28" s="8"/>
      <c r="F28" s="2" t="s">
        <v>9581</v>
      </c>
      <c r="G28" s="2" t="s">
        <v>8850</v>
      </c>
      <c r="H28" s="4"/>
      <c r="I28" s="14"/>
      <c r="J28" s="9">
        <v>135</v>
      </c>
    </row>
    <row r="29" spans="5:10" x14ac:dyDescent="0.25">
      <c r="E29" s="128"/>
      <c r="F29" s="2" t="s">
        <v>9582</v>
      </c>
      <c r="G29" s="2" t="s">
        <v>5678</v>
      </c>
      <c r="H29" s="4">
        <v>18</v>
      </c>
      <c r="I29" s="129"/>
      <c r="J29" s="130"/>
    </row>
    <row r="30" spans="5:10" x14ac:dyDescent="0.25">
      <c r="E30" s="8"/>
      <c r="F30" s="2" t="s">
        <v>9583</v>
      </c>
      <c r="G30" s="2" t="s">
        <v>9596</v>
      </c>
      <c r="H30" s="4"/>
      <c r="I30" s="14"/>
      <c r="J30" s="9">
        <v>5992.9</v>
      </c>
    </row>
    <row r="31" spans="5:10" x14ac:dyDescent="0.25">
      <c r="E31" s="8"/>
      <c r="F31" s="2" t="s">
        <v>9601</v>
      </c>
      <c r="G31" s="2" t="s">
        <v>5678</v>
      </c>
      <c r="H31" s="4"/>
      <c r="I31" s="14"/>
      <c r="J31" s="9">
        <v>8.5</v>
      </c>
    </row>
    <row r="32" spans="5:10" x14ac:dyDescent="0.25">
      <c r="E32" s="8"/>
      <c r="F32" s="2" t="s">
        <v>9602</v>
      </c>
      <c r="G32" s="2" t="s">
        <v>9606</v>
      </c>
      <c r="H32" s="4">
        <v>227</v>
      </c>
      <c r="I32" s="14"/>
      <c r="J32" s="9"/>
    </row>
    <row r="33" spans="5:10" x14ac:dyDescent="0.25">
      <c r="E33" s="8"/>
      <c r="F33" s="2" t="s">
        <v>9603</v>
      </c>
      <c r="G33" s="2" t="s">
        <v>5678</v>
      </c>
      <c r="H33" s="4">
        <v>15</v>
      </c>
      <c r="I33" s="14"/>
      <c r="J33" s="9"/>
    </row>
    <row r="34" spans="5:10" x14ac:dyDescent="0.25">
      <c r="E34" s="8"/>
      <c r="F34" s="2" t="s">
        <v>9604</v>
      </c>
      <c r="G34" s="2" t="s">
        <v>7126</v>
      </c>
      <c r="H34" s="4"/>
      <c r="I34" s="14">
        <v>600.5</v>
      </c>
      <c r="J34" s="9"/>
    </row>
    <row r="35" spans="5:10" x14ac:dyDescent="0.25">
      <c r="E35" s="8"/>
      <c r="F35" s="2" t="s">
        <v>9605</v>
      </c>
      <c r="G35" s="2" t="s">
        <v>3998</v>
      </c>
      <c r="H35" s="4"/>
      <c r="I35" s="14"/>
      <c r="J35" s="9">
        <v>2890</v>
      </c>
    </row>
    <row r="36" spans="5:10" x14ac:dyDescent="0.25">
      <c r="E36" s="8"/>
      <c r="F36" s="2" t="s">
        <v>9613</v>
      </c>
      <c r="G36" s="2" t="s">
        <v>9614</v>
      </c>
      <c r="H36" s="4">
        <v>28</v>
      </c>
      <c r="I36" s="14"/>
      <c r="J36" s="9"/>
    </row>
    <row r="37" spans="5:10" x14ac:dyDescent="0.25">
      <c r="E37" s="8"/>
      <c r="F37" s="2"/>
      <c r="G37" s="2"/>
      <c r="H37" s="4"/>
      <c r="I37" s="14"/>
      <c r="J37" s="9"/>
    </row>
    <row r="38" spans="5:10" x14ac:dyDescent="0.25">
      <c r="E38" s="8"/>
      <c r="F38" s="2"/>
      <c r="G38" s="2"/>
      <c r="H38" s="4"/>
      <c r="I38" s="14"/>
      <c r="J38" s="9"/>
    </row>
    <row r="39" spans="5:10" x14ac:dyDescent="0.25">
      <c r="E39" s="8"/>
      <c r="F39" s="2"/>
      <c r="G39" s="2"/>
      <c r="H39" s="4"/>
      <c r="I39" s="14"/>
      <c r="J39" s="9"/>
    </row>
    <row r="40" spans="5:10" x14ac:dyDescent="0.25">
      <c r="E40" s="8"/>
      <c r="F40" s="2"/>
      <c r="G40" s="2"/>
      <c r="H40" s="4"/>
      <c r="I40" s="14"/>
      <c r="J40" s="9"/>
    </row>
    <row r="41" spans="5:10" x14ac:dyDescent="0.25">
      <c r="E41" s="8"/>
      <c r="F41" s="2"/>
      <c r="G41" s="2"/>
      <c r="H41" s="4"/>
      <c r="I41" s="14"/>
      <c r="J41" s="9"/>
    </row>
    <row r="42" spans="5:10" x14ac:dyDescent="0.25">
      <c r="E42" s="8"/>
      <c r="F42" s="2"/>
      <c r="G42" s="2"/>
      <c r="H42" s="4"/>
      <c r="I42" s="14"/>
      <c r="J42" s="9"/>
    </row>
    <row r="43" spans="5:10" x14ac:dyDescent="0.25">
      <c r="E43" s="8"/>
      <c r="F43" s="2"/>
      <c r="G43" s="40"/>
      <c r="H43" s="4"/>
      <c r="I43" s="14"/>
      <c r="J43" s="9"/>
    </row>
    <row r="44" spans="5:10" x14ac:dyDescent="0.25">
      <c r="E44" s="8"/>
      <c r="F44" s="2"/>
      <c r="G44" s="2"/>
      <c r="H44" s="4"/>
      <c r="I44" s="14"/>
      <c r="J44" s="9"/>
    </row>
    <row r="45" spans="5:10" x14ac:dyDescent="0.25">
      <c r="E45" s="8"/>
      <c r="F45" s="2"/>
      <c r="G45" s="2"/>
      <c r="H45" s="4"/>
      <c r="I45" s="14"/>
      <c r="J45" s="9"/>
    </row>
    <row r="46" spans="5:10" x14ac:dyDescent="0.25">
      <c r="E46" s="8"/>
      <c r="F46" s="2" t="s">
        <v>9585</v>
      </c>
      <c r="G46" s="2" t="s">
        <v>12</v>
      </c>
      <c r="H46" s="4"/>
      <c r="I46" s="14"/>
      <c r="J46" s="9">
        <v>164.5</v>
      </c>
    </row>
    <row r="47" spans="5:10" x14ac:dyDescent="0.25">
      <c r="E47" s="8"/>
      <c r="F47" s="2" t="s">
        <v>9586</v>
      </c>
      <c r="G47" s="2" t="s">
        <v>12</v>
      </c>
      <c r="H47" s="4"/>
      <c r="I47" s="14"/>
      <c r="J47" s="9">
        <v>4.5</v>
      </c>
    </row>
    <row r="48" spans="5:10" x14ac:dyDescent="0.25">
      <c r="E48" s="8"/>
      <c r="F48" s="2" t="s">
        <v>9587</v>
      </c>
      <c r="G48" s="2" t="s">
        <v>6166</v>
      </c>
      <c r="H48" s="4">
        <v>138</v>
      </c>
      <c r="I48" s="14"/>
      <c r="J48" s="9"/>
    </row>
    <row r="49" spans="5:10" x14ac:dyDescent="0.25">
      <c r="E49" s="8"/>
      <c r="F49" s="2" t="s">
        <v>9588</v>
      </c>
      <c r="G49" s="2" t="s">
        <v>12</v>
      </c>
      <c r="H49" s="4">
        <v>19.5</v>
      </c>
      <c r="I49" s="14"/>
      <c r="J49" s="9"/>
    </row>
    <row r="50" spans="5:10" x14ac:dyDescent="0.25">
      <c r="E50" s="8"/>
      <c r="F50" s="2" t="s">
        <v>9607</v>
      </c>
      <c r="G50" s="2" t="s">
        <v>12</v>
      </c>
      <c r="H50" s="4">
        <v>24.8</v>
      </c>
      <c r="I50" s="14"/>
      <c r="J50" s="9"/>
    </row>
    <row r="51" spans="5:10" x14ac:dyDescent="0.25">
      <c r="E51" s="8"/>
      <c r="F51" s="2" t="s">
        <v>9608</v>
      </c>
      <c r="G51" s="2" t="s">
        <v>12</v>
      </c>
      <c r="H51" s="4">
        <v>6</v>
      </c>
      <c r="I51" s="14"/>
      <c r="J51" s="9"/>
    </row>
    <row r="52" spans="5:10" x14ac:dyDescent="0.25">
      <c r="E52" s="8"/>
      <c r="F52" s="2" t="s">
        <v>9609</v>
      </c>
      <c r="G52" s="2" t="s">
        <v>12</v>
      </c>
      <c r="H52" s="4">
        <v>23</v>
      </c>
      <c r="I52" s="14"/>
      <c r="J52" s="9"/>
    </row>
    <row r="53" spans="5:10" x14ac:dyDescent="0.25">
      <c r="E53" s="8"/>
      <c r="F53" s="2" t="s">
        <v>9615</v>
      </c>
      <c r="G53" s="2" t="s">
        <v>12</v>
      </c>
      <c r="H53" s="4">
        <v>7</v>
      </c>
      <c r="I53" s="14"/>
      <c r="J53" s="9"/>
    </row>
    <row r="54" spans="5:10" x14ac:dyDescent="0.25">
      <c r="E54" s="8"/>
      <c r="F54" s="2"/>
      <c r="G54" s="2"/>
      <c r="H54" s="4"/>
      <c r="I54" s="14"/>
      <c r="J54" s="9"/>
    </row>
    <row r="55" spans="5:10" x14ac:dyDescent="0.25">
      <c r="E55" s="8"/>
      <c r="F55" s="2"/>
      <c r="G55" s="2"/>
      <c r="H55" s="4"/>
      <c r="I55" s="14"/>
      <c r="J55" s="9"/>
    </row>
    <row r="56" spans="5:10" x14ac:dyDescent="0.25">
      <c r="E56" s="8"/>
      <c r="F56" s="2"/>
      <c r="G56" s="2"/>
      <c r="H56" s="4"/>
      <c r="I56" s="14"/>
      <c r="J56" s="9"/>
    </row>
    <row r="57" spans="5:10" x14ac:dyDescent="0.25">
      <c r="E57" s="8"/>
      <c r="F57" s="2"/>
      <c r="G57" s="2"/>
      <c r="H57" s="4"/>
      <c r="I57" s="14"/>
      <c r="J57" s="9"/>
    </row>
    <row r="58" spans="5:10" x14ac:dyDescent="0.25">
      <c r="E58" s="29"/>
      <c r="F58" s="30"/>
      <c r="G58" s="30" t="s">
        <v>60</v>
      </c>
      <c r="H58" s="4"/>
      <c r="I58" s="14"/>
      <c r="J58" s="9"/>
    </row>
    <row r="59" spans="5:10" x14ac:dyDescent="0.25">
      <c r="E59" s="8"/>
      <c r="F59" s="2"/>
      <c r="G59" s="2" t="s">
        <v>6052</v>
      </c>
      <c r="H59" s="109"/>
      <c r="I59" s="113"/>
      <c r="J59" s="112">
        <v>1884</v>
      </c>
    </row>
    <row r="60" spans="5:10" x14ac:dyDescent="0.25">
      <c r="E60" s="8"/>
      <c r="F60" s="2"/>
      <c r="G60" s="122" t="s">
        <v>9593</v>
      </c>
      <c r="H60" s="35"/>
      <c r="I60" s="14"/>
      <c r="J60" s="9">
        <v>399</v>
      </c>
    </row>
    <row r="61" spans="5:10" x14ac:dyDescent="0.25">
      <c r="E61" s="8"/>
      <c r="F61" s="2"/>
      <c r="G61" s="2" t="s">
        <v>93</v>
      </c>
      <c r="H61" s="35"/>
      <c r="I61" s="14"/>
      <c r="J61" s="9">
        <v>3250</v>
      </c>
    </row>
    <row r="62" spans="5:10" x14ac:dyDescent="0.25">
      <c r="E62" s="8"/>
      <c r="F62" s="2"/>
      <c r="G62" s="2"/>
      <c r="H62" s="35"/>
      <c r="I62" s="14"/>
      <c r="J62" s="9"/>
    </row>
    <row r="63" spans="5:10" x14ac:dyDescent="0.25">
      <c r="E63" s="8"/>
      <c r="F63" s="2"/>
      <c r="G63" s="76"/>
      <c r="H63" s="35"/>
      <c r="I63" s="14"/>
      <c r="J63" s="9"/>
    </row>
    <row r="64" spans="5:10" x14ac:dyDescent="0.25">
      <c r="E64" s="8"/>
      <c r="F64" s="2"/>
      <c r="G64" s="76"/>
      <c r="H64" s="35"/>
      <c r="I64" s="14"/>
      <c r="J64" s="9"/>
    </row>
    <row r="65" spans="5:10" x14ac:dyDescent="0.25">
      <c r="E65" s="16"/>
      <c r="F65" s="17"/>
      <c r="G65" s="17" t="s">
        <v>39</v>
      </c>
      <c r="H65" s="4"/>
      <c r="I65" s="14"/>
      <c r="J65" s="9"/>
    </row>
    <row r="66" spans="5:10" x14ac:dyDescent="0.25">
      <c r="E66" s="8"/>
      <c r="F66" s="2"/>
      <c r="G66" s="68" t="s">
        <v>9589</v>
      </c>
      <c r="H66" s="35">
        <v>850</v>
      </c>
      <c r="I66" s="14"/>
      <c r="J66" s="9"/>
    </row>
    <row r="67" spans="5:10" x14ac:dyDescent="0.25">
      <c r="E67" s="8"/>
      <c r="F67" s="2"/>
      <c r="G67" s="68" t="s">
        <v>9590</v>
      </c>
      <c r="H67" s="35">
        <v>9</v>
      </c>
      <c r="I67" s="14"/>
      <c r="J67" s="9"/>
    </row>
    <row r="68" spans="5:10" x14ac:dyDescent="0.25">
      <c r="E68" s="8"/>
      <c r="F68" s="2"/>
      <c r="G68" s="68" t="s">
        <v>9591</v>
      </c>
      <c r="H68" s="35">
        <v>147</v>
      </c>
      <c r="I68" s="14"/>
      <c r="J68" s="9"/>
    </row>
    <row r="69" spans="5:10" x14ac:dyDescent="0.25">
      <c r="E69" s="8"/>
      <c r="F69" s="2"/>
      <c r="G69" s="68" t="s">
        <v>9592</v>
      </c>
      <c r="H69" s="35">
        <v>67.8</v>
      </c>
      <c r="I69" s="14"/>
      <c r="J69" s="9"/>
    </row>
    <row r="70" spans="5:10" x14ac:dyDescent="0.25">
      <c r="E70" s="8"/>
      <c r="F70" s="2"/>
      <c r="G70" s="76"/>
      <c r="H70" s="35"/>
      <c r="I70" s="14"/>
      <c r="J70" s="9"/>
    </row>
    <row r="71" spans="5:10" x14ac:dyDescent="0.25">
      <c r="E71" s="8"/>
      <c r="F71" s="2"/>
      <c r="G71" s="76"/>
      <c r="H71" s="35"/>
      <c r="I71" s="14"/>
      <c r="J71" s="9"/>
    </row>
    <row r="72" spans="5:10" x14ac:dyDescent="0.25">
      <c r="E72" s="8"/>
      <c r="F72" s="2"/>
      <c r="G72" s="76"/>
      <c r="H72" s="35"/>
      <c r="I72" s="14"/>
      <c r="J72" s="9"/>
    </row>
    <row r="73" spans="5:10" x14ac:dyDescent="0.25">
      <c r="E73" s="8"/>
      <c r="F73" s="2"/>
      <c r="G73" s="2"/>
      <c r="H73" s="4"/>
      <c r="I73" s="14"/>
      <c r="J73" s="9"/>
    </row>
    <row r="74" spans="5:10" x14ac:dyDescent="0.25">
      <c r="E74" s="19"/>
      <c r="F74" s="20"/>
      <c r="G74" s="20" t="s">
        <v>42</v>
      </c>
      <c r="H74" s="14"/>
      <c r="I74" s="14"/>
      <c r="J74" s="9"/>
    </row>
    <row r="75" spans="5:10" x14ac:dyDescent="0.25">
      <c r="E75" s="34"/>
      <c r="F75" s="45"/>
      <c r="G75" s="118" t="s">
        <v>6679</v>
      </c>
      <c r="H75" s="14">
        <v>-30</v>
      </c>
      <c r="I75" s="14"/>
      <c r="J75" s="9"/>
    </row>
    <row r="76" spans="5:10" x14ac:dyDescent="0.25">
      <c r="E76" s="34"/>
      <c r="F76" s="45"/>
      <c r="G76" s="118" t="s">
        <v>8084</v>
      </c>
      <c r="H76" s="14">
        <v>-100</v>
      </c>
      <c r="I76" s="14"/>
      <c r="J76" s="9"/>
    </row>
    <row r="77" spans="5:10" x14ac:dyDescent="0.25">
      <c r="E77" s="34"/>
      <c r="F77" s="45"/>
      <c r="G77" s="118" t="s">
        <v>9594</v>
      </c>
      <c r="H77" s="14">
        <v>-1895.51</v>
      </c>
      <c r="I77" s="14"/>
      <c r="J77" s="9"/>
    </row>
    <row r="78" spans="5:10" x14ac:dyDescent="0.25">
      <c r="E78" s="34"/>
      <c r="F78" s="45"/>
      <c r="G78" s="118" t="s">
        <v>9595</v>
      </c>
      <c r="H78" s="14">
        <v>-400</v>
      </c>
      <c r="I78" s="14"/>
      <c r="J78" s="9"/>
    </row>
    <row r="79" spans="5:10" x14ac:dyDescent="0.25">
      <c r="E79" s="34"/>
      <c r="F79" s="45"/>
      <c r="G79" s="118" t="s">
        <v>9597</v>
      </c>
      <c r="H79" s="14">
        <v>-70</v>
      </c>
      <c r="I79" s="14"/>
      <c r="J79" s="9"/>
    </row>
    <row r="80" spans="5:10" x14ac:dyDescent="0.25">
      <c r="E80" s="34"/>
      <c r="F80" s="45"/>
      <c r="G80" s="118" t="s">
        <v>9598</v>
      </c>
      <c r="H80" s="14">
        <v>-180</v>
      </c>
      <c r="I80" s="14"/>
      <c r="J80" s="9"/>
    </row>
    <row r="81" spans="5:10" x14ac:dyDescent="0.25">
      <c r="E81" s="34"/>
      <c r="F81" s="45"/>
      <c r="G81" s="118" t="s">
        <v>9599</v>
      </c>
      <c r="H81" s="14">
        <v>-582</v>
      </c>
      <c r="I81" s="14"/>
      <c r="J81" s="9"/>
    </row>
    <row r="82" spans="5:10" x14ac:dyDescent="0.25">
      <c r="E82" s="34"/>
      <c r="F82" s="45"/>
      <c r="G82" s="118" t="s">
        <v>9600</v>
      </c>
      <c r="H82" s="14">
        <v>-825</v>
      </c>
      <c r="I82" s="14"/>
      <c r="J82" s="9"/>
    </row>
    <row r="83" spans="5:10" x14ac:dyDescent="0.25">
      <c r="E83" s="34"/>
      <c r="F83" s="45"/>
      <c r="G83" s="118" t="s">
        <v>9610</v>
      </c>
      <c r="H83" s="14">
        <v>-28</v>
      </c>
      <c r="I83" s="14"/>
      <c r="J83" s="9"/>
    </row>
    <row r="84" spans="5:10" x14ac:dyDescent="0.25">
      <c r="E84" s="34"/>
      <c r="F84" s="45"/>
      <c r="G84" s="118" t="s">
        <v>9611</v>
      </c>
      <c r="H84" s="14">
        <v>-60</v>
      </c>
      <c r="I84" s="14"/>
      <c r="J84" s="9"/>
    </row>
    <row r="85" spans="5:10" x14ac:dyDescent="0.25">
      <c r="E85" s="34"/>
      <c r="F85" s="45"/>
      <c r="G85" s="118" t="s">
        <v>9612</v>
      </c>
      <c r="H85" s="14">
        <v>-200</v>
      </c>
      <c r="I85" s="14"/>
      <c r="J85" s="9"/>
    </row>
    <row r="86" spans="5:10" x14ac:dyDescent="0.25">
      <c r="E86" s="34"/>
      <c r="F86" s="45"/>
      <c r="G86" s="118" t="s">
        <v>752</v>
      </c>
      <c r="H86" s="14">
        <v>-240</v>
      </c>
      <c r="I86" s="14"/>
      <c r="J86" s="9"/>
    </row>
    <row r="87" spans="5:10" x14ac:dyDescent="0.25">
      <c r="E87" s="34"/>
      <c r="F87" s="45"/>
      <c r="G87" s="68"/>
      <c r="H87" s="14"/>
      <c r="I87" s="14"/>
      <c r="J87" s="9"/>
    </row>
    <row r="88" spans="5:10" x14ac:dyDescent="0.25">
      <c r="E88" s="34"/>
      <c r="F88" s="45"/>
      <c r="G88" s="68"/>
      <c r="H88" s="14"/>
      <c r="I88" s="14"/>
      <c r="J88" s="9"/>
    </row>
    <row r="89" spans="5:10" x14ac:dyDescent="0.25">
      <c r="E89" s="34"/>
      <c r="F89" s="45"/>
      <c r="G89" s="68"/>
      <c r="H89" s="14"/>
      <c r="I89" s="14"/>
      <c r="J89" s="9"/>
    </row>
    <row r="90" spans="5:10" x14ac:dyDescent="0.25">
      <c r="E90" s="34"/>
      <c r="F90" s="45"/>
      <c r="G90" s="68"/>
      <c r="H90" s="14"/>
      <c r="I90" s="14"/>
      <c r="J90" s="9"/>
    </row>
    <row r="91" spans="5:10" ht="15.75" thickBot="1" x14ac:dyDescent="0.3">
      <c r="E91" s="10"/>
      <c r="F91" s="11"/>
      <c r="G91" s="11" t="s">
        <v>44</v>
      </c>
      <c r="H91" s="12">
        <f>SUM(H7:H90)</f>
        <v>551.09000000000015</v>
      </c>
      <c r="I91" s="15">
        <f>SUM(I7:I90)</f>
        <v>1118.9000000000001</v>
      </c>
      <c r="J91" s="13">
        <f>SUM(J7:J90)</f>
        <v>15010.9</v>
      </c>
    </row>
    <row r="94" spans="5:10" ht="21" x14ac:dyDescent="0.3">
      <c r="G94" s="119" t="s">
        <v>49</v>
      </c>
      <c r="H94" s="120">
        <f>J5+H91</f>
        <v>10598.37</v>
      </c>
    </row>
  </sheetData>
  <mergeCells count="1">
    <mergeCell ref="E4:I5"/>
  </mergeCells>
  <phoneticPr fontId="3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C8DF-56B5-4207-A117-0E477A08895F}">
  <sheetPr codeName="Hoja125"/>
  <dimension ref="E3:L107"/>
  <sheetViews>
    <sheetView topLeftCell="B49" workbookViewId="0">
      <selection activeCell="F58" sqref="F58"/>
    </sheetView>
  </sheetViews>
  <sheetFormatPr baseColWidth="10" defaultRowHeight="15" x14ac:dyDescent="0.25"/>
  <cols>
    <col min="5" max="5" width="14.7109375" customWidth="1"/>
    <col min="6" max="6" width="36.140625" customWidth="1"/>
    <col min="7" max="7" width="86.5703125" customWidth="1"/>
    <col min="8" max="8" width="18.28515625" customWidth="1"/>
    <col min="9" max="9" width="16.7109375" customWidth="1"/>
    <col min="10" max="10" width="27" customWidth="1"/>
    <col min="12" max="12" width="16" customWidth="1"/>
  </cols>
  <sheetData>
    <row r="3" spans="5:10" ht="15.75" thickBot="1" x14ac:dyDescent="0.3"/>
    <row r="4" spans="5:10" x14ac:dyDescent="0.25">
      <c r="E4" s="143" t="s">
        <v>9703</v>
      </c>
      <c r="F4" s="144"/>
      <c r="G4" s="144"/>
      <c r="H4" s="144"/>
      <c r="I4" s="145"/>
      <c r="J4" s="46" t="s">
        <v>0</v>
      </c>
    </row>
    <row r="5" spans="5:10" ht="16.5" thickBot="1" x14ac:dyDescent="0.3">
      <c r="E5" s="146"/>
      <c r="F5" s="147"/>
      <c r="G5" s="147"/>
      <c r="H5" s="147"/>
      <c r="I5" s="148"/>
      <c r="J5" s="117">
        <v>10598.37</v>
      </c>
    </row>
    <row r="6" spans="5:10" x14ac:dyDescent="0.25">
      <c r="E6" s="24" t="s">
        <v>1</v>
      </c>
      <c r="F6" s="25" t="s">
        <v>2</v>
      </c>
      <c r="G6" s="25" t="s">
        <v>3</v>
      </c>
      <c r="H6" s="26" t="s">
        <v>4</v>
      </c>
      <c r="I6" s="26" t="s">
        <v>5</v>
      </c>
      <c r="J6" s="27" t="s">
        <v>6</v>
      </c>
    </row>
    <row r="7" spans="5:10" x14ac:dyDescent="0.25">
      <c r="E7" s="24"/>
      <c r="F7" s="2" t="s">
        <v>9639</v>
      </c>
      <c r="G7" s="122" t="s">
        <v>9650</v>
      </c>
      <c r="H7" s="109">
        <v>241</v>
      </c>
      <c r="I7" s="113"/>
      <c r="J7" s="112"/>
    </row>
    <row r="8" spans="5:10" x14ac:dyDescent="0.25">
      <c r="E8" s="136"/>
      <c r="F8" s="2" t="s">
        <v>9616</v>
      </c>
      <c r="G8" s="122" t="s">
        <v>9223</v>
      </c>
      <c r="H8" s="109">
        <v>105</v>
      </c>
      <c r="I8" s="113"/>
      <c r="J8" s="112"/>
    </row>
    <row r="9" spans="5:10" x14ac:dyDescent="0.25">
      <c r="E9" s="24"/>
      <c r="F9" s="2" t="s">
        <v>9617</v>
      </c>
      <c r="G9" s="122" t="s">
        <v>9656</v>
      </c>
      <c r="H9" s="109"/>
      <c r="I9" s="113"/>
      <c r="J9" s="112">
        <v>99</v>
      </c>
    </row>
    <row r="10" spans="5:10" x14ac:dyDescent="0.25">
      <c r="E10" s="8"/>
      <c r="F10" s="2" t="s">
        <v>9618</v>
      </c>
      <c r="G10" s="122" t="s">
        <v>5678</v>
      </c>
      <c r="H10" s="4">
        <v>111</v>
      </c>
      <c r="I10" s="14"/>
      <c r="J10" s="9"/>
    </row>
    <row r="11" spans="5:10" x14ac:dyDescent="0.25">
      <c r="E11" s="8"/>
      <c r="F11" s="2" t="s">
        <v>9619</v>
      </c>
      <c r="G11" s="122" t="s">
        <v>5678</v>
      </c>
      <c r="H11" s="4">
        <v>13</v>
      </c>
      <c r="I11" s="14"/>
      <c r="J11" s="9"/>
    </row>
    <row r="12" spans="5:10" x14ac:dyDescent="0.25">
      <c r="E12" s="8"/>
      <c r="F12" s="2" t="s">
        <v>9620</v>
      </c>
      <c r="G12" s="122" t="s">
        <v>6166</v>
      </c>
      <c r="H12" s="4">
        <v>345</v>
      </c>
      <c r="I12" s="14"/>
      <c r="J12" s="9"/>
    </row>
    <row r="13" spans="5:10" x14ac:dyDescent="0.25">
      <c r="E13" s="8"/>
      <c r="F13" s="2" t="s">
        <v>9621</v>
      </c>
      <c r="G13" s="122" t="s">
        <v>5678</v>
      </c>
      <c r="H13" s="4">
        <v>75</v>
      </c>
      <c r="I13" s="14"/>
      <c r="J13" s="9"/>
    </row>
    <row r="14" spans="5:10" x14ac:dyDescent="0.25">
      <c r="E14" s="8"/>
      <c r="F14" s="2" t="s">
        <v>9622</v>
      </c>
      <c r="G14" s="122" t="s">
        <v>5678</v>
      </c>
      <c r="H14" s="4">
        <v>11</v>
      </c>
      <c r="I14" s="14"/>
      <c r="J14" s="9"/>
    </row>
    <row r="15" spans="5:10" x14ac:dyDescent="0.25">
      <c r="E15" s="8"/>
      <c r="F15" s="2" t="s">
        <v>9623</v>
      </c>
      <c r="G15" s="122" t="s">
        <v>9651</v>
      </c>
      <c r="H15" s="4">
        <v>295</v>
      </c>
      <c r="I15" s="14"/>
      <c r="J15" s="9"/>
    </row>
    <row r="16" spans="5:10" x14ac:dyDescent="0.25">
      <c r="E16" s="8"/>
      <c r="F16" s="2" t="s">
        <v>9624</v>
      </c>
      <c r="G16" s="122" t="s">
        <v>9223</v>
      </c>
      <c r="H16" s="4">
        <v>466</v>
      </c>
      <c r="I16" s="14"/>
      <c r="J16" s="9"/>
    </row>
    <row r="17" spans="5:10" x14ac:dyDescent="0.25">
      <c r="E17" s="8"/>
      <c r="F17" s="2" t="s">
        <v>9625</v>
      </c>
      <c r="G17" s="122" t="s">
        <v>9652</v>
      </c>
      <c r="H17" s="4">
        <v>1500</v>
      </c>
      <c r="I17" s="14"/>
      <c r="J17" s="9">
        <v>209.5</v>
      </c>
    </row>
    <row r="18" spans="5:10" x14ac:dyDescent="0.25">
      <c r="E18" s="8"/>
      <c r="F18" s="2" t="s">
        <v>9626</v>
      </c>
      <c r="G18" s="122" t="s">
        <v>9653</v>
      </c>
      <c r="H18" s="4">
        <v>6</v>
      </c>
      <c r="I18" s="14"/>
      <c r="J18" s="9"/>
    </row>
    <row r="19" spans="5:10" x14ac:dyDescent="0.25">
      <c r="E19" s="8"/>
      <c r="F19" s="2" t="s">
        <v>9627</v>
      </c>
      <c r="G19" s="122" t="s">
        <v>9654</v>
      </c>
      <c r="H19" s="4">
        <v>100</v>
      </c>
      <c r="I19" s="14"/>
      <c r="J19" s="9">
        <v>15</v>
      </c>
    </row>
    <row r="20" spans="5:10" x14ac:dyDescent="0.25">
      <c r="E20" s="8"/>
      <c r="F20" s="2" t="s">
        <v>9628</v>
      </c>
      <c r="G20" s="122" t="s">
        <v>5678</v>
      </c>
      <c r="H20" s="4">
        <v>31.5</v>
      </c>
      <c r="I20" s="14"/>
      <c r="J20" s="9"/>
    </row>
    <row r="21" spans="5:10" x14ac:dyDescent="0.25">
      <c r="E21" s="8"/>
      <c r="F21" s="2" t="s">
        <v>9629</v>
      </c>
      <c r="G21" s="122" t="s">
        <v>5678</v>
      </c>
      <c r="H21" s="4">
        <v>2.5</v>
      </c>
      <c r="I21" s="14"/>
      <c r="J21" s="9"/>
    </row>
    <row r="22" spans="5:10" x14ac:dyDescent="0.25">
      <c r="E22" s="8"/>
      <c r="F22" s="2" t="s">
        <v>9630</v>
      </c>
      <c r="G22" s="122" t="s">
        <v>5678</v>
      </c>
      <c r="H22" s="4"/>
      <c r="I22" s="14"/>
      <c r="J22" s="9">
        <v>20</v>
      </c>
    </row>
    <row r="23" spans="5:10" x14ac:dyDescent="0.25">
      <c r="E23" s="8"/>
      <c r="F23" s="2" t="s">
        <v>9640</v>
      </c>
      <c r="G23" s="122" t="s">
        <v>5678</v>
      </c>
      <c r="H23" s="4">
        <v>4</v>
      </c>
      <c r="I23" s="14"/>
      <c r="J23" s="9"/>
    </row>
    <row r="24" spans="5:10" x14ac:dyDescent="0.25">
      <c r="E24" s="8"/>
      <c r="F24" s="2" t="s">
        <v>9641</v>
      </c>
      <c r="G24" s="122" t="s">
        <v>5678</v>
      </c>
      <c r="H24" s="4">
        <v>10</v>
      </c>
      <c r="I24" s="14"/>
      <c r="J24" s="9"/>
    </row>
    <row r="25" spans="5:10" x14ac:dyDescent="0.25">
      <c r="E25" s="8"/>
      <c r="F25" s="2" t="s">
        <v>9642</v>
      </c>
      <c r="G25" s="122" t="s">
        <v>9654</v>
      </c>
      <c r="H25" s="4">
        <v>53</v>
      </c>
      <c r="I25" s="14"/>
      <c r="J25" s="9"/>
    </row>
    <row r="26" spans="5:10" x14ac:dyDescent="0.25">
      <c r="E26" s="8"/>
      <c r="F26" s="2" t="s">
        <v>9643</v>
      </c>
      <c r="G26" s="122" t="s">
        <v>5678</v>
      </c>
      <c r="H26" s="4">
        <v>2</v>
      </c>
      <c r="I26" s="14"/>
      <c r="J26" s="9"/>
    </row>
    <row r="27" spans="5:10" x14ac:dyDescent="0.25">
      <c r="E27" s="8"/>
      <c r="F27" s="2" t="s">
        <v>9644</v>
      </c>
      <c r="G27" s="122" t="s">
        <v>9655</v>
      </c>
      <c r="H27" s="4">
        <v>383</v>
      </c>
      <c r="I27" s="14"/>
      <c r="J27" s="9"/>
    </row>
    <row r="28" spans="5:10" x14ac:dyDescent="0.25">
      <c r="E28" s="8"/>
      <c r="F28" s="2" t="s">
        <v>9645</v>
      </c>
      <c r="G28" s="122" t="s">
        <v>5678</v>
      </c>
      <c r="H28" s="4">
        <v>10</v>
      </c>
      <c r="I28" s="14"/>
      <c r="J28" s="9"/>
    </row>
    <row r="29" spans="5:10" x14ac:dyDescent="0.25">
      <c r="E29" s="8"/>
      <c r="F29" s="2" t="s">
        <v>9657</v>
      </c>
      <c r="G29" s="122" t="s">
        <v>9665</v>
      </c>
      <c r="H29" s="4">
        <v>5120</v>
      </c>
      <c r="I29" s="14"/>
      <c r="J29" s="9"/>
    </row>
    <row r="30" spans="5:10" x14ac:dyDescent="0.25">
      <c r="E30" s="8"/>
      <c r="F30" s="2" t="s">
        <v>9658</v>
      </c>
      <c r="G30" s="122" t="s">
        <v>5678</v>
      </c>
      <c r="H30" s="4">
        <v>2.5</v>
      </c>
      <c r="I30" s="14"/>
      <c r="J30" s="9"/>
    </row>
    <row r="31" spans="5:10" x14ac:dyDescent="0.25">
      <c r="E31" s="8"/>
      <c r="F31" s="2" t="s">
        <v>9659</v>
      </c>
      <c r="G31" s="122" t="s">
        <v>5678</v>
      </c>
      <c r="H31" s="4"/>
      <c r="I31" s="14"/>
      <c r="J31" s="9">
        <v>29.8</v>
      </c>
    </row>
    <row r="32" spans="5:10" x14ac:dyDescent="0.25">
      <c r="E32" s="8"/>
      <c r="F32" s="2" t="s">
        <v>9660</v>
      </c>
      <c r="G32" s="122" t="s">
        <v>5678</v>
      </c>
      <c r="H32" s="4"/>
      <c r="I32" s="14"/>
      <c r="J32" s="9">
        <v>45</v>
      </c>
    </row>
    <row r="33" spans="5:10" x14ac:dyDescent="0.25">
      <c r="E33" s="8"/>
      <c r="F33" s="2" t="s">
        <v>9661</v>
      </c>
      <c r="G33" s="122" t="s">
        <v>266</v>
      </c>
      <c r="H33" s="4"/>
      <c r="I33" s="14"/>
      <c r="J33" s="9">
        <v>32.5</v>
      </c>
    </row>
    <row r="34" spans="5:10" x14ac:dyDescent="0.25">
      <c r="E34" s="8"/>
      <c r="F34" s="2" t="s">
        <v>9662</v>
      </c>
      <c r="G34" s="122" t="s">
        <v>5678</v>
      </c>
      <c r="H34" s="4">
        <v>179</v>
      </c>
      <c r="I34" s="14"/>
      <c r="J34" s="9"/>
    </row>
    <row r="35" spans="5:10" x14ac:dyDescent="0.25">
      <c r="E35" s="8"/>
      <c r="F35" s="2" t="s">
        <v>9663</v>
      </c>
      <c r="G35" s="122" t="s">
        <v>5678</v>
      </c>
      <c r="H35" s="4">
        <v>12</v>
      </c>
      <c r="I35" s="14"/>
      <c r="J35" s="9"/>
    </row>
    <row r="36" spans="5:10" x14ac:dyDescent="0.25">
      <c r="E36" s="8"/>
      <c r="F36" s="2" t="s">
        <v>9664</v>
      </c>
      <c r="G36" s="122" t="s">
        <v>5678</v>
      </c>
      <c r="H36" s="4">
        <v>10</v>
      </c>
      <c r="I36" s="14"/>
      <c r="J36" s="9"/>
    </row>
    <row r="37" spans="5:10" x14ac:dyDescent="0.25">
      <c r="E37" s="8"/>
      <c r="F37" s="2" t="s">
        <v>9666</v>
      </c>
      <c r="G37" s="122" t="s">
        <v>5678</v>
      </c>
      <c r="H37" s="4">
        <v>60</v>
      </c>
      <c r="I37" s="14"/>
      <c r="J37" s="9"/>
    </row>
    <row r="38" spans="5:10" x14ac:dyDescent="0.25">
      <c r="E38" s="8"/>
      <c r="F38" s="2" t="s">
        <v>9667</v>
      </c>
      <c r="G38" s="122" t="s">
        <v>5678</v>
      </c>
      <c r="H38" s="4">
        <v>5</v>
      </c>
      <c r="I38" s="14"/>
      <c r="J38" s="9"/>
    </row>
    <row r="39" spans="5:10" x14ac:dyDescent="0.25">
      <c r="E39" s="8"/>
      <c r="F39" s="2" t="s">
        <v>9680</v>
      </c>
      <c r="G39" s="2" t="s">
        <v>9679</v>
      </c>
      <c r="H39" s="4"/>
      <c r="I39" s="14"/>
      <c r="J39" s="9">
        <v>91</v>
      </c>
    </row>
    <row r="40" spans="5:10" x14ac:dyDescent="0.25">
      <c r="E40" s="8"/>
      <c r="F40" s="2" t="s">
        <v>9681</v>
      </c>
      <c r="G40" s="122" t="s">
        <v>9682</v>
      </c>
      <c r="H40" s="4"/>
      <c r="I40" s="14">
        <v>29.5</v>
      </c>
      <c r="J40" s="9"/>
    </row>
    <row r="41" spans="5:10" x14ac:dyDescent="0.25">
      <c r="E41" s="8"/>
      <c r="F41" s="2"/>
      <c r="G41" s="122"/>
      <c r="H41" s="4"/>
      <c r="I41" s="14"/>
      <c r="J41" s="9"/>
    </row>
    <row r="42" spans="5:10" x14ac:dyDescent="0.25">
      <c r="E42" s="8"/>
      <c r="F42" s="2"/>
      <c r="G42" s="122"/>
      <c r="H42" s="4"/>
      <c r="I42" s="14"/>
      <c r="J42" s="9"/>
    </row>
    <row r="43" spans="5:10" x14ac:dyDescent="0.25">
      <c r="E43" s="8"/>
      <c r="F43" s="2"/>
      <c r="G43" s="122"/>
      <c r="H43" s="4"/>
      <c r="I43" s="14"/>
      <c r="J43" s="9"/>
    </row>
    <row r="44" spans="5:10" x14ac:dyDescent="0.25">
      <c r="E44" s="8"/>
      <c r="F44" s="2"/>
      <c r="G44" s="122"/>
      <c r="H44" s="4"/>
      <c r="I44" s="14"/>
      <c r="J44" s="9"/>
    </row>
    <row r="45" spans="5:10" x14ac:dyDescent="0.25">
      <c r="E45" s="128"/>
      <c r="F45" s="2"/>
      <c r="G45" s="122"/>
      <c r="H45" s="4"/>
      <c r="I45" s="129"/>
      <c r="J45" s="130"/>
    </row>
    <row r="46" spans="5:10" x14ac:dyDescent="0.25">
      <c r="E46" s="8"/>
      <c r="F46" s="2" t="s">
        <v>9631</v>
      </c>
      <c r="G46" s="2" t="s">
        <v>5678</v>
      </c>
      <c r="H46" s="4">
        <v>9</v>
      </c>
      <c r="I46" s="14"/>
      <c r="J46" s="9"/>
    </row>
    <row r="47" spans="5:10" x14ac:dyDescent="0.25">
      <c r="E47" s="8"/>
      <c r="F47" s="2" t="s">
        <v>9632</v>
      </c>
      <c r="G47" s="2" t="s">
        <v>1370</v>
      </c>
      <c r="H47" s="4"/>
      <c r="I47" s="14"/>
      <c r="J47" s="9">
        <v>47.5</v>
      </c>
    </row>
    <row r="48" spans="5:10" x14ac:dyDescent="0.25">
      <c r="E48" s="8"/>
      <c r="F48" s="2" t="s">
        <v>9633</v>
      </c>
      <c r="G48" s="2" t="s">
        <v>5678</v>
      </c>
      <c r="H48" s="4">
        <v>6.5</v>
      </c>
      <c r="I48" s="14"/>
      <c r="J48" s="9"/>
    </row>
    <row r="49" spans="5:12" x14ac:dyDescent="0.25">
      <c r="E49" s="8"/>
      <c r="F49" s="2" t="s">
        <v>9634</v>
      </c>
      <c r="G49" s="2" t="s">
        <v>5678</v>
      </c>
      <c r="H49" s="4">
        <v>6</v>
      </c>
      <c r="I49" s="14"/>
      <c r="J49" s="9"/>
    </row>
    <row r="50" spans="5:12" x14ac:dyDescent="0.25">
      <c r="E50" s="8"/>
      <c r="F50" s="2" t="s">
        <v>9635</v>
      </c>
      <c r="G50" s="2" t="s">
        <v>7899</v>
      </c>
      <c r="H50" s="4"/>
      <c r="I50" s="14">
        <v>189</v>
      </c>
      <c r="J50" s="9"/>
    </row>
    <row r="51" spans="5:12" x14ac:dyDescent="0.25">
      <c r="E51" s="8"/>
      <c r="F51" s="2" t="s">
        <v>9636</v>
      </c>
      <c r="G51" s="2" t="s">
        <v>5678</v>
      </c>
      <c r="H51" s="4"/>
      <c r="I51" s="14"/>
      <c r="J51" s="9">
        <v>4</v>
      </c>
    </row>
    <row r="52" spans="5:12" x14ac:dyDescent="0.25">
      <c r="E52" s="8"/>
      <c r="F52" s="2" t="s">
        <v>9637</v>
      </c>
      <c r="G52" s="2" t="s">
        <v>5678</v>
      </c>
      <c r="H52" s="4"/>
      <c r="I52" s="14"/>
      <c r="J52" s="9">
        <v>5</v>
      </c>
    </row>
    <row r="53" spans="5:12" x14ac:dyDescent="0.25">
      <c r="E53" s="8"/>
      <c r="F53" s="2" t="s">
        <v>9638</v>
      </c>
      <c r="G53" s="2" t="s">
        <v>9651</v>
      </c>
      <c r="H53" s="4">
        <v>8</v>
      </c>
      <c r="I53" s="14"/>
      <c r="J53" s="9"/>
    </row>
    <row r="54" spans="5:12" x14ac:dyDescent="0.25">
      <c r="E54" s="8"/>
      <c r="F54" s="2" t="s">
        <v>9668</v>
      </c>
      <c r="G54" s="2" t="s">
        <v>5678</v>
      </c>
      <c r="H54" s="4">
        <v>2.5</v>
      </c>
      <c r="I54" s="14"/>
      <c r="J54" s="9"/>
    </row>
    <row r="55" spans="5:12" x14ac:dyDescent="0.25">
      <c r="E55" s="8"/>
      <c r="F55" s="2" t="s">
        <v>9669</v>
      </c>
      <c r="G55" s="2" t="s">
        <v>5678</v>
      </c>
      <c r="H55" s="4">
        <v>3.5</v>
      </c>
      <c r="I55" s="14"/>
      <c r="J55" s="9"/>
    </row>
    <row r="56" spans="5:12" x14ac:dyDescent="0.25">
      <c r="E56" s="8"/>
      <c r="F56" s="2" t="s">
        <v>9670</v>
      </c>
      <c r="G56" s="2" t="s">
        <v>5678</v>
      </c>
      <c r="H56" s="4">
        <v>6.5</v>
      </c>
      <c r="I56" s="14"/>
      <c r="J56" s="9"/>
    </row>
    <row r="57" spans="5:12" x14ac:dyDescent="0.25">
      <c r="E57" s="8"/>
      <c r="F57" s="2" t="s">
        <v>9676</v>
      </c>
      <c r="G57" s="2" t="s">
        <v>5678</v>
      </c>
      <c r="H57" s="4">
        <v>7</v>
      </c>
      <c r="I57" s="14"/>
      <c r="J57" s="9"/>
    </row>
    <row r="58" spans="5:12" x14ac:dyDescent="0.25">
      <c r="E58" s="8"/>
      <c r="F58" s="2" t="s">
        <v>9678</v>
      </c>
      <c r="G58" s="2"/>
      <c r="H58" s="4"/>
      <c r="I58" s="14"/>
      <c r="J58" s="9"/>
    </row>
    <row r="59" spans="5:12" x14ac:dyDescent="0.25">
      <c r="E59" s="8"/>
      <c r="F59" s="2" t="s">
        <v>9755</v>
      </c>
      <c r="G59" s="40"/>
      <c r="H59" s="4"/>
      <c r="I59" s="14"/>
      <c r="J59" s="9"/>
    </row>
    <row r="60" spans="5:12" x14ac:dyDescent="0.25">
      <c r="E60" s="8"/>
      <c r="F60" s="2"/>
      <c r="G60" s="2"/>
      <c r="H60" s="4"/>
      <c r="I60" s="14"/>
      <c r="J60" s="9"/>
    </row>
    <row r="61" spans="5:12" x14ac:dyDescent="0.25">
      <c r="E61" s="8"/>
      <c r="F61" s="2"/>
      <c r="G61" s="2"/>
      <c r="H61" s="4"/>
      <c r="I61" s="14"/>
      <c r="J61" s="9"/>
    </row>
    <row r="62" spans="5:12" x14ac:dyDescent="0.25">
      <c r="E62" s="8"/>
      <c r="F62" s="2"/>
      <c r="G62" s="2"/>
      <c r="H62" s="4"/>
      <c r="I62" s="14"/>
      <c r="J62" s="9"/>
      <c r="L62" s="36"/>
    </row>
    <row r="63" spans="5:12" x14ac:dyDescent="0.25">
      <c r="E63" s="8"/>
      <c r="F63" s="2"/>
      <c r="G63" s="2"/>
      <c r="H63" s="4"/>
      <c r="I63" s="14"/>
      <c r="J63" s="9"/>
    </row>
    <row r="64" spans="5:12" x14ac:dyDescent="0.25">
      <c r="E64" s="29"/>
      <c r="F64" s="30"/>
      <c r="G64" s="30" t="s">
        <v>60</v>
      </c>
      <c r="H64" s="4"/>
      <c r="I64" s="14"/>
      <c r="J64" s="9"/>
    </row>
    <row r="65" spans="5:12" x14ac:dyDescent="0.25">
      <c r="E65" s="8"/>
      <c r="F65" s="2" t="s">
        <v>9671</v>
      </c>
      <c r="G65" s="2" t="s">
        <v>9672</v>
      </c>
      <c r="H65" s="109"/>
      <c r="I65" s="113"/>
      <c r="J65" s="112">
        <v>370</v>
      </c>
    </row>
    <row r="66" spans="5:12" x14ac:dyDescent="0.25">
      <c r="E66" s="8"/>
      <c r="F66" s="2" t="s">
        <v>9673</v>
      </c>
      <c r="G66" s="2" t="s">
        <v>8875</v>
      </c>
      <c r="H66" s="109"/>
      <c r="I66" s="113"/>
      <c r="J66" s="112">
        <v>50</v>
      </c>
    </row>
    <row r="67" spans="5:12" x14ac:dyDescent="0.25">
      <c r="E67" s="8"/>
      <c r="F67" s="2" t="s">
        <v>9683</v>
      </c>
      <c r="G67" s="2" t="s">
        <v>1075</v>
      </c>
      <c r="H67" s="109"/>
      <c r="I67" s="113"/>
      <c r="J67" s="112">
        <v>1477.5</v>
      </c>
    </row>
    <row r="68" spans="5:12" x14ac:dyDescent="0.25">
      <c r="E68" s="8"/>
      <c r="F68" s="2"/>
      <c r="G68" s="2"/>
      <c r="H68" s="109"/>
      <c r="I68" s="113"/>
      <c r="J68" s="112"/>
    </row>
    <row r="69" spans="5:12" x14ac:dyDescent="0.25">
      <c r="E69" s="8"/>
      <c r="F69" s="2"/>
      <c r="G69" s="122"/>
      <c r="H69" s="35"/>
      <c r="I69" s="35"/>
      <c r="J69" s="35"/>
      <c r="L69" s="36"/>
    </row>
    <row r="70" spans="5:12" x14ac:dyDescent="0.25">
      <c r="E70" s="8"/>
      <c r="F70" s="2"/>
      <c r="G70" s="2"/>
      <c r="H70" s="35"/>
      <c r="I70" s="14"/>
      <c r="J70" s="9"/>
    </row>
    <row r="71" spans="5:12" x14ac:dyDescent="0.25">
      <c r="E71" s="8"/>
      <c r="F71" s="2"/>
      <c r="G71" s="2"/>
      <c r="H71" s="35"/>
      <c r="I71" s="14"/>
      <c r="J71" s="9"/>
    </row>
    <row r="72" spans="5:12" x14ac:dyDescent="0.25">
      <c r="E72" s="8"/>
      <c r="F72" s="2"/>
      <c r="G72" s="76"/>
      <c r="H72" s="35"/>
      <c r="I72" s="14"/>
      <c r="J72" s="9"/>
    </row>
    <row r="73" spans="5:12" x14ac:dyDescent="0.25">
      <c r="E73" s="8"/>
      <c r="F73" s="2"/>
      <c r="G73" s="76"/>
      <c r="H73" s="35"/>
      <c r="I73" s="14"/>
      <c r="J73" s="9"/>
    </row>
    <row r="74" spans="5:12" x14ac:dyDescent="0.25">
      <c r="E74" s="16"/>
      <c r="F74" s="17"/>
      <c r="G74" s="17" t="s">
        <v>39</v>
      </c>
      <c r="H74" s="4"/>
      <c r="I74" s="14"/>
      <c r="J74" s="9"/>
    </row>
    <row r="75" spans="5:12" x14ac:dyDescent="0.25">
      <c r="E75" s="8"/>
      <c r="F75" s="2"/>
      <c r="G75" s="68" t="s">
        <v>9646</v>
      </c>
      <c r="H75" s="35">
        <v>33.5</v>
      </c>
      <c r="I75" s="14"/>
      <c r="J75" s="9"/>
    </row>
    <row r="76" spans="5:12" x14ac:dyDescent="0.25">
      <c r="E76" s="8"/>
      <c r="F76" s="2"/>
      <c r="G76" s="68" t="s">
        <v>1152</v>
      </c>
      <c r="H76" s="35">
        <v>166.5</v>
      </c>
      <c r="I76" s="14"/>
      <c r="J76" s="9"/>
    </row>
    <row r="77" spans="5:12" x14ac:dyDescent="0.25">
      <c r="E77" s="8"/>
      <c r="F77" s="2"/>
      <c r="G77" s="68" t="s">
        <v>9677</v>
      </c>
      <c r="H77" s="35">
        <v>351.9</v>
      </c>
      <c r="I77" s="14"/>
      <c r="J77" s="9"/>
    </row>
    <row r="78" spans="5:12" x14ac:dyDescent="0.25">
      <c r="E78" s="8"/>
      <c r="F78" s="2"/>
      <c r="G78" s="68"/>
      <c r="H78" s="35"/>
      <c r="I78" s="14"/>
      <c r="J78" s="9"/>
    </row>
    <row r="79" spans="5:12" x14ac:dyDescent="0.25">
      <c r="E79" s="8"/>
      <c r="F79" s="2"/>
      <c r="G79" s="76"/>
      <c r="H79" s="35"/>
      <c r="I79" s="14"/>
      <c r="J79" s="9"/>
    </row>
    <row r="80" spans="5:12" x14ac:dyDescent="0.25">
      <c r="E80" s="8"/>
      <c r="F80" s="2"/>
      <c r="G80" s="76"/>
      <c r="H80" s="35"/>
      <c r="I80" s="14"/>
      <c r="J80" s="9"/>
    </row>
    <row r="81" spans="5:10" x14ac:dyDescent="0.25">
      <c r="E81" s="8"/>
      <c r="F81" s="2"/>
      <c r="G81" s="76"/>
      <c r="H81" s="35"/>
      <c r="I81" s="14"/>
      <c r="J81" s="9"/>
    </row>
    <row r="82" spans="5:10" x14ac:dyDescent="0.25">
      <c r="E82" s="8"/>
      <c r="F82" s="2"/>
      <c r="G82" s="2"/>
      <c r="H82" s="4"/>
      <c r="I82" s="14"/>
      <c r="J82" s="9"/>
    </row>
    <row r="83" spans="5:10" x14ac:dyDescent="0.25">
      <c r="E83" s="19"/>
      <c r="F83" s="20"/>
      <c r="G83" s="20" t="s">
        <v>42</v>
      </c>
      <c r="H83" s="14"/>
      <c r="I83" s="14"/>
      <c r="J83" s="9"/>
    </row>
    <row r="84" spans="5:10" x14ac:dyDescent="0.25">
      <c r="E84" s="34"/>
      <c r="F84" s="45"/>
      <c r="G84" s="118" t="s">
        <v>9280</v>
      </c>
      <c r="H84" s="14">
        <v>-30</v>
      </c>
      <c r="I84" s="14"/>
      <c r="J84" s="9"/>
    </row>
    <row r="85" spans="5:10" x14ac:dyDescent="0.25">
      <c r="E85" s="34"/>
      <c r="F85" s="45"/>
      <c r="G85" s="118" t="s">
        <v>9647</v>
      </c>
      <c r="H85" s="14">
        <v>-100</v>
      </c>
      <c r="I85" s="14"/>
      <c r="J85" s="9"/>
    </row>
    <row r="86" spans="5:10" x14ac:dyDescent="0.25">
      <c r="E86" s="34"/>
      <c r="F86" s="45"/>
      <c r="G86" s="118" t="s">
        <v>9648</v>
      </c>
      <c r="H86" s="14">
        <v>-1810</v>
      </c>
      <c r="I86" s="14"/>
      <c r="J86" s="9"/>
    </row>
    <row r="87" spans="5:10" x14ac:dyDescent="0.25">
      <c r="E87" s="34"/>
      <c r="F87" s="45"/>
      <c r="G87" s="118" t="s">
        <v>9649</v>
      </c>
      <c r="H87" s="14">
        <v>-1080</v>
      </c>
      <c r="I87" s="14"/>
      <c r="J87" s="9"/>
    </row>
    <row r="88" spans="5:10" x14ac:dyDescent="0.25">
      <c r="E88" s="34"/>
      <c r="F88" s="45"/>
      <c r="G88" s="118" t="s">
        <v>8370</v>
      </c>
      <c r="H88" s="14">
        <v>-5</v>
      </c>
      <c r="I88" s="14"/>
      <c r="J88" s="9"/>
    </row>
    <row r="89" spans="5:10" x14ac:dyDescent="0.25">
      <c r="E89" s="34"/>
      <c r="F89" s="45"/>
      <c r="G89" s="118" t="s">
        <v>2704</v>
      </c>
      <c r="H89" s="14">
        <v>-240</v>
      </c>
      <c r="I89" s="14"/>
      <c r="J89" s="9"/>
    </row>
    <row r="90" spans="5:10" x14ac:dyDescent="0.25">
      <c r="E90" s="34"/>
      <c r="F90" s="45"/>
      <c r="G90" s="118" t="s">
        <v>9674</v>
      </c>
      <c r="H90" s="14">
        <v>-240</v>
      </c>
      <c r="I90" s="14"/>
      <c r="J90" s="9"/>
    </row>
    <row r="91" spans="5:10" x14ac:dyDescent="0.25">
      <c r="E91" s="34"/>
      <c r="F91" s="45"/>
      <c r="G91" s="118" t="s">
        <v>1466</v>
      </c>
      <c r="H91" s="14">
        <v>-280</v>
      </c>
      <c r="I91" s="14"/>
      <c r="J91" s="9"/>
    </row>
    <row r="92" spans="5:10" x14ac:dyDescent="0.25">
      <c r="E92" s="34"/>
      <c r="F92" s="45"/>
      <c r="G92" s="118" t="s">
        <v>9675</v>
      </c>
      <c r="H92" s="14">
        <v>-207</v>
      </c>
      <c r="I92" s="14"/>
      <c r="J92" s="9"/>
    </row>
    <row r="93" spans="5:10" x14ac:dyDescent="0.25">
      <c r="E93" s="34"/>
      <c r="F93" s="45"/>
      <c r="G93" s="118" t="s">
        <v>9550</v>
      </c>
      <c r="H93" s="14">
        <v>-1125</v>
      </c>
      <c r="I93" s="14"/>
      <c r="J93" s="9"/>
    </row>
    <row r="94" spans="5:10" x14ac:dyDescent="0.25">
      <c r="E94" s="34"/>
      <c r="F94" s="45"/>
      <c r="G94" s="118" t="s">
        <v>6492</v>
      </c>
      <c r="H94" s="14">
        <v>-300</v>
      </c>
      <c r="I94" s="14"/>
      <c r="J94" s="9"/>
    </row>
    <row r="95" spans="5:10" x14ac:dyDescent="0.25">
      <c r="E95" s="34"/>
      <c r="F95" s="45"/>
      <c r="G95" s="118" t="s">
        <v>7981</v>
      </c>
      <c r="H95" s="14">
        <v>-135</v>
      </c>
      <c r="I95" s="14"/>
      <c r="J95" s="9"/>
    </row>
    <row r="96" spans="5:10" x14ac:dyDescent="0.25">
      <c r="E96" s="34"/>
      <c r="F96" s="45"/>
      <c r="G96" s="118" t="s">
        <v>8</v>
      </c>
      <c r="H96" s="14">
        <v>-530</v>
      </c>
      <c r="I96" s="14"/>
      <c r="J96" s="9"/>
    </row>
    <row r="97" spans="5:10" x14ac:dyDescent="0.25">
      <c r="E97" s="34"/>
      <c r="F97" s="45"/>
      <c r="G97" s="118" t="s">
        <v>760</v>
      </c>
      <c r="H97" s="14">
        <v>-390</v>
      </c>
      <c r="I97" s="14"/>
      <c r="J97" s="9"/>
    </row>
    <row r="98" spans="5:10" x14ac:dyDescent="0.25">
      <c r="E98" s="34"/>
      <c r="F98" s="45"/>
      <c r="G98" s="118" t="s">
        <v>759</v>
      </c>
      <c r="H98" s="14">
        <v>-900</v>
      </c>
      <c r="I98" s="14"/>
      <c r="J98" s="9"/>
    </row>
    <row r="99" spans="5:10" x14ac:dyDescent="0.25">
      <c r="E99" s="34"/>
      <c r="F99" s="45"/>
      <c r="G99" s="118" t="s">
        <v>766</v>
      </c>
      <c r="H99" s="14">
        <v>-1800</v>
      </c>
      <c r="I99" s="14"/>
      <c r="J99" s="9"/>
    </row>
    <row r="100" spans="5:10" x14ac:dyDescent="0.25">
      <c r="E100" s="34"/>
      <c r="F100" s="45"/>
      <c r="G100" s="118"/>
      <c r="H100" s="14"/>
      <c r="I100" s="14"/>
      <c r="J100" s="9"/>
    </row>
    <row r="101" spans="5:10" x14ac:dyDescent="0.25">
      <c r="E101" s="34"/>
      <c r="F101" s="45"/>
      <c r="G101" s="118"/>
      <c r="H101" s="14"/>
      <c r="I101" s="14"/>
      <c r="J101" s="9"/>
    </row>
    <row r="102" spans="5:10" x14ac:dyDescent="0.25">
      <c r="E102" s="34"/>
      <c r="F102" s="45"/>
      <c r="G102" s="68"/>
      <c r="H102" s="14"/>
      <c r="I102" s="14"/>
      <c r="J102" s="9"/>
    </row>
    <row r="103" spans="5:10" x14ac:dyDescent="0.25">
      <c r="E103" s="34"/>
      <c r="F103" s="45"/>
      <c r="G103" s="68"/>
      <c r="H103" s="14"/>
      <c r="I103" s="14"/>
      <c r="J103" s="9"/>
    </row>
    <row r="104" spans="5:10" ht="15.75" thickBot="1" x14ac:dyDescent="0.3">
      <c r="E104" s="10"/>
      <c r="F104" s="11"/>
      <c r="G104" s="11" t="s">
        <v>44</v>
      </c>
      <c r="H104" s="12">
        <f>SUM(H7:H103)</f>
        <v>581.39999999999964</v>
      </c>
      <c r="I104" s="15">
        <f>SUM(I7:I103)</f>
        <v>218.5</v>
      </c>
      <c r="J104" s="13">
        <f>SUM(J7:J103)</f>
        <v>2495.8000000000002</v>
      </c>
    </row>
    <row r="107" spans="5:10" ht="21" x14ac:dyDescent="0.3">
      <c r="G107" s="119" t="s">
        <v>49</v>
      </c>
      <c r="H107" s="120">
        <f>J5+H104</f>
        <v>11179.77</v>
      </c>
    </row>
  </sheetData>
  <mergeCells count="1">
    <mergeCell ref="E4:I5"/>
  </mergeCells>
  <phoneticPr fontId="3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8B43-5269-4D9B-8ADE-E31F57E55365}">
  <sheetPr codeName="Hoja126"/>
  <dimension ref="C5:H72"/>
  <sheetViews>
    <sheetView topLeftCell="A35" workbookViewId="0">
      <selection activeCell="D36" sqref="D36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47.5703125" customWidth="1"/>
    <col min="6" max="6" width="19" customWidth="1"/>
    <col min="7" max="7" width="14.140625" customWidth="1"/>
    <col min="8" max="8" width="19.85546875" customWidth="1"/>
  </cols>
  <sheetData>
    <row r="5" spans="3:8" ht="15.75" thickBot="1" x14ac:dyDescent="0.3"/>
    <row r="6" spans="3:8" x14ac:dyDescent="0.25">
      <c r="C6" s="143" t="s">
        <v>9702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11179.77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9686</v>
      </c>
      <c r="E9" s="122" t="s">
        <v>12</v>
      </c>
      <c r="F9" s="109">
        <v>40</v>
      </c>
      <c r="G9" s="113"/>
      <c r="H9" s="112"/>
    </row>
    <row r="10" spans="3:8" x14ac:dyDescent="0.25">
      <c r="C10" s="136"/>
      <c r="D10" s="2" t="s">
        <v>9687</v>
      </c>
      <c r="E10" s="122" t="s">
        <v>12</v>
      </c>
      <c r="F10" s="109"/>
      <c r="G10" s="113"/>
      <c r="H10" s="112">
        <v>10.8</v>
      </c>
    </row>
    <row r="11" spans="3:8" x14ac:dyDescent="0.25">
      <c r="C11" s="24"/>
      <c r="D11" s="2" t="s">
        <v>9688</v>
      </c>
      <c r="E11" s="122" t="s">
        <v>9701</v>
      </c>
      <c r="F11" s="109">
        <v>109.5</v>
      </c>
      <c r="G11" s="113"/>
      <c r="H11" s="112"/>
    </row>
    <row r="12" spans="3:8" x14ac:dyDescent="0.25">
      <c r="C12" s="8"/>
      <c r="D12" s="2" t="s">
        <v>9689</v>
      </c>
      <c r="E12" s="122" t="s">
        <v>12</v>
      </c>
      <c r="F12" s="4">
        <v>75</v>
      </c>
      <c r="G12" s="14"/>
      <c r="H12" s="9"/>
    </row>
    <row r="13" spans="3:8" x14ac:dyDescent="0.25">
      <c r="C13" s="8"/>
      <c r="D13" s="2" t="s">
        <v>9690</v>
      </c>
      <c r="E13" s="122" t="s">
        <v>12</v>
      </c>
      <c r="F13" s="4">
        <v>105</v>
      </c>
      <c r="G13" s="14"/>
      <c r="H13" s="9"/>
    </row>
    <row r="14" spans="3:8" x14ac:dyDescent="0.25">
      <c r="C14" s="8"/>
      <c r="D14" s="2" t="s">
        <v>9691</v>
      </c>
      <c r="E14" s="122" t="s">
        <v>12</v>
      </c>
      <c r="F14" s="4">
        <v>3</v>
      </c>
      <c r="G14" s="14"/>
      <c r="H14" s="9"/>
    </row>
    <row r="15" spans="3:8" x14ac:dyDescent="0.25">
      <c r="C15" s="8"/>
      <c r="D15" s="2" t="s">
        <v>9692</v>
      </c>
      <c r="E15" s="122" t="s">
        <v>12</v>
      </c>
      <c r="F15" s="4">
        <v>13</v>
      </c>
      <c r="G15" s="14"/>
      <c r="H15" s="9"/>
    </row>
    <row r="16" spans="3:8" x14ac:dyDescent="0.25">
      <c r="C16" s="8"/>
      <c r="D16" s="2" t="s">
        <v>9693</v>
      </c>
      <c r="E16" s="122" t="s">
        <v>12</v>
      </c>
      <c r="F16" s="4">
        <v>5</v>
      </c>
      <c r="G16" s="14"/>
      <c r="H16" s="9"/>
    </row>
    <row r="17" spans="3:8" x14ac:dyDescent="0.25">
      <c r="C17" s="8"/>
      <c r="D17" s="137" t="s">
        <v>9694</v>
      </c>
      <c r="E17" s="138" t="s">
        <v>9722</v>
      </c>
      <c r="F17" s="4"/>
      <c r="G17" s="129">
        <v>380</v>
      </c>
      <c r="H17" s="9"/>
    </row>
    <row r="18" spans="3:8" x14ac:dyDescent="0.25">
      <c r="C18" s="8"/>
      <c r="D18" s="2" t="s">
        <v>9695</v>
      </c>
      <c r="E18" s="122" t="s">
        <v>12</v>
      </c>
      <c r="F18" s="4"/>
      <c r="G18" s="14"/>
      <c r="H18" s="9">
        <v>48.5</v>
      </c>
    </row>
    <row r="19" spans="3:8" x14ac:dyDescent="0.25">
      <c r="C19" s="8"/>
      <c r="D19" s="2" t="s">
        <v>9696</v>
      </c>
      <c r="E19" s="122" t="s">
        <v>12</v>
      </c>
      <c r="F19" s="4">
        <v>17</v>
      </c>
      <c r="G19" s="14"/>
      <c r="H19" s="9"/>
    </row>
    <row r="20" spans="3:8" x14ac:dyDescent="0.25">
      <c r="C20" s="8"/>
      <c r="D20" s="2" t="s">
        <v>9697</v>
      </c>
      <c r="E20" s="122" t="s">
        <v>12</v>
      </c>
      <c r="F20" s="4">
        <v>1</v>
      </c>
      <c r="G20" s="14"/>
      <c r="H20" s="9"/>
    </row>
    <row r="21" spans="3:8" x14ac:dyDescent="0.25">
      <c r="C21" s="8"/>
      <c r="D21" s="2" t="s">
        <v>9698</v>
      </c>
      <c r="E21" s="122" t="s">
        <v>12</v>
      </c>
      <c r="F21" s="4"/>
      <c r="G21" s="14"/>
      <c r="H21" s="9">
        <v>10</v>
      </c>
    </row>
    <row r="22" spans="3:8" x14ac:dyDescent="0.25">
      <c r="C22" s="8"/>
      <c r="D22" s="2" t="s">
        <v>9699</v>
      </c>
      <c r="E22" s="122" t="s">
        <v>12</v>
      </c>
      <c r="F22" s="4"/>
      <c r="G22" s="14"/>
      <c r="H22" s="9">
        <v>16</v>
      </c>
    </row>
    <row r="23" spans="3:8" x14ac:dyDescent="0.25">
      <c r="C23" s="8"/>
      <c r="D23" s="2" t="s">
        <v>9700</v>
      </c>
      <c r="E23" s="122" t="s">
        <v>12</v>
      </c>
      <c r="F23" s="4">
        <v>200</v>
      </c>
      <c r="G23" s="14"/>
      <c r="H23" s="9"/>
    </row>
    <row r="24" spans="3:8" x14ac:dyDescent="0.25">
      <c r="C24" s="8"/>
      <c r="D24" s="2" t="s">
        <v>9708</v>
      </c>
      <c r="E24" s="122" t="s">
        <v>12</v>
      </c>
      <c r="F24" s="4">
        <v>6</v>
      </c>
      <c r="G24" s="14"/>
      <c r="H24" s="9"/>
    </row>
    <row r="25" spans="3:8" x14ac:dyDescent="0.25">
      <c r="C25" s="8"/>
      <c r="D25" s="2" t="s">
        <v>9709</v>
      </c>
      <c r="E25" s="122" t="s">
        <v>12</v>
      </c>
      <c r="F25" s="4"/>
      <c r="G25" s="14"/>
      <c r="H25" s="9">
        <v>39</v>
      </c>
    </row>
    <row r="26" spans="3:8" x14ac:dyDescent="0.25">
      <c r="C26" s="8"/>
      <c r="D26" s="2" t="s">
        <v>9710</v>
      </c>
      <c r="E26" s="122" t="s">
        <v>12</v>
      </c>
      <c r="F26" s="4">
        <v>9</v>
      </c>
      <c r="G26" s="14"/>
      <c r="H26" s="9"/>
    </row>
    <row r="27" spans="3:8" x14ac:dyDescent="0.25">
      <c r="C27" s="8"/>
      <c r="D27" s="2" t="s">
        <v>9711</v>
      </c>
      <c r="E27" s="122" t="s">
        <v>12</v>
      </c>
      <c r="F27" s="4"/>
      <c r="G27" s="14"/>
      <c r="H27" s="9">
        <v>23</v>
      </c>
    </row>
    <row r="28" spans="3:8" x14ac:dyDescent="0.25">
      <c r="C28" s="8"/>
      <c r="D28" s="2" t="s">
        <v>9712</v>
      </c>
      <c r="E28" s="122" t="s">
        <v>12</v>
      </c>
      <c r="F28" s="4">
        <v>12</v>
      </c>
      <c r="G28" s="14"/>
      <c r="H28" s="9"/>
    </row>
    <row r="29" spans="3:8" x14ac:dyDescent="0.25">
      <c r="C29" s="8"/>
      <c r="D29" s="2" t="s">
        <v>9713</v>
      </c>
      <c r="E29" s="122" t="s">
        <v>12</v>
      </c>
      <c r="F29" s="4"/>
      <c r="G29" s="14"/>
      <c r="H29" s="9">
        <v>1</v>
      </c>
    </row>
    <row r="30" spans="3:8" x14ac:dyDescent="0.25">
      <c r="C30" s="8"/>
      <c r="D30" s="2" t="s">
        <v>9714</v>
      </c>
      <c r="E30" s="122" t="s">
        <v>12</v>
      </c>
      <c r="F30" s="4">
        <v>9</v>
      </c>
      <c r="G30" s="14"/>
      <c r="H30" s="9"/>
    </row>
    <row r="31" spans="3:8" x14ac:dyDescent="0.25">
      <c r="C31" s="8"/>
      <c r="D31" s="2" t="s">
        <v>9715</v>
      </c>
      <c r="E31" s="122" t="s">
        <v>12</v>
      </c>
      <c r="F31" s="4"/>
      <c r="G31" s="14"/>
      <c r="H31" s="9">
        <v>32</v>
      </c>
    </row>
    <row r="32" spans="3:8" x14ac:dyDescent="0.25">
      <c r="C32" s="8"/>
      <c r="D32" s="2" t="s">
        <v>9716</v>
      </c>
      <c r="E32" s="122" t="s">
        <v>9720</v>
      </c>
      <c r="F32" s="4">
        <v>89.5</v>
      </c>
      <c r="G32" s="14"/>
      <c r="H32" s="9"/>
    </row>
    <row r="33" spans="3:8" x14ac:dyDescent="0.25">
      <c r="C33" s="8"/>
      <c r="D33" s="2" t="s">
        <v>9717</v>
      </c>
      <c r="E33" s="122" t="s">
        <v>12</v>
      </c>
      <c r="F33" s="4"/>
      <c r="G33" s="14"/>
      <c r="H33" s="9">
        <v>41</v>
      </c>
    </row>
    <row r="34" spans="3:8" x14ac:dyDescent="0.25">
      <c r="C34" s="8"/>
      <c r="D34" s="2" t="s">
        <v>9718</v>
      </c>
      <c r="E34" s="122" t="s">
        <v>9721</v>
      </c>
      <c r="F34" s="4">
        <v>130</v>
      </c>
      <c r="G34" s="14"/>
      <c r="H34" s="9"/>
    </row>
    <row r="35" spans="3:8" x14ac:dyDescent="0.25">
      <c r="C35" s="8"/>
      <c r="D35" s="2" t="s">
        <v>9719</v>
      </c>
      <c r="E35" s="122" t="s">
        <v>12</v>
      </c>
      <c r="F35" s="4">
        <v>3</v>
      </c>
      <c r="G35" s="14"/>
      <c r="H35" s="9"/>
    </row>
    <row r="36" spans="3:8" x14ac:dyDescent="0.25">
      <c r="C36" s="8"/>
      <c r="D36" s="2" t="s">
        <v>9729</v>
      </c>
      <c r="E36" s="122"/>
      <c r="F36" s="4"/>
      <c r="G36" s="14"/>
      <c r="H36" s="9"/>
    </row>
    <row r="37" spans="3:8" x14ac:dyDescent="0.25">
      <c r="C37" s="8"/>
      <c r="D37" s="2"/>
      <c r="E37" s="122"/>
      <c r="F37" s="4"/>
      <c r="G37" s="14"/>
      <c r="H37" s="9"/>
    </row>
    <row r="38" spans="3:8" x14ac:dyDescent="0.25">
      <c r="C38" s="8"/>
      <c r="D38" s="2"/>
      <c r="E38" s="122"/>
      <c r="F38" s="4"/>
      <c r="G38" s="14"/>
      <c r="H38" s="9"/>
    </row>
    <row r="39" spans="3:8" x14ac:dyDescent="0.25">
      <c r="C39" s="8"/>
      <c r="D39" s="2"/>
      <c r="E39" s="122"/>
      <c r="F39" s="4"/>
      <c r="G39" s="14"/>
      <c r="H39" s="9"/>
    </row>
    <row r="40" spans="3:8" x14ac:dyDescent="0.25">
      <c r="C40" s="8"/>
      <c r="D40" s="2"/>
      <c r="E40" s="122"/>
      <c r="F40" s="4"/>
      <c r="G40" s="14"/>
      <c r="H40" s="9"/>
    </row>
    <row r="41" spans="3:8" x14ac:dyDescent="0.25">
      <c r="C41" s="8"/>
      <c r="D41" s="2"/>
      <c r="E41" s="2"/>
      <c r="F41" s="4"/>
      <c r="G41" s="14"/>
      <c r="H41" s="9"/>
    </row>
    <row r="42" spans="3:8" x14ac:dyDescent="0.25">
      <c r="C42" s="29"/>
      <c r="D42" s="30"/>
      <c r="E42" s="30" t="s">
        <v>60</v>
      </c>
      <c r="F42" s="4"/>
      <c r="G42" s="14"/>
      <c r="H42" s="9"/>
    </row>
    <row r="43" spans="3:8" x14ac:dyDescent="0.25">
      <c r="C43" s="8"/>
      <c r="D43" s="2" t="s">
        <v>9684</v>
      </c>
      <c r="E43" s="2" t="s">
        <v>9685</v>
      </c>
      <c r="F43" s="109">
        <v>14.5</v>
      </c>
      <c r="G43" s="113"/>
      <c r="H43" s="112"/>
    </row>
    <row r="44" spans="3:8" x14ac:dyDescent="0.25">
      <c r="C44" s="8"/>
      <c r="D44" s="2"/>
      <c r="E44" s="2"/>
      <c r="F44" s="109"/>
      <c r="G44" s="113"/>
      <c r="H44" s="112"/>
    </row>
    <row r="45" spans="3:8" x14ac:dyDescent="0.25">
      <c r="C45" s="8"/>
      <c r="D45" s="2"/>
      <c r="E45" s="2"/>
      <c r="F45" s="109"/>
      <c r="G45" s="113"/>
      <c r="H45" s="112"/>
    </row>
    <row r="46" spans="3:8" x14ac:dyDescent="0.25">
      <c r="C46" s="8"/>
      <c r="D46" s="2"/>
      <c r="E46" s="2"/>
      <c r="F46" s="109"/>
      <c r="G46" s="113"/>
      <c r="H46" s="112"/>
    </row>
    <row r="47" spans="3:8" x14ac:dyDescent="0.25">
      <c r="C47" s="8"/>
      <c r="D47" s="2"/>
      <c r="E47" s="122"/>
      <c r="F47" s="35"/>
      <c r="G47" s="35"/>
      <c r="H47" s="35"/>
    </row>
    <row r="48" spans="3:8" x14ac:dyDescent="0.25">
      <c r="C48" s="8"/>
      <c r="D48" s="2"/>
      <c r="E48" s="2"/>
      <c r="F48" s="35"/>
      <c r="G48" s="14"/>
      <c r="H48" s="9"/>
    </row>
    <row r="49" spans="3:8" x14ac:dyDescent="0.25">
      <c r="C49" s="8"/>
      <c r="D49" s="2"/>
      <c r="E49" s="2"/>
      <c r="F49" s="35"/>
      <c r="G49" s="14"/>
      <c r="H49" s="9"/>
    </row>
    <row r="50" spans="3:8" x14ac:dyDescent="0.25">
      <c r="C50" s="8"/>
      <c r="D50" s="2"/>
      <c r="E50" s="76"/>
      <c r="F50" s="35"/>
      <c r="G50" s="14"/>
      <c r="H50" s="9"/>
    </row>
    <row r="51" spans="3:8" x14ac:dyDescent="0.25">
      <c r="C51" s="8"/>
      <c r="D51" s="2"/>
      <c r="E51" s="76"/>
      <c r="F51" s="35"/>
      <c r="G51" s="14"/>
      <c r="H51" s="9"/>
    </row>
    <row r="52" spans="3:8" x14ac:dyDescent="0.25">
      <c r="C52" s="16"/>
      <c r="D52" s="17"/>
      <c r="E52" s="17" t="s">
        <v>39</v>
      </c>
      <c r="F52" s="4"/>
      <c r="G52" s="14"/>
      <c r="H52" s="9"/>
    </row>
    <row r="53" spans="3:8" x14ac:dyDescent="0.25">
      <c r="C53" s="8"/>
      <c r="D53" s="2"/>
      <c r="E53" s="68"/>
      <c r="F53" s="35"/>
      <c r="G53" s="14"/>
      <c r="H53" s="9"/>
    </row>
    <row r="54" spans="3:8" x14ac:dyDescent="0.25">
      <c r="C54" s="8"/>
      <c r="D54" s="2"/>
      <c r="E54" s="68"/>
      <c r="F54" s="35"/>
      <c r="G54" s="14"/>
      <c r="H54" s="9"/>
    </row>
    <row r="55" spans="3:8" x14ac:dyDescent="0.25">
      <c r="C55" s="8"/>
      <c r="D55" s="2"/>
      <c r="E55" s="68"/>
      <c r="F55" s="35"/>
      <c r="G55" s="14"/>
      <c r="H55" s="9"/>
    </row>
    <row r="56" spans="3:8" x14ac:dyDescent="0.25">
      <c r="C56" s="8"/>
      <c r="D56" s="2"/>
      <c r="E56" s="68"/>
      <c r="F56" s="35"/>
      <c r="G56" s="14"/>
      <c r="H56" s="9"/>
    </row>
    <row r="57" spans="3:8" x14ac:dyDescent="0.25">
      <c r="C57" s="8"/>
      <c r="D57" s="2"/>
      <c r="E57" s="76"/>
      <c r="F57" s="35"/>
      <c r="G57" s="14"/>
      <c r="H57" s="9"/>
    </row>
    <row r="58" spans="3:8" x14ac:dyDescent="0.25">
      <c r="C58" s="8"/>
      <c r="D58" s="2"/>
      <c r="E58" s="76"/>
      <c r="F58" s="35"/>
      <c r="G58" s="14"/>
      <c r="H58" s="9"/>
    </row>
    <row r="59" spans="3:8" x14ac:dyDescent="0.25">
      <c r="C59" s="8"/>
      <c r="D59" s="2"/>
      <c r="E59" s="76"/>
      <c r="F59" s="35"/>
      <c r="G59" s="14"/>
      <c r="H59" s="9"/>
    </row>
    <row r="60" spans="3:8" x14ac:dyDescent="0.25">
      <c r="C60" s="8"/>
      <c r="D60" s="2"/>
      <c r="E60" s="2"/>
      <c r="F60" s="4"/>
      <c r="G60" s="14"/>
      <c r="H60" s="9"/>
    </row>
    <row r="61" spans="3:8" x14ac:dyDescent="0.25">
      <c r="C61" s="19"/>
      <c r="D61" s="20"/>
      <c r="E61" s="20" t="s">
        <v>42</v>
      </c>
      <c r="F61" s="14"/>
      <c r="G61" s="14"/>
      <c r="H61" s="9"/>
    </row>
    <row r="62" spans="3:8" x14ac:dyDescent="0.25">
      <c r="C62" s="34"/>
      <c r="D62" s="45"/>
      <c r="E62" s="118" t="s">
        <v>478</v>
      </c>
      <c r="F62" s="14">
        <v>-40</v>
      </c>
      <c r="G62" s="14"/>
      <c r="H62" s="9"/>
    </row>
    <row r="63" spans="3:8" x14ac:dyDescent="0.25">
      <c r="C63" s="34"/>
      <c r="D63" s="45"/>
      <c r="E63" s="118" t="s">
        <v>7518</v>
      </c>
      <c r="F63" s="14">
        <v>-30</v>
      </c>
      <c r="G63" s="14"/>
      <c r="H63" s="9"/>
    </row>
    <row r="64" spans="3:8" x14ac:dyDescent="0.25">
      <c r="C64" s="34"/>
      <c r="D64" s="45"/>
      <c r="E64" s="118" t="s">
        <v>5485</v>
      </c>
      <c r="F64" s="14">
        <v>-40</v>
      </c>
      <c r="G64" s="14"/>
      <c r="H64" s="9"/>
    </row>
    <row r="65" spans="3:8" x14ac:dyDescent="0.25">
      <c r="C65" s="34"/>
      <c r="D65" s="45"/>
      <c r="E65" s="118"/>
      <c r="F65" s="14"/>
      <c r="G65" s="14"/>
      <c r="H65" s="9"/>
    </row>
    <row r="66" spans="3:8" x14ac:dyDescent="0.25">
      <c r="C66" s="34"/>
      <c r="D66" s="45"/>
      <c r="E66" s="118"/>
      <c r="F66" s="14"/>
      <c r="G66" s="14"/>
      <c r="H66" s="9"/>
    </row>
    <row r="67" spans="3:8" x14ac:dyDescent="0.25">
      <c r="C67" s="34"/>
      <c r="D67" s="45"/>
      <c r="E67" s="68"/>
      <c r="F67" s="14"/>
      <c r="G67" s="14"/>
      <c r="H67" s="9"/>
    </row>
    <row r="68" spans="3:8" x14ac:dyDescent="0.25">
      <c r="C68" s="34"/>
      <c r="D68" s="45"/>
      <c r="E68" s="68"/>
      <c r="F68" s="14"/>
      <c r="G68" s="14"/>
      <c r="H68" s="9"/>
    </row>
    <row r="69" spans="3:8" ht="15.75" thickBot="1" x14ac:dyDescent="0.3">
      <c r="C69" s="10"/>
      <c r="D69" s="11"/>
      <c r="E69" s="11" t="s">
        <v>44</v>
      </c>
      <c r="F69" s="12">
        <f>SUM(F9:F68)</f>
        <v>731.5</v>
      </c>
      <c r="G69" s="15">
        <f>SUM(G9:G68)</f>
        <v>380</v>
      </c>
      <c r="H69" s="13">
        <f>SUM(H9:H68)</f>
        <v>221.3</v>
      </c>
    </row>
    <row r="72" spans="3:8" ht="21" x14ac:dyDescent="0.3">
      <c r="E72" s="119" t="s">
        <v>49</v>
      </c>
      <c r="F72" s="120">
        <f>H7+F69</f>
        <v>11911.27</v>
      </c>
    </row>
  </sheetData>
  <mergeCells count="1">
    <mergeCell ref="C6:G7"/>
  </mergeCells>
  <phoneticPr fontId="3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2F8D-8CD7-43F7-BC7B-AB398F961F42}">
  <sheetPr codeName="Hoja127"/>
  <dimension ref="C5:H112"/>
  <sheetViews>
    <sheetView topLeftCell="A76" workbookViewId="0">
      <selection activeCell="E103" sqref="E103:F105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19.85546875" customWidth="1"/>
  </cols>
  <sheetData>
    <row r="5" spans="3:8" ht="15.75" thickBot="1" x14ac:dyDescent="0.3"/>
    <row r="6" spans="3:8" x14ac:dyDescent="0.25">
      <c r="C6" s="143" t="s">
        <v>9723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11911.27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9730</v>
      </c>
      <c r="E9" s="122" t="s">
        <v>9455</v>
      </c>
      <c r="F9" s="109">
        <v>133</v>
      </c>
      <c r="G9" s="113"/>
      <c r="H9" s="112"/>
    </row>
    <row r="10" spans="3:8" x14ac:dyDescent="0.25">
      <c r="C10" s="136"/>
      <c r="D10" s="2" t="s">
        <v>9731</v>
      </c>
      <c r="E10" s="122" t="s">
        <v>7176</v>
      </c>
      <c r="F10" s="109"/>
      <c r="G10" s="113"/>
      <c r="H10" s="112">
        <v>179.3</v>
      </c>
    </row>
    <row r="11" spans="3:8" x14ac:dyDescent="0.25">
      <c r="C11" s="24"/>
      <c r="D11" s="2" t="s">
        <v>9732</v>
      </c>
      <c r="E11" s="122" t="s">
        <v>6441</v>
      </c>
      <c r="F11" s="109"/>
      <c r="G11" s="113"/>
      <c r="H11" s="112">
        <v>2654.4</v>
      </c>
    </row>
    <row r="12" spans="3:8" x14ac:dyDescent="0.25">
      <c r="C12" s="8"/>
      <c r="D12" s="2" t="s">
        <v>9733</v>
      </c>
      <c r="E12" s="122" t="s">
        <v>6441</v>
      </c>
      <c r="F12" s="4">
        <v>30</v>
      </c>
      <c r="G12" s="14"/>
      <c r="H12" s="9"/>
    </row>
    <row r="13" spans="3:8" x14ac:dyDescent="0.25">
      <c r="C13" s="8"/>
      <c r="D13" s="2" t="s">
        <v>9734</v>
      </c>
      <c r="E13" s="122" t="s">
        <v>6441</v>
      </c>
      <c r="F13" s="4">
        <v>1000</v>
      </c>
      <c r="G13" s="14"/>
      <c r="H13" s="9">
        <v>36.799999999999997</v>
      </c>
    </row>
    <row r="14" spans="3:8" x14ac:dyDescent="0.25">
      <c r="C14" s="8"/>
      <c r="D14" s="2" t="s">
        <v>9735</v>
      </c>
      <c r="E14" s="122" t="s">
        <v>8633</v>
      </c>
      <c r="F14" s="4"/>
      <c r="G14" s="14"/>
      <c r="H14" s="9">
        <v>34</v>
      </c>
    </row>
    <row r="15" spans="3:8" x14ac:dyDescent="0.25">
      <c r="C15" s="8"/>
      <c r="D15" s="2" t="s">
        <v>9736</v>
      </c>
      <c r="E15" s="122" t="s">
        <v>9754</v>
      </c>
      <c r="F15" s="4">
        <v>109.5</v>
      </c>
      <c r="G15" s="14"/>
      <c r="H15" s="9"/>
    </row>
    <row r="16" spans="3:8" x14ac:dyDescent="0.25">
      <c r="C16" s="8"/>
      <c r="D16" s="2" t="s">
        <v>9737</v>
      </c>
      <c r="E16" s="122" t="s">
        <v>5678</v>
      </c>
      <c r="F16" s="4"/>
      <c r="G16" s="14"/>
      <c r="H16" s="9">
        <v>30</v>
      </c>
    </row>
    <row r="17" spans="3:8" x14ac:dyDescent="0.25">
      <c r="C17" s="8"/>
      <c r="D17" s="2" t="s">
        <v>9738</v>
      </c>
      <c r="E17" s="140" t="s">
        <v>6751</v>
      </c>
      <c r="F17" s="4">
        <v>703.5</v>
      </c>
      <c r="G17" s="129"/>
      <c r="H17" s="9"/>
    </row>
    <row r="18" spans="3:8" x14ac:dyDescent="0.25">
      <c r="C18" s="8"/>
      <c r="D18" s="2" t="s">
        <v>9739</v>
      </c>
      <c r="E18" s="122" t="s">
        <v>5678</v>
      </c>
      <c r="F18" s="4"/>
      <c r="G18" s="14"/>
      <c r="H18" s="9">
        <v>26.5</v>
      </c>
    </row>
    <row r="19" spans="3:8" x14ac:dyDescent="0.25">
      <c r="C19" s="8"/>
      <c r="D19" s="2" t="s">
        <v>9740</v>
      </c>
      <c r="E19" s="122" t="s">
        <v>8076</v>
      </c>
      <c r="F19" s="4"/>
      <c r="G19" s="14"/>
      <c r="H19" s="9">
        <v>1400</v>
      </c>
    </row>
    <row r="20" spans="3:8" x14ac:dyDescent="0.25">
      <c r="C20" s="8"/>
      <c r="D20" s="2" t="s">
        <v>9741</v>
      </c>
      <c r="E20" s="122" t="s">
        <v>4830</v>
      </c>
      <c r="F20" s="4"/>
      <c r="G20" s="14"/>
      <c r="H20" s="9">
        <v>460</v>
      </c>
    </row>
    <row r="21" spans="3:8" x14ac:dyDescent="0.25">
      <c r="C21" s="8"/>
      <c r="D21" s="2" t="s">
        <v>9742</v>
      </c>
      <c r="E21" s="122" t="s">
        <v>8850</v>
      </c>
      <c r="F21" s="4">
        <v>1640</v>
      </c>
      <c r="G21" s="14"/>
      <c r="H21" s="9"/>
    </row>
    <row r="22" spans="3:8" x14ac:dyDescent="0.25">
      <c r="C22" s="8"/>
      <c r="D22" s="2" t="s">
        <v>9743</v>
      </c>
      <c r="E22" s="122" t="s">
        <v>9753</v>
      </c>
      <c r="F22" s="4"/>
      <c r="G22" s="14"/>
      <c r="H22" s="9">
        <v>413</v>
      </c>
    </row>
    <row r="23" spans="3:8" x14ac:dyDescent="0.25">
      <c r="C23" s="8"/>
      <c r="D23" s="2" t="s">
        <v>9744</v>
      </c>
      <c r="E23" s="122" t="s">
        <v>5678</v>
      </c>
      <c r="F23" s="4">
        <v>12</v>
      </c>
      <c r="G23" s="14"/>
      <c r="H23" s="9"/>
    </row>
    <row r="24" spans="3:8" x14ac:dyDescent="0.25">
      <c r="C24" s="8"/>
      <c r="D24" s="2" t="s">
        <v>9745</v>
      </c>
      <c r="E24" s="122" t="s">
        <v>5678</v>
      </c>
      <c r="F24" s="4">
        <v>3.6</v>
      </c>
      <c r="G24" s="14"/>
      <c r="H24" s="9"/>
    </row>
    <row r="25" spans="3:8" x14ac:dyDescent="0.25">
      <c r="C25" s="8"/>
      <c r="D25" s="2" t="s">
        <v>9746</v>
      </c>
      <c r="E25" s="122" t="s">
        <v>9752</v>
      </c>
      <c r="F25" s="4"/>
      <c r="G25" s="14"/>
      <c r="H25" s="9">
        <v>35</v>
      </c>
    </row>
    <row r="26" spans="3:8" x14ac:dyDescent="0.25">
      <c r="C26" s="8"/>
      <c r="D26" s="2" t="s">
        <v>9747</v>
      </c>
      <c r="E26" s="122" t="s">
        <v>5678</v>
      </c>
      <c r="F26" s="4"/>
      <c r="G26" s="14"/>
      <c r="H26" s="9">
        <v>85</v>
      </c>
    </row>
    <row r="27" spans="3:8" x14ac:dyDescent="0.25">
      <c r="C27" s="8"/>
      <c r="D27" s="2" t="s">
        <v>9748</v>
      </c>
      <c r="E27" s="122" t="s">
        <v>9751</v>
      </c>
      <c r="F27" s="4">
        <v>40</v>
      </c>
      <c r="G27" s="14"/>
      <c r="H27" s="9">
        <v>29</v>
      </c>
    </row>
    <row r="28" spans="3:8" x14ac:dyDescent="0.25">
      <c r="C28" s="8"/>
      <c r="D28" s="2" t="s">
        <v>9749</v>
      </c>
      <c r="E28" s="122" t="s">
        <v>5678</v>
      </c>
      <c r="F28" s="4">
        <v>3</v>
      </c>
      <c r="G28" s="14"/>
      <c r="H28" s="9"/>
    </row>
    <row r="29" spans="3:8" x14ac:dyDescent="0.25">
      <c r="C29" s="8"/>
      <c r="D29" s="2" t="s">
        <v>9750</v>
      </c>
      <c r="E29" s="122" t="s">
        <v>5678</v>
      </c>
      <c r="F29" s="4">
        <v>2</v>
      </c>
      <c r="G29" s="14"/>
      <c r="H29" s="9"/>
    </row>
    <row r="30" spans="3:8" x14ac:dyDescent="0.25">
      <c r="C30" s="8"/>
      <c r="D30" s="2" t="s">
        <v>9781</v>
      </c>
      <c r="E30" s="122" t="s">
        <v>5678</v>
      </c>
      <c r="F30" s="4"/>
      <c r="G30" s="14"/>
      <c r="H30" s="9">
        <v>9</v>
      </c>
    </row>
    <row r="31" spans="3:8" x14ac:dyDescent="0.25">
      <c r="C31" s="8"/>
      <c r="D31" s="2" t="s">
        <v>9782</v>
      </c>
      <c r="E31" s="122" t="s">
        <v>9783</v>
      </c>
      <c r="F31" s="4">
        <v>950</v>
      </c>
      <c r="G31" s="14"/>
      <c r="H31" s="9"/>
    </row>
    <row r="32" spans="3:8" x14ac:dyDescent="0.25">
      <c r="C32" s="8"/>
      <c r="D32" s="2" t="s">
        <v>9784</v>
      </c>
      <c r="E32" s="122" t="s">
        <v>6593</v>
      </c>
      <c r="F32" s="4">
        <v>27</v>
      </c>
      <c r="G32" s="14"/>
      <c r="H32" s="9"/>
    </row>
    <row r="33" spans="3:8" x14ac:dyDescent="0.25">
      <c r="C33" s="8"/>
      <c r="D33" s="2" t="s">
        <v>9785</v>
      </c>
      <c r="E33" s="122" t="s">
        <v>5678</v>
      </c>
      <c r="F33" s="4">
        <v>38</v>
      </c>
      <c r="G33" s="14"/>
      <c r="H33" s="9"/>
    </row>
    <row r="34" spans="3:8" x14ac:dyDescent="0.25">
      <c r="C34" s="8"/>
      <c r="D34" s="2" t="s">
        <v>9786</v>
      </c>
      <c r="E34" s="122" t="s">
        <v>5678</v>
      </c>
      <c r="F34" s="4">
        <v>23.5</v>
      </c>
      <c r="G34" s="14"/>
      <c r="H34" s="9"/>
    </row>
    <row r="35" spans="3:8" x14ac:dyDescent="0.25">
      <c r="C35" s="8"/>
      <c r="D35" s="2" t="s">
        <v>9793</v>
      </c>
      <c r="E35" s="122" t="s">
        <v>9795</v>
      </c>
      <c r="F35" s="4"/>
      <c r="G35" s="14">
        <v>16980.7</v>
      </c>
      <c r="H35" s="9"/>
    </row>
    <row r="36" spans="3:8" x14ac:dyDescent="0.25">
      <c r="C36" s="8"/>
      <c r="D36" s="2" t="s">
        <v>9794</v>
      </c>
      <c r="E36" s="122" t="s">
        <v>9796</v>
      </c>
      <c r="F36" s="4"/>
      <c r="G36" s="14"/>
      <c r="H36" s="9">
        <v>45</v>
      </c>
    </row>
    <row r="37" spans="3:8" x14ac:dyDescent="0.25">
      <c r="C37" s="8"/>
      <c r="D37" s="2" t="s">
        <v>9799</v>
      </c>
      <c r="E37" s="122" t="s">
        <v>9142</v>
      </c>
      <c r="F37" s="4">
        <v>80</v>
      </c>
      <c r="G37" s="14"/>
      <c r="H37" s="9"/>
    </row>
    <row r="38" spans="3:8" x14ac:dyDescent="0.25">
      <c r="C38" s="8"/>
      <c r="D38" s="2" t="s">
        <v>9800</v>
      </c>
      <c r="E38" s="122" t="s">
        <v>9809</v>
      </c>
      <c r="F38" s="4"/>
      <c r="G38" s="14">
        <v>117</v>
      </c>
      <c r="H38" s="9"/>
    </row>
    <row r="39" spans="3:8" x14ac:dyDescent="0.25">
      <c r="C39" s="8"/>
      <c r="D39" s="2" t="s">
        <v>9802</v>
      </c>
      <c r="E39" s="122" t="s">
        <v>6593</v>
      </c>
      <c r="F39" s="4">
        <v>67</v>
      </c>
      <c r="G39" s="14"/>
      <c r="H39" s="9"/>
    </row>
    <row r="40" spans="3:8" x14ac:dyDescent="0.25">
      <c r="C40" s="8"/>
      <c r="D40" s="2" t="s">
        <v>9803</v>
      </c>
      <c r="E40" s="122" t="s">
        <v>5678</v>
      </c>
      <c r="F40" s="4">
        <v>5</v>
      </c>
      <c r="G40" s="14"/>
      <c r="H40" s="9"/>
    </row>
    <row r="41" spans="3:8" x14ac:dyDescent="0.25">
      <c r="C41" s="8"/>
      <c r="D41" s="2" t="s">
        <v>9810</v>
      </c>
      <c r="E41" s="122" t="s">
        <v>9151</v>
      </c>
      <c r="F41" s="4">
        <v>147.5</v>
      </c>
      <c r="G41" s="14"/>
      <c r="H41" s="9"/>
    </row>
    <row r="42" spans="3:8" x14ac:dyDescent="0.25">
      <c r="C42" s="8"/>
      <c r="D42" s="2" t="s">
        <v>9811</v>
      </c>
      <c r="E42" s="122" t="s">
        <v>7126</v>
      </c>
      <c r="F42" s="4">
        <v>16</v>
      </c>
      <c r="G42" s="14"/>
      <c r="H42" s="9"/>
    </row>
    <row r="43" spans="3:8" x14ac:dyDescent="0.25">
      <c r="C43" s="8"/>
      <c r="D43" s="2"/>
      <c r="E43" s="122"/>
      <c r="F43" s="4"/>
      <c r="G43" s="14"/>
      <c r="H43" s="9"/>
    </row>
    <row r="44" spans="3:8" x14ac:dyDescent="0.25">
      <c r="C44" s="8"/>
      <c r="D44" s="2" t="s">
        <v>9757</v>
      </c>
      <c r="E44" s="122" t="s">
        <v>9769</v>
      </c>
      <c r="F44" s="4"/>
      <c r="G44" s="14"/>
      <c r="H44" s="9">
        <v>480</v>
      </c>
    </row>
    <row r="45" spans="3:8" x14ac:dyDescent="0.25">
      <c r="C45" s="8"/>
      <c r="D45" s="2" t="s">
        <v>9756</v>
      </c>
      <c r="E45" s="122" t="s">
        <v>7899</v>
      </c>
      <c r="F45" s="4"/>
      <c r="G45" s="14">
        <v>227</v>
      </c>
      <c r="H45" s="9"/>
    </row>
    <row r="46" spans="3:8" x14ac:dyDescent="0.25">
      <c r="C46" s="8"/>
      <c r="D46" s="2" t="s">
        <v>9758</v>
      </c>
      <c r="E46" s="122" t="s">
        <v>7899</v>
      </c>
      <c r="F46" s="4"/>
      <c r="G46" s="14">
        <v>37.5</v>
      </c>
      <c r="H46" s="9"/>
    </row>
    <row r="47" spans="3:8" x14ac:dyDescent="0.25">
      <c r="C47" s="8"/>
      <c r="D47" s="2" t="s">
        <v>9759</v>
      </c>
      <c r="E47" s="122" t="s">
        <v>7899</v>
      </c>
      <c r="F47" s="4"/>
      <c r="G47" s="14">
        <v>220</v>
      </c>
      <c r="H47" s="9"/>
    </row>
    <row r="48" spans="3:8" x14ac:dyDescent="0.25">
      <c r="C48" s="8"/>
      <c r="D48" s="2" t="s">
        <v>9760</v>
      </c>
      <c r="E48" s="122" t="s">
        <v>9151</v>
      </c>
      <c r="F48" s="4">
        <v>21.6</v>
      </c>
      <c r="G48" s="14"/>
      <c r="H48" s="9"/>
    </row>
    <row r="49" spans="3:8" x14ac:dyDescent="0.25">
      <c r="C49" s="8"/>
      <c r="D49" s="2" t="s">
        <v>9761</v>
      </c>
      <c r="E49" s="122" t="s">
        <v>1631</v>
      </c>
      <c r="F49" s="4"/>
      <c r="G49" s="14"/>
      <c r="H49" s="9">
        <v>6</v>
      </c>
    </row>
    <row r="50" spans="3:8" x14ac:dyDescent="0.25">
      <c r="C50" s="8"/>
      <c r="D50" s="2" t="s">
        <v>9762</v>
      </c>
      <c r="E50" s="122" t="s">
        <v>1631</v>
      </c>
      <c r="F50" s="4">
        <v>5</v>
      </c>
      <c r="G50" s="14"/>
      <c r="H50" s="9"/>
    </row>
    <row r="51" spans="3:8" x14ac:dyDescent="0.25">
      <c r="C51" s="8"/>
      <c r="D51" s="2" t="s">
        <v>9763</v>
      </c>
      <c r="E51" s="122" t="s">
        <v>5842</v>
      </c>
      <c r="F51" s="4"/>
      <c r="G51" s="14"/>
      <c r="H51" s="9">
        <v>1836.4</v>
      </c>
    </row>
    <row r="52" spans="3:8" x14ac:dyDescent="0.25">
      <c r="C52" s="8"/>
      <c r="D52" s="2" t="s">
        <v>9764</v>
      </c>
      <c r="E52" s="122" t="s">
        <v>1631</v>
      </c>
      <c r="F52" s="4">
        <v>9.5</v>
      </c>
      <c r="G52" s="14"/>
      <c r="H52" s="9"/>
    </row>
    <row r="53" spans="3:8" x14ac:dyDescent="0.25">
      <c r="C53" s="8"/>
      <c r="D53" s="2" t="s">
        <v>9765</v>
      </c>
      <c r="E53" s="122" t="s">
        <v>9770</v>
      </c>
      <c r="F53" s="4">
        <v>200</v>
      </c>
      <c r="G53" s="14"/>
      <c r="H53" s="9"/>
    </row>
    <row r="54" spans="3:8" x14ac:dyDescent="0.25">
      <c r="C54" s="8"/>
      <c r="D54" s="2" t="s">
        <v>9766</v>
      </c>
      <c r="E54" s="122" t="s">
        <v>1631</v>
      </c>
      <c r="F54" s="4">
        <v>5</v>
      </c>
      <c r="G54" s="14"/>
      <c r="H54" s="9"/>
    </row>
    <row r="55" spans="3:8" x14ac:dyDescent="0.25">
      <c r="C55" s="8"/>
      <c r="D55" s="2" t="s">
        <v>9767</v>
      </c>
      <c r="E55" s="122" t="s">
        <v>1631</v>
      </c>
      <c r="F55" s="4">
        <v>6</v>
      </c>
      <c r="G55" s="14"/>
      <c r="H55" s="9"/>
    </row>
    <row r="56" spans="3:8" x14ac:dyDescent="0.25">
      <c r="C56" s="8"/>
      <c r="D56" s="2" t="s">
        <v>9768</v>
      </c>
      <c r="E56" s="122" t="s">
        <v>1631</v>
      </c>
      <c r="F56" s="4"/>
      <c r="G56" s="14"/>
      <c r="H56" s="9">
        <v>8</v>
      </c>
    </row>
    <row r="57" spans="3:8" x14ac:dyDescent="0.25">
      <c r="C57" s="8"/>
      <c r="D57" s="2" t="s">
        <v>9774</v>
      </c>
      <c r="E57" s="122" t="s">
        <v>1631</v>
      </c>
      <c r="F57" s="4">
        <v>31.8</v>
      </c>
      <c r="G57" s="14"/>
      <c r="H57" s="9"/>
    </row>
    <row r="58" spans="3:8" x14ac:dyDescent="0.25">
      <c r="C58" s="8"/>
      <c r="D58" s="2" t="s">
        <v>9776</v>
      </c>
      <c r="E58" s="122" t="s">
        <v>9778</v>
      </c>
      <c r="F58" s="4">
        <v>53.5</v>
      </c>
      <c r="G58" s="14"/>
      <c r="H58" s="9"/>
    </row>
    <row r="59" spans="3:8" x14ac:dyDescent="0.25">
      <c r="C59" s="8"/>
      <c r="D59" s="2" t="s">
        <v>9777</v>
      </c>
      <c r="E59" s="122" t="s">
        <v>1631</v>
      </c>
      <c r="F59" s="4"/>
      <c r="G59" s="14"/>
      <c r="H59" s="9">
        <v>6</v>
      </c>
    </row>
    <row r="60" spans="3:8" x14ac:dyDescent="0.25">
      <c r="C60" s="8"/>
      <c r="D60" s="2" t="s">
        <v>9787</v>
      </c>
      <c r="E60" s="122" t="s">
        <v>1631</v>
      </c>
      <c r="F60" s="4">
        <v>11</v>
      </c>
      <c r="G60" s="14"/>
      <c r="H60" s="9"/>
    </row>
    <row r="61" spans="3:8" x14ac:dyDescent="0.25">
      <c r="C61" s="8"/>
      <c r="D61" s="2" t="s">
        <v>9788</v>
      </c>
      <c r="E61" s="122" t="s">
        <v>1631</v>
      </c>
      <c r="F61" s="4">
        <v>5</v>
      </c>
      <c r="G61" s="14"/>
      <c r="H61" s="9"/>
    </row>
    <row r="62" spans="3:8" x14ac:dyDescent="0.25">
      <c r="C62" s="8"/>
      <c r="D62" s="2" t="s">
        <v>9789</v>
      </c>
      <c r="E62" s="122" t="s">
        <v>5422</v>
      </c>
      <c r="F62" s="4"/>
      <c r="G62" s="14"/>
      <c r="H62" s="9">
        <v>87.1</v>
      </c>
    </row>
    <row r="63" spans="3:8" x14ac:dyDescent="0.25">
      <c r="C63" s="8"/>
      <c r="D63" s="2" t="s">
        <v>9790</v>
      </c>
      <c r="E63" s="122" t="s">
        <v>5422</v>
      </c>
      <c r="F63" s="4"/>
      <c r="G63" s="14"/>
      <c r="H63" s="9">
        <v>45</v>
      </c>
    </row>
    <row r="64" spans="3:8" x14ac:dyDescent="0.25">
      <c r="C64" s="8"/>
      <c r="D64" s="2" t="s">
        <v>9791</v>
      </c>
      <c r="E64" s="122" t="s">
        <v>6857</v>
      </c>
      <c r="F64" s="4"/>
      <c r="G64" s="14"/>
      <c r="H64" s="9">
        <v>20</v>
      </c>
    </row>
    <row r="65" spans="3:8" x14ac:dyDescent="0.25">
      <c r="C65" s="8"/>
      <c r="D65" s="2" t="s">
        <v>9792</v>
      </c>
      <c r="E65" s="122" t="s">
        <v>1631</v>
      </c>
      <c r="F65" s="4">
        <v>5</v>
      </c>
      <c r="G65" s="14"/>
      <c r="H65" s="9"/>
    </row>
    <row r="66" spans="3:8" x14ac:dyDescent="0.25">
      <c r="C66" s="8"/>
      <c r="D66" s="2" t="s">
        <v>9801</v>
      </c>
      <c r="E66" s="122" t="s">
        <v>1631</v>
      </c>
      <c r="F66" s="4"/>
      <c r="G66" s="14"/>
      <c r="H66" s="9">
        <v>102</v>
      </c>
    </row>
    <row r="67" spans="3:8" x14ac:dyDescent="0.25">
      <c r="C67" s="8"/>
      <c r="D67" s="2" t="s">
        <v>9804</v>
      </c>
      <c r="E67" s="122" t="s">
        <v>1631</v>
      </c>
      <c r="F67" s="4"/>
      <c r="G67" s="14"/>
      <c r="H67" s="9">
        <v>193.5</v>
      </c>
    </row>
    <row r="68" spans="3:8" x14ac:dyDescent="0.25">
      <c r="C68" s="8"/>
      <c r="D68" s="2" t="s">
        <v>9805</v>
      </c>
      <c r="E68" s="122" t="s">
        <v>1631</v>
      </c>
      <c r="F68" s="4"/>
      <c r="G68" s="14"/>
      <c r="H68" s="9">
        <v>51</v>
      </c>
    </row>
    <row r="69" spans="3:8" x14ac:dyDescent="0.25">
      <c r="C69" s="8"/>
      <c r="D69" s="2" t="s">
        <v>9812</v>
      </c>
      <c r="E69" s="122" t="s">
        <v>1631</v>
      </c>
      <c r="F69" s="4">
        <v>54</v>
      </c>
      <c r="G69" s="14"/>
      <c r="H69" s="9"/>
    </row>
    <row r="70" spans="3:8" x14ac:dyDescent="0.25">
      <c r="C70" s="8"/>
      <c r="D70" s="2" t="s">
        <v>9813</v>
      </c>
      <c r="E70" s="122" t="s">
        <v>1631</v>
      </c>
      <c r="F70" s="4">
        <v>10</v>
      </c>
      <c r="G70" s="14"/>
      <c r="H70" s="9"/>
    </row>
    <row r="71" spans="3:8" x14ac:dyDescent="0.25">
      <c r="C71" s="8"/>
      <c r="D71" s="2" t="s">
        <v>9830</v>
      </c>
      <c r="E71" s="122"/>
      <c r="F71" s="4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29"/>
      <c r="D73" s="30"/>
      <c r="E73" s="30" t="s">
        <v>60</v>
      </c>
      <c r="F73" s="4"/>
      <c r="G73" s="14"/>
      <c r="H73" s="9"/>
    </row>
    <row r="74" spans="3:8" x14ac:dyDescent="0.25">
      <c r="C74" s="8"/>
      <c r="D74" s="2" t="s">
        <v>9726</v>
      </c>
      <c r="E74" s="2" t="s">
        <v>9593</v>
      </c>
      <c r="F74" s="109"/>
      <c r="G74" s="113"/>
      <c r="H74" s="112">
        <v>594</v>
      </c>
    </row>
    <row r="75" spans="3:8" x14ac:dyDescent="0.25">
      <c r="C75" s="8"/>
      <c r="D75" s="2" t="s">
        <v>9727</v>
      </c>
      <c r="E75" s="2" t="s">
        <v>9728</v>
      </c>
      <c r="F75" s="109"/>
      <c r="G75" s="113"/>
      <c r="H75" s="112">
        <v>96.6</v>
      </c>
    </row>
    <row r="76" spans="3:8" x14ac:dyDescent="0.25">
      <c r="C76" s="8"/>
      <c r="D76" s="2"/>
      <c r="E76" s="2"/>
      <c r="F76" s="109"/>
      <c r="G76" s="113"/>
      <c r="H76" s="112"/>
    </row>
    <row r="77" spans="3:8" x14ac:dyDescent="0.25">
      <c r="C77" s="8"/>
      <c r="D77" s="2"/>
      <c r="E77" s="2"/>
      <c r="F77" s="109"/>
      <c r="G77" s="113"/>
      <c r="H77" s="112"/>
    </row>
    <row r="78" spans="3:8" x14ac:dyDescent="0.25">
      <c r="C78" s="8"/>
      <c r="D78" s="2"/>
      <c r="E78" s="122"/>
      <c r="F78" s="35"/>
      <c r="G78" s="35"/>
      <c r="H78" s="35"/>
    </row>
    <row r="79" spans="3:8" x14ac:dyDescent="0.25">
      <c r="C79" s="8"/>
      <c r="D79" s="2"/>
      <c r="E79" s="2"/>
      <c r="F79" s="35"/>
      <c r="G79" s="14"/>
      <c r="H79" s="9"/>
    </row>
    <row r="80" spans="3:8" x14ac:dyDescent="0.25">
      <c r="C80" s="8"/>
      <c r="D80" s="2"/>
      <c r="E80" s="2"/>
      <c r="F80" s="35"/>
      <c r="G80" s="14"/>
      <c r="H80" s="9"/>
    </row>
    <row r="81" spans="3:8" x14ac:dyDescent="0.25">
      <c r="C81" s="8"/>
      <c r="D81" s="2"/>
      <c r="E81" s="76"/>
      <c r="F81" s="35"/>
      <c r="G81" s="14"/>
      <c r="H81" s="9"/>
    </row>
    <row r="82" spans="3:8" x14ac:dyDescent="0.25">
      <c r="C82" s="8"/>
      <c r="D82" s="2"/>
      <c r="E82" s="76"/>
      <c r="F82" s="35"/>
      <c r="G82" s="14"/>
      <c r="H82" s="9"/>
    </row>
    <row r="83" spans="3:8" x14ac:dyDescent="0.25">
      <c r="C83" s="16"/>
      <c r="D83" s="17"/>
      <c r="E83" s="17" t="s">
        <v>39</v>
      </c>
      <c r="F83" s="4"/>
      <c r="G83" s="14"/>
      <c r="H83" s="9"/>
    </row>
    <row r="84" spans="3:8" x14ac:dyDescent="0.25">
      <c r="C84" s="8"/>
      <c r="D84" s="2"/>
      <c r="E84" s="68" t="s">
        <v>9771</v>
      </c>
      <c r="F84" s="35">
        <v>600.5</v>
      </c>
      <c r="G84" s="14"/>
      <c r="H84" s="9"/>
    </row>
    <row r="85" spans="3:8" x14ac:dyDescent="0.25">
      <c r="C85" s="8"/>
      <c r="D85" s="2"/>
      <c r="E85" s="68" t="s">
        <v>9775</v>
      </c>
      <c r="F85" s="35">
        <v>1094.9000000000001</v>
      </c>
      <c r="G85" s="14"/>
      <c r="H85" s="9"/>
    </row>
    <row r="86" spans="3:8" x14ac:dyDescent="0.25">
      <c r="C86" s="8"/>
      <c r="D86" s="2"/>
      <c r="E86" s="68" t="s">
        <v>9797</v>
      </c>
      <c r="F86" s="35">
        <v>20</v>
      </c>
      <c r="G86" s="14"/>
      <c r="H86" s="9"/>
    </row>
    <row r="87" spans="3:8" x14ac:dyDescent="0.25">
      <c r="C87" s="8"/>
      <c r="D87" s="2"/>
      <c r="E87" s="68" t="s">
        <v>9807</v>
      </c>
      <c r="F87" s="35">
        <v>120.4</v>
      </c>
      <c r="G87" s="14"/>
      <c r="H87" s="9"/>
    </row>
    <row r="88" spans="3:8" x14ac:dyDescent="0.25">
      <c r="C88" s="8"/>
      <c r="D88" s="2"/>
      <c r="E88" s="76" t="s">
        <v>9808</v>
      </c>
      <c r="F88" s="35">
        <v>29.5</v>
      </c>
      <c r="G88" s="14"/>
      <c r="H88" s="9"/>
    </row>
    <row r="89" spans="3:8" x14ac:dyDescent="0.25">
      <c r="C89" s="8"/>
      <c r="D89" s="2"/>
      <c r="E89" s="76"/>
      <c r="F89" s="35"/>
      <c r="G89" s="14"/>
      <c r="H89" s="9"/>
    </row>
    <row r="90" spans="3:8" x14ac:dyDescent="0.25">
      <c r="C90" s="8"/>
      <c r="D90" s="2"/>
      <c r="E90" s="76"/>
      <c r="F90" s="35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19"/>
      <c r="D92" s="20"/>
      <c r="E92" s="20" t="s">
        <v>42</v>
      </c>
      <c r="F92" s="14"/>
      <c r="G92" s="14"/>
      <c r="H92" s="9"/>
    </row>
    <row r="93" spans="3:8" x14ac:dyDescent="0.25">
      <c r="C93" s="34"/>
      <c r="D93" s="139"/>
      <c r="E93" s="118" t="s">
        <v>9724</v>
      </c>
      <c r="F93" s="14">
        <v>-684</v>
      </c>
      <c r="G93" s="14"/>
      <c r="H93" s="9"/>
    </row>
    <row r="94" spans="3:8" x14ac:dyDescent="0.25">
      <c r="C94" s="34"/>
      <c r="D94" s="139"/>
      <c r="E94" s="118" t="s">
        <v>9725</v>
      </c>
      <c r="F94" s="14">
        <v>-360.5</v>
      </c>
      <c r="G94" s="14"/>
      <c r="H94" s="9"/>
    </row>
    <row r="95" spans="3:8" x14ac:dyDescent="0.25">
      <c r="C95" s="34"/>
      <c r="D95" s="139"/>
      <c r="E95" s="118" t="s">
        <v>9772</v>
      </c>
      <c r="F95" s="14">
        <v>-5</v>
      </c>
      <c r="G95" s="14"/>
      <c r="H95" s="9"/>
    </row>
    <row r="96" spans="3:8" x14ac:dyDescent="0.25">
      <c r="C96" s="34"/>
      <c r="D96" s="139"/>
      <c r="E96" s="118" t="s">
        <v>9773</v>
      </c>
      <c r="F96" s="14">
        <v>-40</v>
      </c>
      <c r="G96" s="14"/>
      <c r="H96" s="9"/>
    </row>
    <row r="97" spans="3:8" x14ac:dyDescent="0.25">
      <c r="C97" s="34"/>
      <c r="D97" s="139"/>
      <c r="E97" s="118" t="s">
        <v>9779</v>
      </c>
      <c r="F97" s="14">
        <v>-10</v>
      </c>
      <c r="G97" s="14"/>
      <c r="H97" s="9"/>
    </row>
    <row r="98" spans="3:8" x14ac:dyDescent="0.25">
      <c r="C98" s="34"/>
      <c r="D98" s="45"/>
      <c r="E98" s="118" t="s">
        <v>9780</v>
      </c>
      <c r="F98" s="14">
        <v>-20</v>
      </c>
      <c r="G98" s="14"/>
      <c r="H98" s="9"/>
    </row>
    <row r="99" spans="3:8" x14ac:dyDescent="0.25">
      <c r="C99" s="34"/>
      <c r="D99" s="45"/>
      <c r="E99" s="118" t="s">
        <v>1274</v>
      </c>
      <c r="F99" s="14">
        <v>-3084</v>
      </c>
      <c r="G99" s="14"/>
      <c r="H99" s="9"/>
    </row>
    <row r="100" spans="3:8" x14ac:dyDescent="0.25">
      <c r="C100" s="34"/>
      <c r="D100" s="45"/>
      <c r="E100" s="118" t="s">
        <v>6467</v>
      </c>
      <c r="F100" s="14">
        <v>-100</v>
      </c>
      <c r="G100" s="14"/>
      <c r="H100" s="9"/>
    </row>
    <row r="101" spans="3:8" x14ac:dyDescent="0.25">
      <c r="C101" s="34"/>
      <c r="D101" s="45"/>
      <c r="E101" s="118" t="s">
        <v>9798</v>
      </c>
      <c r="F101" s="14">
        <v>-20</v>
      </c>
      <c r="G101" s="14"/>
      <c r="H101" s="9"/>
    </row>
    <row r="102" spans="3:8" x14ac:dyDescent="0.25">
      <c r="C102" s="34"/>
      <c r="D102" s="45"/>
      <c r="E102" s="118" t="s">
        <v>9806</v>
      </c>
      <c r="F102" s="14">
        <v>-85</v>
      </c>
      <c r="G102" s="14"/>
      <c r="H102" s="9"/>
    </row>
    <row r="103" spans="3:8" x14ac:dyDescent="0.25">
      <c r="C103" s="34"/>
      <c r="D103" s="45"/>
      <c r="E103" s="118"/>
      <c r="F103" s="14"/>
      <c r="G103" s="14"/>
      <c r="H103" s="9"/>
    </row>
    <row r="104" spans="3:8" x14ac:dyDescent="0.25">
      <c r="C104" s="34"/>
      <c r="D104" s="45"/>
      <c r="E104" s="118"/>
      <c r="F104" s="14"/>
      <c r="G104" s="14"/>
      <c r="H104" s="9"/>
    </row>
    <row r="105" spans="3:8" x14ac:dyDescent="0.25">
      <c r="C105" s="34"/>
      <c r="D105" s="45"/>
      <c r="E105" s="118"/>
      <c r="F105" s="14"/>
      <c r="G105" s="14"/>
      <c r="H105" s="9"/>
    </row>
    <row r="106" spans="3:8" x14ac:dyDescent="0.25">
      <c r="C106" s="34"/>
      <c r="D106" s="45"/>
      <c r="E106" s="118"/>
      <c r="F106" s="14"/>
      <c r="G106" s="14"/>
      <c r="H106" s="9"/>
    </row>
    <row r="107" spans="3:8" x14ac:dyDescent="0.25">
      <c r="C107" s="34"/>
      <c r="D107" s="45"/>
      <c r="E107" s="118"/>
      <c r="F107" s="14"/>
      <c r="G107" s="14"/>
      <c r="H107" s="9"/>
    </row>
    <row r="108" spans="3:8" x14ac:dyDescent="0.25">
      <c r="C108" s="34"/>
      <c r="D108" s="45"/>
      <c r="E108" s="68"/>
      <c r="F108" s="14"/>
      <c r="G108" s="14"/>
      <c r="H108" s="9"/>
    </row>
    <row r="109" spans="3:8" ht="15.75" thickBot="1" x14ac:dyDescent="0.3">
      <c r="C109" s="10"/>
      <c r="D109" s="11"/>
      <c r="E109" s="11" t="s">
        <v>44</v>
      </c>
      <c r="F109" s="12">
        <f>SUM(F9:F108)</f>
        <v>2904.8000000000011</v>
      </c>
      <c r="G109" s="15">
        <f>SUM(G9:G108)</f>
        <v>17582.2</v>
      </c>
      <c r="H109" s="13">
        <f>SUM(H9:H108)</f>
        <v>8962.6</v>
      </c>
    </row>
    <row r="112" spans="3:8" ht="21" x14ac:dyDescent="0.3">
      <c r="E112" s="119" t="s">
        <v>49</v>
      </c>
      <c r="F112" s="120">
        <f>H7+F109</f>
        <v>14816.070000000002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A29E-A615-4378-83F5-283976B1D05D}">
  <sheetPr codeName="Hoja128"/>
  <dimension ref="C5:H98"/>
  <sheetViews>
    <sheetView topLeftCell="A58" workbookViewId="0">
      <selection activeCell="D63" sqref="D63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19.85546875" customWidth="1"/>
  </cols>
  <sheetData>
    <row r="5" spans="3:8" ht="15.75" thickBot="1" x14ac:dyDescent="0.3"/>
    <row r="6" spans="3:8" x14ac:dyDescent="0.25">
      <c r="C6" s="143" t="s">
        <v>9884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14816.07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9815</v>
      </c>
      <c r="E9" s="122" t="s">
        <v>9455</v>
      </c>
      <c r="F9" s="109">
        <v>224.5</v>
      </c>
      <c r="G9" s="113"/>
      <c r="H9" s="112"/>
    </row>
    <row r="10" spans="3:8" x14ac:dyDescent="0.25">
      <c r="C10" s="136"/>
      <c r="D10" s="2" t="s">
        <v>9816</v>
      </c>
      <c r="E10" s="122" t="s">
        <v>5678</v>
      </c>
      <c r="F10" s="109"/>
      <c r="G10" s="113"/>
      <c r="H10" s="112">
        <v>86</v>
      </c>
    </row>
    <row r="11" spans="3:8" x14ac:dyDescent="0.25">
      <c r="C11" s="24"/>
      <c r="D11" s="2" t="s">
        <v>9817</v>
      </c>
      <c r="E11" s="122" t="s">
        <v>5678</v>
      </c>
      <c r="F11" s="109"/>
      <c r="G11" s="113"/>
      <c r="H11" s="112">
        <v>54</v>
      </c>
    </row>
    <row r="12" spans="3:8" x14ac:dyDescent="0.25">
      <c r="C12" s="8"/>
      <c r="D12" s="2" t="s">
        <v>9818</v>
      </c>
      <c r="E12" s="122" t="s">
        <v>7176</v>
      </c>
      <c r="F12" s="4"/>
      <c r="G12" s="14">
        <v>988.5</v>
      </c>
      <c r="H12" s="9"/>
    </row>
    <row r="13" spans="3:8" x14ac:dyDescent="0.25">
      <c r="C13" s="8"/>
      <c r="D13" s="2" t="s">
        <v>9819</v>
      </c>
      <c r="E13" s="122" t="s">
        <v>6593</v>
      </c>
      <c r="F13" s="4">
        <v>320</v>
      </c>
      <c r="G13" s="14"/>
      <c r="H13" s="9"/>
    </row>
    <row r="14" spans="3:8" x14ac:dyDescent="0.25">
      <c r="C14" s="8"/>
      <c r="D14" s="2" t="s">
        <v>9820</v>
      </c>
      <c r="E14" s="122" t="s">
        <v>9457</v>
      </c>
      <c r="F14" s="4">
        <v>290</v>
      </c>
      <c r="G14" s="14"/>
      <c r="H14" s="9"/>
    </row>
    <row r="15" spans="3:8" x14ac:dyDescent="0.25">
      <c r="C15" s="8"/>
      <c r="D15" s="2" t="s">
        <v>9821</v>
      </c>
      <c r="E15" s="122" t="s">
        <v>4597</v>
      </c>
      <c r="F15" s="4"/>
      <c r="G15" s="14"/>
      <c r="H15" s="9">
        <v>338</v>
      </c>
    </row>
    <row r="16" spans="3:8" x14ac:dyDescent="0.25">
      <c r="C16" s="8"/>
      <c r="D16" s="2" t="s">
        <v>9822</v>
      </c>
      <c r="E16" s="122" t="s">
        <v>5678</v>
      </c>
      <c r="F16" s="4">
        <v>9</v>
      </c>
      <c r="G16" s="14"/>
      <c r="H16" s="9"/>
    </row>
    <row r="17" spans="3:8" x14ac:dyDescent="0.25">
      <c r="C17" s="8"/>
      <c r="D17" s="2" t="s">
        <v>9823</v>
      </c>
      <c r="E17" s="140" t="s">
        <v>8850</v>
      </c>
      <c r="F17" s="4"/>
      <c r="G17" s="14"/>
      <c r="H17" s="9">
        <v>85</v>
      </c>
    </row>
    <row r="18" spans="3:8" x14ac:dyDescent="0.25">
      <c r="C18" s="8"/>
      <c r="D18" s="2" t="s">
        <v>9824</v>
      </c>
      <c r="E18" s="122" t="s">
        <v>9829</v>
      </c>
      <c r="F18" s="4">
        <v>2960</v>
      </c>
      <c r="G18" s="14"/>
      <c r="H18" s="9"/>
    </row>
    <row r="19" spans="3:8" x14ac:dyDescent="0.25">
      <c r="C19" s="8"/>
      <c r="D19" s="2" t="s">
        <v>9825</v>
      </c>
      <c r="E19" s="122" t="s">
        <v>5678</v>
      </c>
      <c r="F19" s="4">
        <v>4</v>
      </c>
      <c r="G19" s="14"/>
      <c r="H19" s="9"/>
    </row>
    <row r="20" spans="3:8" x14ac:dyDescent="0.25">
      <c r="C20" s="8"/>
      <c r="D20" s="2" t="s">
        <v>9826</v>
      </c>
      <c r="E20" s="122" t="s">
        <v>5678</v>
      </c>
      <c r="F20" s="4">
        <v>11.5</v>
      </c>
      <c r="G20" s="14"/>
      <c r="H20" s="9"/>
    </row>
    <row r="21" spans="3:8" x14ac:dyDescent="0.25">
      <c r="C21" s="8"/>
      <c r="D21" s="2" t="s">
        <v>9827</v>
      </c>
      <c r="E21" s="122" t="s">
        <v>5678</v>
      </c>
      <c r="F21" s="4">
        <v>34</v>
      </c>
      <c r="G21" s="14"/>
      <c r="H21" s="9"/>
    </row>
    <row r="22" spans="3:8" x14ac:dyDescent="0.25">
      <c r="C22" s="8"/>
      <c r="D22" s="2" t="s">
        <v>9828</v>
      </c>
      <c r="E22" s="122" t="s">
        <v>6829</v>
      </c>
      <c r="F22" s="4">
        <v>38</v>
      </c>
      <c r="G22" s="14"/>
      <c r="H22" s="9"/>
    </row>
    <row r="23" spans="3:8" x14ac:dyDescent="0.25">
      <c r="C23" s="8"/>
      <c r="D23" s="2" t="s">
        <v>9842</v>
      </c>
      <c r="E23" s="122" t="s">
        <v>5678</v>
      </c>
      <c r="F23" s="4"/>
      <c r="G23" s="14"/>
      <c r="H23" s="9">
        <v>20</v>
      </c>
    </row>
    <row r="24" spans="3:8" x14ac:dyDescent="0.25">
      <c r="C24" s="8"/>
      <c r="D24" s="2" t="s">
        <v>9851</v>
      </c>
      <c r="E24" s="122" t="s">
        <v>5678</v>
      </c>
      <c r="F24" s="4"/>
      <c r="G24" s="14"/>
      <c r="H24" s="9">
        <v>46</v>
      </c>
    </row>
    <row r="25" spans="3:8" x14ac:dyDescent="0.25">
      <c r="C25" s="8"/>
      <c r="D25" s="2" t="s">
        <v>9852</v>
      </c>
      <c r="E25" s="122" t="s">
        <v>5678</v>
      </c>
      <c r="F25" s="4">
        <v>18</v>
      </c>
      <c r="G25" s="14"/>
      <c r="H25" s="9"/>
    </row>
    <row r="26" spans="3:8" x14ac:dyDescent="0.25">
      <c r="C26" s="8"/>
      <c r="D26" s="2" t="s">
        <v>9853</v>
      </c>
      <c r="E26" s="122" t="s">
        <v>5678</v>
      </c>
      <c r="F26" s="4"/>
      <c r="G26" s="14"/>
      <c r="H26" s="9">
        <v>2</v>
      </c>
    </row>
    <row r="27" spans="3:8" x14ac:dyDescent="0.25">
      <c r="C27" s="8"/>
      <c r="D27" s="2" t="s">
        <v>9854</v>
      </c>
      <c r="E27" s="122" t="s">
        <v>5678</v>
      </c>
      <c r="F27" s="4">
        <v>3</v>
      </c>
      <c r="G27" s="14"/>
      <c r="H27" s="9"/>
    </row>
    <row r="28" spans="3:8" x14ac:dyDescent="0.25">
      <c r="C28" s="8"/>
      <c r="D28" s="2" t="s">
        <v>9855</v>
      </c>
      <c r="E28" s="122" t="s">
        <v>9655</v>
      </c>
      <c r="F28" s="4">
        <v>315</v>
      </c>
      <c r="G28" s="14"/>
      <c r="H28" s="9"/>
    </row>
    <row r="29" spans="3:8" x14ac:dyDescent="0.25">
      <c r="C29" s="8"/>
      <c r="D29" s="2" t="s">
        <v>9856</v>
      </c>
      <c r="E29" s="122" t="s">
        <v>5678</v>
      </c>
      <c r="F29" s="4">
        <v>8</v>
      </c>
      <c r="G29" s="14"/>
      <c r="H29" s="9"/>
    </row>
    <row r="30" spans="3:8" x14ac:dyDescent="0.25">
      <c r="C30" s="8"/>
      <c r="D30" s="2" t="s">
        <v>9857</v>
      </c>
      <c r="E30" s="122" t="s">
        <v>5678</v>
      </c>
      <c r="F30" s="4"/>
      <c r="G30" s="14"/>
      <c r="H30" s="9">
        <v>27.5</v>
      </c>
    </row>
    <row r="31" spans="3:8" x14ac:dyDescent="0.25">
      <c r="C31" s="8"/>
      <c r="D31" s="2" t="s">
        <v>9858</v>
      </c>
      <c r="E31" s="122" t="s">
        <v>5678</v>
      </c>
      <c r="F31" s="4">
        <v>32</v>
      </c>
      <c r="G31" s="14"/>
      <c r="H31" s="9"/>
    </row>
    <row r="32" spans="3:8" x14ac:dyDescent="0.25">
      <c r="C32" s="8"/>
      <c r="D32" s="2" t="s">
        <v>9859</v>
      </c>
      <c r="E32" s="122" t="s">
        <v>5678</v>
      </c>
      <c r="F32" s="4">
        <v>6</v>
      </c>
      <c r="G32" s="14"/>
      <c r="H32" s="9"/>
    </row>
    <row r="33" spans="3:8" x14ac:dyDescent="0.25">
      <c r="C33" s="8"/>
      <c r="D33" s="2" t="s">
        <v>9871</v>
      </c>
      <c r="E33" s="122" t="s">
        <v>5678</v>
      </c>
      <c r="F33" s="4">
        <v>90</v>
      </c>
      <c r="G33" s="14"/>
      <c r="H33" s="9"/>
    </row>
    <row r="34" spans="3:8" x14ac:dyDescent="0.25">
      <c r="C34" s="8"/>
      <c r="D34" s="2" t="s">
        <v>9872</v>
      </c>
      <c r="E34" s="122" t="s">
        <v>6921</v>
      </c>
      <c r="F34" s="4"/>
      <c r="G34" s="14">
        <v>1500</v>
      </c>
      <c r="H34" s="9"/>
    </row>
    <row r="35" spans="3:8" x14ac:dyDescent="0.25">
      <c r="C35" s="8"/>
      <c r="D35" s="2" t="s">
        <v>9873</v>
      </c>
      <c r="E35" s="122" t="s">
        <v>7126</v>
      </c>
      <c r="F35" s="4"/>
      <c r="G35" s="14">
        <v>8193.5</v>
      </c>
      <c r="H35" s="9"/>
    </row>
    <row r="36" spans="3:8" x14ac:dyDescent="0.25">
      <c r="C36" s="8"/>
      <c r="D36" s="2" t="s">
        <v>9874</v>
      </c>
      <c r="E36" s="122" t="s">
        <v>9877</v>
      </c>
      <c r="F36" s="4">
        <v>147</v>
      </c>
      <c r="G36" s="14"/>
      <c r="H36" s="9"/>
    </row>
    <row r="37" spans="3:8" x14ac:dyDescent="0.25">
      <c r="C37" s="8"/>
      <c r="D37" s="2" t="s">
        <v>9875</v>
      </c>
      <c r="E37" s="122" t="s">
        <v>5678</v>
      </c>
      <c r="F37" s="4">
        <v>471</v>
      </c>
      <c r="G37" s="14"/>
      <c r="H37" s="9"/>
    </row>
    <row r="38" spans="3:8" x14ac:dyDescent="0.25">
      <c r="C38" s="8"/>
      <c r="D38" s="2" t="s">
        <v>9876</v>
      </c>
      <c r="E38" s="122" t="s">
        <v>5678</v>
      </c>
      <c r="F38" s="4">
        <v>4</v>
      </c>
      <c r="G38" s="14"/>
      <c r="H38" s="9"/>
    </row>
    <row r="39" spans="3:8" x14ac:dyDescent="0.25">
      <c r="C39" s="8"/>
      <c r="D39" s="2" t="s">
        <v>9880</v>
      </c>
      <c r="E39" s="122" t="s">
        <v>6059</v>
      </c>
      <c r="F39" s="4"/>
      <c r="G39" s="14"/>
      <c r="H39" s="9">
        <v>1792</v>
      </c>
    </row>
    <row r="40" spans="3:8" x14ac:dyDescent="0.25">
      <c r="C40" s="8"/>
      <c r="D40" s="2" t="s">
        <v>9888</v>
      </c>
      <c r="E40" s="122"/>
      <c r="F40" s="4"/>
      <c r="G40" s="14"/>
      <c r="H40" s="9"/>
    </row>
    <row r="41" spans="3:8" x14ac:dyDescent="0.25">
      <c r="C41" s="8"/>
      <c r="D41" s="2"/>
      <c r="E41" s="122"/>
      <c r="F41" s="4"/>
      <c r="G41" s="14"/>
      <c r="H41" s="9"/>
    </row>
    <row r="42" spans="3:8" x14ac:dyDescent="0.25">
      <c r="C42" s="8"/>
      <c r="D42" s="2"/>
      <c r="E42" s="122"/>
      <c r="F42" s="4"/>
      <c r="G42" s="14"/>
      <c r="H42" s="9"/>
    </row>
    <row r="43" spans="3:8" x14ac:dyDescent="0.25">
      <c r="C43" s="8"/>
      <c r="D43" s="2" t="s">
        <v>9830</v>
      </c>
      <c r="E43" s="122" t="s">
        <v>5416</v>
      </c>
      <c r="F43" s="4"/>
      <c r="G43" s="14"/>
      <c r="H43" s="9">
        <v>900</v>
      </c>
    </row>
    <row r="44" spans="3:8" x14ac:dyDescent="0.25">
      <c r="C44" s="8"/>
      <c r="D44" s="2" t="s">
        <v>9831</v>
      </c>
      <c r="E44" s="122" t="s">
        <v>9458</v>
      </c>
      <c r="F44" s="4"/>
      <c r="G44" s="14">
        <v>276</v>
      </c>
      <c r="H44" s="9"/>
    </row>
    <row r="45" spans="3:8" x14ac:dyDescent="0.25">
      <c r="C45" s="8"/>
      <c r="D45" s="2" t="s">
        <v>9832</v>
      </c>
      <c r="E45" s="122" t="s">
        <v>9846</v>
      </c>
      <c r="F45" s="4"/>
      <c r="G45" s="14"/>
      <c r="H45" s="9">
        <v>504</v>
      </c>
    </row>
    <row r="46" spans="3:8" x14ac:dyDescent="0.25">
      <c r="C46" s="8"/>
      <c r="D46" s="2" t="s">
        <v>9833</v>
      </c>
      <c r="E46" s="122" t="s">
        <v>6092</v>
      </c>
      <c r="F46" s="4">
        <v>15</v>
      </c>
      <c r="G46" s="14"/>
      <c r="H46" s="9"/>
    </row>
    <row r="47" spans="3:8" x14ac:dyDescent="0.25">
      <c r="C47" s="8"/>
      <c r="D47" s="2" t="s">
        <v>9834</v>
      </c>
      <c r="E47" s="122" t="s">
        <v>4516</v>
      </c>
      <c r="F47" s="4"/>
      <c r="G47" s="14">
        <v>38</v>
      </c>
      <c r="H47" s="9"/>
    </row>
    <row r="48" spans="3:8" x14ac:dyDescent="0.25">
      <c r="C48" s="8"/>
      <c r="D48" s="2" t="s">
        <v>9835</v>
      </c>
      <c r="E48" s="122" t="s">
        <v>9845</v>
      </c>
      <c r="F48" s="4">
        <v>100</v>
      </c>
      <c r="G48" s="14"/>
      <c r="H48" s="9">
        <v>10</v>
      </c>
    </row>
    <row r="49" spans="3:8" x14ac:dyDescent="0.25">
      <c r="C49" s="8"/>
      <c r="D49" s="2" t="s">
        <v>9836</v>
      </c>
      <c r="E49" s="122" t="s">
        <v>9879</v>
      </c>
      <c r="F49" s="4"/>
      <c r="G49" s="14">
        <v>415</v>
      </c>
      <c r="H49" s="9"/>
    </row>
    <row r="50" spans="3:8" x14ac:dyDescent="0.25">
      <c r="C50" s="8"/>
      <c r="D50" s="2" t="s">
        <v>9837</v>
      </c>
      <c r="E50" s="122" t="s">
        <v>6092</v>
      </c>
      <c r="F50" s="4"/>
      <c r="G50" s="14"/>
      <c r="H50" s="9">
        <v>5</v>
      </c>
    </row>
    <row r="51" spans="3:8" x14ac:dyDescent="0.25">
      <c r="C51" s="8"/>
      <c r="D51" s="2" t="s">
        <v>9838</v>
      </c>
      <c r="E51" s="122" t="s">
        <v>6092</v>
      </c>
      <c r="F51" s="4">
        <v>8</v>
      </c>
      <c r="G51" s="14"/>
      <c r="H51" s="9"/>
    </row>
    <row r="52" spans="3:8" x14ac:dyDescent="0.25">
      <c r="C52" s="8"/>
      <c r="D52" s="2" t="s">
        <v>9839</v>
      </c>
      <c r="E52" s="122" t="s">
        <v>6092</v>
      </c>
      <c r="F52" s="4">
        <v>4</v>
      </c>
      <c r="G52" s="14"/>
      <c r="H52" s="9"/>
    </row>
    <row r="53" spans="3:8" x14ac:dyDescent="0.25">
      <c r="C53" s="8"/>
      <c r="D53" s="2" t="s">
        <v>9840</v>
      </c>
      <c r="E53" s="122" t="s">
        <v>9844</v>
      </c>
      <c r="F53" s="4">
        <v>383.5</v>
      </c>
      <c r="G53" s="14"/>
      <c r="H53" s="9"/>
    </row>
    <row r="54" spans="3:8" x14ac:dyDescent="0.25">
      <c r="C54" s="8"/>
      <c r="D54" s="2" t="s">
        <v>9841</v>
      </c>
      <c r="E54" s="122" t="s">
        <v>9843</v>
      </c>
      <c r="F54" s="4"/>
      <c r="G54" s="14">
        <v>20</v>
      </c>
      <c r="H54" s="9"/>
    </row>
    <row r="55" spans="3:8" x14ac:dyDescent="0.25">
      <c r="C55" s="8"/>
      <c r="D55" s="2" t="s">
        <v>9860</v>
      </c>
      <c r="E55" s="122" t="s">
        <v>9864</v>
      </c>
      <c r="F55" s="4">
        <v>2441.5</v>
      </c>
      <c r="G55" s="14"/>
      <c r="H55" s="9"/>
    </row>
    <row r="56" spans="3:8" x14ac:dyDescent="0.25">
      <c r="C56" s="8"/>
      <c r="D56" s="2" t="s">
        <v>9861</v>
      </c>
      <c r="E56" s="122" t="s">
        <v>9864</v>
      </c>
      <c r="F56" s="4">
        <v>2794.5</v>
      </c>
      <c r="G56" s="14"/>
      <c r="H56" s="9"/>
    </row>
    <row r="57" spans="3:8" x14ac:dyDescent="0.25">
      <c r="C57" s="8"/>
      <c r="D57" s="2" t="s">
        <v>9862</v>
      </c>
      <c r="E57" s="122" t="s">
        <v>9151</v>
      </c>
      <c r="F57" s="4"/>
      <c r="G57" s="14">
        <v>177.5</v>
      </c>
      <c r="H57" s="9"/>
    </row>
    <row r="58" spans="3:8" x14ac:dyDescent="0.25">
      <c r="C58" s="8"/>
      <c r="D58" s="2" t="s">
        <v>9863</v>
      </c>
      <c r="E58" s="122" t="s">
        <v>6092</v>
      </c>
      <c r="F58" s="4"/>
      <c r="G58" s="14"/>
      <c r="H58" s="9">
        <v>46</v>
      </c>
    </row>
    <row r="59" spans="3:8" x14ac:dyDescent="0.25">
      <c r="C59" s="8"/>
      <c r="D59" s="2" t="s">
        <v>9866</v>
      </c>
      <c r="E59" s="122" t="s">
        <v>8151</v>
      </c>
      <c r="F59" s="4"/>
      <c r="G59" s="14">
        <v>15188</v>
      </c>
      <c r="H59" s="9"/>
    </row>
    <row r="60" spans="3:8" x14ac:dyDescent="0.25">
      <c r="C60" s="8"/>
      <c r="D60" s="2" t="s">
        <v>9867</v>
      </c>
      <c r="E60" s="122" t="s">
        <v>6092</v>
      </c>
      <c r="F60" s="4"/>
      <c r="G60" s="14"/>
      <c r="H60" s="9">
        <v>10</v>
      </c>
    </row>
    <row r="61" spans="3:8" x14ac:dyDescent="0.25">
      <c r="C61" s="8"/>
      <c r="D61" s="2" t="s">
        <v>9868</v>
      </c>
      <c r="E61" s="122" t="s">
        <v>6092</v>
      </c>
      <c r="F61" s="4"/>
      <c r="G61" s="14"/>
      <c r="H61" s="9">
        <v>17.5</v>
      </c>
    </row>
    <row r="62" spans="3:8" x14ac:dyDescent="0.25">
      <c r="C62" s="8"/>
      <c r="D62" s="2" t="s">
        <v>9881</v>
      </c>
      <c r="E62" s="122" t="s">
        <v>5911</v>
      </c>
      <c r="F62" s="4"/>
      <c r="G62" s="14">
        <v>6500</v>
      </c>
      <c r="H62" s="9"/>
    </row>
    <row r="63" spans="3:8" x14ac:dyDescent="0.25">
      <c r="C63" s="8"/>
      <c r="D63" s="2" t="s">
        <v>9902</v>
      </c>
      <c r="E63" s="122"/>
      <c r="F63" s="4"/>
      <c r="G63" s="14"/>
      <c r="H63" s="9"/>
    </row>
    <row r="64" spans="3:8" x14ac:dyDescent="0.25">
      <c r="C64" s="8"/>
      <c r="D64" s="2"/>
      <c r="E64" s="122"/>
      <c r="F64" s="4"/>
      <c r="G64" s="14"/>
      <c r="H64" s="9"/>
    </row>
    <row r="65" spans="3:8" x14ac:dyDescent="0.25">
      <c r="C65" s="8"/>
      <c r="D65" s="2"/>
      <c r="E65" s="12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9814</v>
      </c>
      <c r="E68" s="2" t="s">
        <v>4411</v>
      </c>
      <c r="F68" s="109"/>
      <c r="G68" s="113"/>
      <c r="H68" s="112">
        <v>5.5</v>
      </c>
    </row>
    <row r="69" spans="3:8" x14ac:dyDescent="0.25">
      <c r="C69" s="8"/>
      <c r="D69" s="2" t="s">
        <v>9849</v>
      </c>
      <c r="E69" s="2" t="s">
        <v>9848</v>
      </c>
      <c r="F69" s="109"/>
      <c r="G69" s="113"/>
      <c r="H69" s="112">
        <v>1775.5</v>
      </c>
    </row>
    <row r="70" spans="3:8" x14ac:dyDescent="0.25">
      <c r="C70" s="8"/>
      <c r="D70" s="2" t="s">
        <v>9869</v>
      </c>
      <c r="E70" s="2" t="s">
        <v>4666</v>
      </c>
      <c r="F70" s="109"/>
      <c r="G70" s="113"/>
      <c r="H70" s="112">
        <v>920</v>
      </c>
    </row>
    <row r="71" spans="3:8" x14ac:dyDescent="0.25">
      <c r="C71" s="8"/>
      <c r="D71" s="2"/>
      <c r="E71" s="2"/>
      <c r="F71" s="109"/>
      <c r="G71" s="113"/>
      <c r="H71" s="112"/>
    </row>
    <row r="72" spans="3:8" x14ac:dyDescent="0.25">
      <c r="C72" s="8"/>
      <c r="D72" s="2"/>
      <c r="E72" s="2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16"/>
      <c r="D75" s="17"/>
      <c r="E75" s="17" t="s">
        <v>39</v>
      </c>
      <c r="F75" s="4"/>
      <c r="G75" s="14"/>
      <c r="H75" s="9"/>
    </row>
    <row r="76" spans="3:8" x14ac:dyDescent="0.25">
      <c r="C76" s="8"/>
      <c r="D76" s="2"/>
      <c r="E76" s="68" t="s">
        <v>9865</v>
      </c>
      <c r="F76" s="35">
        <v>80</v>
      </c>
      <c r="G76" s="14"/>
      <c r="H76" s="9"/>
    </row>
    <row r="77" spans="3:8" x14ac:dyDescent="0.25">
      <c r="C77" s="8"/>
      <c r="D77" s="2"/>
      <c r="E77" s="68"/>
      <c r="F77" s="35"/>
      <c r="G77" s="14"/>
      <c r="H77" s="9"/>
    </row>
    <row r="78" spans="3:8" x14ac:dyDescent="0.25">
      <c r="C78" s="8"/>
      <c r="D78" s="2"/>
      <c r="E78" s="68"/>
      <c r="F78" s="35"/>
      <c r="G78" s="14"/>
      <c r="H78" s="9"/>
    </row>
    <row r="79" spans="3:8" x14ac:dyDescent="0.25">
      <c r="C79" s="8"/>
      <c r="D79" s="2"/>
      <c r="E79" s="76"/>
      <c r="F79" s="35"/>
      <c r="G79" s="14"/>
      <c r="H79" s="9"/>
    </row>
    <row r="80" spans="3:8" x14ac:dyDescent="0.25">
      <c r="C80" s="8"/>
      <c r="D80" s="2"/>
      <c r="E80" s="76"/>
      <c r="F80" s="35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9"/>
      <c r="D82" s="20"/>
      <c r="E82" s="20" t="s">
        <v>42</v>
      </c>
      <c r="F82" s="14"/>
      <c r="G82" s="14"/>
      <c r="H82" s="9"/>
    </row>
    <row r="83" spans="3:8" x14ac:dyDescent="0.25">
      <c r="C83" s="34"/>
      <c r="D83" s="139"/>
      <c r="E83" s="118" t="s">
        <v>9343</v>
      </c>
      <c r="F83" s="14">
        <v>-355</v>
      </c>
      <c r="G83" s="14"/>
      <c r="H83" s="9"/>
    </row>
    <row r="84" spans="3:8" x14ac:dyDescent="0.25">
      <c r="C84" s="34"/>
      <c r="D84" s="139"/>
      <c r="E84" s="118" t="s">
        <v>9847</v>
      </c>
      <c r="F84" s="14">
        <v>-200</v>
      </c>
      <c r="G84" s="14"/>
      <c r="H84" s="9"/>
    </row>
    <row r="85" spans="3:8" x14ac:dyDescent="0.25">
      <c r="C85" s="34"/>
      <c r="D85" s="139"/>
      <c r="E85" s="118" t="s">
        <v>9850</v>
      </c>
      <c r="F85" s="14">
        <v>-1785</v>
      </c>
      <c r="G85" s="14"/>
      <c r="H85" s="9"/>
    </row>
    <row r="86" spans="3:8" x14ac:dyDescent="0.25">
      <c r="C86" s="34"/>
      <c r="D86" s="139"/>
      <c r="E86" s="118" t="s">
        <v>4706</v>
      </c>
      <c r="F86" s="14">
        <v>-100</v>
      </c>
      <c r="G86" s="14"/>
      <c r="H86" s="9"/>
    </row>
    <row r="87" spans="3:8" x14ac:dyDescent="0.25">
      <c r="C87" s="34"/>
      <c r="D87" s="139" t="s">
        <v>1847</v>
      </c>
      <c r="E87" s="118" t="s">
        <v>9870</v>
      </c>
      <c r="F87" s="14">
        <v>-70</v>
      </c>
      <c r="G87" s="14"/>
      <c r="H87" s="9"/>
    </row>
    <row r="88" spans="3:8" x14ac:dyDescent="0.25">
      <c r="C88" s="34"/>
      <c r="D88" s="45"/>
      <c r="E88" s="118" t="s">
        <v>9878</v>
      </c>
      <c r="F88" s="14">
        <v>-320</v>
      </c>
      <c r="G88" s="14"/>
      <c r="H88" s="9"/>
    </row>
    <row r="89" spans="3:8" x14ac:dyDescent="0.25">
      <c r="C89" s="34"/>
      <c r="D89" s="45"/>
      <c r="E89" s="118" t="s">
        <v>1274</v>
      </c>
      <c r="F89" s="14">
        <v>-5243.56</v>
      </c>
      <c r="G89" s="14"/>
      <c r="H89" s="9"/>
    </row>
    <row r="90" spans="3:8" x14ac:dyDescent="0.25">
      <c r="C90" s="34"/>
      <c r="D90" s="45"/>
      <c r="E90" s="118" t="s">
        <v>9039</v>
      </c>
      <c r="F90" s="14">
        <v>-175</v>
      </c>
      <c r="G90" s="14"/>
      <c r="H90" s="9"/>
    </row>
    <row r="91" spans="3:8" x14ac:dyDescent="0.25">
      <c r="C91" s="34"/>
      <c r="D91" s="45"/>
      <c r="E91" s="118" t="s">
        <v>9882</v>
      </c>
      <c r="F91" s="14">
        <v>-40</v>
      </c>
      <c r="G91" s="14"/>
      <c r="H91" s="9"/>
    </row>
    <row r="92" spans="3:8" x14ac:dyDescent="0.25">
      <c r="C92" s="34"/>
      <c r="D92" s="45"/>
      <c r="E92" s="118" t="s">
        <v>9883</v>
      </c>
      <c r="F92" s="14">
        <v>-30</v>
      </c>
      <c r="G92" s="14"/>
      <c r="H92" s="9"/>
    </row>
    <row r="93" spans="3:8" x14ac:dyDescent="0.25">
      <c r="C93" s="34"/>
      <c r="D93" s="45"/>
      <c r="E93" s="118"/>
      <c r="F93" s="14"/>
      <c r="G93" s="14"/>
      <c r="H93" s="9"/>
    </row>
    <row r="94" spans="3:8" x14ac:dyDescent="0.25">
      <c r="C94" s="34"/>
      <c r="D94" s="45"/>
      <c r="E94" s="68"/>
      <c r="F94" s="1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SUM(F9:F94)</f>
        <v>2492.9399999999996</v>
      </c>
      <c r="G95" s="15">
        <f>SUM(G9:G94)</f>
        <v>33296.5</v>
      </c>
      <c r="H95" s="13">
        <f>SUM(H9:H94)</f>
        <v>6644</v>
      </c>
    </row>
    <row r="98" spans="5:6" ht="21" x14ac:dyDescent="0.3">
      <c r="E98" s="119" t="s">
        <v>49</v>
      </c>
      <c r="F98" s="120">
        <f>H7+F95</f>
        <v>17309.009999999998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AC75-5CBD-467F-AC04-08AEA33D4C30}">
  <sheetPr codeName="Hoja129"/>
  <dimension ref="C5:H98"/>
  <sheetViews>
    <sheetView topLeftCell="A67" workbookViewId="0">
      <selection activeCell="F98" sqref="F98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19.85546875" customWidth="1"/>
  </cols>
  <sheetData>
    <row r="5" spans="3:8" ht="15.75" thickBot="1" x14ac:dyDescent="0.3"/>
    <row r="6" spans="3:8" x14ac:dyDescent="0.25">
      <c r="C6" s="143" t="s">
        <v>9885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17309.009999999998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9888</v>
      </c>
      <c r="E9" s="122" t="s">
        <v>9455</v>
      </c>
      <c r="F9" s="109">
        <v>400</v>
      </c>
      <c r="G9" s="113"/>
      <c r="H9" s="112">
        <v>5</v>
      </c>
    </row>
    <row r="10" spans="3:8" x14ac:dyDescent="0.25">
      <c r="C10" s="136"/>
      <c r="D10" s="2" t="s">
        <v>9889</v>
      </c>
      <c r="E10" s="122" t="s">
        <v>6751</v>
      </c>
      <c r="F10" s="109"/>
      <c r="G10" s="113"/>
      <c r="H10" s="112">
        <v>220</v>
      </c>
    </row>
    <row r="11" spans="3:8" x14ac:dyDescent="0.25">
      <c r="C11" s="24"/>
      <c r="D11" s="2" t="s">
        <v>9890</v>
      </c>
      <c r="E11" s="122" t="s">
        <v>5678</v>
      </c>
      <c r="F11" s="109">
        <v>1</v>
      </c>
      <c r="G11" s="113"/>
      <c r="H11" s="112"/>
    </row>
    <row r="12" spans="3:8" x14ac:dyDescent="0.25">
      <c r="C12" s="8"/>
      <c r="D12" s="2" t="s">
        <v>9891</v>
      </c>
      <c r="E12" s="122" t="s">
        <v>5678</v>
      </c>
      <c r="F12" s="4">
        <v>96</v>
      </c>
      <c r="G12" s="14"/>
      <c r="H12" s="9"/>
    </row>
    <row r="13" spans="3:8" x14ac:dyDescent="0.25">
      <c r="C13" s="8"/>
      <c r="D13" s="2" t="s">
        <v>9892</v>
      </c>
      <c r="E13" s="122" t="s">
        <v>5678</v>
      </c>
      <c r="F13" s="4">
        <v>4.5</v>
      </c>
      <c r="G13" s="14"/>
      <c r="H13" s="9"/>
    </row>
    <row r="14" spans="3:8" x14ac:dyDescent="0.25">
      <c r="C14" s="8"/>
      <c r="D14" s="2" t="s">
        <v>9893</v>
      </c>
      <c r="E14" s="122" t="s">
        <v>9901</v>
      </c>
      <c r="F14" s="4">
        <v>18</v>
      </c>
      <c r="G14" s="14"/>
      <c r="H14" s="9"/>
    </row>
    <row r="15" spans="3:8" x14ac:dyDescent="0.25">
      <c r="C15" s="8"/>
      <c r="D15" s="2" t="s">
        <v>9894</v>
      </c>
      <c r="E15" s="122" t="s">
        <v>7126</v>
      </c>
      <c r="F15" s="4"/>
      <c r="G15" s="14">
        <v>1257</v>
      </c>
      <c r="H15" s="9"/>
    </row>
    <row r="16" spans="3:8" x14ac:dyDescent="0.25">
      <c r="C16" s="8"/>
      <c r="D16" s="2" t="s">
        <v>9895</v>
      </c>
      <c r="E16" s="122" t="s">
        <v>5678</v>
      </c>
      <c r="F16" s="4"/>
      <c r="G16" s="14"/>
      <c r="H16" s="9">
        <v>22.5</v>
      </c>
    </row>
    <row r="17" spans="3:8" x14ac:dyDescent="0.25">
      <c r="C17" s="8"/>
      <c r="D17" s="2" t="s">
        <v>9896</v>
      </c>
      <c r="E17" s="140" t="s">
        <v>9116</v>
      </c>
      <c r="F17" s="4"/>
      <c r="G17" s="14"/>
      <c r="H17" s="9">
        <v>45</v>
      </c>
    </row>
    <row r="18" spans="3:8" x14ac:dyDescent="0.25">
      <c r="C18" s="8"/>
      <c r="D18" s="2" t="s">
        <v>9897</v>
      </c>
      <c r="E18" s="122" t="s">
        <v>5678</v>
      </c>
      <c r="F18" s="4">
        <v>6</v>
      </c>
      <c r="G18" s="14"/>
      <c r="H18" s="9"/>
    </row>
    <row r="19" spans="3:8" x14ac:dyDescent="0.25">
      <c r="C19" s="8"/>
      <c r="D19" s="2" t="s">
        <v>9898</v>
      </c>
      <c r="E19" s="122" t="s">
        <v>5678</v>
      </c>
      <c r="F19" s="4">
        <v>14.5</v>
      </c>
      <c r="G19" s="14"/>
      <c r="H19" s="9"/>
    </row>
    <row r="20" spans="3:8" x14ac:dyDescent="0.25">
      <c r="C20" s="8"/>
      <c r="D20" s="2" t="s">
        <v>9899</v>
      </c>
      <c r="E20" s="122" t="s">
        <v>5678</v>
      </c>
      <c r="F20" s="4">
        <v>1</v>
      </c>
      <c r="G20" s="14"/>
      <c r="H20" s="9"/>
    </row>
    <row r="21" spans="3:8" x14ac:dyDescent="0.25">
      <c r="C21" s="8"/>
      <c r="D21" s="2" t="s">
        <v>9900</v>
      </c>
      <c r="E21" s="122" t="s">
        <v>5678</v>
      </c>
      <c r="F21" s="4">
        <v>14</v>
      </c>
      <c r="G21" s="14"/>
      <c r="H21" s="9"/>
    </row>
    <row r="22" spans="3:8" x14ac:dyDescent="0.25">
      <c r="C22" s="8"/>
      <c r="D22" s="2" t="s">
        <v>9912</v>
      </c>
      <c r="E22" s="122" t="s">
        <v>5678</v>
      </c>
      <c r="F22" s="4">
        <v>140</v>
      </c>
      <c r="G22" s="14"/>
      <c r="H22" s="9"/>
    </row>
    <row r="23" spans="3:8" x14ac:dyDescent="0.25">
      <c r="C23" s="8"/>
      <c r="D23" s="2" t="s">
        <v>9914</v>
      </c>
      <c r="E23" s="122" t="s">
        <v>5678</v>
      </c>
      <c r="F23" s="4">
        <v>14</v>
      </c>
      <c r="G23" s="14"/>
      <c r="H23" s="9"/>
    </row>
    <row r="24" spans="3:8" x14ac:dyDescent="0.25">
      <c r="C24" s="8"/>
      <c r="D24" s="2" t="s">
        <v>9915</v>
      </c>
      <c r="E24" s="122" t="s">
        <v>5678</v>
      </c>
      <c r="F24" s="4">
        <v>30</v>
      </c>
      <c r="G24" s="14"/>
      <c r="H24" s="9"/>
    </row>
    <row r="25" spans="3:8" x14ac:dyDescent="0.25">
      <c r="C25" s="8"/>
      <c r="D25" s="2" t="s">
        <v>9916</v>
      </c>
      <c r="E25" s="122" t="s">
        <v>5678</v>
      </c>
      <c r="F25" s="4"/>
      <c r="G25" s="14"/>
      <c r="H25" s="9">
        <v>30</v>
      </c>
    </row>
    <row r="26" spans="3:8" x14ac:dyDescent="0.25">
      <c r="C26" s="8"/>
      <c r="D26" s="2" t="s">
        <v>9922</v>
      </c>
      <c r="E26" s="122" t="s">
        <v>6166</v>
      </c>
      <c r="F26" s="4">
        <v>1364</v>
      </c>
      <c r="G26" s="14"/>
      <c r="H26" s="9"/>
    </row>
    <row r="27" spans="3:8" x14ac:dyDescent="0.25">
      <c r="C27" s="8"/>
      <c r="D27" s="2" t="s">
        <v>9923</v>
      </c>
      <c r="E27" s="122" t="s">
        <v>5678</v>
      </c>
      <c r="F27" s="4"/>
      <c r="G27" s="14"/>
      <c r="H27" s="9">
        <v>11</v>
      </c>
    </row>
    <row r="28" spans="3:8" x14ac:dyDescent="0.25">
      <c r="C28" s="8"/>
      <c r="D28" s="2" t="s">
        <v>9928</v>
      </c>
      <c r="E28" s="122" t="s">
        <v>5678</v>
      </c>
      <c r="F28" s="4">
        <v>24.5</v>
      </c>
      <c r="G28" s="14"/>
      <c r="H28" s="9"/>
    </row>
    <row r="29" spans="3:8" x14ac:dyDescent="0.25">
      <c r="C29" s="8"/>
      <c r="D29" s="2" t="s">
        <v>9929</v>
      </c>
      <c r="E29" s="122" t="s">
        <v>5678</v>
      </c>
      <c r="F29" s="4"/>
      <c r="G29" s="14"/>
      <c r="H29" s="9">
        <v>22</v>
      </c>
    </row>
    <row r="30" spans="3:8" x14ac:dyDescent="0.25">
      <c r="C30" s="8"/>
      <c r="D30" s="2" t="s">
        <v>9930</v>
      </c>
      <c r="E30" s="122" t="s">
        <v>6166</v>
      </c>
      <c r="F30" s="4"/>
      <c r="G30" s="14">
        <v>102</v>
      </c>
      <c r="H30" s="9"/>
    </row>
    <row r="31" spans="3:8" x14ac:dyDescent="0.25">
      <c r="C31" s="8"/>
      <c r="D31" s="2" t="s">
        <v>9931</v>
      </c>
      <c r="E31" s="122" t="s">
        <v>5678</v>
      </c>
      <c r="F31" s="4">
        <v>9</v>
      </c>
      <c r="G31" s="14"/>
      <c r="H31" s="9"/>
    </row>
    <row r="32" spans="3:8" x14ac:dyDescent="0.25">
      <c r="C32" s="8"/>
      <c r="D32" s="2" t="s">
        <v>9932</v>
      </c>
      <c r="E32" s="122" t="s">
        <v>5678</v>
      </c>
      <c r="F32" s="4">
        <v>12.5</v>
      </c>
      <c r="G32" s="14"/>
      <c r="H32" s="9"/>
    </row>
    <row r="33" spans="3:8" x14ac:dyDescent="0.25">
      <c r="C33" s="8"/>
      <c r="D33" s="2" t="s">
        <v>9933</v>
      </c>
      <c r="E33" s="122" t="s">
        <v>5678</v>
      </c>
      <c r="F33" s="4"/>
      <c r="G33" s="14"/>
      <c r="H33" s="9">
        <v>34</v>
      </c>
    </row>
    <row r="34" spans="3:8" x14ac:dyDescent="0.25">
      <c r="C34" s="8"/>
      <c r="D34" s="2" t="s">
        <v>9938</v>
      </c>
      <c r="E34" s="122" t="s">
        <v>5678</v>
      </c>
      <c r="F34" s="4">
        <v>6</v>
      </c>
      <c r="G34" s="14"/>
      <c r="H34" s="9"/>
    </row>
    <row r="35" spans="3:8" x14ac:dyDescent="0.25">
      <c r="C35" s="8"/>
      <c r="D35" s="2" t="s">
        <v>9939</v>
      </c>
      <c r="E35" s="122" t="s">
        <v>9942</v>
      </c>
      <c r="F35" s="4"/>
      <c r="G35" s="14"/>
      <c r="H35" s="9">
        <v>184.5</v>
      </c>
    </row>
    <row r="36" spans="3:8" x14ac:dyDescent="0.25">
      <c r="C36" s="8"/>
      <c r="D36" s="2" t="s">
        <v>9940</v>
      </c>
      <c r="E36" s="122" t="s">
        <v>5678</v>
      </c>
      <c r="F36" s="4"/>
      <c r="G36" s="14"/>
      <c r="H36" s="9">
        <v>21</v>
      </c>
    </row>
    <row r="37" spans="3:8" x14ac:dyDescent="0.25">
      <c r="C37" s="8"/>
      <c r="D37" s="2" t="s">
        <v>9941</v>
      </c>
      <c r="E37" s="122" t="s">
        <v>8740</v>
      </c>
      <c r="F37" s="4">
        <v>32</v>
      </c>
      <c r="G37" s="14"/>
      <c r="H37" s="9"/>
    </row>
    <row r="38" spans="3:8" x14ac:dyDescent="0.25">
      <c r="C38" s="8"/>
      <c r="D38" s="2" t="s">
        <v>9963</v>
      </c>
      <c r="E38" s="122"/>
      <c r="F38" s="4"/>
      <c r="G38" s="14"/>
      <c r="H38" s="9"/>
    </row>
    <row r="39" spans="3:8" x14ac:dyDescent="0.25">
      <c r="C39" s="8"/>
      <c r="D39" s="2"/>
      <c r="E39" s="122"/>
      <c r="F39" s="4"/>
      <c r="G39" s="14"/>
      <c r="H39" s="9"/>
    </row>
    <row r="40" spans="3:8" x14ac:dyDescent="0.25">
      <c r="C40" s="8"/>
      <c r="D40" s="2"/>
      <c r="E40" s="122"/>
      <c r="F40" s="4"/>
      <c r="G40" s="14"/>
      <c r="H40" s="9"/>
    </row>
    <row r="41" spans="3:8" x14ac:dyDescent="0.25">
      <c r="C41" s="8"/>
      <c r="D41" s="2"/>
      <c r="E41" s="122"/>
      <c r="F41" s="4"/>
      <c r="G41" s="14"/>
      <c r="H41" s="9"/>
    </row>
    <row r="42" spans="3:8" x14ac:dyDescent="0.25">
      <c r="C42" s="8"/>
      <c r="D42" s="2" t="s">
        <v>9902</v>
      </c>
      <c r="E42" s="122" t="s">
        <v>5847</v>
      </c>
      <c r="F42" s="4">
        <v>15</v>
      </c>
      <c r="G42" s="14"/>
      <c r="H42" s="9"/>
    </row>
    <row r="43" spans="3:8" x14ac:dyDescent="0.25">
      <c r="C43" s="8"/>
      <c r="D43" s="2" t="s">
        <v>9903</v>
      </c>
      <c r="E43" s="122" t="s">
        <v>9093</v>
      </c>
      <c r="F43" s="4">
        <v>55</v>
      </c>
      <c r="G43" s="14"/>
      <c r="H43" s="9"/>
    </row>
    <row r="44" spans="3:8" x14ac:dyDescent="0.25">
      <c r="C44" s="8"/>
      <c r="D44" s="2" t="s">
        <v>9904</v>
      </c>
      <c r="E44" s="122" t="s">
        <v>8740</v>
      </c>
      <c r="F44" s="4">
        <v>80.5</v>
      </c>
      <c r="G44" s="14"/>
      <c r="H44" s="9"/>
    </row>
    <row r="45" spans="3:8" x14ac:dyDescent="0.25">
      <c r="C45" s="8"/>
      <c r="D45" s="2" t="s">
        <v>9905</v>
      </c>
      <c r="E45" s="122" t="s">
        <v>9913</v>
      </c>
      <c r="F45" s="4"/>
      <c r="G45" s="14"/>
      <c r="H45" s="9">
        <v>170</v>
      </c>
    </row>
    <row r="46" spans="3:8" x14ac:dyDescent="0.25">
      <c r="C46" s="8"/>
      <c r="D46" s="2" t="s">
        <v>9906</v>
      </c>
      <c r="E46" s="122" t="s">
        <v>5847</v>
      </c>
      <c r="F46" s="4">
        <v>11</v>
      </c>
      <c r="G46" s="14"/>
      <c r="H46" s="9"/>
    </row>
    <row r="47" spans="3:8" x14ac:dyDescent="0.25">
      <c r="C47" s="8"/>
      <c r="D47" s="2" t="s">
        <v>9907</v>
      </c>
      <c r="E47" s="122" t="s">
        <v>8740</v>
      </c>
      <c r="F47" s="4">
        <v>8</v>
      </c>
      <c r="G47" s="14"/>
      <c r="H47" s="9"/>
    </row>
    <row r="48" spans="3:8" x14ac:dyDescent="0.25">
      <c r="C48" s="8"/>
      <c r="D48" s="2" t="s">
        <v>9908</v>
      </c>
      <c r="E48" s="122" t="s">
        <v>5847</v>
      </c>
      <c r="F48" s="4">
        <v>11</v>
      </c>
      <c r="G48" s="14"/>
      <c r="H48" s="9"/>
    </row>
    <row r="49" spans="3:8" x14ac:dyDescent="0.25">
      <c r="C49" s="8"/>
      <c r="D49" s="2" t="s">
        <v>9909</v>
      </c>
      <c r="E49" s="122" t="s">
        <v>7161</v>
      </c>
      <c r="F49" s="4">
        <v>2934</v>
      </c>
      <c r="G49" s="14"/>
      <c r="H49" s="9">
        <v>966</v>
      </c>
    </row>
    <row r="50" spans="3:8" x14ac:dyDescent="0.25">
      <c r="C50" s="8"/>
      <c r="D50" s="2" t="s">
        <v>9910</v>
      </c>
      <c r="E50" s="122" t="s">
        <v>8151</v>
      </c>
      <c r="F50" s="4"/>
      <c r="G50" s="14">
        <v>5678.1</v>
      </c>
      <c r="H50" s="9"/>
    </row>
    <row r="51" spans="3:8" x14ac:dyDescent="0.25">
      <c r="C51" s="8"/>
      <c r="D51" s="2" t="s">
        <v>9911</v>
      </c>
      <c r="E51" s="122" t="s">
        <v>5847</v>
      </c>
      <c r="F51" s="4">
        <v>11</v>
      </c>
      <c r="G51" s="14"/>
      <c r="H51" s="9"/>
    </row>
    <row r="52" spans="3:8" x14ac:dyDescent="0.25">
      <c r="C52" s="8"/>
      <c r="D52" s="2" t="s">
        <v>9924</v>
      </c>
      <c r="E52" s="122" t="s">
        <v>5847</v>
      </c>
      <c r="F52" s="4">
        <v>20</v>
      </c>
      <c r="G52" s="14"/>
      <c r="H52" s="9"/>
    </row>
    <row r="53" spans="3:8" x14ac:dyDescent="0.25">
      <c r="C53" s="8"/>
      <c r="D53" s="2" t="s">
        <v>9925</v>
      </c>
      <c r="E53" s="122" t="s">
        <v>5847</v>
      </c>
      <c r="F53" s="4">
        <v>1</v>
      </c>
      <c r="G53" s="14"/>
      <c r="H53" s="9"/>
    </row>
    <row r="54" spans="3:8" x14ac:dyDescent="0.25">
      <c r="C54" s="8"/>
      <c r="D54" s="2" t="s">
        <v>9926</v>
      </c>
      <c r="E54" s="122" t="s">
        <v>5847</v>
      </c>
      <c r="F54" s="4"/>
      <c r="G54" s="14"/>
      <c r="H54" s="9">
        <v>28</v>
      </c>
    </row>
    <row r="55" spans="3:8" x14ac:dyDescent="0.25">
      <c r="C55" s="8"/>
      <c r="D55" s="2" t="s">
        <v>9934</v>
      </c>
      <c r="E55" s="122" t="s">
        <v>5847</v>
      </c>
      <c r="F55" s="4"/>
      <c r="G55" s="14"/>
      <c r="H55" s="9">
        <v>14</v>
      </c>
    </row>
    <row r="56" spans="3:8" x14ac:dyDescent="0.25">
      <c r="C56" s="8"/>
      <c r="D56" s="2" t="s">
        <v>9935</v>
      </c>
      <c r="E56" s="122" t="s">
        <v>5847</v>
      </c>
      <c r="F56" s="4">
        <v>4</v>
      </c>
      <c r="G56" s="14"/>
      <c r="H56" s="9"/>
    </row>
    <row r="57" spans="3:8" ht="13.5" customHeight="1" x14ac:dyDescent="0.25">
      <c r="C57" s="8"/>
      <c r="D57" s="2" t="s">
        <v>9936</v>
      </c>
      <c r="E57" s="122" t="s">
        <v>5847</v>
      </c>
      <c r="F57" s="4"/>
      <c r="G57" s="14"/>
      <c r="H57" s="9">
        <v>36</v>
      </c>
    </row>
    <row r="58" spans="3:8" x14ac:dyDescent="0.25">
      <c r="C58" s="8"/>
      <c r="D58" s="2" t="s">
        <v>9943</v>
      </c>
      <c r="E58" s="122" t="s">
        <v>5847</v>
      </c>
      <c r="F58" s="4">
        <v>5</v>
      </c>
      <c r="G58" s="14"/>
      <c r="H58" s="9"/>
    </row>
    <row r="59" spans="3:8" x14ac:dyDescent="0.25">
      <c r="C59" s="8"/>
      <c r="D59" s="2" t="s">
        <v>9950</v>
      </c>
      <c r="E59" s="122" t="s">
        <v>2358</v>
      </c>
      <c r="F59" s="4"/>
      <c r="G59" s="14"/>
      <c r="H59" s="9">
        <v>100.5</v>
      </c>
    </row>
    <row r="60" spans="3:8" x14ac:dyDescent="0.25">
      <c r="C60" s="8"/>
      <c r="D60" s="2" t="s">
        <v>9979</v>
      </c>
      <c r="E60" s="122"/>
      <c r="F60" s="4"/>
      <c r="G60" s="14"/>
      <c r="H60" s="9"/>
    </row>
    <row r="61" spans="3:8" x14ac:dyDescent="0.25">
      <c r="C61" s="8"/>
      <c r="D61" s="2"/>
      <c r="E61" s="122"/>
      <c r="F61" s="4"/>
      <c r="G61" s="14"/>
      <c r="H61" s="9"/>
    </row>
    <row r="62" spans="3:8" x14ac:dyDescent="0.25">
      <c r="C62" s="8"/>
      <c r="D62" s="2"/>
      <c r="E62" s="2"/>
      <c r="F62" s="4"/>
      <c r="G62" s="14"/>
      <c r="H62" s="9"/>
    </row>
    <row r="63" spans="3:8" x14ac:dyDescent="0.25">
      <c r="C63" s="29"/>
      <c r="D63" s="30"/>
      <c r="E63" s="30" t="s">
        <v>60</v>
      </c>
      <c r="F63" s="4"/>
      <c r="G63" s="14"/>
      <c r="H63" s="9"/>
    </row>
    <row r="64" spans="3:8" x14ac:dyDescent="0.25">
      <c r="C64" s="8"/>
      <c r="D64" s="2" t="s">
        <v>9886</v>
      </c>
      <c r="E64" s="2" t="s">
        <v>8515</v>
      </c>
      <c r="F64" s="109"/>
      <c r="G64" s="113"/>
      <c r="H64" s="112">
        <v>122.5</v>
      </c>
    </row>
    <row r="65" spans="3:8" x14ac:dyDescent="0.25">
      <c r="C65" s="8"/>
      <c r="D65" s="2" t="s">
        <v>9887</v>
      </c>
      <c r="E65" s="2" t="s">
        <v>4268</v>
      </c>
      <c r="F65" s="109"/>
      <c r="G65" s="113"/>
      <c r="H65" s="112">
        <v>50</v>
      </c>
    </row>
    <row r="66" spans="3:8" x14ac:dyDescent="0.25">
      <c r="C66" s="8"/>
      <c r="D66" s="2" t="s">
        <v>9955</v>
      </c>
      <c r="E66" s="2"/>
      <c r="F66" s="109"/>
      <c r="G66" s="113"/>
      <c r="H66" s="112"/>
    </row>
    <row r="67" spans="3:8" x14ac:dyDescent="0.25">
      <c r="C67" s="8"/>
      <c r="D67" s="2"/>
      <c r="E67" s="2"/>
      <c r="F67" s="109"/>
      <c r="G67" s="113"/>
      <c r="H67" s="112"/>
    </row>
    <row r="68" spans="3:8" x14ac:dyDescent="0.25">
      <c r="C68" s="8"/>
      <c r="D68" s="2"/>
      <c r="E68" s="2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16"/>
      <c r="D71" s="17"/>
      <c r="E71" s="17" t="s">
        <v>39</v>
      </c>
      <c r="F71" s="4"/>
      <c r="G71" s="14"/>
      <c r="H71" s="9"/>
    </row>
    <row r="72" spans="3:8" x14ac:dyDescent="0.25">
      <c r="C72" s="8"/>
      <c r="D72" s="2"/>
      <c r="E72" s="68" t="s">
        <v>9917</v>
      </c>
      <c r="F72" s="35">
        <v>8193.5</v>
      </c>
      <c r="G72" s="14"/>
      <c r="H72" s="9"/>
    </row>
    <row r="73" spans="3:8" x14ac:dyDescent="0.25">
      <c r="C73" s="8"/>
      <c r="D73" s="2"/>
      <c r="E73" s="68" t="s">
        <v>9918</v>
      </c>
      <c r="F73" s="35">
        <v>988.5</v>
      </c>
      <c r="G73" s="14"/>
      <c r="H73" s="9"/>
    </row>
    <row r="74" spans="3:8" x14ac:dyDescent="0.25">
      <c r="C74" s="8"/>
      <c r="D74" s="2"/>
      <c r="E74" s="68" t="s">
        <v>9919</v>
      </c>
      <c r="F74" s="35">
        <v>2</v>
      </c>
      <c r="G74" s="14"/>
      <c r="H74" s="9"/>
    </row>
    <row r="75" spans="3:8" x14ac:dyDescent="0.25">
      <c r="C75" s="8"/>
      <c r="D75" s="2"/>
      <c r="E75" s="76" t="s">
        <v>9920</v>
      </c>
      <c r="F75" s="35">
        <v>15188</v>
      </c>
      <c r="G75" s="14"/>
      <c r="H75" s="9"/>
    </row>
    <row r="76" spans="3:8" x14ac:dyDescent="0.25">
      <c r="C76" s="8"/>
      <c r="D76" s="2"/>
      <c r="E76" s="76" t="s">
        <v>9946</v>
      </c>
      <c r="F76" s="35">
        <v>117</v>
      </c>
      <c r="G76" s="14"/>
      <c r="H76" s="9"/>
    </row>
    <row r="77" spans="3:8" x14ac:dyDescent="0.25">
      <c r="C77" s="8"/>
      <c r="D77" s="2"/>
      <c r="E77" s="76" t="s">
        <v>9947</v>
      </c>
      <c r="F77" s="35">
        <v>20</v>
      </c>
      <c r="G77" s="14"/>
      <c r="H77" s="9"/>
    </row>
    <row r="78" spans="3:8" x14ac:dyDescent="0.25">
      <c r="C78" s="8"/>
      <c r="D78" s="2"/>
      <c r="E78" s="76" t="s">
        <v>9948</v>
      </c>
      <c r="F78" s="35">
        <v>177.5</v>
      </c>
      <c r="G78" s="14"/>
      <c r="H78" s="9"/>
    </row>
    <row r="79" spans="3:8" x14ac:dyDescent="0.25">
      <c r="C79" s="8"/>
      <c r="D79" s="2"/>
      <c r="E79" s="76" t="s">
        <v>9949</v>
      </c>
      <c r="F79" s="35">
        <v>38</v>
      </c>
      <c r="G79" s="14"/>
      <c r="H79" s="9"/>
    </row>
    <row r="80" spans="3:8" x14ac:dyDescent="0.25">
      <c r="C80" s="8"/>
      <c r="D80" s="2"/>
      <c r="E80" s="76"/>
      <c r="F80" s="35"/>
      <c r="G80" s="14"/>
      <c r="H80" s="9"/>
    </row>
    <row r="81" spans="3:8" x14ac:dyDescent="0.25">
      <c r="C81" s="8"/>
      <c r="D81" s="2"/>
      <c r="E81" s="2"/>
      <c r="F81" s="4"/>
      <c r="G81" s="14"/>
      <c r="H81" s="9"/>
    </row>
    <row r="82" spans="3:8" x14ac:dyDescent="0.25">
      <c r="C82" s="19"/>
      <c r="D82" s="20"/>
      <c r="E82" s="20" t="s">
        <v>42</v>
      </c>
      <c r="F82" s="14"/>
      <c r="G82" s="14"/>
      <c r="H82" s="9"/>
    </row>
    <row r="83" spans="3:8" x14ac:dyDescent="0.25">
      <c r="C83" s="34"/>
      <c r="D83" s="139"/>
      <c r="E83" s="118" t="s">
        <v>9724</v>
      </c>
      <c r="F83" s="14">
        <v>-684</v>
      </c>
      <c r="G83" s="14"/>
      <c r="H83" s="9"/>
    </row>
    <row r="84" spans="3:8" x14ac:dyDescent="0.25">
      <c r="C84" s="34"/>
      <c r="D84" s="139"/>
      <c r="E84" s="118" t="s">
        <v>9921</v>
      </c>
      <c r="F84" s="14">
        <v>-24481.4</v>
      </c>
      <c r="G84" s="14"/>
      <c r="H84" s="9"/>
    </row>
    <row r="85" spans="3:8" x14ac:dyDescent="0.25">
      <c r="C85" s="34"/>
      <c r="D85" s="139"/>
      <c r="E85" s="118" t="s">
        <v>9927</v>
      </c>
      <c r="F85" s="14">
        <v>-486</v>
      </c>
      <c r="G85" s="14"/>
      <c r="H85" s="9"/>
    </row>
    <row r="86" spans="3:8" x14ac:dyDescent="0.25">
      <c r="C86" s="34"/>
      <c r="D86" s="139"/>
      <c r="E86" s="118" t="s">
        <v>9937</v>
      </c>
      <c r="F86" s="14">
        <v>-120</v>
      </c>
      <c r="G86" s="14"/>
      <c r="H86" s="9"/>
    </row>
    <row r="87" spans="3:8" x14ac:dyDescent="0.25">
      <c r="C87" s="34"/>
      <c r="D87" s="139"/>
      <c r="E87" s="118" t="s">
        <v>1274</v>
      </c>
      <c r="F87" s="14">
        <v>-4535</v>
      </c>
      <c r="G87" s="14"/>
      <c r="H87" s="9"/>
    </row>
    <row r="88" spans="3:8" x14ac:dyDescent="0.25">
      <c r="C88" s="34"/>
      <c r="D88" s="45"/>
      <c r="E88" s="118" t="s">
        <v>9372</v>
      </c>
      <c r="F88" s="14">
        <v>-20</v>
      </c>
      <c r="G88" s="14"/>
      <c r="H88" s="9"/>
    </row>
    <row r="89" spans="3:8" x14ac:dyDescent="0.25">
      <c r="C89" s="34"/>
      <c r="D89" s="45"/>
      <c r="E89" s="118" t="s">
        <v>9944</v>
      </c>
      <c r="F89" s="14">
        <v>-2269.8000000000002</v>
      </c>
      <c r="G89" s="14"/>
      <c r="H89" s="9"/>
    </row>
    <row r="90" spans="3:8" x14ac:dyDescent="0.25">
      <c r="C90" s="34"/>
      <c r="D90" s="45"/>
      <c r="E90" s="118" t="s">
        <v>9945</v>
      </c>
      <c r="F90" s="14">
        <v>-2000</v>
      </c>
      <c r="G90" s="14"/>
      <c r="H90" s="9"/>
    </row>
    <row r="91" spans="3:8" x14ac:dyDescent="0.25">
      <c r="C91" s="34"/>
      <c r="D91" s="45"/>
      <c r="E91" s="118" t="s">
        <v>9951</v>
      </c>
      <c r="F91" s="14">
        <v>-400</v>
      </c>
      <c r="G91" s="14"/>
      <c r="H91" s="9"/>
    </row>
    <row r="92" spans="3:8" x14ac:dyDescent="0.25">
      <c r="C92" s="34"/>
      <c r="D92" s="45"/>
      <c r="E92" s="118" t="s">
        <v>9953</v>
      </c>
      <c r="F92" s="14">
        <v>-345.1</v>
      </c>
      <c r="G92" s="14"/>
      <c r="H92" s="9"/>
    </row>
    <row r="93" spans="3:8" x14ac:dyDescent="0.25">
      <c r="C93" s="34"/>
      <c r="D93" s="45"/>
      <c r="E93" s="118" t="s">
        <v>9952</v>
      </c>
      <c r="F93" s="14">
        <v>-173.5</v>
      </c>
      <c r="G93" s="14"/>
      <c r="H93" s="9"/>
    </row>
    <row r="94" spans="3:8" x14ac:dyDescent="0.25">
      <c r="C94" s="34"/>
      <c r="D94" s="45"/>
      <c r="E94" s="68"/>
      <c r="F94" s="14"/>
      <c r="G94" s="14"/>
      <c r="H94" s="9"/>
    </row>
    <row r="95" spans="3:8" ht="15.75" thickBot="1" x14ac:dyDescent="0.3">
      <c r="C95" s="10"/>
      <c r="D95" s="11"/>
      <c r="E95" s="11" t="s">
        <v>44</v>
      </c>
      <c r="F95" s="12">
        <f>SUM(F9:F94)</f>
        <v>-5447.800000000002</v>
      </c>
      <c r="G95" s="15">
        <f>SUM(G9:G94)</f>
        <v>7037.1</v>
      </c>
      <c r="H95" s="13">
        <f>SUM(H9:H94)</f>
        <v>2082</v>
      </c>
    </row>
    <row r="98" spans="5:6" ht="21" x14ac:dyDescent="0.3">
      <c r="E98" s="119" t="s">
        <v>49</v>
      </c>
      <c r="F98" s="120">
        <f>H7+F95</f>
        <v>11861.209999999995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76D3-9EE2-4E6A-8D24-FEA849259931}">
  <sheetPr codeName="Hoja130"/>
  <dimension ref="C5:H89"/>
  <sheetViews>
    <sheetView topLeftCell="A57" workbookViewId="0">
      <selection activeCell="F89" sqref="F89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9954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11861.21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9963</v>
      </c>
      <c r="E9" s="122" t="s">
        <v>6440</v>
      </c>
      <c r="F9" s="109">
        <v>3</v>
      </c>
      <c r="G9" s="113"/>
      <c r="H9" s="112"/>
    </row>
    <row r="10" spans="3:8" x14ac:dyDescent="0.25">
      <c r="C10" s="136"/>
      <c r="D10" s="2" t="s">
        <v>9964</v>
      </c>
      <c r="E10" s="122" t="s">
        <v>6059</v>
      </c>
      <c r="F10" s="109">
        <v>12</v>
      </c>
      <c r="G10" s="113"/>
      <c r="H10" s="112"/>
    </row>
    <row r="11" spans="3:8" x14ac:dyDescent="0.25">
      <c r="C11" s="24"/>
      <c r="D11" s="2" t="s">
        <v>9965</v>
      </c>
      <c r="E11" s="122" t="s">
        <v>6593</v>
      </c>
      <c r="F11" s="109">
        <v>512</v>
      </c>
      <c r="G11" s="113"/>
      <c r="H11" s="112"/>
    </row>
    <row r="12" spans="3:8" x14ac:dyDescent="0.25">
      <c r="C12" s="8"/>
      <c r="D12" s="2" t="s">
        <v>9966</v>
      </c>
      <c r="E12" s="122" t="s">
        <v>6610</v>
      </c>
      <c r="F12" s="4">
        <v>15</v>
      </c>
      <c r="G12" s="14"/>
      <c r="H12" s="9">
        <v>143.5</v>
      </c>
    </row>
    <row r="13" spans="3:8" x14ac:dyDescent="0.25">
      <c r="C13" s="8"/>
      <c r="D13" s="2" t="s">
        <v>9967</v>
      </c>
      <c r="E13" s="122" t="s">
        <v>6440</v>
      </c>
      <c r="F13" s="4">
        <v>5</v>
      </c>
      <c r="G13" s="14"/>
      <c r="H13" s="9"/>
    </row>
    <row r="14" spans="3:8" x14ac:dyDescent="0.25">
      <c r="C14" s="8"/>
      <c r="D14" s="2" t="s">
        <v>9968</v>
      </c>
      <c r="E14" s="122" t="s">
        <v>9520</v>
      </c>
      <c r="F14" s="4">
        <v>374</v>
      </c>
      <c r="G14" s="14"/>
      <c r="H14" s="9"/>
    </row>
    <row r="15" spans="3:8" x14ac:dyDescent="0.25">
      <c r="C15" s="8"/>
      <c r="D15" s="2" t="s">
        <v>9969</v>
      </c>
      <c r="E15" s="122" t="s">
        <v>6440</v>
      </c>
      <c r="F15" s="4"/>
      <c r="G15" s="14"/>
      <c r="H15" s="9">
        <v>10.5</v>
      </c>
    </row>
    <row r="16" spans="3:8" x14ac:dyDescent="0.25">
      <c r="C16" s="8"/>
      <c r="D16" s="2" t="s">
        <v>9970</v>
      </c>
      <c r="E16" s="122" t="s">
        <v>9072</v>
      </c>
      <c r="F16" s="4"/>
      <c r="G16" s="14"/>
      <c r="H16" s="9">
        <v>144</v>
      </c>
    </row>
    <row r="17" spans="3:8" x14ac:dyDescent="0.25">
      <c r="C17" s="8"/>
      <c r="D17" s="2" t="s">
        <v>9971</v>
      </c>
      <c r="E17" s="122" t="s">
        <v>6440</v>
      </c>
      <c r="F17" s="4">
        <v>2.5</v>
      </c>
      <c r="G17" s="14"/>
      <c r="H17" s="9"/>
    </row>
    <row r="18" spans="3:8" x14ac:dyDescent="0.25">
      <c r="C18" s="8"/>
      <c r="D18" s="2" t="s">
        <v>9972</v>
      </c>
      <c r="E18" s="122" t="s">
        <v>6440</v>
      </c>
      <c r="F18" s="4">
        <v>18</v>
      </c>
      <c r="G18" s="14"/>
      <c r="H18" s="9"/>
    </row>
    <row r="19" spans="3:8" x14ac:dyDescent="0.25">
      <c r="C19" s="8"/>
      <c r="D19" s="2" t="s">
        <v>9973</v>
      </c>
      <c r="E19" s="122" t="s">
        <v>6440</v>
      </c>
      <c r="F19" s="4">
        <v>10</v>
      </c>
      <c r="G19" s="14"/>
      <c r="H19" s="9"/>
    </row>
    <row r="20" spans="3:8" x14ac:dyDescent="0.25">
      <c r="C20" s="8"/>
      <c r="D20" s="2" t="s">
        <v>9974</v>
      </c>
      <c r="E20" s="122" t="s">
        <v>6440</v>
      </c>
      <c r="F20" s="4">
        <v>1</v>
      </c>
      <c r="G20" s="14"/>
      <c r="H20" s="9"/>
    </row>
    <row r="21" spans="3:8" x14ac:dyDescent="0.25">
      <c r="C21" s="8"/>
      <c r="D21" s="2" t="s">
        <v>9975</v>
      </c>
      <c r="E21" s="122" t="s">
        <v>7126</v>
      </c>
      <c r="F21" s="4">
        <v>167</v>
      </c>
      <c r="G21" s="14"/>
      <c r="H21" s="9"/>
    </row>
    <row r="22" spans="3:8" ht="13.5" customHeight="1" x14ac:dyDescent="0.25">
      <c r="C22" s="8"/>
      <c r="D22" s="2" t="s">
        <v>9976</v>
      </c>
      <c r="E22" s="122" t="s">
        <v>6440</v>
      </c>
      <c r="F22" s="4">
        <v>20</v>
      </c>
      <c r="G22" s="14"/>
      <c r="H22" s="9"/>
    </row>
    <row r="23" spans="3:8" x14ac:dyDescent="0.25">
      <c r="C23" s="8"/>
      <c r="D23" s="2" t="s">
        <v>9977</v>
      </c>
      <c r="E23" s="122" t="s">
        <v>6440</v>
      </c>
      <c r="F23" s="4">
        <v>12</v>
      </c>
      <c r="G23" s="14"/>
      <c r="H23" s="9"/>
    </row>
    <row r="24" spans="3:8" x14ac:dyDescent="0.25">
      <c r="C24" s="8"/>
      <c r="D24" s="2" t="s">
        <v>9991</v>
      </c>
      <c r="E24" s="122" t="s">
        <v>6440</v>
      </c>
      <c r="F24" s="4">
        <v>10</v>
      </c>
      <c r="G24" s="14"/>
      <c r="H24" s="9"/>
    </row>
    <row r="25" spans="3:8" x14ac:dyDescent="0.25">
      <c r="C25" s="8"/>
      <c r="D25" s="2" t="s">
        <v>9994</v>
      </c>
      <c r="E25" s="122" t="s">
        <v>6440</v>
      </c>
      <c r="F25" s="4"/>
      <c r="G25" s="14"/>
      <c r="H25" s="9">
        <v>10</v>
      </c>
    </row>
    <row r="26" spans="3:8" x14ac:dyDescent="0.25">
      <c r="C26" s="8"/>
      <c r="D26" s="2" t="s">
        <v>9995</v>
      </c>
      <c r="E26" s="122" t="s">
        <v>6440</v>
      </c>
      <c r="F26" s="4"/>
      <c r="G26" s="14"/>
      <c r="H26" s="9">
        <v>21</v>
      </c>
    </row>
    <row r="27" spans="3:8" x14ac:dyDescent="0.25">
      <c r="C27" s="8"/>
      <c r="D27" s="2" t="s">
        <v>9996</v>
      </c>
      <c r="E27" s="122" t="s">
        <v>6440</v>
      </c>
      <c r="F27" s="4"/>
      <c r="G27" s="14"/>
      <c r="H27" s="9">
        <v>70.5</v>
      </c>
    </row>
    <row r="28" spans="3:8" x14ac:dyDescent="0.25">
      <c r="C28" s="8"/>
      <c r="D28" s="2" t="s">
        <v>9997</v>
      </c>
      <c r="E28" s="122" t="s">
        <v>6440</v>
      </c>
      <c r="F28" s="4"/>
      <c r="G28" s="14"/>
      <c r="H28" s="9">
        <v>2</v>
      </c>
    </row>
    <row r="29" spans="3:8" x14ac:dyDescent="0.25">
      <c r="C29" s="8"/>
      <c r="D29" s="2" t="s">
        <v>9998</v>
      </c>
      <c r="E29" s="122" t="s">
        <v>9752</v>
      </c>
      <c r="F29" s="4"/>
      <c r="G29" s="14"/>
      <c r="H29" s="9">
        <v>104</v>
      </c>
    </row>
    <row r="30" spans="3:8" x14ac:dyDescent="0.25">
      <c r="C30" s="8"/>
      <c r="D30" s="2" t="s">
        <v>10002</v>
      </c>
      <c r="E30" s="122" t="s">
        <v>6440</v>
      </c>
      <c r="F30" s="4">
        <v>13.8</v>
      </c>
      <c r="G30" s="14"/>
      <c r="H30" s="9"/>
    </row>
    <row r="31" spans="3:8" x14ac:dyDescent="0.25">
      <c r="C31" s="8"/>
      <c r="D31" s="2" t="s">
        <v>10010</v>
      </c>
      <c r="E31" s="122" t="s">
        <v>7126</v>
      </c>
      <c r="F31" s="4"/>
      <c r="G31" s="14">
        <v>2125</v>
      </c>
      <c r="H31" s="9"/>
    </row>
    <row r="32" spans="3:8" x14ac:dyDescent="0.25">
      <c r="C32" s="8"/>
      <c r="D32" s="2" t="s">
        <v>10027</v>
      </c>
      <c r="E32" s="122" t="s">
        <v>1679</v>
      </c>
      <c r="F32" s="4"/>
      <c r="G32" s="14">
        <v>1744.83</v>
      </c>
      <c r="H32" s="9"/>
    </row>
    <row r="33" spans="3:8" x14ac:dyDescent="0.25">
      <c r="C33" s="8"/>
      <c r="D33" s="2" t="s">
        <v>10028</v>
      </c>
      <c r="E33" s="122"/>
      <c r="F33" s="4"/>
      <c r="G33" s="14"/>
      <c r="H33" s="9"/>
    </row>
    <row r="34" spans="3:8" x14ac:dyDescent="0.25">
      <c r="C34" s="8"/>
      <c r="D34" s="2"/>
      <c r="E34" s="122"/>
      <c r="F34" s="4"/>
      <c r="G34" s="14"/>
      <c r="H34" s="9"/>
    </row>
    <row r="35" spans="3:8" x14ac:dyDescent="0.25">
      <c r="C35" s="8"/>
      <c r="D35" s="2" t="s">
        <v>9979</v>
      </c>
      <c r="E35" s="122" t="s">
        <v>9986</v>
      </c>
      <c r="F35" s="4"/>
      <c r="G35" s="14"/>
      <c r="H35" s="9">
        <v>13</v>
      </c>
    </row>
    <row r="36" spans="3:8" x14ac:dyDescent="0.25">
      <c r="C36" s="8"/>
      <c r="D36" s="2" t="s">
        <v>9980</v>
      </c>
      <c r="E36" s="122" t="s">
        <v>1631</v>
      </c>
      <c r="F36" s="4">
        <v>7</v>
      </c>
      <c r="G36" s="14"/>
      <c r="H36" s="9"/>
    </row>
    <row r="37" spans="3:8" x14ac:dyDescent="0.25">
      <c r="C37" s="8"/>
      <c r="D37" s="2" t="s">
        <v>9981</v>
      </c>
      <c r="E37" s="122" t="s">
        <v>6439</v>
      </c>
      <c r="F37" s="4"/>
      <c r="G37" s="14"/>
      <c r="H37" s="9">
        <v>1203.5</v>
      </c>
    </row>
    <row r="38" spans="3:8" x14ac:dyDescent="0.25">
      <c r="C38" s="8"/>
      <c r="D38" s="2" t="s">
        <v>9982</v>
      </c>
      <c r="E38" s="122" t="s">
        <v>6439</v>
      </c>
      <c r="F38" s="4">
        <v>325</v>
      </c>
      <c r="G38" s="14"/>
      <c r="H38" s="9"/>
    </row>
    <row r="39" spans="3:8" x14ac:dyDescent="0.25">
      <c r="C39" s="8"/>
      <c r="D39" s="2" t="s">
        <v>9983</v>
      </c>
      <c r="E39" s="122" t="s">
        <v>9987</v>
      </c>
      <c r="F39" s="4">
        <v>1200</v>
      </c>
      <c r="G39" s="14"/>
      <c r="H39" s="9">
        <v>177.9</v>
      </c>
    </row>
    <row r="40" spans="3:8" x14ac:dyDescent="0.25">
      <c r="C40" s="8"/>
      <c r="D40" s="2" t="s">
        <v>9984</v>
      </c>
      <c r="E40" s="122" t="s">
        <v>1631</v>
      </c>
      <c r="F40" s="4">
        <v>13.5</v>
      </c>
      <c r="G40" s="14"/>
      <c r="H40" s="9"/>
    </row>
    <row r="41" spans="3:8" x14ac:dyDescent="0.25">
      <c r="C41" s="8"/>
      <c r="D41" s="2" t="s">
        <v>9985</v>
      </c>
      <c r="E41" s="122" t="s">
        <v>1631</v>
      </c>
      <c r="F41" s="4"/>
      <c r="G41" s="14"/>
      <c r="H41" s="9">
        <v>6</v>
      </c>
    </row>
    <row r="42" spans="3:8" x14ac:dyDescent="0.25">
      <c r="C42" s="8"/>
      <c r="D42" s="2" t="s">
        <v>9992</v>
      </c>
      <c r="E42" s="122" t="s">
        <v>1631</v>
      </c>
      <c r="F42" s="4">
        <v>26.5</v>
      </c>
      <c r="G42" s="14"/>
      <c r="H42" s="9"/>
    </row>
    <row r="43" spans="3:8" x14ac:dyDescent="0.25">
      <c r="C43" s="8"/>
      <c r="D43" s="2" t="s">
        <v>9993</v>
      </c>
      <c r="E43" s="122" t="s">
        <v>1631</v>
      </c>
      <c r="F43" s="4">
        <v>2</v>
      </c>
      <c r="G43" s="14"/>
      <c r="H43" s="9"/>
    </row>
    <row r="44" spans="3:8" x14ac:dyDescent="0.25">
      <c r="C44" s="8"/>
      <c r="D44" s="2" t="s">
        <v>10003</v>
      </c>
      <c r="E44" s="122" t="s">
        <v>1631</v>
      </c>
      <c r="F44" s="4">
        <v>3.6</v>
      </c>
      <c r="G44" s="14"/>
      <c r="H44" s="9"/>
    </row>
    <row r="45" spans="3:8" x14ac:dyDescent="0.25">
      <c r="C45" s="8"/>
      <c r="D45" s="2" t="s">
        <v>10004</v>
      </c>
      <c r="E45" s="122" t="s">
        <v>1631</v>
      </c>
      <c r="F45" s="4">
        <v>56.5</v>
      </c>
      <c r="G45" s="14"/>
      <c r="H45" s="9"/>
    </row>
    <row r="46" spans="3:8" x14ac:dyDescent="0.25">
      <c r="C46" s="8"/>
      <c r="D46" s="2" t="s">
        <v>10006</v>
      </c>
      <c r="E46" s="122" t="s">
        <v>1631</v>
      </c>
      <c r="F46" s="4"/>
      <c r="G46" s="14"/>
      <c r="H46" s="9">
        <v>56</v>
      </c>
    </row>
    <row r="47" spans="3:8" x14ac:dyDescent="0.25">
      <c r="C47" s="8"/>
      <c r="D47" s="2" t="s">
        <v>10007</v>
      </c>
      <c r="E47" s="122" t="s">
        <v>1631</v>
      </c>
      <c r="F47" s="4"/>
      <c r="G47" s="14"/>
      <c r="H47" s="9">
        <v>3.5</v>
      </c>
    </row>
    <row r="48" spans="3:8" x14ac:dyDescent="0.25">
      <c r="C48" s="8"/>
      <c r="D48" s="2" t="s">
        <v>10008</v>
      </c>
      <c r="E48" s="122" t="s">
        <v>4516</v>
      </c>
      <c r="F48" s="4"/>
      <c r="G48" s="14">
        <v>8</v>
      </c>
      <c r="H48" s="9"/>
    </row>
    <row r="49" spans="3:8" x14ac:dyDescent="0.25">
      <c r="C49" s="8"/>
      <c r="D49" s="2" t="s">
        <v>10049</v>
      </c>
      <c r="E49" s="122"/>
      <c r="F49" s="4"/>
      <c r="G49" s="14"/>
      <c r="H49" s="9"/>
    </row>
    <row r="50" spans="3:8" x14ac:dyDescent="0.25">
      <c r="C50" s="8"/>
      <c r="D50" s="2"/>
      <c r="E50" s="122"/>
      <c r="F50" s="4"/>
      <c r="G50" s="14"/>
      <c r="H50" s="9"/>
    </row>
    <row r="51" spans="3:8" x14ac:dyDescent="0.25">
      <c r="C51" s="8"/>
      <c r="D51" s="2"/>
      <c r="E51" s="2"/>
      <c r="F51" s="4"/>
      <c r="G51" s="14"/>
      <c r="H51" s="9"/>
    </row>
    <row r="52" spans="3:8" x14ac:dyDescent="0.25">
      <c r="C52" s="29"/>
      <c r="D52" s="30"/>
      <c r="E52" s="30" t="s">
        <v>60</v>
      </c>
      <c r="F52" s="4"/>
      <c r="G52" s="14"/>
      <c r="H52" s="9"/>
    </row>
    <row r="53" spans="3:8" x14ac:dyDescent="0.25">
      <c r="C53" s="8"/>
      <c r="D53" s="2" t="s">
        <v>9955</v>
      </c>
      <c r="E53" s="2" t="s">
        <v>9960</v>
      </c>
      <c r="F53" s="109">
        <v>50</v>
      </c>
      <c r="G53" s="113"/>
      <c r="H53" s="112"/>
    </row>
    <row r="54" spans="3:8" x14ac:dyDescent="0.25">
      <c r="C54" s="8"/>
      <c r="D54" s="2" t="s">
        <v>9956</v>
      </c>
      <c r="E54" s="2" t="s">
        <v>9961</v>
      </c>
      <c r="F54" s="109"/>
      <c r="G54" s="113"/>
      <c r="H54" s="112">
        <v>177</v>
      </c>
    </row>
    <row r="55" spans="3:8" x14ac:dyDescent="0.25">
      <c r="C55" s="8"/>
      <c r="D55" s="2" t="s">
        <v>9957</v>
      </c>
      <c r="E55" s="2" t="s">
        <v>7297</v>
      </c>
      <c r="F55" s="109"/>
      <c r="G55" s="113"/>
      <c r="H55" s="112">
        <v>75</v>
      </c>
    </row>
    <row r="56" spans="3:8" x14ac:dyDescent="0.25">
      <c r="C56" s="8"/>
      <c r="D56" s="2" t="s">
        <v>9958</v>
      </c>
      <c r="E56" s="2" t="s">
        <v>9962</v>
      </c>
      <c r="F56" s="109"/>
      <c r="G56" s="113">
        <v>1552.5</v>
      </c>
      <c r="H56" s="112"/>
    </row>
    <row r="57" spans="3:8" x14ac:dyDescent="0.25">
      <c r="C57" s="8"/>
      <c r="D57" s="2" t="s">
        <v>9959</v>
      </c>
      <c r="E57" s="2" t="s">
        <v>9962</v>
      </c>
      <c r="F57" s="35"/>
      <c r="G57" s="14">
        <v>903.5</v>
      </c>
      <c r="H57" s="9"/>
    </row>
    <row r="58" spans="3:8" x14ac:dyDescent="0.25">
      <c r="C58" s="8"/>
      <c r="D58" s="2" t="s">
        <v>9978</v>
      </c>
      <c r="E58" s="2" t="s">
        <v>9728</v>
      </c>
      <c r="F58" s="35"/>
      <c r="G58" s="14"/>
      <c r="H58" s="9">
        <v>10.5</v>
      </c>
    </row>
    <row r="59" spans="3:8" x14ac:dyDescent="0.25">
      <c r="C59" s="8"/>
      <c r="D59" s="2" t="s">
        <v>10000</v>
      </c>
      <c r="E59" s="2" t="s">
        <v>10001</v>
      </c>
      <c r="F59" s="35"/>
      <c r="G59" s="14">
        <v>210</v>
      </c>
      <c r="H59" s="9"/>
    </row>
    <row r="60" spans="3:8" x14ac:dyDescent="0.25">
      <c r="C60" s="8"/>
      <c r="D60" s="2" t="s">
        <v>10016</v>
      </c>
      <c r="E60" s="76" t="s">
        <v>10017</v>
      </c>
      <c r="F60" s="35"/>
      <c r="G60" s="14"/>
      <c r="H60" s="9">
        <v>28</v>
      </c>
    </row>
    <row r="61" spans="3:8" x14ac:dyDescent="0.25">
      <c r="C61" s="8"/>
      <c r="D61" s="2" t="s">
        <v>10018</v>
      </c>
      <c r="E61" s="76"/>
      <c r="F61" s="35"/>
      <c r="G61" s="14"/>
      <c r="H61" s="9"/>
    </row>
    <row r="62" spans="3:8" x14ac:dyDescent="0.25">
      <c r="C62" s="16"/>
      <c r="D62" s="17"/>
      <c r="E62" s="17" t="s">
        <v>39</v>
      </c>
      <c r="F62" s="4"/>
      <c r="G62" s="14"/>
      <c r="H62" s="9"/>
    </row>
    <row r="63" spans="3:8" x14ac:dyDescent="0.25">
      <c r="C63" s="8"/>
      <c r="D63" s="2"/>
      <c r="E63" s="68" t="s">
        <v>9988</v>
      </c>
      <c r="F63" s="35">
        <v>1257</v>
      </c>
      <c r="G63" s="14"/>
      <c r="H63" s="9"/>
    </row>
    <row r="64" spans="3:8" x14ac:dyDescent="0.25">
      <c r="C64" s="8"/>
      <c r="D64" s="2"/>
      <c r="E64" s="68" t="s">
        <v>9989</v>
      </c>
      <c r="F64" s="35">
        <v>345</v>
      </c>
      <c r="G64" s="14"/>
      <c r="H64" s="9"/>
    </row>
    <row r="65" spans="3:8" x14ac:dyDescent="0.25">
      <c r="C65" s="8"/>
      <c r="D65" s="2"/>
      <c r="E65" s="68" t="s">
        <v>9990</v>
      </c>
      <c r="F65" s="35">
        <v>102</v>
      </c>
      <c r="G65" s="14"/>
      <c r="H65" s="9"/>
    </row>
    <row r="66" spans="3:8" x14ac:dyDescent="0.25">
      <c r="C66" s="8"/>
      <c r="D66" s="2"/>
      <c r="E66" s="76" t="s">
        <v>10011</v>
      </c>
      <c r="F66" s="35">
        <v>47</v>
      </c>
      <c r="G66" s="14"/>
      <c r="H66" s="9"/>
    </row>
    <row r="67" spans="3:8" x14ac:dyDescent="0.25">
      <c r="C67" s="8"/>
      <c r="D67" s="2"/>
      <c r="E67" s="76" t="s">
        <v>10012</v>
      </c>
      <c r="F67" s="35">
        <v>5</v>
      </c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8"/>
      <c r="D70" s="2"/>
      <c r="E70" s="76"/>
      <c r="F70" s="35"/>
      <c r="G70" s="14"/>
      <c r="H70" s="9"/>
    </row>
    <row r="71" spans="3:8" x14ac:dyDescent="0.25">
      <c r="C71" s="8"/>
      <c r="D71" s="2"/>
      <c r="E71" s="76"/>
      <c r="F71" s="35"/>
      <c r="G71" s="14"/>
      <c r="H71" s="9"/>
    </row>
    <row r="72" spans="3:8" x14ac:dyDescent="0.25">
      <c r="C72" s="8"/>
      <c r="D72" s="2"/>
      <c r="E72" s="2"/>
      <c r="F72" s="4"/>
      <c r="G72" s="14"/>
      <c r="H72" s="9"/>
    </row>
    <row r="73" spans="3:8" x14ac:dyDescent="0.25">
      <c r="C73" s="19"/>
      <c r="D73" s="20"/>
      <c r="E73" s="20" t="s">
        <v>42</v>
      </c>
      <c r="F73" s="14"/>
      <c r="G73" s="14"/>
      <c r="H73" s="9"/>
    </row>
    <row r="74" spans="3:8" x14ac:dyDescent="0.25">
      <c r="C74" s="34"/>
      <c r="D74" s="139"/>
      <c r="E74" s="118" t="s">
        <v>8716</v>
      </c>
      <c r="F74" s="14">
        <v>-1080</v>
      </c>
      <c r="G74" s="14"/>
      <c r="H74" s="9"/>
    </row>
    <row r="75" spans="3:8" x14ac:dyDescent="0.25">
      <c r="C75" s="34"/>
      <c r="D75" s="139"/>
      <c r="E75" s="118" t="s">
        <v>6679</v>
      </c>
      <c r="F75" s="14">
        <v>-30</v>
      </c>
      <c r="G75" s="14"/>
      <c r="H75" s="9"/>
    </row>
    <row r="76" spans="3:8" x14ac:dyDescent="0.25">
      <c r="C76" s="34"/>
      <c r="D76" s="139"/>
      <c r="E76" s="118" t="s">
        <v>9999</v>
      </c>
      <c r="F76" s="14">
        <v>-2</v>
      </c>
      <c r="G76" s="14"/>
      <c r="H76" s="9"/>
    </row>
    <row r="77" spans="3:8" x14ac:dyDescent="0.25">
      <c r="C77" s="34"/>
      <c r="D77" s="139"/>
      <c r="E77" s="118" t="s">
        <v>9951</v>
      </c>
      <c r="F77" s="14">
        <v>-1300</v>
      </c>
      <c r="G77" s="14"/>
      <c r="H77" s="9"/>
    </row>
    <row r="78" spans="3:8" x14ac:dyDescent="0.25">
      <c r="C78" s="34"/>
      <c r="D78" s="139"/>
      <c r="E78" s="118" t="s">
        <v>10005</v>
      </c>
      <c r="F78" s="14">
        <v>-465</v>
      </c>
      <c r="G78" s="14"/>
      <c r="H78" s="9"/>
    </row>
    <row r="79" spans="3:8" x14ac:dyDescent="0.25">
      <c r="C79" s="34"/>
      <c r="D79" s="45"/>
      <c r="E79" s="118" t="s">
        <v>8891</v>
      </c>
      <c r="F79" s="14">
        <v>-2273.5</v>
      </c>
      <c r="G79" s="14"/>
      <c r="H79" s="9"/>
    </row>
    <row r="80" spans="3:8" x14ac:dyDescent="0.25">
      <c r="C80" s="34"/>
      <c r="D80" s="45"/>
      <c r="E80" s="118" t="s">
        <v>10009</v>
      </c>
      <c r="F80" s="14">
        <v>-2720</v>
      </c>
      <c r="G80" s="14"/>
      <c r="H80" s="9"/>
    </row>
    <row r="81" spans="3:8" x14ac:dyDescent="0.25">
      <c r="C81" s="34"/>
      <c r="D81" s="45"/>
      <c r="E81" s="118"/>
      <c r="F81" s="14"/>
      <c r="G81" s="14"/>
      <c r="H81" s="9"/>
    </row>
    <row r="82" spans="3:8" x14ac:dyDescent="0.25">
      <c r="C82" s="34"/>
      <c r="D82" s="45"/>
      <c r="E82" s="118"/>
      <c r="F82" s="14"/>
      <c r="G82" s="14"/>
      <c r="H82" s="9"/>
    </row>
    <row r="83" spans="3:8" x14ac:dyDescent="0.25">
      <c r="C83" s="34"/>
      <c r="D83" s="45"/>
      <c r="E83" s="118"/>
      <c r="F83" s="14"/>
      <c r="G83" s="14"/>
      <c r="H83" s="9"/>
    </row>
    <row r="84" spans="3:8" x14ac:dyDescent="0.25">
      <c r="C84" s="34"/>
      <c r="D84" s="45"/>
      <c r="E84" s="118"/>
      <c r="F84" s="14"/>
      <c r="G84" s="14"/>
      <c r="H84" s="9"/>
    </row>
    <row r="85" spans="3:8" x14ac:dyDescent="0.25">
      <c r="C85" s="34"/>
      <c r="D85" s="45"/>
      <c r="E85" s="68"/>
      <c r="F85" s="14"/>
      <c r="G85" s="14"/>
      <c r="H85" s="9"/>
    </row>
    <row r="86" spans="3:8" ht="15.75" thickBot="1" x14ac:dyDescent="0.3">
      <c r="C86" s="10"/>
      <c r="D86" s="11"/>
      <c r="E86" s="11" t="s">
        <v>44</v>
      </c>
      <c r="F86" s="12">
        <f>SUM(F9:F85)</f>
        <v>-3255.1000000000004</v>
      </c>
      <c r="G86" s="15">
        <f>SUM(G9:G85)</f>
        <v>6543.83</v>
      </c>
      <c r="H86" s="13">
        <f>SUM(H9:H85)</f>
        <v>2255.9</v>
      </c>
    </row>
    <row r="89" spans="3:8" ht="21" x14ac:dyDescent="0.3">
      <c r="E89" s="119" t="s">
        <v>49</v>
      </c>
      <c r="F89" s="120">
        <f>H7+F86</f>
        <v>8606.1099999999988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5C17-64F5-452C-AAE8-C6AA86F32412}">
  <sheetPr codeName="Hoja131"/>
  <dimension ref="C5:J108"/>
  <sheetViews>
    <sheetView topLeftCell="A70" workbookViewId="0">
      <selection activeCell="F108" sqref="F108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10013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8606.11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10028</v>
      </c>
      <c r="E9" s="122" t="s">
        <v>12</v>
      </c>
      <c r="F9" s="109">
        <v>13.5</v>
      </c>
      <c r="G9" s="113"/>
      <c r="H9" s="112"/>
    </row>
    <row r="10" spans="3:8" x14ac:dyDescent="0.25">
      <c r="C10" s="136"/>
      <c r="D10" s="2" t="s">
        <v>10030</v>
      </c>
      <c r="E10" s="122" t="s">
        <v>6751</v>
      </c>
      <c r="F10" s="109">
        <v>1220</v>
      </c>
      <c r="G10" s="113"/>
      <c r="H10" s="112">
        <v>428</v>
      </c>
    </row>
    <row r="11" spans="3:8" x14ac:dyDescent="0.25">
      <c r="C11" s="24"/>
      <c r="D11" s="2" t="s">
        <v>10031</v>
      </c>
      <c r="E11" s="122" t="s">
        <v>4597</v>
      </c>
      <c r="F11" s="109"/>
      <c r="G11" s="113">
        <v>320</v>
      </c>
      <c r="H11" s="112"/>
    </row>
    <row r="12" spans="3:8" x14ac:dyDescent="0.25">
      <c r="C12" s="8"/>
      <c r="D12" s="2" t="s">
        <v>10032</v>
      </c>
      <c r="E12" s="122" t="s">
        <v>10048</v>
      </c>
      <c r="F12" s="4">
        <v>779</v>
      </c>
      <c r="G12" s="14"/>
      <c r="H12" s="9"/>
    </row>
    <row r="13" spans="3:8" x14ac:dyDescent="0.25">
      <c r="C13" s="8"/>
      <c r="D13" s="2" t="s">
        <v>10033</v>
      </c>
      <c r="E13" s="122" t="s">
        <v>10047</v>
      </c>
      <c r="F13" s="4"/>
      <c r="G13" s="14"/>
      <c r="H13" s="9">
        <v>4931.6000000000004</v>
      </c>
    </row>
    <row r="14" spans="3:8" x14ac:dyDescent="0.25">
      <c r="C14" s="8"/>
      <c r="D14" s="2" t="s">
        <v>10034</v>
      </c>
      <c r="E14" s="122" t="s">
        <v>12</v>
      </c>
      <c r="F14" s="4">
        <v>34</v>
      </c>
      <c r="G14" s="14"/>
      <c r="H14" s="9"/>
    </row>
    <row r="15" spans="3:8" x14ac:dyDescent="0.25">
      <c r="C15" s="8"/>
      <c r="D15" s="2" t="s">
        <v>10035</v>
      </c>
      <c r="E15" s="122" t="s">
        <v>10046</v>
      </c>
      <c r="F15" s="4"/>
      <c r="G15" s="14"/>
      <c r="H15" s="9">
        <v>243</v>
      </c>
    </row>
    <row r="16" spans="3:8" x14ac:dyDescent="0.25">
      <c r="C16" s="8"/>
      <c r="D16" s="2" t="s">
        <v>10036</v>
      </c>
      <c r="E16" s="122" t="s">
        <v>10045</v>
      </c>
      <c r="F16" s="4">
        <v>10000</v>
      </c>
      <c r="G16" s="14">
        <v>150.04</v>
      </c>
      <c r="H16" s="9"/>
    </row>
    <row r="17" spans="3:8" x14ac:dyDescent="0.25">
      <c r="C17" s="8"/>
      <c r="D17" s="2" t="s">
        <v>10037</v>
      </c>
      <c r="E17" s="122" t="s">
        <v>9072</v>
      </c>
      <c r="F17" s="4"/>
      <c r="G17" s="14">
        <v>23</v>
      </c>
      <c r="H17" s="9"/>
    </row>
    <row r="18" spans="3:8" x14ac:dyDescent="0.25">
      <c r="C18" s="8"/>
      <c r="D18" s="2" t="s">
        <v>10038</v>
      </c>
      <c r="E18" s="122" t="s">
        <v>10044</v>
      </c>
      <c r="F18" s="4"/>
      <c r="G18" s="14"/>
      <c r="H18" s="9">
        <v>35.5</v>
      </c>
    </row>
    <row r="19" spans="3:8" x14ac:dyDescent="0.25">
      <c r="C19" s="8"/>
      <c r="D19" s="2" t="s">
        <v>10039</v>
      </c>
      <c r="E19" s="122" t="s">
        <v>7126</v>
      </c>
      <c r="F19" s="4">
        <v>1275</v>
      </c>
      <c r="G19" s="14"/>
      <c r="H19" s="9"/>
    </row>
    <row r="20" spans="3:8" x14ac:dyDescent="0.25">
      <c r="C20" s="8"/>
      <c r="D20" s="2" t="s">
        <v>10040</v>
      </c>
      <c r="E20" s="122" t="s">
        <v>8035</v>
      </c>
      <c r="F20" s="4"/>
      <c r="G20" s="14"/>
      <c r="H20" s="9">
        <v>52</v>
      </c>
    </row>
    <row r="21" spans="3:8" x14ac:dyDescent="0.25">
      <c r="C21" s="8"/>
      <c r="D21" s="2" t="s">
        <v>10041</v>
      </c>
      <c r="E21" s="122" t="s">
        <v>8035</v>
      </c>
      <c r="F21" s="4"/>
      <c r="G21" s="14"/>
      <c r="H21" s="9">
        <v>30</v>
      </c>
    </row>
    <row r="22" spans="3:8" x14ac:dyDescent="0.25">
      <c r="C22" s="8"/>
      <c r="D22" s="2" t="s">
        <v>10042</v>
      </c>
      <c r="E22" s="122" t="s">
        <v>12</v>
      </c>
      <c r="F22" s="4"/>
      <c r="G22" s="14"/>
      <c r="H22" s="9">
        <v>16</v>
      </c>
    </row>
    <row r="23" spans="3:8" x14ac:dyDescent="0.25">
      <c r="C23" s="8"/>
      <c r="D23" s="2" t="s">
        <v>10043</v>
      </c>
      <c r="E23" s="122" t="s">
        <v>12</v>
      </c>
      <c r="F23" s="4">
        <v>8</v>
      </c>
      <c r="G23" s="14"/>
      <c r="H23" s="9"/>
    </row>
    <row r="24" spans="3:8" x14ac:dyDescent="0.25">
      <c r="C24" s="8"/>
      <c r="D24" s="2" t="s">
        <v>10066</v>
      </c>
      <c r="E24" s="122" t="s">
        <v>12</v>
      </c>
      <c r="F24" s="4">
        <v>9</v>
      </c>
      <c r="G24" s="14"/>
      <c r="H24" s="9"/>
    </row>
    <row r="25" spans="3:8" x14ac:dyDescent="0.25">
      <c r="C25" s="8"/>
      <c r="D25" s="2" t="s">
        <v>10067</v>
      </c>
      <c r="E25" s="122" t="s">
        <v>12</v>
      </c>
      <c r="F25" s="4">
        <v>40</v>
      </c>
      <c r="G25" s="14"/>
      <c r="H25" s="9"/>
    </row>
    <row r="26" spans="3:8" x14ac:dyDescent="0.25">
      <c r="C26" s="8"/>
      <c r="D26" s="2" t="s">
        <v>10068</v>
      </c>
      <c r="E26" s="122" t="s">
        <v>8076</v>
      </c>
      <c r="F26" s="4"/>
      <c r="G26" s="14"/>
      <c r="H26" s="9">
        <v>174.5</v>
      </c>
    </row>
    <row r="27" spans="3:8" x14ac:dyDescent="0.25">
      <c r="C27" s="8"/>
      <c r="D27" s="2" t="s">
        <v>10069</v>
      </c>
      <c r="E27" s="122" t="s">
        <v>10072</v>
      </c>
      <c r="F27" s="4">
        <v>355</v>
      </c>
      <c r="G27" s="14"/>
      <c r="H27" s="9"/>
    </row>
    <row r="28" spans="3:8" x14ac:dyDescent="0.25">
      <c r="C28" s="8"/>
      <c r="D28" s="2" t="s">
        <v>10070</v>
      </c>
      <c r="E28" s="122" t="s">
        <v>12</v>
      </c>
      <c r="F28" s="4"/>
      <c r="G28" s="14"/>
      <c r="H28" s="9">
        <v>5</v>
      </c>
    </row>
    <row r="29" spans="3:8" x14ac:dyDescent="0.25">
      <c r="C29" s="8"/>
      <c r="D29" s="2" t="s">
        <v>10071</v>
      </c>
      <c r="E29" s="122" t="s">
        <v>12</v>
      </c>
      <c r="F29" s="4">
        <v>4.5</v>
      </c>
      <c r="G29" s="14"/>
      <c r="H29" s="9"/>
    </row>
    <row r="30" spans="3:8" x14ac:dyDescent="0.25">
      <c r="C30" s="8"/>
      <c r="D30" s="2" t="s">
        <v>10089</v>
      </c>
      <c r="E30" s="122" t="s">
        <v>12</v>
      </c>
      <c r="F30" s="4">
        <v>34</v>
      </c>
      <c r="G30" s="14"/>
      <c r="H30" s="9"/>
    </row>
    <row r="31" spans="3:8" x14ac:dyDescent="0.25">
      <c r="C31" s="8"/>
      <c r="D31" s="2" t="s">
        <v>10090</v>
      </c>
      <c r="E31" s="122" t="s">
        <v>9455</v>
      </c>
      <c r="F31" s="4">
        <v>900</v>
      </c>
      <c r="G31" s="14"/>
      <c r="H31" s="9">
        <v>45</v>
      </c>
    </row>
    <row r="32" spans="3:8" x14ac:dyDescent="0.25">
      <c r="C32" s="8"/>
      <c r="D32" s="2" t="s">
        <v>10091</v>
      </c>
      <c r="E32" s="122" t="s">
        <v>12</v>
      </c>
      <c r="F32" s="4"/>
      <c r="G32" s="14"/>
      <c r="H32" s="9">
        <v>50.5</v>
      </c>
    </row>
    <row r="33" spans="3:8" x14ac:dyDescent="0.25">
      <c r="C33" s="8"/>
      <c r="D33" s="2" t="s">
        <v>10092</v>
      </c>
      <c r="E33" s="122" t="s">
        <v>12</v>
      </c>
      <c r="F33" s="4">
        <v>6</v>
      </c>
      <c r="G33" s="14"/>
      <c r="H33" s="9"/>
    </row>
    <row r="34" spans="3:8" x14ac:dyDescent="0.25">
      <c r="C34" s="8"/>
      <c r="D34" s="2" t="s">
        <v>10093</v>
      </c>
      <c r="E34" s="122" t="s">
        <v>9843</v>
      </c>
      <c r="F34" s="4">
        <v>160</v>
      </c>
      <c r="G34" s="14"/>
      <c r="H34" s="9"/>
    </row>
    <row r="35" spans="3:8" x14ac:dyDescent="0.25">
      <c r="C35" s="8"/>
      <c r="D35" s="2" t="s">
        <v>10106</v>
      </c>
      <c r="E35" s="122"/>
      <c r="F35" s="4"/>
      <c r="G35" s="14"/>
      <c r="H35" s="9"/>
    </row>
    <row r="36" spans="3:8" x14ac:dyDescent="0.25">
      <c r="C36" s="8"/>
      <c r="D36" s="2"/>
      <c r="E36" s="122"/>
      <c r="F36" s="4"/>
      <c r="G36" s="14"/>
      <c r="H36" s="9"/>
    </row>
    <row r="37" spans="3:8" x14ac:dyDescent="0.25">
      <c r="C37" s="8"/>
      <c r="D37" s="2"/>
      <c r="E37" s="122"/>
      <c r="F37" s="4"/>
      <c r="G37" s="14"/>
      <c r="H37" s="9"/>
    </row>
    <row r="38" spans="3:8" x14ac:dyDescent="0.25">
      <c r="C38" s="8"/>
      <c r="D38" s="2"/>
      <c r="E38" s="122"/>
      <c r="F38" s="4"/>
      <c r="G38" s="14"/>
      <c r="H38" s="9"/>
    </row>
    <row r="39" spans="3:8" x14ac:dyDescent="0.25">
      <c r="C39" s="8"/>
      <c r="D39" s="2" t="s">
        <v>10049</v>
      </c>
      <c r="E39" s="122" t="s">
        <v>5416</v>
      </c>
      <c r="F39" s="4"/>
      <c r="G39" s="14"/>
      <c r="H39" s="9">
        <v>273.3</v>
      </c>
    </row>
    <row r="40" spans="3:8" x14ac:dyDescent="0.25">
      <c r="C40" s="8"/>
      <c r="D40" s="2" t="s">
        <v>10050</v>
      </c>
      <c r="E40" s="122" t="s">
        <v>10063</v>
      </c>
      <c r="F40" s="4"/>
      <c r="G40" s="14"/>
      <c r="H40" s="9">
        <v>2865</v>
      </c>
    </row>
    <row r="41" spans="3:8" x14ac:dyDescent="0.25">
      <c r="C41" s="8"/>
      <c r="D41" s="2" t="s">
        <v>10051</v>
      </c>
      <c r="E41" s="122" t="s">
        <v>1631</v>
      </c>
      <c r="F41" s="4">
        <v>68</v>
      </c>
      <c r="G41" s="14"/>
      <c r="H41" s="9"/>
    </row>
    <row r="42" spans="3:8" x14ac:dyDescent="0.25">
      <c r="C42" s="8"/>
      <c r="D42" s="2" t="s">
        <v>10052</v>
      </c>
      <c r="E42" s="122" t="s">
        <v>4516</v>
      </c>
      <c r="F42" s="4"/>
      <c r="G42" s="14">
        <v>147.5</v>
      </c>
      <c r="H42" s="9"/>
    </row>
    <row r="43" spans="3:8" x14ac:dyDescent="0.25">
      <c r="C43" s="8"/>
      <c r="D43" s="2" t="s">
        <v>10053</v>
      </c>
      <c r="E43" s="122" t="s">
        <v>1631</v>
      </c>
      <c r="F43" s="4">
        <v>21.5</v>
      </c>
      <c r="G43" s="14"/>
      <c r="H43" s="9"/>
    </row>
    <row r="44" spans="3:8" x14ac:dyDescent="0.25">
      <c r="C44" s="8"/>
      <c r="D44" s="2" t="s">
        <v>10054</v>
      </c>
      <c r="E44" s="122" t="s">
        <v>1631</v>
      </c>
      <c r="F44" s="4"/>
      <c r="G44" s="14"/>
      <c r="H44" s="9">
        <v>5</v>
      </c>
    </row>
    <row r="45" spans="3:8" x14ac:dyDescent="0.25">
      <c r="C45" s="8"/>
      <c r="D45" s="2" t="s">
        <v>10055</v>
      </c>
      <c r="E45" s="122" t="s">
        <v>1631</v>
      </c>
      <c r="F45" s="4">
        <v>5</v>
      </c>
      <c r="G45" s="14"/>
      <c r="H45" s="9"/>
    </row>
    <row r="46" spans="3:8" x14ac:dyDescent="0.25">
      <c r="C46" s="8"/>
      <c r="D46" s="2" t="s">
        <v>10056</v>
      </c>
      <c r="E46" s="122" t="s">
        <v>1631</v>
      </c>
      <c r="F46" s="4"/>
      <c r="G46" s="14"/>
      <c r="H46" s="9">
        <v>8.5</v>
      </c>
    </row>
    <row r="47" spans="3:8" x14ac:dyDescent="0.25">
      <c r="C47" s="8"/>
      <c r="D47" s="2" t="s">
        <v>10057</v>
      </c>
      <c r="E47" s="122" t="s">
        <v>1631</v>
      </c>
      <c r="F47" s="4">
        <v>5.5</v>
      </c>
      <c r="G47" s="14"/>
      <c r="H47" s="9"/>
    </row>
    <row r="48" spans="3:8" x14ac:dyDescent="0.25">
      <c r="C48" s="8"/>
      <c r="D48" s="2" t="s">
        <v>10058</v>
      </c>
      <c r="E48" s="122" t="s">
        <v>10062</v>
      </c>
      <c r="F48" s="4"/>
      <c r="G48" s="14"/>
      <c r="H48" s="9">
        <v>1760</v>
      </c>
    </row>
    <row r="49" spans="3:8" x14ac:dyDescent="0.25">
      <c r="C49" s="8"/>
      <c r="D49" s="2" t="s">
        <v>10059</v>
      </c>
      <c r="E49" s="122" t="s">
        <v>10061</v>
      </c>
      <c r="F49" s="4">
        <v>552</v>
      </c>
      <c r="G49" s="14"/>
      <c r="H49" s="9"/>
    </row>
    <row r="50" spans="3:8" x14ac:dyDescent="0.25">
      <c r="C50" s="8"/>
      <c r="D50" s="2" t="s">
        <v>10060</v>
      </c>
      <c r="E50" s="122" t="s">
        <v>1631</v>
      </c>
      <c r="F50" s="4"/>
      <c r="G50" s="14"/>
      <c r="H50" s="9">
        <v>18</v>
      </c>
    </row>
    <row r="51" spans="3:8" x14ac:dyDescent="0.25">
      <c r="C51" s="8"/>
      <c r="D51" s="2" t="s">
        <v>10065</v>
      </c>
      <c r="E51" s="122" t="s">
        <v>1631</v>
      </c>
      <c r="F51" s="4">
        <v>5</v>
      </c>
      <c r="G51" s="14"/>
      <c r="H51" s="9"/>
    </row>
    <row r="52" spans="3:8" x14ac:dyDescent="0.25">
      <c r="C52" s="8"/>
      <c r="D52" s="2" t="s">
        <v>10073</v>
      </c>
      <c r="E52" s="122" t="s">
        <v>6533</v>
      </c>
      <c r="F52" s="4"/>
      <c r="G52" s="14">
        <v>94.5</v>
      </c>
      <c r="H52" s="9"/>
    </row>
    <row r="53" spans="3:8" x14ac:dyDescent="0.25">
      <c r="C53" s="8"/>
      <c r="D53" s="2" t="s">
        <v>10074</v>
      </c>
      <c r="E53" s="122" t="s">
        <v>1631</v>
      </c>
      <c r="F53" s="4"/>
      <c r="G53" s="14"/>
      <c r="H53" s="9">
        <v>8.5</v>
      </c>
    </row>
    <row r="54" spans="3:8" x14ac:dyDescent="0.25">
      <c r="C54" s="8"/>
      <c r="D54" s="2" t="s">
        <v>10075</v>
      </c>
      <c r="E54" s="122" t="s">
        <v>1631</v>
      </c>
      <c r="F54" s="4">
        <v>2.5</v>
      </c>
      <c r="G54" s="14"/>
      <c r="H54" s="9"/>
    </row>
    <row r="55" spans="3:8" x14ac:dyDescent="0.25">
      <c r="C55" s="8"/>
      <c r="D55" s="2" t="s">
        <v>10076</v>
      </c>
      <c r="E55" s="122" t="s">
        <v>1631</v>
      </c>
      <c r="F55" s="4">
        <v>2</v>
      </c>
      <c r="G55" s="14"/>
      <c r="H55" s="9"/>
    </row>
    <row r="56" spans="3:8" x14ac:dyDescent="0.25">
      <c r="C56" s="8"/>
      <c r="D56" s="2" t="s">
        <v>10077</v>
      </c>
      <c r="E56" s="122" t="s">
        <v>1631</v>
      </c>
      <c r="F56" s="4"/>
      <c r="G56" s="14"/>
      <c r="H56" s="9">
        <v>20</v>
      </c>
    </row>
    <row r="57" spans="3:8" x14ac:dyDescent="0.25">
      <c r="C57" s="8"/>
      <c r="D57" s="2" t="s">
        <v>10094</v>
      </c>
      <c r="E57" s="122" t="s">
        <v>1631</v>
      </c>
      <c r="F57" s="4">
        <v>18</v>
      </c>
      <c r="G57" s="14"/>
      <c r="H57" s="9"/>
    </row>
    <row r="58" spans="3:8" x14ac:dyDescent="0.25">
      <c r="C58" s="8"/>
      <c r="D58" s="2" t="s">
        <v>10095</v>
      </c>
      <c r="E58" s="122" t="s">
        <v>1631</v>
      </c>
      <c r="F58" s="4"/>
      <c r="G58" s="14"/>
      <c r="H58" s="9">
        <v>5</v>
      </c>
    </row>
    <row r="59" spans="3:8" x14ac:dyDescent="0.25">
      <c r="C59" s="8"/>
      <c r="D59" s="2" t="s">
        <v>10096</v>
      </c>
      <c r="E59" s="122" t="s">
        <v>8943</v>
      </c>
      <c r="F59" s="4"/>
      <c r="G59" s="14">
        <v>24</v>
      </c>
      <c r="H59" s="9"/>
    </row>
    <row r="60" spans="3:8" x14ac:dyDescent="0.25">
      <c r="C60" s="8"/>
      <c r="D60" s="43" t="s">
        <v>10097</v>
      </c>
      <c r="E60" s="142" t="s">
        <v>10099</v>
      </c>
      <c r="F60" s="4"/>
      <c r="G60" s="14"/>
      <c r="H60" s="9"/>
    </row>
    <row r="61" spans="3:8" x14ac:dyDescent="0.25">
      <c r="C61" s="8"/>
      <c r="D61" s="2" t="s">
        <v>10098</v>
      </c>
      <c r="E61" s="122" t="s">
        <v>4079</v>
      </c>
      <c r="F61" s="4"/>
      <c r="G61" s="14"/>
      <c r="H61" s="9">
        <v>296</v>
      </c>
    </row>
    <row r="62" spans="3:8" x14ac:dyDescent="0.25">
      <c r="C62" s="8"/>
      <c r="D62" s="2" t="s">
        <v>10125</v>
      </c>
      <c r="E62" s="122"/>
      <c r="F62" s="4"/>
      <c r="G62" s="14"/>
      <c r="H62" s="9"/>
    </row>
    <row r="63" spans="3:8" x14ac:dyDescent="0.25">
      <c r="C63" s="8"/>
      <c r="D63" s="2"/>
      <c r="E63" s="122"/>
      <c r="F63" s="4"/>
      <c r="G63" s="14"/>
      <c r="H63" s="9"/>
    </row>
    <row r="64" spans="3:8" x14ac:dyDescent="0.25">
      <c r="C64" s="8"/>
      <c r="D64" s="2"/>
      <c r="E64" s="122"/>
      <c r="F64" s="4"/>
      <c r="G64" s="14"/>
      <c r="H64" s="9"/>
    </row>
    <row r="65" spans="3:8" x14ac:dyDescent="0.25">
      <c r="C65" s="8"/>
      <c r="D65" s="2"/>
      <c r="E65" s="122"/>
      <c r="F65" s="4"/>
      <c r="G65" s="14"/>
      <c r="H65" s="9"/>
    </row>
    <row r="66" spans="3:8" x14ac:dyDescent="0.25">
      <c r="C66" s="8"/>
      <c r="D66" s="2"/>
      <c r="E66" s="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10019</v>
      </c>
      <c r="E68" s="68" t="s">
        <v>9728</v>
      </c>
      <c r="F68" s="35"/>
      <c r="G68" s="14"/>
      <c r="H68" s="9">
        <v>31</v>
      </c>
    </row>
    <row r="69" spans="3:8" x14ac:dyDescent="0.25">
      <c r="C69" s="8"/>
      <c r="D69" s="2" t="s">
        <v>10020</v>
      </c>
      <c r="E69" s="68" t="s">
        <v>10025</v>
      </c>
      <c r="F69" s="35"/>
      <c r="G69" s="14"/>
      <c r="H69" s="9">
        <v>112</v>
      </c>
    </row>
    <row r="70" spans="3:8" x14ac:dyDescent="0.25">
      <c r="C70" s="8"/>
      <c r="D70" s="2" t="s">
        <v>10021</v>
      </c>
      <c r="E70" s="68" t="s">
        <v>10026</v>
      </c>
      <c r="F70" s="35"/>
      <c r="G70" s="14">
        <v>960</v>
      </c>
      <c r="H70" s="9"/>
    </row>
    <row r="71" spans="3:8" x14ac:dyDescent="0.25">
      <c r="C71" s="8"/>
      <c r="D71" s="2" t="s">
        <v>10022</v>
      </c>
      <c r="E71" s="76" t="s">
        <v>4322</v>
      </c>
      <c r="F71" s="35">
        <v>44</v>
      </c>
      <c r="G71" s="14"/>
      <c r="H71" s="9"/>
    </row>
    <row r="72" spans="3:8" x14ac:dyDescent="0.25">
      <c r="C72" s="8"/>
      <c r="D72" s="2" t="s">
        <v>10023</v>
      </c>
      <c r="E72" s="76" t="s">
        <v>4322</v>
      </c>
      <c r="F72" s="35">
        <v>18</v>
      </c>
      <c r="G72" s="14"/>
      <c r="H72" s="9"/>
    </row>
    <row r="73" spans="3:8" x14ac:dyDescent="0.25">
      <c r="C73" s="8"/>
      <c r="D73" s="2" t="s">
        <v>10024</v>
      </c>
      <c r="E73" s="76" t="s">
        <v>6593</v>
      </c>
      <c r="F73" s="35">
        <v>386</v>
      </c>
      <c r="G73" s="14"/>
      <c r="H73" s="9"/>
    </row>
    <row r="74" spans="3:8" x14ac:dyDescent="0.25">
      <c r="C74" s="8"/>
      <c r="D74" s="2" t="s">
        <v>10029</v>
      </c>
      <c r="E74" s="68" t="s">
        <v>9728</v>
      </c>
      <c r="F74" s="35"/>
      <c r="G74" s="14"/>
      <c r="H74" s="9">
        <v>9</v>
      </c>
    </row>
    <row r="75" spans="3:8" x14ac:dyDescent="0.25">
      <c r="C75" s="8"/>
      <c r="D75" s="2" t="s">
        <v>10082</v>
      </c>
      <c r="E75" s="68" t="s">
        <v>10084</v>
      </c>
      <c r="F75" s="35"/>
      <c r="G75" s="14"/>
      <c r="H75" s="9">
        <v>55</v>
      </c>
    </row>
    <row r="76" spans="3:8" x14ac:dyDescent="0.25">
      <c r="C76" s="8"/>
      <c r="D76" s="2" t="s">
        <v>10083</v>
      </c>
      <c r="E76" s="68" t="s">
        <v>10084</v>
      </c>
      <c r="F76" s="35"/>
      <c r="G76" s="14"/>
      <c r="H76" s="9">
        <v>110</v>
      </c>
    </row>
    <row r="77" spans="3:8" x14ac:dyDescent="0.25">
      <c r="C77" s="8"/>
      <c r="D77" s="2"/>
      <c r="E77" s="68"/>
      <c r="F77" s="35"/>
      <c r="G77" s="14"/>
      <c r="H77" s="9"/>
    </row>
    <row r="78" spans="3:8" x14ac:dyDescent="0.25">
      <c r="C78" s="8"/>
      <c r="D78" s="2"/>
      <c r="E78" s="68"/>
      <c r="F78" s="35"/>
      <c r="G78" s="14"/>
      <c r="H78" s="9"/>
    </row>
    <row r="79" spans="3:8" x14ac:dyDescent="0.25">
      <c r="C79" s="8"/>
      <c r="D79" s="2"/>
      <c r="E79" s="76"/>
      <c r="F79" s="35"/>
      <c r="G79" s="14"/>
      <c r="H79" s="9"/>
    </row>
    <row r="80" spans="3:8" x14ac:dyDescent="0.25">
      <c r="C80" s="8"/>
      <c r="D80" s="2"/>
      <c r="E80" s="76"/>
      <c r="F80" s="35"/>
      <c r="G80" s="14"/>
      <c r="H80" s="9"/>
    </row>
    <row r="81" spans="3:8" x14ac:dyDescent="0.25">
      <c r="C81" s="16"/>
      <c r="D81" s="17"/>
      <c r="E81" s="17" t="s">
        <v>39</v>
      </c>
      <c r="F81" s="4"/>
      <c r="G81" s="14"/>
      <c r="H81" s="9"/>
    </row>
    <row r="82" spans="3:8" x14ac:dyDescent="0.25">
      <c r="C82" s="8"/>
      <c r="D82" s="2"/>
      <c r="E82" s="68" t="s">
        <v>10064</v>
      </c>
      <c r="F82" s="35">
        <v>2125</v>
      </c>
      <c r="G82" s="14"/>
      <c r="H82" s="9"/>
    </row>
    <row r="83" spans="3:8" x14ac:dyDescent="0.25">
      <c r="C83" s="8"/>
      <c r="D83" s="2"/>
      <c r="E83" s="68" t="s">
        <v>10101</v>
      </c>
      <c r="F83" s="35">
        <v>20</v>
      </c>
      <c r="G83" s="14"/>
      <c r="H83" s="9"/>
    </row>
    <row r="84" spans="3:8" x14ac:dyDescent="0.25">
      <c r="C84" s="8"/>
      <c r="D84" s="2"/>
      <c r="E84" s="68" t="s">
        <v>2166</v>
      </c>
      <c r="F84" s="35">
        <v>4</v>
      </c>
      <c r="G84" s="14"/>
      <c r="H84" s="9"/>
    </row>
    <row r="85" spans="3:8" x14ac:dyDescent="0.25">
      <c r="C85" s="8"/>
      <c r="D85" s="2"/>
      <c r="E85" s="76"/>
      <c r="F85" s="35"/>
      <c r="G85" s="14"/>
      <c r="H85" s="9"/>
    </row>
    <row r="86" spans="3:8" x14ac:dyDescent="0.25">
      <c r="C86" s="8"/>
      <c r="D86" s="2"/>
      <c r="E86" s="76"/>
      <c r="F86" s="35"/>
      <c r="G86" s="14"/>
      <c r="H86" s="9"/>
    </row>
    <row r="87" spans="3:8" x14ac:dyDescent="0.25">
      <c r="C87" s="8"/>
      <c r="D87" s="2"/>
      <c r="E87" s="76"/>
      <c r="F87" s="35"/>
      <c r="G87" s="14"/>
      <c r="H87" s="9"/>
    </row>
    <row r="88" spans="3:8" x14ac:dyDescent="0.25">
      <c r="C88" s="8"/>
      <c r="D88" s="2"/>
      <c r="E88" s="68"/>
      <c r="F88" s="35"/>
      <c r="G88" s="14"/>
      <c r="H88" s="9"/>
    </row>
    <row r="89" spans="3:8" x14ac:dyDescent="0.25">
      <c r="C89" s="8"/>
      <c r="D89" s="2"/>
      <c r="E89" s="76"/>
      <c r="F89" s="35"/>
      <c r="G89" s="14"/>
      <c r="H89" s="9"/>
    </row>
    <row r="90" spans="3:8" x14ac:dyDescent="0.25">
      <c r="C90" s="8"/>
      <c r="D90" s="2"/>
      <c r="E90" s="76"/>
      <c r="F90" s="35"/>
      <c r="G90" s="14"/>
      <c r="H90" s="9"/>
    </row>
    <row r="91" spans="3:8" x14ac:dyDescent="0.25">
      <c r="C91" s="8"/>
      <c r="D91" s="2"/>
      <c r="E91" s="2"/>
      <c r="F91" s="4"/>
      <c r="G91" s="14"/>
      <c r="H91" s="9"/>
    </row>
    <row r="92" spans="3:8" x14ac:dyDescent="0.25">
      <c r="C92" s="19"/>
      <c r="D92" s="20"/>
      <c r="E92" s="20" t="s">
        <v>42</v>
      </c>
      <c r="F92" s="14"/>
      <c r="G92" s="14"/>
      <c r="H92" s="9"/>
    </row>
    <row r="93" spans="3:8" x14ac:dyDescent="0.25">
      <c r="C93" s="34"/>
      <c r="D93" s="139"/>
      <c r="E93" s="118" t="s">
        <v>10014</v>
      </c>
      <c r="F93" s="14">
        <v>-684</v>
      </c>
      <c r="G93" s="14"/>
      <c r="H93" s="9"/>
    </row>
    <row r="94" spans="3:8" x14ac:dyDescent="0.25">
      <c r="C94" s="34"/>
      <c r="D94" s="139"/>
      <c r="E94" s="118" t="s">
        <v>10015</v>
      </c>
      <c r="F94" s="14">
        <v>-750</v>
      </c>
      <c r="G94" s="14"/>
      <c r="H94" s="9"/>
    </row>
    <row r="95" spans="3:8" x14ac:dyDescent="0.25">
      <c r="C95" s="34"/>
      <c r="D95" s="139"/>
      <c r="E95" s="118" t="s">
        <v>10078</v>
      </c>
      <c r="F95" s="14">
        <v>-75</v>
      </c>
      <c r="G95" s="14"/>
      <c r="H95" s="9"/>
    </row>
    <row r="96" spans="3:8" x14ac:dyDescent="0.25">
      <c r="C96" s="34"/>
      <c r="D96" s="139"/>
      <c r="E96" s="118" t="s">
        <v>10079</v>
      </c>
      <c r="F96" s="14">
        <v>-25</v>
      </c>
      <c r="G96" s="14"/>
      <c r="H96" s="9"/>
    </row>
    <row r="97" spans="3:10" x14ac:dyDescent="0.25">
      <c r="C97" s="34"/>
      <c r="D97" s="139"/>
      <c r="E97" s="118" t="s">
        <v>10080</v>
      </c>
      <c r="F97" s="14">
        <v>-80</v>
      </c>
      <c r="G97" s="14"/>
      <c r="H97" s="9"/>
    </row>
    <row r="98" spans="3:10" x14ac:dyDescent="0.25">
      <c r="C98" s="34"/>
      <c r="D98" s="45" t="s">
        <v>10086</v>
      </c>
      <c r="E98" s="118" t="s">
        <v>10085</v>
      </c>
      <c r="F98" s="14">
        <v>-88</v>
      </c>
      <c r="G98" s="14"/>
      <c r="H98" s="9"/>
    </row>
    <row r="99" spans="3:10" x14ac:dyDescent="0.25">
      <c r="C99" s="34"/>
      <c r="D99" s="45"/>
      <c r="E99" s="118" t="s">
        <v>10087</v>
      </c>
      <c r="F99" s="14">
        <v>-22000</v>
      </c>
      <c r="G99" s="14"/>
      <c r="H99" s="9"/>
      <c r="J99" s="141" t="s">
        <v>10081</v>
      </c>
    </row>
    <row r="100" spans="3:10" x14ac:dyDescent="0.25">
      <c r="C100" s="34"/>
      <c r="D100" s="45"/>
      <c r="E100" s="118" t="s">
        <v>10088</v>
      </c>
      <c r="F100" s="14">
        <v>-72.5</v>
      </c>
      <c r="G100" s="14"/>
      <c r="H100" s="9"/>
    </row>
    <row r="101" spans="3:10" x14ac:dyDescent="0.25">
      <c r="C101" s="34"/>
      <c r="D101" s="45"/>
      <c r="E101" s="118" t="s">
        <v>10100</v>
      </c>
      <c r="F101" s="14">
        <v>-80</v>
      </c>
      <c r="G101" s="14"/>
      <c r="H101" s="9"/>
    </row>
    <row r="102" spans="3:10" x14ac:dyDescent="0.25">
      <c r="C102" s="34"/>
      <c r="D102" s="45"/>
      <c r="E102" s="118"/>
      <c r="F102" s="14"/>
      <c r="G102" s="14"/>
      <c r="H102" s="9"/>
    </row>
    <row r="103" spans="3:10" x14ac:dyDescent="0.25">
      <c r="C103" s="34"/>
      <c r="D103" s="45"/>
      <c r="E103" s="118"/>
      <c r="F103" s="14"/>
      <c r="G103" s="14"/>
      <c r="H103" s="9"/>
    </row>
    <row r="104" spans="3:10" x14ac:dyDescent="0.25">
      <c r="C104" s="34"/>
      <c r="D104" s="45"/>
      <c r="E104" s="68"/>
      <c r="F104" s="14"/>
      <c r="G104" s="14"/>
      <c r="H104" s="9"/>
    </row>
    <row r="105" spans="3:10" ht="15.75" thickBot="1" x14ac:dyDescent="0.3">
      <c r="C105" s="10"/>
      <c r="D105" s="11"/>
      <c r="E105" s="11" t="s">
        <v>44</v>
      </c>
      <c r="F105" s="12">
        <f>SUM(F9:F104)</f>
        <v>-5740</v>
      </c>
      <c r="G105" s="15">
        <f>SUM(G9:G104)</f>
        <v>1719.04</v>
      </c>
      <c r="H105" s="13">
        <f>SUM(H9:H104)</f>
        <v>11587.400000000001</v>
      </c>
    </row>
    <row r="108" spans="3:10" ht="21" x14ac:dyDescent="0.3">
      <c r="E108" s="119" t="s">
        <v>49</v>
      </c>
      <c r="F108" s="120">
        <f>H7+F105</f>
        <v>2866.1100000000006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726E-0176-4261-A2D6-2AAB9B4F0F12}">
  <sheetPr codeName="Hoja132"/>
  <dimension ref="C5:J111"/>
  <sheetViews>
    <sheetView topLeftCell="A55" workbookViewId="0">
      <selection activeCell="D33" sqref="D33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10102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2866.11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10106</v>
      </c>
      <c r="E9" s="122" t="s">
        <v>9458</v>
      </c>
      <c r="F9" s="109"/>
      <c r="G9" s="113"/>
      <c r="H9" s="112">
        <v>64</v>
      </c>
    </row>
    <row r="10" spans="3:8" x14ac:dyDescent="0.25">
      <c r="C10" s="136"/>
      <c r="D10" s="2" t="s">
        <v>10107</v>
      </c>
      <c r="E10" s="122" t="s">
        <v>5678</v>
      </c>
      <c r="F10" s="109"/>
      <c r="G10" s="113"/>
      <c r="H10" s="112">
        <v>30.5</v>
      </c>
    </row>
    <row r="11" spans="3:8" x14ac:dyDescent="0.25">
      <c r="C11" s="24"/>
      <c r="D11" s="2" t="s">
        <v>10108</v>
      </c>
      <c r="E11" s="122" t="s">
        <v>9455</v>
      </c>
      <c r="F11" s="109">
        <v>53</v>
      </c>
      <c r="G11" s="113"/>
      <c r="H11" s="112"/>
    </row>
    <row r="12" spans="3:8" x14ac:dyDescent="0.25">
      <c r="C12" s="8"/>
      <c r="D12" s="2" t="s">
        <v>10109</v>
      </c>
      <c r="E12" s="122" t="s">
        <v>9399</v>
      </c>
      <c r="F12" s="4">
        <v>6500</v>
      </c>
      <c r="G12" s="14"/>
      <c r="H12" s="9"/>
    </row>
    <row r="13" spans="3:8" x14ac:dyDescent="0.25">
      <c r="C13" s="8"/>
      <c r="D13" s="2" t="s">
        <v>10110</v>
      </c>
      <c r="E13" s="122" t="s">
        <v>5678</v>
      </c>
      <c r="F13" s="4">
        <v>11</v>
      </c>
      <c r="G13" s="14"/>
      <c r="H13" s="9"/>
    </row>
    <row r="14" spans="3:8" x14ac:dyDescent="0.25">
      <c r="C14" s="8"/>
      <c r="D14" s="2" t="s">
        <v>10111</v>
      </c>
      <c r="E14" s="122" t="s">
        <v>9457</v>
      </c>
      <c r="F14" s="4">
        <v>420.5</v>
      </c>
      <c r="G14" s="14"/>
      <c r="H14" s="9"/>
    </row>
    <row r="15" spans="3:8" x14ac:dyDescent="0.25">
      <c r="C15" s="8"/>
      <c r="D15" s="2" t="s">
        <v>10112</v>
      </c>
      <c r="E15" s="122" t="s">
        <v>7126</v>
      </c>
      <c r="F15" s="4">
        <v>9</v>
      </c>
      <c r="G15" s="14"/>
      <c r="H15" s="9"/>
    </row>
    <row r="16" spans="3:8" x14ac:dyDescent="0.25">
      <c r="C16" s="8"/>
      <c r="D16" s="2" t="s">
        <v>10113</v>
      </c>
      <c r="E16" s="122" t="s">
        <v>5678</v>
      </c>
      <c r="F16" s="4"/>
      <c r="G16" s="14"/>
      <c r="H16" s="9">
        <v>4.5</v>
      </c>
    </row>
    <row r="17" spans="3:8" x14ac:dyDescent="0.25">
      <c r="C17" s="8"/>
      <c r="D17" s="2" t="s">
        <v>10114</v>
      </c>
      <c r="E17" s="122" t="s">
        <v>5678</v>
      </c>
      <c r="F17" s="4">
        <v>6.6</v>
      </c>
      <c r="G17" s="14"/>
      <c r="H17" s="9"/>
    </row>
    <row r="18" spans="3:8" x14ac:dyDescent="0.25">
      <c r="C18" s="8"/>
      <c r="D18" s="2" t="s">
        <v>10115</v>
      </c>
      <c r="E18" s="122" t="s">
        <v>5678</v>
      </c>
      <c r="F18" s="4">
        <v>64</v>
      </c>
      <c r="G18" s="14"/>
      <c r="H18" s="9"/>
    </row>
    <row r="19" spans="3:8" x14ac:dyDescent="0.25">
      <c r="C19" s="8"/>
      <c r="D19" s="2" t="s">
        <v>10116</v>
      </c>
      <c r="E19" s="122" t="s">
        <v>5678</v>
      </c>
      <c r="F19" s="4">
        <v>50</v>
      </c>
      <c r="G19" s="14"/>
      <c r="H19" s="9"/>
    </row>
    <row r="20" spans="3:8" x14ac:dyDescent="0.25">
      <c r="C20" s="8"/>
      <c r="D20" s="2" t="s">
        <v>10117</v>
      </c>
      <c r="E20" s="122" t="s">
        <v>5678</v>
      </c>
      <c r="F20" s="4"/>
      <c r="G20" s="14"/>
      <c r="H20" s="9">
        <v>10</v>
      </c>
    </row>
    <row r="21" spans="3:8" x14ac:dyDescent="0.25">
      <c r="C21" s="8"/>
      <c r="D21" s="2" t="s">
        <v>10118</v>
      </c>
      <c r="E21" s="122" t="s">
        <v>5678</v>
      </c>
      <c r="F21" s="4"/>
      <c r="G21" s="14"/>
      <c r="H21" s="9">
        <v>4</v>
      </c>
    </row>
    <row r="22" spans="3:8" x14ac:dyDescent="0.25">
      <c r="C22" s="8"/>
      <c r="D22" s="2" t="s">
        <v>10119</v>
      </c>
      <c r="E22" s="122" t="s">
        <v>5678</v>
      </c>
      <c r="F22" s="4">
        <v>4.5</v>
      </c>
      <c r="G22" s="14"/>
      <c r="H22" s="9"/>
    </row>
    <row r="23" spans="3:8" x14ac:dyDescent="0.25">
      <c r="C23" s="8"/>
      <c r="D23" s="2" t="s">
        <v>10120</v>
      </c>
      <c r="E23" s="122" t="s">
        <v>5678</v>
      </c>
      <c r="F23" s="4"/>
      <c r="G23" s="14"/>
      <c r="H23" s="9">
        <v>6</v>
      </c>
    </row>
    <row r="24" spans="3:8" x14ac:dyDescent="0.25">
      <c r="C24" s="8"/>
      <c r="D24" s="2" t="s">
        <v>10121</v>
      </c>
      <c r="E24" s="122" t="s">
        <v>8806</v>
      </c>
      <c r="F24" s="4">
        <v>343</v>
      </c>
      <c r="G24" s="14"/>
      <c r="H24" s="9"/>
    </row>
    <row r="25" spans="3:8" x14ac:dyDescent="0.25">
      <c r="C25" s="8"/>
      <c r="D25" s="2" t="s">
        <v>10122</v>
      </c>
      <c r="E25" s="122" t="s">
        <v>5678</v>
      </c>
      <c r="F25" s="4">
        <v>69</v>
      </c>
      <c r="G25" s="14"/>
      <c r="H25" s="9"/>
    </row>
    <row r="26" spans="3:8" x14ac:dyDescent="0.25">
      <c r="C26" s="8"/>
      <c r="D26" s="2" t="s">
        <v>10123</v>
      </c>
      <c r="E26" s="122" t="s">
        <v>5678</v>
      </c>
      <c r="F26" s="4"/>
      <c r="G26" s="14"/>
      <c r="H26" s="9">
        <v>27</v>
      </c>
    </row>
    <row r="27" spans="3:8" x14ac:dyDescent="0.25">
      <c r="C27" s="8"/>
      <c r="D27" s="2" t="s">
        <v>10124</v>
      </c>
      <c r="E27" s="122" t="s">
        <v>5678</v>
      </c>
      <c r="F27" s="4"/>
      <c r="G27" s="14"/>
      <c r="H27" s="9">
        <v>4.5</v>
      </c>
    </row>
    <row r="28" spans="3:8" x14ac:dyDescent="0.25">
      <c r="C28" s="8"/>
      <c r="D28" s="2" t="s">
        <v>10152</v>
      </c>
      <c r="E28" s="122" t="s">
        <v>10154</v>
      </c>
      <c r="F28" s="4"/>
      <c r="G28" s="14">
        <v>447</v>
      </c>
      <c r="H28" s="9"/>
    </row>
    <row r="29" spans="3:8" x14ac:dyDescent="0.25">
      <c r="C29" s="8"/>
      <c r="D29" s="2" t="s">
        <v>10153</v>
      </c>
      <c r="E29" s="122" t="s">
        <v>5678</v>
      </c>
      <c r="F29" s="4"/>
      <c r="G29" s="14"/>
      <c r="H29" s="9">
        <v>30.5</v>
      </c>
    </row>
    <row r="30" spans="3:8" x14ac:dyDescent="0.25">
      <c r="C30" s="8"/>
      <c r="D30" s="2" t="s">
        <v>10166</v>
      </c>
      <c r="E30" s="122" t="s">
        <v>5678</v>
      </c>
      <c r="F30" s="4">
        <v>6</v>
      </c>
      <c r="G30" s="14"/>
      <c r="H30" s="9"/>
    </row>
    <row r="31" spans="3:8" x14ac:dyDescent="0.25">
      <c r="C31" s="8"/>
      <c r="D31" s="2" t="s">
        <v>10178</v>
      </c>
      <c r="E31" s="122" t="s">
        <v>8548</v>
      </c>
      <c r="F31" s="4"/>
      <c r="G31" s="14">
        <v>40</v>
      </c>
      <c r="H31" s="9"/>
    </row>
    <row r="32" spans="3:8" x14ac:dyDescent="0.25">
      <c r="C32" s="8"/>
      <c r="D32" s="2" t="s">
        <v>10179</v>
      </c>
      <c r="E32" s="122" t="s">
        <v>10180</v>
      </c>
      <c r="F32" s="4">
        <v>2245</v>
      </c>
      <c r="G32" s="14"/>
      <c r="H32" s="9"/>
    </row>
    <row r="33" spans="3:8" x14ac:dyDescent="0.25">
      <c r="C33" s="8"/>
      <c r="D33" s="2" t="s">
        <v>10233</v>
      </c>
      <c r="E33" s="122"/>
      <c r="F33" s="4"/>
      <c r="G33" s="14"/>
      <c r="H33" s="9"/>
    </row>
    <row r="34" spans="3:8" x14ac:dyDescent="0.25">
      <c r="C34" s="8"/>
      <c r="D34" s="2"/>
      <c r="E34" s="122"/>
      <c r="F34" s="4"/>
      <c r="G34" s="14"/>
      <c r="H34" s="9"/>
    </row>
    <row r="35" spans="3:8" x14ac:dyDescent="0.25">
      <c r="C35" s="8"/>
      <c r="D35" s="2" t="s">
        <v>10125</v>
      </c>
      <c r="E35" s="122" t="s">
        <v>9769</v>
      </c>
      <c r="F35" s="4"/>
      <c r="G35" s="14"/>
      <c r="H35" s="9">
        <v>640</v>
      </c>
    </row>
    <row r="36" spans="3:8" x14ac:dyDescent="0.25">
      <c r="C36" s="8"/>
      <c r="D36" s="2" t="s">
        <v>10126</v>
      </c>
      <c r="E36" s="122" t="s">
        <v>5394</v>
      </c>
      <c r="F36" s="4">
        <v>6</v>
      </c>
      <c r="G36" s="14"/>
      <c r="H36" s="9"/>
    </row>
    <row r="37" spans="3:8" x14ac:dyDescent="0.25">
      <c r="C37" s="8"/>
      <c r="D37" s="2" t="s">
        <v>10127</v>
      </c>
      <c r="E37" s="122" t="s">
        <v>5394</v>
      </c>
      <c r="F37" s="4">
        <v>15</v>
      </c>
      <c r="G37" s="14"/>
      <c r="H37" s="9"/>
    </row>
    <row r="38" spans="3:8" x14ac:dyDescent="0.25">
      <c r="C38" s="8"/>
      <c r="D38" s="2" t="s">
        <v>10128</v>
      </c>
      <c r="E38" s="122" t="s">
        <v>6441</v>
      </c>
      <c r="F38" s="4">
        <v>1619.3</v>
      </c>
      <c r="G38" s="14"/>
      <c r="H38" s="9">
        <v>3000</v>
      </c>
    </row>
    <row r="39" spans="3:8" x14ac:dyDescent="0.25">
      <c r="C39" s="8"/>
      <c r="D39" s="2" t="s">
        <v>10129</v>
      </c>
      <c r="E39" s="122" t="s">
        <v>5394</v>
      </c>
      <c r="F39" s="4">
        <v>5</v>
      </c>
      <c r="G39" s="14"/>
      <c r="H39" s="9"/>
    </row>
    <row r="40" spans="3:8" x14ac:dyDescent="0.25">
      <c r="C40" s="8"/>
      <c r="D40" s="2" t="s">
        <v>10130</v>
      </c>
      <c r="E40" s="122" t="s">
        <v>5394</v>
      </c>
      <c r="F40" s="4"/>
      <c r="G40" s="14"/>
      <c r="H40" s="9">
        <v>4.5</v>
      </c>
    </row>
    <row r="41" spans="3:8" x14ac:dyDescent="0.25">
      <c r="C41" s="8"/>
      <c r="D41" s="2" t="s">
        <v>10131</v>
      </c>
      <c r="E41" s="122" t="s">
        <v>5394</v>
      </c>
      <c r="F41" s="4">
        <v>15</v>
      </c>
      <c r="G41" s="14"/>
      <c r="H41" s="9"/>
    </row>
    <row r="42" spans="3:8" x14ac:dyDescent="0.25">
      <c r="C42" s="8"/>
      <c r="D42" s="2" t="s">
        <v>10132</v>
      </c>
      <c r="E42" s="122" t="s">
        <v>4079</v>
      </c>
      <c r="F42" s="4"/>
      <c r="G42" s="14"/>
      <c r="H42" s="9">
        <v>224</v>
      </c>
    </row>
    <row r="43" spans="3:8" x14ac:dyDescent="0.25">
      <c r="C43" s="8"/>
      <c r="D43" s="2" t="s">
        <v>10133</v>
      </c>
      <c r="E43" s="122" t="s">
        <v>5394</v>
      </c>
      <c r="F43" s="4"/>
      <c r="G43" s="14"/>
      <c r="H43" s="9">
        <v>46.5</v>
      </c>
    </row>
    <row r="44" spans="3:8" x14ac:dyDescent="0.25">
      <c r="C44" s="8"/>
      <c r="D44" s="2" t="s">
        <v>10134</v>
      </c>
      <c r="E44" s="122" t="s">
        <v>4516</v>
      </c>
      <c r="F44" s="4">
        <v>15.8</v>
      </c>
      <c r="G44" s="14"/>
      <c r="H44" s="9"/>
    </row>
    <row r="45" spans="3:8" x14ac:dyDescent="0.25">
      <c r="C45" s="8"/>
      <c r="D45" s="2" t="s">
        <v>10135</v>
      </c>
      <c r="E45" s="122" t="s">
        <v>5394</v>
      </c>
      <c r="F45" s="4">
        <v>68</v>
      </c>
      <c r="G45" s="14"/>
      <c r="H45" s="9"/>
    </row>
    <row r="46" spans="3:8" x14ac:dyDescent="0.25">
      <c r="C46" s="8"/>
      <c r="D46" s="2" t="s">
        <v>10136</v>
      </c>
      <c r="E46" s="122" t="s">
        <v>6061</v>
      </c>
      <c r="F46" s="4"/>
      <c r="G46" s="14"/>
      <c r="H46" s="9">
        <v>1030</v>
      </c>
    </row>
    <row r="47" spans="3:8" x14ac:dyDescent="0.25">
      <c r="C47" s="8"/>
      <c r="D47" s="2" t="s">
        <v>10137</v>
      </c>
      <c r="E47" s="122" t="s">
        <v>723</v>
      </c>
      <c r="F47" s="4"/>
      <c r="G47" s="14"/>
      <c r="H47" s="9">
        <v>72</v>
      </c>
    </row>
    <row r="48" spans="3:8" x14ac:dyDescent="0.25">
      <c r="C48" s="8"/>
      <c r="D48" s="2" t="s">
        <v>10138</v>
      </c>
      <c r="E48" s="122" t="s">
        <v>5308</v>
      </c>
      <c r="F48" s="4"/>
      <c r="G48" s="14"/>
      <c r="H48" s="9">
        <v>397.1</v>
      </c>
    </row>
    <row r="49" spans="3:8" x14ac:dyDescent="0.25">
      <c r="C49" s="8"/>
      <c r="D49" s="2" t="s">
        <v>10139</v>
      </c>
      <c r="E49" s="122" t="s">
        <v>5394</v>
      </c>
      <c r="F49" s="4">
        <v>8</v>
      </c>
      <c r="G49" s="14"/>
      <c r="H49" s="9"/>
    </row>
    <row r="50" spans="3:8" x14ac:dyDescent="0.25">
      <c r="C50" s="8"/>
      <c r="D50" s="2" t="s">
        <v>10140</v>
      </c>
      <c r="E50" s="122" t="s">
        <v>5394</v>
      </c>
      <c r="F50" s="4"/>
      <c r="G50" s="14"/>
      <c r="H50" s="9">
        <v>82</v>
      </c>
    </row>
    <row r="51" spans="3:8" x14ac:dyDescent="0.25">
      <c r="C51" s="8"/>
      <c r="D51" s="2" t="s">
        <v>10141</v>
      </c>
      <c r="E51" s="122" t="s">
        <v>10148</v>
      </c>
      <c r="F51" s="4"/>
      <c r="G51" s="14"/>
      <c r="H51" s="9">
        <v>843</v>
      </c>
    </row>
    <row r="52" spans="3:8" x14ac:dyDescent="0.25">
      <c r="C52" s="8"/>
      <c r="D52" s="2" t="s">
        <v>10142</v>
      </c>
      <c r="E52" s="122" t="s">
        <v>10147</v>
      </c>
      <c r="F52" s="4"/>
      <c r="G52" s="14"/>
      <c r="H52" s="9">
        <v>90.5</v>
      </c>
    </row>
    <row r="53" spans="3:8" x14ac:dyDescent="0.25">
      <c r="C53" s="8"/>
      <c r="D53" s="2" t="s">
        <v>10143</v>
      </c>
      <c r="E53" s="122" t="s">
        <v>5394</v>
      </c>
      <c r="F53" s="4">
        <v>10.5</v>
      </c>
      <c r="G53" s="14"/>
      <c r="H53" s="9"/>
    </row>
    <row r="54" spans="3:8" x14ac:dyDescent="0.25">
      <c r="C54" s="8"/>
      <c r="D54" s="2" t="s">
        <v>10144</v>
      </c>
      <c r="E54" s="122" t="s">
        <v>5394</v>
      </c>
      <c r="F54" s="4">
        <v>90</v>
      </c>
      <c r="G54" s="14"/>
      <c r="H54" s="9"/>
    </row>
    <row r="55" spans="3:8" x14ac:dyDescent="0.25">
      <c r="C55" s="8"/>
      <c r="D55" s="2" t="s">
        <v>10145</v>
      </c>
      <c r="E55" s="122" t="s">
        <v>5394</v>
      </c>
      <c r="F55" s="4"/>
      <c r="G55" s="14"/>
      <c r="H55" s="9">
        <v>34.5</v>
      </c>
    </row>
    <row r="56" spans="3:8" x14ac:dyDescent="0.25">
      <c r="C56" s="8"/>
      <c r="D56" s="2" t="s">
        <v>10146</v>
      </c>
      <c r="E56" s="122" t="s">
        <v>5394</v>
      </c>
      <c r="F56" s="4">
        <v>8</v>
      </c>
      <c r="G56" s="14"/>
      <c r="H56" s="9"/>
    </row>
    <row r="57" spans="3:8" x14ac:dyDescent="0.25">
      <c r="C57" s="8"/>
      <c r="D57" s="2" t="s">
        <v>10155</v>
      </c>
      <c r="E57" s="122" t="s">
        <v>4516</v>
      </c>
      <c r="F57" s="4">
        <v>34.5</v>
      </c>
      <c r="G57" s="14"/>
      <c r="H57" s="9"/>
    </row>
    <row r="58" spans="3:8" x14ac:dyDescent="0.25">
      <c r="C58" s="8"/>
      <c r="D58" s="2" t="s">
        <v>10156</v>
      </c>
      <c r="E58" s="122" t="s">
        <v>4079</v>
      </c>
      <c r="F58" s="4"/>
      <c r="G58" s="14"/>
      <c r="H58" s="9">
        <v>60</v>
      </c>
    </row>
    <row r="59" spans="3:8" x14ac:dyDescent="0.25">
      <c r="C59" s="8"/>
      <c r="D59" s="2" t="s">
        <v>10157</v>
      </c>
      <c r="E59" s="122" t="s">
        <v>10160</v>
      </c>
      <c r="F59" s="4"/>
      <c r="G59" s="14"/>
      <c r="H59" s="9">
        <v>38</v>
      </c>
    </row>
    <row r="60" spans="3:8" x14ac:dyDescent="0.25">
      <c r="C60" s="8"/>
      <c r="D60" s="2" t="s">
        <v>10158</v>
      </c>
      <c r="E60" s="122" t="s">
        <v>5394</v>
      </c>
      <c r="F60" s="4">
        <v>4</v>
      </c>
      <c r="G60" s="14"/>
      <c r="H60" s="9"/>
    </row>
    <row r="61" spans="3:8" x14ac:dyDescent="0.25">
      <c r="C61" s="8"/>
      <c r="D61" s="2" t="s">
        <v>10159</v>
      </c>
      <c r="E61" s="122" t="s">
        <v>9114</v>
      </c>
      <c r="F61" s="4">
        <v>92.75</v>
      </c>
      <c r="G61" s="14"/>
      <c r="H61" s="9"/>
    </row>
    <row r="62" spans="3:8" x14ac:dyDescent="0.25">
      <c r="C62" s="8"/>
      <c r="D62" s="2" t="s">
        <v>10167</v>
      </c>
      <c r="E62" s="122" t="s">
        <v>5394</v>
      </c>
      <c r="F62" s="4">
        <v>30</v>
      </c>
      <c r="G62" s="14"/>
      <c r="H62" s="9"/>
    </row>
    <row r="63" spans="3:8" x14ac:dyDescent="0.25">
      <c r="C63" s="8"/>
      <c r="D63" s="2" t="s">
        <v>10186</v>
      </c>
      <c r="E63" s="122"/>
      <c r="F63" s="4"/>
      <c r="G63" s="14"/>
      <c r="H63" s="9"/>
    </row>
    <row r="64" spans="3:8" x14ac:dyDescent="0.25">
      <c r="C64" s="8"/>
      <c r="D64" s="2"/>
      <c r="E64" s="2"/>
      <c r="F64" s="4"/>
      <c r="G64" s="14"/>
      <c r="H64" s="9"/>
    </row>
    <row r="65" spans="3:8" x14ac:dyDescent="0.25">
      <c r="C65" s="29"/>
      <c r="D65" s="30"/>
      <c r="E65" s="30" t="s">
        <v>60</v>
      </c>
      <c r="F65" s="4"/>
      <c r="G65" s="14"/>
      <c r="H65" s="9"/>
    </row>
    <row r="66" spans="3:8" x14ac:dyDescent="0.25">
      <c r="C66" s="8"/>
      <c r="D66" s="2" t="s">
        <v>10104</v>
      </c>
      <c r="E66" s="68" t="s">
        <v>6593</v>
      </c>
      <c r="F66" s="35">
        <v>170</v>
      </c>
      <c r="G66" s="14"/>
      <c r="H66" s="9"/>
    </row>
    <row r="67" spans="3:8" x14ac:dyDescent="0.25">
      <c r="C67" s="8"/>
      <c r="D67" s="2" t="s">
        <v>10105</v>
      </c>
      <c r="E67" s="68" t="s">
        <v>6593</v>
      </c>
      <c r="F67" s="35">
        <v>416</v>
      </c>
      <c r="G67" s="14"/>
      <c r="H67" s="9"/>
    </row>
    <row r="68" spans="3:8" x14ac:dyDescent="0.25">
      <c r="C68" s="8"/>
      <c r="D68" s="2" t="s">
        <v>10150</v>
      </c>
      <c r="E68" s="68" t="s">
        <v>10151</v>
      </c>
      <c r="F68" s="35"/>
      <c r="G68" s="14"/>
      <c r="H68" s="9">
        <v>102</v>
      </c>
    </row>
    <row r="69" spans="3:8" x14ac:dyDescent="0.25">
      <c r="C69" s="8"/>
      <c r="D69" s="2" t="s">
        <v>10177</v>
      </c>
      <c r="E69" s="68" t="s">
        <v>10176</v>
      </c>
      <c r="F69" s="35">
        <v>46</v>
      </c>
      <c r="G69" s="14"/>
      <c r="H69" s="9"/>
    </row>
    <row r="70" spans="3:8" x14ac:dyDescent="0.25">
      <c r="C70" s="8"/>
      <c r="D70" s="2"/>
      <c r="E70" s="68"/>
      <c r="F70" s="35"/>
      <c r="G70" s="14"/>
      <c r="H70" s="9"/>
    </row>
    <row r="71" spans="3:8" x14ac:dyDescent="0.25">
      <c r="C71" s="8"/>
      <c r="D71" s="2"/>
      <c r="E71" s="68"/>
      <c r="F71" s="35"/>
      <c r="G71" s="14"/>
      <c r="H71" s="9"/>
    </row>
    <row r="72" spans="3:8" x14ac:dyDescent="0.25">
      <c r="C72" s="8"/>
      <c r="D72" s="2"/>
      <c r="E72" s="68"/>
      <c r="F72" s="35"/>
      <c r="G72" s="14"/>
      <c r="H72" s="9"/>
    </row>
    <row r="73" spans="3:8" x14ac:dyDescent="0.25">
      <c r="C73" s="8"/>
      <c r="D73" s="2"/>
      <c r="E73" s="68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16"/>
      <c r="D76" s="17"/>
      <c r="E76" s="17" t="s">
        <v>39</v>
      </c>
      <c r="F76" s="4"/>
      <c r="G76" s="14"/>
      <c r="H76" s="9"/>
    </row>
    <row r="77" spans="3:8" ht="30" x14ac:dyDescent="0.25">
      <c r="C77" s="8"/>
      <c r="D77" s="2"/>
      <c r="E77" s="96" t="s">
        <v>10149</v>
      </c>
      <c r="F77" s="35">
        <v>500</v>
      </c>
      <c r="G77" s="14"/>
      <c r="H77" s="9"/>
    </row>
    <row r="78" spans="3:8" x14ac:dyDescent="0.25">
      <c r="C78" s="8"/>
      <c r="D78" s="2"/>
      <c r="E78" s="68" t="s">
        <v>10161</v>
      </c>
      <c r="F78" s="35">
        <v>3200</v>
      </c>
      <c r="G78" s="14"/>
      <c r="H78" s="9"/>
    </row>
    <row r="79" spans="3:8" x14ac:dyDescent="0.25">
      <c r="C79" s="8"/>
      <c r="D79" s="2"/>
      <c r="E79" s="68" t="s">
        <v>10162</v>
      </c>
      <c r="F79" s="35">
        <v>1744.83</v>
      </c>
      <c r="G79" s="14"/>
      <c r="H79" s="9"/>
    </row>
    <row r="80" spans="3:8" x14ac:dyDescent="0.25">
      <c r="C80" s="8"/>
      <c r="D80" s="2"/>
      <c r="E80" s="76" t="s">
        <v>10169</v>
      </c>
      <c r="F80" s="35">
        <v>8</v>
      </c>
      <c r="G80" s="14"/>
      <c r="H80" s="9"/>
    </row>
    <row r="81" spans="3:10" x14ac:dyDescent="0.25">
      <c r="C81" s="8"/>
      <c r="D81" s="2"/>
      <c r="E81" s="76" t="s">
        <v>10170</v>
      </c>
      <c r="F81" s="35">
        <v>147.5</v>
      </c>
      <c r="G81" s="14"/>
      <c r="H81" s="9"/>
    </row>
    <row r="82" spans="3:10" x14ac:dyDescent="0.25">
      <c r="C82" s="8"/>
      <c r="D82" s="2"/>
      <c r="E82" s="76" t="s">
        <v>10171</v>
      </c>
      <c r="F82" s="35">
        <v>24</v>
      </c>
      <c r="G82" s="14"/>
      <c r="H82" s="9"/>
    </row>
    <row r="83" spans="3:10" x14ac:dyDescent="0.25">
      <c r="C83" s="8"/>
      <c r="D83" s="2"/>
      <c r="E83" s="68"/>
      <c r="F83" s="35"/>
      <c r="G83" s="14"/>
      <c r="H83" s="9"/>
    </row>
    <row r="84" spans="3:10" x14ac:dyDescent="0.25">
      <c r="C84" s="8"/>
      <c r="D84" s="2"/>
      <c r="E84" s="76"/>
      <c r="F84" s="35"/>
      <c r="G84" s="14"/>
      <c r="H84" s="9"/>
    </row>
    <row r="85" spans="3:10" x14ac:dyDescent="0.25">
      <c r="C85" s="8"/>
      <c r="D85" s="2"/>
      <c r="E85" s="76"/>
      <c r="F85" s="35"/>
      <c r="G85" s="14"/>
      <c r="H85" s="9"/>
    </row>
    <row r="86" spans="3:10" x14ac:dyDescent="0.25">
      <c r="C86" s="8"/>
      <c r="D86" s="2"/>
      <c r="E86" s="2"/>
      <c r="F86" s="4"/>
      <c r="G86" s="14"/>
      <c r="H86" s="9"/>
    </row>
    <row r="87" spans="3:10" x14ac:dyDescent="0.25">
      <c r="C87" s="19"/>
      <c r="D87" s="20"/>
      <c r="E87" s="20" t="s">
        <v>42</v>
      </c>
      <c r="F87" s="14"/>
      <c r="G87" s="14"/>
      <c r="H87" s="9"/>
    </row>
    <row r="88" spans="3:10" x14ac:dyDescent="0.25">
      <c r="C88" s="34"/>
      <c r="D88" s="139"/>
      <c r="E88" s="118" t="s">
        <v>10103</v>
      </c>
      <c r="F88" s="14">
        <v>-1820</v>
      </c>
      <c r="G88" s="14"/>
      <c r="H88" s="9"/>
    </row>
    <row r="89" spans="3:10" x14ac:dyDescent="0.25">
      <c r="C89" s="34"/>
      <c r="D89" s="139"/>
      <c r="E89" s="118" t="s">
        <v>1466</v>
      </c>
      <c r="F89" s="14">
        <v>-255</v>
      </c>
      <c r="G89" s="14"/>
      <c r="H89" s="9"/>
    </row>
    <row r="90" spans="3:10" x14ac:dyDescent="0.25">
      <c r="C90" s="34"/>
      <c r="D90" s="139"/>
      <c r="E90" s="118" t="s">
        <v>10163</v>
      </c>
      <c r="F90" s="14">
        <v>-239</v>
      </c>
      <c r="G90" s="14"/>
      <c r="H90" s="9"/>
    </row>
    <row r="91" spans="3:10" x14ac:dyDescent="0.25">
      <c r="C91" s="34"/>
      <c r="D91" s="139"/>
      <c r="E91" s="118" t="s">
        <v>10164</v>
      </c>
      <c r="F91" s="14">
        <v>-5992</v>
      </c>
      <c r="G91" s="14"/>
      <c r="H91" s="9"/>
    </row>
    <row r="92" spans="3:10" x14ac:dyDescent="0.25">
      <c r="C92" s="34"/>
      <c r="D92" s="139"/>
      <c r="E92" s="118" t="s">
        <v>10165</v>
      </c>
      <c r="F92" s="14">
        <v>-650</v>
      </c>
      <c r="G92" s="14"/>
      <c r="H92" s="9"/>
    </row>
    <row r="93" spans="3:10" x14ac:dyDescent="0.25">
      <c r="C93" s="34"/>
      <c r="D93" s="45"/>
      <c r="E93" s="118" t="s">
        <v>10168</v>
      </c>
      <c r="F93" s="14">
        <v>-1310</v>
      </c>
      <c r="G93" s="14"/>
      <c r="H93" s="9"/>
    </row>
    <row r="94" spans="3:10" x14ac:dyDescent="0.25">
      <c r="C94" s="34"/>
      <c r="D94" s="45"/>
      <c r="E94" s="118" t="s">
        <v>10172</v>
      </c>
      <c r="F94" s="14">
        <v>-240</v>
      </c>
      <c r="G94" s="14"/>
      <c r="H94" s="9"/>
      <c r="J94" s="141"/>
    </row>
    <row r="95" spans="3:10" x14ac:dyDescent="0.25">
      <c r="C95" s="34"/>
      <c r="D95" s="45"/>
      <c r="E95" s="118" t="s">
        <v>6492</v>
      </c>
      <c r="F95" s="14">
        <v>-315</v>
      </c>
      <c r="G95" s="14"/>
      <c r="H95" s="9"/>
    </row>
    <row r="96" spans="3:10" x14ac:dyDescent="0.25">
      <c r="C96" s="34"/>
      <c r="D96" s="45"/>
      <c r="E96" s="118" t="s">
        <v>9675</v>
      </c>
      <c r="F96" s="14">
        <v>-170</v>
      </c>
      <c r="G96" s="14"/>
      <c r="H96" s="9"/>
    </row>
    <row r="97" spans="3:8" x14ac:dyDescent="0.25">
      <c r="C97" s="34"/>
      <c r="D97" s="45"/>
      <c r="E97" s="118" t="s">
        <v>10173</v>
      </c>
      <c r="F97" s="14">
        <v>-520</v>
      </c>
      <c r="G97" s="14"/>
      <c r="H97" s="9"/>
    </row>
    <row r="98" spans="3:8" x14ac:dyDescent="0.25">
      <c r="C98" s="34"/>
      <c r="D98" s="45"/>
      <c r="E98" s="118" t="s">
        <v>10174</v>
      </c>
      <c r="F98" s="14">
        <v>-370</v>
      </c>
      <c r="G98" s="14"/>
      <c r="H98" s="9"/>
    </row>
    <row r="99" spans="3:8" x14ac:dyDescent="0.25">
      <c r="C99" s="34"/>
      <c r="D99" s="45"/>
      <c r="E99" s="118" t="s">
        <v>490</v>
      </c>
      <c r="F99" s="14">
        <v>-375</v>
      </c>
      <c r="G99" s="14"/>
      <c r="H99" s="9"/>
    </row>
    <row r="100" spans="3:8" x14ac:dyDescent="0.25">
      <c r="C100" s="34"/>
      <c r="D100" s="45"/>
      <c r="E100" s="118" t="s">
        <v>10175</v>
      </c>
      <c r="F100" s="14">
        <v>-1630</v>
      </c>
      <c r="G100" s="14"/>
      <c r="H100" s="9"/>
    </row>
    <row r="101" spans="3:8" x14ac:dyDescent="0.25">
      <c r="C101" s="34"/>
      <c r="D101" s="45"/>
      <c r="E101" s="118" t="s">
        <v>10181</v>
      </c>
      <c r="F101" s="14">
        <v>-30</v>
      </c>
      <c r="G101" s="14"/>
      <c r="H101" s="9"/>
    </row>
    <row r="102" spans="3:8" x14ac:dyDescent="0.25">
      <c r="C102" s="34"/>
      <c r="D102" s="45"/>
      <c r="E102" s="118" t="s">
        <v>10182</v>
      </c>
      <c r="F102" s="14">
        <v>-920</v>
      </c>
      <c r="G102" s="14"/>
      <c r="H102" s="9"/>
    </row>
    <row r="103" spans="3:8" x14ac:dyDescent="0.25">
      <c r="C103" s="34"/>
      <c r="D103" s="45"/>
      <c r="E103" s="118" t="s">
        <v>10183</v>
      </c>
      <c r="F103" s="14">
        <v>-20</v>
      </c>
      <c r="G103" s="14"/>
      <c r="H103" s="9"/>
    </row>
    <row r="104" spans="3:8" x14ac:dyDescent="0.25">
      <c r="C104" s="34"/>
      <c r="D104" s="45"/>
      <c r="E104" s="118" t="s">
        <v>7016</v>
      </c>
      <c r="F104" s="14">
        <v>-162</v>
      </c>
      <c r="G104" s="14"/>
      <c r="H104" s="9"/>
    </row>
    <row r="105" spans="3:8" x14ac:dyDescent="0.25">
      <c r="C105" s="34"/>
      <c r="D105" s="45"/>
      <c r="E105" s="118" t="s">
        <v>10184</v>
      </c>
      <c r="F105" s="14">
        <v>-215</v>
      </c>
      <c r="G105" s="14"/>
      <c r="H105" s="9"/>
    </row>
    <row r="106" spans="3:8" x14ac:dyDescent="0.25">
      <c r="C106" s="34"/>
      <c r="D106" s="45"/>
      <c r="E106" s="118" t="s">
        <v>766</v>
      </c>
      <c r="F106" s="14">
        <v>-300</v>
      </c>
      <c r="G106" s="14"/>
      <c r="H106" s="9"/>
    </row>
    <row r="107" spans="3:8" x14ac:dyDescent="0.25">
      <c r="C107" s="34"/>
      <c r="D107" s="45"/>
      <c r="E107" s="68"/>
      <c r="F107" s="14"/>
      <c r="G107" s="14"/>
      <c r="H107" s="9"/>
    </row>
    <row r="108" spans="3:8" ht="15.75" thickBot="1" x14ac:dyDescent="0.3">
      <c r="C108" s="10"/>
      <c r="D108" s="11"/>
      <c r="E108" s="11" t="s">
        <v>44</v>
      </c>
      <c r="F108" s="12">
        <f>SUM(F9:F107)</f>
        <v>2526.7799999999988</v>
      </c>
      <c r="G108" s="15">
        <f>SUM(G9:G107)</f>
        <v>487</v>
      </c>
      <c r="H108" s="13">
        <f>SUM(H9:H107)</f>
        <v>6845.1</v>
      </c>
    </row>
    <row r="111" spans="3:8" ht="21" x14ac:dyDescent="0.3">
      <c r="E111" s="119" t="s">
        <v>49</v>
      </c>
      <c r="F111" s="120">
        <f>H7+F108</f>
        <v>5392.8899999999994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BB57-FD4D-47BF-B747-D98676936A31}">
  <sheetPr codeName="Hoja133"/>
  <dimension ref="C5:H72"/>
  <sheetViews>
    <sheetView topLeftCell="A41" workbookViewId="0">
      <selection activeCell="F72" sqref="F72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10185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5392.89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10186</v>
      </c>
      <c r="E9" s="122" t="s">
        <v>6704</v>
      </c>
      <c r="F9" s="109">
        <v>40</v>
      </c>
      <c r="G9" s="113"/>
      <c r="H9" s="112"/>
    </row>
    <row r="10" spans="3:8" x14ac:dyDescent="0.25">
      <c r="C10" s="136"/>
      <c r="D10" s="2" t="s">
        <v>10187</v>
      </c>
      <c r="E10" s="122" t="s">
        <v>4546</v>
      </c>
      <c r="F10" s="109"/>
      <c r="G10" s="113"/>
      <c r="H10" s="112">
        <v>106</v>
      </c>
    </row>
    <row r="11" spans="3:8" x14ac:dyDescent="0.25">
      <c r="C11" s="24"/>
      <c r="D11" s="2" t="s">
        <v>10188</v>
      </c>
      <c r="E11" s="122" t="s">
        <v>5847</v>
      </c>
      <c r="F11" s="109"/>
      <c r="G11" s="113"/>
      <c r="H11" s="112">
        <v>30.5</v>
      </c>
    </row>
    <row r="12" spans="3:8" x14ac:dyDescent="0.25">
      <c r="C12" s="8"/>
      <c r="D12" s="2" t="s">
        <v>10189</v>
      </c>
      <c r="E12" s="122" t="s">
        <v>5847</v>
      </c>
      <c r="F12" s="4">
        <v>9</v>
      </c>
      <c r="G12" s="14"/>
      <c r="H12" s="9"/>
    </row>
    <row r="13" spans="3:8" x14ac:dyDescent="0.25">
      <c r="C13" s="8"/>
      <c r="D13" s="2" t="s">
        <v>10190</v>
      </c>
      <c r="E13" s="122" t="s">
        <v>5847</v>
      </c>
      <c r="F13" s="4">
        <v>2</v>
      </c>
      <c r="G13" s="14"/>
      <c r="H13" s="9"/>
    </row>
    <row r="14" spans="3:8" x14ac:dyDescent="0.25">
      <c r="C14" s="8"/>
      <c r="D14" s="2" t="s">
        <v>10191</v>
      </c>
      <c r="E14" s="122" t="s">
        <v>6693</v>
      </c>
      <c r="F14" s="4"/>
      <c r="G14" s="14"/>
      <c r="H14" s="9">
        <v>30.5</v>
      </c>
    </row>
    <row r="15" spans="3:8" x14ac:dyDescent="0.25">
      <c r="C15" s="8"/>
      <c r="D15" s="2" t="s">
        <v>10192</v>
      </c>
      <c r="E15" s="122" t="s">
        <v>5847</v>
      </c>
      <c r="F15" s="4">
        <v>75</v>
      </c>
      <c r="G15" s="14"/>
      <c r="H15" s="9"/>
    </row>
    <row r="16" spans="3:8" x14ac:dyDescent="0.25">
      <c r="C16" s="8"/>
      <c r="D16" s="2" t="s">
        <v>10193</v>
      </c>
      <c r="E16" s="122" t="s">
        <v>5847</v>
      </c>
      <c r="F16" s="4">
        <v>6</v>
      </c>
      <c r="G16" s="14"/>
      <c r="H16" s="9"/>
    </row>
    <row r="17" spans="3:8" x14ac:dyDescent="0.25">
      <c r="C17" s="8"/>
      <c r="D17" s="2" t="s">
        <v>10194</v>
      </c>
      <c r="E17" s="122" t="s">
        <v>5847</v>
      </c>
      <c r="F17" s="4">
        <v>20</v>
      </c>
      <c r="G17" s="14"/>
      <c r="H17" s="9"/>
    </row>
    <row r="18" spans="3:8" x14ac:dyDescent="0.25">
      <c r="C18" s="8"/>
      <c r="D18" s="2" t="s">
        <v>10195</v>
      </c>
      <c r="E18" s="122" t="s">
        <v>5847</v>
      </c>
      <c r="F18" s="4">
        <v>50</v>
      </c>
      <c r="G18" s="14"/>
      <c r="H18" s="9"/>
    </row>
    <row r="19" spans="3:8" x14ac:dyDescent="0.25">
      <c r="C19" s="8"/>
      <c r="D19" s="2" t="s">
        <v>10196</v>
      </c>
      <c r="E19" s="122" t="s">
        <v>5847</v>
      </c>
      <c r="F19" s="4">
        <v>5</v>
      </c>
      <c r="G19" s="14"/>
      <c r="H19" s="9"/>
    </row>
    <row r="20" spans="3:8" x14ac:dyDescent="0.25">
      <c r="C20" s="8"/>
      <c r="D20" s="2" t="s">
        <v>10197</v>
      </c>
      <c r="E20" s="122" t="s">
        <v>5847</v>
      </c>
      <c r="F20" s="4">
        <v>10</v>
      </c>
      <c r="G20" s="14"/>
      <c r="H20" s="9"/>
    </row>
    <row r="21" spans="3:8" x14ac:dyDescent="0.25">
      <c r="C21" s="8"/>
      <c r="D21" s="2" t="s">
        <v>10198</v>
      </c>
      <c r="E21" s="122" t="s">
        <v>6707</v>
      </c>
      <c r="F21" s="4">
        <v>555</v>
      </c>
      <c r="G21" s="14"/>
      <c r="H21" s="9"/>
    </row>
    <row r="22" spans="3:8" x14ac:dyDescent="0.25">
      <c r="C22" s="8"/>
      <c r="D22" s="2" t="s">
        <v>10199</v>
      </c>
      <c r="E22" s="122" t="s">
        <v>5847</v>
      </c>
      <c r="F22" s="4">
        <v>1</v>
      </c>
      <c r="G22" s="14"/>
      <c r="H22" s="9"/>
    </row>
    <row r="23" spans="3:8" x14ac:dyDescent="0.25">
      <c r="C23" s="8"/>
      <c r="D23" s="2" t="s">
        <v>10200</v>
      </c>
      <c r="E23" s="122" t="s">
        <v>10220</v>
      </c>
      <c r="F23" s="4">
        <v>200</v>
      </c>
      <c r="G23" s="14"/>
      <c r="H23" s="9">
        <v>131.5</v>
      </c>
    </row>
    <row r="24" spans="3:8" x14ac:dyDescent="0.25">
      <c r="C24" s="8"/>
      <c r="D24" s="2" t="s">
        <v>10201</v>
      </c>
      <c r="E24" s="122" t="s">
        <v>5847</v>
      </c>
      <c r="F24" s="4"/>
      <c r="G24" s="14"/>
      <c r="H24" s="9">
        <v>15</v>
      </c>
    </row>
    <row r="25" spans="3:8" x14ac:dyDescent="0.25">
      <c r="C25" s="8"/>
      <c r="D25" s="2" t="s">
        <v>10202</v>
      </c>
      <c r="E25" s="122" t="s">
        <v>10220</v>
      </c>
      <c r="F25" s="4"/>
      <c r="G25" s="14"/>
      <c r="H25" s="9">
        <v>60</v>
      </c>
    </row>
    <row r="26" spans="3:8" x14ac:dyDescent="0.25">
      <c r="C26" s="8"/>
      <c r="D26" s="2" t="s">
        <v>10203</v>
      </c>
      <c r="E26" s="122" t="s">
        <v>5847</v>
      </c>
      <c r="F26" s="4"/>
      <c r="G26" s="14"/>
      <c r="H26" s="9">
        <v>4.5</v>
      </c>
    </row>
    <row r="27" spans="3:8" x14ac:dyDescent="0.25">
      <c r="C27" s="8"/>
      <c r="D27" s="2" t="s">
        <v>10204</v>
      </c>
      <c r="E27" s="122" t="s">
        <v>5847</v>
      </c>
      <c r="F27" s="4">
        <v>42</v>
      </c>
      <c r="G27" s="14"/>
      <c r="H27" s="9"/>
    </row>
    <row r="28" spans="3:8" x14ac:dyDescent="0.25">
      <c r="C28" s="8"/>
      <c r="D28" s="2" t="s">
        <v>10205</v>
      </c>
      <c r="E28" s="122" t="s">
        <v>5847</v>
      </c>
      <c r="F28" s="4">
        <v>1</v>
      </c>
      <c r="G28" s="14"/>
      <c r="H28" s="9"/>
    </row>
    <row r="29" spans="3:8" x14ac:dyDescent="0.25">
      <c r="C29" s="8"/>
      <c r="D29" s="2" t="s">
        <v>10206</v>
      </c>
      <c r="E29" s="122" t="s">
        <v>5847</v>
      </c>
      <c r="F29" s="4">
        <v>4</v>
      </c>
      <c r="G29" s="14"/>
      <c r="H29" s="9"/>
    </row>
    <row r="30" spans="3:8" x14ac:dyDescent="0.25">
      <c r="C30" s="8"/>
      <c r="D30" s="2" t="s">
        <v>10207</v>
      </c>
      <c r="E30" s="122" t="s">
        <v>5847</v>
      </c>
      <c r="F30" s="4">
        <v>13</v>
      </c>
      <c r="G30" s="14"/>
      <c r="H30" s="9"/>
    </row>
    <row r="31" spans="3:8" x14ac:dyDescent="0.25">
      <c r="C31" s="8"/>
      <c r="D31" s="2" t="s">
        <v>10208</v>
      </c>
      <c r="E31" s="122" t="s">
        <v>10219</v>
      </c>
      <c r="F31" s="4"/>
      <c r="G31" s="14"/>
      <c r="H31" s="9">
        <v>129</v>
      </c>
    </row>
    <row r="32" spans="3:8" x14ac:dyDescent="0.25">
      <c r="C32" s="8"/>
      <c r="D32" s="2" t="s">
        <v>10209</v>
      </c>
      <c r="E32" s="122" t="s">
        <v>10218</v>
      </c>
      <c r="F32" s="4">
        <v>60</v>
      </c>
      <c r="G32" s="14"/>
      <c r="H32" s="9">
        <v>34</v>
      </c>
    </row>
    <row r="33" spans="3:8" x14ac:dyDescent="0.25">
      <c r="C33" s="8"/>
      <c r="D33" s="2" t="s">
        <v>10210</v>
      </c>
      <c r="E33" s="122" t="s">
        <v>5847</v>
      </c>
      <c r="F33" s="4"/>
      <c r="G33" s="14"/>
      <c r="H33" s="9">
        <v>5</v>
      </c>
    </row>
    <row r="34" spans="3:8" x14ac:dyDescent="0.25">
      <c r="C34" s="8"/>
      <c r="D34" s="2" t="s">
        <v>10211</v>
      </c>
      <c r="E34" s="122" t="s">
        <v>5847</v>
      </c>
      <c r="F34" s="4"/>
      <c r="G34" s="14"/>
      <c r="H34" s="9">
        <v>9</v>
      </c>
    </row>
    <row r="35" spans="3:8" x14ac:dyDescent="0.25">
      <c r="C35" s="8"/>
      <c r="D35" s="2" t="s">
        <v>10212</v>
      </c>
      <c r="E35" s="122" t="s">
        <v>5847</v>
      </c>
      <c r="F35" s="4"/>
      <c r="G35" s="14"/>
      <c r="H35" s="9">
        <v>4</v>
      </c>
    </row>
    <row r="36" spans="3:8" x14ac:dyDescent="0.25">
      <c r="C36" s="8"/>
      <c r="D36" s="2" t="s">
        <v>10213</v>
      </c>
      <c r="E36" s="122" t="s">
        <v>5847</v>
      </c>
      <c r="F36" s="4"/>
      <c r="G36" s="14"/>
      <c r="H36" s="9">
        <v>5</v>
      </c>
    </row>
    <row r="37" spans="3:8" x14ac:dyDescent="0.25">
      <c r="C37" s="8"/>
      <c r="D37" s="2" t="s">
        <v>10214</v>
      </c>
      <c r="E37" s="122" t="s">
        <v>5847</v>
      </c>
      <c r="F37" s="4"/>
      <c r="G37" s="14"/>
      <c r="H37" s="9">
        <v>1</v>
      </c>
    </row>
    <row r="38" spans="3:8" x14ac:dyDescent="0.25">
      <c r="C38" s="8"/>
      <c r="D38" s="2" t="s">
        <v>10215</v>
      </c>
      <c r="E38" s="122" t="s">
        <v>5847</v>
      </c>
      <c r="F38" s="4"/>
      <c r="G38" s="14"/>
      <c r="H38" s="9">
        <v>5.9</v>
      </c>
    </row>
    <row r="39" spans="3:8" x14ac:dyDescent="0.25">
      <c r="C39" s="8"/>
      <c r="D39" s="2" t="s">
        <v>10216</v>
      </c>
      <c r="E39" s="122" t="s">
        <v>5847</v>
      </c>
      <c r="F39" s="4">
        <v>5</v>
      </c>
      <c r="G39" s="14"/>
      <c r="H39" s="9"/>
    </row>
    <row r="40" spans="3:8" x14ac:dyDescent="0.25">
      <c r="C40" s="8"/>
      <c r="D40" s="2" t="s">
        <v>10217</v>
      </c>
      <c r="E40" s="122" t="s">
        <v>5847</v>
      </c>
      <c r="F40" s="4"/>
      <c r="G40" s="14"/>
      <c r="H40" s="9">
        <v>19</v>
      </c>
    </row>
    <row r="41" spans="3:8" x14ac:dyDescent="0.25">
      <c r="C41" s="8"/>
      <c r="D41" s="2" t="s">
        <v>10221</v>
      </c>
      <c r="E41" s="122" t="s">
        <v>5847</v>
      </c>
      <c r="F41" s="4"/>
      <c r="G41" s="14"/>
      <c r="H41" s="9">
        <v>82.5</v>
      </c>
    </row>
    <row r="42" spans="3:8" x14ac:dyDescent="0.25">
      <c r="C42" s="8"/>
      <c r="D42" s="2" t="s">
        <v>10222</v>
      </c>
      <c r="E42" s="122" t="s">
        <v>5847</v>
      </c>
      <c r="F42" s="4">
        <v>28.5</v>
      </c>
      <c r="G42" s="14"/>
      <c r="H42" s="9"/>
    </row>
    <row r="43" spans="3:8" x14ac:dyDescent="0.25">
      <c r="C43" s="8"/>
      <c r="D43" s="2" t="s">
        <v>10223</v>
      </c>
      <c r="E43" s="122" t="s">
        <v>5847</v>
      </c>
      <c r="F43" s="4">
        <v>13.5</v>
      </c>
      <c r="G43" s="14"/>
      <c r="H43" s="9"/>
    </row>
    <row r="44" spans="3:8" x14ac:dyDescent="0.25">
      <c r="C44" s="8"/>
      <c r="D44" s="2" t="s">
        <v>10224</v>
      </c>
      <c r="E44" s="122" t="s">
        <v>5847</v>
      </c>
      <c r="F44" s="4">
        <v>5</v>
      </c>
      <c r="G44" s="14"/>
      <c r="H44" s="9"/>
    </row>
    <row r="45" spans="3:8" x14ac:dyDescent="0.25">
      <c r="C45" s="8"/>
      <c r="D45" s="2" t="s">
        <v>10225</v>
      </c>
      <c r="E45" s="122" t="s">
        <v>5847</v>
      </c>
      <c r="F45" s="4"/>
      <c r="G45" s="14"/>
      <c r="H45" s="9">
        <v>56</v>
      </c>
    </row>
    <row r="46" spans="3:8" x14ac:dyDescent="0.25">
      <c r="C46" s="8"/>
      <c r="D46" s="2" t="s">
        <v>10256</v>
      </c>
      <c r="E46" s="122"/>
      <c r="F46" s="4"/>
      <c r="G46" s="14"/>
      <c r="H46" s="9"/>
    </row>
    <row r="47" spans="3:8" x14ac:dyDescent="0.25">
      <c r="C47" s="8"/>
      <c r="D47" s="2"/>
      <c r="E47" s="122"/>
      <c r="F47" s="4"/>
      <c r="G47" s="14"/>
      <c r="H47" s="9"/>
    </row>
    <row r="48" spans="3:8" x14ac:dyDescent="0.25">
      <c r="C48" s="8"/>
      <c r="D48" s="2"/>
      <c r="E48" s="2"/>
      <c r="F48" s="4"/>
      <c r="G48" s="14"/>
      <c r="H48" s="9"/>
    </row>
    <row r="49" spans="3:8" x14ac:dyDescent="0.25">
      <c r="C49" s="29"/>
      <c r="D49" s="30"/>
      <c r="E49" s="30" t="s">
        <v>60</v>
      </c>
      <c r="F49" s="4"/>
      <c r="G49" s="14"/>
      <c r="H49" s="9"/>
    </row>
    <row r="50" spans="3:8" x14ac:dyDescent="0.25">
      <c r="C50" s="8"/>
      <c r="D50" s="2"/>
      <c r="E50" s="68"/>
      <c r="F50" s="35"/>
      <c r="G50" s="14"/>
      <c r="H50" s="9"/>
    </row>
    <row r="51" spans="3:8" x14ac:dyDescent="0.25">
      <c r="C51" s="8"/>
      <c r="D51" s="2"/>
      <c r="E51" s="68"/>
      <c r="F51" s="35"/>
      <c r="G51" s="14"/>
      <c r="H51" s="9"/>
    </row>
    <row r="52" spans="3:8" x14ac:dyDescent="0.25">
      <c r="C52" s="8"/>
      <c r="D52" s="2"/>
      <c r="E52" s="76"/>
      <c r="F52" s="35"/>
      <c r="G52" s="14"/>
      <c r="H52" s="9"/>
    </row>
    <row r="53" spans="3:8" x14ac:dyDescent="0.25">
      <c r="C53" s="8"/>
      <c r="D53" s="2"/>
      <c r="E53" s="76"/>
      <c r="F53" s="35"/>
      <c r="G53" s="14"/>
      <c r="H53" s="9"/>
    </row>
    <row r="54" spans="3:8" x14ac:dyDescent="0.25">
      <c r="C54" s="16"/>
      <c r="D54" s="17"/>
      <c r="E54" s="17" t="s">
        <v>39</v>
      </c>
      <c r="F54" s="4"/>
      <c r="G54" s="14"/>
      <c r="H54" s="9"/>
    </row>
    <row r="55" spans="3:8" x14ac:dyDescent="0.25">
      <c r="C55" s="8"/>
      <c r="D55" s="2"/>
      <c r="E55" s="96"/>
      <c r="F55" s="35"/>
      <c r="G55" s="14"/>
      <c r="H55" s="9"/>
    </row>
    <row r="56" spans="3:8" x14ac:dyDescent="0.25">
      <c r="C56" s="8"/>
      <c r="D56" s="2"/>
      <c r="E56" s="68"/>
      <c r="F56" s="35"/>
      <c r="G56" s="14"/>
      <c r="H56" s="9"/>
    </row>
    <row r="57" spans="3:8" x14ac:dyDescent="0.25">
      <c r="C57" s="8"/>
      <c r="D57" s="2"/>
      <c r="E57" s="76"/>
      <c r="F57" s="35"/>
      <c r="G57" s="14"/>
      <c r="H57" s="9"/>
    </row>
    <row r="58" spans="3:8" x14ac:dyDescent="0.25">
      <c r="C58" s="8"/>
      <c r="D58" s="2"/>
      <c r="E58" s="2"/>
      <c r="F58" s="4"/>
      <c r="G58" s="14"/>
      <c r="H58" s="9"/>
    </row>
    <row r="59" spans="3:8" x14ac:dyDescent="0.25">
      <c r="C59" s="19"/>
      <c r="D59" s="20"/>
      <c r="E59" s="20" t="s">
        <v>42</v>
      </c>
      <c r="F59" s="14"/>
      <c r="G59" s="14"/>
      <c r="H59" s="9"/>
    </row>
    <row r="60" spans="3:8" x14ac:dyDescent="0.25">
      <c r="C60" s="34"/>
      <c r="D60" s="139"/>
      <c r="E60" s="118" t="s">
        <v>7216</v>
      </c>
      <c r="F60" s="14">
        <v>-361</v>
      </c>
      <c r="G60" s="14"/>
      <c r="H60" s="9"/>
    </row>
    <row r="61" spans="3:8" x14ac:dyDescent="0.25">
      <c r="C61" s="34"/>
      <c r="D61" s="139"/>
      <c r="E61" s="118" t="s">
        <v>6105</v>
      </c>
      <c r="F61" s="14">
        <v>-100</v>
      </c>
      <c r="G61" s="14"/>
      <c r="H61" s="9"/>
    </row>
    <row r="62" spans="3:8" x14ac:dyDescent="0.25">
      <c r="C62" s="34"/>
      <c r="D62" s="139"/>
      <c r="E62" s="118" t="s">
        <v>1486</v>
      </c>
      <c r="F62" s="14">
        <v>-30</v>
      </c>
      <c r="G62" s="14"/>
      <c r="H62" s="9"/>
    </row>
    <row r="63" spans="3:8" x14ac:dyDescent="0.25">
      <c r="C63" s="34"/>
      <c r="D63" s="139"/>
      <c r="E63" s="118" t="s">
        <v>478</v>
      </c>
      <c r="F63" s="14">
        <v>-40</v>
      </c>
      <c r="G63" s="14"/>
      <c r="H63" s="9"/>
    </row>
    <row r="64" spans="3:8" x14ac:dyDescent="0.25">
      <c r="C64" s="34"/>
      <c r="D64" s="139"/>
      <c r="E64" s="118" t="s">
        <v>1553</v>
      </c>
      <c r="F64" s="14">
        <v>-40</v>
      </c>
      <c r="G64" s="14"/>
      <c r="H64" s="9"/>
    </row>
    <row r="65" spans="3:8" x14ac:dyDescent="0.25">
      <c r="C65" s="34"/>
      <c r="D65" s="45"/>
      <c r="E65" s="118"/>
      <c r="F65" s="14"/>
      <c r="G65" s="14"/>
      <c r="H65" s="9"/>
    </row>
    <row r="66" spans="3:8" x14ac:dyDescent="0.25">
      <c r="C66" s="34"/>
      <c r="D66" s="45"/>
      <c r="E66" s="118"/>
      <c r="F66" s="14"/>
      <c r="G66" s="14"/>
      <c r="H66" s="9"/>
    </row>
    <row r="67" spans="3:8" x14ac:dyDescent="0.25">
      <c r="C67" s="34"/>
      <c r="D67" s="45"/>
      <c r="E67" s="118"/>
      <c r="F67" s="14"/>
      <c r="G67" s="14"/>
      <c r="H67" s="9"/>
    </row>
    <row r="68" spans="3:8" x14ac:dyDescent="0.25">
      <c r="C68" s="34"/>
      <c r="D68" s="45"/>
      <c r="E68" s="68"/>
      <c r="F68" s="14"/>
      <c r="G68" s="14"/>
      <c r="H68" s="9"/>
    </row>
    <row r="69" spans="3:8" ht="15.75" thickBot="1" x14ac:dyDescent="0.3">
      <c r="C69" s="10"/>
      <c r="D69" s="11"/>
      <c r="E69" s="11" t="s">
        <v>44</v>
      </c>
      <c r="F69" s="12">
        <f>SUM(F9:F68)</f>
        <v>574</v>
      </c>
      <c r="G69" s="15">
        <f>SUM(G9:G68)</f>
        <v>0</v>
      </c>
      <c r="H69" s="13">
        <f>SUM(H9:H68)</f>
        <v>728.4</v>
      </c>
    </row>
    <row r="72" spans="3:8" ht="21" x14ac:dyDescent="0.3">
      <c r="E72" s="119" t="s">
        <v>49</v>
      </c>
      <c r="F72" s="120">
        <f>H7+F69</f>
        <v>5966.89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11A5-E24E-4012-AA70-C69D23E6D3F6}">
  <sheetPr codeName="Hoja134"/>
  <dimension ref="C5:J100"/>
  <sheetViews>
    <sheetView topLeftCell="A66" workbookViewId="0">
      <selection activeCell="F100" sqref="F100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10226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5966.89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10233</v>
      </c>
      <c r="E9" s="122" t="s">
        <v>12</v>
      </c>
      <c r="F9" s="109">
        <v>6</v>
      </c>
      <c r="G9" s="113"/>
      <c r="H9" s="112"/>
    </row>
    <row r="10" spans="3:8" x14ac:dyDescent="0.25">
      <c r="C10" s="136"/>
      <c r="D10" s="2" t="s">
        <v>10234</v>
      </c>
      <c r="E10" s="122" t="s">
        <v>12</v>
      </c>
      <c r="F10" s="109">
        <v>5</v>
      </c>
      <c r="G10" s="113"/>
      <c r="H10" s="112"/>
    </row>
    <row r="11" spans="3:8" x14ac:dyDescent="0.25">
      <c r="C11" s="24"/>
      <c r="D11" s="2" t="s">
        <v>10235</v>
      </c>
      <c r="E11" s="122" t="s">
        <v>12</v>
      </c>
      <c r="F11" s="109">
        <v>48.5</v>
      </c>
      <c r="G11" s="113"/>
      <c r="H11" s="112"/>
    </row>
    <row r="12" spans="3:8" x14ac:dyDescent="0.25">
      <c r="C12" s="8"/>
      <c r="D12" s="2" t="s">
        <v>10236</v>
      </c>
      <c r="E12" s="122" t="s">
        <v>12</v>
      </c>
      <c r="F12" s="4">
        <v>56.5</v>
      </c>
      <c r="G12" s="14"/>
      <c r="H12" s="9"/>
    </row>
    <row r="13" spans="3:8" x14ac:dyDescent="0.25">
      <c r="C13" s="8"/>
      <c r="D13" s="2" t="s">
        <v>10237</v>
      </c>
      <c r="E13" s="122" t="s">
        <v>12</v>
      </c>
      <c r="F13" s="4">
        <v>25</v>
      </c>
      <c r="G13" s="14"/>
      <c r="H13" s="9"/>
    </row>
    <row r="14" spans="3:8" x14ac:dyDescent="0.25">
      <c r="C14" s="8"/>
      <c r="D14" s="2" t="s">
        <v>10238</v>
      </c>
      <c r="E14" s="122" t="s">
        <v>12</v>
      </c>
      <c r="F14" s="4">
        <v>3</v>
      </c>
      <c r="G14" s="14"/>
      <c r="H14" s="9"/>
    </row>
    <row r="15" spans="3:8" x14ac:dyDescent="0.25">
      <c r="C15" s="8"/>
      <c r="D15" s="2" t="s">
        <v>10239</v>
      </c>
      <c r="E15" s="122" t="s">
        <v>12</v>
      </c>
      <c r="F15" s="4">
        <v>1</v>
      </c>
      <c r="G15" s="14"/>
      <c r="H15" s="9"/>
    </row>
    <row r="16" spans="3:8" x14ac:dyDescent="0.25">
      <c r="C16" s="8"/>
      <c r="D16" s="2" t="s">
        <v>10240</v>
      </c>
      <c r="E16" s="122" t="s">
        <v>12</v>
      </c>
      <c r="F16" s="4">
        <v>47.5</v>
      </c>
      <c r="G16" s="14"/>
      <c r="H16" s="9"/>
    </row>
    <row r="17" spans="3:8" x14ac:dyDescent="0.25">
      <c r="C17" s="8"/>
      <c r="D17" s="2" t="s">
        <v>10241</v>
      </c>
      <c r="E17" s="122" t="s">
        <v>12</v>
      </c>
      <c r="F17" s="4">
        <v>4</v>
      </c>
      <c r="G17" s="14"/>
      <c r="H17" s="9"/>
    </row>
    <row r="18" spans="3:8" x14ac:dyDescent="0.25">
      <c r="C18" s="8"/>
      <c r="D18" s="2" t="s">
        <v>10242</v>
      </c>
      <c r="E18" s="122" t="s">
        <v>12</v>
      </c>
      <c r="F18" s="4">
        <v>7</v>
      </c>
      <c r="G18" s="14"/>
      <c r="H18" s="9"/>
    </row>
    <row r="19" spans="3:8" x14ac:dyDescent="0.25">
      <c r="C19" s="8"/>
      <c r="D19" s="2" t="s">
        <v>10243</v>
      </c>
      <c r="E19" s="122" t="s">
        <v>8434</v>
      </c>
      <c r="F19" s="4"/>
      <c r="G19" s="14"/>
      <c r="H19" s="9">
        <v>500</v>
      </c>
    </row>
    <row r="20" spans="3:8" x14ac:dyDescent="0.25">
      <c r="C20" s="8"/>
      <c r="D20" s="2" t="s">
        <v>10244</v>
      </c>
      <c r="E20" s="122" t="s">
        <v>12</v>
      </c>
      <c r="F20" s="4"/>
      <c r="G20" s="14"/>
      <c r="H20" s="9">
        <v>38</v>
      </c>
    </row>
    <row r="21" spans="3:8" x14ac:dyDescent="0.25">
      <c r="C21" s="8"/>
      <c r="D21" s="2" t="s">
        <v>10245</v>
      </c>
      <c r="E21" s="122" t="s">
        <v>10255</v>
      </c>
      <c r="F21" s="4">
        <v>500</v>
      </c>
      <c r="G21" s="14"/>
      <c r="H21" s="9">
        <v>220</v>
      </c>
    </row>
    <row r="22" spans="3:8" x14ac:dyDescent="0.25">
      <c r="C22" s="8"/>
      <c r="D22" s="2" t="s">
        <v>10246</v>
      </c>
      <c r="E22" s="122" t="s">
        <v>12</v>
      </c>
      <c r="F22" s="4">
        <v>88.5</v>
      </c>
      <c r="G22" s="14"/>
      <c r="H22" s="9"/>
    </row>
    <row r="23" spans="3:8" x14ac:dyDescent="0.25">
      <c r="C23" s="8"/>
      <c r="D23" s="2" t="s">
        <v>10247</v>
      </c>
      <c r="E23" s="122" t="s">
        <v>12</v>
      </c>
      <c r="F23" s="4">
        <v>10</v>
      </c>
      <c r="G23" s="14"/>
      <c r="H23" s="9"/>
    </row>
    <row r="24" spans="3:8" x14ac:dyDescent="0.25">
      <c r="C24" s="8"/>
      <c r="D24" s="2" t="s">
        <v>10248</v>
      </c>
      <c r="E24" s="122" t="s">
        <v>8850</v>
      </c>
      <c r="F24" s="4">
        <v>2</v>
      </c>
      <c r="G24" s="14"/>
      <c r="H24" s="9">
        <v>632</v>
      </c>
    </row>
    <row r="25" spans="3:8" x14ac:dyDescent="0.25">
      <c r="C25" s="8"/>
      <c r="D25" s="2" t="s">
        <v>10249</v>
      </c>
      <c r="E25" s="122" t="s">
        <v>12</v>
      </c>
      <c r="F25" s="4">
        <v>10</v>
      </c>
      <c r="G25" s="14"/>
      <c r="H25" s="9"/>
    </row>
    <row r="26" spans="3:8" x14ac:dyDescent="0.25">
      <c r="C26" s="8"/>
      <c r="D26" s="2" t="s">
        <v>10250</v>
      </c>
      <c r="E26" s="122" t="s">
        <v>12</v>
      </c>
      <c r="F26" s="4">
        <v>2</v>
      </c>
      <c r="G26" s="14"/>
      <c r="H26" s="9"/>
    </row>
    <row r="27" spans="3:8" x14ac:dyDescent="0.25">
      <c r="C27" s="8"/>
      <c r="D27" s="2" t="s">
        <v>10251</v>
      </c>
      <c r="E27" s="122" t="s">
        <v>12</v>
      </c>
      <c r="F27" s="4"/>
      <c r="G27" s="14"/>
      <c r="H27" s="9">
        <v>61</v>
      </c>
    </row>
    <row r="28" spans="3:8" x14ac:dyDescent="0.25">
      <c r="C28" s="8"/>
      <c r="D28" s="2" t="s">
        <v>10252</v>
      </c>
      <c r="E28" s="122" t="s">
        <v>12</v>
      </c>
      <c r="F28" s="4"/>
      <c r="G28" s="14"/>
      <c r="H28" s="9">
        <v>9</v>
      </c>
    </row>
    <row r="29" spans="3:8" x14ac:dyDescent="0.25">
      <c r="C29" s="8"/>
      <c r="D29" s="2" t="s">
        <v>10253</v>
      </c>
      <c r="E29" s="122" t="s">
        <v>12</v>
      </c>
      <c r="F29" s="4"/>
      <c r="G29" s="14"/>
      <c r="H29" s="9">
        <v>3.5</v>
      </c>
    </row>
    <row r="30" spans="3:8" x14ac:dyDescent="0.25">
      <c r="C30" s="8"/>
      <c r="D30" s="2" t="s">
        <v>10287</v>
      </c>
      <c r="E30" s="122" t="s">
        <v>12</v>
      </c>
      <c r="F30" s="4">
        <v>5</v>
      </c>
      <c r="G30" s="14"/>
      <c r="H30" s="9"/>
    </row>
    <row r="31" spans="3:8" x14ac:dyDescent="0.25">
      <c r="C31" s="8"/>
      <c r="D31" s="43" t="s">
        <v>10288</v>
      </c>
      <c r="E31" s="142" t="s">
        <v>2381</v>
      </c>
      <c r="F31" s="4"/>
      <c r="G31" s="14"/>
      <c r="H31" s="9"/>
    </row>
    <row r="32" spans="3:8" x14ac:dyDescent="0.25">
      <c r="C32" s="8"/>
      <c r="D32" s="2" t="s">
        <v>10289</v>
      </c>
      <c r="E32" s="122" t="s">
        <v>12</v>
      </c>
      <c r="F32" s="4">
        <v>5</v>
      </c>
      <c r="G32" s="14"/>
      <c r="H32" s="9"/>
    </row>
    <row r="33" spans="3:8" x14ac:dyDescent="0.25">
      <c r="C33" s="8"/>
      <c r="D33" s="2" t="s">
        <v>10290</v>
      </c>
      <c r="E33" s="122" t="s">
        <v>12</v>
      </c>
      <c r="F33" s="4">
        <v>6</v>
      </c>
      <c r="G33" s="14"/>
      <c r="H33" s="9"/>
    </row>
    <row r="34" spans="3:8" x14ac:dyDescent="0.25">
      <c r="C34" s="8"/>
      <c r="D34" s="2" t="s">
        <v>10291</v>
      </c>
      <c r="E34" s="122" t="s">
        <v>12</v>
      </c>
      <c r="F34" s="4">
        <v>8</v>
      </c>
      <c r="G34" s="14"/>
      <c r="H34" s="9"/>
    </row>
    <row r="35" spans="3:8" x14ac:dyDescent="0.25">
      <c r="C35" s="8"/>
      <c r="D35" s="2" t="s">
        <v>10295</v>
      </c>
      <c r="E35" s="122" t="s">
        <v>12</v>
      </c>
      <c r="F35" s="4"/>
      <c r="G35" s="14"/>
      <c r="H35" s="9">
        <v>3</v>
      </c>
    </row>
    <row r="36" spans="3:8" x14ac:dyDescent="0.25">
      <c r="C36" s="8"/>
      <c r="D36" s="2" t="s">
        <v>10297</v>
      </c>
      <c r="E36" s="122"/>
      <c r="F36" s="4"/>
      <c r="G36" s="14"/>
      <c r="H36" s="9"/>
    </row>
    <row r="37" spans="3:8" x14ac:dyDescent="0.25">
      <c r="C37" s="8"/>
      <c r="D37" s="2"/>
      <c r="E37" s="122"/>
      <c r="F37" s="4"/>
      <c r="G37" s="14"/>
      <c r="H37" s="9"/>
    </row>
    <row r="38" spans="3:8" x14ac:dyDescent="0.25">
      <c r="C38" s="8"/>
      <c r="D38" s="2" t="s">
        <v>10256</v>
      </c>
      <c r="E38" s="122" t="s">
        <v>7146</v>
      </c>
      <c r="F38" s="4"/>
      <c r="G38" s="14"/>
      <c r="H38" s="9">
        <v>15</v>
      </c>
    </row>
    <row r="39" spans="3:8" x14ac:dyDescent="0.25">
      <c r="C39" s="8"/>
      <c r="D39" s="2" t="s">
        <v>10257</v>
      </c>
      <c r="E39" s="122" t="s">
        <v>7146</v>
      </c>
      <c r="F39" s="4"/>
      <c r="G39" s="14"/>
      <c r="H39" s="9">
        <v>9</v>
      </c>
    </row>
    <row r="40" spans="3:8" x14ac:dyDescent="0.25">
      <c r="C40" s="8"/>
      <c r="D40" s="2" t="s">
        <v>10258</v>
      </c>
      <c r="E40" s="122" t="s">
        <v>7146</v>
      </c>
      <c r="F40" s="4"/>
      <c r="G40" s="14"/>
      <c r="H40" s="9">
        <v>94.5</v>
      </c>
    </row>
    <row r="41" spans="3:8" x14ac:dyDescent="0.25">
      <c r="C41" s="8"/>
      <c r="D41" s="2" t="s">
        <v>10259</v>
      </c>
      <c r="E41" s="122" t="s">
        <v>6315</v>
      </c>
      <c r="F41" s="4">
        <v>1597.2</v>
      </c>
      <c r="G41" s="14"/>
      <c r="H41" s="9">
        <v>1000</v>
      </c>
    </row>
    <row r="42" spans="3:8" x14ac:dyDescent="0.25">
      <c r="C42" s="8"/>
      <c r="D42" s="2" t="s">
        <v>10260</v>
      </c>
      <c r="E42" s="122" t="s">
        <v>4079</v>
      </c>
      <c r="F42" s="4"/>
      <c r="G42" s="14"/>
      <c r="H42" s="9">
        <v>230</v>
      </c>
    </row>
    <row r="43" spans="3:8" x14ac:dyDescent="0.25">
      <c r="C43" s="8"/>
      <c r="D43" s="2" t="s">
        <v>10261</v>
      </c>
      <c r="E43" s="122" t="s">
        <v>8134</v>
      </c>
      <c r="F43" s="4"/>
      <c r="G43" s="14"/>
      <c r="H43" s="9">
        <v>2783.5</v>
      </c>
    </row>
    <row r="44" spans="3:8" x14ac:dyDescent="0.25">
      <c r="C44" s="8"/>
      <c r="D44" s="2" t="s">
        <v>10262</v>
      </c>
      <c r="E44" s="122" t="s">
        <v>7146</v>
      </c>
      <c r="F44" s="4">
        <v>6</v>
      </c>
      <c r="G44" s="14"/>
      <c r="H44" s="9"/>
    </row>
    <row r="45" spans="3:8" x14ac:dyDescent="0.25">
      <c r="C45" s="8"/>
      <c r="D45" s="2" t="s">
        <v>10263</v>
      </c>
      <c r="E45" s="122" t="s">
        <v>5806</v>
      </c>
      <c r="F45" s="4"/>
      <c r="G45" s="14"/>
      <c r="H45" s="9">
        <v>651</v>
      </c>
    </row>
    <row r="46" spans="3:8" x14ac:dyDescent="0.25">
      <c r="C46" s="8"/>
      <c r="D46" s="2" t="s">
        <v>10264</v>
      </c>
      <c r="E46" s="122" t="s">
        <v>7146</v>
      </c>
      <c r="F46" s="4">
        <v>9</v>
      </c>
      <c r="G46" s="14"/>
      <c r="H46" s="9"/>
    </row>
    <row r="47" spans="3:8" x14ac:dyDescent="0.25">
      <c r="C47" s="8"/>
      <c r="D47" s="2" t="s">
        <v>10265</v>
      </c>
      <c r="E47" s="122" t="s">
        <v>10147</v>
      </c>
      <c r="F47" s="4"/>
      <c r="G47" s="14"/>
      <c r="H47" s="9">
        <v>50</v>
      </c>
    </row>
    <row r="48" spans="3:8" x14ac:dyDescent="0.25">
      <c r="C48" s="8"/>
      <c r="D48" s="2" t="s">
        <v>10266</v>
      </c>
      <c r="E48" s="122" t="s">
        <v>7146</v>
      </c>
      <c r="F48" s="4"/>
      <c r="G48" s="14"/>
      <c r="H48" s="9">
        <v>18</v>
      </c>
    </row>
    <row r="49" spans="3:8" x14ac:dyDescent="0.25">
      <c r="C49" s="8"/>
      <c r="D49" s="2" t="s">
        <v>10267</v>
      </c>
      <c r="E49" s="122" t="s">
        <v>10282</v>
      </c>
      <c r="F49" s="4"/>
      <c r="G49" s="14">
        <v>365.5</v>
      </c>
      <c r="H49" s="9"/>
    </row>
    <row r="50" spans="3:8" x14ac:dyDescent="0.25">
      <c r="C50" s="8"/>
      <c r="D50" s="2" t="s">
        <v>10268</v>
      </c>
      <c r="E50" s="122" t="s">
        <v>7146</v>
      </c>
      <c r="F50" s="4">
        <v>7.5</v>
      </c>
      <c r="G50" s="14"/>
      <c r="H50" s="9"/>
    </row>
    <row r="51" spans="3:8" x14ac:dyDescent="0.25">
      <c r="C51" s="8"/>
      <c r="D51" s="2" t="s">
        <v>10269</v>
      </c>
      <c r="E51" s="122" t="s">
        <v>7899</v>
      </c>
      <c r="F51" s="4">
        <v>78.5</v>
      </c>
      <c r="G51" s="14"/>
      <c r="H51" s="9"/>
    </row>
    <row r="52" spans="3:8" x14ac:dyDescent="0.25">
      <c r="C52" s="8"/>
      <c r="D52" s="2" t="s">
        <v>10270</v>
      </c>
      <c r="E52" s="122" t="s">
        <v>7146</v>
      </c>
      <c r="F52" s="4"/>
      <c r="G52" s="14"/>
      <c r="H52" s="9">
        <v>36</v>
      </c>
    </row>
    <row r="53" spans="3:8" x14ac:dyDescent="0.25">
      <c r="C53" s="8"/>
      <c r="D53" s="2" t="s">
        <v>10271</v>
      </c>
      <c r="E53" s="122" t="s">
        <v>7146</v>
      </c>
      <c r="F53" s="4">
        <v>4</v>
      </c>
      <c r="G53" s="14"/>
      <c r="H53" s="9"/>
    </row>
    <row r="54" spans="3:8" x14ac:dyDescent="0.25">
      <c r="C54" s="8"/>
      <c r="D54" s="2" t="s">
        <v>10272</v>
      </c>
      <c r="E54" s="122" t="s">
        <v>7146</v>
      </c>
      <c r="F54" s="4">
        <v>32</v>
      </c>
      <c r="G54" s="14"/>
      <c r="H54" s="9"/>
    </row>
    <row r="55" spans="3:8" x14ac:dyDescent="0.25">
      <c r="C55" s="8"/>
      <c r="D55" s="2" t="s">
        <v>10273</v>
      </c>
      <c r="E55" s="122" t="s">
        <v>7146</v>
      </c>
      <c r="F55" s="4">
        <v>6</v>
      </c>
      <c r="G55" s="14"/>
      <c r="H55" s="9"/>
    </row>
    <row r="56" spans="3:8" x14ac:dyDescent="0.25">
      <c r="C56" s="8"/>
      <c r="D56" s="2" t="s">
        <v>10274</v>
      </c>
      <c r="E56" s="122" t="s">
        <v>7146</v>
      </c>
      <c r="F56" s="4"/>
      <c r="G56" s="14"/>
      <c r="H56" s="9">
        <v>82.5</v>
      </c>
    </row>
    <row r="57" spans="3:8" x14ac:dyDescent="0.25">
      <c r="C57" s="8"/>
      <c r="D57" s="2" t="s">
        <v>10275</v>
      </c>
      <c r="E57" s="122" t="s">
        <v>9151</v>
      </c>
      <c r="F57" s="4"/>
      <c r="G57" s="14">
        <v>100.4</v>
      </c>
      <c r="H57" s="9"/>
    </row>
    <row r="58" spans="3:8" x14ac:dyDescent="0.25">
      <c r="C58" s="8"/>
      <c r="D58" s="2" t="s">
        <v>10276</v>
      </c>
      <c r="E58" s="122" t="s">
        <v>7146</v>
      </c>
      <c r="F58" s="4"/>
      <c r="G58" s="14"/>
      <c r="H58" s="9">
        <v>4</v>
      </c>
    </row>
    <row r="59" spans="3:8" x14ac:dyDescent="0.25">
      <c r="C59" s="8"/>
      <c r="D59" s="2" t="s">
        <v>10277</v>
      </c>
      <c r="E59" s="122" t="s">
        <v>7146</v>
      </c>
      <c r="F59" s="4"/>
      <c r="G59" s="14"/>
      <c r="H59" s="9">
        <v>62</v>
      </c>
    </row>
    <row r="60" spans="3:8" x14ac:dyDescent="0.25">
      <c r="C60" s="8"/>
      <c r="D60" s="2" t="s">
        <v>10278</v>
      </c>
      <c r="E60" s="122" t="s">
        <v>6441</v>
      </c>
      <c r="F60" s="4">
        <v>400</v>
      </c>
      <c r="G60" s="14"/>
      <c r="H60" s="9">
        <v>1869</v>
      </c>
    </row>
    <row r="61" spans="3:8" x14ac:dyDescent="0.25">
      <c r="C61" s="8"/>
      <c r="D61" s="2" t="s">
        <v>10279</v>
      </c>
      <c r="E61" s="122" t="s">
        <v>6797</v>
      </c>
      <c r="F61" s="4"/>
      <c r="G61" s="14">
        <v>13946</v>
      </c>
      <c r="H61" s="9"/>
    </row>
    <row r="62" spans="3:8" x14ac:dyDescent="0.25">
      <c r="C62" s="8"/>
      <c r="D62" s="2" t="s">
        <v>10280</v>
      </c>
      <c r="E62" s="122" t="s">
        <v>10286</v>
      </c>
      <c r="F62" s="4">
        <v>2270</v>
      </c>
      <c r="G62" s="14"/>
      <c r="H62" s="9"/>
    </row>
    <row r="63" spans="3:8" x14ac:dyDescent="0.25">
      <c r="C63" s="8"/>
      <c r="D63" s="2" t="s">
        <v>10285</v>
      </c>
      <c r="E63" s="122" t="s">
        <v>6441</v>
      </c>
      <c r="F63" s="4"/>
      <c r="G63" s="14"/>
      <c r="H63" s="9">
        <v>665</v>
      </c>
    </row>
    <row r="64" spans="3:8" x14ac:dyDescent="0.25">
      <c r="C64" s="8"/>
      <c r="D64" s="2" t="s">
        <v>10292</v>
      </c>
      <c r="E64" s="122" t="s">
        <v>6186</v>
      </c>
      <c r="F64" s="4"/>
      <c r="G64" s="14"/>
      <c r="H64" s="9">
        <v>159</v>
      </c>
    </row>
    <row r="65" spans="3:8" x14ac:dyDescent="0.25">
      <c r="C65" s="8"/>
      <c r="D65" s="2" t="s">
        <v>10293</v>
      </c>
      <c r="E65" s="122" t="s">
        <v>7146</v>
      </c>
      <c r="F65" s="4">
        <v>6</v>
      </c>
      <c r="G65" s="14"/>
      <c r="H65" s="9"/>
    </row>
    <row r="66" spans="3:8" x14ac:dyDescent="0.25">
      <c r="C66" s="8"/>
      <c r="D66" s="2" t="s">
        <v>10314</v>
      </c>
      <c r="E66" s="122"/>
      <c r="F66" s="4"/>
      <c r="G66" s="14"/>
      <c r="H66" s="9"/>
    </row>
    <row r="67" spans="3:8" x14ac:dyDescent="0.25">
      <c r="C67" s="8"/>
      <c r="D67" s="2"/>
      <c r="E67" s="122"/>
      <c r="F67" s="4"/>
      <c r="G67" s="14"/>
      <c r="H67" s="9"/>
    </row>
    <row r="68" spans="3:8" x14ac:dyDescent="0.25">
      <c r="C68" s="8"/>
      <c r="D68" s="2"/>
      <c r="E68" s="2"/>
      <c r="F68" s="4"/>
      <c r="G68" s="14"/>
      <c r="H68" s="9"/>
    </row>
    <row r="69" spans="3:8" x14ac:dyDescent="0.25">
      <c r="C69" s="29"/>
      <c r="D69" s="30"/>
      <c r="E69" s="30" t="s">
        <v>60</v>
      </c>
      <c r="F69" s="4"/>
      <c r="G69" s="14"/>
      <c r="H69" s="9"/>
    </row>
    <row r="70" spans="3:8" x14ac:dyDescent="0.25">
      <c r="C70" s="8"/>
      <c r="D70" s="2" t="s">
        <v>10230</v>
      </c>
      <c r="E70" s="68" t="s">
        <v>285</v>
      </c>
      <c r="F70" s="35"/>
      <c r="G70" s="14">
        <v>1669</v>
      </c>
      <c r="H70" s="9"/>
    </row>
    <row r="71" spans="3:8" x14ac:dyDescent="0.25">
      <c r="C71" s="8"/>
      <c r="D71" s="2" t="s">
        <v>10231</v>
      </c>
      <c r="E71" s="68" t="s">
        <v>10232</v>
      </c>
      <c r="F71" s="35"/>
      <c r="G71" s="14"/>
      <c r="H71" s="9">
        <v>162</v>
      </c>
    </row>
    <row r="72" spans="3:8" x14ac:dyDescent="0.25">
      <c r="C72" s="8"/>
      <c r="D72" s="2" t="s">
        <v>10294</v>
      </c>
      <c r="E72" s="68" t="s">
        <v>6204</v>
      </c>
      <c r="F72" s="35"/>
      <c r="G72" s="14"/>
      <c r="H72" s="9">
        <v>1725</v>
      </c>
    </row>
    <row r="73" spans="3:8" x14ac:dyDescent="0.25">
      <c r="C73" s="8"/>
      <c r="D73" s="2" t="s">
        <v>10339</v>
      </c>
      <c r="E73" s="68"/>
      <c r="F73" s="35"/>
      <c r="G73" s="14"/>
      <c r="H73" s="9"/>
    </row>
    <row r="74" spans="3:8" x14ac:dyDescent="0.25">
      <c r="C74" s="8"/>
      <c r="D74" s="2"/>
      <c r="E74" s="68"/>
      <c r="F74" s="35"/>
      <c r="G74" s="14"/>
      <c r="H74" s="9"/>
    </row>
    <row r="75" spans="3:8" x14ac:dyDescent="0.25">
      <c r="C75" s="8"/>
      <c r="D75" s="2"/>
      <c r="E75" s="76"/>
      <c r="F75" s="35"/>
      <c r="G75" s="14"/>
      <c r="H75" s="9"/>
    </row>
    <row r="76" spans="3:8" x14ac:dyDescent="0.25">
      <c r="C76" s="8"/>
      <c r="D76" s="2"/>
      <c r="E76" s="76"/>
      <c r="F76" s="35"/>
      <c r="G76" s="14"/>
      <c r="H76" s="9"/>
    </row>
    <row r="77" spans="3:8" x14ac:dyDescent="0.25">
      <c r="C77" s="16"/>
      <c r="D77" s="17"/>
      <c r="E77" s="17" t="s">
        <v>39</v>
      </c>
      <c r="F77" s="4"/>
      <c r="G77" s="14"/>
      <c r="H77" s="9"/>
    </row>
    <row r="78" spans="3:8" x14ac:dyDescent="0.25">
      <c r="C78" s="8"/>
      <c r="D78" s="2"/>
      <c r="E78" s="96" t="s">
        <v>10281</v>
      </c>
      <c r="F78" s="35">
        <v>35</v>
      </c>
      <c r="G78" s="14"/>
      <c r="H78" s="9"/>
    </row>
    <row r="79" spans="3:8" x14ac:dyDescent="0.25">
      <c r="C79" s="8"/>
      <c r="D79" s="2"/>
      <c r="E79" s="68"/>
      <c r="F79" s="35"/>
      <c r="G79" s="14"/>
      <c r="H79" s="9"/>
    </row>
    <row r="80" spans="3:8" x14ac:dyDescent="0.25">
      <c r="C80" s="8"/>
      <c r="D80" s="2"/>
      <c r="E80" s="76"/>
      <c r="F80" s="35"/>
      <c r="G80" s="14"/>
      <c r="H80" s="9"/>
    </row>
    <row r="81" spans="3:10" x14ac:dyDescent="0.25">
      <c r="C81" s="8"/>
      <c r="D81" s="2"/>
      <c r="E81" s="2"/>
      <c r="F81" s="4"/>
      <c r="G81" s="14"/>
      <c r="H81" s="9"/>
    </row>
    <row r="82" spans="3:10" x14ac:dyDescent="0.25">
      <c r="C82" s="19"/>
      <c r="D82" s="20"/>
      <c r="E82" s="20" t="s">
        <v>42</v>
      </c>
      <c r="F82" s="14"/>
      <c r="G82" s="14"/>
      <c r="H82" s="9"/>
    </row>
    <row r="83" spans="3:10" x14ac:dyDescent="0.25">
      <c r="C83" s="34"/>
      <c r="D83" s="139"/>
      <c r="E83" s="118" t="s">
        <v>10227</v>
      </c>
      <c r="F83" s="14">
        <v>-646</v>
      </c>
      <c r="G83" s="14"/>
      <c r="H83" s="9"/>
      <c r="J83">
        <f>17*38</f>
        <v>646</v>
      </c>
    </row>
    <row r="84" spans="3:10" x14ac:dyDescent="0.25">
      <c r="C84" s="34"/>
      <c r="D84" s="139"/>
      <c r="E84" s="118" t="s">
        <v>10228</v>
      </c>
      <c r="F84" s="14">
        <v>-1225.2</v>
      </c>
      <c r="G84" s="14"/>
      <c r="H84" s="9"/>
    </row>
    <row r="85" spans="3:10" x14ac:dyDescent="0.25">
      <c r="C85" s="34"/>
      <c r="D85" s="139"/>
      <c r="E85" s="118" t="s">
        <v>10229</v>
      </c>
      <c r="F85" s="14">
        <v>-15</v>
      </c>
      <c r="G85" s="14"/>
      <c r="H85" s="9"/>
    </row>
    <row r="86" spans="3:10" x14ac:dyDescent="0.25">
      <c r="C86" s="34"/>
      <c r="D86" s="139"/>
      <c r="E86" s="118" t="s">
        <v>10254</v>
      </c>
      <c r="F86" s="14">
        <v>-4.5</v>
      </c>
      <c r="G86" s="14"/>
      <c r="H86" s="9"/>
    </row>
    <row r="87" spans="3:10" x14ac:dyDescent="0.25">
      <c r="C87" s="34"/>
      <c r="D87" s="139"/>
      <c r="E87" s="118" t="s">
        <v>10283</v>
      </c>
      <c r="F87" s="14">
        <v>-3</v>
      </c>
      <c r="G87" s="14"/>
      <c r="H87" s="9"/>
    </row>
    <row r="88" spans="3:10" x14ac:dyDescent="0.25">
      <c r="C88" s="34"/>
      <c r="D88" s="45"/>
      <c r="E88" s="118" t="s">
        <v>10284</v>
      </c>
      <c r="F88" s="14">
        <v>-20</v>
      </c>
      <c r="G88" s="14"/>
      <c r="H88" s="9"/>
    </row>
    <row r="89" spans="3:10" x14ac:dyDescent="0.25">
      <c r="C89" s="34"/>
      <c r="D89" s="45"/>
      <c r="E89" s="118" t="s">
        <v>1942</v>
      </c>
      <c r="F89" s="14">
        <v>-10.5</v>
      </c>
      <c r="G89" s="14"/>
      <c r="H89" s="9"/>
    </row>
    <row r="90" spans="3:10" x14ac:dyDescent="0.25">
      <c r="C90" s="34"/>
      <c r="D90" s="45"/>
      <c r="E90" s="118" t="s">
        <v>325</v>
      </c>
      <c r="F90" s="14">
        <v>-100</v>
      </c>
      <c r="G90" s="14"/>
      <c r="H90" s="9"/>
    </row>
    <row r="91" spans="3:10" x14ac:dyDescent="0.25">
      <c r="C91" s="34"/>
      <c r="D91" s="45"/>
      <c r="E91" s="118" t="s">
        <v>3155</v>
      </c>
      <c r="F91" s="14">
        <v>-358</v>
      </c>
      <c r="G91" s="14"/>
      <c r="H91" s="9"/>
    </row>
    <row r="92" spans="3:10" x14ac:dyDescent="0.25">
      <c r="C92" s="34"/>
      <c r="D92" s="45"/>
      <c r="E92" s="118" t="s">
        <v>1274</v>
      </c>
      <c r="F92" s="14">
        <v>-280</v>
      </c>
      <c r="G92" s="14"/>
      <c r="H92" s="9"/>
    </row>
    <row r="93" spans="3:10" x14ac:dyDescent="0.25">
      <c r="C93" s="34"/>
      <c r="D93" s="45"/>
      <c r="E93" s="118"/>
      <c r="F93" s="14"/>
      <c r="G93" s="14"/>
      <c r="H93" s="9"/>
    </row>
    <row r="94" spans="3:10" x14ac:dyDescent="0.25">
      <c r="C94" s="34"/>
      <c r="D94" s="45"/>
      <c r="E94" s="118"/>
      <c r="F94" s="14"/>
      <c r="G94" s="14"/>
      <c r="H94" s="9"/>
    </row>
    <row r="95" spans="3:10" x14ac:dyDescent="0.25">
      <c r="C95" s="34"/>
      <c r="D95" s="45"/>
      <c r="E95" s="118"/>
      <c r="F95" s="14"/>
      <c r="G95" s="14"/>
      <c r="H95" s="9"/>
    </row>
    <row r="96" spans="3:10" x14ac:dyDescent="0.25">
      <c r="C96" s="34"/>
      <c r="D96" s="45"/>
      <c r="E96" s="68"/>
      <c r="F96" s="14"/>
      <c r="G96" s="14"/>
      <c r="H96" s="9"/>
    </row>
    <row r="97" spans="3:8" ht="15.75" thickBot="1" x14ac:dyDescent="0.3">
      <c r="C97" s="10"/>
      <c r="D97" s="11"/>
      <c r="E97" s="11" t="s">
        <v>44</v>
      </c>
      <c r="F97" s="12">
        <f>SUM(F9:F96)</f>
        <v>2629</v>
      </c>
      <c r="G97" s="15">
        <f>SUM(G9:G96)</f>
        <v>16080.9</v>
      </c>
      <c r="H97" s="13">
        <f>SUM(H9:H96)</f>
        <v>11082</v>
      </c>
    </row>
    <row r="100" spans="3:8" ht="21" x14ac:dyDescent="0.3">
      <c r="E100" s="119" t="s">
        <v>49</v>
      </c>
      <c r="F100" s="120">
        <f>H7+F97</f>
        <v>8595.89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B313-7621-449E-9847-DD916FC4A53B}">
  <sheetPr codeName="Hoja135"/>
  <dimension ref="C5:H88"/>
  <sheetViews>
    <sheetView topLeftCell="A31" workbookViewId="0">
      <selection activeCell="F88" sqref="F88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10296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8595.89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10297</v>
      </c>
      <c r="E9" s="122" t="s">
        <v>10313</v>
      </c>
      <c r="F9" s="109">
        <v>100</v>
      </c>
      <c r="G9" s="113"/>
      <c r="H9" s="112">
        <v>138.80000000000001</v>
      </c>
    </row>
    <row r="10" spans="3:8" x14ac:dyDescent="0.25">
      <c r="C10" s="136"/>
      <c r="D10" s="2" t="s">
        <v>10298</v>
      </c>
      <c r="E10" s="122" t="s">
        <v>10312</v>
      </c>
      <c r="F10" s="109">
        <v>60</v>
      </c>
      <c r="G10" s="113"/>
      <c r="H10" s="112"/>
    </row>
    <row r="11" spans="3:8" x14ac:dyDescent="0.25">
      <c r="C11" s="24"/>
      <c r="D11" s="2" t="s">
        <v>10299</v>
      </c>
      <c r="E11" s="122" t="s">
        <v>5018</v>
      </c>
      <c r="F11" s="109"/>
      <c r="G11" s="113">
        <v>320</v>
      </c>
      <c r="H11" s="112"/>
    </row>
    <row r="12" spans="3:8" x14ac:dyDescent="0.25">
      <c r="C12" s="8"/>
      <c r="D12" s="2" t="s">
        <v>10300</v>
      </c>
      <c r="E12" s="122" t="s">
        <v>5018</v>
      </c>
      <c r="F12" s="4"/>
      <c r="G12" s="14">
        <v>5</v>
      </c>
      <c r="H12" s="9"/>
    </row>
    <row r="13" spans="3:8" x14ac:dyDescent="0.25">
      <c r="C13" s="8"/>
      <c r="D13" s="2" t="s">
        <v>10301</v>
      </c>
      <c r="E13" s="122" t="s">
        <v>12</v>
      </c>
      <c r="F13" s="4">
        <v>69</v>
      </c>
      <c r="G13" s="14"/>
      <c r="H13" s="9"/>
    </row>
    <row r="14" spans="3:8" x14ac:dyDescent="0.25">
      <c r="C14" s="8"/>
      <c r="D14" s="2" t="s">
        <v>10302</v>
      </c>
      <c r="E14" s="122" t="s">
        <v>12</v>
      </c>
      <c r="F14" s="4"/>
      <c r="G14" s="14"/>
      <c r="H14" s="9">
        <v>3</v>
      </c>
    </row>
    <row r="15" spans="3:8" x14ac:dyDescent="0.25">
      <c r="C15" s="8"/>
      <c r="D15" s="2" t="s">
        <v>10303</v>
      </c>
      <c r="E15" s="122" t="s">
        <v>6610</v>
      </c>
      <c r="F15" s="4">
        <v>33</v>
      </c>
      <c r="G15" s="14"/>
      <c r="H15" s="9"/>
    </row>
    <row r="16" spans="3:8" x14ac:dyDescent="0.25">
      <c r="C16" s="8"/>
      <c r="D16" s="2" t="s">
        <v>10304</v>
      </c>
      <c r="E16" s="122" t="s">
        <v>12</v>
      </c>
      <c r="F16" s="4">
        <v>58</v>
      </c>
      <c r="G16" s="14"/>
      <c r="H16" s="9"/>
    </row>
    <row r="17" spans="3:8" x14ac:dyDescent="0.25">
      <c r="C17" s="8"/>
      <c r="D17" s="2" t="s">
        <v>10305</v>
      </c>
      <c r="E17" s="122" t="s">
        <v>12</v>
      </c>
      <c r="F17" s="4">
        <v>2.5</v>
      </c>
      <c r="G17" s="14"/>
      <c r="H17" s="9"/>
    </row>
    <row r="18" spans="3:8" x14ac:dyDescent="0.25">
      <c r="C18" s="8"/>
      <c r="D18" s="2" t="s">
        <v>10306</v>
      </c>
      <c r="E18" s="122" t="s">
        <v>12</v>
      </c>
      <c r="F18" s="4">
        <v>3</v>
      </c>
      <c r="G18" s="14"/>
      <c r="H18" s="9"/>
    </row>
    <row r="19" spans="3:8" x14ac:dyDescent="0.25">
      <c r="C19" s="8"/>
      <c r="D19" s="2" t="s">
        <v>10307</v>
      </c>
      <c r="E19" s="122" t="s">
        <v>12</v>
      </c>
      <c r="F19" s="4">
        <v>22.5</v>
      </c>
      <c r="G19" s="14"/>
      <c r="H19" s="9">
        <v>2</v>
      </c>
    </row>
    <row r="20" spans="3:8" x14ac:dyDescent="0.25">
      <c r="C20" s="8"/>
      <c r="D20" s="2" t="s">
        <v>10308</v>
      </c>
      <c r="E20" s="122" t="s">
        <v>4596</v>
      </c>
      <c r="F20" s="4"/>
      <c r="G20" s="14">
        <v>1434.6</v>
      </c>
      <c r="H20" s="9"/>
    </row>
    <row r="21" spans="3:8" x14ac:dyDescent="0.25">
      <c r="C21" s="8"/>
      <c r="D21" s="2" t="s">
        <v>10309</v>
      </c>
      <c r="E21" s="122" t="s">
        <v>12</v>
      </c>
      <c r="F21" s="4">
        <v>3</v>
      </c>
      <c r="G21" s="14"/>
      <c r="H21" s="9"/>
    </row>
    <row r="22" spans="3:8" x14ac:dyDescent="0.25">
      <c r="C22" s="8"/>
      <c r="D22" s="2" t="s">
        <v>10310</v>
      </c>
      <c r="E22" s="122" t="s">
        <v>5018</v>
      </c>
      <c r="F22" s="4"/>
      <c r="G22" s="14">
        <v>18</v>
      </c>
      <c r="H22" s="9"/>
    </row>
    <row r="23" spans="3:8" x14ac:dyDescent="0.25">
      <c r="C23" s="8"/>
      <c r="D23" s="2" t="s">
        <v>10311</v>
      </c>
      <c r="E23" s="122" t="s">
        <v>12</v>
      </c>
      <c r="F23" s="4">
        <v>50</v>
      </c>
      <c r="G23" s="14"/>
      <c r="H23" s="9"/>
    </row>
    <row r="24" spans="3:8" x14ac:dyDescent="0.25">
      <c r="C24" s="8"/>
      <c r="D24" s="2" t="s">
        <v>10331</v>
      </c>
      <c r="E24" s="122" t="s">
        <v>10342</v>
      </c>
      <c r="F24" s="4"/>
      <c r="G24" s="14"/>
      <c r="H24" s="9">
        <v>55.2</v>
      </c>
    </row>
    <row r="25" spans="3:8" x14ac:dyDescent="0.25">
      <c r="C25" s="8"/>
      <c r="D25" s="2" t="s">
        <v>10332</v>
      </c>
      <c r="E25" s="122" t="s">
        <v>5018</v>
      </c>
      <c r="F25" s="4"/>
      <c r="G25" s="14">
        <v>167.5</v>
      </c>
      <c r="H25" s="9"/>
    </row>
    <row r="26" spans="3:8" x14ac:dyDescent="0.25">
      <c r="C26" s="8"/>
      <c r="D26" s="2" t="s">
        <v>10333</v>
      </c>
      <c r="E26" s="122" t="s">
        <v>10341</v>
      </c>
      <c r="F26" s="4"/>
      <c r="G26" s="14"/>
      <c r="H26" s="9">
        <v>15</v>
      </c>
    </row>
    <row r="27" spans="3:8" x14ac:dyDescent="0.25">
      <c r="C27" s="8"/>
      <c r="D27" s="2" t="s">
        <v>10334</v>
      </c>
      <c r="E27" s="122" t="s">
        <v>12</v>
      </c>
      <c r="F27" s="4"/>
      <c r="G27" s="14"/>
      <c r="H27" s="9">
        <v>37.5</v>
      </c>
    </row>
    <row r="28" spans="3:8" x14ac:dyDescent="0.25">
      <c r="C28" s="8"/>
      <c r="D28" s="2" t="s">
        <v>10335</v>
      </c>
      <c r="E28" s="122" t="s">
        <v>7126</v>
      </c>
      <c r="F28" s="4">
        <v>951</v>
      </c>
      <c r="G28" s="14"/>
      <c r="H28" s="9"/>
    </row>
    <row r="29" spans="3:8" x14ac:dyDescent="0.25">
      <c r="C29" s="8"/>
      <c r="D29" s="2" t="s">
        <v>10336</v>
      </c>
      <c r="E29" s="122" t="s">
        <v>8740</v>
      </c>
      <c r="F29" s="4">
        <v>150</v>
      </c>
      <c r="G29" s="14"/>
      <c r="H29" s="9"/>
    </row>
    <row r="30" spans="3:8" x14ac:dyDescent="0.25">
      <c r="C30" s="8"/>
      <c r="D30" s="2" t="s">
        <v>10337</v>
      </c>
      <c r="E30" s="122" t="s">
        <v>12</v>
      </c>
      <c r="F30" s="4"/>
      <c r="G30" s="14"/>
      <c r="H30" s="9">
        <v>5</v>
      </c>
    </row>
    <row r="31" spans="3:8" x14ac:dyDescent="0.25">
      <c r="C31" s="8"/>
      <c r="D31" s="43" t="s">
        <v>10345</v>
      </c>
      <c r="E31" s="142" t="s">
        <v>10360</v>
      </c>
      <c r="F31" s="4"/>
      <c r="G31" s="14"/>
      <c r="H31" s="9"/>
    </row>
    <row r="32" spans="3:8" x14ac:dyDescent="0.25">
      <c r="C32" s="8"/>
      <c r="D32" s="2" t="s">
        <v>10346</v>
      </c>
      <c r="E32" s="122" t="s">
        <v>12</v>
      </c>
      <c r="F32" s="4"/>
      <c r="G32" s="14"/>
      <c r="H32" s="9">
        <v>40</v>
      </c>
    </row>
    <row r="33" spans="3:8" x14ac:dyDescent="0.25">
      <c r="C33" s="8"/>
      <c r="D33" s="2" t="s">
        <v>10347</v>
      </c>
      <c r="E33" s="122" t="s">
        <v>12</v>
      </c>
      <c r="F33" s="4"/>
      <c r="G33" s="14"/>
      <c r="H33" s="9">
        <v>6</v>
      </c>
    </row>
    <row r="34" spans="3:8" x14ac:dyDescent="0.25">
      <c r="C34" s="8"/>
      <c r="D34" s="2" t="s">
        <v>10355</v>
      </c>
      <c r="E34" s="122" t="s">
        <v>12</v>
      </c>
      <c r="F34" s="4"/>
      <c r="G34" s="14"/>
      <c r="H34" s="9">
        <v>34.5</v>
      </c>
    </row>
    <row r="35" spans="3:8" x14ac:dyDescent="0.25">
      <c r="C35" s="8"/>
      <c r="D35" s="2" t="s">
        <v>10362</v>
      </c>
      <c r="E35" s="122"/>
      <c r="F35" s="4"/>
      <c r="G35" s="14"/>
      <c r="H35" s="9"/>
    </row>
    <row r="36" spans="3:8" x14ac:dyDescent="0.25">
      <c r="C36" s="8"/>
      <c r="D36" s="2"/>
      <c r="E36" s="122"/>
      <c r="F36" s="4"/>
      <c r="G36" s="14"/>
      <c r="H36" s="9"/>
    </row>
    <row r="37" spans="3:8" x14ac:dyDescent="0.25">
      <c r="C37" s="8"/>
      <c r="D37" s="2"/>
      <c r="E37" s="122"/>
      <c r="F37" s="4"/>
      <c r="G37" s="14"/>
      <c r="H37" s="9"/>
    </row>
    <row r="38" spans="3:8" x14ac:dyDescent="0.25">
      <c r="C38" s="8"/>
      <c r="D38" s="2" t="s">
        <v>10314</v>
      </c>
      <c r="E38" s="122" t="s">
        <v>5847</v>
      </c>
      <c r="F38" s="4"/>
      <c r="G38" s="14"/>
      <c r="H38" s="9">
        <v>90</v>
      </c>
    </row>
    <row r="39" spans="3:8" x14ac:dyDescent="0.25">
      <c r="C39" s="8"/>
      <c r="D39" s="2" t="s">
        <v>10315</v>
      </c>
      <c r="E39" s="122" t="s">
        <v>10325</v>
      </c>
      <c r="F39" s="4"/>
      <c r="G39" s="14"/>
      <c r="H39" s="9">
        <v>198</v>
      </c>
    </row>
    <row r="40" spans="3:8" x14ac:dyDescent="0.25">
      <c r="C40" s="8"/>
      <c r="D40" s="2" t="s">
        <v>10316</v>
      </c>
      <c r="E40" s="122" t="s">
        <v>5847</v>
      </c>
      <c r="F40" s="4">
        <v>5</v>
      </c>
      <c r="G40" s="14"/>
      <c r="H40" s="9"/>
    </row>
    <row r="41" spans="3:8" x14ac:dyDescent="0.25">
      <c r="C41" s="8"/>
      <c r="D41" s="2" t="s">
        <v>10317</v>
      </c>
      <c r="E41" s="122" t="s">
        <v>5847</v>
      </c>
      <c r="F41" s="4">
        <v>35</v>
      </c>
      <c r="G41" s="14"/>
      <c r="H41" s="9"/>
    </row>
    <row r="42" spans="3:8" x14ac:dyDescent="0.25">
      <c r="C42" s="8"/>
      <c r="D42" s="2" t="s">
        <v>10318</v>
      </c>
      <c r="E42" s="122" t="s">
        <v>5847</v>
      </c>
      <c r="F42" s="4"/>
      <c r="G42" s="14"/>
      <c r="H42" s="9">
        <v>6</v>
      </c>
    </row>
    <row r="43" spans="3:8" x14ac:dyDescent="0.25">
      <c r="C43" s="8"/>
      <c r="D43" s="2" t="s">
        <v>10319</v>
      </c>
      <c r="E43" s="140" t="s">
        <v>58</v>
      </c>
      <c r="F43" s="4"/>
      <c r="G43" s="14"/>
      <c r="H43" s="9">
        <v>145</v>
      </c>
    </row>
    <row r="44" spans="3:8" x14ac:dyDescent="0.25">
      <c r="C44" s="8"/>
      <c r="D44" s="2" t="s">
        <v>10320</v>
      </c>
      <c r="E44" s="122" t="s">
        <v>5847</v>
      </c>
      <c r="F44" s="4"/>
      <c r="G44" s="14"/>
      <c r="H44" s="9">
        <v>3.5</v>
      </c>
    </row>
    <row r="45" spans="3:8" x14ac:dyDescent="0.25">
      <c r="C45" s="8"/>
      <c r="D45" s="2" t="s">
        <v>10321</v>
      </c>
      <c r="E45" s="122" t="s">
        <v>5847</v>
      </c>
      <c r="F45" s="4"/>
      <c r="G45" s="14"/>
      <c r="H45" s="9">
        <v>3</v>
      </c>
    </row>
    <row r="46" spans="3:8" x14ac:dyDescent="0.25">
      <c r="C46" s="8"/>
      <c r="D46" s="2" t="s">
        <v>10322</v>
      </c>
      <c r="E46" s="122" t="s">
        <v>5847</v>
      </c>
      <c r="F46" s="4">
        <v>14</v>
      </c>
      <c r="G46" s="14"/>
      <c r="H46" s="9"/>
    </row>
    <row r="47" spans="3:8" x14ac:dyDescent="0.25">
      <c r="C47" s="8"/>
      <c r="D47" s="2" t="s">
        <v>10323</v>
      </c>
      <c r="E47" s="122" t="s">
        <v>5847</v>
      </c>
      <c r="F47" s="4">
        <v>5.6</v>
      </c>
      <c r="G47" s="14"/>
      <c r="H47" s="9"/>
    </row>
    <row r="48" spans="3:8" x14ac:dyDescent="0.25">
      <c r="C48" s="8"/>
      <c r="D48" s="2" t="s">
        <v>10324</v>
      </c>
      <c r="E48" s="122" t="s">
        <v>5847</v>
      </c>
      <c r="F48" s="4">
        <v>2.5</v>
      </c>
      <c r="G48" s="14"/>
      <c r="H48" s="9"/>
    </row>
    <row r="49" spans="3:8" x14ac:dyDescent="0.25">
      <c r="C49" s="8"/>
      <c r="D49" s="2" t="s">
        <v>10343</v>
      </c>
      <c r="E49" s="122" t="s">
        <v>5847</v>
      </c>
      <c r="F49" s="4">
        <v>3</v>
      </c>
      <c r="G49" s="14"/>
      <c r="H49" s="9"/>
    </row>
    <row r="50" spans="3:8" x14ac:dyDescent="0.25">
      <c r="C50" s="8"/>
      <c r="D50" s="2" t="s">
        <v>10344</v>
      </c>
      <c r="E50" s="122" t="s">
        <v>5847</v>
      </c>
      <c r="F50" s="4">
        <v>3</v>
      </c>
      <c r="G50" s="14"/>
      <c r="H50" s="9"/>
    </row>
    <row r="51" spans="3:8" x14ac:dyDescent="0.25">
      <c r="C51" s="8"/>
      <c r="D51" s="2" t="s">
        <v>10348</v>
      </c>
      <c r="E51" s="122" t="s">
        <v>5847</v>
      </c>
      <c r="F51" s="4">
        <v>10</v>
      </c>
      <c r="G51" s="14"/>
      <c r="H51" s="9"/>
    </row>
    <row r="52" spans="3:8" x14ac:dyDescent="0.25">
      <c r="C52" s="8"/>
      <c r="D52" s="2" t="s">
        <v>10349</v>
      </c>
      <c r="E52" s="122" t="s">
        <v>5847</v>
      </c>
      <c r="F52" s="4">
        <v>4.5</v>
      </c>
      <c r="G52" s="14"/>
      <c r="H52" s="9"/>
    </row>
    <row r="53" spans="3:8" x14ac:dyDescent="0.25">
      <c r="C53" s="8"/>
      <c r="D53" s="2" t="s">
        <v>10350</v>
      </c>
      <c r="E53" s="122" t="s">
        <v>2358</v>
      </c>
      <c r="F53" s="4"/>
      <c r="G53" s="14"/>
      <c r="H53" s="9">
        <v>25</v>
      </c>
    </row>
    <row r="54" spans="3:8" x14ac:dyDescent="0.25">
      <c r="C54" s="8"/>
      <c r="D54" s="2" t="s">
        <v>10351</v>
      </c>
      <c r="E54" s="122" t="s">
        <v>5847</v>
      </c>
      <c r="F54" s="4">
        <v>11</v>
      </c>
      <c r="G54" s="14"/>
      <c r="H54" s="9"/>
    </row>
    <row r="55" spans="3:8" x14ac:dyDescent="0.25">
      <c r="C55" s="8"/>
      <c r="D55" s="2" t="s">
        <v>10353</v>
      </c>
      <c r="E55" s="122" t="s">
        <v>5847</v>
      </c>
      <c r="F55" s="4">
        <v>4</v>
      </c>
      <c r="G55" s="14"/>
      <c r="H55" s="9"/>
    </row>
    <row r="56" spans="3:8" x14ac:dyDescent="0.25">
      <c r="C56" s="8"/>
      <c r="D56" s="2" t="s">
        <v>10359</v>
      </c>
      <c r="E56" s="122" t="s">
        <v>8952</v>
      </c>
      <c r="F56" s="4"/>
      <c r="G56" s="14">
        <v>4539</v>
      </c>
      <c r="H56" s="9"/>
    </row>
    <row r="57" spans="3:8" x14ac:dyDescent="0.25">
      <c r="C57" s="8"/>
      <c r="D57" s="2" t="s">
        <v>10381</v>
      </c>
      <c r="E57" s="122"/>
      <c r="F57" s="4"/>
      <c r="G57" s="14"/>
      <c r="H57" s="9"/>
    </row>
    <row r="58" spans="3:8" x14ac:dyDescent="0.25">
      <c r="C58" s="8"/>
      <c r="D58" s="2"/>
      <c r="E58" s="122"/>
      <c r="F58" s="4"/>
      <c r="G58" s="14"/>
      <c r="H58" s="9"/>
    </row>
    <row r="59" spans="3:8" x14ac:dyDescent="0.25">
      <c r="C59" s="8"/>
      <c r="D59" s="2"/>
      <c r="E59" s="2"/>
      <c r="F59" s="4"/>
      <c r="G59" s="14"/>
      <c r="H59" s="9"/>
    </row>
    <row r="60" spans="3:8" x14ac:dyDescent="0.25">
      <c r="C60" s="29"/>
      <c r="D60" s="30"/>
      <c r="E60" s="30" t="s">
        <v>60</v>
      </c>
      <c r="F60" s="4"/>
      <c r="G60" s="14"/>
      <c r="H60" s="9"/>
    </row>
    <row r="61" spans="3:8" x14ac:dyDescent="0.25">
      <c r="C61" s="8"/>
      <c r="D61" s="2" t="s">
        <v>10339</v>
      </c>
      <c r="E61" s="68" t="s">
        <v>10340</v>
      </c>
      <c r="F61" s="35"/>
      <c r="G61" s="14"/>
      <c r="H61" s="9">
        <v>2030</v>
      </c>
    </row>
    <row r="62" spans="3:8" x14ac:dyDescent="0.25">
      <c r="C62" s="8"/>
      <c r="D62" s="2" t="s">
        <v>10364</v>
      </c>
      <c r="E62" s="68"/>
      <c r="F62" s="35"/>
      <c r="G62" s="14"/>
      <c r="H62" s="9"/>
    </row>
    <row r="63" spans="3:8" x14ac:dyDescent="0.25">
      <c r="C63" s="8"/>
      <c r="D63" s="2"/>
      <c r="E63" s="68"/>
      <c r="F63" s="35"/>
      <c r="G63" s="14"/>
      <c r="H63" s="9"/>
    </row>
    <row r="64" spans="3:8" x14ac:dyDescent="0.25">
      <c r="C64" s="8"/>
      <c r="D64" s="2"/>
      <c r="E64" s="68"/>
      <c r="F64" s="35"/>
      <c r="G64" s="14"/>
      <c r="H64" s="9"/>
    </row>
    <row r="65" spans="3:8" x14ac:dyDescent="0.25">
      <c r="C65" s="8"/>
      <c r="D65" s="2"/>
      <c r="E65" s="68"/>
      <c r="F65" s="35"/>
      <c r="G65" s="14"/>
      <c r="H65" s="9"/>
    </row>
    <row r="66" spans="3:8" x14ac:dyDescent="0.25">
      <c r="C66" s="8"/>
      <c r="D66" s="2"/>
      <c r="E66" s="76"/>
      <c r="F66" s="35"/>
      <c r="G66" s="14"/>
      <c r="H66" s="9"/>
    </row>
    <row r="67" spans="3:8" x14ac:dyDescent="0.25">
      <c r="C67" s="8"/>
      <c r="D67" s="2"/>
      <c r="E67" s="76"/>
      <c r="F67" s="35"/>
      <c r="G67" s="14"/>
      <c r="H67" s="9"/>
    </row>
    <row r="68" spans="3:8" x14ac:dyDescent="0.25">
      <c r="C68" s="16"/>
      <c r="D68" s="17"/>
      <c r="E68" s="17" t="s">
        <v>39</v>
      </c>
      <c r="F68" s="4"/>
      <c r="G68" s="14"/>
      <c r="H68" s="9"/>
    </row>
    <row r="69" spans="3:8" x14ac:dyDescent="0.25">
      <c r="C69" s="8"/>
      <c r="D69" s="2"/>
      <c r="E69" s="96" t="s">
        <v>10326</v>
      </c>
      <c r="F69" s="35">
        <v>3946</v>
      </c>
      <c r="G69" s="14"/>
      <c r="H69" s="9"/>
    </row>
    <row r="70" spans="3:8" x14ac:dyDescent="0.25">
      <c r="C70" s="8"/>
      <c r="D70" s="2"/>
      <c r="E70" s="96" t="s">
        <v>10327</v>
      </c>
      <c r="F70" s="35">
        <v>4213.5</v>
      </c>
      <c r="G70" s="14"/>
      <c r="H70" s="9"/>
    </row>
    <row r="71" spans="3:8" x14ac:dyDescent="0.25">
      <c r="C71" s="8"/>
      <c r="D71" s="2"/>
      <c r="E71" s="96" t="s">
        <v>10328</v>
      </c>
      <c r="F71" s="35">
        <v>81.5</v>
      </c>
      <c r="G71" s="14"/>
      <c r="H71" s="9"/>
    </row>
    <row r="72" spans="3:8" x14ac:dyDescent="0.25">
      <c r="C72" s="8"/>
      <c r="D72" s="2"/>
      <c r="E72" s="96" t="s">
        <v>10329</v>
      </c>
      <c r="F72" s="35">
        <v>40</v>
      </c>
      <c r="G72" s="14"/>
      <c r="H72" s="9"/>
    </row>
    <row r="73" spans="3:8" x14ac:dyDescent="0.25">
      <c r="C73" s="8"/>
      <c r="D73" s="2"/>
      <c r="E73" s="68" t="s">
        <v>10352</v>
      </c>
      <c r="F73" s="35">
        <v>11.5</v>
      </c>
      <c r="G73" s="14"/>
      <c r="H73" s="9"/>
    </row>
    <row r="74" spans="3:8" x14ac:dyDescent="0.25">
      <c r="C74" s="8"/>
      <c r="D74" s="2"/>
      <c r="E74" s="76" t="s">
        <v>10356</v>
      </c>
      <c r="F74" s="35">
        <v>600</v>
      </c>
      <c r="G74" s="14"/>
      <c r="H74" s="9"/>
    </row>
    <row r="75" spans="3:8" x14ac:dyDescent="0.25">
      <c r="C75" s="8"/>
      <c r="D75" s="2"/>
      <c r="E75" s="76" t="s">
        <v>10357</v>
      </c>
      <c r="F75" s="35">
        <v>120</v>
      </c>
      <c r="G75" s="14"/>
      <c r="H75" s="9"/>
    </row>
    <row r="76" spans="3:8" x14ac:dyDescent="0.25">
      <c r="C76" s="8"/>
      <c r="D76" s="2"/>
      <c r="E76" s="2"/>
      <c r="F76" s="4"/>
      <c r="G76" s="14"/>
      <c r="H76" s="9"/>
    </row>
    <row r="77" spans="3:8" x14ac:dyDescent="0.25">
      <c r="C77" s="19"/>
      <c r="D77" s="20"/>
      <c r="E77" s="20" t="s">
        <v>42</v>
      </c>
      <c r="F77" s="14"/>
      <c r="G77" s="14"/>
      <c r="H77" s="9"/>
    </row>
    <row r="78" spans="3:8" x14ac:dyDescent="0.25">
      <c r="C78" s="34"/>
      <c r="D78" s="139"/>
      <c r="E78" s="118" t="s">
        <v>10330</v>
      </c>
      <c r="F78" s="14">
        <v>-10</v>
      </c>
      <c r="G78" s="14"/>
      <c r="H78" s="9"/>
    </row>
    <row r="79" spans="3:8" x14ac:dyDescent="0.25">
      <c r="C79" s="34"/>
      <c r="D79" s="139"/>
      <c r="E79" s="118" t="s">
        <v>4881</v>
      </c>
      <c r="F79" s="14">
        <v>-10</v>
      </c>
      <c r="G79" s="14"/>
      <c r="H79" s="9"/>
    </row>
    <row r="80" spans="3:8" x14ac:dyDescent="0.25">
      <c r="C80" s="34"/>
      <c r="D80" s="139"/>
      <c r="E80" s="118" t="s">
        <v>10338</v>
      </c>
      <c r="F80" s="14">
        <v>-448</v>
      </c>
      <c r="G80" s="14"/>
      <c r="H80" s="9"/>
    </row>
    <row r="81" spans="3:8" x14ac:dyDescent="0.25">
      <c r="C81" s="34"/>
      <c r="D81" s="139"/>
      <c r="E81" s="118" t="s">
        <v>7560</v>
      </c>
      <c r="F81" s="14">
        <v>-50</v>
      </c>
      <c r="G81" s="14"/>
      <c r="H81" s="9"/>
    </row>
    <row r="82" spans="3:8" x14ac:dyDescent="0.25">
      <c r="C82" s="34"/>
      <c r="D82" s="45"/>
      <c r="E82" s="118" t="s">
        <v>10354</v>
      </c>
      <c r="F82" s="14">
        <v>-2342.5</v>
      </c>
      <c r="G82" s="14"/>
      <c r="H82" s="9"/>
    </row>
    <row r="83" spans="3:8" x14ac:dyDescent="0.25">
      <c r="C83" s="34"/>
      <c r="D83" s="45"/>
      <c r="E83" s="118" t="s">
        <v>10358</v>
      </c>
      <c r="F83" s="14">
        <v>-90</v>
      </c>
      <c r="G83" s="14"/>
      <c r="H83" s="9"/>
    </row>
    <row r="84" spans="3:8" x14ac:dyDescent="0.25">
      <c r="C84" s="34"/>
      <c r="D84" s="45"/>
      <c r="E84" s="68"/>
      <c r="F84" s="14"/>
      <c r="G84" s="14"/>
      <c r="H84" s="9"/>
    </row>
    <row r="85" spans="3:8" ht="15.75" thickBot="1" x14ac:dyDescent="0.3">
      <c r="C85" s="10"/>
      <c r="D85" s="11"/>
      <c r="E85" s="11" t="s">
        <v>44</v>
      </c>
      <c r="F85" s="12">
        <f>SUM(F9:F84)</f>
        <v>7661.6</v>
      </c>
      <c r="G85" s="15">
        <f>SUM(G9:G84)</f>
        <v>6484.1</v>
      </c>
      <c r="H85" s="13">
        <f>SUM(H9:H84)</f>
        <v>2837.5</v>
      </c>
    </row>
    <row r="88" spans="3:8" ht="21" x14ac:dyDescent="0.3">
      <c r="E88" s="119" t="s">
        <v>49</v>
      </c>
      <c r="F88" s="120">
        <f>H7+F85</f>
        <v>16257.49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2532-02BE-4490-9794-7A56FCEDFADA}">
  <sheetPr codeName="Hoja136"/>
  <dimension ref="C5:H95"/>
  <sheetViews>
    <sheetView topLeftCell="A28" workbookViewId="0">
      <selection activeCell="D38" sqref="D38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10361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16257.49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10362</v>
      </c>
      <c r="E9" s="122" t="s">
        <v>12</v>
      </c>
      <c r="F9" s="109">
        <v>23</v>
      </c>
      <c r="G9" s="113"/>
      <c r="H9" s="112"/>
    </row>
    <row r="10" spans="3:8" x14ac:dyDescent="0.25">
      <c r="C10" s="136"/>
      <c r="D10" s="2" t="s">
        <v>10365</v>
      </c>
      <c r="E10" s="122" t="s">
        <v>8434</v>
      </c>
      <c r="F10" s="109">
        <v>47.5</v>
      </c>
      <c r="G10" s="113"/>
      <c r="H10" s="112"/>
    </row>
    <row r="11" spans="3:8" x14ac:dyDescent="0.25">
      <c r="C11" s="24"/>
      <c r="D11" s="2" t="s">
        <v>10366</v>
      </c>
      <c r="E11" s="122" t="s">
        <v>8434</v>
      </c>
      <c r="F11" s="109"/>
      <c r="G11" s="113"/>
      <c r="H11" s="112">
        <v>498</v>
      </c>
    </row>
    <row r="12" spans="3:8" x14ac:dyDescent="0.25">
      <c r="C12" s="8"/>
      <c r="D12" s="2" t="s">
        <v>10367</v>
      </c>
      <c r="E12" s="122" t="s">
        <v>10380</v>
      </c>
      <c r="F12" s="4"/>
      <c r="G12" s="14"/>
      <c r="H12" s="9">
        <v>1617.5</v>
      </c>
    </row>
    <row r="13" spans="3:8" x14ac:dyDescent="0.25">
      <c r="C13" s="8"/>
      <c r="D13" s="2" t="s">
        <v>10368</v>
      </c>
      <c r="E13" s="122" t="s">
        <v>12</v>
      </c>
      <c r="F13" s="4">
        <v>52</v>
      </c>
      <c r="G13" s="14"/>
      <c r="H13" s="9"/>
    </row>
    <row r="14" spans="3:8" x14ac:dyDescent="0.25">
      <c r="C14" s="8"/>
      <c r="D14" s="2" t="s">
        <v>10369</v>
      </c>
      <c r="E14" s="122" t="s">
        <v>12</v>
      </c>
      <c r="F14" s="4"/>
      <c r="G14" s="14"/>
      <c r="H14" s="9">
        <v>10</v>
      </c>
    </row>
    <row r="15" spans="3:8" x14ac:dyDescent="0.25">
      <c r="C15" s="8"/>
      <c r="D15" s="2" t="s">
        <v>10370</v>
      </c>
      <c r="E15" s="122" t="s">
        <v>12</v>
      </c>
      <c r="F15" s="4">
        <v>37</v>
      </c>
      <c r="G15" s="14"/>
      <c r="H15" s="9"/>
    </row>
    <row r="16" spans="3:8" x14ac:dyDescent="0.25">
      <c r="C16" s="8"/>
      <c r="D16" s="2" t="s">
        <v>10371</v>
      </c>
      <c r="E16" s="122" t="s">
        <v>8850</v>
      </c>
      <c r="F16" s="4">
        <v>100</v>
      </c>
      <c r="G16" s="14"/>
      <c r="H16" s="9"/>
    </row>
    <row r="17" spans="3:8" x14ac:dyDescent="0.25">
      <c r="C17" s="8"/>
      <c r="D17" s="2" t="s">
        <v>10372</v>
      </c>
      <c r="E17" s="122" t="s">
        <v>10379</v>
      </c>
      <c r="F17" s="4">
        <v>330</v>
      </c>
      <c r="G17" s="14"/>
      <c r="H17" s="9"/>
    </row>
    <row r="18" spans="3:8" x14ac:dyDescent="0.25">
      <c r="C18" s="8"/>
      <c r="D18" s="2" t="s">
        <v>10373</v>
      </c>
      <c r="E18" s="122" t="s">
        <v>12</v>
      </c>
      <c r="F18" s="4">
        <v>6.5</v>
      </c>
      <c r="G18" s="14"/>
      <c r="H18" s="9"/>
    </row>
    <row r="19" spans="3:8" x14ac:dyDescent="0.25">
      <c r="C19" s="8"/>
      <c r="D19" s="2" t="s">
        <v>10374</v>
      </c>
      <c r="E19" s="122" t="s">
        <v>12</v>
      </c>
      <c r="F19" s="4">
        <v>14.5</v>
      </c>
      <c r="G19" s="14"/>
      <c r="H19" s="9"/>
    </row>
    <row r="20" spans="3:8" x14ac:dyDescent="0.25">
      <c r="C20" s="8"/>
      <c r="D20" s="2" t="s">
        <v>10375</v>
      </c>
      <c r="E20" s="122" t="s">
        <v>12</v>
      </c>
      <c r="F20" s="4"/>
      <c r="G20" s="14"/>
      <c r="H20" s="9">
        <v>10</v>
      </c>
    </row>
    <row r="21" spans="3:8" x14ac:dyDescent="0.25">
      <c r="C21" s="8"/>
      <c r="D21" s="2" t="s">
        <v>10376</v>
      </c>
      <c r="E21" s="122" t="s">
        <v>12</v>
      </c>
      <c r="F21" s="4">
        <v>10</v>
      </c>
      <c r="G21" s="14"/>
      <c r="H21" s="9"/>
    </row>
    <row r="22" spans="3:8" x14ac:dyDescent="0.25">
      <c r="C22" s="8"/>
      <c r="D22" s="2" t="s">
        <v>10377</v>
      </c>
      <c r="E22" s="122" t="s">
        <v>12</v>
      </c>
      <c r="F22" s="4">
        <v>65</v>
      </c>
      <c r="G22" s="14"/>
      <c r="H22" s="9"/>
    </row>
    <row r="23" spans="3:8" x14ac:dyDescent="0.25">
      <c r="C23" s="8"/>
      <c r="D23" s="2" t="s">
        <v>10378</v>
      </c>
      <c r="E23" s="122" t="s">
        <v>12</v>
      </c>
      <c r="F23" s="4">
        <v>3</v>
      </c>
      <c r="G23" s="14"/>
      <c r="H23" s="9"/>
    </row>
    <row r="24" spans="3:8" x14ac:dyDescent="0.25">
      <c r="C24" s="8"/>
      <c r="D24" s="2" t="s">
        <v>10399</v>
      </c>
      <c r="E24" s="122" t="s">
        <v>10405</v>
      </c>
      <c r="F24" s="4">
        <v>231.6</v>
      </c>
      <c r="G24" s="14"/>
      <c r="H24" s="9"/>
    </row>
    <row r="25" spans="3:8" x14ac:dyDescent="0.25">
      <c r="C25" s="8"/>
      <c r="D25" s="2" t="s">
        <v>10400</v>
      </c>
      <c r="E25" s="122" t="s">
        <v>12</v>
      </c>
      <c r="F25" s="4">
        <v>4.5</v>
      </c>
      <c r="G25" s="14"/>
      <c r="H25" s="9"/>
    </row>
    <row r="26" spans="3:8" x14ac:dyDescent="0.25">
      <c r="C26" s="8"/>
      <c r="D26" s="2" t="s">
        <v>10401</v>
      </c>
      <c r="E26" s="122" t="s">
        <v>12</v>
      </c>
      <c r="F26" s="4">
        <v>5</v>
      </c>
      <c r="G26" s="14"/>
      <c r="H26" s="9"/>
    </row>
    <row r="27" spans="3:8" x14ac:dyDescent="0.25">
      <c r="C27" s="8"/>
      <c r="D27" s="2" t="s">
        <v>10402</v>
      </c>
      <c r="E27" s="122" t="s">
        <v>12</v>
      </c>
      <c r="F27" s="4">
        <v>2.5</v>
      </c>
      <c r="G27" s="14"/>
      <c r="H27" s="9"/>
    </row>
    <row r="28" spans="3:8" x14ac:dyDescent="0.25">
      <c r="C28" s="8"/>
      <c r="D28" s="2" t="s">
        <v>10403</v>
      </c>
      <c r="E28" s="122" t="s">
        <v>12</v>
      </c>
      <c r="F28" s="4">
        <v>10</v>
      </c>
      <c r="G28" s="14"/>
      <c r="H28" s="9"/>
    </row>
    <row r="29" spans="3:8" x14ac:dyDescent="0.25">
      <c r="C29" s="8"/>
      <c r="D29" s="2" t="s">
        <v>10404</v>
      </c>
      <c r="E29" s="122" t="s">
        <v>12</v>
      </c>
      <c r="F29" s="4">
        <v>165</v>
      </c>
      <c r="G29" s="14"/>
      <c r="H29" s="9"/>
    </row>
    <row r="30" spans="3:8" x14ac:dyDescent="0.25">
      <c r="C30" s="8"/>
      <c r="D30" s="2" t="s">
        <v>10411</v>
      </c>
      <c r="E30" s="122" t="s">
        <v>10416</v>
      </c>
      <c r="F30" s="4">
        <v>19420</v>
      </c>
      <c r="G30" s="14"/>
      <c r="H30" s="9"/>
    </row>
    <row r="31" spans="3:8" x14ac:dyDescent="0.25">
      <c r="C31" s="8"/>
      <c r="D31" s="2" t="s">
        <v>10412</v>
      </c>
      <c r="E31" s="122" t="s">
        <v>8035</v>
      </c>
      <c r="F31" s="4">
        <v>30</v>
      </c>
      <c r="G31" s="14"/>
      <c r="H31" s="9"/>
    </row>
    <row r="32" spans="3:8" x14ac:dyDescent="0.25">
      <c r="C32" s="8"/>
      <c r="D32" s="2" t="s">
        <v>10413</v>
      </c>
      <c r="E32" s="122" t="s">
        <v>12</v>
      </c>
      <c r="F32" s="4">
        <v>2</v>
      </c>
      <c r="G32" s="14"/>
      <c r="H32" s="9"/>
    </row>
    <row r="33" spans="3:8" x14ac:dyDescent="0.25">
      <c r="C33" s="8"/>
      <c r="D33" s="2" t="s">
        <v>10414</v>
      </c>
      <c r="E33" s="122" t="s">
        <v>12</v>
      </c>
      <c r="F33" s="4"/>
      <c r="G33" s="14"/>
      <c r="H33" s="9">
        <v>126.5</v>
      </c>
    </row>
    <row r="34" spans="3:8" x14ac:dyDescent="0.25">
      <c r="C34" s="8"/>
      <c r="D34" s="2" t="s">
        <v>10415</v>
      </c>
      <c r="E34" s="122" t="s">
        <v>1679</v>
      </c>
      <c r="F34" s="4"/>
      <c r="G34" s="14">
        <v>614</v>
      </c>
      <c r="H34" s="9"/>
    </row>
    <row r="35" spans="3:8" x14ac:dyDescent="0.25">
      <c r="C35" s="8"/>
      <c r="D35" s="2" t="s">
        <v>10428</v>
      </c>
      <c r="E35" s="142" t="s">
        <v>2381</v>
      </c>
      <c r="F35" s="4"/>
      <c r="G35" s="14"/>
      <c r="H35" s="9"/>
    </row>
    <row r="36" spans="3:8" x14ac:dyDescent="0.25">
      <c r="C36" s="8"/>
      <c r="D36" s="2" t="s">
        <v>10429</v>
      </c>
      <c r="E36" s="142" t="s">
        <v>2381</v>
      </c>
      <c r="F36" s="4"/>
      <c r="G36" s="14"/>
      <c r="H36" s="9"/>
    </row>
    <row r="37" spans="3:8" x14ac:dyDescent="0.25">
      <c r="C37" s="8"/>
      <c r="D37" s="2" t="s">
        <v>10430</v>
      </c>
      <c r="E37" s="142" t="s">
        <v>2381</v>
      </c>
      <c r="F37" s="4"/>
      <c r="G37" s="14"/>
      <c r="H37" s="9"/>
    </row>
    <row r="38" spans="3:8" x14ac:dyDescent="0.25">
      <c r="C38" s="8"/>
      <c r="D38" s="2" t="s">
        <v>10431</v>
      </c>
      <c r="E38" s="142" t="s">
        <v>2381</v>
      </c>
      <c r="F38" s="4"/>
      <c r="G38" s="14"/>
      <c r="H38" s="9"/>
    </row>
    <row r="39" spans="3:8" x14ac:dyDescent="0.25">
      <c r="C39" s="8"/>
      <c r="D39" s="2"/>
      <c r="E39" s="122"/>
      <c r="F39" s="4"/>
      <c r="G39" s="14"/>
      <c r="H39" s="9"/>
    </row>
    <row r="40" spans="3:8" x14ac:dyDescent="0.25">
      <c r="C40" s="8"/>
      <c r="D40" s="2" t="s">
        <v>10381</v>
      </c>
      <c r="E40" s="122" t="s">
        <v>10325</v>
      </c>
      <c r="F40" s="4">
        <v>260</v>
      </c>
      <c r="G40" s="14"/>
      <c r="H40" s="9"/>
    </row>
    <row r="41" spans="3:8" x14ac:dyDescent="0.25">
      <c r="C41" s="8"/>
      <c r="D41" s="2" t="s">
        <v>10382</v>
      </c>
      <c r="E41" s="122" t="s">
        <v>8134</v>
      </c>
      <c r="F41" s="4"/>
      <c r="G41" s="14">
        <v>1032.5</v>
      </c>
      <c r="H41" s="9"/>
    </row>
    <row r="42" spans="3:8" x14ac:dyDescent="0.25">
      <c r="C42" s="8"/>
      <c r="D42" s="2" t="s">
        <v>10383</v>
      </c>
      <c r="E42" s="122" t="s">
        <v>5679</v>
      </c>
      <c r="F42" s="4"/>
      <c r="G42" s="14"/>
      <c r="H42" s="9">
        <v>452</v>
      </c>
    </row>
    <row r="43" spans="3:8" x14ac:dyDescent="0.25">
      <c r="C43" s="8"/>
      <c r="D43" s="2" t="s">
        <v>10384</v>
      </c>
      <c r="E43" s="122" t="s">
        <v>6092</v>
      </c>
      <c r="F43" s="4">
        <v>7</v>
      </c>
      <c r="G43" s="14"/>
      <c r="H43" s="9"/>
    </row>
    <row r="44" spans="3:8" x14ac:dyDescent="0.25">
      <c r="C44" s="8"/>
      <c r="D44" s="2" t="s">
        <v>10385</v>
      </c>
      <c r="E44" s="122" t="s">
        <v>10397</v>
      </c>
      <c r="F44" s="4">
        <v>345</v>
      </c>
      <c r="G44" s="14"/>
      <c r="H44" s="9"/>
    </row>
    <row r="45" spans="3:8" x14ac:dyDescent="0.25">
      <c r="C45" s="8"/>
      <c r="D45" s="2" t="s">
        <v>10386</v>
      </c>
      <c r="E45" s="122" t="s">
        <v>6092</v>
      </c>
      <c r="F45" s="4">
        <v>37.5</v>
      </c>
      <c r="G45" s="14"/>
      <c r="H45" s="9"/>
    </row>
    <row r="46" spans="3:8" x14ac:dyDescent="0.25">
      <c r="C46" s="8"/>
      <c r="D46" s="2" t="s">
        <v>10387</v>
      </c>
      <c r="E46" s="122" t="s">
        <v>6092</v>
      </c>
      <c r="F46" s="4">
        <v>5.5</v>
      </c>
      <c r="G46" s="14"/>
      <c r="H46" s="9"/>
    </row>
    <row r="47" spans="3:8" x14ac:dyDescent="0.25">
      <c r="C47" s="8"/>
      <c r="D47" s="2" t="s">
        <v>10388</v>
      </c>
      <c r="E47" s="122" t="s">
        <v>6092</v>
      </c>
      <c r="F47" s="4">
        <v>1</v>
      </c>
      <c r="G47" s="14"/>
      <c r="H47" s="9"/>
    </row>
    <row r="48" spans="3:8" x14ac:dyDescent="0.25">
      <c r="C48" s="8"/>
      <c r="D48" s="2" t="s">
        <v>10389</v>
      </c>
      <c r="E48" s="122" t="s">
        <v>6092</v>
      </c>
      <c r="F48" s="4"/>
      <c r="G48" s="14"/>
      <c r="H48" s="9">
        <v>20</v>
      </c>
    </row>
    <row r="49" spans="3:8" x14ac:dyDescent="0.25">
      <c r="C49" s="8"/>
      <c r="D49" s="2" t="s">
        <v>10390</v>
      </c>
      <c r="E49" s="122" t="s">
        <v>6441</v>
      </c>
      <c r="F49" s="4"/>
      <c r="G49" s="14"/>
      <c r="H49" s="9">
        <v>1180.0999999999999</v>
      </c>
    </row>
    <row r="50" spans="3:8" x14ac:dyDescent="0.25">
      <c r="C50" s="8"/>
      <c r="D50" s="2" t="s">
        <v>10391</v>
      </c>
      <c r="E50" s="122" t="s">
        <v>8952</v>
      </c>
      <c r="F50" s="4"/>
      <c r="G50" s="14">
        <v>3202</v>
      </c>
      <c r="H50" s="9"/>
    </row>
    <row r="51" spans="3:8" x14ac:dyDescent="0.25">
      <c r="C51" s="8"/>
      <c r="D51" s="2" t="s">
        <v>10392</v>
      </c>
      <c r="E51" s="122" t="s">
        <v>6092</v>
      </c>
      <c r="F51" s="4">
        <v>26</v>
      </c>
      <c r="G51" s="14"/>
      <c r="H51" s="9"/>
    </row>
    <row r="52" spans="3:8" x14ac:dyDescent="0.25">
      <c r="C52" s="8"/>
      <c r="D52" s="2" t="s">
        <v>10393</v>
      </c>
      <c r="E52" s="122" t="s">
        <v>6092</v>
      </c>
      <c r="F52" s="4"/>
      <c r="G52" s="14"/>
      <c r="H52" s="9">
        <v>17.5</v>
      </c>
    </row>
    <row r="53" spans="3:8" x14ac:dyDescent="0.25">
      <c r="C53" s="8"/>
      <c r="D53" s="2" t="s">
        <v>10394</v>
      </c>
      <c r="E53" s="122" t="s">
        <v>6092</v>
      </c>
      <c r="F53" s="4">
        <v>50</v>
      </c>
      <c r="G53" s="14"/>
      <c r="H53" s="9"/>
    </row>
    <row r="54" spans="3:8" x14ac:dyDescent="0.25">
      <c r="C54" s="8"/>
      <c r="D54" s="2" t="s">
        <v>10398</v>
      </c>
      <c r="E54" s="122" t="s">
        <v>6092</v>
      </c>
      <c r="F54" s="4">
        <v>240</v>
      </c>
      <c r="G54" s="14"/>
      <c r="H54" s="9"/>
    </row>
    <row r="55" spans="3:8" x14ac:dyDescent="0.25">
      <c r="C55" s="8"/>
      <c r="D55" s="2" t="s">
        <v>10406</v>
      </c>
      <c r="E55" s="122" t="s">
        <v>10408</v>
      </c>
      <c r="F55" s="4">
        <v>82</v>
      </c>
      <c r="G55" s="14"/>
      <c r="H55" s="9"/>
    </row>
    <row r="56" spans="3:8" x14ac:dyDescent="0.25">
      <c r="C56" s="8"/>
      <c r="D56" s="2" t="s">
        <v>10407</v>
      </c>
      <c r="E56" s="122" t="s">
        <v>10409</v>
      </c>
      <c r="F56" s="4"/>
      <c r="G56" s="14"/>
      <c r="H56" s="9">
        <v>64.5</v>
      </c>
    </row>
    <row r="57" spans="3:8" x14ac:dyDescent="0.25">
      <c r="C57" s="8"/>
      <c r="D57" s="2" t="s">
        <v>10417</v>
      </c>
      <c r="E57" s="122" t="s">
        <v>9336</v>
      </c>
      <c r="F57" s="4">
        <v>89</v>
      </c>
      <c r="G57" s="14"/>
      <c r="H57" s="9"/>
    </row>
    <row r="58" spans="3:8" x14ac:dyDescent="0.25">
      <c r="C58" s="8"/>
      <c r="D58" s="2" t="s">
        <v>10418</v>
      </c>
      <c r="E58" s="122" t="s">
        <v>6092</v>
      </c>
      <c r="F58" s="4">
        <v>14</v>
      </c>
      <c r="G58" s="14"/>
      <c r="H58" s="9"/>
    </row>
    <row r="59" spans="3:8" x14ac:dyDescent="0.25">
      <c r="C59" s="8"/>
      <c r="D59" s="2" t="s">
        <v>10419</v>
      </c>
      <c r="E59" s="122" t="s">
        <v>8151</v>
      </c>
      <c r="F59" s="4"/>
      <c r="G59" s="14">
        <v>2900</v>
      </c>
      <c r="H59" s="9"/>
    </row>
    <row r="60" spans="3:8" x14ac:dyDescent="0.25">
      <c r="C60" s="8"/>
      <c r="D60" s="2" t="s">
        <v>10444</v>
      </c>
      <c r="E60" s="140"/>
      <c r="F60" s="4"/>
      <c r="G60" s="14"/>
      <c r="H60" s="9"/>
    </row>
    <row r="61" spans="3:8" x14ac:dyDescent="0.25">
      <c r="C61" s="8"/>
      <c r="D61" s="2"/>
      <c r="E61" s="122"/>
      <c r="F61" s="4"/>
      <c r="G61" s="14"/>
      <c r="H61" s="9"/>
    </row>
    <row r="62" spans="3:8" x14ac:dyDescent="0.25">
      <c r="C62" s="29"/>
      <c r="D62" s="30"/>
      <c r="E62" s="30" t="s">
        <v>60</v>
      </c>
      <c r="F62" s="4"/>
      <c r="G62" s="14"/>
      <c r="H62" s="9"/>
    </row>
    <row r="63" spans="3:8" x14ac:dyDescent="0.25">
      <c r="C63" s="8"/>
      <c r="D63" s="2" t="s">
        <v>10364</v>
      </c>
      <c r="E63" s="68" t="s">
        <v>4322</v>
      </c>
      <c r="F63" s="35"/>
      <c r="G63" s="14"/>
      <c r="H63" s="9">
        <v>50</v>
      </c>
    </row>
    <row r="64" spans="3:8" x14ac:dyDescent="0.25">
      <c r="C64" s="8"/>
      <c r="D64" s="2" t="s">
        <v>10435</v>
      </c>
      <c r="E64" s="68" t="s">
        <v>4666</v>
      </c>
      <c r="F64" s="35"/>
      <c r="G64" s="14"/>
      <c r="H64" s="9">
        <v>2495</v>
      </c>
    </row>
    <row r="65" spans="3:8" x14ac:dyDescent="0.25">
      <c r="C65" s="8"/>
      <c r="D65" s="2" t="s">
        <v>10436</v>
      </c>
      <c r="E65" s="68"/>
      <c r="F65" s="35"/>
      <c r="G65" s="14"/>
      <c r="H65" s="9"/>
    </row>
    <row r="66" spans="3:8" x14ac:dyDescent="0.25">
      <c r="C66" s="8"/>
      <c r="D66" s="2"/>
      <c r="E66" s="68"/>
      <c r="F66" s="35"/>
      <c r="G66" s="14"/>
      <c r="H66" s="9"/>
    </row>
    <row r="67" spans="3:8" x14ac:dyDescent="0.25">
      <c r="C67" s="8"/>
      <c r="D67" s="2"/>
      <c r="E67" s="68"/>
      <c r="F67" s="35"/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8"/>
      <c r="D69" s="2"/>
      <c r="E69" s="76"/>
      <c r="F69" s="35"/>
      <c r="G69" s="14"/>
      <c r="H69" s="9"/>
    </row>
    <row r="70" spans="3:8" x14ac:dyDescent="0.25">
      <c r="C70" s="16"/>
      <c r="D70" s="17"/>
      <c r="E70" s="17" t="s">
        <v>39</v>
      </c>
      <c r="F70" s="4"/>
      <c r="G70" s="14"/>
      <c r="H70" s="9"/>
    </row>
    <row r="71" spans="3:8" x14ac:dyDescent="0.25">
      <c r="C71" s="8"/>
      <c r="D71" s="2"/>
      <c r="E71" s="96" t="s">
        <v>10395</v>
      </c>
      <c r="F71" s="35">
        <v>80</v>
      </c>
      <c r="G71" s="14"/>
      <c r="H71" s="9"/>
    </row>
    <row r="72" spans="3:8" x14ac:dyDescent="0.25">
      <c r="C72" s="8"/>
      <c r="D72" s="2"/>
      <c r="E72" s="96" t="s">
        <v>10396</v>
      </c>
      <c r="F72" s="35">
        <v>320</v>
      </c>
      <c r="G72" s="14"/>
      <c r="H72" s="9"/>
    </row>
    <row r="73" spans="3:8" x14ac:dyDescent="0.25">
      <c r="C73" s="8"/>
      <c r="D73" s="2"/>
      <c r="E73" s="96" t="s">
        <v>10420</v>
      </c>
      <c r="F73" s="35">
        <v>3</v>
      </c>
      <c r="G73" s="14"/>
      <c r="H73" s="9"/>
    </row>
    <row r="74" spans="3:8" x14ac:dyDescent="0.25">
      <c r="C74" s="8"/>
      <c r="D74" s="2"/>
      <c r="E74" s="96" t="s">
        <v>10423</v>
      </c>
      <c r="F74" s="35">
        <v>28.9</v>
      </c>
      <c r="G74" s="14"/>
      <c r="H74" s="9"/>
    </row>
    <row r="75" spans="3:8" x14ac:dyDescent="0.25">
      <c r="C75" s="8"/>
      <c r="D75" s="2"/>
      <c r="E75" s="68" t="s">
        <v>10425</v>
      </c>
      <c r="F75" s="35">
        <v>50</v>
      </c>
      <c r="G75" s="14"/>
      <c r="H75" s="9"/>
    </row>
    <row r="76" spans="3:8" x14ac:dyDescent="0.25">
      <c r="C76" s="8"/>
      <c r="D76" s="2"/>
      <c r="E76" s="76"/>
      <c r="F76" s="35"/>
      <c r="G76" s="14"/>
      <c r="H76" s="9"/>
    </row>
    <row r="77" spans="3:8" x14ac:dyDescent="0.25">
      <c r="C77" s="8"/>
      <c r="D77" s="2"/>
      <c r="E77" s="76"/>
      <c r="F77" s="35"/>
      <c r="G77" s="14"/>
      <c r="H77" s="9"/>
    </row>
    <row r="78" spans="3:8" x14ac:dyDescent="0.25">
      <c r="C78" s="8"/>
      <c r="D78" s="2"/>
      <c r="E78" s="2"/>
      <c r="F78" s="4"/>
      <c r="G78" s="14"/>
      <c r="H78" s="9"/>
    </row>
    <row r="79" spans="3:8" x14ac:dyDescent="0.25">
      <c r="C79" s="19"/>
      <c r="D79" s="20"/>
      <c r="E79" s="20" t="s">
        <v>42</v>
      </c>
      <c r="F79" s="14"/>
      <c r="G79" s="14"/>
      <c r="H79" s="9"/>
    </row>
    <row r="80" spans="3:8" x14ac:dyDescent="0.25">
      <c r="C80" s="34"/>
      <c r="D80" s="139"/>
      <c r="E80" s="118" t="s">
        <v>10363</v>
      </c>
      <c r="F80" s="14">
        <v>-395</v>
      </c>
      <c r="G80" s="14"/>
      <c r="H80" s="9"/>
    </row>
    <row r="81" spans="3:8" x14ac:dyDescent="0.25">
      <c r="C81" s="34"/>
      <c r="D81" s="139"/>
      <c r="E81" s="118" t="s">
        <v>10410</v>
      </c>
      <c r="F81" s="14">
        <v>-50</v>
      </c>
      <c r="G81" s="14"/>
      <c r="H81" s="9"/>
    </row>
    <row r="82" spans="3:8" x14ac:dyDescent="0.25">
      <c r="C82" s="34"/>
      <c r="D82" s="139"/>
      <c r="E82" s="118" t="s">
        <v>10421</v>
      </c>
      <c r="F82" s="14">
        <v>-100</v>
      </c>
      <c r="G82" s="14"/>
      <c r="H82" s="9"/>
    </row>
    <row r="83" spans="3:8" x14ac:dyDescent="0.25">
      <c r="C83" s="34"/>
      <c r="D83" s="139"/>
      <c r="E83" s="118" t="s">
        <v>10422</v>
      </c>
      <c r="F83" s="14">
        <v>-70</v>
      </c>
      <c r="G83" s="14"/>
      <c r="H83" s="9"/>
    </row>
    <row r="84" spans="3:8" x14ac:dyDescent="0.25">
      <c r="C84" s="34"/>
      <c r="D84" s="45"/>
      <c r="E84" s="118" t="s">
        <v>1274</v>
      </c>
      <c r="F84" s="14">
        <v>-4964.7</v>
      </c>
      <c r="G84" s="14"/>
      <c r="H84" s="9"/>
    </row>
    <row r="85" spans="3:8" x14ac:dyDescent="0.25">
      <c r="C85" s="34"/>
      <c r="D85" s="45"/>
      <c r="E85" s="118" t="s">
        <v>10424</v>
      </c>
      <c r="F85" s="14">
        <v>-410</v>
      </c>
      <c r="G85" s="14"/>
      <c r="H85" s="9"/>
    </row>
    <row r="86" spans="3:8" x14ac:dyDescent="0.25">
      <c r="C86" s="34"/>
      <c r="D86" s="45"/>
      <c r="E86" s="118" t="s">
        <v>3405</v>
      </c>
      <c r="F86" s="14">
        <v>-130</v>
      </c>
      <c r="G86" s="14"/>
      <c r="H86" s="9"/>
    </row>
    <row r="87" spans="3:8" x14ac:dyDescent="0.25">
      <c r="C87" s="34"/>
      <c r="D87" s="45"/>
      <c r="E87" s="118" t="s">
        <v>10426</v>
      </c>
      <c r="F87" s="14">
        <v>-9747</v>
      </c>
      <c r="G87" s="14"/>
      <c r="H87" s="9"/>
    </row>
    <row r="88" spans="3:8" x14ac:dyDescent="0.25">
      <c r="C88" s="34"/>
      <c r="D88" s="45"/>
      <c r="E88" s="118" t="s">
        <v>10427</v>
      </c>
      <c r="F88" s="14">
        <v>-11550</v>
      </c>
      <c r="G88" s="14"/>
      <c r="H88" s="9"/>
    </row>
    <row r="89" spans="3:8" x14ac:dyDescent="0.25">
      <c r="C89" s="34"/>
      <c r="D89" s="45"/>
      <c r="E89" s="118"/>
      <c r="F89" s="14"/>
      <c r="G89" s="14"/>
      <c r="H89" s="9"/>
    </row>
    <row r="90" spans="3:8" x14ac:dyDescent="0.25">
      <c r="C90" s="34"/>
      <c r="D90" s="45"/>
      <c r="E90" s="118"/>
      <c r="F90" s="14"/>
      <c r="G90" s="14"/>
      <c r="H90" s="9"/>
    </row>
    <row r="91" spans="3:8" x14ac:dyDescent="0.25">
      <c r="C91" s="34"/>
      <c r="D91" s="45"/>
      <c r="E91" s="68"/>
      <c r="F91" s="14"/>
      <c r="G91" s="14"/>
      <c r="H91" s="9"/>
    </row>
    <row r="92" spans="3:8" ht="15.75" thickBot="1" x14ac:dyDescent="0.3">
      <c r="C92" s="10"/>
      <c r="D92" s="11"/>
      <c r="E92" s="11" t="s">
        <v>44</v>
      </c>
      <c r="F92" s="12">
        <f>SUM(F9:F91)</f>
        <v>-5218.7000000000007</v>
      </c>
      <c r="G92" s="15">
        <f>SUM(G9:G91)</f>
        <v>7748.5</v>
      </c>
      <c r="H92" s="13">
        <f>SUM(H9:H91)</f>
        <v>6541.1</v>
      </c>
    </row>
    <row r="95" spans="3:8" ht="21" x14ac:dyDescent="0.3">
      <c r="E95" s="119" t="s">
        <v>49</v>
      </c>
      <c r="F95" s="120">
        <f>H7+F92</f>
        <v>11038.789999999999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2BE3-9047-4354-9472-8101401B7C29}">
  <sheetPr codeName="Hoja137"/>
  <dimension ref="C5:H100"/>
  <sheetViews>
    <sheetView topLeftCell="A74" workbookViewId="0">
      <selection activeCell="F100" sqref="F100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4257812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10433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11038.79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10432</v>
      </c>
      <c r="E9" s="122" t="s">
        <v>158</v>
      </c>
      <c r="F9" s="109"/>
      <c r="G9" s="113"/>
      <c r="H9" s="112">
        <v>9.5</v>
      </c>
    </row>
    <row r="10" spans="3:8" x14ac:dyDescent="0.25">
      <c r="C10" s="136"/>
      <c r="D10" s="2" t="s">
        <v>10440</v>
      </c>
      <c r="E10" s="122" t="s">
        <v>12</v>
      </c>
      <c r="F10" s="109"/>
      <c r="G10" s="113"/>
      <c r="H10" s="112">
        <v>13.5</v>
      </c>
    </row>
    <row r="11" spans="3:8" x14ac:dyDescent="0.25">
      <c r="C11" s="24"/>
      <c r="D11" s="2" t="s">
        <v>10441</v>
      </c>
      <c r="E11" s="122" t="s">
        <v>6782</v>
      </c>
      <c r="F11" s="109">
        <v>343</v>
      </c>
      <c r="G11" s="113"/>
      <c r="H11" s="112"/>
    </row>
    <row r="12" spans="3:8" x14ac:dyDescent="0.25">
      <c r="C12" s="8"/>
      <c r="D12" s="2" t="s">
        <v>10442</v>
      </c>
      <c r="E12" s="122" t="s">
        <v>8850</v>
      </c>
      <c r="F12" s="4">
        <v>1000</v>
      </c>
      <c r="G12" s="14">
        <v>52.1</v>
      </c>
      <c r="H12" s="9"/>
    </row>
    <row r="13" spans="3:8" x14ac:dyDescent="0.25">
      <c r="C13" s="8"/>
      <c r="D13" s="2" t="s">
        <v>10443</v>
      </c>
      <c r="E13" s="122" t="s">
        <v>12</v>
      </c>
      <c r="F13" s="4">
        <v>65</v>
      </c>
      <c r="G13" s="14"/>
      <c r="H13" s="9"/>
    </row>
    <row r="14" spans="3:8" x14ac:dyDescent="0.25">
      <c r="C14" s="8"/>
      <c r="D14" s="2" t="s">
        <v>10464</v>
      </c>
      <c r="E14" s="122" t="s">
        <v>6923</v>
      </c>
      <c r="F14" s="4">
        <v>300</v>
      </c>
      <c r="G14" s="14"/>
      <c r="H14" s="9"/>
    </row>
    <row r="15" spans="3:8" x14ac:dyDescent="0.25">
      <c r="C15" s="8"/>
      <c r="D15" s="2" t="s">
        <v>10467</v>
      </c>
      <c r="E15" s="122" t="s">
        <v>12</v>
      </c>
      <c r="F15" s="4">
        <v>1</v>
      </c>
      <c r="G15" s="14"/>
      <c r="H15" s="9"/>
    </row>
    <row r="16" spans="3:8" x14ac:dyDescent="0.25">
      <c r="C16" s="8"/>
      <c r="D16" s="2" t="s">
        <v>10468</v>
      </c>
      <c r="E16" s="122" t="s">
        <v>9728</v>
      </c>
      <c r="F16" s="4">
        <v>2040</v>
      </c>
      <c r="G16" s="14"/>
      <c r="H16" s="9"/>
    </row>
    <row r="17" spans="3:8" x14ac:dyDescent="0.25">
      <c r="C17" s="8"/>
      <c r="D17" s="2" t="s">
        <v>10469</v>
      </c>
      <c r="E17" s="122" t="s">
        <v>4596</v>
      </c>
      <c r="F17" s="4"/>
      <c r="G17" s="14">
        <v>1005</v>
      </c>
      <c r="H17" s="9"/>
    </row>
    <row r="18" spans="3:8" x14ac:dyDescent="0.25">
      <c r="C18" s="8"/>
      <c r="D18" s="2" t="s">
        <v>10470</v>
      </c>
      <c r="E18" s="122" t="s">
        <v>12</v>
      </c>
      <c r="F18" s="4">
        <v>2</v>
      </c>
      <c r="G18" s="14"/>
      <c r="H18" s="9"/>
    </row>
    <row r="19" spans="3:8" x14ac:dyDescent="0.25">
      <c r="C19" s="8"/>
      <c r="D19" s="2" t="s">
        <v>10482</v>
      </c>
      <c r="E19" s="122" t="s">
        <v>8434</v>
      </c>
      <c r="F19" s="4">
        <v>426</v>
      </c>
      <c r="G19" s="14"/>
      <c r="H19" s="9"/>
    </row>
    <row r="20" spans="3:8" x14ac:dyDescent="0.25">
      <c r="C20" s="8"/>
      <c r="D20" s="2" t="s">
        <v>10483</v>
      </c>
      <c r="E20" s="122" t="s">
        <v>12</v>
      </c>
      <c r="F20" s="4">
        <v>4</v>
      </c>
      <c r="G20" s="14"/>
      <c r="H20" s="9"/>
    </row>
    <row r="21" spans="3:8" x14ac:dyDescent="0.25">
      <c r="C21" s="8"/>
      <c r="D21" s="2" t="s">
        <v>10484</v>
      </c>
      <c r="E21" s="122" t="s">
        <v>10487</v>
      </c>
      <c r="F21" s="4"/>
      <c r="G21" s="14"/>
      <c r="H21" s="9">
        <v>906</v>
      </c>
    </row>
    <row r="22" spans="3:8" x14ac:dyDescent="0.25">
      <c r="C22" s="8"/>
      <c r="D22" s="2" t="s">
        <v>10485</v>
      </c>
      <c r="E22" s="122" t="s">
        <v>12</v>
      </c>
      <c r="F22" s="4">
        <v>3</v>
      </c>
      <c r="G22" s="14"/>
      <c r="H22" s="9"/>
    </row>
    <row r="23" spans="3:8" x14ac:dyDescent="0.25">
      <c r="C23" s="8"/>
      <c r="D23" s="2" t="s">
        <v>10486</v>
      </c>
      <c r="E23" s="122" t="s">
        <v>6166</v>
      </c>
      <c r="F23" s="4"/>
      <c r="G23" s="14">
        <v>110</v>
      </c>
      <c r="H23" s="9"/>
    </row>
    <row r="24" spans="3:8" x14ac:dyDescent="0.25">
      <c r="C24" s="8"/>
      <c r="D24" s="2" t="s">
        <v>10494</v>
      </c>
      <c r="E24" s="122" t="s">
        <v>12</v>
      </c>
      <c r="F24" s="4">
        <v>6</v>
      </c>
      <c r="G24" s="14"/>
      <c r="H24" s="9"/>
    </row>
    <row r="25" spans="3:8" x14ac:dyDescent="0.25">
      <c r="C25" s="8"/>
      <c r="D25" s="2" t="s">
        <v>10500</v>
      </c>
      <c r="E25" s="122" t="s">
        <v>12</v>
      </c>
      <c r="F25" s="4"/>
      <c r="G25" s="14"/>
      <c r="H25" s="9">
        <v>18</v>
      </c>
    </row>
    <row r="26" spans="3:8" x14ac:dyDescent="0.25">
      <c r="C26" s="8"/>
      <c r="D26" s="2" t="s">
        <v>10501</v>
      </c>
      <c r="E26" s="122" t="s">
        <v>12</v>
      </c>
      <c r="F26" s="4">
        <v>6</v>
      </c>
      <c r="G26" s="14"/>
      <c r="H26" s="9"/>
    </row>
    <row r="27" spans="3:8" x14ac:dyDescent="0.25">
      <c r="C27" s="8"/>
      <c r="D27" s="2" t="s">
        <v>10502</v>
      </c>
      <c r="E27" s="122" t="s">
        <v>12</v>
      </c>
      <c r="F27" s="4">
        <v>50</v>
      </c>
      <c r="G27" s="14"/>
      <c r="H27" s="9">
        <v>10</v>
      </c>
    </row>
    <row r="28" spans="3:8" x14ac:dyDescent="0.25">
      <c r="C28" s="8"/>
      <c r="D28" s="2" t="s">
        <v>10503</v>
      </c>
      <c r="E28" s="122" t="s">
        <v>12</v>
      </c>
      <c r="F28" s="4"/>
      <c r="G28" s="14"/>
      <c r="H28" s="9">
        <v>5</v>
      </c>
    </row>
    <row r="29" spans="3:8" x14ac:dyDescent="0.25">
      <c r="C29" s="8"/>
      <c r="D29" s="2" t="s">
        <v>10508</v>
      </c>
      <c r="E29" s="122" t="s">
        <v>12</v>
      </c>
      <c r="F29" s="4">
        <v>7</v>
      </c>
      <c r="G29" s="14"/>
      <c r="H29" s="9"/>
    </row>
    <row r="30" spans="3:8" x14ac:dyDescent="0.25">
      <c r="C30" s="8"/>
      <c r="D30" s="2"/>
      <c r="E30" s="122"/>
      <c r="F30" s="4"/>
      <c r="G30" s="14"/>
      <c r="H30" s="9"/>
    </row>
    <row r="31" spans="3:8" x14ac:dyDescent="0.25">
      <c r="C31" s="8"/>
      <c r="D31" s="2" t="s">
        <v>10444</v>
      </c>
      <c r="E31" s="122" t="s">
        <v>9455</v>
      </c>
      <c r="F31" s="4"/>
      <c r="G31" s="14"/>
      <c r="H31" s="9">
        <v>165</v>
      </c>
    </row>
    <row r="32" spans="3:8" x14ac:dyDescent="0.25">
      <c r="C32" s="8"/>
      <c r="D32" s="2" t="s">
        <v>10445</v>
      </c>
      <c r="E32" s="122" t="s">
        <v>4322</v>
      </c>
      <c r="F32" s="4"/>
      <c r="G32" s="14"/>
      <c r="H32" s="9">
        <v>1110.5</v>
      </c>
    </row>
    <row r="33" spans="3:8" x14ac:dyDescent="0.25">
      <c r="C33" s="8"/>
      <c r="D33" s="2" t="s">
        <v>10446</v>
      </c>
      <c r="E33" s="122" t="s">
        <v>1631</v>
      </c>
      <c r="F33" s="4">
        <v>310</v>
      </c>
      <c r="G33" s="14"/>
      <c r="H33" s="9"/>
    </row>
    <row r="34" spans="3:8" x14ac:dyDescent="0.25">
      <c r="C34" s="8"/>
      <c r="D34" s="2" t="s">
        <v>10447</v>
      </c>
      <c r="E34" s="122" t="s">
        <v>1631</v>
      </c>
      <c r="F34" s="4">
        <v>12</v>
      </c>
      <c r="G34" s="14"/>
      <c r="H34" s="9"/>
    </row>
    <row r="35" spans="3:8" x14ac:dyDescent="0.25">
      <c r="C35" s="8"/>
      <c r="D35" s="2" t="s">
        <v>10448</v>
      </c>
      <c r="E35" s="122" t="s">
        <v>1631</v>
      </c>
      <c r="F35" s="4"/>
      <c r="G35" s="14"/>
      <c r="H35" s="9">
        <v>20</v>
      </c>
    </row>
    <row r="36" spans="3:8" x14ac:dyDescent="0.25">
      <c r="C36" s="8"/>
      <c r="D36" s="2" t="s">
        <v>10449</v>
      </c>
      <c r="E36" s="122" t="s">
        <v>1631</v>
      </c>
      <c r="F36" s="4"/>
      <c r="G36" s="14"/>
      <c r="H36" s="9">
        <v>6</v>
      </c>
    </row>
    <row r="37" spans="3:8" x14ac:dyDescent="0.25">
      <c r="C37" s="8"/>
      <c r="D37" s="2" t="s">
        <v>10450</v>
      </c>
      <c r="E37" s="122" t="s">
        <v>10462</v>
      </c>
      <c r="F37" s="4">
        <v>46</v>
      </c>
      <c r="G37" s="14"/>
      <c r="H37" s="9"/>
    </row>
    <row r="38" spans="3:8" x14ac:dyDescent="0.25">
      <c r="C38" s="8"/>
      <c r="D38" s="2" t="s">
        <v>10451</v>
      </c>
      <c r="E38" s="122" t="s">
        <v>1631</v>
      </c>
      <c r="F38" s="4">
        <v>26.5</v>
      </c>
      <c r="G38" s="14"/>
      <c r="H38" s="9"/>
    </row>
    <row r="39" spans="3:8" x14ac:dyDescent="0.25">
      <c r="C39" s="8"/>
      <c r="D39" s="2" t="s">
        <v>10452</v>
      </c>
      <c r="E39" s="122" t="s">
        <v>1631</v>
      </c>
      <c r="F39" s="4">
        <v>17</v>
      </c>
      <c r="G39" s="14"/>
      <c r="H39" s="9"/>
    </row>
    <row r="40" spans="3:8" x14ac:dyDescent="0.25">
      <c r="C40" s="8"/>
      <c r="D40" s="2" t="s">
        <v>10453</v>
      </c>
      <c r="E40" s="122" t="s">
        <v>1631</v>
      </c>
      <c r="F40" s="4">
        <v>1</v>
      </c>
      <c r="G40" s="14"/>
      <c r="H40" s="9"/>
    </row>
    <row r="41" spans="3:8" x14ac:dyDescent="0.25">
      <c r="C41" s="8"/>
      <c r="D41" s="2" t="s">
        <v>10454</v>
      </c>
      <c r="E41" s="122" t="s">
        <v>8952</v>
      </c>
      <c r="F41" s="4"/>
      <c r="G41" s="14">
        <v>395.75</v>
      </c>
      <c r="H41" s="9"/>
    </row>
    <row r="42" spans="3:8" x14ac:dyDescent="0.25">
      <c r="C42" s="8"/>
      <c r="D42" s="2" t="s">
        <v>10455</v>
      </c>
      <c r="E42" s="122" t="s">
        <v>10461</v>
      </c>
      <c r="F42" s="4">
        <v>700</v>
      </c>
      <c r="G42" s="14"/>
      <c r="H42" s="9">
        <v>219.8</v>
      </c>
    </row>
    <row r="43" spans="3:8" x14ac:dyDescent="0.25">
      <c r="C43" s="8"/>
      <c r="D43" s="2" t="s">
        <v>10456</v>
      </c>
      <c r="E43" s="122" t="s">
        <v>6299</v>
      </c>
      <c r="F43" s="4"/>
      <c r="G43" s="14"/>
      <c r="H43" s="9">
        <v>35</v>
      </c>
    </row>
    <row r="44" spans="3:8" x14ac:dyDescent="0.25">
      <c r="C44" s="8"/>
      <c r="D44" s="2" t="s">
        <v>10457</v>
      </c>
      <c r="E44" s="122" t="s">
        <v>10460</v>
      </c>
      <c r="F44" s="4"/>
      <c r="G44" s="14">
        <v>1908</v>
      </c>
      <c r="H44" s="9"/>
    </row>
    <row r="45" spans="3:8" x14ac:dyDescent="0.25">
      <c r="C45" s="8"/>
      <c r="D45" s="2" t="s">
        <v>10458</v>
      </c>
      <c r="E45" s="122" t="s">
        <v>10459</v>
      </c>
      <c r="F45" s="4"/>
      <c r="G45" s="14"/>
      <c r="H45" s="9">
        <v>62</v>
      </c>
    </row>
    <row r="46" spans="3:8" x14ac:dyDescent="0.25">
      <c r="C46" s="8"/>
      <c r="D46" s="2" t="s">
        <v>10471</v>
      </c>
      <c r="E46" s="122" t="s">
        <v>1631</v>
      </c>
      <c r="F46" s="4">
        <v>16.5</v>
      </c>
      <c r="G46" s="14"/>
      <c r="H46" s="9"/>
    </row>
    <row r="47" spans="3:8" x14ac:dyDescent="0.25">
      <c r="C47" s="8"/>
      <c r="D47" s="2" t="s">
        <v>10472</v>
      </c>
      <c r="E47" s="122" t="s">
        <v>6924</v>
      </c>
      <c r="F47" s="4"/>
      <c r="G47" s="14"/>
      <c r="H47" s="9">
        <v>314</v>
      </c>
    </row>
    <row r="48" spans="3:8" x14ac:dyDescent="0.25">
      <c r="C48" s="8"/>
      <c r="D48" s="2" t="s">
        <v>10473</v>
      </c>
      <c r="E48" s="122" t="s">
        <v>10481</v>
      </c>
      <c r="F48" s="4"/>
      <c r="G48" s="14">
        <v>246</v>
      </c>
      <c r="H48" s="9"/>
    </row>
    <row r="49" spans="3:8" x14ac:dyDescent="0.25">
      <c r="C49" s="8"/>
      <c r="D49" s="2" t="s">
        <v>10474</v>
      </c>
      <c r="E49" s="122" t="s">
        <v>10480</v>
      </c>
      <c r="F49" s="4">
        <v>646</v>
      </c>
      <c r="G49" s="14"/>
      <c r="H49" s="9"/>
    </row>
    <row r="50" spans="3:8" x14ac:dyDescent="0.25">
      <c r="C50" s="8"/>
      <c r="D50" s="2" t="s">
        <v>10475</v>
      </c>
      <c r="E50" s="122" t="s">
        <v>10479</v>
      </c>
      <c r="F50" s="4"/>
      <c r="G50" s="14"/>
      <c r="H50" s="9">
        <v>42</v>
      </c>
    </row>
    <row r="51" spans="3:8" x14ac:dyDescent="0.25">
      <c r="C51" s="8"/>
      <c r="D51" s="2" t="s">
        <v>10476</v>
      </c>
      <c r="E51" s="122" t="s">
        <v>2358</v>
      </c>
      <c r="F51" s="4"/>
      <c r="G51" s="14"/>
      <c r="H51" s="9">
        <v>16</v>
      </c>
    </row>
    <row r="52" spans="3:8" x14ac:dyDescent="0.25">
      <c r="C52" s="8"/>
      <c r="D52" s="2" t="s">
        <v>10477</v>
      </c>
      <c r="E52" s="122" t="s">
        <v>10478</v>
      </c>
      <c r="F52" s="4"/>
      <c r="G52" s="14"/>
      <c r="H52" s="9">
        <v>179.5</v>
      </c>
    </row>
    <row r="53" spans="3:8" x14ac:dyDescent="0.25">
      <c r="C53" s="8"/>
      <c r="D53" s="2" t="s">
        <v>10488</v>
      </c>
      <c r="E53" s="122" t="s">
        <v>1631</v>
      </c>
      <c r="F53" s="4">
        <v>10.5</v>
      </c>
      <c r="G53" s="14"/>
      <c r="H53" s="9"/>
    </row>
    <row r="54" spans="3:8" x14ac:dyDescent="0.25">
      <c r="C54" s="8"/>
      <c r="D54" s="2" t="s">
        <v>10489</v>
      </c>
      <c r="E54" s="122" t="s">
        <v>1631</v>
      </c>
      <c r="F54" s="4">
        <v>6</v>
      </c>
      <c r="G54" s="14"/>
      <c r="H54" s="9"/>
    </row>
    <row r="55" spans="3:8" x14ac:dyDescent="0.25">
      <c r="C55" s="8"/>
      <c r="D55" s="2" t="s">
        <v>10490</v>
      </c>
      <c r="E55" s="122" t="s">
        <v>1631</v>
      </c>
      <c r="F55" s="4">
        <v>1</v>
      </c>
      <c r="G55" s="14"/>
      <c r="H55" s="9"/>
    </row>
    <row r="56" spans="3:8" x14ac:dyDescent="0.25">
      <c r="C56" s="8"/>
      <c r="D56" s="2" t="s">
        <v>10491</v>
      </c>
      <c r="E56" s="122" t="s">
        <v>1631</v>
      </c>
      <c r="F56" s="4">
        <v>15.5</v>
      </c>
      <c r="G56" s="14"/>
      <c r="H56" s="9"/>
    </row>
    <row r="57" spans="3:8" x14ac:dyDescent="0.25">
      <c r="C57" s="8"/>
      <c r="D57" s="2" t="s">
        <v>10492</v>
      </c>
      <c r="E57" s="122" t="s">
        <v>1631</v>
      </c>
      <c r="F57" s="4">
        <v>10.5</v>
      </c>
      <c r="G57" s="14"/>
      <c r="H57" s="9"/>
    </row>
    <row r="58" spans="3:8" x14ac:dyDescent="0.25">
      <c r="C58" s="8"/>
      <c r="D58" s="2" t="s">
        <v>10495</v>
      </c>
      <c r="E58" s="122" t="s">
        <v>10496</v>
      </c>
      <c r="F58" s="4"/>
      <c r="G58" s="14"/>
      <c r="H58" s="9">
        <v>207.5</v>
      </c>
    </row>
    <row r="59" spans="3:8" x14ac:dyDescent="0.25">
      <c r="C59" s="8"/>
      <c r="D59" s="2" t="s">
        <v>10504</v>
      </c>
      <c r="E59" s="122" t="s">
        <v>8666</v>
      </c>
      <c r="F59" s="4"/>
      <c r="G59" s="14"/>
      <c r="H59" s="9">
        <v>12</v>
      </c>
    </row>
    <row r="60" spans="3:8" x14ac:dyDescent="0.25">
      <c r="C60" s="8"/>
      <c r="D60" s="2" t="s">
        <v>10505</v>
      </c>
      <c r="E60" s="122" t="s">
        <v>6963</v>
      </c>
      <c r="F60" s="4"/>
      <c r="G60" s="14">
        <v>3138.5</v>
      </c>
      <c r="H60" s="9"/>
    </row>
    <row r="61" spans="3:8" x14ac:dyDescent="0.25">
      <c r="C61" s="8"/>
      <c r="D61" s="2" t="s">
        <v>10506</v>
      </c>
      <c r="E61" s="122" t="s">
        <v>1631</v>
      </c>
      <c r="F61" s="4">
        <v>23</v>
      </c>
      <c r="G61" s="14"/>
      <c r="H61" s="9"/>
    </row>
    <row r="62" spans="3:8" x14ac:dyDescent="0.25">
      <c r="C62" s="8"/>
      <c r="D62" s="2" t="s">
        <v>10507</v>
      </c>
      <c r="E62" s="122" t="s">
        <v>6553</v>
      </c>
      <c r="F62" s="4"/>
      <c r="G62" s="14">
        <v>239</v>
      </c>
      <c r="H62" s="9"/>
    </row>
    <row r="63" spans="3:8" x14ac:dyDescent="0.25">
      <c r="C63" s="8"/>
      <c r="D63" s="2" t="s">
        <v>10521</v>
      </c>
      <c r="E63" s="122"/>
      <c r="F63" s="4"/>
      <c r="G63" s="14"/>
      <c r="H63" s="9"/>
    </row>
    <row r="64" spans="3:8" x14ac:dyDescent="0.25">
      <c r="C64" s="8"/>
      <c r="D64" s="2"/>
      <c r="E64" s="122"/>
      <c r="F64" s="4"/>
      <c r="G64" s="14"/>
      <c r="H64" s="9"/>
    </row>
    <row r="65" spans="3:8" x14ac:dyDescent="0.25">
      <c r="C65" s="8"/>
      <c r="D65" s="2"/>
      <c r="E65" s="140"/>
      <c r="F65" s="4"/>
      <c r="G65" s="14"/>
      <c r="H65" s="9"/>
    </row>
    <row r="66" spans="3:8" x14ac:dyDescent="0.25">
      <c r="C66" s="8"/>
      <c r="D66" s="2"/>
      <c r="E66" s="122"/>
      <c r="F66" s="4"/>
      <c r="G66" s="14"/>
      <c r="H66" s="9"/>
    </row>
    <row r="67" spans="3:8" x14ac:dyDescent="0.25">
      <c r="C67" s="29"/>
      <c r="D67" s="30"/>
      <c r="E67" s="30" t="s">
        <v>60</v>
      </c>
      <c r="F67" s="4"/>
      <c r="G67" s="14"/>
      <c r="H67" s="9"/>
    </row>
    <row r="68" spans="3:8" x14ac:dyDescent="0.25">
      <c r="C68" s="8"/>
      <c r="D68" s="2" t="s">
        <v>10436</v>
      </c>
      <c r="E68" s="68" t="s">
        <v>8875</v>
      </c>
      <c r="F68" s="35"/>
      <c r="G68" s="14"/>
      <c r="H68" s="9">
        <v>1035</v>
      </c>
    </row>
    <row r="69" spans="3:8" x14ac:dyDescent="0.25">
      <c r="C69" s="8"/>
      <c r="D69" s="2" t="s">
        <v>10437</v>
      </c>
      <c r="E69" s="68" t="s">
        <v>8875</v>
      </c>
      <c r="F69" s="35"/>
      <c r="G69" s="14"/>
      <c r="H69" s="9">
        <v>690</v>
      </c>
    </row>
    <row r="70" spans="3:8" x14ac:dyDescent="0.25">
      <c r="C70" s="8"/>
      <c r="D70" s="2" t="s">
        <v>10438</v>
      </c>
      <c r="E70" s="68" t="s">
        <v>8875</v>
      </c>
      <c r="F70" s="35">
        <v>9</v>
      </c>
      <c r="G70" s="14"/>
      <c r="H70" s="9"/>
    </row>
    <row r="71" spans="3:8" x14ac:dyDescent="0.25">
      <c r="C71" s="8"/>
      <c r="D71" s="2" t="s">
        <v>10439</v>
      </c>
      <c r="E71" s="68" t="s">
        <v>10466</v>
      </c>
      <c r="F71" s="35"/>
      <c r="G71" s="14">
        <v>1340</v>
      </c>
      <c r="H71" s="9"/>
    </row>
    <row r="72" spans="3:8" x14ac:dyDescent="0.25">
      <c r="C72" s="8"/>
      <c r="D72" s="2" t="s">
        <v>10512</v>
      </c>
      <c r="E72" s="68"/>
      <c r="F72" s="35"/>
      <c r="G72" s="14"/>
      <c r="H72" s="9"/>
    </row>
    <row r="73" spans="3:8" x14ac:dyDescent="0.25">
      <c r="C73" s="8"/>
      <c r="D73" s="2"/>
      <c r="E73" s="76"/>
      <c r="F73" s="35"/>
      <c r="G73" s="14"/>
      <c r="H73" s="9"/>
    </row>
    <row r="74" spans="3:8" x14ac:dyDescent="0.25">
      <c r="C74" s="8"/>
      <c r="D74" s="2"/>
      <c r="E74" s="76"/>
      <c r="F74" s="35"/>
      <c r="G74" s="14"/>
      <c r="H74" s="9"/>
    </row>
    <row r="75" spans="3:8" x14ac:dyDescent="0.25">
      <c r="C75" s="16"/>
      <c r="D75" s="17"/>
      <c r="E75" s="17" t="s">
        <v>39</v>
      </c>
      <c r="F75" s="4"/>
      <c r="G75" s="14"/>
      <c r="H75" s="9"/>
    </row>
    <row r="76" spans="3:8" x14ac:dyDescent="0.25">
      <c r="C76" s="8"/>
      <c r="D76" s="2"/>
      <c r="E76" s="96" t="s">
        <v>10493</v>
      </c>
      <c r="F76" s="35">
        <v>4</v>
      </c>
      <c r="G76" s="14"/>
      <c r="H76" s="9"/>
    </row>
    <row r="77" spans="3:8" x14ac:dyDescent="0.25">
      <c r="C77" s="8"/>
      <c r="D77" s="2"/>
      <c r="E77" s="96"/>
      <c r="F77" s="35"/>
      <c r="G77" s="14"/>
      <c r="H77" s="9"/>
    </row>
    <row r="78" spans="3:8" x14ac:dyDescent="0.25">
      <c r="C78" s="8"/>
      <c r="D78" s="2"/>
      <c r="E78" s="96"/>
      <c r="F78" s="35"/>
      <c r="G78" s="14"/>
      <c r="H78" s="9"/>
    </row>
    <row r="79" spans="3:8" x14ac:dyDescent="0.25">
      <c r="C79" s="8"/>
      <c r="D79" s="2"/>
      <c r="E79" s="96"/>
      <c r="F79" s="35"/>
      <c r="G79" s="14"/>
      <c r="H79" s="9"/>
    </row>
    <row r="80" spans="3:8" x14ac:dyDescent="0.25">
      <c r="C80" s="8"/>
      <c r="D80" s="2"/>
      <c r="E80" s="68"/>
      <c r="F80" s="35"/>
      <c r="G80" s="14"/>
      <c r="H80" s="9"/>
    </row>
    <row r="81" spans="3:8" x14ac:dyDescent="0.25">
      <c r="C81" s="8"/>
      <c r="D81" s="2"/>
      <c r="E81" s="76"/>
      <c r="F81" s="35"/>
      <c r="G81" s="14"/>
      <c r="H81" s="9"/>
    </row>
    <row r="82" spans="3:8" x14ac:dyDescent="0.25">
      <c r="C82" s="8"/>
      <c r="D82" s="2"/>
      <c r="E82" s="76"/>
      <c r="F82" s="35"/>
      <c r="G82" s="14"/>
      <c r="H82" s="9"/>
    </row>
    <row r="83" spans="3:8" x14ac:dyDescent="0.25">
      <c r="C83" s="8"/>
      <c r="D83" s="2"/>
      <c r="E83" s="2"/>
      <c r="F83" s="4"/>
      <c r="G83" s="14"/>
      <c r="H83" s="9"/>
    </row>
    <row r="84" spans="3:8" x14ac:dyDescent="0.25">
      <c r="C84" s="19"/>
      <c r="D84" s="20"/>
      <c r="E84" s="20" t="s">
        <v>42</v>
      </c>
      <c r="F84" s="14"/>
      <c r="G84" s="14"/>
      <c r="H84" s="9"/>
    </row>
    <row r="85" spans="3:8" x14ac:dyDescent="0.25">
      <c r="C85" s="34"/>
      <c r="D85" s="139"/>
      <c r="E85" s="118" t="s">
        <v>10434</v>
      </c>
      <c r="F85" s="14">
        <v>-646</v>
      </c>
      <c r="G85" s="14"/>
      <c r="H85" s="9"/>
    </row>
    <row r="86" spans="3:8" x14ac:dyDescent="0.25">
      <c r="C86" s="34"/>
      <c r="D86" s="139"/>
      <c r="E86" s="118" t="s">
        <v>10463</v>
      </c>
      <c r="F86" s="14">
        <v>-20</v>
      </c>
      <c r="G86" s="14"/>
      <c r="H86" s="9"/>
    </row>
    <row r="87" spans="3:8" x14ac:dyDescent="0.25">
      <c r="C87" s="34"/>
      <c r="D87" s="139"/>
      <c r="E87" s="118" t="s">
        <v>10465</v>
      </c>
      <c r="F87" s="14">
        <v>-850</v>
      </c>
      <c r="G87" s="14"/>
      <c r="H87" s="9"/>
    </row>
    <row r="88" spans="3:8" x14ac:dyDescent="0.25">
      <c r="C88" s="34"/>
      <c r="D88" s="139"/>
      <c r="E88" s="118" t="s">
        <v>10497</v>
      </c>
      <c r="F88" s="14">
        <v>-20</v>
      </c>
      <c r="G88" s="14"/>
      <c r="H88" s="9"/>
    </row>
    <row r="89" spans="3:8" x14ac:dyDescent="0.25">
      <c r="C89" s="34"/>
      <c r="D89" s="45"/>
      <c r="E89" s="118" t="s">
        <v>10498</v>
      </c>
      <c r="F89" s="14">
        <v>-1373.6</v>
      </c>
      <c r="G89" s="14"/>
      <c r="H89" s="9"/>
    </row>
    <row r="90" spans="3:8" x14ac:dyDescent="0.25">
      <c r="C90" s="34"/>
      <c r="D90" s="45"/>
      <c r="E90" s="118" t="s">
        <v>10499</v>
      </c>
      <c r="F90" s="14">
        <v>-465</v>
      </c>
      <c r="G90" s="14"/>
      <c r="H90" s="9"/>
    </row>
    <row r="91" spans="3:8" x14ac:dyDescent="0.25">
      <c r="C91" s="34"/>
      <c r="D91" s="45"/>
      <c r="E91" s="118" t="s">
        <v>10509</v>
      </c>
      <c r="F91" s="14">
        <v>-40</v>
      </c>
      <c r="G91" s="14"/>
      <c r="H91" s="9"/>
    </row>
    <row r="92" spans="3:8" x14ac:dyDescent="0.25">
      <c r="C92" s="34"/>
      <c r="D92" s="45"/>
      <c r="E92" s="118" t="s">
        <v>9039</v>
      </c>
      <c r="F92" s="14">
        <v>-130</v>
      </c>
      <c r="G92" s="14"/>
      <c r="H92" s="9"/>
    </row>
    <row r="93" spans="3:8" x14ac:dyDescent="0.25">
      <c r="C93" s="34"/>
      <c r="D93" s="45"/>
      <c r="E93" s="118" t="s">
        <v>10510</v>
      </c>
      <c r="F93" s="14">
        <v>-10</v>
      </c>
      <c r="G93" s="14"/>
      <c r="H93" s="9"/>
    </row>
    <row r="94" spans="3:8" x14ac:dyDescent="0.25">
      <c r="C94" s="34"/>
      <c r="D94" s="45"/>
      <c r="E94" s="118"/>
      <c r="F94" s="14"/>
      <c r="G94" s="14"/>
      <c r="H94" s="9"/>
    </row>
    <row r="95" spans="3:8" x14ac:dyDescent="0.25">
      <c r="C95" s="34"/>
      <c r="D95" s="45"/>
      <c r="E95" s="118"/>
      <c r="F95" s="14"/>
      <c r="G95" s="14"/>
      <c r="H95" s="9"/>
    </row>
    <row r="96" spans="3:8" x14ac:dyDescent="0.25">
      <c r="C96" s="34"/>
      <c r="D96" s="45"/>
      <c r="E96" s="68"/>
      <c r="F96" s="14"/>
      <c r="G96" s="14"/>
      <c r="H96" s="9"/>
    </row>
    <row r="97" spans="3:8" ht="15.75" thickBot="1" x14ac:dyDescent="0.3">
      <c r="C97" s="10"/>
      <c r="D97" s="11"/>
      <c r="E97" s="11" t="s">
        <v>44</v>
      </c>
      <c r="F97" s="12">
        <f>SUM(F9:F96)</f>
        <v>2552.9</v>
      </c>
      <c r="G97" s="15">
        <f>SUM(G9:G96)</f>
        <v>8434.35</v>
      </c>
      <c r="H97" s="13">
        <f>SUM(H9:H96)</f>
        <v>5076.3</v>
      </c>
    </row>
    <row r="100" spans="3:8" ht="21" x14ac:dyDescent="0.3">
      <c r="E100" s="119" t="s">
        <v>49</v>
      </c>
      <c r="F100" s="120">
        <f>H7+F97</f>
        <v>13591.69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BA0C-12D2-4A42-8B97-595851D14584}">
  <sheetPr codeName="Hoja138"/>
  <dimension ref="C5:H97"/>
  <sheetViews>
    <sheetView tabSelected="1" topLeftCell="A67" workbookViewId="0">
      <selection activeCell="B5" sqref="B5:I99"/>
    </sheetView>
  </sheetViews>
  <sheetFormatPr baseColWidth="10" defaultRowHeight="15" x14ac:dyDescent="0.25"/>
  <cols>
    <col min="3" max="3" width="15.5703125" customWidth="1"/>
    <col min="4" max="4" width="25.42578125" customWidth="1"/>
    <col min="5" max="5" width="56.7109375" customWidth="1"/>
    <col min="6" max="6" width="19" customWidth="1"/>
    <col min="7" max="7" width="14.140625" customWidth="1"/>
    <col min="8" max="8" width="20.140625" customWidth="1"/>
  </cols>
  <sheetData>
    <row r="5" spans="3:8" ht="15.75" thickBot="1" x14ac:dyDescent="0.3"/>
    <row r="6" spans="3:8" x14ac:dyDescent="0.25">
      <c r="C6" s="143" t="s">
        <v>10511</v>
      </c>
      <c r="D6" s="144"/>
      <c r="E6" s="144"/>
      <c r="F6" s="144"/>
      <c r="G6" s="145"/>
      <c r="H6" s="46" t="s">
        <v>0</v>
      </c>
    </row>
    <row r="7" spans="3:8" ht="16.5" thickBot="1" x14ac:dyDescent="0.3">
      <c r="C7" s="146"/>
      <c r="D7" s="147"/>
      <c r="E7" s="147"/>
      <c r="F7" s="147"/>
      <c r="G7" s="148"/>
      <c r="H7" s="117">
        <v>13591.69</v>
      </c>
    </row>
    <row r="8" spans="3:8" x14ac:dyDescent="0.25">
      <c r="C8" s="24" t="s">
        <v>1</v>
      </c>
      <c r="D8" s="25" t="s">
        <v>2</v>
      </c>
      <c r="E8" s="25" t="s">
        <v>3</v>
      </c>
      <c r="F8" s="26" t="s">
        <v>4</v>
      </c>
      <c r="G8" s="26" t="s">
        <v>5</v>
      </c>
      <c r="H8" s="27" t="s">
        <v>6</v>
      </c>
    </row>
    <row r="9" spans="3:8" x14ac:dyDescent="0.25">
      <c r="C9" s="24"/>
      <c r="D9" s="2" t="s">
        <v>10513</v>
      </c>
      <c r="E9" s="122" t="s">
        <v>5918</v>
      </c>
      <c r="F9" s="109">
        <v>37.5</v>
      </c>
      <c r="G9" s="113"/>
      <c r="H9" s="112"/>
    </row>
    <row r="10" spans="3:8" x14ac:dyDescent="0.25">
      <c r="C10" s="136"/>
      <c r="D10" s="2" t="s">
        <v>10514</v>
      </c>
      <c r="E10" s="122" t="s">
        <v>10523</v>
      </c>
      <c r="F10" s="109"/>
      <c r="G10" s="113"/>
      <c r="H10" s="112">
        <v>207</v>
      </c>
    </row>
    <row r="11" spans="3:8" x14ac:dyDescent="0.25">
      <c r="C11" s="24"/>
      <c r="D11" s="2" t="s">
        <v>10515</v>
      </c>
      <c r="E11" s="122" t="s">
        <v>4597</v>
      </c>
      <c r="F11" s="109"/>
      <c r="G11" s="113">
        <v>320</v>
      </c>
      <c r="H11" s="112"/>
    </row>
    <row r="12" spans="3:8" x14ac:dyDescent="0.25">
      <c r="C12" s="8"/>
      <c r="D12" s="2" t="s">
        <v>10516</v>
      </c>
      <c r="E12" s="122" t="s">
        <v>5918</v>
      </c>
      <c r="F12" s="4"/>
      <c r="G12" s="14"/>
      <c r="H12" s="9">
        <v>6</v>
      </c>
    </row>
    <row r="13" spans="3:8" x14ac:dyDescent="0.25">
      <c r="C13" s="8"/>
      <c r="D13" s="2" t="s">
        <v>10517</v>
      </c>
      <c r="E13" s="122" t="s">
        <v>9223</v>
      </c>
      <c r="F13" s="4"/>
      <c r="G13" s="14"/>
      <c r="H13" s="9">
        <v>488</v>
      </c>
    </row>
    <row r="14" spans="3:8" x14ac:dyDescent="0.25">
      <c r="C14" s="8"/>
      <c r="D14" s="2" t="s">
        <v>10518</v>
      </c>
      <c r="E14" s="122" t="s">
        <v>10524</v>
      </c>
      <c r="F14" s="4"/>
      <c r="G14" s="14"/>
      <c r="H14" s="9">
        <v>150</v>
      </c>
    </row>
    <row r="15" spans="3:8" x14ac:dyDescent="0.25">
      <c r="C15" s="8"/>
      <c r="D15" s="2" t="s">
        <v>10519</v>
      </c>
      <c r="E15" s="122" t="s">
        <v>7126</v>
      </c>
      <c r="F15" s="4"/>
      <c r="G15" s="14">
        <v>225</v>
      </c>
      <c r="H15" s="9"/>
    </row>
    <row r="16" spans="3:8" x14ac:dyDescent="0.25">
      <c r="C16" s="8"/>
      <c r="D16" s="2" t="s">
        <v>10520</v>
      </c>
      <c r="E16" s="122" t="s">
        <v>5918</v>
      </c>
      <c r="F16" s="4">
        <v>2</v>
      </c>
      <c r="G16" s="14"/>
      <c r="H16" s="9"/>
    </row>
    <row r="17" spans="3:8" x14ac:dyDescent="0.25">
      <c r="C17" s="8"/>
      <c r="D17" s="2" t="s">
        <v>10532</v>
      </c>
      <c r="E17" s="122" t="s">
        <v>8634</v>
      </c>
      <c r="F17" s="4">
        <v>172</v>
      </c>
      <c r="G17" s="14"/>
      <c r="H17" s="9"/>
    </row>
    <row r="18" spans="3:8" x14ac:dyDescent="0.25">
      <c r="C18" s="8"/>
      <c r="D18" s="2" t="s">
        <v>10533</v>
      </c>
      <c r="E18" s="122" t="s">
        <v>5918</v>
      </c>
      <c r="F18" s="4">
        <v>15</v>
      </c>
      <c r="G18" s="14"/>
      <c r="H18" s="9"/>
    </row>
    <row r="19" spans="3:8" x14ac:dyDescent="0.25">
      <c r="C19" s="8"/>
      <c r="D19" s="2" t="s">
        <v>10534</v>
      </c>
      <c r="E19" s="122" t="s">
        <v>5918</v>
      </c>
      <c r="F19" s="4">
        <v>15</v>
      </c>
      <c r="G19" s="14"/>
      <c r="H19" s="9"/>
    </row>
    <row r="20" spans="3:8" x14ac:dyDescent="0.25">
      <c r="C20" s="8"/>
      <c r="D20" s="2" t="s">
        <v>10535</v>
      </c>
      <c r="E20" s="122" t="s">
        <v>5918</v>
      </c>
      <c r="F20" s="4"/>
      <c r="G20" s="14"/>
      <c r="H20" s="9">
        <v>24</v>
      </c>
    </row>
    <row r="21" spans="3:8" x14ac:dyDescent="0.25">
      <c r="C21" s="8"/>
      <c r="D21" s="2" t="s">
        <v>10536</v>
      </c>
      <c r="E21" s="122" t="s">
        <v>5918</v>
      </c>
      <c r="F21" s="4"/>
      <c r="G21" s="14"/>
      <c r="H21" s="9">
        <v>64</v>
      </c>
    </row>
    <row r="22" spans="3:8" x14ac:dyDescent="0.25">
      <c r="C22" s="8"/>
      <c r="D22" s="2" t="s">
        <v>10537</v>
      </c>
      <c r="E22" s="122" t="s">
        <v>5918</v>
      </c>
      <c r="F22" s="4">
        <v>34.5</v>
      </c>
      <c r="G22" s="14"/>
      <c r="H22" s="9"/>
    </row>
    <row r="23" spans="3:8" x14ac:dyDescent="0.25">
      <c r="C23" s="8"/>
      <c r="D23" s="2" t="s">
        <v>10538</v>
      </c>
      <c r="E23" s="122" t="s">
        <v>5918</v>
      </c>
      <c r="F23" s="4">
        <v>12</v>
      </c>
      <c r="G23" s="14"/>
      <c r="H23" s="9"/>
    </row>
    <row r="24" spans="3:8" x14ac:dyDescent="0.25">
      <c r="C24" s="8"/>
      <c r="D24" s="2" t="s">
        <v>10539</v>
      </c>
      <c r="E24" s="122" t="s">
        <v>5918</v>
      </c>
      <c r="F24" s="4">
        <v>5</v>
      </c>
      <c r="G24" s="14"/>
      <c r="H24" s="9"/>
    </row>
    <row r="25" spans="3:8" x14ac:dyDescent="0.25">
      <c r="C25" s="8"/>
      <c r="D25" s="2" t="s">
        <v>10540</v>
      </c>
      <c r="E25" s="122" t="s">
        <v>10545</v>
      </c>
      <c r="F25" s="4">
        <v>38</v>
      </c>
      <c r="G25" s="14"/>
      <c r="H25" s="9"/>
    </row>
    <row r="26" spans="3:8" x14ac:dyDescent="0.25">
      <c r="C26" s="8"/>
      <c r="D26" s="2" t="s">
        <v>10541</v>
      </c>
      <c r="E26" s="122" t="s">
        <v>10546</v>
      </c>
      <c r="F26" s="4"/>
      <c r="G26" s="14"/>
      <c r="H26" s="9">
        <v>173.5</v>
      </c>
    </row>
    <row r="27" spans="3:8" x14ac:dyDescent="0.25">
      <c r="C27" s="8"/>
      <c r="D27" s="2" t="s">
        <v>10542</v>
      </c>
      <c r="E27" s="122" t="s">
        <v>9455</v>
      </c>
      <c r="F27" s="4"/>
      <c r="G27" s="14"/>
      <c r="H27" s="9">
        <v>66.5</v>
      </c>
    </row>
    <row r="28" spans="3:8" x14ac:dyDescent="0.25">
      <c r="C28" s="8"/>
      <c r="D28" s="2" t="s">
        <v>10543</v>
      </c>
      <c r="E28" s="122" t="s">
        <v>10544</v>
      </c>
      <c r="F28" s="4">
        <v>38</v>
      </c>
      <c r="G28" s="14"/>
      <c r="H28" s="9"/>
    </row>
    <row r="29" spans="3:8" x14ac:dyDescent="0.25">
      <c r="C29" s="8"/>
      <c r="D29" s="2" t="s">
        <v>10553</v>
      </c>
      <c r="E29" s="122" t="s">
        <v>5918</v>
      </c>
      <c r="F29" s="4">
        <v>39</v>
      </c>
      <c r="G29" s="14"/>
      <c r="H29" s="9"/>
    </row>
    <row r="30" spans="3:8" x14ac:dyDescent="0.25">
      <c r="C30" s="8"/>
      <c r="D30" s="2" t="s">
        <v>10564</v>
      </c>
      <c r="E30" s="122" t="s">
        <v>5918</v>
      </c>
      <c r="F30" s="4">
        <v>5</v>
      </c>
      <c r="G30" s="14"/>
      <c r="H30" s="9"/>
    </row>
    <row r="31" spans="3:8" x14ac:dyDescent="0.25">
      <c r="C31" s="8"/>
      <c r="D31" s="2" t="s">
        <v>10565</v>
      </c>
      <c r="E31" s="122" t="s">
        <v>10570</v>
      </c>
      <c r="F31" s="4">
        <v>576.5</v>
      </c>
      <c r="G31" s="14"/>
      <c r="H31" s="9"/>
    </row>
    <row r="32" spans="3:8" x14ac:dyDescent="0.25">
      <c r="C32" s="8"/>
      <c r="D32" s="2" t="s">
        <v>10566</v>
      </c>
      <c r="E32" s="122" t="s">
        <v>5918</v>
      </c>
      <c r="F32" s="4">
        <v>8</v>
      </c>
      <c r="G32" s="14"/>
      <c r="H32" s="9"/>
    </row>
    <row r="33" spans="3:8" x14ac:dyDescent="0.25">
      <c r="C33" s="8"/>
      <c r="D33" s="2" t="s">
        <v>10567</v>
      </c>
      <c r="E33" s="122" t="s">
        <v>5918</v>
      </c>
      <c r="F33" s="4">
        <v>4</v>
      </c>
      <c r="G33" s="14"/>
      <c r="H33" s="9"/>
    </row>
    <row r="34" spans="3:8" x14ac:dyDescent="0.25">
      <c r="C34" s="8"/>
      <c r="D34" s="2" t="s">
        <v>10568</v>
      </c>
      <c r="E34" s="122" t="s">
        <v>5918</v>
      </c>
      <c r="F34" s="4">
        <v>6</v>
      </c>
      <c r="G34" s="14"/>
      <c r="H34" s="9"/>
    </row>
    <row r="35" spans="3:8" x14ac:dyDescent="0.25">
      <c r="C35" s="8"/>
      <c r="D35" s="2" t="s">
        <v>10569</v>
      </c>
      <c r="E35" s="122" t="s">
        <v>5918</v>
      </c>
      <c r="F35" s="4">
        <v>32</v>
      </c>
      <c r="G35" s="14"/>
      <c r="H35" s="9"/>
    </row>
    <row r="36" spans="3:8" x14ac:dyDescent="0.25">
      <c r="C36" s="8"/>
      <c r="D36" s="2" t="s">
        <v>10581</v>
      </c>
      <c r="E36" s="122" t="s">
        <v>7126</v>
      </c>
      <c r="F36" s="4"/>
      <c r="G36" s="14"/>
      <c r="H36" s="9">
        <v>951</v>
      </c>
    </row>
    <row r="37" spans="3:8" x14ac:dyDescent="0.25">
      <c r="C37" s="8"/>
      <c r="D37" s="2" t="s">
        <v>10582</v>
      </c>
      <c r="E37" s="122" t="s">
        <v>10408</v>
      </c>
      <c r="F37" s="4">
        <v>420</v>
      </c>
      <c r="G37" s="14"/>
      <c r="H37" s="9"/>
    </row>
    <row r="38" spans="3:8" x14ac:dyDescent="0.25">
      <c r="C38" s="8"/>
      <c r="D38" s="2" t="s">
        <v>10583</v>
      </c>
      <c r="E38" s="122" t="s">
        <v>5918</v>
      </c>
      <c r="F38" s="4">
        <v>3</v>
      </c>
      <c r="G38" s="14"/>
      <c r="H38" s="9"/>
    </row>
    <row r="39" spans="3:8" x14ac:dyDescent="0.25">
      <c r="C39" s="8"/>
      <c r="D39" s="2" t="s">
        <v>10585</v>
      </c>
      <c r="E39" s="122" t="s">
        <v>10586</v>
      </c>
      <c r="F39" s="4"/>
      <c r="G39" s="14"/>
      <c r="H39" s="9">
        <v>4599.8999999999996</v>
      </c>
    </row>
    <row r="40" spans="3:8" x14ac:dyDescent="0.25">
      <c r="C40" s="8"/>
      <c r="D40" s="2"/>
      <c r="E40" s="122"/>
      <c r="F40" s="4"/>
      <c r="G40" s="14"/>
      <c r="H40" s="9"/>
    </row>
    <row r="41" spans="3:8" x14ac:dyDescent="0.25">
      <c r="C41" s="8"/>
      <c r="D41" s="2" t="s">
        <v>10521</v>
      </c>
      <c r="E41" s="122" t="s">
        <v>1631</v>
      </c>
      <c r="F41" s="4"/>
      <c r="G41" s="14"/>
      <c r="H41" s="9">
        <v>15.5</v>
      </c>
    </row>
    <row r="42" spans="3:8" x14ac:dyDescent="0.25">
      <c r="C42" s="8"/>
      <c r="D42" s="2" t="s">
        <v>10522</v>
      </c>
      <c r="E42" s="122" t="s">
        <v>1631</v>
      </c>
      <c r="F42" s="4"/>
      <c r="G42" s="14"/>
      <c r="H42" s="9">
        <v>8.5</v>
      </c>
    </row>
    <row r="43" spans="3:8" x14ac:dyDescent="0.25">
      <c r="C43" s="8"/>
      <c r="D43" s="2" t="s">
        <v>10547</v>
      </c>
      <c r="E43" s="142" t="s">
        <v>10552</v>
      </c>
      <c r="F43" s="4"/>
      <c r="G43" s="14"/>
      <c r="H43" s="9"/>
    </row>
    <row r="44" spans="3:8" x14ac:dyDescent="0.25">
      <c r="C44" s="8"/>
      <c r="D44" s="2" t="s">
        <v>10548</v>
      </c>
      <c r="E44" s="122" t="s">
        <v>1631</v>
      </c>
      <c r="F44" s="4"/>
      <c r="G44" s="14"/>
      <c r="H44" s="9">
        <v>5.5</v>
      </c>
    </row>
    <row r="45" spans="3:8" x14ac:dyDescent="0.25">
      <c r="C45" s="8"/>
      <c r="D45" s="2" t="s">
        <v>10549</v>
      </c>
      <c r="E45" s="122" t="s">
        <v>1631</v>
      </c>
      <c r="F45" s="4">
        <v>11</v>
      </c>
      <c r="G45" s="14"/>
      <c r="H45" s="9"/>
    </row>
    <row r="46" spans="3:8" x14ac:dyDescent="0.25">
      <c r="C46" s="8"/>
      <c r="D46" s="2" t="s">
        <v>10550</v>
      </c>
      <c r="E46" s="122" t="s">
        <v>1631</v>
      </c>
      <c r="F46" s="4">
        <v>69</v>
      </c>
      <c r="G46" s="14"/>
      <c r="H46" s="9"/>
    </row>
    <row r="47" spans="3:8" x14ac:dyDescent="0.25">
      <c r="C47" s="8"/>
      <c r="D47" s="2" t="s">
        <v>10551</v>
      </c>
      <c r="E47" s="122" t="s">
        <v>1631</v>
      </c>
      <c r="F47" s="4"/>
      <c r="G47" s="14"/>
      <c r="H47" s="9">
        <v>90</v>
      </c>
    </row>
    <row r="48" spans="3:8" x14ac:dyDescent="0.25">
      <c r="C48" s="8"/>
      <c r="D48" s="2" t="s">
        <v>10554</v>
      </c>
      <c r="E48" s="122" t="s">
        <v>10571</v>
      </c>
      <c r="F48" s="4">
        <v>5449.5</v>
      </c>
      <c r="G48" s="14"/>
      <c r="H48" s="9">
        <v>400</v>
      </c>
    </row>
    <row r="49" spans="3:8" x14ac:dyDescent="0.25">
      <c r="C49" s="8"/>
      <c r="D49" s="2" t="s">
        <v>10555</v>
      </c>
      <c r="E49" s="122" t="s">
        <v>1631</v>
      </c>
      <c r="F49" s="4">
        <v>60.5</v>
      </c>
      <c r="G49" s="14"/>
      <c r="H49" s="9"/>
    </row>
    <row r="50" spans="3:8" x14ac:dyDescent="0.25">
      <c r="C50" s="8"/>
      <c r="D50" s="2" t="s">
        <v>10556</v>
      </c>
      <c r="E50" s="122" t="s">
        <v>9458</v>
      </c>
      <c r="F50" s="4"/>
      <c r="G50" s="14">
        <v>17.5</v>
      </c>
      <c r="H50" s="9"/>
    </row>
    <row r="51" spans="3:8" x14ac:dyDescent="0.25">
      <c r="C51" s="8"/>
      <c r="D51" s="2" t="s">
        <v>10557</v>
      </c>
      <c r="E51" s="122" t="s">
        <v>1631</v>
      </c>
      <c r="F51" s="4">
        <v>20</v>
      </c>
      <c r="G51" s="14"/>
      <c r="H51" s="9"/>
    </row>
    <row r="52" spans="3:8" x14ac:dyDescent="0.25">
      <c r="C52" s="8"/>
      <c r="D52" s="2" t="s">
        <v>10558</v>
      </c>
      <c r="E52" s="122" t="s">
        <v>1631</v>
      </c>
      <c r="F52" s="4">
        <v>2</v>
      </c>
      <c r="G52" s="14"/>
      <c r="H52" s="9"/>
    </row>
    <row r="53" spans="3:8" x14ac:dyDescent="0.25">
      <c r="C53" s="8"/>
      <c r="D53" s="2" t="s">
        <v>10559</v>
      </c>
      <c r="E53" s="122" t="s">
        <v>1631</v>
      </c>
      <c r="F53" s="4"/>
      <c r="G53" s="14"/>
      <c r="H53" s="9">
        <v>35</v>
      </c>
    </row>
    <row r="54" spans="3:8" x14ac:dyDescent="0.25">
      <c r="C54" s="8"/>
      <c r="D54" s="2" t="s">
        <v>10560</v>
      </c>
      <c r="E54" s="122" t="s">
        <v>1631</v>
      </c>
      <c r="F54" s="4">
        <v>13</v>
      </c>
      <c r="G54" s="14"/>
      <c r="H54" s="9"/>
    </row>
    <row r="55" spans="3:8" x14ac:dyDescent="0.25">
      <c r="C55" s="8"/>
      <c r="D55" s="2" t="s">
        <v>10561</v>
      </c>
      <c r="E55" s="122" t="s">
        <v>1631</v>
      </c>
      <c r="F55" s="4">
        <v>15</v>
      </c>
      <c r="G55" s="14"/>
      <c r="H55" s="9"/>
    </row>
    <row r="56" spans="3:8" x14ac:dyDescent="0.25">
      <c r="C56" s="8"/>
      <c r="D56" s="2" t="s">
        <v>10562</v>
      </c>
      <c r="E56" s="122" t="s">
        <v>1631</v>
      </c>
      <c r="F56" s="4">
        <v>3</v>
      </c>
      <c r="G56" s="14"/>
      <c r="H56" s="9"/>
    </row>
    <row r="57" spans="3:8" x14ac:dyDescent="0.25">
      <c r="C57" s="8"/>
      <c r="D57" s="2" t="s">
        <v>10563</v>
      </c>
      <c r="E57" s="122" t="s">
        <v>6055</v>
      </c>
      <c r="F57" s="4"/>
      <c r="G57" s="14"/>
      <c r="H57" s="9">
        <v>367.4</v>
      </c>
    </row>
    <row r="58" spans="3:8" x14ac:dyDescent="0.25">
      <c r="C58" s="8"/>
      <c r="D58" s="2"/>
      <c r="E58" s="122"/>
      <c r="F58" s="4"/>
      <c r="G58" s="14"/>
      <c r="H58" s="9"/>
    </row>
    <row r="59" spans="3:8" x14ac:dyDescent="0.25">
      <c r="C59" s="8"/>
      <c r="D59" s="2"/>
      <c r="E59" s="140"/>
      <c r="F59" s="4"/>
      <c r="G59" s="14"/>
      <c r="H59" s="9"/>
    </row>
    <row r="60" spans="3:8" x14ac:dyDescent="0.25">
      <c r="C60" s="8"/>
      <c r="D60" s="2"/>
      <c r="E60" s="122"/>
      <c r="F60" s="4"/>
      <c r="G60" s="14"/>
      <c r="H60" s="9"/>
    </row>
    <row r="61" spans="3:8" x14ac:dyDescent="0.25">
      <c r="C61" s="29"/>
      <c r="D61" s="30"/>
      <c r="E61" s="30" t="s">
        <v>60</v>
      </c>
      <c r="F61" s="4"/>
      <c r="G61" s="14"/>
      <c r="H61" s="9"/>
    </row>
    <row r="62" spans="3:8" x14ac:dyDescent="0.25">
      <c r="C62" s="8"/>
      <c r="D62" s="2" t="s">
        <v>10512</v>
      </c>
      <c r="E62" s="68" t="s">
        <v>6925</v>
      </c>
      <c r="F62" s="35">
        <v>192</v>
      </c>
      <c r="G62" s="14"/>
      <c r="H62" s="9"/>
    </row>
    <row r="63" spans="3:8" x14ac:dyDescent="0.25">
      <c r="C63" s="8"/>
      <c r="D63" s="2" t="s">
        <v>10529</v>
      </c>
      <c r="E63" s="68" t="s">
        <v>4268</v>
      </c>
      <c r="F63" s="35"/>
      <c r="G63" s="14"/>
      <c r="H63" s="9">
        <v>605</v>
      </c>
    </row>
    <row r="64" spans="3:8" x14ac:dyDescent="0.25">
      <c r="C64" s="8"/>
      <c r="D64" s="2" t="s">
        <v>10530</v>
      </c>
      <c r="E64" s="68" t="s">
        <v>10531</v>
      </c>
      <c r="F64" s="35">
        <v>30</v>
      </c>
      <c r="G64" s="14"/>
      <c r="H64" s="9"/>
    </row>
    <row r="65" spans="3:8" x14ac:dyDescent="0.25">
      <c r="C65" s="8"/>
      <c r="D65" s="2" t="s">
        <v>10574</v>
      </c>
      <c r="E65" s="68" t="s">
        <v>10001</v>
      </c>
      <c r="F65" s="35"/>
      <c r="G65" s="14"/>
      <c r="H65" s="9">
        <v>905</v>
      </c>
    </row>
    <row r="66" spans="3:8" x14ac:dyDescent="0.25">
      <c r="C66" s="8"/>
      <c r="D66" s="2" t="s">
        <v>10580</v>
      </c>
      <c r="E66" s="68" t="s">
        <v>10001</v>
      </c>
      <c r="F66" s="35"/>
      <c r="G66" s="14"/>
      <c r="H66" s="9">
        <v>160</v>
      </c>
    </row>
    <row r="67" spans="3:8" x14ac:dyDescent="0.25">
      <c r="C67" s="8"/>
      <c r="D67" s="2"/>
      <c r="E67" s="76"/>
      <c r="F67" s="35"/>
      <c r="G67" s="14"/>
      <c r="H67" s="9"/>
    </row>
    <row r="68" spans="3:8" x14ac:dyDescent="0.25">
      <c r="C68" s="8"/>
      <c r="D68" s="2"/>
      <c r="E68" s="76"/>
      <c r="F68" s="35"/>
      <c r="G68" s="14"/>
      <c r="H68" s="9"/>
    </row>
    <row r="69" spans="3:8" x14ac:dyDescent="0.25">
      <c r="C69" s="16"/>
      <c r="D69" s="17"/>
      <c r="E69" s="17" t="s">
        <v>39</v>
      </c>
      <c r="F69" s="4"/>
      <c r="G69" s="14"/>
      <c r="H69" s="9"/>
    </row>
    <row r="70" spans="3:8" x14ac:dyDescent="0.25">
      <c r="C70" s="8"/>
      <c r="D70" s="2"/>
      <c r="E70" s="96" t="s">
        <v>10525</v>
      </c>
      <c r="F70" s="35">
        <v>324</v>
      </c>
      <c r="G70" s="14"/>
      <c r="H70" s="9"/>
    </row>
    <row r="71" spans="3:8" x14ac:dyDescent="0.25">
      <c r="C71" s="8"/>
      <c r="D71" s="2"/>
      <c r="E71" s="96" t="s">
        <v>10526</v>
      </c>
      <c r="F71" s="35">
        <v>3075</v>
      </c>
      <c r="G71" s="14"/>
      <c r="H71" s="9"/>
    </row>
    <row r="72" spans="3:8" x14ac:dyDescent="0.25">
      <c r="C72" s="8"/>
      <c r="D72" s="2"/>
      <c r="E72" s="96" t="s">
        <v>10527</v>
      </c>
      <c r="F72" s="35">
        <v>2689.5</v>
      </c>
      <c r="G72" s="14"/>
      <c r="H72" s="9"/>
    </row>
    <row r="73" spans="3:8" x14ac:dyDescent="0.25">
      <c r="C73" s="8"/>
      <c r="D73" s="2"/>
      <c r="E73" s="96" t="s">
        <v>10572</v>
      </c>
      <c r="F73" s="35">
        <v>100</v>
      </c>
      <c r="G73" s="14"/>
      <c r="H73" s="9"/>
    </row>
    <row r="74" spans="3:8" x14ac:dyDescent="0.25">
      <c r="C74" s="8"/>
      <c r="D74" s="2"/>
      <c r="E74" s="68" t="s">
        <v>10573</v>
      </c>
      <c r="F74" s="35">
        <v>38.5</v>
      </c>
      <c r="G74" s="14"/>
      <c r="H74" s="9"/>
    </row>
    <row r="75" spans="3:8" x14ac:dyDescent="0.25">
      <c r="C75" s="8"/>
      <c r="D75" s="2"/>
      <c r="E75" s="76" t="s">
        <v>10584</v>
      </c>
      <c r="F75" s="35">
        <v>50</v>
      </c>
      <c r="G75" s="14"/>
      <c r="H75" s="9"/>
    </row>
    <row r="76" spans="3:8" x14ac:dyDescent="0.25">
      <c r="C76" s="8"/>
      <c r="D76" s="2"/>
      <c r="E76" s="76" t="s">
        <v>402</v>
      </c>
      <c r="F76" s="35">
        <v>3.2</v>
      </c>
      <c r="G76" s="14"/>
      <c r="H76" s="9"/>
    </row>
    <row r="77" spans="3:8" x14ac:dyDescent="0.25">
      <c r="C77" s="8"/>
      <c r="D77" s="2"/>
      <c r="E77" s="76" t="s">
        <v>10588</v>
      </c>
      <c r="F77" s="35">
        <v>1.5</v>
      </c>
      <c r="G77" s="14"/>
      <c r="H77" s="9"/>
    </row>
    <row r="78" spans="3:8" x14ac:dyDescent="0.25">
      <c r="C78" s="8"/>
      <c r="D78" s="2"/>
      <c r="E78" s="76"/>
      <c r="F78" s="35"/>
      <c r="G78" s="14"/>
      <c r="H78" s="9"/>
    </row>
    <row r="79" spans="3:8" x14ac:dyDescent="0.25">
      <c r="C79" s="8"/>
      <c r="D79" s="2"/>
      <c r="E79" s="76"/>
      <c r="F79" s="35"/>
      <c r="G79" s="14"/>
      <c r="H79" s="9"/>
    </row>
    <row r="80" spans="3:8" x14ac:dyDescent="0.25">
      <c r="C80" s="8"/>
      <c r="D80" s="2"/>
      <c r="E80" s="2"/>
      <c r="F80" s="4"/>
      <c r="G80" s="14"/>
      <c r="H80" s="9"/>
    </row>
    <row r="81" spans="3:8" x14ac:dyDescent="0.25">
      <c r="C81" s="19"/>
      <c r="D81" s="20"/>
      <c r="E81" s="20" t="s">
        <v>42</v>
      </c>
      <c r="F81" s="14"/>
      <c r="G81" s="14"/>
      <c r="H81" s="9"/>
    </row>
    <row r="82" spans="3:8" x14ac:dyDescent="0.25">
      <c r="C82" s="34"/>
      <c r="D82" s="139"/>
      <c r="E82" s="118" t="s">
        <v>10579</v>
      </c>
      <c r="F82" s="14">
        <v>-600</v>
      </c>
      <c r="G82" s="14"/>
      <c r="H82" s="9"/>
    </row>
    <row r="83" spans="3:8" x14ac:dyDescent="0.25">
      <c r="C83" s="34"/>
      <c r="D83" s="139"/>
      <c r="E83" s="118" t="s">
        <v>10528</v>
      </c>
      <c r="F83" s="14">
        <v>-370</v>
      </c>
      <c r="G83" s="14"/>
      <c r="H83" s="9"/>
    </row>
    <row r="84" spans="3:8" x14ac:dyDescent="0.25">
      <c r="C84" s="34"/>
      <c r="D84" s="139"/>
      <c r="E84" s="118" t="s">
        <v>10575</v>
      </c>
      <c r="F84" s="14">
        <v>-252</v>
      </c>
      <c r="G84" s="14"/>
      <c r="H84" s="9"/>
    </row>
    <row r="85" spans="3:8" x14ac:dyDescent="0.25">
      <c r="C85" s="34"/>
      <c r="D85" s="139"/>
      <c r="E85" s="118" t="s">
        <v>10576</v>
      </c>
      <c r="F85" s="14">
        <v>-798</v>
      </c>
      <c r="G85" s="14"/>
      <c r="H85" s="9"/>
    </row>
    <row r="86" spans="3:8" x14ac:dyDescent="0.25">
      <c r="C86" s="34"/>
      <c r="D86" s="45"/>
      <c r="E86" s="118" t="s">
        <v>10577</v>
      </c>
      <c r="F86" s="14">
        <v>-22</v>
      </c>
      <c r="G86" s="14"/>
      <c r="H86" s="9"/>
    </row>
    <row r="87" spans="3:8" x14ac:dyDescent="0.25">
      <c r="C87" s="34"/>
      <c r="D87" s="45"/>
      <c r="E87" s="118" t="s">
        <v>10578</v>
      </c>
      <c r="F87" s="14">
        <v>-400.4</v>
      </c>
      <c r="G87" s="14"/>
      <c r="H87" s="9"/>
    </row>
    <row r="88" spans="3:8" x14ac:dyDescent="0.25">
      <c r="C88" s="34"/>
      <c r="D88" s="45"/>
      <c r="E88" s="118" t="s">
        <v>10587</v>
      </c>
      <c r="F88" s="14">
        <v>-855</v>
      </c>
      <c r="G88" s="14"/>
      <c r="H88" s="9"/>
    </row>
    <row r="89" spans="3:8" x14ac:dyDescent="0.25">
      <c r="C89" s="34"/>
      <c r="D89" s="45"/>
      <c r="E89" s="118"/>
      <c r="F89" s="14"/>
      <c r="G89" s="14"/>
      <c r="H89" s="9"/>
    </row>
    <row r="90" spans="3:8" x14ac:dyDescent="0.25">
      <c r="C90" s="34"/>
      <c r="D90" s="45"/>
      <c r="E90" s="118"/>
      <c r="F90" s="14"/>
      <c r="G90" s="14"/>
      <c r="H90" s="9"/>
    </row>
    <row r="91" spans="3:8" x14ac:dyDescent="0.25">
      <c r="C91" s="34"/>
      <c r="D91" s="45"/>
      <c r="E91" s="118"/>
      <c r="F91" s="14"/>
      <c r="G91" s="14"/>
      <c r="H91" s="9"/>
    </row>
    <row r="92" spans="3:8" x14ac:dyDescent="0.25">
      <c r="C92" s="34"/>
      <c r="D92" s="45"/>
      <c r="E92" s="118"/>
      <c r="F92" s="14"/>
      <c r="G92" s="14"/>
      <c r="H92" s="9"/>
    </row>
    <row r="93" spans="3:8" x14ac:dyDescent="0.25">
      <c r="C93" s="34"/>
      <c r="D93" s="45"/>
      <c r="E93" s="68"/>
      <c r="F93" s="14"/>
      <c r="G93" s="14"/>
      <c r="H93" s="9"/>
    </row>
    <row r="94" spans="3:8" ht="15.75" thickBot="1" x14ac:dyDescent="0.3">
      <c r="C94" s="10"/>
      <c r="D94" s="11"/>
      <c r="E94" s="11" t="s">
        <v>44</v>
      </c>
      <c r="F94" s="12">
        <f>SUM(F9:F93)</f>
        <v>10311.800000000001</v>
      </c>
      <c r="G94" s="15">
        <f>SUM(G9:G93)</f>
        <v>562.5</v>
      </c>
      <c r="H94" s="13">
        <f>SUM(H9:H93)</f>
        <v>9321.7999999999993</v>
      </c>
    </row>
    <row r="97" spans="5:6" ht="21" x14ac:dyDescent="0.3">
      <c r="E97" s="119" t="s">
        <v>49</v>
      </c>
      <c r="F97" s="120">
        <f>H7+F94</f>
        <v>23903.49</v>
      </c>
    </row>
  </sheetData>
  <mergeCells count="1">
    <mergeCell ref="C6:G7"/>
  </mergeCells>
  <phoneticPr fontId="3" type="noConversion"/>
  <pageMargins left="0.7" right="0.7" top="0.75" bottom="0.75" header="0.3" footer="0.3"/>
  <pageSetup paperSize="256" orientation="portrait" horizontalDpi="0" verticalDpi="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AD2B-532E-41CD-A9E7-F64768C43101}">
  <sheetPr codeName="Hoja78"/>
  <dimension ref="F3:M22"/>
  <sheetViews>
    <sheetView workbookViewId="0">
      <selection activeCell="E3" sqref="E3:N16"/>
    </sheetView>
  </sheetViews>
  <sheetFormatPr baseColWidth="10" defaultRowHeight="15" x14ac:dyDescent="0.25"/>
  <cols>
    <col min="6" max="6" width="26.5703125" style="1" customWidth="1"/>
    <col min="7" max="9" width="11.42578125" style="1"/>
    <col min="10" max="10" width="34.7109375" style="1" customWidth="1"/>
    <col min="11" max="11" width="16.7109375" style="1" customWidth="1"/>
    <col min="12" max="12" width="14.140625" style="3" customWidth="1"/>
    <col min="13" max="13" width="11.42578125" style="1"/>
  </cols>
  <sheetData>
    <row r="3" spans="6:13" ht="15.75" thickBot="1" x14ac:dyDescent="0.3"/>
    <row r="4" spans="6:13" ht="21" x14ac:dyDescent="0.35">
      <c r="F4" s="55"/>
      <c r="G4" s="77">
        <v>46087</v>
      </c>
      <c r="H4" s="77">
        <v>46097</v>
      </c>
      <c r="I4" s="78"/>
      <c r="J4" s="78" t="s">
        <v>2714</v>
      </c>
      <c r="K4" s="78" t="s">
        <v>2715</v>
      </c>
      <c r="L4" s="58"/>
      <c r="M4" s="56"/>
    </row>
    <row r="5" spans="6:13" x14ac:dyDescent="0.25">
      <c r="F5" s="79" t="s">
        <v>2713</v>
      </c>
      <c r="G5" s="2">
        <v>800</v>
      </c>
      <c r="H5" s="2">
        <v>850</v>
      </c>
      <c r="I5" s="2"/>
      <c r="J5" s="2">
        <f>SUM(G5:I5)</f>
        <v>1650</v>
      </c>
      <c r="K5" s="2"/>
      <c r="L5" s="4">
        <v>44480</v>
      </c>
      <c r="M5" s="53"/>
    </row>
    <row r="6" spans="6:13" x14ac:dyDescent="0.25">
      <c r="F6" s="8"/>
      <c r="G6" s="2">
        <v>26.7</v>
      </c>
      <c r="H6" s="2">
        <v>27.2</v>
      </c>
      <c r="I6" s="52">
        <v>46095</v>
      </c>
      <c r="J6" s="43"/>
      <c r="K6" s="43"/>
      <c r="L6" s="14">
        <v>-8000</v>
      </c>
      <c r="M6" s="53" t="s">
        <v>4</v>
      </c>
    </row>
    <row r="7" spans="6:13" x14ac:dyDescent="0.25">
      <c r="F7" s="8"/>
      <c r="G7" s="2"/>
      <c r="H7" s="2"/>
      <c r="I7" s="52">
        <v>46099</v>
      </c>
      <c r="J7" s="43"/>
      <c r="K7" s="43"/>
      <c r="L7" s="14">
        <v>-4000</v>
      </c>
      <c r="M7" s="53" t="s">
        <v>4</v>
      </c>
    </row>
    <row r="8" spans="6:13" x14ac:dyDescent="0.25">
      <c r="F8" s="8"/>
      <c r="G8" s="2"/>
      <c r="H8" s="2"/>
      <c r="I8" s="52">
        <v>46099</v>
      </c>
      <c r="J8" s="43" t="s">
        <v>2718</v>
      </c>
      <c r="K8" s="43"/>
      <c r="L8" s="14">
        <v>-2320</v>
      </c>
      <c r="M8" s="53" t="s">
        <v>4</v>
      </c>
    </row>
    <row r="9" spans="6:13" x14ac:dyDescent="0.25">
      <c r="F9" s="8"/>
      <c r="G9" s="2"/>
      <c r="H9" s="2"/>
      <c r="I9" s="52">
        <v>46101</v>
      </c>
      <c r="J9" s="43"/>
      <c r="K9" s="43"/>
      <c r="L9" s="14">
        <v>-1000</v>
      </c>
      <c r="M9" s="53" t="s">
        <v>2716</v>
      </c>
    </row>
    <row r="10" spans="6:13" x14ac:dyDescent="0.25">
      <c r="F10" s="8"/>
      <c r="G10" s="2"/>
      <c r="H10" s="2"/>
      <c r="I10" s="52">
        <v>46107</v>
      </c>
      <c r="J10" s="43" t="s">
        <v>3852</v>
      </c>
      <c r="K10" s="43"/>
      <c r="L10" s="14">
        <v>-10000</v>
      </c>
      <c r="M10" s="53"/>
    </row>
    <row r="11" spans="6:13" x14ac:dyDescent="0.25">
      <c r="F11" s="8" t="s">
        <v>3251</v>
      </c>
      <c r="G11" s="2"/>
      <c r="H11" s="2"/>
      <c r="I11" s="52">
        <v>46109</v>
      </c>
      <c r="J11" s="43" t="s">
        <v>3250</v>
      </c>
      <c r="K11" s="43"/>
      <c r="L11" s="14">
        <v>-870</v>
      </c>
      <c r="M11" s="53"/>
    </row>
    <row r="12" spans="6:13" x14ac:dyDescent="0.25">
      <c r="F12" s="8"/>
      <c r="G12" s="2"/>
      <c r="H12" s="2"/>
      <c r="I12" s="52">
        <v>46116</v>
      </c>
      <c r="J12" s="43" t="s">
        <v>3754</v>
      </c>
      <c r="K12" s="43"/>
      <c r="L12" s="14">
        <v>-10000</v>
      </c>
      <c r="M12" s="53"/>
    </row>
    <row r="13" spans="6:13" x14ac:dyDescent="0.25">
      <c r="F13" s="8"/>
      <c r="G13" s="2"/>
      <c r="H13" s="2"/>
      <c r="I13" s="52"/>
      <c r="J13" s="43" t="s">
        <v>4560</v>
      </c>
      <c r="K13" s="43" t="s">
        <v>546</v>
      </c>
      <c r="L13" s="14">
        <v>-8000</v>
      </c>
      <c r="M13" s="53"/>
    </row>
    <row r="14" spans="6:13" x14ac:dyDescent="0.25">
      <c r="F14" s="8"/>
      <c r="G14" s="2"/>
      <c r="H14" s="2"/>
      <c r="I14" s="2"/>
      <c r="J14" s="2"/>
      <c r="K14" s="2"/>
      <c r="L14" s="4"/>
      <c r="M14" s="53"/>
    </row>
    <row r="15" spans="6:13" ht="16.5" thickBot="1" x14ac:dyDescent="0.3">
      <c r="F15" s="10"/>
      <c r="G15" s="11"/>
      <c r="H15" s="11"/>
      <c r="I15" s="11"/>
      <c r="J15" s="11"/>
      <c r="K15" s="59" t="s">
        <v>2717</v>
      </c>
      <c r="L15" s="60">
        <f>SUM(L5:L14)</f>
        <v>290</v>
      </c>
      <c r="M15" s="57"/>
    </row>
    <row r="16" spans="6:13" ht="15.75" x14ac:dyDescent="0.25">
      <c r="K16" s="115"/>
      <c r="L16" s="116"/>
    </row>
    <row r="17" spans="10:12" ht="15.75" x14ac:dyDescent="0.25">
      <c r="K17" s="115"/>
      <c r="L17" s="116"/>
    </row>
    <row r="18" spans="10:12" ht="15.75" x14ac:dyDescent="0.25">
      <c r="K18" s="115"/>
      <c r="L18" s="116"/>
    </row>
    <row r="19" spans="10:12" x14ac:dyDescent="0.25">
      <c r="K19" s="1" t="s">
        <v>3746</v>
      </c>
      <c r="L19" s="3">
        <v>1473.31</v>
      </c>
    </row>
    <row r="20" spans="10:12" x14ac:dyDescent="0.25">
      <c r="J20" s="61"/>
    </row>
    <row r="21" spans="10:12" x14ac:dyDescent="0.25">
      <c r="J21" s="62"/>
    </row>
    <row r="22" spans="10:12" x14ac:dyDescent="0.25">
      <c r="J22" s="62"/>
    </row>
  </sheetData>
  <pageMargins left="0.7" right="0.7" top="0.75" bottom="0.75" header="0.3" footer="0.3"/>
  <pageSetup paperSize="256" orientation="portrait" horizontalDpi="203" verticalDpi="203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97ED-A04F-4FEF-B107-6509B814DE8E}">
  <sheetPr codeName="Hoja79"/>
  <dimension ref="E4:G7"/>
  <sheetViews>
    <sheetView workbookViewId="0">
      <selection activeCell="I20" sqref="I20"/>
    </sheetView>
  </sheetViews>
  <sheetFormatPr baseColWidth="10" defaultRowHeight="15" x14ac:dyDescent="0.25"/>
  <cols>
    <col min="5" max="5" width="11.42578125" style="1"/>
    <col min="6" max="6" width="19.5703125" style="1" customWidth="1"/>
    <col min="7" max="7" width="17" style="3" customWidth="1"/>
  </cols>
  <sheetData>
    <row r="4" spans="5:7" x14ac:dyDescent="0.25">
      <c r="E4" s="1" t="s">
        <v>3775</v>
      </c>
      <c r="F4" s="1" t="s">
        <v>3774</v>
      </c>
      <c r="G4" s="3" t="s">
        <v>3776</v>
      </c>
    </row>
    <row r="5" spans="5:7" x14ac:dyDescent="0.25">
      <c r="E5" s="80">
        <v>46109</v>
      </c>
      <c r="F5" s="1" t="s">
        <v>3777</v>
      </c>
      <c r="G5" s="3">
        <v>12897.1</v>
      </c>
    </row>
    <row r="6" spans="5:7" x14ac:dyDescent="0.25">
      <c r="F6" s="1" t="s">
        <v>4147</v>
      </c>
    </row>
    <row r="7" spans="5:7" x14ac:dyDescent="0.25">
      <c r="F7" s="1" t="s">
        <v>4148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158A-1D06-4715-898A-0AE21B7B39AA}">
  <sheetPr codeName="Hoja80"/>
  <dimension ref="D3:J45"/>
  <sheetViews>
    <sheetView topLeftCell="A10" workbookViewId="0">
      <selection activeCell="N17" sqref="N17"/>
    </sheetView>
  </sheetViews>
  <sheetFormatPr baseColWidth="10" defaultRowHeight="15" x14ac:dyDescent="0.25"/>
  <cols>
    <col min="4" max="4" width="15" style="1" bestFit="1" customWidth="1"/>
    <col min="5" max="5" width="11.42578125" style="1"/>
    <col min="6" max="6" width="38.7109375" style="1" bestFit="1" customWidth="1"/>
    <col min="7" max="7" width="11.42578125" style="1"/>
    <col min="8" max="8" width="15.140625" style="3" customWidth="1"/>
    <col min="9" max="9" width="11.42578125" style="1"/>
    <col min="10" max="10" width="27.85546875" bestFit="1" customWidth="1"/>
  </cols>
  <sheetData>
    <row r="3" spans="4:10" ht="15.75" thickBot="1" x14ac:dyDescent="0.3"/>
    <row r="4" spans="4:10" x14ac:dyDescent="0.25">
      <c r="D4" s="55" t="s">
        <v>2222</v>
      </c>
      <c r="E4" s="84"/>
      <c r="F4" s="84" t="s">
        <v>3774</v>
      </c>
      <c r="G4" s="84"/>
      <c r="H4" s="85"/>
      <c r="I4" s="84"/>
      <c r="J4" s="81"/>
    </row>
    <row r="5" spans="4:10" x14ac:dyDescent="0.25">
      <c r="D5" s="34">
        <v>46109</v>
      </c>
      <c r="E5" s="2"/>
      <c r="F5" s="2" t="s">
        <v>3777</v>
      </c>
      <c r="G5" s="2" t="s">
        <v>3779</v>
      </c>
      <c r="H5" s="4">
        <v>12897.1</v>
      </c>
      <c r="I5" s="2"/>
      <c r="J5" s="82" t="s">
        <v>3780</v>
      </c>
    </row>
    <row r="6" spans="4:10" x14ac:dyDescent="0.25">
      <c r="D6" s="8"/>
      <c r="E6" s="2"/>
      <c r="F6" s="2"/>
      <c r="G6" s="2"/>
      <c r="H6" s="4"/>
      <c r="I6" s="2"/>
      <c r="J6" s="82"/>
    </row>
    <row r="7" spans="4:10" ht="16.5" thickBot="1" x14ac:dyDescent="0.3">
      <c r="D7" s="10"/>
      <c r="E7" s="11"/>
      <c r="F7" s="11"/>
      <c r="G7" s="11"/>
      <c r="H7" s="87">
        <f>SUM(H5:H6)</f>
        <v>12897.1</v>
      </c>
      <c r="I7" s="11"/>
      <c r="J7" s="83"/>
    </row>
    <row r="8" spans="4:10" ht="15.75" thickBot="1" x14ac:dyDescent="0.3"/>
    <row r="9" spans="4:10" x14ac:dyDescent="0.25">
      <c r="D9" s="55" t="s">
        <v>3778</v>
      </c>
      <c r="E9" s="84"/>
      <c r="F9" s="84"/>
      <c r="G9" s="84"/>
      <c r="H9" s="85"/>
      <c r="I9" s="56"/>
    </row>
    <row r="10" spans="4:10" x14ac:dyDescent="0.25">
      <c r="D10" s="34">
        <v>46099</v>
      </c>
      <c r="E10" s="2"/>
      <c r="F10" s="2" t="s">
        <v>3782</v>
      </c>
      <c r="G10" s="2" t="s">
        <v>3781</v>
      </c>
      <c r="H10" s="4">
        <v>1058</v>
      </c>
      <c r="I10" s="53"/>
    </row>
    <row r="11" spans="4:10" x14ac:dyDescent="0.25">
      <c r="D11" s="34">
        <v>46100</v>
      </c>
      <c r="E11" s="2"/>
      <c r="F11" s="2" t="s">
        <v>3782</v>
      </c>
      <c r="G11" s="2" t="s">
        <v>3783</v>
      </c>
      <c r="H11" s="4">
        <v>284</v>
      </c>
      <c r="I11" s="53"/>
    </row>
    <row r="12" spans="4:10" x14ac:dyDescent="0.25">
      <c r="D12" s="34">
        <v>46092</v>
      </c>
      <c r="E12" s="2"/>
      <c r="F12" s="2" t="s">
        <v>3784</v>
      </c>
      <c r="G12" s="2" t="s">
        <v>3785</v>
      </c>
      <c r="H12" s="4">
        <v>1103.5</v>
      </c>
      <c r="I12" s="53"/>
    </row>
    <row r="13" spans="4:10" x14ac:dyDescent="0.25">
      <c r="D13" s="34">
        <v>46090</v>
      </c>
      <c r="E13" s="2"/>
      <c r="F13" s="2" t="s">
        <v>3784</v>
      </c>
      <c r="G13" s="2" t="s">
        <v>3786</v>
      </c>
      <c r="H13" s="4">
        <v>1934</v>
      </c>
      <c r="I13" s="53"/>
    </row>
    <row r="14" spans="4:10" x14ac:dyDescent="0.25">
      <c r="D14" s="34">
        <v>46091</v>
      </c>
      <c r="E14" s="2"/>
      <c r="F14" s="2" t="s">
        <v>3784</v>
      </c>
      <c r="G14" s="2" t="s">
        <v>3787</v>
      </c>
      <c r="H14" s="4">
        <v>1787.5</v>
      </c>
      <c r="I14" s="53"/>
    </row>
    <row r="15" spans="4:10" x14ac:dyDescent="0.25">
      <c r="D15" s="34">
        <v>46095</v>
      </c>
      <c r="E15" s="2"/>
      <c r="F15" s="2" t="s">
        <v>3788</v>
      </c>
      <c r="G15" s="2" t="s">
        <v>3789</v>
      </c>
      <c r="H15" s="4">
        <v>8145</v>
      </c>
      <c r="I15" s="53"/>
    </row>
    <row r="16" spans="4:10" x14ac:dyDescent="0.25">
      <c r="D16" s="8"/>
      <c r="E16" s="2"/>
      <c r="F16" s="2"/>
      <c r="G16" s="2"/>
      <c r="H16" s="4"/>
      <c r="I16" s="53"/>
    </row>
    <row r="17" spans="4:9" ht="16.5" thickBot="1" x14ac:dyDescent="0.3">
      <c r="D17" s="10"/>
      <c r="E17" s="11"/>
      <c r="F17" s="11"/>
      <c r="G17" s="11"/>
      <c r="H17" s="87">
        <f>SUM(H10:H16)</f>
        <v>14312</v>
      </c>
      <c r="I17" s="57"/>
    </row>
    <row r="18" spans="4:9" ht="15.75" thickBot="1" x14ac:dyDescent="0.3"/>
    <row r="19" spans="4:9" x14ac:dyDescent="0.25">
      <c r="D19" s="55" t="s">
        <v>546</v>
      </c>
      <c r="E19" s="84"/>
      <c r="F19" s="84"/>
      <c r="G19" s="84"/>
      <c r="H19" s="85"/>
      <c r="I19" s="56"/>
    </row>
    <row r="20" spans="4:9" x14ac:dyDescent="0.25">
      <c r="D20" s="34">
        <v>46077</v>
      </c>
      <c r="E20" s="2"/>
      <c r="F20" s="2" t="s">
        <v>3790</v>
      </c>
      <c r="G20" s="2" t="s">
        <v>3791</v>
      </c>
      <c r="H20" s="4">
        <v>52515</v>
      </c>
      <c r="I20" s="53"/>
    </row>
    <row r="21" spans="4:9" x14ac:dyDescent="0.25">
      <c r="D21" s="34">
        <v>46077</v>
      </c>
      <c r="E21" s="2"/>
      <c r="F21" s="2" t="s">
        <v>1257</v>
      </c>
      <c r="G21" s="2" t="s">
        <v>3792</v>
      </c>
      <c r="H21" s="4">
        <v>64373.599999999999</v>
      </c>
      <c r="I21" s="53"/>
    </row>
    <row r="22" spans="4:9" x14ac:dyDescent="0.25">
      <c r="D22" s="34">
        <v>46080</v>
      </c>
      <c r="E22" s="2"/>
      <c r="F22" s="2" t="s">
        <v>3798</v>
      </c>
      <c r="G22" s="2" t="s">
        <v>3799</v>
      </c>
      <c r="H22" s="4">
        <v>1735.5</v>
      </c>
      <c r="I22" s="53"/>
    </row>
    <row r="23" spans="4:9" x14ac:dyDescent="0.25">
      <c r="D23" s="34">
        <v>46081</v>
      </c>
      <c r="E23" s="2"/>
      <c r="F23" s="2" t="s">
        <v>3798</v>
      </c>
      <c r="G23" s="2" t="s">
        <v>3800</v>
      </c>
      <c r="H23" s="4">
        <v>1411.3</v>
      </c>
      <c r="I23" s="53"/>
    </row>
    <row r="24" spans="4:9" x14ac:dyDescent="0.25">
      <c r="D24" s="34">
        <v>46081</v>
      </c>
      <c r="E24" s="2"/>
      <c r="F24" s="2" t="s">
        <v>3802</v>
      </c>
      <c r="G24" s="2" t="s">
        <v>3801</v>
      </c>
      <c r="H24" s="4">
        <v>67000</v>
      </c>
      <c r="I24" s="53"/>
    </row>
    <row r="25" spans="4:9" x14ac:dyDescent="0.25">
      <c r="D25" s="34">
        <v>46106</v>
      </c>
      <c r="E25" s="2"/>
      <c r="F25" s="2" t="s">
        <v>3806</v>
      </c>
      <c r="G25" s="2" t="s">
        <v>3807</v>
      </c>
      <c r="H25" s="4">
        <v>60029.88</v>
      </c>
      <c r="I25" s="53"/>
    </row>
    <row r="26" spans="4:9" x14ac:dyDescent="0.25">
      <c r="D26" s="34">
        <v>46112</v>
      </c>
      <c r="E26" s="2"/>
      <c r="F26" s="2" t="s">
        <v>3790</v>
      </c>
      <c r="G26" s="2" t="s">
        <v>3810</v>
      </c>
      <c r="H26" s="4">
        <v>93840</v>
      </c>
      <c r="I26" s="53"/>
    </row>
    <row r="27" spans="4:9" x14ac:dyDescent="0.25">
      <c r="D27" s="8"/>
      <c r="E27" s="2"/>
      <c r="F27" s="2"/>
      <c r="G27" s="2"/>
      <c r="H27" s="4"/>
      <c r="I27" s="53"/>
    </row>
    <row r="28" spans="4:9" x14ac:dyDescent="0.25">
      <c r="D28" s="8"/>
      <c r="E28" s="2"/>
      <c r="F28" s="2"/>
      <c r="G28" s="2"/>
      <c r="H28" s="4"/>
      <c r="I28" s="53"/>
    </row>
    <row r="29" spans="4:9" ht="16.5" thickBot="1" x14ac:dyDescent="0.3">
      <c r="D29" s="10"/>
      <c r="E29" s="11"/>
      <c r="F29" s="11"/>
      <c r="G29" s="11"/>
      <c r="H29" s="87">
        <f>SUM(H20:H28)</f>
        <v>340905.28</v>
      </c>
      <c r="I29" s="57"/>
    </row>
    <row r="31" spans="4:9" ht="15.75" thickBot="1" x14ac:dyDescent="0.3"/>
    <row r="32" spans="4:9" x14ac:dyDescent="0.25">
      <c r="D32" s="55" t="s">
        <v>164</v>
      </c>
      <c r="E32" s="84"/>
      <c r="F32" s="84"/>
      <c r="G32" s="84"/>
      <c r="H32" s="85"/>
      <c r="I32" s="56"/>
    </row>
    <row r="33" spans="4:9" x14ac:dyDescent="0.25">
      <c r="D33" s="34">
        <v>46079</v>
      </c>
      <c r="E33" s="2"/>
      <c r="F33" s="2" t="s">
        <v>3793</v>
      </c>
      <c r="G33" s="2" t="s">
        <v>3794</v>
      </c>
      <c r="H33" s="4">
        <v>1420</v>
      </c>
      <c r="I33" s="53"/>
    </row>
    <row r="34" spans="4:9" x14ac:dyDescent="0.25">
      <c r="D34" s="34">
        <v>46097</v>
      </c>
      <c r="E34" s="2"/>
      <c r="F34" s="2" t="s">
        <v>3793</v>
      </c>
      <c r="G34" s="2" t="s">
        <v>3804</v>
      </c>
      <c r="H34" s="4">
        <v>3350</v>
      </c>
      <c r="I34" s="53"/>
    </row>
    <row r="35" spans="4:9" x14ac:dyDescent="0.25">
      <c r="D35" s="34">
        <v>46109</v>
      </c>
      <c r="E35" s="2"/>
      <c r="F35" s="2" t="s">
        <v>3793</v>
      </c>
      <c r="G35" s="2" t="s">
        <v>3809</v>
      </c>
      <c r="H35" s="4">
        <v>1860</v>
      </c>
      <c r="I35" s="53"/>
    </row>
    <row r="36" spans="4:9" x14ac:dyDescent="0.25">
      <c r="D36" s="34"/>
      <c r="E36" s="2"/>
      <c r="F36" s="2"/>
      <c r="G36" s="2"/>
      <c r="H36" s="4"/>
      <c r="I36" s="53"/>
    </row>
    <row r="37" spans="4:9" ht="15.75" thickBot="1" x14ac:dyDescent="0.3">
      <c r="D37" s="10"/>
      <c r="E37" s="11"/>
      <c r="F37" s="11"/>
      <c r="G37" s="11"/>
      <c r="H37" s="86">
        <f>SUM(H33:H36)</f>
        <v>6630</v>
      </c>
      <c r="I37" s="57"/>
    </row>
    <row r="38" spans="4:9" ht="15.75" thickBot="1" x14ac:dyDescent="0.3"/>
    <row r="39" spans="4:9" x14ac:dyDescent="0.25">
      <c r="D39" s="55" t="s">
        <v>3795</v>
      </c>
      <c r="E39" s="84"/>
      <c r="F39" s="84"/>
      <c r="G39" s="84"/>
      <c r="H39" s="85"/>
      <c r="I39" s="56"/>
    </row>
    <row r="40" spans="4:9" x14ac:dyDescent="0.25">
      <c r="D40" s="34">
        <v>46080</v>
      </c>
      <c r="E40" s="2"/>
      <c r="F40" s="2" t="s">
        <v>3796</v>
      </c>
      <c r="G40" s="2" t="s">
        <v>3797</v>
      </c>
      <c r="H40" s="4">
        <v>1836</v>
      </c>
      <c r="I40" s="53"/>
    </row>
    <row r="41" spans="4:9" x14ac:dyDescent="0.25">
      <c r="D41" s="34">
        <v>46090</v>
      </c>
      <c r="E41" s="2"/>
      <c r="F41" s="2" t="s">
        <v>3796</v>
      </c>
      <c r="G41" s="2" t="s">
        <v>3803</v>
      </c>
      <c r="H41" s="4">
        <v>1398</v>
      </c>
      <c r="I41" s="53"/>
    </row>
    <row r="42" spans="4:9" x14ac:dyDescent="0.25">
      <c r="D42" s="34">
        <v>46101</v>
      </c>
      <c r="E42" s="2"/>
      <c r="F42" s="2" t="s">
        <v>3796</v>
      </c>
      <c r="G42" s="2" t="s">
        <v>3805</v>
      </c>
      <c r="H42" s="4">
        <v>1396</v>
      </c>
      <c r="I42" s="53"/>
    </row>
    <row r="43" spans="4:9" x14ac:dyDescent="0.25">
      <c r="D43" s="34">
        <v>46109</v>
      </c>
      <c r="E43" s="2"/>
      <c r="F43" s="2" t="s">
        <v>3796</v>
      </c>
      <c r="G43" s="2" t="s">
        <v>3808</v>
      </c>
      <c r="H43" s="4">
        <v>1424</v>
      </c>
      <c r="I43" s="53"/>
    </row>
    <row r="44" spans="4:9" x14ac:dyDescent="0.25">
      <c r="D44" s="8"/>
      <c r="E44" s="2"/>
      <c r="F44" s="2"/>
      <c r="G44" s="2"/>
      <c r="H44" s="4"/>
      <c r="I44" s="53"/>
    </row>
    <row r="45" spans="4:9" ht="15.75" thickBot="1" x14ac:dyDescent="0.3">
      <c r="D45" s="10"/>
      <c r="E45" s="11"/>
      <c r="F45" s="11"/>
      <c r="G45" s="11"/>
      <c r="H45" s="86">
        <f>SUM(H40:H44)</f>
        <v>6054</v>
      </c>
      <c r="I45" s="57"/>
    </row>
  </sheetData>
  <phoneticPr fontId="3" type="noConversion"/>
  <pageMargins left="0.7" right="0.7" top="0.75" bottom="0.75" header="0.3" footer="0.3"/>
  <pageSetup paperSize="256" orientation="portrait" horizontalDpi="203" verticalDpi="203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4392-7A0C-4005-9D6B-510D07782210}">
  <sheetPr codeName="Hoja81"/>
  <dimension ref="F6:H14"/>
  <sheetViews>
    <sheetView workbookViewId="0">
      <selection activeCell="J18" sqref="J18:K18"/>
    </sheetView>
  </sheetViews>
  <sheetFormatPr baseColWidth="10" defaultRowHeight="15" x14ac:dyDescent="0.25"/>
  <cols>
    <col min="6" max="6" width="11.42578125" style="1"/>
    <col min="7" max="7" width="23.42578125" style="1" customWidth="1"/>
    <col min="8" max="8" width="21.28515625" style="3" customWidth="1"/>
  </cols>
  <sheetData>
    <row r="6" spans="6:8" x14ac:dyDescent="0.25">
      <c r="F6" s="2"/>
      <c r="G6" s="65" t="s">
        <v>8960</v>
      </c>
      <c r="H6" s="66" t="s">
        <v>8961</v>
      </c>
    </row>
    <row r="7" spans="6:8" x14ac:dyDescent="0.25">
      <c r="F7" s="45">
        <v>46184</v>
      </c>
      <c r="G7" s="2" t="s">
        <v>8962</v>
      </c>
      <c r="H7" s="4">
        <v>15850.29</v>
      </c>
    </row>
    <row r="8" spans="6:8" x14ac:dyDescent="0.25">
      <c r="F8" s="45">
        <v>46183</v>
      </c>
      <c r="G8" s="2" t="s">
        <v>8962</v>
      </c>
      <c r="H8" s="4">
        <v>13421.03</v>
      </c>
    </row>
    <row r="9" spans="6:8" x14ac:dyDescent="0.25">
      <c r="F9" s="45"/>
      <c r="G9" s="2"/>
      <c r="H9" s="4"/>
    </row>
    <row r="10" spans="6:8" x14ac:dyDescent="0.25">
      <c r="F10" s="45"/>
      <c r="G10" s="43" t="s">
        <v>8963</v>
      </c>
      <c r="H10" s="14">
        <f>-13500-3500</f>
        <v>-17000</v>
      </c>
    </row>
    <row r="11" spans="6:8" x14ac:dyDescent="0.25">
      <c r="F11" s="45"/>
      <c r="G11" s="43" t="s">
        <v>8963</v>
      </c>
      <c r="H11" s="14">
        <v>-4000</v>
      </c>
    </row>
    <row r="12" spans="6:8" x14ac:dyDescent="0.25">
      <c r="F12" s="2"/>
      <c r="G12" s="43" t="s">
        <v>8963</v>
      </c>
      <c r="H12" s="14">
        <v>-271.32</v>
      </c>
    </row>
    <row r="13" spans="6:8" x14ac:dyDescent="0.25">
      <c r="F13" s="2"/>
      <c r="G13" s="2"/>
      <c r="H13" s="4"/>
    </row>
    <row r="14" spans="6:8" x14ac:dyDescent="0.25">
      <c r="F14" s="2"/>
      <c r="G14" s="2"/>
      <c r="H14" s="4">
        <f>SUM(H7:H12)</f>
        <v>8000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3D67-E791-440B-A7D8-686D45CF868B}">
  <sheetPr codeName="Hoja82"/>
  <dimension ref="H7:K15"/>
  <sheetViews>
    <sheetView workbookViewId="0">
      <selection activeCell="H8" sqref="H8:K12"/>
    </sheetView>
  </sheetViews>
  <sheetFormatPr baseColWidth="10" defaultRowHeight="15" x14ac:dyDescent="0.25"/>
  <cols>
    <col min="8" max="8" width="20.42578125" bestFit="1" customWidth="1"/>
    <col min="11" max="11" width="20.42578125" bestFit="1" customWidth="1"/>
  </cols>
  <sheetData>
    <row r="7" spans="8:11" ht="15.75" thickBot="1" x14ac:dyDescent="0.3"/>
    <row r="8" spans="8:11" x14ac:dyDescent="0.25">
      <c r="H8" s="149" t="s">
        <v>5580</v>
      </c>
      <c r="I8" s="150"/>
      <c r="J8" s="150"/>
      <c r="K8" s="151"/>
    </row>
    <row r="9" spans="8:11" x14ac:dyDescent="0.25">
      <c r="H9" s="8" t="s">
        <v>5742</v>
      </c>
      <c r="I9" s="2"/>
      <c r="J9" s="2"/>
      <c r="K9" s="53"/>
    </row>
    <row r="10" spans="8:11" x14ac:dyDescent="0.25">
      <c r="H10" s="34">
        <v>46141</v>
      </c>
      <c r="I10" s="2">
        <v>60</v>
      </c>
      <c r="J10" s="2" t="s">
        <v>5743</v>
      </c>
      <c r="K10" s="53" t="s">
        <v>5744</v>
      </c>
    </row>
    <row r="11" spans="8:11" x14ac:dyDescent="0.25">
      <c r="H11" s="34">
        <v>46141</v>
      </c>
      <c r="I11" s="2">
        <v>100</v>
      </c>
      <c r="J11" s="2" t="s">
        <v>5496</v>
      </c>
      <c r="K11" s="53" t="s">
        <v>160</v>
      </c>
    </row>
    <row r="12" spans="8:11" x14ac:dyDescent="0.25">
      <c r="H12" s="8"/>
      <c r="I12" s="2"/>
      <c r="J12" s="2"/>
      <c r="K12" s="53"/>
    </row>
    <row r="13" spans="8:11" x14ac:dyDescent="0.25">
      <c r="H13" s="8"/>
      <c r="I13" s="2"/>
      <c r="J13" s="2"/>
      <c r="K13" s="53"/>
    </row>
    <row r="14" spans="8:11" x14ac:dyDescent="0.25">
      <c r="H14" s="8"/>
      <c r="I14" s="2"/>
      <c r="J14" s="2"/>
      <c r="K14" s="53"/>
    </row>
    <row r="15" spans="8:11" ht="16.5" thickBot="1" x14ac:dyDescent="0.3">
      <c r="H15" s="107" t="s">
        <v>5748</v>
      </c>
      <c r="I15" s="59">
        <f>400-60-100</f>
        <v>240</v>
      </c>
      <c r="J15" s="11"/>
      <c r="K15" s="57"/>
    </row>
  </sheetData>
  <mergeCells count="1">
    <mergeCell ref="H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138</vt:i4>
      </vt:variant>
    </vt:vector>
  </HeadingPairs>
  <TitlesOfParts>
    <vt:vector size="138" baseType="lpstr">
      <vt:lpstr>23-02</vt:lpstr>
      <vt:lpstr>24-02 </vt:lpstr>
      <vt:lpstr>25-02 </vt:lpstr>
      <vt:lpstr>26-02  </vt:lpstr>
      <vt:lpstr>27-02 </vt:lpstr>
      <vt:lpstr>28-02  </vt:lpstr>
      <vt:lpstr>01-03 </vt:lpstr>
      <vt:lpstr>02-03 </vt:lpstr>
      <vt:lpstr>03-03 </vt:lpstr>
      <vt:lpstr>04-03 </vt:lpstr>
      <vt:lpstr>05-03</vt:lpstr>
      <vt:lpstr>06-03 </vt:lpstr>
      <vt:lpstr>07-03</vt:lpstr>
      <vt:lpstr>08-03</vt:lpstr>
      <vt:lpstr>09-03</vt:lpstr>
      <vt:lpstr>10-03</vt:lpstr>
      <vt:lpstr>11-03</vt:lpstr>
      <vt:lpstr>12-03</vt:lpstr>
      <vt:lpstr>13-03</vt:lpstr>
      <vt:lpstr>14-03</vt:lpstr>
      <vt:lpstr>15-03</vt:lpstr>
      <vt:lpstr>16-03 </vt:lpstr>
      <vt:lpstr>17-03  </vt:lpstr>
      <vt:lpstr>18-03  </vt:lpstr>
      <vt:lpstr>19-03</vt:lpstr>
      <vt:lpstr>20-03</vt:lpstr>
      <vt:lpstr>21-03</vt:lpstr>
      <vt:lpstr>22-03</vt:lpstr>
      <vt:lpstr>23-03</vt:lpstr>
      <vt:lpstr>24-03</vt:lpstr>
      <vt:lpstr>25-03 </vt:lpstr>
      <vt:lpstr>26-03</vt:lpstr>
      <vt:lpstr>27-03</vt:lpstr>
      <vt:lpstr>28-03</vt:lpstr>
      <vt:lpstr>29-03</vt:lpstr>
      <vt:lpstr>30-03</vt:lpstr>
      <vt:lpstr>31-03</vt:lpstr>
      <vt:lpstr>01-04</vt:lpstr>
      <vt:lpstr>02-04</vt:lpstr>
      <vt:lpstr>03-04</vt:lpstr>
      <vt:lpstr>04-04</vt:lpstr>
      <vt:lpstr>05-04</vt:lpstr>
      <vt:lpstr>06-04</vt:lpstr>
      <vt:lpstr>07-04</vt:lpstr>
      <vt:lpstr>08-04</vt:lpstr>
      <vt:lpstr>09-04</vt:lpstr>
      <vt:lpstr>10-04</vt:lpstr>
      <vt:lpstr>11-04</vt:lpstr>
      <vt:lpstr>14-04</vt:lpstr>
      <vt:lpstr>15-04 </vt:lpstr>
      <vt:lpstr>16-04</vt:lpstr>
      <vt:lpstr>17-04</vt:lpstr>
      <vt:lpstr>18-04 </vt:lpstr>
      <vt:lpstr>19-04 </vt:lpstr>
      <vt:lpstr>20-04 </vt:lpstr>
      <vt:lpstr>21-04 </vt:lpstr>
      <vt:lpstr>22-04  </vt:lpstr>
      <vt:lpstr>23-04</vt:lpstr>
      <vt:lpstr>24-04 </vt:lpstr>
      <vt:lpstr>25-04</vt:lpstr>
      <vt:lpstr>26-04 </vt:lpstr>
      <vt:lpstr>27-04</vt:lpstr>
      <vt:lpstr>28-04</vt:lpstr>
      <vt:lpstr>29-04</vt:lpstr>
      <vt:lpstr>30-04 </vt:lpstr>
      <vt:lpstr>01-05</vt:lpstr>
      <vt:lpstr>02-05 </vt:lpstr>
      <vt:lpstr>03-05</vt:lpstr>
      <vt:lpstr>04-05 </vt:lpstr>
      <vt:lpstr>05-05 </vt:lpstr>
      <vt:lpstr>06-05  </vt:lpstr>
      <vt:lpstr>07-05</vt:lpstr>
      <vt:lpstr>08-05 </vt:lpstr>
      <vt:lpstr>09-05  </vt:lpstr>
      <vt:lpstr>11-05 </vt:lpstr>
      <vt:lpstr>12-05</vt:lpstr>
      <vt:lpstr>13-05</vt:lpstr>
      <vt:lpstr>14-05</vt:lpstr>
      <vt:lpstr>15-05</vt:lpstr>
      <vt:lpstr>16-05</vt:lpstr>
      <vt:lpstr>17-05</vt:lpstr>
      <vt:lpstr>18-05 </vt:lpstr>
      <vt:lpstr>19-05  </vt:lpstr>
      <vt:lpstr>20-05</vt:lpstr>
      <vt:lpstr>21-05</vt:lpstr>
      <vt:lpstr>22-05</vt:lpstr>
      <vt:lpstr>23-05 </vt:lpstr>
      <vt:lpstr>24Y25-05 </vt:lpstr>
      <vt:lpstr>26-05 </vt:lpstr>
      <vt:lpstr>27-05 </vt:lpstr>
      <vt:lpstr>28-05</vt:lpstr>
      <vt:lpstr>29-05</vt:lpstr>
      <vt:lpstr>30-05</vt:lpstr>
      <vt:lpstr>31-05</vt:lpstr>
      <vt:lpstr>01-06 </vt:lpstr>
      <vt:lpstr>02-06 </vt:lpstr>
      <vt:lpstr>03-06 </vt:lpstr>
      <vt:lpstr>04-06 </vt:lpstr>
      <vt:lpstr>05-06</vt:lpstr>
      <vt:lpstr>06-06 </vt:lpstr>
      <vt:lpstr>07-06 </vt:lpstr>
      <vt:lpstr>08-06 </vt:lpstr>
      <vt:lpstr>09-06</vt:lpstr>
      <vt:lpstr>10-06</vt:lpstr>
      <vt:lpstr>12-06</vt:lpstr>
      <vt:lpstr>13-06</vt:lpstr>
      <vt:lpstr>14-06 </vt:lpstr>
      <vt:lpstr>15-06</vt:lpstr>
      <vt:lpstr>16-06</vt:lpstr>
      <vt:lpstr>17-06</vt:lpstr>
      <vt:lpstr>18-06</vt:lpstr>
      <vt:lpstr>19-06</vt:lpstr>
      <vt:lpstr>20-06 </vt:lpstr>
      <vt:lpstr>21-06 </vt:lpstr>
      <vt:lpstr>22-06 </vt:lpstr>
      <vt:lpstr>23-06</vt:lpstr>
      <vt:lpstr>24-06</vt:lpstr>
      <vt:lpstr>25-06</vt:lpstr>
      <vt:lpstr>26-06</vt:lpstr>
      <vt:lpstr>27-06</vt:lpstr>
      <vt:lpstr>28-06</vt:lpstr>
      <vt:lpstr>29-06</vt:lpstr>
      <vt:lpstr>30-06</vt:lpstr>
      <vt:lpstr>01-07</vt:lpstr>
      <vt:lpstr>02-07</vt:lpstr>
      <vt:lpstr>03-07 </vt:lpstr>
      <vt:lpstr>04-07 </vt:lpstr>
      <vt:lpstr>05-07  </vt:lpstr>
      <vt:lpstr>06-07</vt:lpstr>
      <vt:lpstr>07-07</vt:lpstr>
      <vt:lpstr>08-07</vt:lpstr>
      <vt:lpstr>09-07</vt:lpstr>
      <vt:lpstr>10-07</vt:lpstr>
      <vt:lpstr>HOLCIM</vt:lpstr>
      <vt:lpstr>POR CANCELAR </vt:lpstr>
      <vt:lpstr>Hoja2</vt:lpstr>
      <vt:lpstr>Hoja1</vt:lpstr>
      <vt:lpstr>CORPORACION HERRERA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2026-02-23T12:21:15Z</dcterms:created>
  <dcterms:modified xsi:type="dcterms:W3CDTF">2026-07-11T00:59:14Z</dcterms:modified>
</cp:coreProperties>
</file>