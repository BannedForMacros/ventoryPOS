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9-07-2026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<sst xmlns="http://schemas.openxmlformats.org/spreadsheetml/2006/main" count="137" uniqueCount="109">
  <si>
    <t xml:space="preserve">JUEVES 09-07-2026- CAJA H&amp;C</t>
  </si>
  <si>
    <t xml:space="preserve">INICIO CAJA</t>
  </si>
  <si>
    <t xml:space="preserve">USUARIO</t>
  </si>
  <si>
    <t xml:space="preserve">ITEM</t>
  </si>
  <si>
    <t xml:space="preserve">CLIENTE</t>
  </si>
  <si>
    <t xml:space="preserve">EFECTIVO</t>
  </si>
  <si>
    <t xml:space="preserve">CREDITO</t>
  </si>
  <si>
    <t xml:space="preserve">DEPOSITO/YAPE</t>
  </si>
  <si>
    <t xml:space="preserve">P001-43771</t>
  </si>
  <si>
    <t xml:space="preserve">FERROCONSTRUCTORA JH</t>
  </si>
  <si>
    <t xml:space="preserve">P001-43772</t>
  </si>
  <si>
    <t xml:space="preserve">VENTAS DEL DIA</t>
  </si>
  <si>
    <t xml:space="preserve">P001-43773</t>
  </si>
  <si>
    <t xml:space="preserve">SANTA CRUZ PEREZ ROSA</t>
  </si>
  <si>
    <t xml:space="preserve">P001-43774</t>
  </si>
  <si>
    <t xml:space="preserve">VARGAS NAUCA LUZ DEYNI</t>
  </si>
  <si>
    <t xml:space="preserve">P001-43775</t>
  </si>
  <si>
    <t xml:space="preserve">P001-43776</t>
  </si>
  <si>
    <t xml:space="preserve">SANTA CRUZ PEREZ ROSA GRIMALDINA</t>
  </si>
  <si>
    <t xml:space="preserve">P001-43777</t>
  </si>
  <si>
    <t xml:space="preserve">P001-43778</t>
  </si>
  <si>
    <t xml:space="preserve">GARCIA BECERRA SAMUEL</t>
  </si>
  <si>
    <t xml:space="preserve">P001-43779</t>
  </si>
  <si>
    <t xml:space="preserve">MENDOZA MONDRAGON FLOR</t>
  </si>
  <si>
    <t xml:space="preserve">P001-43780</t>
  </si>
  <si>
    <t xml:space="preserve">P001-43781</t>
  </si>
  <si>
    <t xml:space="preserve">JIBAJA NEYRA KEVIN OVET</t>
  </si>
  <si>
    <t xml:space="preserve">P001-43782</t>
  </si>
  <si>
    <t xml:space="preserve">P001-43783</t>
  </si>
  <si>
    <t xml:space="preserve">TEJADA VILLANUEVA JOSE</t>
  </si>
  <si>
    <t xml:space="preserve">P001-43784</t>
  </si>
  <si>
    <t xml:space="preserve">P001-43785</t>
  </si>
  <si>
    <t xml:space="preserve">CABRERA CORONEL VALENTIN</t>
  </si>
  <si>
    <t xml:space="preserve">P001-43786</t>
  </si>
  <si>
    <t xml:space="preserve">P001-43787</t>
  </si>
  <si>
    <t xml:space="preserve">P001-43788</t>
  </si>
  <si>
    <t xml:space="preserve">P001-43789</t>
  </si>
  <si>
    <t xml:space="preserve">P001-43790</t>
  </si>
  <si>
    <t xml:space="preserve">P001-43791</t>
  </si>
  <si>
    <t xml:space="preserve">P002-32919</t>
  </si>
  <si>
    <t xml:space="preserve">CHIMOY PAICO ERICK JONEL</t>
  </si>
  <si>
    <t xml:space="preserve">P002-32920</t>
  </si>
  <si>
    <t xml:space="preserve">KT-A CONSTRUCTORA S.A.C.</t>
  </si>
  <si>
    <t xml:space="preserve">P002-32921</t>
  </si>
  <si>
    <t xml:space="preserve">CLIENTE VENTAS</t>
  </si>
  <si>
    <t xml:space="preserve">P002-32922</t>
  </si>
  <si>
    <t xml:space="preserve">P002-32923</t>
  </si>
  <si>
    <t xml:space="preserve">P002-32924</t>
  </si>
  <si>
    <t xml:space="preserve">P002-32925</t>
  </si>
  <si>
    <t xml:space="preserve">ARAMBULO BARRETO HECTOR</t>
  </si>
  <si>
    <t xml:space="preserve">P002-32926</t>
  </si>
  <si>
    <t xml:space="preserve">P002-32927</t>
  </si>
  <si>
    <t xml:space="preserve">P002-32928</t>
  </si>
  <si>
    <t xml:space="preserve">P002-32929</t>
  </si>
  <si>
    <t xml:space="preserve">QUISPE</t>
  </si>
  <si>
    <t xml:space="preserve">P002-32930</t>
  </si>
  <si>
    <t xml:space="preserve">CENTURION BAUTISTA DORALIZA</t>
  </si>
  <si>
    <t xml:space="preserve">P002-32931</t>
  </si>
  <si>
    <t xml:space="preserve">GUSTAVO  GUEVARA</t>
  </si>
  <si>
    <t xml:space="preserve">P002-32932</t>
  </si>
  <si>
    <t xml:space="preserve">P002-32933</t>
  </si>
  <si>
    <t xml:space="preserve">ARAMBULO HERRERA JOSE</t>
  </si>
  <si>
    <t xml:space="preserve">P002-32934</t>
  </si>
  <si>
    <t xml:space="preserve">P002-32935</t>
  </si>
  <si>
    <t xml:space="preserve">P002-32936</t>
  </si>
  <si>
    <t xml:space="preserve">CLIDER - MIRAFLORES</t>
  </si>
  <si>
    <t xml:space="preserve">P002-32937</t>
  </si>
  <si>
    <t xml:space="preserve">SILVA CARRERO MARIA JHOVANNY</t>
  </si>
  <si>
    <t xml:space="preserve">P002-32938</t>
  </si>
  <si>
    <t xml:space="preserve">RUIZ HU FRANK</t>
  </si>
  <si>
    <t xml:space="preserve">P002-32939</t>
  </si>
  <si>
    <t xml:space="preserve">COFESEG</t>
  </si>
  <si>
    <t xml:space="preserve">P002-32940</t>
  </si>
  <si>
    <t xml:space="preserve">HUAMAN RODRIGUEZ ENEMECIO</t>
  </si>
  <si>
    <t xml:space="preserve">P002-32941</t>
  </si>
  <si>
    <t xml:space="preserve">P002-32942</t>
  </si>
  <si>
    <t xml:space="preserve">P002-32943</t>
  </si>
  <si>
    <t xml:space="preserve">P002-32944</t>
  </si>
  <si>
    <t xml:space="preserve">P002-32945</t>
  </si>
  <si>
    <t xml:space="preserve">P002-32946</t>
  </si>
  <si>
    <t xml:space="preserve">BERMEO CRUZ WILMER</t>
  </si>
  <si>
    <t xml:space="preserve">P002-32947</t>
  </si>
  <si>
    <t xml:space="preserve">VEGA MENA MARIA JANET</t>
  </si>
  <si>
    <t xml:space="preserve">P002-32948</t>
  </si>
  <si>
    <t xml:space="preserve">KAREN  AQUINO</t>
  </si>
  <si>
    <t xml:space="preserve">P002-32949</t>
  </si>
  <si>
    <t xml:space="preserve">P002-32950</t>
  </si>
  <si>
    <t xml:space="preserve">ANGEL MORENO-TRABAJADOR</t>
  </si>
  <si>
    <t xml:space="preserve">BOLETAS Y FACTURAS</t>
  </si>
  <si>
    <t xml:space="preserve">F001-3097</t>
  </si>
  <si>
    <t xml:space="preserve">VENTAS Y SERVICIOS A &amp; G</t>
  </si>
  <si>
    <t xml:space="preserve">F001-3098</t>
  </si>
  <si>
    <t xml:space="preserve">F001-3099</t>
  </si>
  <si>
    <t xml:space="preserve">F001-3100</t>
  </si>
  <si>
    <t xml:space="preserve">TRANSPORTES MARIA ANTONIETA</t>
  </si>
  <si>
    <t xml:space="preserve">OTROS INGRESOS</t>
  </si>
  <si>
    <t xml:space="preserve">SILVA CARRERO MARIA/ VUELTO</t>
  </si>
  <si>
    <t xml:space="preserve">SALIDAS</t>
  </si>
  <si>
    <t xml:space="preserve">COMPRA 17 ARENA AMARILLA *38</t>
  </si>
  <si>
    <t xml:space="preserve">PARCHE DE LLANTA   FUSO</t>
  </si>
  <si>
    <t xml:space="preserve">COMPRA DE 110 PEGAMENTO *7.7272</t>
  </si>
  <si>
    <t xml:space="preserve">ALMUERZO LUCAS Y MODESTO</t>
  </si>
  <si>
    <t xml:space="preserve">INVERSIONES &amp; TRANSPORTES JH</t>
  </si>
  <si>
    <t xml:space="preserve">5 PCH*65+3 ARENILLA*20+2 P BASE *40</t>
  </si>
  <si>
    <t xml:space="preserve">DEVOLUCION DE DEPSOITO JORDIN</t>
  </si>
  <si>
    <t xml:space="preserve">FLETE VOLQUETE PLOMO</t>
  </si>
  <si>
    <t xml:space="preserve">PUESTA DE FARO LUCAS</t>
  </si>
  <si>
    <t xml:space="preserve">TOTAL</t>
  </si>
  <si>
    <t xml:space="preserve">CAJA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</si>
</sst>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&quot;S/ &quot;#,##0.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0"/>
      <charset val="1"/>
    </font>
    <font>
      <sz val="10"/>
      <color rgb="FFFF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FF0000"/>
      <name val="Arial"/>
      <family val="0"/>
      <charset val="1"/>
    </font>
    <font>
      <b val="true"/>
      <sz val="14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FF23F"/>
        <bgColor rgb="FFFFFF00"/>
      </patternFill>
    </fill>
    <fill>
      <patternFill patternType="solid">
        <fgColor rgb="FFD9D9D9"/>
        <bgColor rgb="FFC6D5EC"/>
      </patternFill>
    </fill>
    <fill>
      <patternFill patternType="solid">
        <fgColor rgb="FFC6D5EC"/>
        <bgColor rgb="FFD9D9D9"/>
      </patternFill>
    </fill>
    <fill>
      <patternFill patternType="solid">
        <fgColor rgb="FFF5D9BE"/>
        <bgColor rgb="FFD9D9D9"/>
      </patternFill>
    </fill>
    <fill>
      <patternFill patternType="solid">
        <fgColor rgb="FFDCE6F1"/>
        <bgColor rgb="FFD9D9D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 diagonalUp="false" diagonalDown="false">
      <left/>
      <right/>
      <top style="thin"/>
      <bottom style="double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0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23F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FFFCC"/>
      <rgbColor rgb="FFDCE6F1"/>
      <rgbColor rgb="FF660066"/>
      <rgbColor rgb="FFFF8080"/>
      <rgbColor rgb="FF0066CC"/>
      <rgbColor rgb="FFC6D5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D9D9"/>
      <rgbColor rgb="FFFFFF99"/>
      <rgbColor rgb="FF99CCFF"/>
      <rgbColor rgb="FFFF99CC"/>
      <rgbColor rgb="FFCC99FF"/>
      <rgbColor rgb="FFF5D9B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3"/>
    <col collapsed="false" customWidth="true" hidden="false" outlineLevel="0" max="3" min="3" style="0" width="38"/>
    <col collapsed="false" customWidth="true" hidden="false" outlineLevel="0" max="4" min="4" style="0" width="13"/>
    <col collapsed="false" customWidth="true" hidden="false" outlineLevel="0" max="5" min="5" style="0" width="12"/>
    <col collapsed="false" customWidth="true" hidden="false" outlineLevel="0" max="6" min="6" style="0" width="16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2" t="s">
        <v>1</v>
      </c>
    </row>
    <row r="2" customFormat="false" ht="15" hidden="false" customHeight="false" outlineLevel="0" collapsed="false">
      <c r="A2" s="1"/>
      <c r="B2" s="1"/>
      <c r="C2" s="1"/>
      <c r="D2" s="1"/>
      <c r="E2" s="1"/>
      <c r="F2" s="3" t="n">
        <v>11038.79</v>
      </c>
    </row>
    <row r="3" customFormat="false" ht="15" hidden="false" customHeight="false" outlineLevel="0" collapsed="false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</row>
    <row r="4" customFormat="false" ht="15" hidden="false" customHeight="false" outlineLevel="0" collapsed="false">
      <c r="A4" s="5"/>
      <c r="B4" s="6" t="s">
        <v>8</v>
      </c>
      <c r="C4" s="6" t="s">
        <v>9</v>
      </c>
      <c r="D4" s="5"/>
      <c r="E4" s="5"/>
      <c r="F4" s="7" t="n">
        <v>9.5</v>
      </c>
    </row>
    <row r="5" customFormat="false" ht="15" hidden="false" customHeight="false" outlineLevel="0" collapsed="false">
      <c r="A5" s="5"/>
      <c r="B5" s="6" t="s">
        <v>10</v>
      </c>
      <c r="C5" s="6" t="s">
        <v>11</v>
      </c>
      <c r="D5" s="5"/>
      <c r="E5" s="5"/>
      <c r="F5" s="7" t="n">
        <v>13.5</v>
      </c>
    </row>
    <row r="6" customFormat="false" ht="15" hidden="false" customHeight="false" outlineLevel="0" collapsed="false">
      <c r="A6" s="5"/>
      <c r="B6" s="6" t="s">
        <v>12</v>
      </c>
      <c r="C6" s="6" t="s">
        <v>13</v>
      </c>
      <c r="D6" s="7" t="n">
        <v>343</v>
      </c>
      <c r="E6" s="5"/>
      <c r="F6" s="5"/>
    </row>
    <row r="7" customFormat="false" ht="15" hidden="false" customHeight="false" outlineLevel="0" collapsed="false">
      <c r="A7" s="5"/>
      <c r="B7" s="6" t="s">
        <v>14</v>
      </c>
      <c r="C7" s="6" t="s">
        <v>15</v>
      </c>
      <c r="D7" s="7" t="n">
        <v>1000</v>
      </c>
      <c r="E7" s="8" t="n">
        <v>52.1</v>
      </c>
      <c r="F7" s="5"/>
    </row>
    <row r="8" customFormat="false" ht="15" hidden="false" customHeight="false" outlineLevel="0" collapsed="false">
      <c r="A8" s="5"/>
      <c r="B8" s="6" t="s">
        <v>16</v>
      </c>
      <c r="C8" s="6" t="s">
        <v>11</v>
      </c>
      <c r="D8" s="7" t="n">
        <v>65</v>
      </c>
      <c r="E8" s="5"/>
      <c r="F8" s="5"/>
    </row>
    <row r="9" customFormat="false" ht="15" hidden="false" customHeight="false" outlineLevel="0" collapsed="false">
      <c r="A9" s="5"/>
      <c r="B9" s="6" t="s">
        <v>17</v>
      </c>
      <c r="C9" s="6" t="s">
        <v>18</v>
      </c>
      <c r="D9" s="7" t="n">
        <v>300</v>
      </c>
      <c r="E9" s="5"/>
      <c r="F9" s="5"/>
    </row>
    <row r="10" customFormat="false" ht="15" hidden="false" customHeight="false" outlineLevel="0" collapsed="false">
      <c r="A10" s="5"/>
      <c r="B10" s="6" t="s">
        <v>19</v>
      </c>
      <c r="C10" s="6" t="s">
        <v>11</v>
      </c>
      <c r="D10" s="7" t="n">
        <v>1</v>
      </c>
      <c r="E10" s="5"/>
      <c r="F10" s="5"/>
    </row>
    <row r="11" customFormat="false" ht="15" hidden="false" customHeight="false" outlineLevel="0" collapsed="false">
      <c r="A11" s="5"/>
      <c r="B11" s="6" t="s">
        <v>20</v>
      </c>
      <c r="C11" s="6" t="s">
        <v>21</v>
      </c>
      <c r="D11" s="7" t="n">
        <v>2040</v>
      </c>
      <c r="E11" s="5"/>
      <c r="F11" s="5"/>
    </row>
    <row r="12" customFormat="false" ht="15" hidden="false" customHeight="false" outlineLevel="0" collapsed="false">
      <c r="A12" s="5"/>
      <c r="B12" s="6" t="s">
        <v>22</v>
      </c>
      <c r="C12" s="6" t="s">
        <v>23</v>
      </c>
      <c r="D12" s="5"/>
      <c r="E12" s="8" t="n">
        <v>1005</v>
      </c>
      <c r="F12" s="5"/>
    </row>
    <row r="13" customFormat="false" ht="15" hidden="false" customHeight="false" outlineLevel="0" collapsed="false">
      <c r="A13" s="5"/>
      <c r="B13" s="6" t="s">
        <v>24</v>
      </c>
      <c r="C13" s="6" t="s">
        <v>11</v>
      </c>
      <c r="D13" s="7" t="n">
        <v>2</v>
      </c>
      <c r="E13" s="5"/>
      <c r="F13" s="5"/>
    </row>
    <row r="14" customFormat="false" ht="15" hidden="false" customHeight="false" outlineLevel="0" collapsed="false">
      <c r="A14" s="5"/>
      <c r="B14" s="6" t="s">
        <v>25</v>
      </c>
      <c r="C14" s="6" t="s">
        <v>26</v>
      </c>
      <c r="D14" s="7" t="n">
        <v>426</v>
      </c>
      <c r="E14" s="5"/>
      <c r="F14" s="5"/>
    </row>
    <row r="15" customFormat="false" ht="15" hidden="false" customHeight="false" outlineLevel="0" collapsed="false">
      <c r="A15" s="5"/>
      <c r="B15" s="6" t="s">
        <v>27</v>
      </c>
      <c r="C15" s="6" t="s">
        <v>11</v>
      </c>
      <c r="D15" s="7" t="n">
        <v>4</v>
      </c>
      <c r="E15" s="5"/>
      <c r="F15" s="5"/>
    </row>
    <row r="16" customFormat="false" ht="15" hidden="false" customHeight="false" outlineLevel="0" collapsed="false">
      <c r="A16" s="5"/>
      <c r="B16" s="6" t="s">
        <v>28</v>
      </c>
      <c r="C16" s="6" t="s">
        <v>29</v>
      </c>
      <c r="D16" s="5"/>
      <c r="E16" s="5"/>
      <c r="F16" s="7" t="n">
        <v>906</v>
      </c>
    </row>
    <row r="17" customFormat="false" ht="15" hidden="false" customHeight="false" outlineLevel="0" collapsed="false">
      <c r="A17" s="5"/>
      <c r="B17" s="6" t="s">
        <v>30</v>
      </c>
      <c r="C17" s="6" t="s">
        <v>11</v>
      </c>
      <c r="D17" s="7" t="n">
        <v>3</v>
      </c>
      <c r="E17" s="5"/>
      <c r="F17" s="5"/>
    </row>
    <row r="18" customFormat="false" ht="15" hidden="false" customHeight="false" outlineLevel="0" collapsed="false">
      <c r="A18" s="5"/>
      <c r="B18" s="6" t="s">
        <v>31</v>
      </c>
      <c r="C18" s="6" t="s">
        <v>32</v>
      </c>
      <c r="D18" s="5"/>
      <c r="E18" s="8" t="n">
        <v>110</v>
      </c>
      <c r="F18" s="5"/>
    </row>
    <row r="19" customFormat="false" ht="15" hidden="false" customHeight="false" outlineLevel="0" collapsed="false">
      <c r="A19" s="5"/>
      <c r="B19" s="6" t="s">
        <v>33</v>
      </c>
      <c r="C19" s="6" t="s">
        <v>11</v>
      </c>
      <c r="D19" s="7" t="n">
        <v>6</v>
      </c>
      <c r="E19" s="5"/>
      <c r="F19" s="5"/>
    </row>
    <row r="20" customFormat="false" ht="15" hidden="false" customHeight="false" outlineLevel="0" collapsed="false">
      <c r="A20" s="5"/>
      <c r="B20" s="6" t="s">
        <v>34</v>
      </c>
      <c r="C20" s="6" t="s">
        <v>11</v>
      </c>
      <c r="D20" s="5"/>
      <c r="E20" s="5"/>
      <c r="F20" s="7" t="n">
        <v>18</v>
      </c>
    </row>
    <row r="21" customFormat="false" ht="15" hidden="false" customHeight="false" outlineLevel="0" collapsed="false">
      <c r="A21" s="5"/>
      <c r="B21" s="6" t="s">
        <v>35</v>
      </c>
      <c r="C21" s="6" t="s">
        <v>11</v>
      </c>
      <c r="D21" s="7" t="n">
        <v>6</v>
      </c>
      <c r="E21" s="5"/>
      <c r="F21" s="5"/>
    </row>
    <row r="22" customFormat="false" ht="15" hidden="false" customHeight="false" outlineLevel="0" collapsed="false">
      <c r="A22" s="5"/>
      <c r="B22" s="6" t="s">
        <v>36</v>
      </c>
      <c r="C22" s="6" t="s">
        <v>11</v>
      </c>
      <c r="D22" s="7" t="n">
        <v>50</v>
      </c>
      <c r="E22" s="5"/>
      <c r="F22" s="7" t="n">
        <v>10</v>
      </c>
    </row>
    <row r="23" customFormat="false" ht="15" hidden="false" customHeight="false" outlineLevel="0" collapsed="false">
      <c r="A23" s="5"/>
      <c r="B23" s="6" t="s">
        <v>37</v>
      </c>
      <c r="C23" s="6" t="s">
        <v>11</v>
      </c>
      <c r="D23" s="5"/>
      <c r="E23" s="5"/>
      <c r="F23" s="7" t="n">
        <v>5</v>
      </c>
    </row>
    <row r="24" customFormat="false" ht="15" hidden="false" customHeight="false" outlineLevel="0" collapsed="false">
      <c r="A24" s="5"/>
      <c r="B24" s="6" t="s">
        <v>38</v>
      </c>
      <c r="C24" s="6" t="s">
        <v>11</v>
      </c>
      <c r="D24" s="7" t="n">
        <v>7</v>
      </c>
      <c r="E24" s="5"/>
      <c r="F24" s="5"/>
    </row>
    <row r="25" customFormat="false" ht="15" hidden="false" customHeight="false" outlineLevel="0" collapsed="false">
      <c r="A25" s="5"/>
      <c r="B25" s="5"/>
      <c r="C25" s="5"/>
      <c r="D25" s="5"/>
      <c r="E25" s="5"/>
      <c r="F25" s="5"/>
    </row>
    <row r="26" customFormat="false" ht="15" hidden="false" customHeight="false" outlineLevel="0" collapsed="false">
      <c r="A26" s="5"/>
      <c r="B26" s="6" t="s">
        <v>39</v>
      </c>
      <c r="C26" s="6" t="s">
        <v>40</v>
      </c>
      <c r="D26" s="5"/>
      <c r="E26" s="5"/>
      <c r="F26" s="7" t="n">
        <v>165</v>
      </c>
    </row>
    <row r="27" customFormat="false" ht="15" hidden="false" customHeight="false" outlineLevel="0" collapsed="false">
      <c r="A27" s="5"/>
      <c r="B27" s="6" t="s">
        <v>41</v>
      </c>
      <c r="C27" s="6" t="s">
        <v>42</v>
      </c>
      <c r="D27" s="5"/>
      <c r="E27" s="5"/>
      <c r="F27" s="7" t="n">
        <v>1110.5</v>
      </c>
    </row>
    <row r="28" customFormat="false" ht="15" hidden="false" customHeight="false" outlineLevel="0" collapsed="false">
      <c r="A28" s="5"/>
      <c r="B28" s="6" t="s">
        <v>43</v>
      </c>
      <c r="C28" s="6" t="s">
        <v>44</v>
      </c>
      <c r="D28" s="7" t="n">
        <v>310</v>
      </c>
      <c r="E28" s="5"/>
      <c r="F28" s="5"/>
    </row>
    <row r="29" customFormat="false" ht="15" hidden="false" customHeight="false" outlineLevel="0" collapsed="false">
      <c r="A29" s="5"/>
      <c r="B29" s="6" t="s">
        <v>45</v>
      </c>
      <c r="C29" s="6" t="s">
        <v>44</v>
      </c>
      <c r="D29" s="7" t="n">
        <v>12</v>
      </c>
      <c r="E29" s="5"/>
      <c r="F29" s="5"/>
    </row>
    <row r="30" customFormat="false" ht="15" hidden="false" customHeight="false" outlineLevel="0" collapsed="false">
      <c r="A30" s="5"/>
      <c r="B30" s="6" t="s">
        <v>46</v>
      </c>
      <c r="C30" s="6" t="s">
        <v>44</v>
      </c>
      <c r="D30" s="5"/>
      <c r="E30" s="5"/>
      <c r="F30" s="7" t="n">
        <v>20</v>
      </c>
    </row>
    <row r="31" customFormat="false" ht="15" hidden="false" customHeight="false" outlineLevel="0" collapsed="false">
      <c r="A31" s="5"/>
      <c r="B31" s="6" t="s">
        <v>47</v>
      </c>
      <c r="C31" s="6" t="s">
        <v>44</v>
      </c>
      <c r="D31" s="5"/>
      <c r="E31" s="5"/>
      <c r="F31" s="7" t="n">
        <v>6</v>
      </c>
    </row>
    <row r="32" customFormat="false" ht="15" hidden="false" customHeight="false" outlineLevel="0" collapsed="false">
      <c r="A32" s="5"/>
      <c r="B32" s="6" t="s">
        <v>48</v>
      </c>
      <c r="C32" s="6" t="s">
        <v>49</v>
      </c>
      <c r="D32" s="7" t="n">
        <v>46</v>
      </c>
      <c r="E32" s="5"/>
      <c r="F32" s="5"/>
    </row>
    <row r="33" customFormat="false" ht="15" hidden="false" customHeight="false" outlineLevel="0" collapsed="false">
      <c r="A33" s="5"/>
      <c r="B33" s="6" t="s">
        <v>50</v>
      </c>
      <c r="C33" s="6" t="s">
        <v>44</v>
      </c>
      <c r="D33" s="7" t="n">
        <v>26.5</v>
      </c>
      <c r="E33" s="5"/>
      <c r="F33" s="5"/>
    </row>
    <row r="34" customFormat="false" ht="15" hidden="false" customHeight="false" outlineLevel="0" collapsed="false">
      <c r="A34" s="5"/>
      <c r="B34" s="6" t="s">
        <v>51</v>
      </c>
      <c r="C34" s="6" t="s">
        <v>44</v>
      </c>
      <c r="D34" s="7" t="n">
        <v>17</v>
      </c>
      <c r="E34" s="5"/>
      <c r="F34" s="5"/>
    </row>
    <row r="35" customFormat="false" ht="15" hidden="false" customHeight="false" outlineLevel="0" collapsed="false">
      <c r="A35" s="5"/>
      <c r="B35" s="6" t="s">
        <v>52</v>
      </c>
      <c r="C35" s="6" t="s">
        <v>44</v>
      </c>
      <c r="D35" s="7" t="n">
        <v>1</v>
      </c>
      <c r="E35" s="5"/>
      <c r="F35" s="5"/>
    </row>
    <row r="36" customFormat="false" ht="15" hidden="false" customHeight="false" outlineLevel="0" collapsed="false">
      <c r="A36" s="5"/>
      <c r="B36" s="6" t="s">
        <v>53</v>
      </c>
      <c r="C36" s="6" t="s">
        <v>54</v>
      </c>
      <c r="D36" s="5"/>
      <c r="E36" s="8" t="n">
        <v>395.75</v>
      </c>
      <c r="F36" s="5"/>
    </row>
    <row r="37" customFormat="false" ht="15" hidden="false" customHeight="false" outlineLevel="0" collapsed="false">
      <c r="A37" s="5"/>
      <c r="B37" s="6" t="s">
        <v>55</v>
      </c>
      <c r="C37" s="6" t="s">
        <v>56</v>
      </c>
      <c r="D37" s="7" t="n">
        <v>700</v>
      </c>
      <c r="E37" s="5"/>
      <c r="F37" s="7" t="n">
        <v>219.8</v>
      </c>
    </row>
    <row r="38" customFormat="false" ht="15" hidden="false" customHeight="false" outlineLevel="0" collapsed="false">
      <c r="A38" s="5"/>
      <c r="B38" s="6" t="s">
        <v>57</v>
      </c>
      <c r="C38" s="6" t="s">
        <v>58</v>
      </c>
      <c r="D38" s="5"/>
      <c r="E38" s="5"/>
      <c r="F38" s="7" t="n">
        <v>35</v>
      </c>
    </row>
    <row r="39" customFormat="false" ht="15" hidden="false" customHeight="false" outlineLevel="0" collapsed="false">
      <c r="A39" s="5"/>
      <c r="B39" s="6" t="s">
        <v>59</v>
      </c>
      <c r="C39" s="6" t="s">
        <v>54</v>
      </c>
      <c r="D39" s="5"/>
      <c r="E39" s="8" t="n">
        <v>1908</v>
      </c>
      <c r="F39" s="5"/>
    </row>
    <row r="40" customFormat="false" ht="15" hidden="false" customHeight="false" outlineLevel="0" collapsed="false">
      <c r="A40" s="5"/>
      <c r="B40" s="6" t="s">
        <v>60</v>
      </c>
      <c r="C40" s="6" t="s">
        <v>61</v>
      </c>
      <c r="D40" s="5"/>
      <c r="E40" s="5"/>
      <c r="F40" s="7" t="n">
        <v>62</v>
      </c>
    </row>
    <row r="41" customFormat="false" ht="15" hidden="false" customHeight="false" outlineLevel="0" collapsed="false">
      <c r="A41" s="5"/>
      <c r="B41" s="6" t="s">
        <v>62</v>
      </c>
      <c r="C41" s="6" t="s">
        <v>44</v>
      </c>
      <c r="D41" s="7" t="n">
        <v>16.5</v>
      </c>
      <c r="E41" s="5"/>
      <c r="F41" s="5"/>
    </row>
    <row r="42" customFormat="false" ht="15" hidden="false" customHeight="false" outlineLevel="0" collapsed="false">
      <c r="A42" s="5"/>
      <c r="B42" s="6" t="s">
        <v>63</v>
      </c>
      <c r="C42" s="6" t="s">
        <v>58</v>
      </c>
      <c r="D42" s="5"/>
      <c r="E42" s="5"/>
      <c r="F42" s="7" t="n">
        <v>314</v>
      </c>
    </row>
    <row r="43" customFormat="false" ht="15" hidden="false" customHeight="false" outlineLevel="0" collapsed="false">
      <c r="A43" s="5"/>
      <c r="B43" s="6" t="s">
        <v>64</v>
      </c>
      <c r="C43" s="6" t="s">
        <v>65</v>
      </c>
      <c r="D43" s="5"/>
      <c r="E43" s="8" t="n">
        <v>246</v>
      </c>
      <c r="F43" s="5"/>
    </row>
    <row r="44" customFormat="false" ht="15" hidden="false" customHeight="false" outlineLevel="0" collapsed="false">
      <c r="A44" s="5"/>
      <c r="B44" s="6" t="s">
        <v>66</v>
      </c>
      <c r="C44" s="6" t="s">
        <v>67</v>
      </c>
      <c r="D44" s="7" t="n">
        <v>646</v>
      </c>
      <c r="E44" s="5"/>
      <c r="F44" s="5"/>
    </row>
    <row r="45" customFormat="false" ht="15" hidden="false" customHeight="false" outlineLevel="0" collapsed="false">
      <c r="A45" s="5"/>
      <c r="B45" s="6" t="s">
        <v>68</v>
      </c>
      <c r="C45" s="6" t="s">
        <v>69</v>
      </c>
      <c r="D45" s="5"/>
      <c r="E45" s="5"/>
      <c r="F45" s="7" t="n">
        <v>42</v>
      </c>
    </row>
    <row r="46" customFormat="false" ht="15" hidden="false" customHeight="false" outlineLevel="0" collapsed="false">
      <c r="A46" s="5"/>
      <c r="B46" s="6" t="s">
        <v>70</v>
      </c>
      <c r="C46" s="6" t="s">
        <v>71</v>
      </c>
      <c r="D46" s="5"/>
      <c r="E46" s="5"/>
      <c r="F46" s="7" t="n">
        <v>16</v>
      </c>
    </row>
    <row r="47" customFormat="false" ht="15" hidden="false" customHeight="false" outlineLevel="0" collapsed="false">
      <c r="A47" s="5"/>
      <c r="B47" s="6" t="s">
        <v>72</v>
      </c>
      <c r="C47" s="6" t="s">
        <v>73</v>
      </c>
      <c r="D47" s="5"/>
      <c r="E47" s="5"/>
      <c r="F47" s="7" t="n">
        <v>179.5</v>
      </c>
    </row>
    <row r="48" customFormat="false" ht="15" hidden="false" customHeight="false" outlineLevel="0" collapsed="false">
      <c r="A48" s="5"/>
      <c r="B48" s="6" t="s">
        <v>74</v>
      </c>
      <c r="C48" s="6" t="s">
        <v>44</v>
      </c>
      <c r="D48" s="7" t="n">
        <v>10.5</v>
      </c>
      <c r="E48" s="5"/>
      <c r="F48" s="5"/>
    </row>
    <row r="49" customFormat="false" ht="15" hidden="false" customHeight="false" outlineLevel="0" collapsed="false">
      <c r="A49" s="5"/>
      <c r="B49" s="6" t="s">
        <v>75</v>
      </c>
      <c r="C49" s="6" t="s">
        <v>44</v>
      </c>
      <c r="D49" s="7" t="n">
        <v>6</v>
      </c>
      <c r="E49" s="5"/>
      <c r="F49" s="5"/>
    </row>
    <row r="50" customFormat="false" ht="15" hidden="false" customHeight="false" outlineLevel="0" collapsed="false">
      <c r="A50" s="5"/>
      <c r="B50" s="6" t="s">
        <v>76</v>
      </c>
      <c r="C50" s="6" t="s">
        <v>44</v>
      </c>
      <c r="D50" s="7" t="n">
        <v>1</v>
      </c>
      <c r="E50" s="5"/>
      <c r="F50" s="5"/>
    </row>
    <row r="51" customFormat="false" ht="15" hidden="false" customHeight="false" outlineLevel="0" collapsed="false">
      <c r="A51" s="5"/>
      <c r="B51" s="6" t="s">
        <v>77</v>
      </c>
      <c r="C51" s="6" t="s">
        <v>44</v>
      </c>
      <c r="D51" s="7" t="n">
        <v>15.5</v>
      </c>
      <c r="E51" s="5"/>
      <c r="F51" s="5"/>
    </row>
    <row r="52" customFormat="false" ht="15" hidden="false" customHeight="false" outlineLevel="0" collapsed="false">
      <c r="A52" s="5"/>
      <c r="B52" s="6" t="s">
        <v>78</v>
      </c>
      <c r="C52" s="6" t="s">
        <v>44</v>
      </c>
      <c r="D52" s="7" t="n">
        <v>10.5</v>
      </c>
      <c r="E52" s="5"/>
      <c r="F52" s="5"/>
    </row>
    <row r="53" customFormat="false" ht="15" hidden="false" customHeight="false" outlineLevel="0" collapsed="false">
      <c r="A53" s="5"/>
      <c r="B53" s="6" t="s">
        <v>79</v>
      </c>
      <c r="C53" s="6" t="s">
        <v>80</v>
      </c>
      <c r="D53" s="5"/>
      <c r="E53" s="5"/>
      <c r="F53" s="7" t="n">
        <v>207.5</v>
      </c>
    </row>
    <row r="54" customFormat="false" ht="15" hidden="false" customHeight="false" outlineLevel="0" collapsed="false">
      <c r="A54" s="5"/>
      <c r="B54" s="6" t="s">
        <v>81</v>
      </c>
      <c r="C54" s="6" t="s">
        <v>82</v>
      </c>
      <c r="D54" s="5"/>
      <c r="E54" s="5"/>
      <c r="F54" s="7" t="n">
        <v>12</v>
      </c>
    </row>
    <row r="55" customFormat="false" ht="15" hidden="false" customHeight="false" outlineLevel="0" collapsed="false">
      <c r="A55" s="5"/>
      <c r="B55" s="6" t="s">
        <v>83</v>
      </c>
      <c r="C55" s="6" t="s">
        <v>84</v>
      </c>
      <c r="D55" s="5"/>
      <c r="E55" s="8" t="n">
        <v>3138.5</v>
      </c>
      <c r="F55" s="5"/>
    </row>
    <row r="56" customFormat="false" ht="15" hidden="false" customHeight="false" outlineLevel="0" collapsed="false">
      <c r="A56" s="5"/>
      <c r="B56" s="6" t="s">
        <v>85</v>
      </c>
      <c r="C56" s="6" t="s">
        <v>44</v>
      </c>
      <c r="D56" s="7" t="n">
        <v>23</v>
      </c>
      <c r="E56" s="5"/>
      <c r="F56" s="5"/>
    </row>
    <row r="57" customFormat="false" ht="15" hidden="false" customHeight="false" outlineLevel="0" collapsed="false">
      <c r="A57" s="5"/>
      <c r="B57" s="6" t="s">
        <v>86</v>
      </c>
      <c r="C57" s="6" t="s">
        <v>87</v>
      </c>
      <c r="D57" s="5"/>
      <c r="E57" s="8" t="n">
        <v>239</v>
      </c>
      <c r="F57" s="5"/>
    </row>
    <row r="58" customFormat="false" ht="15" hidden="false" customHeight="false" outlineLevel="0" collapsed="false">
      <c r="A58" s="5"/>
      <c r="B58" s="5"/>
      <c r="C58" s="5"/>
      <c r="D58" s="5"/>
      <c r="E58" s="5"/>
      <c r="F58" s="5"/>
    </row>
    <row r="59" customFormat="false" ht="15" hidden="false" customHeight="false" outlineLevel="0" collapsed="false">
      <c r="A59" s="5"/>
      <c r="B59" s="5"/>
      <c r="C59" s="5"/>
      <c r="D59" s="5"/>
      <c r="E59" s="5"/>
      <c r="F59" s="5"/>
    </row>
    <row r="60" customFormat="false" ht="15" hidden="false" customHeight="false" outlineLevel="0" collapsed="false">
      <c r="A60" s="9" t="s">
        <v>88</v>
      </c>
      <c r="B60" s="9"/>
      <c r="C60" s="9"/>
      <c r="D60" s="5"/>
      <c r="E60" s="5"/>
      <c r="F60" s="5"/>
    </row>
    <row r="61" customFormat="false" ht="15" hidden="false" customHeight="false" outlineLevel="0" collapsed="false">
      <c r="A61" s="5"/>
      <c r="B61" s="6" t="s">
        <v>89</v>
      </c>
      <c r="C61" s="6" t="s">
        <v>90</v>
      </c>
      <c r="D61" s="5"/>
      <c r="E61" s="5"/>
      <c r="F61" s="7" t="n">
        <v>1035</v>
      </c>
    </row>
    <row r="62" customFormat="false" ht="15" hidden="false" customHeight="false" outlineLevel="0" collapsed="false">
      <c r="A62" s="5"/>
      <c r="B62" s="6" t="s">
        <v>91</v>
      </c>
      <c r="C62" s="6" t="s">
        <v>90</v>
      </c>
      <c r="D62" s="5"/>
      <c r="E62" s="5"/>
      <c r="F62" s="7" t="n">
        <v>690</v>
      </c>
    </row>
    <row r="63" customFormat="false" ht="15" hidden="false" customHeight="false" outlineLevel="0" collapsed="false">
      <c r="A63" s="5"/>
      <c r="B63" s="6" t="s">
        <v>92</v>
      </c>
      <c r="C63" s="6" t="s">
        <v>90</v>
      </c>
      <c r="D63" s="7" t="n">
        <v>9</v>
      </c>
      <c r="E63" s="5"/>
      <c r="F63" s="5"/>
    </row>
    <row r="64" customFormat="false" ht="15" hidden="false" customHeight="false" outlineLevel="0" collapsed="false">
      <c r="A64" s="5"/>
      <c r="B64" s="6" t="s">
        <v>93</v>
      </c>
      <c r="C64" s="6" t="s">
        <v>94</v>
      </c>
      <c r="D64" s="5"/>
      <c r="E64" s="8" t="n">
        <v>1340</v>
      </c>
      <c r="F64" s="5"/>
    </row>
    <row r="65" customFormat="false" ht="15" hidden="false" customHeight="false" outlineLevel="0" collapsed="false">
      <c r="A65" s="5"/>
      <c r="B65" s="5"/>
      <c r="C65" s="5"/>
      <c r="D65" s="5"/>
      <c r="E65" s="5"/>
      <c r="F65" s="5"/>
    </row>
    <row r="66" customFormat="false" ht="15" hidden="false" customHeight="false" outlineLevel="0" collapsed="false">
      <c r="A66" s="5"/>
      <c r="B66" s="5"/>
      <c r="C66" s="5"/>
      <c r="D66" s="5"/>
      <c r="E66" s="5"/>
      <c r="F66" s="5"/>
    </row>
    <row r="67" customFormat="false" ht="15" hidden="false" customHeight="false" outlineLevel="0" collapsed="false">
      <c r="A67" s="10" t="s">
        <v>95</v>
      </c>
      <c r="B67" s="10"/>
      <c r="C67" s="10"/>
      <c r="D67" s="5"/>
      <c r="E67" s="5"/>
      <c r="F67" s="5"/>
    </row>
    <row r="68" customFormat="false" ht="15" hidden="false" customHeight="false" outlineLevel="0" collapsed="false">
      <c r="A68" s="5"/>
      <c r="B68" s="5"/>
      <c r="C68" s="6" t="s">
        <v>96</v>
      </c>
      <c r="D68" s="7" t="n">
        <v>4</v>
      </c>
      <c r="E68" s="5"/>
      <c r="F68" s="5"/>
    </row>
    <row r="69" customFormat="false" ht="15" hidden="false" customHeight="false" outlineLevel="0" collapsed="false">
      <c r="A69" s="5"/>
      <c r="B69" s="5"/>
      <c r="C69" s="5"/>
      <c r="D69" s="5"/>
      <c r="E69" s="5"/>
      <c r="F69" s="5"/>
    </row>
    <row r="70" customFormat="false" ht="15" hidden="false" customHeight="false" outlineLevel="0" collapsed="false">
      <c r="A70" s="5"/>
      <c r="B70" s="5"/>
      <c r="C70" s="5"/>
      <c r="D70" s="5"/>
      <c r="E70" s="5"/>
      <c r="F70" s="5"/>
    </row>
    <row r="71" customFormat="false" ht="15" hidden="false" customHeight="false" outlineLevel="0" collapsed="false">
      <c r="A71" s="11" t="s">
        <v>97</v>
      </c>
      <c r="B71" s="11"/>
      <c r="C71" s="11"/>
      <c r="D71" s="5"/>
      <c r="E71" s="5"/>
      <c r="F71" s="5"/>
    </row>
    <row r="72" customFormat="false" ht="15" hidden="false" customHeight="false" outlineLevel="0" collapsed="false">
      <c r="A72" s="5"/>
      <c r="B72" s="5"/>
      <c r="C72" s="12" t="s">
        <v>98</v>
      </c>
      <c r="D72" s="8" t="n">
        <v>-646</v>
      </c>
      <c r="E72" s="5"/>
      <c r="F72" s="5"/>
    </row>
    <row r="73" customFormat="false" ht="15" hidden="false" customHeight="false" outlineLevel="0" collapsed="false">
      <c r="A73" s="5"/>
      <c r="B73" s="5"/>
      <c r="C73" s="12" t="s">
        <v>99</v>
      </c>
      <c r="D73" s="8" t="n">
        <v>-20</v>
      </c>
      <c r="E73" s="5"/>
      <c r="F73" s="5"/>
    </row>
    <row r="74" customFormat="false" ht="15" hidden="false" customHeight="false" outlineLevel="0" collapsed="false">
      <c r="A74" s="5"/>
      <c r="B74" s="5"/>
      <c r="C74" s="12" t="s">
        <v>100</v>
      </c>
      <c r="D74" s="8" t="n">
        <v>-850</v>
      </c>
      <c r="E74" s="5"/>
      <c r="F74" s="5"/>
    </row>
    <row r="75" customFormat="false" ht="15" hidden="false" customHeight="false" outlineLevel="0" collapsed="false">
      <c r="A75" s="5"/>
      <c r="B75" s="5"/>
      <c r="C75" s="12" t="s">
        <v>101</v>
      </c>
      <c r="D75" s="8" t="n">
        <v>-20</v>
      </c>
      <c r="E75" s="5"/>
      <c r="F75" s="5"/>
    </row>
    <row r="76" customFormat="false" ht="15" hidden="false" customHeight="false" outlineLevel="0" collapsed="false">
      <c r="A76" s="5"/>
      <c r="B76" s="5"/>
      <c r="C76" s="12" t="s">
        <v>102</v>
      </c>
      <c r="D76" s="8" t="n">
        <v>-1373.6</v>
      </c>
      <c r="E76" s="5"/>
      <c r="F76" s="5"/>
    </row>
    <row r="77" customFormat="false" ht="15" hidden="false" customHeight="false" outlineLevel="0" collapsed="false">
      <c r="A77" s="5"/>
      <c r="B77" s="5"/>
      <c r="C77" s="12" t="s">
        <v>103</v>
      </c>
      <c r="D77" s="8" t="n">
        <v>-465</v>
      </c>
      <c r="E77" s="5"/>
      <c r="F77" s="5"/>
    </row>
    <row r="78" customFormat="false" ht="15" hidden="false" customHeight="false" outlineLevel="0" collapsed="false">
      <c r="A78" s="5"/>
      <c r="B78" s="5"/>
      <c r="C78" s="12" t="s">
        <v>104</v>
      </c>
      <c r="D78" s="8" t="n">
        <v>-40</v>
      </c>
      <c r="E78" s="5"/>
      <c r="F78" s="5"/>
    </row>
    <row r="79" customFormat="false" ht="15" hidden="false" customHeight="false" outlineLevel="0" collapsed="false">
      <c r="A79" s="5"/>
      <c r="B79" s="5"/>
      <c r="C79" s="12" t="s">
        <v>105</v>
      </c>
      <c r="D79" s="8" t="n">
        <v>-130</v>
      </c>
      <c r="E79" s="5"/>
      <c r="F79" s="5"/>
    </row>
    <row r="80" customFormat="false" ht="15" hidden="false" customHeight="false" outlineLevel="0" collapsed="false">
      <c r="A80" s="5"/>
      <c r="B80" s="5"/>
      <c r="C80" s="12" t="s">
        <v>106</v>
      </c>
      <c r="D80" s="8" t="n">
        <v>-10</v>
      </c>
      <c r="E80" s="5"/>
      <c r="F80" s="5"/>
    </row>
    <row r="81" customFormat="false" ht="15" hidden="false" customHeight="false" outlineLevel="0" collapsed="false">
      <c r="A81" s="5"/>
      <c r="B81" s="5"/>
      <c r="C81" s="5"/>
      <c r="D81" s="5"/>
      <c r="E81" s="5"/>
      <c r="F81" s="5"/>
    </row>
    <row r="82" customFormat="false" ht="15" hidden="false" customHeight="false" outlineLevel="0" collapsed="false">
      <c r="C82" s="2" t="s">
        <v>107</v>
      </c>
      <c r="D82" s="13" t="n">
        <f aca="false">SUM(D4:D80)</f>
        <v>2552.9</v>
      </c>
      <c r="E82" s="14" t="n">
        <f aca="false">SUM(E4:E80)</f>
        <v>8434.35</v>
      </c>
      <c r="F82" s="13" t="n">
        <f aca="false">SUM(F4:F80)</f>
        <v>5076.3</v>
      </c>
    </row>
    <row r="84" customFormat="false" ht="17.35" hidden="false" customHeight="false" outlineLevel="0" collapsed="false">
      <c r="A84" s="15" t="s">
        <v>108</v>
      </c>
      <c r="B84" s="15"/>
      <c r="C84" s="15"/>
      <c r="D84" s="16" t="n">
        <f aca="false">F2+D82</f>
        <v>13591.69</v>
      </c>
      <c r="E84" s="16"/>
      <c r="F84" s="16"/>
    </row>
  </sheetData>
  <mergeCells count="6">
    <mergeCell ref="A1:E2"/>
    <mergeCell ref="A60:C60"/>
    <mergeCell ref="A67:C67"/>
    <mergeCell ref="A71:C71"/>
    <mergeCell ref="A84:C84"/>
    <mergeCell ref="D84:F8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2026-07-11T01:37:55Z</dcterms:created>
  <dc:creator>openpyxl</dc:creator>
  <dc:description/>
  <dc:language>en-US</dc:language>
  <cp:lastModifiedBy/>
  <dcterms:modified xsi:type="dcterms:W3CDTF">2026-07-11T01:37:55Z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