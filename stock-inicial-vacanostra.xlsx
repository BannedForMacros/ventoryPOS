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FioSupo\D\2026\VACA NOSTRA\"/>
    </mc:Choice>
  </mc:AlternateContent>
  <xr:revisionPtr revIDLastSave="0" documentId="8_{A622AAE7-83F6-4B1E-A2C4-7C0CD4736327}" xr6:coauthVersionLast="47" xr6:coauthVersionMax="47" xr10:uidLastSave="{00000000-0000-0000-0000-000000000000}"/>
  <bookViews>
    <workbookView xWindow="-120" yWindow="-120" windowWidth="24240" windowHeight="13020" firstSheet="1" activeTab="1" xr2:uid="{00000000-000D-0000-FFFF-FFFF00000000}"/>
  </bookViews>
  <sheets>
    <sheet name="Hoja1" sheetId="4" state="hidden" r:id="rId1"/>
    <sheet name="tienda" sheetId="5" r:id="rId2"/>
    <sheet name="ABC" sheetId="3" r:id="rId3"/>
    <sheet name="Ranking" sheetId="2" r:id="rId4"/>
  </sheets>
  <externalReferences>
    <externalReference r:id="rId5"/>
    <externalReference r:id="rId6"/>
  </externalReferences>
  <definedNames>
    <definedName name="_xlnm._FilterDatabase" localSheetId="0" hidden="1">Hoja1!$A$2:$D$493</definedName>
    <definedName name="_xlnm._FilterDatabase" localSheetId="3" hidden="1">Ranking!$A$1:$I$68</definedName>
    <definedName name="_xlnm._FilterDatabase" localSheetId="1" hidden="1">tienda!$A$1:$K$486</definedName>
  </definedNames>
  <calcPr calcId="191029"/>
  <pivotCaches>
    <pivotCache cacheId="7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0" i="5" l="1"/>
  <c r="J3" i="5"/>
  <c r="J4" i="5"/>
  <c r="J8" i="5"/>
  <c r="J9" i="5"/>
  <c r="J13" i="5"/>
  <c r="J16" i="5"/>
  <c r="J17" i="5"/>
  <c r="J19" i="5"/>
  <c r="J23" i="5"/>
  <c r="J24" i="5"/>
  <c r="J25" i="5"/>
  <c r="J31" i="5"/>
  <c r="J32" i="5"/>
  <c r="J33" i="5"/>
  <c r="J34" i="5"/>
  <c r="J35" i="5"/>
  <c r="J36" i="5"/>
  <c r="J37" i="5"/>
  <c r="J38" i="5"/>
  <c r="J39" i="5"/>
  <c r="J41" i="5"/>
  <c r="J42" i="5"/>
  <c r="J44" i="5"/>
  <c r="J47" i="5"/>
  <c r="J49" i="5"/>
  <c r="J51" i="5"/>
  <c r="J52" i="5"/>
  <c r="J53" i="5"/>
  <c r="J54" i="5"/>
  <c r="J55" i="5"/>
  <c r="J56" i="5"/>
  <c r="J57" i="5"/>
  <c r="J58" i="5"/>
  <c r="J59" i="5"/>
  <c r="J60" i="5"/>
  <c r="J64" i="5"/>
  <c r="J65" i="5"/>
  <c r="J66" i="5"/>
  <c r="J67" i="5"/>
  <c r="J68" i="5"/>
  <c r="J69" i="5"/>
  <c r="J70" i="5"/>
  <c r="J72" i="5"/>
  <c r="J73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90" i="5"/>
  <c r="J91" i="5"/>
  <c r="J92" i="5"/>
  <c r="J95" i="5"/>
  <c r="J97" i="5"/>
  <c r="J98" i="5"/>
  <c r="J99" i="5"/>
  <c r="J100" i="5"/>
  <c r="J101" i="5"/>
  <c r="J103" i="5"/>
  <c r="J104" i="5"/>
  <c r="J105" i="5"/>
  <c r="J106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5" i="5"/>
  <c r="J177" i="5"/>
  <c r="J179" i="5"/>
  <c r="J180" i="5"/>
  <c r="J181" i="5"/>
  <c r="J182" i="5"/>
  <c r="J183" i="5"/>
  <c r="J184" i="5"/>
  <c r="J186" i="5"/>
  <c r="J187" i="5"/>
  <c r="J188" i="5"/>
  <c r="J189" i="5"/>
  <c r="J190" i="5"/>
  <c r="J191" i="5"/>
  <c r="J192" i="5"/>
  <c r="J193" i="5"/>
  <c r="J194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2" i="5"/>
  <c r="J225" i="5"/>
  <c r="J226" i="5"/>
  <c r="J227" i="5"/>
  <c r="J228" i="5"/>
  <c r="J229" i="5"/>
  <c r="J233" i="5"/>
  <c r="J234" i="5"/>
  <c r="J235" i="5"/>
  <c r="J236" i="5"/>
  <c r="J237" i="5"/>
  <c r="J238" i="5"/>
  <c r="J239" i="5"/>
  <c r="J240" i="5"/>
  <c r="J242" i="5"/>
  <c r="J248" i="5"/>
  <c r="J249" i="5"/>
  <c r="J250" i="5"/>
  <c r="J251" i="5"/>
  <c r="J252" i="5"/>
  <c r="J253" i="5"/>
  <c r="J254" i="5"/>
  <c r="J255" i="5"/>
  <c r="J256" i="5"/>
  <c r="J257" i="5"/>
  <c r="J258" i="5"/>
  <c r="J260" i="5"/>
  <c r="J261" i="5"/>
  <c r="J262" i="5"/>
  <c r="J263" i="5"/>
  <c r="J266" i="5"/>
  <c r="J267" i="5"/>
  <c r="J268" i="5"/>
  <c r="J269" i="5"/>
  <c r="J270" i="5"/>
  <c r="J271" i="5"/>
  <c r="J272" i="5"/>
  <c r="J273" i="5"/>
  <c r="J277" i="5"/>
  <c r="J278" i="5"/>
  <c r="J280" i="5"/>
  <c r="J281" i="5"/>
  <c r="J282" i="5"/>
  <c r="J283" i="5"/>
  <c r="J284" i="5"/>
  <c r="J285" i="5"/>
  <c r="J286" i="5"/>
  <c r="J287" i="5"/>
  <c r="J288" i="5"/>
  <c r="J289" i="5"/>
  <c r="J291" i="5"/>
  <c r="J292" i="5"/>
  <c r="J293" i="5"/>
  <c r="J294" i="5"/>
  <c r="J295" i="5"/>
  <c r="J296" i="5"/>
  <c r="J299" i="5"/>
  <c r="J301" i="5"/>
  <c r="J303" i="5"/>
  <c r="J304" i="5"/>
  <c r="J306" i="5"/>
  <c r="J307" i="5"/>
  <c r="J311" i="5"/>
  <c r="J315" i="5"/>
  <c r="J316" i="5"/>
  <c r="J317" i="5"/>
  <c r="J318" i="5"/>
  <c r="J319" i="5"/>
  <c r="J320" i="5"/>
  <c r="J321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1" i="5"/>
  <c r="J342" i="5"/>
  <c r="J343" i="5"/>
  <c r="J344" i="5"/>
  <c r="J345" i="5"/>
  <c r="J352" i="5"/>
  <c r="J353" i="5"/>
  <c r="J356" i="5"/>
  <c r="J360" i="5"/>
  <c r="J364" i="5"/>
  <c r="J365" i="5"/>
  <c r="J368" i="5"/>
  <c r="J370" i="5"/>
  <c r="J371" i="5"/>
  <c r="J378" i="5"/>
  <c r="J379" i="5"/>
  <c r="J380" i="5"/>
  <c r="J384" i="5"/>
  <c r="J385" i="5"/>
  <c r="J387" i="5"/>
  <c r="J388" i="5"/>
  <c r="J389" i="5"/>
  <c r="J390" i="5"/>
  <c r="J391" i="5"/>
  <c r="J395" i="5"/>
  <c r="J396" i="5"/>
  <c r="J397" i="5"/>
  <c r="J399" i="5"/>
  <c r="J400" i="5"/>
  <c r="J401" i="5"/>
  <c r="J402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7" i="5"/>
  <c r="J428" i="5"/>
  <c r="J429" i="5"/>
  <c r="J430" i="5"/>
  <c r="J432" i="5"/>
  <c r="J433" i="5"/>
  <c r="J434" i="5"/>
  <c r="J436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2" i="5"/>
  <c r="J453" i="5"/>
  <c r="J454" i="5"/>
  <c r="J455" i="5"/>
  <c r="J457" i="5"/>
  <c r="J459" i="5"/>
  <c r="J460" i="5"/>
  <c r="J462" i="5"/>
  <c r="J464" i="5"/>
  <c r="J465" i="5"/>
  <c r="J466" i="5"/>
  <c r="J467" i="5"/>
  <c r="J470" i="5"/>
  <c r="J471" i="5"/>
  <c r="J472" i="5"/>
  <c r="J473" i="5"/>
  <c r="J474" i="5"/>
  <c r="J475" i="5"/>
  <c r="J476" i="5"/>
  <c r="J477" i="5"/>
  <c r="J478" i="5"/>
  <c r="J480" i="5"/>
  <c r="J482" i="5"/>
  <c r="J483" i="5"/>
  <c r="J484" i="5"/>
  <c r="J485" i="5"/>
  <c r="J486" i="5"/>
  <c r="I481" i="5"/>
  <c r="J479" i="5"/>
  <c r="I469" i="5"/>
  <c r="I468" i="5"/>
  <c r="J468" i="5" s="1"/>
  <c r="I463" i="5"/>
  <c r="J463" i="5" s="1"/>
  <c r="I461" i="5"/>
  <c r="J461" i="5" s="1"/>
  <c r="I458" i="5"/>
  <c r="J458" i="5" s="1"/>
  <c r="I456" i="5"/>
  <c r="J456" i="5" s="1"/>
  <c r="I451" i="5"/>
  <c r="J451" i="5" s="1"/>
  <c r="I437" i="5"/>
  <c r="J437" i="5" s="1"/>
  <c r="I435" i="5"/>
  <c r="J435" i="5" s="1"/>
  <c r="I431" i="5"/>
  <c r="J431" i="5" s="1"/>
  <c r="I426" i="5"/>
  <c r="J426" i="5" s="1"/>
  <c r="I425" i="5"/>
  <c r="J425" i="5" s="1"/>
  <c r="I403" i="5"/>
  <c r="J403" i="5" s="1"/>
  <c r="I398" i="5"/>
  <c r="J398" i="5" s="1"/>
  <c r="I394" i="5"/>
  <c r="J394" i="5" s="1"/>
  <c r="I393" i="5"/>
  <c r="J393" i="5" s="1"/>
  <c r="I392" i="5"/>
  <c r="J392" i="5" s="1"/>
  <c r="I386" i="5"/>
  <c r="J386" i="5" s="1"/>
  <c r="I383" i="5"/>
  <c r="J383" i="5" s="1"/>
  <c r="I382" i="5"/>
  <c r="J382" i="5" s="1"/>
  <c r="I377" i="5"/>
  <c r="J377" i="5" s="1"/>
  <c r="I376" i="5"/>
  <c r="J376" i="5" s="1"/>
  <c r="I374" i="5"/>
  <c r="J374" i="5" s="1"/>
  <c r="I373" i="5"/>
  <c r="J373" i="5" s="1"/>
  <c r="I372" i="5"/>
  <c r="J372" i="5" s="1"/>
  <c r="I369" i="5"/>
  <c r="J369" i="5" s="1"/>
  <c r="I367" i="5"/>
  <c r="J367" i="5" s="1"/>
  <c r="I366" i="5"/>
  <c r="J366" i="5" s="1"/>
  <c r="I363" i="5"/>
  <c r="J363" i="5" s="1"/>
  <c r="I362" i="5"/>
  <c r="J362" i="5" s="1"/>
  <c r="I361" i="5"/>
  <c r="J361" i="5" s="1"/>
  <c r="I359" i="5"/>
  <c r="J359" i="5" s="1"/>
  <c r="I358" i="5"/>
  <c r="J358" i="5" s="1"/>
  <c r="I357" i="5"/>
  <c r="J357" i="5" s="1"/>
  <c r="I355" i="5"/>
  <c r="J355" i="5" s="1"/>
  <c r="I354" i="5"/>
  <c r="J354" i="5" s="1"/>
  <c r="I351" i="5"/>
  <c r="J351" i="5" s="1"/>
  <c r="I349" i="5"/>
  <c r="I348" i="5"/>
  <c r="J348" i="5" s="1"/>
  <c r="I347" i="5"/>
  <c r="J347" i="5" s="1"/>
  <c r="I346" i="5"/>
  <c r="I340" i="5"/>
  <c r="J340" i="5" s="1"/>
  <c r="I322" i="5"/>
  <c r="I314" i="5"/>
  <c r="J314" i="5" s="1"/>
  <c r="I313" i="5"/>
  <c r="J313" i="5" s="1"/>
  <c r="I312" i="5"/>
  <c r="J312" i="5" s="1"/>
  <c r="I310" i="5"/>
  <c r="I309" i="5"/>
  <c r="J309" i="5" s="1"/>
  <c r="I308" i="5"/>
  <c r="J308" i="5" s="1"/>
  <c r="I305" i="5"/>
  <c r="J305" i="5" s="1"/>
  <c r="J302" i="5"/>
  <c r="J300" i="5"/>
  <c r="J298" i="5"/>
  <c r="J297" i="5"/>
  <c r="I290" i="5"/>
  <c r="J290" i="5" s="1"/>
  <c r="I279" i="5"/>
  <c r="J279" i="5" s="1"/>
  <c r="I276" i="5"/>
  <c r="J276" i="5" s="1"/>
  <c r="I275" i="5"/>
  <c r="J275" i="5" s="1"/>
  <c r="I274" i="5"/>
  <c r="J274" i="5" s="1"/>
  <c r="I265" i="5"/>
  <c r="I264" i="5"/>
  <c r="J264" i="5" s="1"/>
  <c r="I259" i="5"/>
  <c r="J259" i="5" s="1"/>
  <c r="I247" i="5"/>
  <c r="J247" i="5" s="1"/>
  <c r="I246" i="5"/>
  <c r="J246" i="5" s="1"/>
  <c r="I245" i="5"/>
  <c r="J245" i="5" s="1"/>
  <c r="I244" i="5"/>
  <c r="J244" i="5" s="1"/>
  <c r="I243" i="5"/>
  <c r="J243" i="5" s="1"/>
  <c r="I241" i="5"/>
  <c r="J241" i="5" s="1"/>
  <c r="I231" i="5"/>
  <c r="J231" i="5" s="1"/>
  <c r="I230" i="5"/>
  <c r="J230" i="5" s="1"/>
  <c r="I224" i="5"/>
  <c r="J224" i="5" s="1"/>
  <c r="I223" i="5"/>
  <c r="J223" i="5" s="1"/>
  <c r="I221" i="5"/>
  <c r="J221" i="5" s="1"/>
  <c r="I201" i="5"/>
  <c r="J201" i="5" s="1"/>
  <c r="I199" i="5"/>
  <c r="J199" i="5" s="1"/>
  <c r="I198" i="5"/>
  <c r="J198" i="5" s="1"/>
  <c r="I197" i="5"/>
  <c r="J197" i="5" s="1"/>
  <c r="I196" i="5"/>
  <c r="J196" i="5" s="1"/>
  <c r="I195" i="5"/>
  <c r="J195" i="5" s="1"/>
  <c r="I185" i="5"/>
  <c r="J185" i="5" s="1"/>
  <c r="I178" i="5"/>
  <c r="J178" i="5" s="1"/>
  <c r="I176" i="5"/>
  <c r="J176" i="5" s="1"/>
  <c r="I174" i="5"/>
  <c r="J174" i="5" s="1"/>
  <c r="I131" i="5"/>
  <c r="J131" i="5" s="1"/>
  <c r="I111" i="5"/>
  <c r="J111" i="5" s="1"/>
  <c r="I110" i="5"/>
  <c r="J110" i="5" s="1"/>
  <c r="I109" i="5"/>
  <c r="I108" i="5"/>
  <c r="J108" i="5" s="1"/>
  <c r="I107" i="5"/>
  <c r="J107" i="5" s="1"/>
  <c r="I102" i="5"/>
  <c r="J102" i="5" s="1"/>
  <c r="I96" i="5"/>
  <c r="J96" i="5" s="1"/>
  <c r="I94" i="5"/>
  <c r="J94" i="5" s="1"/>
  <c r="I93" i="5"/>
  <c r="J93" i="5" s="1"/>
  <c r="J89" i="5"/>
  <c r="J74" i="5"/>
  <c r="J71" i="5"/>
  <c r="I63" i="5"/>
  <c r="J63" i="5" s="1"/>
  <c r="I62" i="5"/>
  <c r="J62" i="5" s="1"/>
  <c r="I61" i="5"/>
  <c r="J61" i="5" s="1"/>
  <c r="I50" i="5"/>
  <c r="J50" i="5" s="1"/>
  <c r="I48" i="5"/>
  <c r="J48" i="5" s="1"/>
  <c r="I46" i="5"/>
  <c r="J46" i="5" s="1"/>
  <c r="I45" i="5"/>
  <c r="J45" i="5" s="1"/>
  <c r="I43" i="5"/>
  <c r="J43" i="5" s="1"/>
  <c r="I40" i="5"/>
  <c r="J40" i="5" s="1"/>
  <c r="I30" i="5"/>
  <c r="J30" i="5" s="1"/>
  <c r="I29" i="5"/>
  <c r="J29" i="5" s="1"/>
  <c r="I28" i="5"/>
  <c r="J28" i="5" s="1"/>
  <c r="I27" i="5"/>
  <c r="J27" i="5" s="1"/>
  <c r="I26" i="5"/>
  <c r="J26" i="5" s="1"/>
  <c r="I22" i="5"/>
  <c r="J22" i="5" s="1"/>
  <c r="I21" i="5"/>
  <c r="J21" i="5" s="1"/>
  <c r="I20" i="5"/>
  <c r="J20" i="5" s="1"/>
  <c r="I18" i="5"/>
  <c r="J18" i="5" s="1"/>
  <c r="I15" i="5"/>
  <c r="J15" i="5" s="1"/>
  <c r="I14" i="5"/>
  <c r="J14" i="5" s="1"/>
  <c r="I12" i="5"/>
  <c r="J12" i="5" s="1"/>
  <c r="I11" i="5"/>
  <c r="J11" i="5" s="1"/>
  <c r="I10" i="5"/>
  <c r="J10" i="5" s="1"/>
  <c r="I7" i="5"/>
  <c r="J7" i="5" s="1"/>
  <c r="I6" i="5"/>
  <c r="J6" i="5" s="1"/>
  <c r="I5" i="5"/>
  <c r="J5" i="5" s="1"/>
  <c r="I2" i="5"/>
  <c r="J2" i="5" s="1"/>
  <c r="J109" i="5" l="1"/>
  <c r="J346" i="5"/>
  <c r="J481" i="5"/>
  <c r="J349" i="5"/>
  <c r="J322" i="5"/>
  <c r="J469" i="5"/>
  <c r="J265" i="5"/>
  <c r="J310" i="5"/>
  <c r="K481" i="5" l="1"/>
  <c r="K479" i="5"/>
  <c r="K469" i="5"/>
  <c r="K468" i="5"/>
  <c r="K463" i="5"/>
  <c r="K461" i="5"/>
  <c r="K458" i="5"/>
  <c r="K456" i="5"/>
  <c r="K451" i="5"/>
  <c r="K439" i="5"/>
  <c r="K437" i="5"/>
  <c r="K436" i="5"/>
  <c r="K435" i="5"/>
  <c r="K431" i="5"/>
  <c r="K426" i="5"/>
  <c r="K425" i="5"/>
  <c r="K403" i="5"/>
  <c r="K398" i="5"/>
  <c r="K394" i="5"/>
  <c r="K393" i="5"/>
  <c r="K392" i="5"/>
  <c r="K386" i="5"/>
  <c r="K383" i="5"/>
  <c r="K382" i="5"/>
  <c r="K376" i="5"/>
  <c r="K374" i="5"/>
  <c r="K373" i="5"/>
  <c r="K372" i="5"/>
  <c r="K363" i="5"/>
  <c r="K362" i="5"/>
  <c r="K361" i="5"/>
  <c r="K359" i="5"/>
  <c r="K358" i="5"/>
  <c r="K357" i="5"/>
  <c r="K355" i="5"/>
  <c r="K349" i="5"/>
  <c r="K348" i="5"/>
  <c r="K337" i="5"/>
  <c r="K336" i="5"/>
  <c r="K322" i="5"/>
  <c r="K319" i="5"/>
  <c r="K317" i="5"/>
  <c r="K315" i="5"/>
  <c r="K314" i="5"/>
  <c r="K313" i="5"/>
  <c r="K312" i="5"/>
  <c r="K310" i="5"/>
  <c r="K309" i="5"/>
  <c r="K308" i="5"/>
  <c r="K307" i="5"/>
  <c r="K305" i="5"/>
  <c r="K302" i="5"/>
  <c r="K300" i="5"/>
  <c r="K298" i="5"/>
  <c r="K297" i="5"/>
  <c r="K290" i="5"/>
  <c r="K281" i="5"/>
  <c r="K278" i="5"/>
  <c r="K276" i="5"/>
  <c r="K275" i="5"/>
  <c r="K274" i="5"/>
  <c r="K273" i="5"/>
  <c r="K265" i="5"/>
  <c r="K264" i="5"/>
  <c r="K259" i="5"/>
  <c r="K258" i="5"/>
  <c r="K247" i="5"/>
  <c r="K246" i="5"/>
  <c r="K245" i="5"/>
  <c r="K244" i="5"/>
  <c r="K243" i="5"/>
  <c r="K241" i="5"/>
  <c r="K231" i="5"/>
  <c r="K230" i="5"/>
  <c r="K225" i="5"/>
  <c r="K224" i="5"/>
  <c r="K223" i="5"/>
  <c r="K221" i="5"/>
  <c r="K212" i="5"/>
  <c r="K201" i="5"/>
  <c r="K199" i="5"/>
  <c r="K198" i="5"/>
  <c r="K197" i="5"/>
  <c r="K196" i="5"/>
  <c r="K195" i="5"/>
  <c r="K185" i="5"/>
  <c r="K183" i="5"/>
  <c r="K178" i="5"/>
  <c r="K176" i="5"/>
  <c r="K174" i="5"/>
  <c r="K172" i="5"/>
  <c r="K169" i="5"/>
  <c r="K166" i="5"/>
  <c r="K162" i="5"/>
  <c r="K132" i="5"/>
  <c r="K131" i="5"/>
  <c r="K127" i="5"/>
  <c r="K126" i="5"/>
  <c r="K124" i="5"/>
  <c r="K111" i="5"/>
  <c r="K110" i="5"/>
  <c r="K109" i="5"/>
  <c r="K108" i="5"/>
  <c r="K107" i="5"/>
  <c r="K102" i="5"/>
  <c r="K96" i="5"/>
  <c r="K94" i="5"/>
  <c r="K93" i="5"/>
  <c r="K89" i="5"/>
  <c r="K74" i="5"/>
  <c r="K71" i="5"/>
  <c r="K68" i="5"/>
  <c r="K64" i="5"/>
  <c r="K63" i="5"/>
  <c r="K62" i="5"/>
  <c r="K61" i="5"/>
  <c r="K56" i="5"/>
  <c r="K55" i="5"/>
  <c r="K50" i="5"/>
  <c r="K48" i="5"/>
  <c r="K46" i="5"/>
  <c r="K45" i="5"/>
  <c r="K43" i="5"/>
  <c r="K42" i="5"/>
  <c r="K40" i="5"/>
  <c r="K30" i="5"/>
  <c r="K29" i="5"/>
  <c r="K28" i="5"/>
  <c r="K27" i="5"/>
  <c r="K26" i="5"/>
  <c r="K22" i="5"/>
  <c r="K21" i="5"/>
  <c r="K20" i="5"/>
  <c r="K18" i="5"/>
  <c r="K15" i="5"/>
  <c r="K14" i="5"/>
  <c r="K12" i="5"/>
  <c r="K11" i="5"/>
  <c r="K10" i="5"/>
  <c r="K7" i="5"/>
  <c r="K6" i="5"/>
  <c r="K5" i="5"/>
  <c r="K486" i="5"/>
  <c r="K485" i="5"/>
  <c r="K484" i="5"/>
  <c r="K483" i="5"/>
  <c r="K478" i="5"/>
  <c r="K476" i="5"/>
  <c r="K474" i="5"/>
  <c r="K473" i="5"/>
  <c r="K472" i="5"/>
  <c r="K471" i="5"/>
  <c r="K467" i="5"/>
  <c r="K466" i="5"/>
  <c r="K465" i="5"/>
  <c r="K464" i="5"/>
  <c r="K462" i="5"/>
  <c r="K455" i="5"/>
  <c r="K454" i="5"/>
  <c r="K453" i="5"/>
  <c r="K452" i="5"/>
  <c r="K450" i="5"/>
  <c r="K449" i="5"/>
  <c r="K448" i="5"/>
  <c r="K447" i="5"/>
  <c r="K446" i="5"/>
  <c r="K442" i="5"/>
  <c r="K440" i="5"/>
  <c r="K438" i="5"/>
  <c r="K434" i="5"/>
  <c r="K433" i="5"/>
  <c r="K430" i="5"/>
  <c r="K429" i="5"/>
  <c r="K428" i="5"/>
  <c r="K427" i="5"/>
  <c r="K420" i="5"/>
  <c r="K413" i="5"/>
  <c r="K407" i="5"/>
  <c r="K406" i="5"/>
  <c r="K405" i="5"/>
  <c r="K404" i="5"/>
  <c r="K401" i="5"/>
  <c r="K397" i="5"/>
  <c r="K396" i="5"/>
  <c r="K387" i="5"/>
  <c r="K381" i="5"/>
  <c r="K378" i="5"/>
  <c r="K377" i="5"/>
  <c r="K375" i="5"/>
  <c r="K369" i="5"/>
  <c r="K368" i="5"/>
  <c r="K366" i="5"/>
  <c r="K354" i="5"/>
  <c r="K350" i="5"/>
  <c r="K340" i="5"/>
  <c r="K338" i="5"/>
  <c r="K335" i="5"/>
  <c r="K334" i="5"/>
  <c r="K333" i="5"/>
  <c r="K332" i="5"/>
  <c r="K331" i="5"/>
  <c r="K330" i="5"/>
  <c r="K329" i="5"/>
  <c r="K328" i="5"/>
  <c r="K326" i="5"/>
  <c r="K325" i="5"/>
  <c r="K324" i="5"/>
  <c r="K323" i="5"/>
  <c r="K321" i="5"/>
  <c r="K311" i="5"/>
  <c r="K306" i="5"/>
  <c r="K289" i="5"/>
  <c r="K280" i="5"/>
  <c r="K279" i="5"/>
  <c r="K261" i="5"/>
  <c r="K260" i="5"/>
  <c r="K257" i="5"/>
  <c r="K240" i="5"/>
  <c r="K238" i="5"/>
  <c r="K237" i="5"/>
  <c r="K229" i="5"/>
  <c r="K227" i="5"/>
  <c r="K226" i="5"/>
  <c r="K222" i="5"/>
  <c r="K220" i="5"/>
  <c r="K219" i="5"/>
  <c r="K218" i="5"/>
  <c r="K217" i="5"/>
  <c r="K216" i="5"/>
  <c r="K211" i="5"/>
  <c r="K210" i="5"/>
  <c r="K209" i="5"/>
  <c r="K208" i="5"/>
  <c r="K205" i="5"/>
  <c r="K204" i="5"/>
  <c r="K202" i="5"/>
  <c r="K200" i="5"/>
  <c r="K190" i="5"/>
  <c r="K186" i="5"/>
  <c r="K184" i="5"/>
  <c r="K181" i="5"/>
  <c r="K180" i="5"/>
  <c r="K177" i="5"/>
  <c r="K175" i="5"/>
  <c r="K173" i="5"/>
  <c r="K171" i="5"/>
  <c r="K170" i="5"/>
  <c r="K168" i="5"/>
  <c r="K167" i="5"/>
  <c r="K165" i="5"/>
  <c r="K164" i="5"/>
  <c r="K163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5" i="5"/>
  <c r="K144" i="5"/>
  <c r="K143" i="5"/>
  <c r="K142" i="5"/>
  <c r="K141" i="5"/>
  <c r="K138" i="5"/>
  <c r="K137" i="5"/>
  <c r="K136" i="5"/>
  <c r="K135" i="5"/>
  <c r="K134" i="5"/>
  <c r="K133" i="5"/>
  <c r="K130" i="5"/>
  <c r="K128" i="5"/>
  <c r="K125" i="5"/>
  <c r="K122" i="5"/>
  <c r="K121" i="5"/>
  <c r="K120" i="5"/>
  <c r="K119" i="5"/>
  <c r="K117" i="5"/>
  <c r="K116" i="5"/>
  <c r="K101" i="5"/>
  <c r="K88" i="5"/>
  <c r="K85" i="5"/>
  <c r="K84" i="5"/>
  <c r="K82" i="5"/>
  <c r="K81" i="5"/>
  <c r="K80" i="5"/>
  <c r="K79" i="5"/>
  <c r="K77" i="5"/>
  <c r="K75" i="5"/>
  <c r="K67" i="5"/>
  <c r="K66" i="5"/>
  <c r="K60" i="5"/>
  <c r="K59" i="5"/>
  <c r="K58" i="5"/>
  <c r="K52" i="5"/>
  <c r="K51" i="5"/>
  <c r="K49" i="5"/>
  <c r="K47" i="5"/>
  <c r="K44" i="5"/>
  <c r="K39" i="5"/>
  <c r="K32" i="5"/>
  <c r="K31" i="5"/>
  <c r="K25" i="5"/>
  <c r="K24" i="5"/>
  <c r="K23" i="5"/>
  <c r="K19" i="5"/>
  <c r="K2" i="5"/>
  <c r="J200" i="5"/>
  <c r="J232" i="5"/>
  <c r="C486" i="5"/>
  <c r="C485" i="5"/>
  <c r="C484" i="5"/>
  <c r="C483" i="5"/>
  <c r="C481" i="5"/>
  <c r="C479" i="5"/>
  <c r="C478" i="5"/>
  <c r="C476" i="5"/>
  <c r="C474" i="5"/>
  <c r="C473" i="5"/>
  <c r="C472" i="5"/>
  <c r="C471" i="5"/>
  <c r="C469" i="5"/>
  <c r="C468" i="5"/>
  <c r="C467" i="5"/>
  <c r="C466" i="5"/>
  <c r="C465" i="5"/>
  <c r="C464" i="5"/>
  <c r="C463" i="5"/>
  <c r="C462" i="5"/>
  <c r="C461" i="5"/>
  <c r="C458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2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5" i="5"/>
  <c r="C420" i="5"/>
  <c r="C413" i="5"/>
  <c r="C407" i="5"/>
  <c r="C406" i="5"/>
  <c r="C405" i="5"/>
  <c r="C404" i="5"/>
  <c r="C403" i="5"/>
  <c r="C401" i="5"/>
  <c r="C398" i="5"/>
  <c r="C397" i="5"/>
  <c r="C396" i="5"/>
  <c r="C394" i="5"/>
  <c r="C393" i="5"/>
  <c r="C392" i="5"/>
  <c r="C387" i="5"/>
  <c r="C386" i="5"/>
  <c r="C383" i="5"/>
  <c r="C382" i="5"/>
  <c r="C381" i="5"/>
  <c r="C378" i="5"/>
  <c r="C377" i="5"/>
  <c r="C376" i="5"/>
  <c r="C375" i="5"/>
  <c r="C374" i="5"/>
  <c r="C373" i="5"/>
  <c r="C372" i="5"/>
  <c r="C369" i="5"/>
  <c r="C368" i="5"/>
  <c r="C367" i="5"/>
  <c r="C366" i="5"/>
  <c r="C363" i="5"/>
  <c r="C362" i="5"/>
  <c r="C361" i="5"/>
  <c r="C359" i="5"/>
  <c r="C358" i="5"/>
  <c r="C357" i="5"/>
  <c r="C355" i="5"/>
  <c r="C354" i="5"/>
  <c r="C351" i="5"/>
  <c r="C350" i="5"/>
  <c r="C349" i="5"/>
  <c r="C348" i="5"/>
  <c r="C347" i="5"/>
  <c r="C346" i="5"/>
  <c r="C340" i="5"/>
  <c r="C338" i="5"/>
  <c r="C337" i="5"/>
  <c r="C336" i="5"/>
  <c r="C335" i="5"/>
  <c r="C334" i="5"/>
  <c r="C333" i="5"/>
  <c r="C332" i="5"/>
  <c r="C331" i="5"/>
  <c r="C330" i="5"/>
  <c r="C329" i="5"/>
  <c r="C328" i="5"/>
  <c r="C326" i="5"/>
  <c r="C325" i="5"/>
  <c r="C324" i="5"/>
  <c r="C323" i="5"/>
  <c r="C322" i="5"/>
  <c r="C321" i="5"/>
  <c r="C319" i="5"/>
  <c r="C317" i="5"/>
  <c r="C315" i="5"/>
  <c r="C314" i="5"/>
  <c r="C313" i="5"/>
  <c r="C312" i="5"/>
  <c r="C311" i="5"/>
  <c r="C310" i="5"/>
  <c r="C309" i="5"/>
  <c r="C308" i="5"/>
  <c r="C307" i="5"/>
  <c r="C306" i="5"/>
  <c r="C305" i="5"/>
  <c r="C302" i="5"/>
  <c r="C300" i="5"/>
  <c r="C298" i="5"/>
  <c r="C297" i="5"/>
  <c r="C290" i="5"/>
  <c r="C289" i="5"/>
  <c r="C281" i="5"/>
  <c r="C280" i="5"/>
  <c r="C279" i="5"/>
  <c r="C278" i="5"/>
  <c r="C276" i="5"/>
  <c r="C275" i="5"/>
  <c r="C274" i="5"/>
  <c r="C273" i="5"/>
  <c r="C265" i="5"/>
  <c r="C264" i="5"/>
  <c r="C261" i="5"/>
  <c r="C260" i="5"/>
  <c r="C259" i="5"/>
  <c r="C258" i="5"/>
  <c r="C257" i="5"/>
  <c r="C247" i="5"/>
  <c r="C246" i="5"/>
  <c r="C245" i="5"/>
  <c r="C244" i="5"/>
  <c r="C243" i="5"/>
  <c r="C241" i="5"/>
  <c r="C240" i="5"/>
  <c r="C238" i="5"/>
  <c r="C237" i="5"/>
  <c r="C232" i="5"/>
  <c r="C231" i="5"/>
  <c r="C230" i="5"/>
  <c r="C229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4" i="5"/>
  <c r="C212" i="5"/>
  <c r="C211" i="5"/>
  <c r="C210" i="5"/>
  <c r="C209" i="5"/>
  <c r="C208" i="5"/>
  <c r="C205" i="5"/>
  <c r="C204" i="5"/>
  <c r="C203" i="5"/>
  <c r="C202" i="5"/>
  <c r="C201" i="5"/>
  <c r="C200" i="5"/>
  <c r="C199" i="5"/>
  <c r="C198" i="5"/>
  <c r="C197" i="5"/>
  <c r="C196" i="5"/>
  <c r="C195" i="5"/>
  <c r="C186" i="5"/>
  <c r="C185" i="5"/>
  <c r="C184" i="5"/>
  <c r="C183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5" i="5"/>
  <c r="C144" i="5"/>
  <c r="C143" i="5"/>
  <c r="C142" i="5"/>
  <c r="C141" i="5"/>
  <c r="C138" i="5"/>
  <c r="C137" i="5"/>
  <c r="C136" i="5"/>
  <c r="C135" i="5"/>
  <c r="C134" i="5"/>
  <c r="C133" i="5"/>
  <c r="C132" i="5"/>
  <c r="C131" i="5"/>
  <c r="C130" i="5"/>
  <c r="C128" i="5"/>
  <c r="C127" i="5"/>
  <c r="C126" i="5"/>
  <c r="C125" i="5"/>
  <c r="C124" i="5"/>
  <c r="C123" i="5"/>
  <c r="C122" i="5"/>
  <c r="C121" i="5"/>
  <c r="C120" i="5"/>
  <c r="C119" i="5"/>
  <c r="C117" i="5"/>
  <c r="C116" i="5"/>
  <c r="C111" i="5"/>
  <c r="C110" i="5"/>
  <c r="C109" i="5"/>
  <c r="C108" i="5"/>
  <c r="C102" i="5"/>
  <c r="C101" i="5"/>
  <c r="C96" i="5"/>
  <c r="C95" i="5"/>
  <c r="C94" i="5"/>
  <c r="C93" i="5"/>
  <c r="C84" i="5"/>
  <c r="C82" i="5"/>
  <c r="C81" i="5"/>
  <c r="C80" i="5"/>
  <c r="C79" i="5"/>
  <c r="C77" i="5"/>
  <c r="C75" i="5"/>
  <c r="C74" i="5"/>
  <c r="C71" i="5"/>
  <c r="C68" i="5"/>
  <c r="C67" i="5"/>
  <c r="C66" i="5"/>
  <c r="C64" i="5"/>
  <c r="C63" i="5"/>
  <c r="C62" i="5"/>
  <c r="C61" i="5"/>
  <c r="C60" i="5"/>
  <c r="C59" i="5"/>
  <c r="C58" i="5"/>
  <c r="C56" i="5"/>
  <c r="C55" i="5"/>
  <c r="C52" i="5"/>
  <c r="C51" i="5"/>
  <c r="C50" i="5"/>
  <c r="C49" i="5"/>
  <c r="C48" i="5"/>
  <c r="C47" i="5"/>
  <c r="C46" i="5"/>
  <c r="C45" i="5"/>
  <c r="C44" i="5"/>
  <c r="C43" i="5"/>
  <c r="C42" i="5"/>
  <c r="C40" i="5"/>
  <c r="C39" i="5"/>
  <c r="C32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5" i="5"/>
  <c r="C14" i="5"/>
  <c r="C12" i="5"/>
  <c r="C11" i="5"/>
  <c r="C10" i="5"/>
  <c r="C7" i="5"/>
  <c r="C6" i="5"/>
  <c r="C5" i="5"/>
  <c r="C2" i="5"/>
  <c r="E482" i="4"/>
  <c r="F482" i="4" s="1"/>
  <c r="E480" i="4"/>
  <c r="F480" i="4" s="1"/>
  <c r="E382" i="4"/>
  <c r="F382" i="4" s="1"/>
  <c r="E379" i="4"/>
  <c r="F379" i="4" s="1"/>
  <c r="E378" i="4"/>
  <c r="F378" i="4" s="1"/>
  <c r="E376" i="4"/>
  <c r="F376" i="4" s="1"/>
  <c r="E370" i="4"/>
  <c r="F370" i="4" s="1"/>
  <c r="E369" i="4"/>
  <c r="F369" i="4" s="1"/>
  <c r="E368" i="4"/>
  <c r="F368" i="4" s="1"/>
  <c r="E367" i="4"/>
  <c r="F367" i="4" s="1"/>
  <c r="E355" i="4"/>
  <c r="F355" i="4" s="1"/>
  <c r="E352" i="4"/>
  <c r="F352" i="4" s="1"/>
  <c r="E351" i="4"/>
  <c r="F351" i="4" s="1"/>
  <c r="E348" i="4"/>
  <c r="F348" i="4" s="1"/>
  <c r="E347" i="4"/>
  <c r="F347" i="4" s="1"/>
  <c r="E341" i="4"/>
  <c r="F341" i="4" s="1"/>
  <c r="E306" i="4"/>
  <c r="F306" i="4" s="1"/>
  <c r="E266" i="4"/>
  <c r="F266" i="4" s="1"/>
  <c r="E265" i="4"/>
  <c r="F265" i="4" s="1"/>
  <c r="E248" i="4"/>
  <c r="F248" i="4" s="1"/>
  <c r="E247" i="4"/>
  <c r="F247" i="4" s="1"/>
  <c r="E246" i="4"/>
  <c r="F246" i="4" s="1"/>
  <c r="E244" i="4"/>
  <c r="F244" i="4" s="1"/>
  <c r="E233" i="4"/>
  <c r="F233" i="4" s="1"/>
  <c r="E232" i="4"/>
  <c r="F232" i="4" s="1"/>
  <c r="E224" i="4"/>
  <c r="F224" i="4" s="1"/>
  <c r="E213" i="4"/>
  <c r="F213" i="4" s="1"/>
  <c r="E202" i="4"/>
  <c r="F202" i="4" s="1"/>
  <c r="E201" i="4"/>
  <c r="F201" i="4" s="1"/>
  <c r="E197" i="4"/>
  <c r="F197" i="4" s="1"/>
  <c r="E196" i="4"/>
  <c r="F196" i="4" s="1"/>
  <c r="E179" i="4"/>
  <c r="F179" i="4" s="1"/>
  <c r="E173" i="4"/>
  <c r="F173" i="4" s="1"/>
  <c r="E132" i="4"/>
  <c r="F132" i="4" s="1"/>
  <c r="E128" i="4"/>
  <c r="F128" i="4" s="1"/>
  <c r="E127" i="4"/>
  <c r="F127" i="4" s="1"/>
  <c r="E125" i="4"/>
  <c r="F125" i="4" s="1"/>
  <c r="E103" i="4"/>
  <c r="F103" i="4" s="1"/>
  <c r="E97" i="4"/>
  <c r="F97" i="4" s="1"/>
  <c r="E72" i="4"/>
  <c r="F72" i="4" s="1"/>
  <c r="E31" i="4"/>
  <c r="F31" i="4" s="1"/>
  <c r="E30" i="4"/>
  <c r="F30" i="4" s="1"/>
  <c r="E27" i="4"/>
  <c r="F27" i="4" s="1"/>
  <c r="E16" i="4"/>
  <c r="F16" i="4" s="1"/>
  <c r="E13" i="4"/>
  <c r="F13" i="4" s="1"/>
  <c r="E12" i="4"/>
  <c r="F12" i="4" s="1"/>
  <c r="E11" i="4"/>
  <c r="F11" i="4" s="1"/>
  <c r="E7" i="4"/>
  <c r="F7" i="4" s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3" i="4"/>
  <c r="Q40" i="5"/>
  <c r="R40" i="5" s="1"/>
  <c r="J350" i="5" l="1"/>
  <c r="J375" i="5"/>
  <c r="J381" i="5"/>
</calcChain>
</file>

<file path=xl/sharedStrings.xml><?xml version="1.0" encoding="utf-8"?>
<sst xmlns="http://schemas.openxmlformats.org/spreadsheetml/2006/main" count="3040" uniqueCount="1049">
  <si>
    <t>BIFE ANGOSTO CHOICE 2U X 300GR</t>
  </si>
  <si>
    <t>CodigoInternoAux</t>
  </si>
  <si>
    <t>Descripcion</t>
  </si>
  <si>
    <t>CantidadVendida</t>
  </si>
  <si>
    <t>Ranking</t>
  </si>
  <si>
    <t>PromedioDiario</t>
  </si>
  <si>
    <t>PromedioMensual</t>
  </si>
  <si>
    <t>%Participacion</t>
  </si>
  <si>
    <t>%Acum</t>
  </si>
  <si>
    <t>ABC</t>
  </si>
  <si>
    <t>403859</t>
  </si>
  <si>
    <t>A</t>
  </si>
  <si>
    <t>CHAR07</t>
  </si>
  <si>
    <t xml:space="preserve">CH. FINAS HIERBAS </t>
  </si>
  <si>
    <t>CHAR10</t>
  </si>
  <si>
    <t>CH.ARTESANAL PARRILLERO</t>
  </si>
  <si>
    <t>102025</t>
  </si>
  <si>
    <t>BENEDIKTINER FESTBIER LATA 500 ML</t>
  </si>
  <si>
    <t>ENT104</t>
  </si>
  <si>
    <t>ENTRAÑA FINA ANGUS 0.75KG - 1KG</t>
  </si>
  <si>
    <t>CHAR04</t>
  </si>
  <si>
    <t>CHIMICHURRI CLASICO</t>
  </si>
  <si>
    <t>EMGR016</t>
  </si>
  <si>
    <t>CHORIZO MERME-ROCOTO 140G OSSO</t>
  </si>
  <si>
    <t>IMP00057</t>
  </si>
  <si>
    <t>TOMAHAWH STERLING 1.3 - 1.5 KG</t>
  </si>
  <si>
    <t>0504001</t>
  </si>
  <si>
    <t>C/T FRONT.CABERNET SAUVIGNON 750ML X12</t>
  </si>
  <si>
    <t>DUFF01</t>
  </si>
  <si>
    <t>DUFF LATA 330ML X 4</t>
  </si>
  <si>
    <t>BFA001</t>
  </si>
  <si>
    <t>BIFE ANGOSTO MADURADO GRAIN FED ANGUS 800GR-1.2KG</t>
  </si>
  <si>
    <t>NMP16</t>
  </si>
  <si>
    <t>CERVEZA MODELO ESPECIAL BT 355ML X 12</t>
  </si>
  <si>
    <t>199276</t>
  </si>
  <si>
    <t>SPIRIT VODKA BLUEBERRY  275ML X 24</t>
  </si>
  <si>
    <t>59213</t>
  </si>
  <si>
    <t>CHEETOS HORNEADOS QUESO 90 GR X32 X1</t>
  </si>
  <si>
    <t>H100</t>
  </si>
  <si>
    <t>HIELO 3K AGUA CERO</t>
  </si>
  <si>
    <t>CRN1197</t>
  </si>
  <si>
    <t>BIFE ANCHO MADURADO DEVESA 800- 1.1KG</t>
  </si>
  <si>
    <t>ENT102</t>
  </si>
  <si>
    <t>ENTRAÑA FINA CONG. ANGUS ARG 1KG - 1.5KG</t>
  </si>
  <si>
    <t>CH300617820</t>
  </si>
  <si>
    <t>MILKA OREO  100G</t>
  </si>
  <si>
    <t>102031</t>
  </si>
  <si>
    <t>CERV. PRESIDENTE BOTELLA 355 ML</t>
  </si>
  <si>
    <t>APE0109</t>
  </si>
  <si>
    <t>ANGOSTURA AROMATIC BITTER 200ML X24</t>
  </si>
  <si>
    <t>APE0155</t>
  </si>
  <si>
    <t>ANGOSTURA ORANGE BITTER 100ML X 24</t>
  </si>
  <si>
    <t>CHAR15</t>
  </si>
  <si>
    <t>CHORIZO MIEL DE MAPLE</t>
  </si>
  <si>
    <t>APE0156</t>
  </si>
  <si>
    <t>ANGOSTURA AROMATIC BITTER 100M X 12</t>
  </si>
  <si>
    <t>4041001</t>
  </si>
  <si>
    <t>PISCO SANTIAGO QUEIROLO QUEBRANTA 750ML</t>
  </si>
  <si>
    <t>404135</t>
  </si>
  <si>
    <t>ASADO TIRA CHO USA 3U X 750 GR</t>
  </si>
  <si>
    <t>102034</t>
  </si>
  <si>
    <t>CERV. MODELO LATA 237ML</t>
  </si>
  <si>
    <t>102033</t>
  </si>
  <si>
    <t>CERV. MILLER BOTELLA 330 ML</t>
  </si>
  <si>
    <t>67456</t>
  </si>
  <si>
    <t>FRONTERA FRUTAL TROPICAL 12X750ML</t>
  </si>
  <si>
    <t>ACOJ</t>
  </si>
  <si>
    <t>ACT.OLIVA VIDRIO JARRITA 260ML X36</t>
  </si>
  <si>
    <t>ACO2</t>
  </si>
  <si>
    <t>ACT.OLIVA VIDRIO 500ML X36</t>
  </si>
  <si>
    <t>61111</t>
  </si>
  <si>
    <t xml:space="preserve">C/T FRONT.SWEET SELECTION 750ML X 12  </t>
  </si>
  <si>
    <t>ACO14</t>
  </si>
  <si>
    <t>ACT.OLIVA VIDRIO 200ML X36</t>
  </si>
  <si>
    <t>EMGR018</t>
  </si>
  <si>
    <t>CHORIZO ANGUS CJA X500 OREGON FOODS</t>
  </si>
  <si>
    <t>CH210262530</t>
  </si>
  <si>
    <t>MILKA CHIPS AHOY  100G</t>
  </si>
  <si>
    <t>V0844</t>
  </si>
  <si>
    <t>CRIMINAL COLECCION PRIVADA ROBLE MALBEC 750ML X 6</t>
  </si>
  <si>
    <t>EMGR014</t>
  </si>
  <si>
    <t>CHORIZO MIEL MAPPLE 140G- OSSO</t>
  </si>
  <si>
    <t>0104004</t>
  </si>
  <si>
    <t xml:space="preserve">MINI.WHIS.CHIVAS REGAL 12 AÑOS X 50ML </t>
  </si>
  <si>
    <t>B</t>
  </si>
  <si>
    <t>675</t>
  </si>
  <si>
    <t>C&amp;C GRAPE LATA 355ML X 24</t>
  </si>
  <si>
    <t>67457</t>
  </si>
  <si>
    <t xml:space="preserve">FRONTERA FRUTAL TINTO DE VERANO 12 X 750ML </t>
  </si>
  <si>
    <t>ACO1</t>
  </si>
  <si>
    <t>ACT.OLIVA VIDRIO 1LT X24</t>
  </si>
  <si>
    <t>40000055</t>
  </si>
  <si>
    <t>R.CARTAVIO XO 50ML X120</t>
  </si>
  <si>
    <t>673</t>
  </si>
  <si>
    <t>C&amp;C FRUIT PUNCH 355ML X 24</t>
  </si>
  <si>
    <t>102026</t>
  </si>
  <si>
    <t>BENEDIKTINER FESTBIER BARRIL 5 L</t>
  </si>
  <si>
    <t>177325</t>
  </si>
  <si>
    <t>NC LOS ARBOLES CABERN SUAVIGNON 750ML X6</t>
  </si>
  <si>
    <t>177335</t>
  </si>
  <si>
    <t>PF.NC LOS ARBOLES MALBEC 750ML X6</t>
  </si>
  <si>
    <t>198870</t>
  </si>
  <si>
    <t>PF.NC CP MALBEC 750ML X6</t>
  </si>
  <si>
    <t>2022001</t>
  </si>
  <si>
    <t>VINO ROSE SQ 750ML</t>
  </si>
  <si>
    <t>2022050</t>
  </si>
  <si>
    <t>PACK LONCHERA VINO ROSE SQL 750ML</t>
  </si>
  <si>
    <t>2024050</t>
  </si>
  <si>
    <t>PACK LONCHERA VINO BORGOÑA SQL 750ML</t>
  </si>
  <si>
    <t>269002</t>
  </si>
  <si>
    <t>JR. FOUR LOKO SANDIA LATA 473ML X24</t>
  </si>
  <si>
    <t>269050</t>
  </si>
  <si>
    <t>JR. FOUR LOKO GREEN LATA 473ML X24</t>
  </si>
  <si>
    <t>1203</t>
  </si>
  <si>
    <t>SAL SALINA PARRILLERA DOYPACK 750GR</t>
  </si>
  <si>
    <t>128973</t>
  </si>
  <si>
    <t>TAKIS ORIGINAL 56G FLOW BAR EXP X42</t>
  </si>
  <si>
    <t>11078</t>
  </si>
  <si>
    <t>LAGUNITAS IPA BOTELLA 354 ML X 12 UN</t>
  </si>
  <si>
    <t>AC20038</t>
  </si>
  <si>
    <t>VINO ROSE 2VASOS SEMI SECO 750ML X6</t>
  </si>
  <si>
    <t>45833</t>
  </si>
  <si>
    <t>RED BULL.ENERGY.DRINK 250ML X24</t>
  </si>
  <si>
    <t>CHA1901</t>
  </si>
  <si>
    <t>RICCADONNA ESP.PROSECCO 200ML X24</t>
  </si>
  <si>
    <t>CAR002</t>
  </si>
  <si>
    <t>CARBON FENIX BOLSA X 3 KG</t>
  </si>
  <si>
    <t>BIO175</t>
  </si>
  <si>
    <t>P/ BIONDI GRAN COSECHA ACHOL.500ML X12</t>
  </si>
  <si>
    <t>COL76</t>
  </si>
  <si>
    <t>COLITA DE CUADRIL AG US 1.6KG - 1.8KG</t>
  </si>
  <si>
    <t>C</t>
  </si>
  <si>
    <t>HAMB68</t>
  </si>
  <si>
    <t>HAMBUR.MNIBURGUER 50GR X12 BEST MEATS</t>
  </si>
  <si>
    <t>IMP00006</t>
  </si>
  <si>
    <t>ASADO DE TIRA C/H  250 X 4UND</t>
  </si>
  <si>
    <t>NIE766</t>
  </si>
  <si>
    <t>V/S. D.NICANOR BARREL SELCT MALBC 750ML X12</t>
  </si>
  <si>
    <t>SUP741</t>
  </si>
  <si>
    <t xml:space="preserve">TAPA CUADRILCHO AG US 1KG 1.2KG </t>
  </si>
  <si>
    <t>SUP745</t>
  </si>
  <si>
    <t>TAPA CUADRILCHO  AG US 2KG - 2.5KG</t>
  </si>
  <si>
    <t>VIN0114</t>
  </si>
  <si>
    <t>VINO LUIGI BOSCA MALBEC X 750ML</t>
  </si>
  <si>
    <t>WHI0348</t>
  </si>
  <si>
    <t>WHIS.JOHNNIE W.RED LABEL 750ML X12</t>
  </si>
  <si>
    <t>Cod. Articulo</t>
  </si>
  <si>
    <t>209048</t>
  </si>
  <si>
    <t>269026</t>
  </si>
  <si>
    <t>269049</t>
  </si>
  <si>
    <t>269051</t>
  </si>
  <si>
    <t>4980600</t>
  </si>
  <si>
    <t>4981612</t>
  </si>
  <si>
    <t>ACO3</t>
  </si>
  <si>
    <t>ACO7</t>
  </si>
  <si>
    <t>216001</t>
  </si>
  <si>
    <t>700001</t>
  </si>
  <si>
    <t>701347</t>
  </si>
  <si>
    <t>703444</t>
  </si>
  <si>
    <t>704236</t>
  </si>
  <si>
    <t>704237</t>
  </si>
  <si>
    <t>704422</t>
  </si>
  <si>
    <t>704656</t>
  </si>
  <si>
    <t>705605</t>
  </si>
  <si>
    <t>705606</t>
  </si>
  <si>
    <t>128975</t>
  </si>
  <si>
    <t>128976</t>
  </si>
  <si>
    <t>1003001</t>
  </si>
  <si>
    <t>1003002</t>
  </si>
  <si>
    <t>40000041</t>
  </si>
  <si>
    <t>40000042</t>
  </si>
  <si>
    <t>40000106</t>
  </si>
  <si>
    <t>40000107</t>
  </si>
  <si>
    <t>40000108</t>
  </si>
  <si>
    <t>40000157</t>
  </si>
  <si>
    <t>40000785</t>
  </si>
  <si>
    <t>40000934</t>
  </si>
  <si>
    <t>40001153</t>
  </si>
  <si>
    <t>40001241</t>
  </si>
  <si>
    <t>40001242</t>
  </si>
  <si>
    <t>40001243</t>
  </si>
  <si>
    <t>40001310</t>
  </si>
  <si>
    <t>5000205</t>
  </si>
  <si>
    <t>5000252</t>
  </si>
  <si>
    <t>5000434</t>
  </si>
  <si>
    <t>5000448</t>
  </si>
  <si>
    <t xml:space="preserve">5000519  </t>
  </si>
  <si>
    <t>010023</t>
  </si>
  <si>
    <t>1500100</t>
  </si>
  <si>
    <t>80010001</t>
  </si>
  <si>
    <t>AC0353</t>
  </si>
  <si>
    <t>AC0354</t>
  </si>
  <si>
    <t>AC0459</t>
  </si>
  <si>
    <t>AC0460</t>
  </si>
  <si>
    <t>AC0461</t>
  </si>
  <si>
    <t>AC0462</t>
  </si>
  <si>
    <t>AC0468</t>
  </si>
  <si>
    <t>AC0482</t>
  </si>
  <si>
    <t>AC0483</t>
  </si>
  <si>
    <t>AC0484</t>
  </si>
  <si>
    <t>AC0485</t>
  </si>
  <si>
    <t>AC0487</t>
  </si>
  <si>
    <t>AC0488</t>
  </si>
  <si>
    <t>AC0499</t>
  </si>
  <si>
    <t>AC20036</t>
  </si>
  <si>
    <t>251652</t>
  </si>
  <si>
    <t>628892</t>
  </si>
  <si>
    <t>CERV05</t>
  </si>
  <si>
    <t>2022</t>
  </si>
  <si>
    <t>2023</t>
  </si>
  <si>
    <t>669</t>
  </si>
  <si>
    <t>GF0001</t>
  </si>
  <si>
    <t>GF0002</t>
  </si>
  <si>
    <t>GF0003</t>
  </si>
  <si>
    <t>GF0005</t>
  </si>
  <si>
    <t>GF0006</t>
  </si>
  <si>
    <t>GF0007</t>
  </si>
  <si>
    <t>GF0008</t>
  </si>
  <si>
    <t>GF0011B</t>
  </si>
  <si>
    <t>GF0016</t>
  </si>
  <si>
    <t>047013</t>
  </si>
  <si>
    <t>047054B</t>
  </si>
  <si>
    <t>251326B</t>
  </si>
  <si>
    <t>DIS0000273</t>
  </si>
  <si>
    <t>DIS0000277</t>
  </si>
  <si>
    <t>DIS0000278</t>
  </si>
  <si>
    <t>PAR0000014</t>
  </si>
  <si>
    <t>DIS0276</t>
  </si>
  <si>
    <t>V0843</t>
  </si>
  <si>
    <t>ISMG0276</t>
  </si>
  <si>
    <t>ISMG0277</t>
  </si>
  <si>
    <t>0102001</t>
  </si>
  <si>
    <t>0104001</t>
  </si>
  <si>
    <t>0104002</t>
  </si>
  <si>
    <t>0107001</t>
  </si>
  <si>
    <t>0210003</t>
  </si>
  <si>
    <t>0210025</t>
  </si>
  <si>
    <t>0303001</t>
  </si>
  <si>
    <t>0617012</t>
  </si>
  <si>
    <t>0617013</t>
  </si>
  <si>
    <t>0617014</t>
  </si>
  <si>
    <t>0617015</t>
  </si>
  <si>
    <t>0617016</t>
  </si>
  <si>
    <t>0617017</t>
  </si>
  <si>
    <t>104003</t>
  </si>
  <si>
    <t>1040060</t>
  </si>
  <si>
    <t>1040061</t>
  </si>
  <si>
    <t>1040095</t>
  </si>
  <si>
    <t>19528</t>
  </si>
  <si>
    <t>223312</t>
  </si>
  <si>
    <t>228003</t>
  </si>
  <si>
    <t>228004</t>
  </si>
  <si>
    <t>40001142</t>
  </si>
  <si>
    <t>403001</t>
  </si>
  <si>
    <t>403006</t>
  </si>
  <si>
    <t>APE0154</t>
  </si>
  <si>
    <t>APE0166</t>
  </si>
  <si>
    <t>CHA1902</t>
  </si>
  <si>
    <t>ESP0096</t>
  </si>
  <si>
    <t>ESP0257</t>
  </si>
  <si>
    <t>GIN0007</t>
  </si>
  <si>
    <t>GIN0027</t>
  </si>
  <si>
    <t>GIN0220</t>
  </si>
  <si>
    <t>GIN0222</t>
  </si>
  <si>
    <t>GIN0294</t>
  </si>
  <si>
    <t>GIN0462</t>
  </si>
  <si>
    <t>GIN0463</t>
  </si>
  <si>
    <t>JAR0016</t>
  </si>
  <si>
    <t>LAN001</t>
  </si>
  <si>
    <t>LIC0012</t>
  </si>
  <si>
    <t>LIC002</t>
  </si>
  <si>
    <t>LIC0024</t>
  </si>
  <si>
    <t>PAC0095</t>
  </si>
  <si>
    <t>RON0026</t>
  </si>
  <si>
    <t>RON0053</t>
  </si>
  <si>
    <t>RON0080</t>
  </si>
  <si>
    <t>RON0150</t>
  </si>
  <si>
    <t>RON0151</t>
  </si>
  <si>
    <t>RON0160</t>
  </si>
  <si>
    <t>RON0162</t>
  </si>
  <si>
    <t>RON0163</t>
  </si>
  <si>
    <t>RON0164</t>
  </si>
  <si>
    <t>RON0170</t>
  </si>
  <si>
    <t>RON0171</t>
  </si>
  <si>
    <t>RON0172</t>
  </si>
  <si>
    <t>RON0179</t>
  </si>
  <si>
    <t>RON0575</t>
  </si>
  <si>
    <t>RON0578</t>
  </si>
  <si>
    <t>RON0875</t>
  </si>
  <si>
    <t>RON0997</t>
  </si>
  <si>
    <t>RON1056</t>
  </si>
  <si>
    <t>RON1057</t>
  </si>
  <si>
    <t>S0010</t>
  </si>
  <si>
    <t>S0011</t>
  </si>
  <si>
    <t>T5011</t>
  </si>
  <si>
    <t>V0070</t>
  </si>
  <si>
    <t>VER0003</t>
  </si>
  <si>
    <t>VIN0108</t>
  </si>
  <si>
    <t>VIN2534</t>
  </si>
  <si>
    <t>WHI0029</t>
  </si>
  <si>
    <t>WHI0034</t>
  </si>
  <si>
    <t>WHI0334</t>
  </si>
  <si>
    <t>WHI0347</t>
  </si>
  <si>
    <t>WHI0349</t>
  </si>
  <si>
    <t>WHI0352</t>
  </si>
  <si>
    <t>WHI0353</t>
  </si>
  <si>
    <t>WHI0759</t>
  </si>
  <si>
    <t>WHI0991</t>
  </si>
  <si>
    <t>WHI0998</t>
  </si>
  <si>
    <t>WHI1014</t>
  </si>
  <si>
    <t>WHI1068</t>
  </si>
  <si>
    <t>WHI1069</t>
  </si>
  <si>
    <t>WHI1071</t>
  </si>
  <si>
    <t>WHI1072</t>
  </si>
  <si>
    <t>V10407</t>
  </si>
  <si>
    <t>04963406</t>
  </si>
  <si>
    <t>04998606</t>
  </si>
  <si>
    <t>07891108</t>
  </si>
  <si>
    <t>14235</t>
  </si>
  <si>
    <t>GUIN01</t>
  </si>
  <si>
    <t>NMP01</t>
  </si>
  <si>
    <t>NMP12</t>
  </si>
  <si>
    <t>ABU001</t>
  </si>
  <si>
    <t>ABU002</t>
  </si>
  <si>
    <t>ABU003</t>
  </si>
  <si>
    <t>ABU004</t>
  </si>
  <si>
    <t>ABU014</t>
  </si>
  <si>
    <t>ABU015</t>
  </si>
  <si>
    <t>ANI0001</t>
  </si>
  <si>
    <t>ANI0004</t>
  </si>
  <si>
    <t>BIO138</t>
  </si>
  <si>
    <t>BIO172</t>
  </si>
  <si>
    <t>COU196</t>
  </si>
  <si>
    <t>COU200</t>
  </si>
  <si>
    <t>COU223</t>
  </si>
  <si>
    <t>COU674</t>
  </si>
  <si>
    <t>FER089</t>
  </si>
  <si>
    <t>FXN046</t>
  </si>
  <si>
    <t>FXN064</t>
  </si>
  <si>
    <t>FXN687</t>
  </si>
  <si>
    <t>JON384</t>
  </si>
  <si>
    <t>NIE712</t>
  </si>
  <si>
    <t>NIE797</t>
  </si>
  <si>
    <t>NIE799</t>
  </si>
  <si>
    <t>RUT008</t>
  </si>
  <si>
    <t>RUT012</t>
  </si>
  <si>
    <t>WIN007</t>
  </si>
  <si>
    <t>VO014</t>
  </si>
  <si>
    <t>CAR001</t>
  </si>
  <si>
    <t>SIERR01</t>
  </si>
  <si>
    <t>00804</t>
  </si>
  <si>
    <t>00809</t>
  </si>
  <si>
    <t>01502</t>
  </si>
  <si>
    <t>04019</t>
  </si>
  <si>
    <t>04039</t>
  </si>
  <si>
    <t>20006</t>
  </si>
  <si>
    <t>L171</t>
  </si>
  <si>
    <t>L7006</t>
  </si>
  <si>
    <t>102028</t>
  </si>
  <si>
    <t>0184557</t>
  </si>
  <si>
    <t>140217</t>
  </si>
  <si>
    <t>140296</t>
  </si>
  <si>
    <t>140351</t>
  </si>
  <si>
    <t>140600</t>
  </si>
  <si>
    <t>140610</t>
  </si>
  <si>
    <t>140612</t>
  </si>
  <si>
    <t>140620</t>
  </si>
  <si>
    <t>140635</t>
  </si>
  <si>
    <t>142700</t>
  </si>
  <si>
    <t>142730</t>
  </si>
  <si>
    <t>142760</t>
  </si>
  <si>
    <t>142761</t>
  </si>
  <si>
    <t>142764</t>
  </si>
  <si>
    <t>177303</t>
  </si>
  <si>
    <t>177305</t>
  </si>
  <si>
    <t>177352</t>
  </si>
  <si>
    <t>177445</t>
  </si>
  <si>
    <t>177450</t>
  </si>
  <si>
    <t>177788</t>
  </si>
  <si>
    <t>177789</t>
  </si>
  <si>
    <t>177904</t>
  </si>
  <si>
    <t>177915</t>
  </si>
  <si>
    <t>179900</t>
  </si>
  <si>
    <t>179914</t>
  </si>
  <si>
    <t>179942</t>
  </si>
  <si>
    <t>180101</t>
  </si>
  <si>
    <t>180105</t>
  </si>
  <si>
    <t>184359</t>
  </si>
  <si>
    <t>184360</t>
  </si>
  <si>
    <t>184361</t>
  </si>
  <si>
    <t>196840</t>
  </si>
  <si>
    <t>197310</t>
  </si>
  <si>
    <t>197312</t>
  </si>
  <si>
    <t>197314</t>
  </si>
  <si>
    <t>197315</t>
  </si>
  <si>
    <t>197322</t>
  </si>
  <si>
    <t>197323</t>
  </si>
  <si>
    <t>197325</t>
  </si>
  <si>
    <t>198720</t>
  </si>
  <si>
    <t>198850</t>
  </si>
  <si>
    <t>198910</t>
  </si>
  <si>
    <t>198940</t>
  </si>
  <si>
    <t>198950</t>
  </si>
  <si>
    <t>198960</t>
  </si>
  <si>
    <t>199185</t>
  </si>
  <si>
    <t>199274</t>
  </si>
  <si>
    <t>199275</t>
  </si>
  <si>
    <t>199277</t>
  </si>
  <si>
    <t>199280</t>
  </si>
  <si>
    <t>199281</t>
  </si>
  <si>
    <t>238501</t>
  </si>
  <si>
    <t>299129</t>
  </si>
  <si>
    <t>MC000273</t>
  </si>
  <si>
    <t>V0036</t>
  </si>
  <si>
    <t>V0037</t>
  </si>
  <si>
    <t>V0038</t>
  </si>
  <si>
    <t>V0039</t>
  </si>
  <si>
    <t>V0040</t>
  </si>
  <si>
    <t>V0041</t>
  </si>
  <si>
    <t>V0051</t>
  </si>
  <si>
    <t>V0052</t>
  </si>
  <si>
    <t>V0057</t>
  </si>
  <si>
    <t>V0058</t>
  </si>
  <si>
    <t>V0058C</t>
  </si>
  <si>
    <t>V0060</t>
  </si>
  <si>
    <t>V0249</t>
  </si>
  <si>
    <t>CP002</t>
  </si>
  <si>
    <t>0115002</t>
  </si>
  <si>
    <t>115013</t>
  </si>
  <si>
    <t>MC000163</t>
  </si>
  <si>
    <t>MC000164</t>
  </si>
  <si>
    <t>MC000165</t>
  </si>
  <si>
    <t>MC000182</t>
  </si>
  <si>
    <t>MC000196</t>
  </si>
  <si>
    <t>MC000197</t>
  </si>
  <si>
    <t>MC000214</t>
  </si>
  <si>
    <t>MC000215</t>
  </si>
  <si>
    <t>MC000369</t>
  </si>
  <si>
    <t>MC000370</t>
  </si>
  <si>
    <t>MC00434</t>
  </si>
  <si>
    <t>PC0257</t>
  </si>
  <si>
    <t>V0013</t>
  </si>
  <si>
    <t>V0018</t>
  </si>
  <si>
    <t>V0160</t>
  </si>
  <si>
    <t>V0161</t>
  </si>
  <si>
    <t>404490P</t>
  </si>
  <si>
    <t>ASAH01</t>
  </si>
  <si>
    <t>CHAR01</t>
  </si>
  <si>
    <t>CHAR019</t>
  </si>
  <si>
    <t>CHAR08</t>
  </si>
  <si>
    <t>CHAR09</t>
  </si>
  <si>
    <t>CHAR17</t>
  </si>
  <si>
    <t>COL75</t>
  </si>
  <si>
    <t>COL77</t>
  </si>
  <si>
    <t>COL78</t>
  </si>
  <si>
    <t>CRN0219</t>
  </si>
  <si>
    <t>CRN0945</t>
  </si>
  <si>
    <t>CRN0946</t>
  </si>
  <si>
    <t>CRN0947</t>
  </si>
  <si>
    <t>CRN1088</t>
  </si>
  <si>
    <t>CRN1107</t>
  </si>
  <si>
    <t>CRN1108</t>
  </si>
  <si>
    <t>CRN1194</t>
  </si>
  <si>
    <t>ENT103</t>
  </si>
  <si>
    <t>HAMB01</t>
  </si>
  <si>
    <t>HAMB03</t>
  </si>
  <si>
    <t>HAMB05</t>
  </si>
  <si>
    <t>HAMB70</t>
  </si>
  <si>
    <t>IMP00129</t>
  </si>
  <si>
    <t>PACK08</t>
  </si>
  <si>
    <t>SUP742</t>
  </si>
  <si>
    <t>SUP743</t>
  </si>
  <si>
    <t>SUP744</t>
  </si>
  <si>
    <t>10030240</t>
  </si>
  <si>
    <t>1003025</t>
  </si>
  <si>
    <t>10030250</t>
  </si>
  <si>
    <t>10033150</t>
  </si>
  <si>
    <t>10039840</t>
  </si>
  <si>
    <t>109610</t>
  </si>
  <si>
    <t>10964510</t>
  </si>
  <si>
    <t>10964520</t>
  </si>
  <si>
    <t>10964530</t>
  </si>
  <si>
    <t>10964540</t>
  </si>
  <si>
    <t>10964550</t>
  </si>
  <si>
    <t>109700</t>
  </si>
  <si>
    <t>40281575</t>
  </si>
  <si>
    <t>40281585</t>
  </si>
  <si>
    <t>402899</t>
  </si>
  <si>
    <t>60191215</t>
  </si>
  <si>
    <t>60191275</t>
  </si>
  <si>
    <t>60193115</t>
  </si>
  <si>
    <t>61013605</t>
  </si>
  <si>
    <t>61013615</t>
  </si>
  <si>
    <t>700407</t>
  </si>
  <si>
    <t>7012983</t>
  </si>
  <si>
    <t>000123</t>
  </si>
  <si>
    <t>000124</t>
  </si>
  <si>
    <t>000150</t>
  </si>
  <si>
    <t>000154</t>
  </si>
  <si>
    <t>59214</t>
  </si>
  <si>
    <t>403947</t>
  </si>
  <si>
    <t>1104824</t>
  </si>
  <si>
    <t>2022027</t>
  </si>
  <si>
    <t>2022051</t>
  </si>
  <si>
    <t>2023001</t>
  </si>
  <si>
    <t>22031</t>
  </si>
  <si>
    <t>24027</t>
  </si>
  <si>
    <t>4045001</t>
  </si>
  <si>
    <t>4046001</t>
  </si>
  <si>
    <t>5048201</t>
  </si>
  <si>
    <t>5048301</t>
  </si>
  <si>
    <t>5048401</t>
  </si>
  <si>
    <t>7065001</t>
  </si>
  <si>
    <t>7065002</t>
  </si>
  <si>
    <t>7065101</t>
  </si>
  <si>
    <t>7065102</t>
  </si>
  <si>
    <t>7065201</t>
  </si>
  <si>
    <t>7065202</t>
  </si>
  <si>
    <t>SQ005</t>
  </si>
  <si>
    <t>SQ029</t>
  </si>
  <si>
    <t>SQ041</t>
  </si>
  <si>
    <t>T100020</t>
  </si>
  <si>
    <t>T100030</t>
  </si>
  <si>
    <t>T10020</t>
  </si>
  <si>
    <t>T10027</t>
  </si>
  <si>
    <t>T10030</t>
  </si>
  <si>
    <t>T200001</t>
  </si>
  <si>
    <t>T200006</t>
  </si>
  <si>
    <t>T200013</t>
  </si>
  <si>
    <t>T200051</t>
  </si>
  <si>
    <t>T200058</t>
  </si>
  <si>
    <t>T200097</t>
  </si>
  <si>
    <t>T30011</t>
  </si>
  <si>
    <t>T30013</t>
  </si>
  <si>
    <t>504358</t>
  </si>
  <si>
    <t>506039</t>
  </si>
  <si>
    <t>506045</t>
  </si>
  <si>
    <t>506752</t>
  </si>
  <si>
    <t>0420</t>
  </si>
  <si>
    <t>0504009</t>
  </si>
  <si>
    <t>23443</t>
  </si>
  <si>
    <t>26722</t>
  </si>
  <si>
    <t>390045</t>
  </si>
  <si>
    <t>390060</t>
  </si>
  <si>
    <t>390062</t>
  </si>
  <si>
    <t>47181</t>
  </si>
  <si>
    <t>47182</t>
  </si>
  <si>
    <t>48507</t>
  </si>
  <si>
    <t>51811</t>
  </si>
  <si>
    <t>51813</t>
  </si>
  <si>
    <t>53254</t>
  </si>
  <si>
    <t>53255</t>
  </si>
  <si>
    <t>53274</t>
  </si>
  <si>
    <t>53276</t>
  </si>
  <si>
    <t>53292</t>
  </si>
  <si>
    <t>53294</t>
  </si>
  <si>
    <t>53295</t>
  </si>
  <si>
    <t>53297</t>
  </si>
  <si>
    <t>53381</t>
  </si>
  <si>
    <t>55004</t>
  </si>
  <si>
    <t>67458</t>
  </si>
  <si>
    <t>VCH0017</t>
  </si>
  <si>
    <t>VCH0018</t>
  </si>
  <si>
    <t>VCH0019</t>
  </si>
  <si>
    <t>VIN2536</t>
  </si>
  <si>
    <t>Saldo</t>
  </si>
  <si>
    <t>Descripción</t>
  </si>
  <si>
    <t xml:space="preserve">JR. FOUR LOKO GOLD LATA 473ML X24 </t>
  </si>
  <si>
    <t>JR. FOUR LOKO PURPLE LATA 473ML X24</t>
  </si>
  <si>
    <t>JR. FOUR LOKO BLUE LATA 473ML X24</t>
  </si>
  <si>
    <t xml:space="preserve">JR. FOUR LOKO PONCHE DE FRUTAS LATA 473ML X24 </t>
  </si>
  <si>
    <t>JR. FOUR LOKO MARACUYA LATA 473ML X24</t>
  </si>
  <si>
    <t xml:space="preserve">JR. FOUR LOKO WHITE 473ML X24 </t>
  </si>
  <si>
    <t>ACT.OLIVA VIDRIO 250ML X36</t>
  </si>
  <si>
    <t>PACK ACT.OLIVA 4 PRE.VIDRI (1LT+500ML+250ML+JAR.260ML)</t>
  </si>
  <si>
    <t>ESPUMANTE V.VIEJA NAPOLEON MOSCATO BLANCO 750ML</t>
  </si>
  <si>
    <t>PACK PISCO VARGAS QEBRT 750ML+JAR DE GOMA</t>
  </si>
  <si>
    <t>PACK PISCO VARGAS 750ML+ PISCO VARGAS 125ML</t>
  </si>
  <si>
    <t>PACK VIÑA VIEJA ROSE 750ML+ PISCO VARGAS 125ML</t>
  </si>
  <si>
    <t>VINO VIÑA VIEJA BORGOÑA LATA 473ML X24</t>
  </si>
  <si>
    <t xml:space="preserve">VINO VIÑA VIEJA ROSE LATA 473ML </t>
  </si>
  <si>
    <t xml:space="preserve">VINO VIÑA VIEJA MALBEC LATA 473ML </t>
  </si>
  <si>
    <t>ESPUMANTE V.VIEJA NAPOLEON MOSCATO ROSE X 750ML</t>
  </si>
  <si>
    <t>RON BAHIA BLACK STAR 750ML X12</t>
  </si>
  <si>
    <t>RON BAHIA GOLD 750ML X12</t>
  </si>
  <si>
    <t>TAKIS XPLOSION 56G FLOW BAR EXP X42</t>
  </si>
  <si>
    <t>TAKIS FUEGO 56G FLOW BAR EXP X42</t>
  </si>
  <si>
    <t>TEQUILA JOSE CUER RUB (ESP) 750ML X12</t>
  </si>
  <si>
    <t>TEQUILA JOSE C BLANCO(ESP) 750ML X12</t>
  </si>
  <si>
    <t>R.CARTAVIO SUPERIOR 750ML X12</t>
  </si>
  <si>
    <t>R.CARTAVIO BLACK 750ML X12</t>
  </si>
  <si>
    <t>WHIS.OLD TIMES BLACK 750ML X12</t>
  </si>
  <si>
    <t>WHIS.OLD TIMES RED 750ML X12</t>
  </si>
  <si>
    <t>VODKA RUSSKAYA 750ML X12</t>
  </si>
  <si>
    <t>R.CARTAVIO XO 750ML X6</t>
  </si>
  <si>
    <t>R.CARTAVIO RESERVA 750ML X12</t>
  </si>
  <si>
    <t>R.CART.SELECTO 5AÑ BLANCO 750ML X12</t>
  </si>
  <si>
    <t>R.CARTAVIO GRAN SOLERA 750M6 X 6</t>
  </si>
  <si>
    <t>PISCO DECANTO QUEBRANTA 750ML X 12</t>
  </si>
  <si>
    <t>PISCO DECANTO ACHOLADO 750ML X 12</t>
  </si>
  <si>
    <t>PISCO DECANTO ITALIA 750ML X 12</t>
  </si>
  <si>
    <t>WHISKY OLD TIMES GOLD 750ML X 12</t>
  </si>
  <si>
    <t>TEQUILA 1800 REPOSADO 750 ML X12</t>
  </si>
  <si>
    <t>2014 TEQUILA 1800 SILVER 750ML</t>
  </si>
  <si>
    <t>TEQUILA 1800 CRISTALINO 700 ML X6</t>
  </si>
  <si>
    <t>R.KRAKEN BLACK SPICED 750ML X12</t>
  </si>
  <si>
    <t>TEQ. JC ESP SILVER CALAVERA X 750 ML</t>
  </si>
  <si>
    <t>VINO PATRONAL CARMENERE X750ML X6</t>
  </si>
  <si>
    <t>RON MANDATARIO SOLERA 700ML X12</t>
  </si>
  <si>
    <t>RON MANDATARIO XO 700ML X6</t>
  </si>
  <si>
    <t>VINO BORGOÑA ABOCADO 750ML X12</t>
  </si>
  <si>
    <t>VINO ROSE SEMI SECO 750ML X12</t>
  </si>
  <si>
    <t>PIS.MOSTO V.TORONTO C/ART.750ML X6</t>
  </si>
  <si>
    <t>PIS.MOSTO.V.ACHOLADO C/ART.750ML X6</t>
  </si>
  <si>
    <t>PIS.MOSTO V.QUEBRANTA C/ART.750ML X6</t>
  </si>
  <si>
    <t>PIS.MOSTO V.ITALIA C/ART.750ML X6</t>
  </si>
  <si>
    <t>PIS.P.4GAL.ACHOLADO 2LT X6</t>
  </si>
  <si>
    <t>PIS.4GAL.MOSTO V.QUEBRANTA 700ML X12</t>
  </si>
  <si>
    <t>PIS.P.4GAL.ACHOLADO 700ML X12</t>
  </si>
  <si>
    <t>PIS.P.4GAL.ITALIA 700ML X12</t>
  </si>
  <si>
    <t>PIS.P.4GAL.QUEBRANTA 700ML X12</t>
  </si>
  <si>
    <t>PIS.4GAL.MOSTO V.ACHOLADO 700ML X12</t>
  </si>
  <si>
    <t>PIS.4GAL.MOSTO V.ITALIA 700ML X12</t>
  </si>
  <si>
    <t>PIS PURO ACHOLADO X700 4GALLOS +2JARR-</t>
  </si>
  <si>
    <t>VINO BORGOÑA PACK 750ML+2V X6</t>
  </si>
  <si>
    <t>NUTELLA B READY X 36 UNID</t>
  </si>
  <si>
    <t xml:space="preserve">NUTELLA I GO BREADSTICK WITH X 16 UND </t>
  </si>
  <si>
    <t>CERVEZA SAMUEL ADAMS BOT ML X 24</t>
  </si>
  <si>
    <t>MEX CREAM MANGO CON TEQUILA 750ML X 6</t>
  </si>
  <si>
    <t>MEX CREAM FRESA CON TEQUILA 750ML X 6</t>
  </si>
  <si>
    <t>PISCO SOL/T QUEBRANTA 4L X 4</t>
  </si>
  <si>
    <t>GOLD  PREMIUM  FORTUNE X750ML X6</t>
  </si>
  <si>
    <t>GOLD PREMIUM (FUSION) GLACIAR 750ML X6</t>
  </si>
  <si>
    <t>GOLD FUSION VULCANO 750ML X6</t>
  </si>
  <si>
    <t>GOLD PREMIUM ROMANTIC X750ML X6</t>
  </si>
  <si>
    <t>GOLD  PREMIUM  WILD X750ML X6</t>
  </si>
  <si>
    <t>GOLD PREMIUM ENIGMA X750ML X6</t>
  </si>
  <si>
    <t>GOLD FUSION INFINITY  X750ML X6</t>
  </si>
  <si>
    <t xml:space="preserve">GOLD FUSION ENIGMA 375ML </t>
  </si>
  <si>
    <t>GOLD PREMIUM MANGO 750ML X6</t>
  </si>
  <si>
    <t xml:space="preserve">PAULANER MUNCHNER HELL LATA 500ML </t>
  </si>
  <si>
    <t>PAULANER SALVATOR BOTELLA 300ML -BONIFICACION</t>
  </si>
  <si>
    <t>PAULANER VASO WEISSBIER 300ML BONI</t>
  </si>
  <si>
    <t>VF CHAMPIÑONES X 310GR</t>
  </si>
  <si>
    <t>VF ESPARRAGOS BLANCOS X 360GR</t>
  </si>
  <si>
    <t>VF ESPARRAGOS VERDES X 360GR</t>
  </si>
  <si>
    <t>BRAZA MECHEROS X UND.</t>
  </si>
  <si>
    <t>PALMITOS ENTEROS 280GR X12 FCO</t>
  </si>
  <si>
    <t>VINO CRIMINAL VARIETAL MALBEC 750ML X 6</t>
  </si>
  <si>
    <t>AGUA CIELO SIN/G 625MLX15</t>
  </si>
  <si>
    <t xml:space="preserve">1 UND AGUA CIELO SIN/G 625MLX15 </t>
  </si>
  <si>
    <t>WHIS.BALLANTINES FINEST 700ML X12</t>
  </si>
  <si>
    <t>WHIS.CHIVAS REGAL 12AÑ 700ML X12</t>
  </si>
  <si>
    <t>CHIVAS REGAL EX 13AÑ( SHERRY ROJO)700MLX6</t>
  </si>
  <si>
    <t>WHIS.SOMETHING SPEC.750ML X12</t>
  </si>
  <si>
    <t>R.HAVANA CLUB AÑEJO RES.750ML X12</t>
  </si>
  <si>
    <t>R.HAVANA CLUB 7AÑ 700ML X12</t>
  </si>
  <si>
    <t>VODKA ABSOLUT 700ML X12</t>
  </si>
  <si>
    <t>RICCADONNA ESP.RUBY 750MLX6</t>
  </si>
  <si>
    <t>RICCADONNA ESP.ASTI 750ML X6</t>
  </si>
  <si>
    <t>RICCADONNA ESP.MOSCATO ROSE 750ML X6</t>
  </si>
  <si>
    <t>RICCADONNA ESP.PROSECCO 750ML X6</t>
  </si>
  <si>
    <t>RICCADONNA ESP.ASTI 200ML X24</t>
  </si>
  <si>
    <t>RICCADONNA ESP.RUBY 200ML X24</t>
  </si>
  <si>
    <t>WHIS.CHIVAS REGAL 18AÑ 700ML X6</t>
  </si>
  <si>
    <t>WHIS.CHIVAS REGAL EXTRA 750ML X 6</t>
  </si>
  <si>
    <t>WHIS.CHIVAS REGAL ULTIS(BLUE) 750ML X3</t>
  </si>
  <si>
    <t>WHIS.CHIVAS REGAL 15AÑ 700ML X6</t>
  </si>
  <si>
    <t>EVERVESS X 1.50LX6</t>
  </si>
  <si>
    <t xml:space="preserve">JW BLACK 75CL+ TUMBLER NEGRO </t>
  </si>
  <si>
    <t>RON ZACAPA 23 AÑOS X750ML</t>
  </si>
  <si>
    <t>RON ZACAPA AMBAR 12 AÑOS X750ML</t>
  </si>
  <si>
    <t>VODKA SKYY  BLUE 750ML X12</t>
  </si>
  <si>
    <t>GIN BEEFEATER LONDON DRY 700ML X12</t>
  </si>
  <si>
    <t>GIN BEEFEATER PINK 700ML X6</t>
  </si>
  <si>
    <t>ANGOSTURA COCOA BITTERS 100ML X 24</t>
  </si>
  <si>
    <t>AMARGO CHUNPI 75ML</t>
  </si>
  <si>
    <t>RICCADONNA ESP.MOSCATO 200ML X24</t>
  </si>
  <si>
    <t>ESPUMANTE CINZANO TO SPRITS 750MLX6</t>
  </si>
  <si>
    <t>ESPUM. CINZANO PROSECCO 750MLX6</t>
  </si>
  <si>
    <t>GIN BULLDOG 750ML X6</t>
  </si>
  <si>
    <t>GIN BEEFEATER BLOOD ORANGE 700ML X 6</t>
  </si>
  <si>
    <t>GIN TANQUERAY FLOR DE SEVILLA 700ML</t>
  </si>
  <si>
    <t>GIN TANQUERAY LONDON 750ML X 6</t>
  </si>
  <si>
    <t>GIN TANQUERAY FLOR DE SEVILLA 700ML+COPA</t>
  </si>
  <si>
    <t>PK GIN BEEFEATER DRY 700ML+ABSOLUT 375ML</t>
  </si>
  <si>
    <t>PK GIN BEEFEATER PINK 700ML+ABSOLUT 375ML</t>
  </si>
  <si>
    <t>JARABE DE GRANADINA VARGAS 750MLX12</t>
  </si>
  <si>
    <t>VINO LAN RESERVA X 750ML</t>
  </si>
  <si>
    <t>LICOR APEROL 750ML X6</t>
  </si>
  <si>
    <t>DU BOUCHETT CURACAO (AZUL) 1LT X 12</t>
  </si>
  <si>
    <t>LICOR CAMPARI BITTER 750ML X 12</t>
  </si>
  <si>
    <t>PACK BALLANTINES FINEST 700ML+VASO X6</t>
  </si>
  <si>
    <t xml:space="preserve">RON ZACAPA ROYAL 750ML </t>
  </si>
  <si>
    <t>RON ZACAPA XO 750ML X 6</t>
  </si>
  <si>
    <t>RON DIPLOMATICO RESV EXC 700ML</t>
  </si>
  <si>
    <t>RON BARCELO IMPERIAL 750ML X 6</t>
  </si>
  <si>
    <t xml:space="preserve">RON BARCELO IMPERIAL ONYX 750ML </t>
  </si>
  <si>
    <t>RON BARCELO GRAN ANEJO 750ML X 12</t>
  </si>
  <si>
    <t>RON BARCELO GRAN ANEJO 1.750 LT X 6</t>
  </si>
  <si>
    <t>RON BARCELO ANEJO 750ML X 12</t>
  </si>
  <si>
    <t>RON BARCELO ANEJO 1LT X 12</t>
  </si>
  <si>
    <t>RON BARCELO DORADO ANEJO 750ML X 12</t>
  </si>
  <si>
    <t>RON BARCELO DORADO  1LT X 12</t>
  </si>
  <si>
    <t xml:space="preserve">RON BARCELO AÑEJO (6 A) 1.750ML </t>
  </si>
  <si>
    <t>RON LA HECHICERA 700ML X6</t>
  </si>
  <si>
    <t>RON ANGOSTURA 7AÑ 750ML X 6</t>
  </si>
  <si>
    <t>RON ANGOSTURA 1919 750ML X 6</t>
  </si>
  <si>
    <t>RON HAVANA CLUB BLANCO 3AÑ 700ML X12</t>
  </si>
  <si>
    <t>RON ANGOSTURA 1824 750ML X 6</t>
  </si>
  <si>
    <t>RON ANGOSTURA TAMBOO SPICED 750ML X 12</t>
  </si>
  <si>
    <t>RON BARCELO IMPERIAL 40 ANIVERSARIO X750ML</t>
  </si>
  <si>
    <t>VODKA SMIRNOFF APPLE 700ML X 6</t>
  </si>
  <si>
    <t>VODKA SMIRNOFF RED 700ML X 12</t>
  </si>
  <si>
    <t>TEQ.DON JULIO REPOSADO 750ML X 6</t>
  </si>
  <si>
    <t>LICOR DE CREMA BAILEYS ORIGINALX750</t>
  </si>
  <si>
    <t>VERMOUTH CINZANO ROSSO 750ML X 12</t>
  </si>
  <si>
    <t>VINO LUIGI BOSCA CABERNET SAUVIGNON X 750ML</t>
  </si>
  <si>
    <t xml:space="preserve">VINO LUIGI BOSCA DE SANGRE MALBEC X 750ML </t>
  </si>
  <si>
    <t>WHIS.JOHN. W.GOLD LABEL RESERV 200ML X24</t>
  </si>
  <si>
    <t>CHIVAS.REGAL EX 13AÑ( BOURBON MORAD)700MLX6</t>
  </si>
  <si>
    <t xml:space="preserve">MINI WHIS.BALLANTINES FINEST 50ML </t>
  </si>
  <si>
    <t>WHIS.JOHNNIE W.BLUE LABEL 750ML X6</t>
  </si>
  <si>
    <t>WHIS.JOHNNIE W.BLACK LABEL 750ML X12</t>
  </si>
  <si>
    <t>WHIS.JOHNNIE W. DOUBLE BLACK  750ML X6</t>
  </si>
  <si>
    <t>WHIS.JOHNNIE W. GOLD RESERVE  750ML X6</t>
  </si>
  <si>
    <t>WHISKY SWING 750ML X 12</t>
  </si>
  <si>
    <t xml:space="preserve">PCK WHIS CHIVAS 12AÑ X700ML+ CHIVAS 12AÑ  X200ML </t>
  </si>
  <si>
    <t>WHIS.JOHNNIE W.GREEN LABEL 750ML X 6</t>
  </si>
  <si>
    <t>WHIS.OLD PARR 12AÑ 750ML</t>
  </si>
  <si>
    <t>WHISKY JHONIE WALKER BLONDE 750MLX12</t>
  </si>
  <si>
    <t>PK WHIS BALLANT FINEST+BALLANT FINEST 200ML</t>
  </si>
  <si>
    <t>PK WHI CHI REGAL EX 13AÑ 700ML+GIN BEEF PINK 700ML</t>
  </si>
  <si>
    <t>PK WHI CHIV REGAL 12AÑ 700ML+RON HAVANA 7AÑ 700ML</t>
  </si>
  <si>
    <t>ULTIMAT VODKA X 750 ML</t>
  </si>
  <si>
    <t>COCA COLA CLASICA 12OZ X12</t>
  </si>
  <si>
    <t>INCA KOLA LATA 12 OZ X12</t>
  </si>
  <si>
    <t>CRUSH NARANJA LATA 12OZ X12</t>
  </si>
  <si>
    <t>FANTA NARANJA LATA 12OZ X12</t>
  </si>
  <si>
    <t>CERVEZA GUINNESS LATA 440 ML X24 UN</t>
  </si>
  <si>
    <t>JACK DANIEL´S STRAWBERRY PUNCH LATA X 355ML</t>
  </si>
  <si>
    <t>SMIRNOFF ICE PINK LEMONADE BOT X 332ML</t>
  </si>
  <si>
    <t>RON ABUELO AÑEJO 750ML X12</t>
  </si>
  <si>
    <t>RON ABUELO 7 AÑ 750ML X12</t>
  </si>
  <si>
    <t>RON ABUELO 12 AÑ 750ML X12</t>
  </si>
  <si>
    <t>RON ABUELO CENTURIA 750ML X12</t>
  </si>
  <si>
    <t>RON ABUELO AÑEJO 1.75 LT X 6</t>
  </si>
  <si>
    <t>RON ABUELO XII AÑOS TWO OAKS 750ML X12</t>
  </si>
  <si>
    <t>ANIS DEL MONO ROJO (DULCE) 1LT X 6</t>
  </si>
  <si>
    <t>ANIS DEL MONO VERDE SECO 1LT X 6</t>
  </si>
  <si>
    <t>PIS. BIONDI ITALIA 500ML X12</t>
  </si>
  <si>
    <t>PIS.BIONDI ACHOLADO 12MESES 700ML X12</t>
  </si>
  <si>
    <t>V/COUSINO MACUL RESERV.CAB.SAUV 750ML X12</t>
  </si>
  <si>
    <t>V/COUSIÑO MACUL A.RESERV  MERLOT 750ML X12</t>
  </si>
  <si>
    <t>V./ COUSIÑO MACUL CAB. SAUVIGN 750ML+ 1 COPA</t>
  </si>
  <si>
    <t>V/COUSIÑO MACUL D.LUIS CARMENERE 750ML X12</t>
  </si>
  <si>
    <t>LICOR FERNET BRANCA 750ML X12</t>
  </si>
  <si>
    <t>E/FREIXT C.NEGRO BRUT 750ML+COPA X6</t>
  </si>
  <si>
    <t>E/ FREIXT MIA MOSCATO ROSADO 750ML X12</t>
  </si>
  <si>
    <t>E/ FREIXT MIA MOSCATO (NARANJA) 750ML X12</t>
  </si>
  <si>
    <t>WHISKY JOHN BARR  BLACK 750ML X12</t>
  </si>
  <si>
    <t>V/SENETR DN NICANOR BLEND 750ML X12</t>
  </si>
  <si>
    <t>V.SENETINER CAMILA ROSE DULCE X750ML</t>
  </si>
  <si>
    <t>V/SENETR CAMILA MALBEC 750ML X12</t>
  </si>
  <si>
    <t xml:space="preserve">V/RUTINI  COLECC. MALBEC 750ML X12 </t>
  </si>
  <si>
    <t>V/RUTINI COLECC.CABERNT SAUVIGN 750ML X12</t>
  </si>
  <si>
    <t>VNO DEMUERTE ONE TINTO 750ML X6</t>
  </si>
  <si>
    <t>O. VINO F/CAV.CRIAN C/S X750ML X12</t>
  </si>
  <si>
    <t>CARBON FENIX BOLSA X 5 KG</t>
  </si>
  <si>
    <t>SIERRA NEVEDA PALEALE 12BOT X 12OZ</t>
  </si>
  <si>
    <t>VINO ZUCCARDI Q MALBEC 750ML X 12</t>
  </si>
  <si>
    <t>VINO SANTA JULIA MALBEC CLASS 750MLX12</t>
  </si>
  <si>
    <t>VINO DOMAINES OTT (ROSADO) 750ML X 12</t>
  </si>
  <si>
    <t>RON PLANTATION OVERPROOF 69% 1LT X 6</t>
  </si>
  <si>
    <t>RON PLANTATION ORIGINAL DARK 1LT X6</t>
  </si>
  <si>
    <t>RON MYERS ORIGINAL DARK 750MLX 6</t>
  </si>
  <si>
    <t xml:space="preserve">CAFETERA MOKA ITAL CARMENCITA POP LAVAZZA </t>
  </si>
  <si>
    <t>CAFE ESPRESSO MAESTRO RISTRETO X 10CAPS -LAVAZZA</t>
  </si>
  <si>
    <t>CERV. BITBURGER BARRIL 5 L</t>
  </si>
  <si>
    <t>TRAPICHE RVA CABERNET SAUV 750ML X 6</t>
  </si>
  <si>
    <t>NP GATO TETRA BLANCO 1L X 12</t>
  </si>
  <si>
    <t>VINO GATO DULCE TINTO 750MLX 12</t>
  </si>
  <si>
    <t>V.TINTO SAN PEDRO SIDERAL 750ML X12</t>
  </si>
  <si>
    <t>HERED.D.MARQ/RUEDA 750ML X6</t>
  </si>
  <si>
    <t>HERED.D.MARQ/RISCAL RESERVA 750ML X12</t>
  </si>
  <si>
    <t>HERED.D.MARQ/GRAN RESERVA 750ML X12</t>
  </si>
  <si>
    <t>HERED.D.MARQ/ROSADO 750ML X12</t>
  </si>
  <si>
    <t>HERED.D.MARQ/TEMPRANILLO 750ML X12</t>
  </si>
  <si>
    <t>V.TINTO ICONO UNANIME 750ML X6</t>
  </si>
  <si>
    <t>V.TINTO LA GRAN MASCO.MALBEC 750ML X6</t>
  </si>
  <si>
    <t>V.TINTO LA MASCOTA .MALBEC 750ML X12</t>
  </si>
  <si>
    <t>V.TINTO LA MASC.CABERNET SAUV.750ML X12</t>
  </si>
  <si>
    <t xml:space="preserve"> LA MASCOTA CABERNET FRANC 750ML X 12</t>
  </si>
  <si>
    <t>PF.NC LOS ARBOLES RED BLEND 750ML X6</t>
  </si>
  <si>
    <t>NC LOS ARBOLES CABERN  MALBEC 750ML X6</t>
  </si>
  <si>
    <t>PF.NC DULCET SPARKLING 750ML X6</t>
  </si>
  <si>
    <t>V.TINTO SEP.LOTE ESPECIAL  MALBEC 750ML X6</t>
  </si>
  <si>
    <t>V.TINTO SEP.GRAN RESERVA 750ML X6</t>
  </si>
  <si>
    <t>V.TINTO SEP.OBRA CABERNET 750ML X6</t>
  </si>
  <si>
    <t>V.TINTO SEP.OBRA MALBEC 750ML X6</t>
  </si>
  <si>
    <t>PIS.FERREYROS ACHOLADO 750ML X12</t>
  </si>
  <si>
    <t>PIS.FERREYROS PUR.QUEBRANTA 750ML X12</t>
  </si>
  <si>
    <t>ANIS NAJAR SECO 750ML X12</t>
  </si>
  <si>
    <t>ANIS NAJAR CREMA 750ML X12</t>
  </si>
  <si>
    <t>ANIS NAJAR SECO 125ML X24</t>
  </si>
  <si>
    <t>V.TINTO BORGOÑA.SEÑ.NAJ.750ML X12</t>
  </si>
  <si>
    <t>PF.CHAMP.ESP.SEÑ.NAJAR 750ML X12</t>
  </si>
  <si>
    <t>TRAPICHE BROQUEL MALBEC 750ML X 6</t>
  </si>
  <si>
    <t>TRAPICHE BROQUEL CAB.SAUV 750ML X 6</t>
  </si>
  <si>
    <t>TRAPICHE BROQUEL CAB.FRANC 750ML X 6</t>
  </si>
  <si>
    <t>NC CP PINOT NOIR 750 ML X6</t>
  </si>
  <si>
    <t>RON VIEJO DE CALDAS 3 AÑOS 750MLX12</t>
  </si>
  <si>
    <t>RON VIEJO DE CALDAS 5 AÑOS X750</t>
  </si>
  <si>
    <t>RON VIEJO DE CALDAS 8 AÑOS X750</t>
  </si>
  <si>
    <t>RON VIEJO DE CALDAS GRAN RVA ESP. 750ML</t>
  </si>
  <si>
    <t>R.V CALDAS  ROBLE BLANCO 750ML X 12</t>
  </si>
  <si>
    <t>ESTUCHE R VIEJO CALDAS 5 AÑOS + SHAKER X 750ML</t>
  </si>
  <si>
    <t>ESTUCHE R.VIEJÓ CALDAS  8 AÑOS + VASO X750ML</t>
  </si>
  <si>
    <t>PF.NC ALEG.CABERNET SAUVIG.750ML X6</t>
  </si>
  <si>
    <t>PF.NC CP BLEND 750ML X6</t>
  </si>
  <si>
    <t>PF.NC CP CHARDONNAY 750ML X6</t>
  </si>
  <si>
    <t>PF.NC ALEG.MALBEC 750ML X6</t>
  </si>
  <si>
    <t>PF.NC CP CABER.SAUVIG 750ML X6</t>
  </si>
  <si>
    <t>PF.NC CP MERLOT 750ML X6</t>
  </si>
  <si>
    <t>PF.NC CP ROSADO 750ML X6</t>
  </si>
  <si>
    <t>SPIRIT GIN TONIC 275ML X 24</t>
  </si>
  <si>
    <t>SPIRIT GIN LEMON 275ML X 24</t>
  </si>
  <si>
    <t>SPIRIT MOJITO 275ML X 24</t>
  </si>
  <si>
    <t>SPIRIT MANZANA 275ML X 24</t>
  </si>
  <si>
    <t>SPIRIT PASSION FRUIT 275ML X 24</t>
  </si>
  <si>
    <t>EVIAN AGUA 330ML S/GAS VIDRIO T/PLOMA</t>
  </si>
  <si>
    <t>NP-BRIT-AGUA TONICA LAT 150ML X24</t>
  </si>
  <si>
    <t>R.FLOR DE CAÑA LICOR DE CAFE 750ML X12</t>
  </si>
  <si>
    <t>R.FLOR DE CAÑA 12AÑ CENT 750ML X12</t>
  </si>
  <si>
    <t>R.FLOR DE CAÑA 5AÑ CLAS 750ML X12</t>
  </si>
  <si>
    <t>R.FLOR DE CAÑA 4AÑ 750ML X12</t>
  </si>
  <si>
    <t>R.FLOR DE CAÑA 4AÑ 1LT X12</t>
  </si>
  <si>
    <t>R.FLOR DE CAÑA 25AÑ 750ML X6</t>
  </si>
  <si>
    <t>R.FLOR DE CAÑA 5AÑ CLAS 1LT X12</t>
  </si>
  <si>
    <t>R.FLOR DE CAÑA 4AÑ EX.SECO 750ML X12</t>
  </si>
  <si>
    <t>R.FLOR DE CAÑA 4AÑ 1.750 LT X6</t>
  </si>
  <si>
    <t>R.FLOR DE CAÑA 7AÑ G.RES.750ML X12</t>
  </si>
  <si>
    <t>R.FLOR DE CAÑA 18AÑ 750ML X6</t>
  </si>
  <si>
    <t>R.FLOR DE CAÑA 18AÑ 750ML X6 C/CAJA</t>
  </si>
  <si>
    <t>R.FLOR DE CAÑA 7AÑ G.RES.1LT X12</t>
  </si>
  <si>
    <t>R.FLOR DE CAÑA 12AÑ 375ML X24</t>
  </si>
  <si>
    <t>COCKTAIL DE CAFE PICCOLI 12X750ML</t>
  </si>
  <si>
    <t>WHIS.JACK DANIELS 750ML X12</t>
  </si>
  <si>
    <t>WHIS.JACK DANIELS HONEY 750ML X12</t>
  </si>
  <si>
    <t>WHIS.GLENFIDDICH 12AÑ 750ML X12</t>
  </si>
  <si>
    <t>WHIS.GLENFIDDICH 15AÑOS 750ML</t>
  </si>
  <si>
    <t>WHIS.GLENFIDDICH 18AÑ 750ML X3</t>
  </si>
  <si>
    <t>WHIS.GLENFIDDICH 21AÑ 750ML</t>
  </si>
  <si>
    <t>MINI.WHIS.JACK DANIELS 50ML X10</t>
  </si>
  <si>
    <t>WHIS.JACK DANIELS 150ANV.SS 750ML X12</t>
  </si>
  <si>
    <t>JAGERMEISTER 1LT X6</t>
  </si>
  <si>
    <t>TEQUILA HERRADURA REPOSADO 750ML</t>
  </si>
  <si>
    <t>WHIS.JACK DANIELS FIRE 750ML</t>
  </si>
  <si>
    <t>ESPUMOSO NUVO 700ML</t>
  </si>
  <si>
    <t>WHIS.JACK DANIELS APPLE  750ML X12</t>
  </si>
  <si>
    <t>P-JACK DANIELS APPLE 750ML+COPA VERDE</t>
  </si>
  <si>
    <t>WHIS.GIN HENDRICKS DIV.700ML X6</t>
  </si>
  <si>
    <t>JAGERMEISTER 700ML X6</t>
  </si>
  <si>
    <t>TEQUILA JIMADOR BLANCOX750ML X12</t>
  </si>
  <si>
    <t>TEQUILA JIMADOR REPOSADOX750ML X12</t>
  </si>
  <si>
    <t>BIFE ANGOSTO USA CHOICE X900GR 1KG</t>
  </si>
  <si>
    <t>ASADO DE TIRA CON HUESO X 1250GR (PACK X 5  PIEZAS 200GR - 250GR)</t>
  </si>
  <si>
    <t xml:space="preserve">MIX CHARCUTERO </t>
  </si>
  <si>
    <t>FRASCOS CHIMICHURRI PICANTE 190 GR</t>
  </si>
  <si>
    <t xml:space="preserve">CH.CERVEZA ARTESANAL </t>
  </si>
  <si>
    <t>CH.ORIENTAL</t>
  </si>
  <si>
    <t xml:space="preserve">CHIMICHUMRRI X 475 GR </t>
  </si>
  <si>
    <t>COLITA DE CUADRIL AG US 1.4KG - 1.5KG</t>
  </si>
  <si>
    <t>COLITA DE CUADRIL AG US 1.9KG - 2KG</t>
  </si>
  <si>
    <t>COLITA DE CUADRIL AG US 2.1KG - 2.3KG</t>
  </si>
  <si>
    <t>PORTER HOUSE PORC - STERLING SILVER X 1.1KG</t>
  </si>
  <si>
    <t>LOMO FINO FRIGOR (1.3-1.6 KG)-BOL</t>
  </si>
  <si>
    <t>LOMO FINO FRIGOR (1.6-1.9 KG)-BOL</t>
  </si>
  <si>
    <t>LOMO FINO FRIGOR (1.9-2 KG)-BOL</t>
  </si>
  <si>
    <t>T-BONE 900-1KG CONG STERLING SILVER</t>
  </si>
  <si>
    <t>PICAÑA ARGENTINA (DEVESA) 1.7KG - 1.9KG</t>
  </si>
  <si>
    <t>PICAÑA ARGENTINA 1.4KG - 1.6KG ANGUS GRAIN FED</t>
  </si>
  <si>
    <t>BIFE ANCHO BEEF MASTER ORG.USA 1-1.2KG</t>
  </si>
  <si>
    <t>ENTRAÑA FINA ANGUS 0.45KG - 0.75KG</t>
  </si>
  <si>
    <t>HAMBUR.ANGUS 200GR X4 BEST MEATS</t>
  </si>
  <si>
    <t>HAMBUR.D-BIFE 200GR X4 BEST MEATS</t>
  </si>
  <si>
    <t>HAMBURGUESA RES 190GR OSSO</t>
  </si>
  <si>
    <t>MINI HAMBURGUESA DE RES 600GR X 12</t>
  </si>
  <si>
    <t>COWBOY USA OREGON BEEF MASTER 800GR-1.2KG</t>
  </si>
  <si>
    <t>PACK ENTRÑA F. ANG+CHORIZ MERM RCT+FRONT SWEET SEL</t>
  </si>
  <si>
    <t xml:space="preserve">TAPA CUADRILCHO AG US 1.6KG 1.9KG </t>
  </si>
  <si>
    <t xml:space="preserve">TAPA CUADRILCHO AG US 1.3KG 1.6KG </t>
  </si>
  <si>
    <t xml:space="preserve">TAPA CUADRILCHO AG US 1.9KG 2KG </t>
  </si>
  <si>
    <t>GREENALLS WILL BERRY 700ML X 6</t>
  </si>
  <si>
    <t>GREENALLS LONDON DRY 750ML X 12</t>
  </si>
  <si>
    <t>PACK GREENALLS LONDON DRY GIN + COPA</t>
  </si>
  <si>
    <t>GIN GREENALLS BLOOD ORANGE GIN 700ML X 6</t>
  </si>
  <si>
    <t>PACK GREENALLS LONDON DRY GIN + WILD BERRY GIN</t>
  </si>
  <si>
    <t>RON BOTRAN COBRE 700ML X 6</t>
  </si>
  <si>
    <t>RON BOTRAN 5 AÑOS 750ML X 6</t>
  </si>
  <si>
    <t>RON BOTRAN 8 AÑOS X 750ML X12</t>
  </si>
  <si>
    <t>RON BOTRAN  12 AÑOS 750ML X 12</t>
  </si>
  <si>
    <t>RON BOTRAN 15 AÑOS 750ML X 6</t>
  </si>
  <si>
    <t>RON BOTRAN 18 AÑOS 750ML X 6</t>
  </si>
  <si>
    <t>RON COLONIAL ARTESANAL 700ML X 6</t>
  </si>
  <si>
    <t>ESPUMANTE TOSTI ASTI DOCG 750ML X6</t>
  </si>
  <si>
    <t>ESPUMANTE TOSTI PINK MOSCATO  750ML X6</t>
  </si>
  <si>
    <t>TOSTI ASTI DOCG + TOSTI PINK MOSCT X750ML</t>
  </si>
  <si>
    <t>V/T LORCA MALBEC 750ML X 6</t>
  </si>
  <si>
    <t>V/T LORCA CABERNET FRANC 750ML X 6</t>
  </si>
  <si>
    <t>V/T LORCA CABERNET SAUVIGNON 750ML X6</t>
  </si>
  <si>
    <t>V/T TRIBUTO SYRAH 750ML X 6</t>
  </si>
  <si>
    <t>V/T TRIBUTO CENCIBEL 750ML X 6</t>
  </si>
  <si>
    <t>RON BOTRAN ROAJÚ 700ML X 6</t>
  </si>
  <si>
    <t>RON BOTRAN RARE BLEND GUATEMALAN 700ML</t>
  </si>
  <si>
    <t>PISCANO SOUR LIMON 700MLX12</t>
  </si>
  <si>
    <t>PISCANO SOUR MARACUYA 700MLX12</t>
  </si>
  <si>
    <t>PISCANO SOUR MANGO 700MLX12</t>
  </si>
  <si>
    <t>PISCANO SOUR PIÑA COLADA 700MLX12</t>
  </si>
  <si>
    <t>CHEETOS QUESO PIC 90 GR X32 X1</t>
  </si>
  <si>
    <t>BIFE ANGOS CONG 2U BLS 500G AP SEGO</t>
  </si>
  <si>
    <t>INTIPALKA RESERVA MALBEC/MERLOT 750ML</t>
  </si>
  <si>
    <t>VINO ROSÉ EN CAJA 2 LTS</t>
  </si>
  <si>
    <t>PACK LONCHERA MIXTA ROSE/ BORGOÑA</t>
  </si>
  <si>
    <t>VINO MOSCATO SQ 750ML</t>
  </si>
  <si>
    <t>VINO ROSE  375ML X 24 T ROSCA</t>
  </si>
  <si>
    <t>VINO GRAN BORGOÑA 375ML X 24 T ROSCA</t>
  </si>
  <si>
    <t>S.Q PISCO ACHOLADO 750ML</t>
  </si>
  <si>
    <t>PISCO SANTIAGO QUEIROLO ITALIA 750ML</t>
  </si>
  <si>
    <t>DON SANTIAGO MAC.MANDARINA 500ML X6</t>
  </si>
  <si>
    <t>DON SANTIAGO MACERADO PASAS 500ML X6</t>
  </si>
  <si>
    <t>DON SANTIAGO MAC. CIRUELA 500ML X6</t>
  </si>
  <si>
    <t>PIS.INTPK QUEBRANTA MOSTO VERD750ML X6</t>
  </si>
  <si>
    <t>PIS.INTIPALKA QUEBRANTA 750ML X6</t>
  </si>
  <si>
    <t>PIS.INTPK ITALIA MOSTO VERD750ML X6</t>
  </si>
  <si>
    <t>PIS.PURO INTIPALKA ITALIA 750ML X6</t>
  </si>
  <si>
    <t>PIS.INTPK ACHOLADO MOSTO VERD750ML X6</t>
  </si>
  <si>
    <t>PIS.INTIPALKA ACHOLADO 750ML X6</t>
  </si>
  <si>
    <t>S.Q. CHAMP.PRIMADONNA X750MLX12</t>
  </si>
  <si>
    <t>S.Q. PISCO QUEBRANTA 2LT X 6</t>
  </si>
  <si>
    <t>S.Q. PISCO QUEBRANTA 4LT X4</t>
  </si>
  <si>
    <t xml:space="preserve">ESPUMOSO SEMI SECO TACAMA 2019 / 12X750ML </t>
  </si>
  <si>
    <t xml:space="preserve">VINO BLANCO DE BLANCOS 12X750ML </t>
  </si>
  <si>
    <t>VINO.TINTO.SEMI.SECO TACAMA 12X750ML</t>
  </si>
  <si>
    <t>VINO TOÑUZ 12X750ML</t>
  </si>
  <si>
    <t>VINO.ROSE.SEMI.SECO TACAMA 12X750ML</t>
  </si>
  <si>
    <t xml:space="preserve">VINO GRAN TINTO 12X750ML </t>
  </si>
  <si>
    <t xml:space="preserve">VINO SELECCION ESPECIAL 12X750ML </t>
  </si>
  <si>
    <t xml:space="preserve">VINO DON MNUEL TANNAT 12 X750ML </t>
  </si>
  <si>
    <t>VINO SELECCION ESPECIAL MELBEC 12X750ML</t>
  </si>
  <si>
    <t xml:space="preserve">VINO SELECCION ESPECIAL CARMENERE 12X750ML </t>
  </si>
  <si>
    <t xml:space="preserve">VINO ORIGEN MALBEC 12 X 750ML </t>
  </si>
  <si>
    <t>PISCO MULITA QUEBRANTA 2000ML X 9</t>
  </si>
  <si>
    <t xml:space="preserve">GRAN DEMONIO QUEBRANTA  6X500ML </t>
  </si>
  <si>
    <t>ESTCH ACHOLAD MOS.VER EDICION ESP 500MLX9</t>
  </si>
  <si>
    <t>P.MOSCATEL SILVER  700ML X 12</t>
  </si>
  <si>
    <t>P.MOSCATEL GOLD 700ML X 12</t>
  </si>
  <si>
    <t>P.MOST VERD CHOLADO BLUE 710 ML X 6</t>
  </si>
  <si>
    <t>VINO CLOS/PIRQUE TINTO 1LT X12</t>
  </si>
  <si>
    <t>C/T CAS.DIAB.CABERNET SAUVIG.750MLX12</t>
  </si>
  <si>
    <t>RON MEDELLIN 3AÑ 750ML X12</t>
  </si>
  <si>
    <t>RON MEDELLIN 12AÑ 750ML X6</t>
  </si>
  <si>
    <t>C/T CAS.DIAB.SAUVIGNON BLAN.750ML X12</t>
  </si>
  <si>
    <t>C/T CAS.DIAB.MERLOT 750ML X12</t>
  </si>
  <si>
    <t>C/T CAS.DIAB.MALBEC 750ML X12</t>
  </si>
  <si>
    <t>DIABLO DARK RED 750ML X12</t>
  </si>
  <si>
    <t xml:space="preserve">C/T CAS.DIAB.RED BLEND 750ML X12 </t>
  </si>
  <si>
    <t>WHIS.MACALLAN 12AÑ 700ML X12</t>
  </si>
  <si>
    <t>DIABLO BLACK 750ML X12</t>
  </si>
  <si>
    <t>C/T FRONT.MALBEC 750ML X12</t>
  </si>
  <si>
    <t>V/T ALAMOS MALBEC 750ML X 12</t>
  </si>
  <si>
    <t>V/T ALAMOS.CABERNET SAUVIGNON 750ML X12</t>
  </si>
  <si>
    <t>V/T CATENA.CABERNET SAUVIGNON 750ML X12</t>
  </si>
  <si>
    <t>V/T CATENA MALBEC 750ML X 12</t>
  </si>
  <si>
    <t>CATENA ZAPATA MALBEC ARGENTINO 6 X 750ML</t>
  </si>
  <si>
    <t>EL ENEMIGO  CABERNET FRANC 12 X 750ML</t>
  </si>
  <si>
    <t xml:space="preserve">EL ENEMIGO MALBEC 12 X 750ML </t>
  </si>
  <si>
    <t>V.TINTO GRAN ENEMIGO 6 X 750ML</t>
  </si>
  <si>
    <t>PACK CAS.DIAB.CAB. SAUVI+ TRIV. MALB 750ML X6</t>
  </si>
  <si>
    <t>TRIVENTO MERRY MALBEC 750ML X12</t>
  </si>
  <si>
    <t>FRONTERA FRUTAL PINK  PARADISE 12X750ML</t>
  </si>
  <si>
    <t>CABALLO LOCO GRAN CRU APALTA AZULX 750ML</t>
  </si>
  <si>
    <t>CABALLO LOCO GRAN CRU SAGRADA FAM. VERDE X 750ML</t>
  </si>
  <si>
    <t>CABALLO LOCO GRAN CRU MAIPO ROJO X 750ML</t>
  </si>
  <si>
    <t>VINO CABALLO LOCO N19 X 750ML</t>
  </si>
  <si>
    <t xml:space="preserve">TOTAL GENERAL </t>
  </si>
  <si>
    <t xml:space="preserve">syrah </t>
  </si>
  <si>
    <t>gran tinto tacama - degustacion</t>
  </si>
  <si>
    <t>vino tinto copello</t>
  </si>
  <si>
    <t>wyboroba wodka</t>
  </si>
  <si>
    <t>ocucaje mosto verde italia 500ml</t>
  </si>
  <si>
    <t>Costo</t>
  </si>
  <si>
    <t>Proveedor</t>
  </si>
  <si>
    <t>4LO</t>
  </si>
  <si>
    <t>AGC</t>
  </si>
  <si>
    <t>AVV</t>
  </si>
  <si>
    <t>BIM</t>
  </si>
  <si>
    <t>C&amp;C</t>
  </si>
  <si>
    <t>CAR</t>
  </si>
  <si>
    <t>COP</t>
  </si>
  <si>
    <t>ESM</t>
  </si>
  <si>
    <t>EXC</t>
  </si>
  <si>
    <t>FDL</t>
  </si>
  <si>
    <t>GCC</t>
  </si>
  <si>
    <t>GCP</t>
  </si>
  <si>
    <t>GKP</t>
  </si>
  <si>
    <t>ISM</t>
  </si>
  <si>
    <t>IWA</t>
  </si>
  <si>
    <t>JEI</t>
  </si>
  <si>
    <t>JYA</t>
  </si>
  <si>
    <t>K&amp;M</t>
  </si>
  <si>
    <t>KLS</t>
  </si>
  <si>
    <t>OCU</t>
  </si>
  <si>
    <t>OTR</t>
  </si>
  <si>
    <t>PAN</t>
  </si>
  <si>
    <t>PBA</t>
  </si>
  <si>
    <t>PFA</t>
  </si>
  <si>
    <t>PIC</t>
  </si>
  <si>
    <t>PRE</t>
  </si>
  <si>
    <t>PRR</t>
  </si>
  <si>
    <t>RPD</t>
  </si>
  <si>
    <t>RTD</t>
  </si>
  <si>
    <t>SAL</t>
  </si>
  <si>
    <t>SIG</t>
  </si>
  <si>
    <t>SQL</t>
  </si>
  <si>
    <t>TCM</t>
  </si>
  <si>
    <t>VDO</t>
  </si>
  <si>
    <t>YIC</t>
  </si>
  <si>
    <t>Precio</t>
  </si>
  <si>
    <t>RETORNAR</t>
  </si>
  <si>
    <t>FACTURAR</t>
  </si>
  <si>
    <t>Soles</t>
  </si>
  <si>
    <t>Etiquetas de fila</t>
  </si>
  <si>
    <t>(en blanco)</t>
  </si>
  <si>
    <t>Total general</t>
  </si>
  <si>
    <t>Suma de Soles</t>
  </si>
  <si>
    <t>queda stock en Tienda</t>
  </si>
  <si>
    <t>saldo</t>
  </si>
  <si>
    <t>f112-531</t>
  </si>
  <si>
    <t>f112-507</t>
  </si>
  <si>
    <t>F111-159746</t>
  </si>
  <si>
    <t>F111-137631</t>
  </si>
  <si>
    <t>CL1</t>
  </si>
  <si>
    <t>CL2</t>
  </si>
  <si>
    <t>EMPRESA</t>
  </si>
  <si>
    <t>F112-507</t>
  </si>
  <si>
    <t>F130-219742</t>
  </si>
  <si>
    <t>F130-183177</t>
  </si>
  <si>
    <t>F131-373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</si>
</sst>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#,##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43" fontId="0" fillId="0" borderId="0" xfId="1" applyFont="1"/>
    <xf numFmtId="0" fontId="2" fillId="0" borderId="0" xfId="0" applyFont="1"/>
    <xf numFmtId="43" fontId="2" fillId="0" borderId="0" xfId="1" applyFont="1"/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0" xfId="0" applyFill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  <xf numFmtId="44" fontId="2" fillId="2" borderId="0" xfId="2" applyFont="1" applyFill="1" applyBorder="1" applyAlignment="1">
      <alignment vertical="center"/>
    </xf>
    <xf numFmtId="44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43" fontId="2" fillId="2" borderId="0" xfId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4" fontId="2" fillId="2" borderId="2" xfId="2" applyFont="1" applyFill="1" applyBorder="1" applyAlignment="1">
      <alignment vertical="center"/>
    </xf>
    <xf numFmtId="0" fontId="0" fillId="4" borderId="0" xfId="0" applyFill="1" applyAlignment="1">
      <alignment vertical="center"/>
    </xf>
  </cellXfs>
  <cellStyles count="3">
    <cellStyle name="Millares" xfId="1" builtinId="3"/>
    <cellStyle name="Moneda" xfId="2" builtinId="4"/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ioSupo\D\2026\VACA%20NOSTRA\toma%20de%20inventario%20al%2031-07.xlsx" TargetMode="External"/><Relationship Id="rId1" Type="http://schemas.openxmlformats.org/officeDocument/2006/relationships/externalLinkPath" Target="toma%20de%20inventario%20al%2031-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C2" t="str">
            <v>Cod. Articulo</v>
          </cell>
          <cell r="D2" t="str">
            <v>Cod. Proveedor</v>
          </cell>
          <cell r="E2" t="str">
            <v>Descripción</v>
          </cell>
          <cell r="G2" t="str">
            <v>Costo</v>
          </cell>
        </row>
        <row r="3">
          <cell r="C3" t="str">
            <v>209048</v>
          </cell>
          <cell r="D3" t="str">
            <v>209048</v>
          </cell>
          <cell r="E3" t="str">
            <v xml:space="preserve">JR. FOUR LOKO GOLD LATA 473ML X24 </v>
          </cell>
          <cell r="F3">
            <v>9.1</v>
          </cell>
          <cell r="G3">
            <v>7.92</v>
          </cell>
        </row>
        <row r="4">
          <cell r="C4" t="str">
            <v>269002</v>
          </cell>
          <cell r="D4" t="str">
            <v>269002</v>
          </cell>
          <cell r="E4" t="str">
            <v>JR. FOUR LOKO SANDIA LATA 473ML X24</v>
          </cell>
          <cell r="G4">
            <v>7.92</v>
          </cell>
        </row>
        <row r="5">
          <cell r="C5" t="str">
            <v>269026</v>
          </cell>
          <cell r="D5" t="str">
            <v>269026</v>
          </cell>
          <cell r="E5" t="str">
            <v>JR. FOUR LOKO PURPLE LATA 473ML X24</v>
          </cell>
          <cell r="G5">
            <v>7.92</v>
          </cell>
        </row>
        <row r="6">
          <cell r="C6" t="str">
            <v>269049</v>
          </cell>
          <cell r="D6" t="str">
            <v>269049</v>
          </cell>
          <cell r="E6" t="str">
            <v>JR. FOUR LOKO BLUE LATA 473ML X24</v>
          </cell>
          <cell r="F6">
            <v>9.1</v>
          </cell>
          <cell r="G6">
            <v>7.92</v>
          </cell>
        </row>
        <row r="7">
          <cell r="C7" t="str">
            <v>269050</v>
          </cell>
          <cell r="D7" t="str">
            <v>269050</v>
          </cell>
          <cell r="E7" t="str">
            <v>JR. FOUR LOKO GREEN LATA 473ML X24</v>
          </cell>
          <cell r="F7">
            <v>9.1</v>
          </cell>
          <cell r="G7">
            <v>7.92</v>
          </cell>
        </row>
        <row r="8">
          <cell r="C8" t="str">
            <v>269051</v>
          </cell>
          <cell r="D8" t="str">
            <v>269051</v>
          </cell>
          <cell r="E8" t="str">
            <v xml:space="preserve">JR. FOUR LOKO PONCHE DE FRUTAS LATA 473ML X24 </v>
          </cell>
          <cell r="F8">
            <v>9.1</v>
          </cell>
          <cell r="G8">
            <v>7.92</v>
          </cell>
        </row>
        <row r="9">
          <cell r="C9" t="str">
            <v>4980600</v>
          </cell>
          <cell r="D9" t="str">
            <v>4980600</v>
          </cell>
          <cell r="E9" t="str">
            <v>JR. FOUR LOKO MARACUYA LATA 473ML X24</v>
          </cell>
          <cell r="G9">
            <v>7.92</v>
          </cell>
        </row>
        <row r="10">
          <cell r="C10" t="str">
            <v>4981612</v>
          </cell>
          <cell r="D10" t="str">
            <v>4981612</v>
          </cell>
          <cell r="E10" t="str">
            <v xml:space="preserve">JR. FOUR LOKO WHITE 473ML X24 </v>
          </cell>
          <cell r="G10">
            <v>7.92</v>
          </cell>
        </row>
        <row r="11">
          <cell r="C11" t="str">
            <v>ACO1</v>
          </cell>
          <cell r="D11" t="str">
            <v>ACO1</v>
          </cell>
          <cell r="E11" t="str">
            <v>ACT.OLIVA VIDRIO 1LT X24</v>
          </cell>
          <cell r="F11">
            <v>55.1</v>
          </cell>
          <cell r="G11">
            <v>44</v>
          </cell>
        </row>
        <row r="12">
          <cell r="C12" t="str">
            <v>ACO14</v>
          </cell>
          <cell r="D12" t="str">
            <v>ACO14</v>
          </cell>
          <cell r="E12" t="str">
            <v>ACT.OLIVA VIDRIO 200ML X36</v>
          </cell>
          <cell r="F12">
            <v>12.3</v>
          </cell>
          <cell r="G12">
            <v>9.5</v>
          </cell>
        </row>
        <row r="13">
          <cell r="C13" t="str">
            <v>ACO2</v>
          </cell>
          <cell r="D13" t="str">
            <v>ACO2</v>
          </cell>
          <cell r="E13" t="str">
            <v>ACT.OLIVA VIDRIO 500ML X36</v>
          </cell>
          <cell r="F13">
            <v>28.15</v>
          </cell>
          <cell r="G13">
            <v>22</v>
          </cell>
        </row>
        <row r="14">
          <cell r="C14" t="str">
            <v>ACO3</v>
          </cell>
          <cell r="D14" t="str">
            <v>ACO3</v>
          </cell>
          <cell r="E14" t="str">
            <v>ACT.OLIVA VIDRIO 250ML X36</v>
          </cell>
          <cell r="G14">
            <v>13.5</v>
          </cell>
        </row>
        <row r="15">
          <cell r="C15" t="str">
            <v>ACO7</v>
          </cell>
          <cell r="D15" t="str">
            <v>ACO7</v>
          </cell>
          <cell r="E15" t="str">
            <v>PACK ACT.OLIVA 4 PRE.VIDRI (1LT+500ML+250ML+JAR.260ML)</v>
          </cell>
          <cell r="F15">
            <v>82.8</v>
          </cell>
          <cell r="G15">
            <v>72.45</v>
          </cell>
        </row>
        <row r="16">
          <cell r="C16" t="str">
            <v>ACOJ</v>
          </cell>
          <cell r="D16" t="str">
            <v>ACOJ</v>
          </cell>
          <cell r="E16" t="str">
            <v>ACT.OLIVA VIDRIO JARRITA 260ML X36</v>
          </cell>
          <cell r="F16">
            <v>17</v>
          </cell>
          <cell r="G16">
            <v>13</v>
          </cell>
        </row>
        <row r="17">
          <cell r="C17" t="str">
            <v>216001</v>
          </cell>
          <cell r="D17" t="str">
            <v>216001</v>
          </cell>
          <cell r="E17" t="str">
            <v>ESPUMANTE V.VIEJA NAPOLEON MOSCATO BLANCO 750ML</v>
          </cell>
          <cell r="G17">
            <v>8.73</v>
          </cell>
        </row>
        <row r="18">
          <cell r="C18" t="str">
            <v>700001</v>
          </cell>
          <cell r="D18" t="str">
            <v>700001</v>
          </cell>
          <cell r="E18" t="str">
            <v>PACK PISCO VARGAS QEBRT 750ML+JAR DE GOMA</v>
          </cell>
          <cell r="G18">
            <v>27.3</v>
          </cell>
        </row>
        <row r="19">
          <cell r="C19" t="str">
            <v>701347</v>
          </cell>
          <cell r="D19" t="str">
            <v>701347</v>
          </cell>
          <cell r="E19" t="str">
            <v>PACK PISCO VARGAS 750ML+ PISCO VARGAS 125ML</v>
          </cell>
          <cell r="F19">
            <v>23.55</v>
          </cell>
          <cell r="G19">
            <v>19.3</v>
          </cell>
        </row>
        <row r="20">
          <cell r="C20" t="str">
            <v>703444</v>
          </cell>
          <cell r="D20" t="str">
            <v>703444</v>
          </cell>
          <cell r="E20" t="str">
            <v>PACK VIÑA VIEJA ROSE 750ML+ PISCO VARGAS 125ML</v>
          </cell>
          <cell r="F20">
            <v>12.86</v>
          </cell>
          <cell r="G20">
            <v>11.09</v>
          </cell>
        </row>
        <row r="21">
          <cell r="C21" t="str">
            <v>704236</v>
          </cell>
          <cell r="D21" t="str">
            <v>704236</v>
          </cell>
          <cell r="E21" t="str">
            <v>VINO VIÑA VIEJA BORGOÑA LATA 473ML X24</v>
          </cell>
          <cell r="F21">
            <v>5.88</v>
          </cell>
          <cell r="G21">
            <v>4.75</v>
          </cell>
        </row>
        <row r="22">
          <cell r="C22" t="str">
            <v>704237</v>
          </cell>
          <cell r="D22" t="str">
            <v>704237</v>
          </cell>
          <cell r="E22" t="str">
            <v xml:space="preserve">VINO VIÑA VIEJA ROSE LATA 473ML </v>
          </cell>
          <cell r="F22">
            <v>5.88</v>
          </cell>
          <cell r="G22">
            <v>4.75</v>
          </cell>
        </row>
        <row r="23">
          <cell r="C23" t="str">
            <v>704422</v>
          </cell>
          <cell r="D23" t="str">
            <v>704422</v>
          </cell>
          <cell r="E23" t="str">
            <v xml:space="preserve">VINO VIÑA VIEJA MALBEC LATA 473ML </v>
          </cell>
          <cell r="F23">
            <v>5.88</v>
          </cell>
          <cell r="G23">
            <v>4.75</v>
          </cell>
        </row>
        <row r="24">
          <cell r="C24" t="str">
            <v>704656</v>
          </cell>
          <cell r="D24" t="str">
            <v>704656</v>
          </cell>
          <cell r="E24" t="str">
            <v>ESPUMANTE V.VIEJA NAPOLEON MOSCATO ROSE X 750ML</v>
          </cell>
          <cell r="F24">
            <v>10.33</v>
          </cell>
          <cell r="G24">
            <v>8.73</v>
          </cell>
        </row>
        <row r="25">
          <cell r="C25" t="str">
            <v>705605</v>
          </cell>
          <cell r="D25" t="str">
            <v>705605</v>
          </cell>
          <cell r="E25" t="str">
            <v>RON BAHIA BLACK STAR 750ML X12</v>
          </cell>
          <cell r="F25">
            <v>16.510000000000002</v>
          </cell>
          <cell r="G25">
            <v>14.11</v>
          </cell>
        </row>
        <row r="26">
          <cell r="C26" t="str">
            <v>705606</v>
          </cell>
          <cell r="D26" t="str">
            <v>705606</v>
          </cell>
          <cell r="E26" t="str">
            <v>RON BAHIA GOLD 750ML X12</v>
          </cell>
          <cell r="F26">
            <v>16.510000000000002</v>
          </cell>
          <cell r="G26">
            <v>14.11</v>
          </cell>
        </row>
        <row r="27">
          <cell r="C27" t="str">
            <v>128973</v>
          </cell>
          <cell r="D27" t="str">
            <v>128973</v>
          </cell>
          <cell r="E27" t="str">
            <v>TAKIS ORIGINAL 56G FLOW BAR EXP X42</v>
          </cell>
          <cell r="F27">
            <v>2.5</v>
          </cell>
          <cell r="G27">
            <v>1.7</v>
          </cell>
        </row>
        <row r="28">
          <cell r="C28" t="str">
            <v>128975</v>
          </cell>
          <cell r="D28" t="str">
            <v>128975</v>
          </cell>
          <cell r="E28" t="str">
            <v>TAKIS XPLOSION 56G FLOW BAR EXP X42</v>
          </cell>
          <cell r="F28">
            <v>2.5</v>
          </cell>
          <cell r="G28">
            <v>1.7</v>
          </cell>
        </row>
        <row r="29">
          <cell r="C29" t="str">
            <v>128976</v>
          </cell>
          <cell r="D29" t="str">
            <v>128976</v>
          </cell>
          <cell r="E29" t="str">
            <v>TAKIS FUEGO 56G FLOW BAR EXP X42</v>
          </cell>
          <cell r="F29">
            <v>2.5</v>
          </cell>
          <cell r="G29">
            <v>1.7</v>
          </cell>
        </row>
        <row r="30">
          <cell r="C30" t="str">
            <v>673</v>
          </cell>
          <cell r="D30" t="str">
            <v>673</v>
          </cell>
          <cell r="E30" t="str">
            <v>C&amp;C FRUIT PUNCH 355ML X 24</v>
          </cell>
          <cell r="F30">
            <v>2.99</v>
          </cell>
          <cell r="G30">
            <v>2.5</v>
          </cell>
        </row>
        <row r="31">
          <cell r="C31" t="str">
            <v>675</v>
          </cell>
          <cell r="D31" t="str">
            <v>675</v>
          </cell>
          <cell r="E31" t="str">
            <v>C&amp;C GRAPE LATA 355ML X 24</v>
          </cell>
          <cell r="F31">
            <v>2.99</v>
          </cell>
          <cell r="G31">
            <v>2.5</v>
          </cell>
        </row>
        <row r="32">
          <cell r="C32" t="str">
            <v>1003001</v>
          </cell>
          <cell r="D32" t="str">
            <v>1003001</v>
          </cell>
          <cell r="E32" t="str">
            <v>TEQUILA JOSE CUER RUB (ESP) 750ML X12</v>
          </cell>
          <cell r="F32">
            <v>49.98</v>
          </cell>
          <cell r="G32">
            <v>48.42</v>
          </cell>
        </row>
        <row r="33">
          <cell r="C33" t="str">
            <v>1003002</v>
          </cell>
          <cell r="D33" t="str">
            <v>1003002</v>
          </cell>
          <cell r="E33" t="str">
            <v>TEQUILA JOSE C BLANCO(ESP) 750ML X12</v>
          </cell>
          <cell r="F33">
            <v>59.76</v>
          </cell>
          <cell r="G33">
            <v>52</v>
          </cell>
        </row>
        <row r="34">
          <cell r="C34" t="str">
            <v>40000041</v>
          </cell>
          <cell r="D34" t="str">
            <v>40000041</v>
          </cell>
          <cell r="E34" t="str">
            <v>R.CARTAVIO SUPERIOR 750ML X12</v>
          </cell>
          <cell r="G34">
            <v>20.62</v>
          </cell>
        </row>
        <row r="35">
          <cell r="C35" t="str">
            <v>40000042</v>
          </cell>
          <cell r="D35" t="str">
            <v>40000042</v>
          </cell>
          <cell r="E35" t="str">
            <v>R.CARTAVIO BLACK 750ML X12</v>
          </cell>
          <cell r="G35">
            <v>20.61</v>
          </cell>
        </row>
        <row r="36">
          <cell r="C36" t="str">
            <v>40000055</v>
          </cell>
          <cell r="D36" t="str">
            <v>40000055</v>
          </cell>
          <cell r="E36" t="str">
            <v>R.CARTAVIO XO 50ML X120</v>
          </cell>
          <cell r="G36">
            <v>13.78</v>
          </cell>
        </row>
        <row r="37">
          <cell r="C37" t="str">
            <v>40000106</v>
          </cell>
          <cell r="D37" t="str">
            <v>40000106</v>
          </cell>
          <cell r="E37" t="str">
            <v>WHIS.OLD TIMES BLACK 750ML X12</v>
          </cell>
          <cell r="G37">
            <v>20.86</v>
          </cell>
        </row>
        <row r="38">
          <cell r="C38" t="str">
            <v>40000107</v>
          </cell>
          <cell r="D38" t="str">
            <v>40000107</v>
          </cell>
          <cell r="E38" t="str">
            <v>WHIS.OLD TIMES RED 750ML X12</v>
          </cell>
          <cell r="G38">
            <v>19.36</v>
          </cell>
        </row>
        <row r="39">
          <cell r="C39" t="str">
            <v>40000108</v>
          </cell>
          <cell r="D39" t="str">
            <v>40000108</v>
          </cell>
          <cell r="E39" t="str">
            <v>VODKA RUSSKAYA 750ML X12</v>
          </cell>
          <cell r="G39">
            <v>18.62</v>
          </cell>
        </row>
        <row r="40">
          <cell r="C40" t="str">
            <v>40000157</v>
          </cell>
          <cell r="D40" t="str">
            <v>40000157</v>
          </cell>
          <cell r="E40" t="str">
            <v>R.CARTAVIO XO 750ML X6</v>
          </cell>
          <cell r="F40">
            <v>196.71</v>
          </cell>
          <cell r="G40">
            <v>163.86</v>
          </cell>
        </row>
        <row r="41">
          <cell r="C41" t="str">
            <v>40000785</v>
          </cell>
          <cell r="D41" t="str">
            <v>40000785</v>
          </cell>
          <cell r="E41" t="str">
            <v>R.CARTAVIO RESERVA 750ML X12</v>
          </cell>
          <cell r="F41">
            <v>45.97</v>
          </cell>
          <cell r="G41">
            <v>37.26</v>
          </cell>
        </row>
        <row r="42">
          <cell r="C42" t="str">
            <v>40000934</v>
          </cell>
          <cell r="D42" t="str">
            <v>40000934</v>
          </cell>
          <cell r="E42" t="str">
            <v>R.CART.SELECTO 5AÑ BLANCO 750ML X12</v>
          </cell>
          <cell r="G42">
            <v>23.34</v>
          </cell>
        </row>
        <row r="43">
          <cell r="C43" t="str">
            <v>40001153</v>
          </cell>
          <cell r="D43" t="str">
            <v>40001153</v>
          </cell>
          <cell r="E43" t="str">
            <v>R.CARTAVIO GRAN SOLERA 750M6 X 6</v>
          </cell>
          <cell r="F43">
            <v>131.34</v>
          </cell>
          <cell r="G43">
            <v>108.39</v>
          </cell>
        </row>
        <row r="44">
          <cell r="C44" t="str">
            <v>40001241</v>
          </cell>
          <cell r="D44" t="str">
            <v>40001241</v>
          </cell>
          <cell r="E44" t="str">
            <v>PISCO DECANTO QUEBRANTA 750ML X 12</v>
          </cell>
          <cell r="F44">
            <v>23.38</v>
          </cell>
          <cell r="G44">
            <v>21.26</v>
          </cell>
        </row>
        <row r="45">
          <cell r="C45" t="str">
            <v>40001242</v>
          </cell>
          <cell r="D45" t="str">
            <v>40001242</v>
          </cell>
          <cell r="E45" t="str">
            <v>PISCO DECANTO ACHOLADO 750ML X 12</v>
          </cell>
          <cell r="F45">
            <v>23.39</v>
          </cell>
          <cell r="G45">
            <v>21.26</v>
          </cell>
        </row>
        <row r="46">
          <cell r="C46" t="str">
            <v>40001243</v>
          </cell>
          <cell r="D46" t="str">
            <v>40001243</v>
          </cell>
          <cell r="E46" t="str">
            <v>PISCO DECANTO ITALIA 750ML X 12</v>
          </cell>
          <cell r="F46">
            <v>23.38</v>
          </cell>
          <cell r="G46">
            <v>21.26</v>
          </cell>
        </row>
        <row r="47">
          <cell r="C47" t="str">
            <v>40001310</v>
          </cell>
          <cell r="D47" t="str">
            <v>40001310</v>
          </cell>
          <cell r="E47" t="str">
            <v>WHISKY OLD TIMES GOLD 750ML X 12</v>
          </cell>
          <cell r="F47">
            <v>23.81</v>
          </cell>
          <cell r="G47">
            <v>20.18</v>
          </cell>
        </row>
        <row r="48">
          <cell r="C48" t="str">
            <v>5000205</v>
          </cell>
          <cell r="D48" t="str">
            <v>5000205</v>
          </cell>
          <cell r="E48" t="str">
            <v>TEQUILA 1800 REPOSADO 750 ML X12</v>
          </cell>
          <cell r="F48">
            <v>125.79</v>
          </cell>
          <cell r="G48">
            <v>105.8</v>
          </cell>
        </row>
        <row r="49">
          <cell r="C49" t="str">
            <v>5000252</v>
          </cell>
          <cell r="D49" t="str">
            <v>5000252</v>
          </cell>
          <cell r="E49" t="str">
            <v>2014 TEQUILA 1800 SILVER 750ML</v>
          </cell>
          <cell r="F49">
            <v>105.07</v>
          </cell>
          <cell r="G49">
            <v>94.56</v>
          </cell>
        </row>
        <row r="50">
          <cell r="C50" t="str">
            <v>5000434</v>
          </cell>
          <cell r="D50" t="str">
            <v>5000434</v>
          </cell>
          <cell r="E50" t="str">
            <v>TEQUILA 1800 CRISTALINO 700 ML X6</v>
          </cell>
          <cell r="F50">
            <v>210.92</v>
          </cell>
          <cell r="G50">
            <v>158</v>
          </cell>
        </row>
        <row r="51">
          <cell r="C51" t="str">
            <v>5000448</v>
          </cell>
          <cell r="D51" t="str">
            <v>5000448</v>
          </cell>
          <cell r="E51" t="str">
            <v>R.KRAKEN BLACK SPICED 750ML X12</v>
          </cell>
          <cell r="F51">
            <v>94.52</v>
          </cell>
          <cell r="G51">
            <v>73.63</v>
          </cell>
        </row>
        <row r="52">
          <cell r="C52" t="str">
            <v xml:space="preserve">5000519  </v>
          </cell>
          <cell r="D52" t="str">
            <v xml:space="preserve">5000519  </v>
          </cell>
          <cell r="E52" t="str">
            <v>TEQ. JC ESP SILVER CALAVERA X 750 ML</v>
          </cell>
          <cell r="F52">
            <v>62.9</v>
          </cell>
          <cell r="G52">
            <v>56.61</v>
          </cell>
        </row>
        <row r="53">
          <cell r="C53" t="str">
            <v>010023</v>
          </cell>
          <cell r="D53" t="str">
            <v>010023</v>
          </cell>
          <cell r="E53" t="str">
            <v>VINO PATRONAL CARMENERE X750ML X6</v>
          </cell>
          <cell r="F53">
            <v>70.19</v>
          </cell>
          <cell r="G53">
            <v>66.17</v>
          </cell>
        </row>
        <row r="54">
          <cell r="C54" t="str">
            <v>1500100</v>
          </cell>
          <cell r="D54" t="str">
            <v>1500100</v>
          </cell>
          <cell r="E54" t="str">
            <v>RON MANDATARIO SOLERA 700ML X12</v>
          </cell>
          <cell r="G54">
            <v>57.1</v>
          </cell>
        </row>
        <row r="55">
          <cell r="C55" t="str">
            <v>80010001</v>
          </cell>
          <cell r="D55" t="str">
            <v>80010001</v>
          </cell>
          <cell r="E55" t="str">
            <v>RON MANDATARIO XO 700ML X6</v>
          </cell>
          <cell r="G55">
            <v>121.41</v>
          </cell>
        </row>
        <row r="56">
          <cell r="C56" t="str">
            <v>AC0353</v>
          </cell>
          <cell r="D56" t="str">
            <v/>
          </cell>
          <cell r="E56" t="str">
            <v>VINO BORGOÑA ABOCADO 750ML X12</v>
          </cell>
          <cell r="F56">
            <v>12.06</v>
          </cell>
          <cell r="G56">
            <v>10.35</v>
          </cell>
        </row>
        <row r="57">
          <cell r="C57" t="str">
            <v>AC0354</v>
          </cell>
          <cell r="D57" t="str">
            <v/>
          </cell>
          <cell r="E57" t="str">
            <v>VINO ROSE SEMI SECO 750ML X12</v>
          </cell>
          <cell r="F57">
            <v>12.06</v>
          </cell>
          <cell r="G57">
            <v>10.35</v>
          </cell>
        </row>
        <row r="58">
          <cell r="C58" t="str">
            <v>AC0459</v>
          </cell>
          <cell r="D58" t="str">
            <v>AC0459</v>
          </cell>
          <cell r="E58" t="str">
            <v>PIS.MOSTO V.TORONTO C/ART.750ML X6</v>
          </cell>
          <cell r="G58">
            <v>0</v>
          </cell>
        </row>
        <row r="59">
          <cell r="C59" t="str">
            <v>AC0460</v>
          </cell>
          <cell r="D59" t="str">
            <v>AC0460</v>
          </cell>
          <cell r="E59" t="str">
            <v>PIS.MOSTO.V.ACHOLADO C/ART.750ML X6</v>
          </cell>
          <cell r="F59">
            <v>78.52</v>
          </cell>
          <cell r="G59">
            <v>64.989999999999995</v>
          </cell>
        </row>
        <row r="60">
          <cell r="C60" t="str">
            <v>AC0461</v>
          </cell>
          <cell r="D60" t="str">
            <v>AC0461</v>
          </cell>
          <cell r="E60" t="str">
            <v>PIS.MOSTO V.QUEBRANTA C/ART.750ML X6</v>
          </cell>
          <cell r="F60">
            <v>78.52</v>
          </cell>
          <cell r="G60">
            <v>64.989999999999995</v>
          </cell>
        </row>
        <row r="61">
          <cell r="C61" t="str">
            <v>AC0462</v>
          </cell>
          <cell r="D61" t="str">
            <v>AC0462</v>
          </cell>
          <cell r="E61" t="str">
            <v>PIS.MOSTO V.ITALIA C/ART.750ML X6</v>
          </cell>
          <cell r="F61">
            <v>78.52</v>
          </cell>
          <cell r="G61">
            <v>64.989999999999995</v>
          </cell>
        </row>
        <row r="62">
          <cell r="C62" t="str">
            <v>AC0468</v>
          </cell>
          <cell r="D62" t="str">
            <v>AC0468</v>
          </cell>
          <cell r="E62" t="str">
            <v>PIS.P.4GAL.ACHOLADO 2LT X6</v>
          </cell>
          <cell r="F62">
            <v>60.73</v>
          </cell>
          <cell r="G62">
            <v>64.989999999999995</v>
          </cell>
        </row>
        <row r="63">
          <cell r="C63" t="str">
            <v>AC0482</v>
          </cell>
          <cell r="D63" t="str">
            <v>AC0482</v>
          </cell>
          <cell r="E63" t="str">
            <v>PIS.4GAL.MOSTO V.QUEBRANTA 700ML X12</v>
          </cell>
          <cell r="F63">
            <v>65.23</v>
          </cell>
          <cell r="G63">
            <v>55.56</v>
          </cell>
        </row>
        <row r="64">
          <cell r="C64" t="str">
            <v>AC0483</v>
          </cell>
          <cell r="D64" t="str">
            <v>AC0483</v>
          </cell>
          <cell r="E64" t="str">
            <v>PIS.P.4GAL.ACHOLADO 700ML X12</v>
          </cell>
          <cell r="F64">
            <v>36.79</v>
          </cell>
          <cell r="G64">
            <v>30.7</v>
          </cell>
        </row>
        <row r="65">
          <cell r="C65" t="str">
            <v>AC0484</v>
          </cell>
          <cell r="D65" t="str">
            <v>AC0484</v>
          </cell>
          <cell r="E65" t="str">
            <v>PIS.P.4GAL.ITALIA 700ML X12</v>
          </cell>
          <cell r="F65">
            <v>36.79</v>
          </cell>
          <cell r="G65">
            <v>30.7</v>
          </cell>
        </row>
        <row r="66">
          <cell r="C66" t="str">
            <v>AC0485</v>
          </cell>
          <cell r="D66" t="str">
            <v>AC0485</v>
          </cell>
          <cell r="E66" t="str">
            <v>PIS.P.4GAL.QUEBRANTA 700ML X12</v>
          </cell>
          <cell r="G66">
            <v>0</v>
          </cell>
        </row>
        <row r="67">
          <cell r="C67" t="str">
            <v>AC0487</v>
          </cell>
          <cell r="D67" t="str">
            <v>AC0487</v>
          </cell>
          <cell r="E67" t="str">
            <v>PIS.4GAL.MOSTO V.ACHOLADO 700ML X12</v>
          </cell>
          <cell r="F67">
            <v>65.23</v>
          </cell>
          <cell r="G67">
            <v>58.34</v>
          </cell>
        </row>
        <row r="68">
          <cell r="C68" t="str">
            <v>AC0488</v>
          </cell>
          <cell r="D68" t="str">
            <v>AC0488</v>
          </cell>
          <cell r="E68" t="str">
            <v>PIS.4GAL.MOSTO V.ITALIA 700ML X12</v>
          </cell>
          <cell r="F68">
            <v>65.23</v>
          </cell>
          <cell r="G68">
            <v>55.56</v>
          </cell>
        </row>
        <row r="69">
          <cell r="C69" t="str">
            <v>AC0499</v>
          </cell>
          <cell r="D69" t="str">
            <v>AC0499</v>
          </cell>
          <cell r="E69" t="str">
            <v>PIS PURO ACHOLADO X700 4GALLOS +2JARR-</v>
          </cell>
          <cell r="F69">
            <v>41.5</v>
          </cell>
          <cell r="G69">
            <v>35.5</v>
          </cell>
        </row>
        <row r="70">
          <cell r="C70" t="str">
            <v>AC20036</v>
          </cell>
          <cell r="D70" t="str">
            <v>AC20036</v>
          </cell>
          <cell r="E70" t="str">
            <v>VINO BORGOÑA PACK 750ML+2V X6</v>
          </cell>
          <cell r="G70">
            <v>26.04</v>
          </cell>
        </row>
        <row r="71">
          <cell r="C71" t="str">
            <v>AC20038</v>
          </cell>
          <cell r="D71" t="str">
            <v>AC20038</v>
          </cell>
          <cell r="E71" t="str">
            <v>VINO ROSE 2VASOS SEMI SECO 750ML X6</v>
          </cell>
          <cell r="G71">
            <v>26.04</v>
          </cell>
        </row>
        <row r="72">
          <cell r="C72" t="str">
            <v>11078</v>
          </cell>
          <cell r="D72" t="str">
            <v>11078</v>
          </cell>
          <cell r="E72" t="str">
            <v>LAGUNITAS IPA BOTELLA 354 ML X 12 UN</v>
          </cell>
          <cell r="F72">
            <v>16.03</v>
          </cell>
          <cell r="G72">
            <v>13</v>
          </cell>
        </row>
        <row r="73">
          <cell r="C73" t="str">
            <v>251652</v>
          </cell>
          <cell r="D73" t="str">
            <v>251652</v>
          </cell>
          <cell r="E73" t="str">
            <v>NUTELLA B READY X 36 UNID</v>
          </cell>
          <cell r="G73">
            <v>2.94</v>
          </cell>
        </row>
        <row r="74">
          <cell r="C74" t="str">
            <v>628892</v>
          </cell>
          <cell r="D74" t="str">
            <v>628892</v>
          </cell>
          <cell r="E74" t="str">
            <v xml:space="preserve">NUTELLA I GO BREADSTICK WITH X 16 UND </v>
          </cell>
          <cell r="G74">
            <v>6.56</v>
          </cell>
        </row>
        <row r="75">
          <cell r="C75" t="str">
            <v>CERV05</v>
          </cell>
          <cell r="D75" t="str">
            <v>CERV05</v>
          </cell>
          <cell r="E75" t="str">
            <v>CERVEZA SAMUEL ADAMS BOT ML X 24</v>
          </cell>
          <cell r="F75">
            <v>16.03</v>
          </cell>
          <cell r="G75">
            <v>13</v>
          </cell>
        </row>
        <row r="76">
          <cell r="C76" t="str">
            <v>2022</v>
          </cell>
          <cell r="D76" t="str">
            <v>2022</v>
          </cell>
          <cell r="E76" t="str">
            <v>MEX CREAM MANGO CON TEQUILA 750ML X 6</v>
          </cell>
          <cell r="F76">
            <v>61.53</v>
          </cell>
          <cell r="G76">
            <v>53</v>
          </cell>
        </row>
        <row r="77">
          <cell r="C77" t="str">
            <v>2023</v>
          </cell>
          <cell r="D77" t="str">
            <v>2023</v>
          </cell>
          <cell r="E77" t="str">
            <v>MEX CREAM FRESA CON TEQUILA 750ML X 6</v>
          </cell>
          <cell r="G77">
            <v>53</v>
          </cell>
        </row>
        <row r="78">
          <cell r="C78" t="str">
            <v>669</v>
          </cell>
          <cell r="D78" t="str">
            <v>669</v>
          </cell>
          <cell r="E78" t="str">
            <v>PISCO SOL/T QUEBRANTA 4L X 4</v>
          </cell>
          <cell r="F78">
            <v>72.599999999999994</v>
          </cell>
          <cell r="G78">
            <v>61.25</v>
          </cell>
        </row>
        <row r="79">
          <cell r="C79" t="str">
            <v>GF0001</v>
          </cell>
          <cell r="D79" t="str">
            <v>GF0001</v>
          </cell>
          <cell r="E79" t="str">
            <v>GOLD  PREMIUM  FORTUNE X750ML X6</v>
          </cell>
          <cell r="G79">
            <v>35.090000000000003</v>
          </cell>
        </row>
        <row r="80">
          <cell r="C80" t="str">
            <v>GF0002</v>
          </cell>
          <cell r="D80" t="str">
            <v>GF0002</v>
          </cell>
          <cell r="E80" t="str">
            <v>GOLD PREMIUM (FUSION) GLACIAR 750ML X6</v>
          </cell>
          <cell r="F80">
            <v>46.52</v>
          </cell>
          <cell r="G80">
            <v>35.090000000000003</v>
          </cell>
        </row>
        <row r="81">
          <cell r="C81" t="str">
            <v>GF0003</v>
          </cell>
          <cell r="D81" t="str">
            <v>GF0003</v>
          </cell>
          <cell r="E81" t="str">
            <v>GOLD FUSION VULCANO 750ML X6</v>
          </cell>
          <cell r="F81">
            <v>46.52</v>
          </cell>
          <cell r="G81">
            <v>35.049999999999997</v>
          </cell>
        </row>
        <row r="82">
          <cell r="C82" t="str">
            <v>GF0005</v>
          </cell>
          <cell r="D82" t="str">
            <v>GF0005</v>
          </cell>
          <cell r="E82" t="str">
            <v>GOLD PREMIUM ROMANTIC X750ML X6</v>
          </cell>
          <cell r="F82">
            <v>46.52</v>
          </cell>
          <cell r="G82">
            <v>37.5</v>
          </cell>
        </row>
        <row r="83">
          <cell r="C83" t="str">
            <v>GF0006</v>
          </cell>
          <cell r="D83" t="str">
            <v>GF0006</v>
          </cell>
          <cell r="E83" t="str">
            <v>GOLD  PREMIUM  WILD X750ML X6</v>
          </cell>
          <cell r="F83">
            <v>46.52</v>
          </cell>
          <cell r="G83">
            <v>37.5</v>
          </cell>
        </row>
        <row r="84">
          <cell r="C84" t="str">
            <v>GF0007</v>
          </cell>
          <cell r="D84" t="str">
            <v>GF0007</v>
          </cell>
          <cell r="E84" t="str">
            <v>GOLD PREMIUM ENIGMA X750ML X6</v>
          </cell>
          <cell r="G84">
            <v>37.5</v>
          </cell>
        </row>
        <row r="85">
          <cell r="C85" t="str">
            <v>GF0008</v>
          </cell>
          <cell r="D85" t="str">
            <v>GF0008</v>
          </cell>
          <cell r="E85" t="str">
            <v>GOLD FUSION INFINITY  X750ML X6</v>
          </cell>
          <cell r="F85">
            <v>46.52</v>
          </cell>
          <cell r="G85">
            <v>37.5</v>
          </cell>
        </row>
        <row r="86">
          <cell r="C86" t="str">
            <v>GF0011B</v>
          </cell>
          <cell r="D86" t="str">
            <v>GF0011B</v>
          </cell>
          <cell r="E86" t="str">
            <v xml:space="preserve">GOLD FUSION ENIGMA 375ML </v>
          </cell>
          <cell r="F86">
            <v>0</v>
          </cell>
          <cell r="G86">
            <v>0</v>
          </cell>
        </row>
        <row r="87">
          <cell r="C87" t="str">
            <v>GF0016</v>
          </cell>
          <cell r="D87" t="str">
            <v>GF0016</v>
          </cell>
          <cell r="E87" t="str">
            <v>GOLD PREMIUM MANGO 750ML X6</v>
          </cell>
          <cell r="G87">
            <v>34.15</v>
          </cell>
        </row>
        <row r="88">
          <cell r="C88" t="str">
            <v>047013</v>
          </cell>
          <cell r="D88" t="str">
            <v>047013</v>
          </cell>
          <cell r="E88" t="str">
            <v xml:space="preserve">PAULANER MUNCHNER HELL LATA 500ML </v>
          </cell>
          <cell r="G88">
            <v>6.5</v>
          </cell>
        </row>
        <row r="89">
          <cell r="C89" t="str">
            <v>047054B</v>
          </cell>
          <cell r="D89" t="str">
            <v>047054B</v>
          </cell>
          <cell r="E89" t="str">
            <v>PAULANER SALVATOR BOTELLA 300ML -BONIFICACION</v>
          </cell>
          <cell r="F89">
            <v>0</v>
          </cell>
          <cell r="G89">
            <v>0</v>
          </cell>
        </row>
        <row r="90">
          <cell r="C90" t="str">
            <v>251326B</v>
          </cell>
          <cell r="D90" t="str">
            <v>251326B</v>
          </cell>
          <cell r="E90" t="str">
            <v>PAULANER VASO WEISSBIER 300ML BONI</v>
          </cell>
          <cell r="F90">
            <v>0</v>
          </cell>
          <cell r="G90">
            <v>0</v>
          </cell>
        </row>
        <row r="91">
          <cell r="C91" t="str">
            <v>DIS0000273</v>
          </cell>
          <cell r="D91" t="str">
            <v>DIS0000273</v>
          </cell>
          <cell r="E91" t="str">
            <v>VF CHAMPIÑONES X 310GR</v>
          </cell>
          <cell r="G91">
            <v>0</v>
          </cell>
        </row>
        <row r="92">
          <cell r="C92" t="str">
            <v>DIS0000277</v>
          </cell>
          <cell r="D92" t="str">
            <v>DIS0000277</v>
          </cell>
          <cell r="E92" t="str">
            <v>VF ESPARRAGOS BLANCOS X 360GR</v>
          </cell>
          <cell r="G92">
            <v>0</v>
          </cell>
        </row>
        <row r="93">
          <cell r="C93" t="str">
            <v>DIS0000278</v>
          </cell>
          <cell r="D93" t="str">
            <v>DIS0000278</v>
          </cell>
          <cell r="E93" t="str">
            <v>VF ESPARRAGOS VERDES X 360GR</v>
          </cell>
          <cell r="G93">
            <v>0</v>
          </cell>
        </row>
        <row r="94">
          <cell r="C94" t="str">
            <v>PAR0000014</v>
          </cell>
          <cell r="D94" t="str">
            <v>PAR0000014</v>
          </cell>
          <cell r="E94" t="str">
            <v>BRAZA MECHEROS X UND.</v>
          </cell>
          <cell r="F94">
            <v>1.05</v>
          </cell>
          <cell r="G94">
            <v>0.8</v>
          </cell>
        </row>
        <row r="95">
          <cell r="C95" t="str">
            <v>DIS0276</v>
          </cell>
          <cell r="D95" t="str">
            <v>DIS0276</v>
          </cell>
          <cell r="E95" t="str">
            <v>PALMITOS ENTEROS 280GR X12 FCO</v>
          </cell>
          <cell r="F95">
            <v>15.28</v>
          </cell>
          <cell r="G95">
            <v>11.65</v>
          </cell>
        </row>
        <row r="96">
          <cell r="C96" t="str">
            <v>V0843</v>
          </cell>
          <cell r="D96" t="str">
            <v>V0843</v>
          </cell>
          <cell r="E96" t="str">
            <v>VINO CRIMINAL VARIETAL MALBEC 750ML X 6</v>
          </cell>
          <cell r="F96">
            <v>45.63</v>
          </cell>
          <cell r="G96">
            <v>36</v>
          </cell>
        </row>
        <row r="97">
          <cell r="C97" t="str">
            <v>V0844</v>
          </cell>
          <cell r="D97" t="str">
            <v>V0844</v>
          </cell>
          <cell r="E97" t="str">
            <v>CRIMINAL COLECCION PRIVADA ROBLE MALBEC 750ML X 6</v>
          </cell>
          <cell r="F97">
            <v>65.73</v>
          </cell>
          <cell r="G97">
            <v>52</v>
          </cell>
        </row>
        <row r="98">
          <cell r="C98" t="str">
            <v>ISMG0276</v>
          </cell>
          <cell r="D98" t="str">
            <v>ISMG0276</v>
          </cell>
          <cell r="E98" t="str">
            <v>AGUA CIELO SIN/G 625MLX15</v>
          </cell>
          <cell r="G98">
            <v>10.78</v>
          </cell>
        </row>
        <row r="99">
          <cell r="C99" t="str">
            <v>ISMG0277</v>
          </cell>
          <cell r="D99" t="str">
            <v>ISMG0277</v>
          </cell>
          <cell r="E99" t="str">
            <v xml:space="preserve">1 UND AGUA CIELO SIN/G 625MLX15 </v>
          </cell>
          <cell r="G99">
            <v>0</v>
          </cell>
        </row>
        <row r="100">
          <cell r="C100" t="str">
            <v>0102001</v>
          </cell>
          <cell r="D100" t="str">
            <v>0102001</v>
          </cell>
          <cell r="E100" t="str">
            <v>WHIS.BALLANTINES FINEST 700ML X12</v>
          </cell>
          <cell r="G100">
            <v>32</v>
          </cell>
        </row>
        <row r="101">
          <cell r="C101" t="str">
            <v>0104001</v>
          </cell>
          <cell r="D101" t="str">
            <v/>
          </cell>
          <cell r="E101" t="str">
            <v>WHIS.CHIVAS REGAL 12AÑ 700ML X12</v>
          </cell>
          <cell r="G101">
            <v>63</v>
          </cell>
        </row>
        <row r="102">
          <cell r="C102" t="str">
            <v>0104002</v>
          </cell>
          <cell r="D102" t="str">
            <v>0104002</v>
          </cell>
          <cell r="E102" t="str">
            <v>CHIVAS REGAL EX 13AÑ( SHERRY ROJO)700MLX6</v>
          </cell>
          <cell r="F102">
            <v>111</v>
          </cell>
          <cell r="G102">
            <v>78</v>
          </cell>
        </row>
        <row r="103">
          <cell r="C103" t="str">
            <v>0104004</v>
          </cell>
          <cell r="D103" t="str">
            <v>0104004</v>
          </cell>
          <cell r="E103" t="str">
            <v xml:space="preserve">MINI.WHIS.CHIVAS REGAL 12 AÑOS X 50ML </v>
          </cell>
          <cell r="F103">
            <v>16.600000000000001</v>
          </cell>
          <cell r="G103">
            <v>11.6</v>
          </cell>
        </row>
        <row r="104">
          <cell r="C104" t="str">
            <v>0107001</v>
          </cell>
          <cell r="D104" t="str">
            <v/>
          </cell>
          <cell r="E104" t="str">
            <v>WHIS.SOMETHING SPEC.750ML X12</v>
          </cell>
          <cell r="G104">
            <v>32</v>
          </cell>
        </row>
        <row r="105">
          <cell r="C105" t="str">
            <v>0210003</v>
          </cell>
          <cell r="D105" t="str">
            <v/>
          </cell>
          <cell r="E105" t="str">
            <v>R.HAVANA CLUB AÑEJO RES.750ML X12</v>
          </cell>
          <cell r="G105">
            <v>30.5</v>
          </cell>
        </row>
        <row r="106">
          <cell r="C106" t="str">
            <v>0210025</v>
          </cell>
          <cell r="D106" t="str">
            <v/>
          </cell>
          <cell r="E106" t="str">
            <v>R.HAVANA CLUB 7AÑ 700ML X12</v>
          </cell>
          <cell r="G106">
            <v>57</v>
          </cell>
        </row>
        <row r="107">
          <cell r="C107" t="str">
            <v>0303001</v>
          </cell>
          <cell r="D107" t="str">
            <v/>
          </cell>
          <cell r="E107" t="str">
            <v>VODKA ABSOLUT 700ML X12</v>
          </cell>
          <cell r="G107">
            <v>35</v>
          </cell>
        </row>
        <row r="108">
          <cell r="C108" t="str">
            <v>0617012</v>
          </cell>
          <cell r="D108" t="str">
            <v>0617012</v>
          </cell>
          <cell r="E108" t="str">
            <v>RICCADONNA ESP.RUBY 750MLX6</v>
          </cell>
          <cell r="F108">
            <v>48.01</v>
          </cell>
          <cell r="G108">
            <v>43.8</v>
          </cell>
        </row>
        <row r="109">
          <cell r="C109" t="str">
            <v>0617013</v>
          </cell>
          <cell r="D109" t="str">
            <v>0617013</v>
          </cell>
          <cell r="E109" t="str">
            <v>RICCADONNA ESP.ASTI 750ML X6</v>
          </cell>
          <cell r="F109">
            <v>63.29</v>
          </cell>
          <cell r="G109">
            <v>43.8</v>
          </cell>
        </row>
        <row r="110">
          <cell r="C110" t="str">
            <v>0617014</v>
          </cell>
          <cell r="D110" t="str">
            <v>0617014</v>
          </cell>
          <cell r="E110" t="str">
            <v>RICCADONNA ESP.MOSCATO ROSE 750ML X6</v>
          </cell>
          <cell r="F110">
            <v>63.29</v>
          </cell>
          <cell r="G110">
            <v>43.8</v>
          </cell>
        </row>
        <row r="111">
          <cell r="C111" t="str">
            <v>0617015</v>
          </cell>
          <cell r="D111" t="str">
            <v>0617015</v>
          </cell>
          <cell r="E111" t="str">
            <v>RICCADONNA ESP.PROSECCO 750ML X6</v>
          </cell>
          <cell r="F111">
            <v>63.29</v>
          </cell>
          <cell r="G111">
            <v>42.65</v>
          </cell>
        </row>
        <row r="112">
          <cell r="C112" t="str">
            <v>0617016</v>
          </cell>
          <cell r="D112" t="str">
            <v>0617016</v>
          </cell>
          <cell r="E112" t="str">
            <v>RICCADONNA ESP.ASTI 200ML X24</v>
          </cell>
          <cell r="F112">
            <v>22.01</v>
          </cell>
          <cell r="G112">
            <v>15.18</v>
          </cell>
        </row>
        <row r="113">
          <cell r="C113" t="str">
            <v>0617017</v>
          </cell>
          <cell r="D113" t="str">
            <v>0617017</v>
          </cell>
          <cell r="E113" t="str">
            <v>RICCADONNA ESP.RUBY 200ML X24</v>
          </cell>
          <cell r="G113">
            <v>15.21</v>
          </cell>
        </row>
        <row r="114">
          <cell r="C114" t="str">
            <v>104003</v>
          </cell>
          <cell r="D114" t="str">
            <v/>
          </cell>
          <cell r="E114" t="str">
            <v>WHIS.CHIVAS REGAL 18AÑ 700ML X6</v>
          </cell>
          <cell r="G114">
            <v>169</v>
          </cell>
        </row>
        <row r="115">
          <cell r="C115" t="str">
            <v>1040060</v>
          </cell>
          <cell r="D115" t="str">
            <v>1040060</v>
          </cell>
          <cell r="E115" t="str">
            <v>WHIS.CHIVAS REGAL EXTRA 750ML X 6</v>
          </cell>
          <cell r="G115">
            <v>0</v>
          </cell>
        </row>
        <row r="116">
          <cell r="C116" t="str">
            <v>1040061</v>
          </cell>
          <cell r="D116" t="str">
            <v>1040061</v>
          </cell>
          <cell r="E116" t="str">
            <v>WHIS.CHIVAS REGAL ULTIS(BLUE) 750ML X3</v>
          </cell>
          <cell r="G116">
            <v>0</v>
          </cell>
        </row>
        <row r="117">
          <cell r="C117" t="str">
            <v>1040095</v>
          </cell>
          <cell r="D117" t="str">
            <v>1040095</v>
          </cell>
          <cell r="E117" t="str">
            <v>WHIS.CHIVAS REGAL 15AÑ 700ML X6</v>
          </cell>
          <cell r="F117">
            <v>144.33000000000001</v>
          </cell>
          <cell r="G117">
            <v>129</v>
          </cell>
        </row>
        <row r="118">
          <cell r="C118" t="str">
            <v>19528</v>
          </cell>
          <cell r="D118" t="str">
            <v>19528</v>
          </cell>
          <cell r="E118" t="str">
            <v>EVERVESS X 1.50LX6</v>
          </cell>
          <cell r="F118">
            <v>4.4800000000000004</v>
          </cell>
          <cell r="G118">
            <v>4.58</v>
          </cell>
        </row>
        <row r="119">
          <cell r="C119" t="str">
            <v>223312</v>
          </cell>
          <cell r="D119" t="str">
            <v>223312</v>
          </cell>
          <cell r="E119" t="str">
            <v xml:space="preserve">JW BLACK 75CL+ TUMBLER NEGRO </v>
          </cell>
          <cell r="G119">
            <v>0</v>
          </cell>
        </row>
        <row r="120">
          <cell r="C120" t="str">
            <v>228003</v>
          </cell>
          <cell r="D120" t="str">
            <v>228003</v>
          </cell>
          <cell r="E120" t="str">
            <v>RON ZACAPA 23 AÑOS X750ML</v>
          </cell>
          <cell r="F120">
            <v>229.29</v>
          </cell>
          <cell r="G120">
            <v>160</v>
          </cell>
        </row>
        <row r="121">
          <cell r="C121" t="str">
            <v>228004</v>
          </cell>
          <cell r="D121" t="str">
            <v>228004</v>
          </cell>
          <cell r="E121" t="str">
            <v>RON ZACAPA AMBAR 12 AÑOS X750ML</v>
          </cell>
          <cell r="F121">
            <v>122.71</v>
          </cell>
          <cell r="G121">
            <v>99</v>
          </cell>
        </row>
        <row r="122">
          <cell r="C122" t="str">
            <v>40001142</v>
          </cell>
          <cell r="D122" t="str">
            <v>40001142</v>
          </cell>
          <cell r="E122" t="str">
            <v>VODKA SKYY  BLUE 750ML X12</v>
          </cell>
          <cell r="F122">
            <v>49.33</v>
          </cell>
          <cell r="G122">
            <v>35.83</v>
          </cell>
        </row>
        <row r="123">
          <cell r="C123" t="str">
            <v>403001</v>
          </cell>
          <cell r="D123" t="str">
            <v>403001</v>
          </cell>
          <cell r="E123" t="str">
            <v>GIN BEEFEATER LONDON DRY 700ML X12</v>
          </cell>
          <cell r="F123">
            <v>71.010000000000005</v>
          </cell>
          <cell r="G123">
            <v>47.03</v>
          </cell>
        </row>
        <row r="124">
          <cell r="C124" t="str">
            <v>403006</v>
          </cell>
          <cell r="D124" t="str">
            <v>403006</v>
          </cell>
          <cell r="E124" t="str">
            <v>GIN BEEFEATER PINK 700ML X6</v>
          </cell>
          <cell r="F124">
            <v>84.73</v>
          </cell>
          <cell r="G124">
            <v>57.5</v>
          </cell>
        </row>
        <row r="125">
          <cell r="C125" t="str">
            <v>APE0109</v>
          </cell>
          <cell r="D125" t="str">
            <v>APE0109</v>
          </cell>
          <cell r="E125" t="str">
            <v>ANGOSTURA AROMATIC BITTER 200ML X24</v>
          </cell>
          <cell r="F125">
            <v>95.07</v>
          </cell>
          <cell r="G125">
            <v>66.400000000000006</v>
          </cell>
        </row>
        <row r="126">
          <cell r="C126" t="str">
            <v>APE0154</v>
          </cell>
          <cell r="D126" t="str">
            <v>APE0154</v>
          </cell>
          <cell r="E126" t="str">
            <v>ANGOSTURA COCOA BITTERS 100ML X 24</v>
          </cell>
          <cell r="F126">
            <v>65.73</v>
          </cell>
          <cell r="G126">
            <v>44.1</v>
          </cell>
        </row>
        <row r="127">
          <cell r="C127" t="str">
            <v>APE0155</v>
          </cell>
          <cell r="D127" t="str">
            <v>APE0155</v>
          </cell>
          <cell r="E127" t="str">
            <v>ANGOSTURA ORANGE BITTER 100ML X 24</v>
          </cell>
          <cell r="F127">
            <v>61.71</v>
          </cell>
          <cell r="G127">
            <v>43.05</v>
          </cell>
        </row>
        <row r="128">
          <cell r="C128" t="str">
            <v>APE0156</v>
          </cell>
          <cell r="D128" t="str">
            <v>APE0156</v>
          </cell>
          <cell r="E128" t="str">
            <v>ANGOSTURA AROMATIC BITTER 100M X 12</v>
          </cell>
          <cell r="F128">
            <v>59.2</v>
          </cell>
          <cell r="G128">
            <v>41.29</v>
          </cell>
        </row>
        <row r="129">
          <cell r="C129" t="str">
            <v>APE0166</v>
          </cell>
          <cell r="D129" t="str">
            <v>APE0166</v>
          </cell>
          <cell r="E129" t="str">
            <v>AMARGO CHUNPI 75ML</v>
          </cell>
          <cell r="F129">
            <v>12.77</v>
          </cell>
          <cell r="G129">
            <v>8.84</v>
          </cell>
        </row>
        <row r="130">
          <cell r="C130" t="str">
            <v>CHA1901</v>
          </cell>
          <cell r="D130" t="str">
            <v>CHA1901</v>
          </cell>
          <cell r="E130" t="str">
            <v>RICCADONNA ESP.PROSECCO 200ML X24</v>
          </cell>
          <cell r="G130">
            <v>15.2</v>
          </cell>
        </row>
        <row r="131">
          <cell r="C131" t="str">
            <v>CHA1902</v>
          </cell>
          <cell r="D131" t="str">
            <v>CHA1902</v>
          </cell>
          <cell r="E131" t="str">
            <v>RICCADONNA ESP.MOSCATO 200ML X24</v>
          </cell>
          <cell r="F131">
            <v>22.01</v>
          </cell>
          <cell r="G131">
            <v>15.2</v>
          </cell>
        </row>
        <row r="132">
          <cell r="C132" t="str">
            <v>DUFF01</v>
          </cell>
          <cell r="D132" t="str">
            <v>DUFF01</v>
          </cell>
          <cell r="E132" t="str">
            <v>DUFF LATA 330ML X 4</v>
          </cell>
          <cell r="F132">
            <v>3.54</v>
          </cell>
          <cell r="G132">
            <v>2.48</v>
          </cell>
        </row>
        <row r="133">
          <cell r="C133" t="str">
            <v>ESP0096</v>
          </cell>
          <cell r="D133" t="str">
            <v>ESP0096</v>
          </cell>
          <cell r="E133" t="str">
            <v>ESPUMANTE CINZANO TO SPRITS 750MLX6</v>
          </cell>
          <cell r="F133">
            <v>67.86</v>
          </cell>
          <cell r="G133">
            <v>47.25</v>
          </cell>
        </row>
        <row r="134">
          <cell r="C134" t="str">
            <v>ESP0257</v>
          </cell>
          <cell r="D134" t="str">
            <v>ESP0257</v>
          </cell>
          <cell r="E134" t="str">
            <v>ESPUM. CINZANO PROSECCO 750MLX6</v>
          </cell>
          <cell r="F134">
            <v>46.14</v>
          </cell>
          <cell r="G134">
            <v>32</v>
          </cell>
        </row>
        <row r="135">
          <cell r="C135" t="str">
            <v>GIN0007</v>
          </cell>
          <cell r="D135" t="str">
            <v>GIN0007</v>
          </cell>
          <cell r="E135" t="str">
            <v>GIN BULLDOG 750ML X6</v>
          </cell>
          <cell r="F135">
            <v>142.61000000000001</v>
          </cell>
          <cell r="G135">
            <v>99.58</v>
          </cell>
        </row>
        <row r="136">
          <cell r="C136" t="str">
            <v>GIN0027</v>
          </cell>
          <cell r="D136" t="str">
            <v>GIN0027</v>
          </cell>
          <cell r="E136" t="str">
            <v>GIN BEEFEATER BLOOD ORANGE 700ML X 6</v>
          </cell>
          <cell r="F136">
            <v>104.68</v>
          </cell>
          <cell r="G136">
            <v>73</v>
          </cell>
        </row>
        <row r="137">
          <cell r="C137" t="str">
            <v>GIN0220</v>
          </cell>
          <cell r="D137" t="str">
            <v>GIN0220</v>
          </cell>
          <cell r="E137" t="str">
            <v>GIN TANQUERAY FLOR DE SEVILLA 700ML</v>
          </cell>
          <cell r="F137">
            <v>125.24</v>
          </cell>
          <cell r="G137">
            <v>89</v>
          </cell>
        </row>
        <row r="138">
          <cell r="C138" t="str">
            <v>GIN0222</v>
          </cell>
          <cell r="D138" t="str">
            <v>GIN0222</v>
          </cell>
          <cell r="E138" t="str">
            <v>GIN TANQUERAY LONDON 750ML X 6</v>
          </cell>
          <cell r="F138">
            <v>93.29</v>
          </cell>
          <cell r="G138">
            <v>65</v>
          </cell>
        </row>
        <row r="139">
          <cell r="C139" t="str">
            <v>GIN0294</v>
          </cell>
          <cell r="D139" t="str">
            <v>GIN0294</v>
          </cell>
          <cell r="E139" t="str">
            <v>GIN TANQUERAY FLOR DE SEVILLA 700ML+COPA</v>
          </cell>
          <cell r="F139">
            <v>100.82</v>
          </cell>
          <cell r="G139">
            <v>81.680000000000007</v>
          </cell>
        </row>
        <row r="140">
          <cell r="C140" t="str">
            <v>GIN0462</v>
          </cell>
          <cell r="D140" t="str">
            <v>GIN0462</v>
          </cell>
          <cell r="E140" t="str">
            <v>PK GIN BEEFEATER DRY 700ML+ABSOLUT 375ML</v>
          </cell>
          <cell r="G140">
            <v>60</v>
          </cell>
        </row>
        <row r="141">
          <cell r="C141" t="str">
            <v>GIN0463</v>
          </cell>
          <cell r="D141" t="str">
            <v>GIN0463</v>
          </cell>
          <cell r="E141" t="str">
            <v>PK GIN BEEFEATER PINK 700ML+ABSOLUT 375ML</v>
          </cell>
          <cell r="G141">
            <v>76.099999999999994</v>
          </cell>
        </row>
        <row r="142">
          <cell r="C142" t="str">
            <v>JAR0016</v>
          </cell>
          <cell r="D142" t="str">
            <v>JAR0016</v>
          </cell>
          <cell r="E142" t="str">
            <v>JARABE DE GRANADINA VARGAS 750MLX12</v>
          </cell>
          <cell r="F142">
            <v>11.38</v>
          </cell>
          <cell r="G142">
            <v>9.8000000000000007</v>
          </cell>
        </row>
        <row r="143">
          <cell r="C143" t="str">
            <v>LAN001</v>
          </cell>
          <cell r="D143" t="str">
            <v>LAN001</v>
          </cell>
          <cell r="E143" t="str">
            <v>VINO LAN RESERVA X 750ML</v>
          </cell>
          <cell r="F143">
            <v>113.3</v>
          </cell>
          <cell r="G143">
            <v>79</v>
          </cell>
        </row>
        <row r="144">
          <cell r="C144" t="str">
            <v>LIC0012</v>
          </cell>
          <cell r="D144" t="str">
            <v>LIC0012</v>
          </cell>
          <cell r="E144" t="str">
            <v>LICOR APEROL 750ML X6</v>
          </cell>
          <cell r="F144">
            <v>68.41</v>
          </cell>
          <cell r="G144">
            <v>44.6</v>
          </cell>
        </row>
        <row r="145">
          <cell r="C145" t="str">
            <v>LIC002</v>
          </cell>
          <cell r="D145" t="str">
            <v>LIC002</v>
          </cell>
          <cell r="E145" t="str">
            <v>DU BOUCHETT CURACAO (AZUL) 1LT X 12</v>
          </cell>
          <cell r="F145">
            <v>53</v>
          </cell>
          <cell r="G145">
            <v>34.07</v>
          </cell>
        </row>
        <row r="146">
          <cell r="C146" t="str">
            <v>LIC0024</v>
          </cell>
          <cell r="D146" t="str">
            <v>LIC0024</v>
          </cell>
          <cell r="E146" t="str">
            <v>LICOR CAMPARI BITTER 750ML X 12</v>
          </cell>
          <cell r="F146">
            <v>76.06</v>
          </cell>
          <cell r="G146">
            <v>50.83</v>
          </cell>
        </row>
        <row r="147">
          <cell r="C147" t="str">
            <v>PAC0095</v>
          </cell>
          <cell r="D147" t="str">
            <v>PAC0095</v>
          </cell>
          <cell r="E147" t="str">
            <v>PACK BALLANTINES FINEST 700ML+VASO X6</v>
          </cell>
          <cell r="G147">
            <v>0</v>
          </cell>
        </row>
        <row r="148">
          <cell r="C148" t="str">
            <v>RON0026</v>
          </cell>
          <cell r="D148" t="str">
            <v>RON0026</v>
          </cell>
          <cell r="E148" t="str">
            <v xml:space="preserve">RON ZACAPA ROYAL 750ML </v>
          </cell>
          <cell r="F148">
            <v>2500.37</v>
          </cell>
          <cell r="G148">
            <v>1750</v>
          </cell>
        </row>
        <row r="149">
          <cell r="C149" t="str">
            <v>RON0053</v>
          </cell>
          <cell r="D149" t="str">
            <v>RON0053</v>
          </cell>
          <cell r="E149" t="str">
            <v>RON ZACAPA XO 750ML X 6</v>
          </cell>
          <cell r="F149">
            <v>636.09</v>
          </cell>
          <cell r="G149">
            <v>445</v>
          </cell>
        </row>
        <row r="150">
          <cell r="C150" t="str">
            <v>RON0080</v>
          </cell>
          <cell r="D150" t="str">
            <v>RON0080</v>
          </cell>
          <cell r="E150" t="str">
            <v>RON DIPLOMATICO RESV EXC 700ML</v>
          </cell>
          <cell r="F150">
            <v>212.34</v>
          </cell>
          <cell r="G150">
            <v>148.31</v>
          </cell>
        </row>
        <row r="151">
          <cell r="C151" t="str">
            <v>RON0150</v>
          </cell>
          <cell r="D151" t="str">
            <v>RON0150</v>
          </cell>
          <cell r="E151" t="str">
            <v>RON BARCELO IMPERIAL 750ML X 6</v>
          </cell>
          <cell r="F151">
            <v>117.44</v>
          </cell>
          <cell r="G151">
            <v>82</v>
          </cell>
        </row>
        <row r="152">
          <cell r="C152" t="str">
            <v>RON0151</v>
          </cell>
          <cell r="D152" t="str">
            <v>RON0151</v>
          </cell>
          <cell r="E152" t="str">
            <v xml:space="preserve">RON BARCELO IMPERIAL ONYX 750ML </v>
          </cell>
          <cell r="F152">
            <v>140.43</v>
          </cell>
          <cell r="G152">
            <v>98</v>
          </cell>
        </row>
        <row r="153">
          <cell r="C153" t="str">
            <v>RON0160</v>
          </cell>
          <cell r="D153" t="str">
            <v>RON0160</v>
          </cell>
          <cell r="E153" t="str">
            <v>RON BARCELO GRAN ANEJO 750ML X 12</v>
          </cell>
          <cell r="F153">
            <v>48.87</v>
          </cell>
          <cell r="G153">
            <v>34</v>
          </cell>
        </row>
        <row r="154">
          <cell r="C154" t="str">
            <v>RON0162</v>
          </cell>
          <cell r="D154" t="str">
            <v>RON0162</v>
          </cell>
          <cell r="E154" t="str">
            <v>RON BARCELO GRAN ANEJO 1.750 LT X 6</v>
          </cell>
          <cell r="F154">
            <v>92.94</v>
          </cell>
          <cell r="G154">
            <v>64.5</v>
          </cell>
        </row>
        <row r="155">
          <cell r="C155" t="str">
            <v>RON0163</v>
          </cell>
          <cell r="D155" t="str">
            <v>RON0163</v>
          </cell>
          <cell r="E155" t="str">
            <v>RON BARCELO ANEJO 750ML X 12</v>
          </cell>
          <cell r="F155">
            <v>43.3</v>
          </cell>
          <cell r="G155">
            <v>30</v>
          </cell>
        </row>
        <row r="156">
          <cell r="C156" t="str">
            <v>RON0164</v>
          </cell>
          <cell r="D156" t="str">
            <v>RON0164</v>
          </cell>
          <cell r="E156" t="str">
            <v>RON BARCELO ANEJO 1LT X 12</v>
          </cell>
          <cell r="F156">
            <v>61.01</v>
          </cell>
          <cell r="G156">
            <v>42.5</v>
          </cell>
        </row>
        <row r="157">
          <cell r="C157" t="str">
            <v>RON0170</v>
          </cell>
          <cell r="D157" t="str">
            <v>RON0170</v>
          </cell>
          <cell r="E157" t="str">
            <v>RON BARCELO DORADO ANEJO 750ML X 12</v>
          </cell>
          <cell r="F157">
            <v>41.16</v>
          </cell>
          <cell r="G157">
            <v>28.5</v>
          </cell>
        </row>
        <row r="158">
          <cell r="C158" t="str">
            <v>RON0171</v>
          </cell>
          <cell r="D158" t="str">
            <v>RON0171</v>
          </cell>
          <cell r="E158" t="str">
            <v>RON BARCELO DORADO  1LT X 12</v>
          </cell>
          <cell r="F158">
            <v>43.87</v>
          </cell>
          <cell r="G158">
            <v>30.5</v>
          </cell>
        </row>
        <row r="159">
          <cell r="C159" t="str">
            <v>RON0172</v>
          </cell>
          <cell r="D159" t="str">
            <v>RON0172</v>
          </cell>
          <cell r="E159" t="str">
            <v xml:space="preserve">RON BARCELO AÑEJO (6 A) 1.750ML </v>
          </cell>
          <cell r="F159">
            <v>91.21</v>
          </cell>
          <cell r="G159">
            <v>63.5</v>
          </cell>
        </row>
        <row r="160">
          <cell r="C160" t="str">
            <v>RON0179</v>
          </cell>
          <cell r="D160" t="str">
            <v>RON0179</v>
          </cell>
          <cell r="E160" t="str">
            <v>RON LA HECHICERA 700ML X6</v>
          </cell>
          <cell r="F160">
            <v>263.25</v>
          </cell>
          <cell r="G160">
            <v>184</v>
          </cell>
        </row>
        <row r="161">
          <cell r="C161" t="str">
            <v>RON0575</v>
          </cell>
          <cell r="D161" t="str">
            <v>RON0575</v>
          </cell>
          <cell r="E161" t="str">
            <v>RON ANGOSTURA 7AÑ 750ML X 6</v>
          </cell>
          <cell r="F161">
            <v>88.7</v>
          </cell>
          <cell r="G161">
            <v>61.94</v>
          </cell>
        </row>
        <row r="162">
          <cell r="C162" t="str">
            <v>RON0578</v>
          </cell>
          <cell r="D162" t="str">
            <v>RON0578</v>
          </cell>
          <cell r="E162" t="str">
            <v>RON ANGOSTURA 1919 750ML X 6</v>
          </cell>
          <cell r="F162">
            <v>182.3</v>
          </cell>
          <cell r="G162">
            <v>127.46</v>
          </cell>
        </row>
        <row r="163">
          <cell r="C163" t="str">
            <v>RON0875</v>
          </cell>
          <cell r="D163" t="str">
            <v>RON0875</v>
          </cell>
          <cell r="E163" t="str">
            <v>RON HAVANA CLUB BLANCO 3AÑ 700ML X12</v>
          </cell>
          <cell r="F163">
            <v>37.5</v>
          </cell>
          <cell r="G163">
            <v>35.590000000000003</v>
          </cell>
        </row>
        <row r="164">
          <cell r="C164" t="str">
            <v>RON0997</v>
          </cell>
          <cell r="D164" t="str">
            <v>RON0997</v>
          </cell>
          <cell r="E164" t="str">
            <v>RON ANGOSTURA 1824 750ML X 6</v>
          </cell>
          <cell r="F164">
            <v>297.87</v>
          </cell>
          <cell r="G164">
            <v>208.26</v>
          </cell>
        </row>
        <row r="165">
          <cell r="C165" t="str">
            <v>RON1056</v>
          </cell>
          <cell r="D165" t="str">
            <v>RON1056</v>
          </cell>
          <cell r="E165" t="str">
            <v>RON ANGOSTURA TAMBOO SPICED 750ML X 12</v>
          </cell>
          <cell r="F165">
            <v>122.73</v>
          </cell>
          <cell r="G165">
            <v>85.7</v>
          </cell>
        </row>
        <row r="166">
          <cell r="C166" t="str">
            <v>RON1057</v>
          </cell>
          <cell r="D166" t="str">
            <v>RON1057</v>
          </cell>
          <cell r="E166" t="str">
            <v>RON BARCELO IMPERIAL 40 ANIVERSARIO X750ML</v>
          </cell>
          <cell r="F166">
            <v>841.57</v>
          </cell>
          <cell r="G166">
            <v>588.79999999999995</v>
          </cell>
        </row>
        <row r="167">
          <cell r="C167" t="str">
            <v>S0010</v>
          </cell>
          <cell r="D167" t="str">
            <v>S0010</v>
          </cell>
          <cell r="E167" t="str">
            <v>VODKA SMIRNOFF APPLE 700ML X 6</v>
          </cell>
          <cell r="F167">
            <v>35.71</v>
          </cell>
          <cell r="G167">
            <v>24.5</v>
          </cell>
        </row>
        <row r="168">
          <cell r="C168" t="str">
            <v>S0011</v>
          </cell>
          <cell r="D168" t="str">
            <v>S0011</v>
          </cell>
          <cell r="E168" t="str">
            <v>VODKA SMIRNOFF RED 700ML X 12</v>
          </cell>
          <cell r="F168">
            <v>32.86</v>
          </cell>
          <cell r="G168">
            <v>23</v>
          </cell>
        </row>
        <row r="169">
          <cell r="C169" t="str">
            <v>T5011</v>
          </cell>
          <cell r="D169" t="str">
            <v>T5011</v>
          </cell>
          <cell r="E169" t="str">
            <v>TEQ.DON JULIO REPOSADO 750ML X 6</v>
          </cell>
          <cell r="F169">
            <v>464.71</v>
          </cell>
          <cell r="G169">
            <v>325</v>
          </cell>
        </row>
        <row r="170">
          <cell r="C170" t="str">
            <v>V0070</v>
          </cell>
          <cell r="D170" t="str">
            <v>V0070</v>
          </cell>
          <cell r="E170" t="str">
            <v>LICOR DE CREMA BAILEYS ORIGINALX750</v>
          </cell>
          <cell r="F170">
            <v>71.709999999999994</v>
          </cell>
          <cell r="G170">
            <v>50</v>
          </cell>
        </row>
        <row r="171">
          <cell r="C171" t="str">
            <v>VER0003</v>
          </cell>
          <cell r="D171" t="str">
            <v>VER0003</v>
          </cell>
          <cell r="E171" t="str">
            <v>VERMOUTH CINZANO ROSSO 750ML X 12</v>
          </cell>
          <cell r="F171">
            <v>59.91</v>
          </cell>
          <cell r="G171">
            <v>41.69</v>
          </cell>
        </row>
        <row r="172">
          <cell r="C172" t="str">
            <v>VIN0108</v>
          </cell>
          <cell r="D172" t="str">
            <v>VIN0108</v>
          </cell>
          <cell r="E172" t="str">
            <v>VINO LUIGI BOSCA CABERNET SAUVIGNON X 750ML</v>
          </cell>
          <cell r="F172">
            <v>105.8</v>
          </cell>
          <cell r="G172">
            <v>73.75</v>
          </cell>
        </row>
        <row r="173">
          <cell r="C173" t="str">
            <v>VIN0114</v>
          </cell>
          <cell r="D173" t="str">
            <v>VIN0114</v>
          </cell>
          <cell r="E173" t="str">
            <v>VINO LUIGI BOSCA MALBEC X 750ML</v>
          </cell>
          <cell r="F173">
            <v>106.14</v>
          </cell>
          <cell r="G173">
            <v>73.989999999999995</v>
          </cell>
        </row>
        <row r="174">
          <cell r="C174" t="str">
            <v>VIN2534</v>
          </cell>
          <cell r="D174" t="str">
            <v>VIN2534</v>
          </cell>
          <cell r="E174" t="str">
            <v xml:space="preserve">VINO LUIGI BOSCA DE SANGRE MALBEC X 750ML </v>
          </cell>
          <cell r="F174">
            <v>148.44</v>
          </cell>
          <cell r="G174">
            <v>103.6</v>
          </cell>
        </row>
        <row r="175">
          <cell r="C175" t="str">
            <v>WHI0029</v>
          </cell>
          <cell r="D175" t="str">
            <v>WHI0029</v>
          </cell>
          <cell r="E175" t="str">
            <v>WHIS.JOHN. W.GOLD LABEL RESERV 200ML X24</v>
          </cell>
          <cell r="F175">
            <v>84.2</v>
          </cell>
          <cell r="G175">
            <v>58.8</v>
          </cell>
        </row>
        <row r="176">
          <cell r="C176" t="str">
            <v>WHI0034</v>
          </cell>
          <cell r="D176" t="str">
            <v>WHI0034</v>
          </cell>
          <cell r="E176" t="str">
            <v>CHIVAS.REGAL EX 13AÑ( BOURBON MORAD)700MLX6</v>
          </cell>
          <cell r="F176">
            <v>114.68</v>
          </cell>
          <cell r="G176">
            <v>80</v>
          </cell>
        </row>
        <row r="177">
          <cell r="C177" t="str">
            <v>WHI0334</v>
          </cell>
          <cell r="D177" t="str">
            <v>WHI0334</v>
          </cell>
          <cell r="E177" t="str">
            <v xml:space="preserve">MINI WHIS.BALLANTINES FINEST 50ML </v>
          </cell>
          <cell r="F177">
            <v>9.68</v>
          </cell>
          <cell r="G177">
            <v>6.5</v>
          </cell>
        </row>
        <row r="178">
          <cell r="C178" t="str">
            <v>WHI0347</v>
          </cell>
          <cell r="D178" t="str">
            <v>WHI0347</v>
          </cell>
          <cell r="E178" t="str">
            <v>WHIS.JOHNNIE W.BLUE LABEL 750ML X6</v>
          </cell>
          <cell r="F178">
            <v>1000.64</v>
          </cell>
          <cell r="G178">
            <v>700</v>
          </cell>
        </row>
        <row r="179">
          <cell r="C179" t="str">
            <v>WHI0348</v>
          </cell>
          <cell r="D179" t="str">
            <v>WHI0348</v>
          </cell>
          <cell r="E179" t="str">
            <v>WHIS.JOHNNIE W.RED LABEL 750ML X12</v>
          </cell>
          <cell r="F179">
            <v>50</v>
          </cell>
          <cell r="G179">
            <v>34.5</v>
          </cell>
        </row>
        <row r="180">
          <cell r="C180" t="str">
            <v>WHI0349</v>
          </cell>
          <cell r="D180" t="str">
            <v>WHI0349</v>
          </cell>
          <cell r="E180" t="str">
            <v>WHIS.JOHNNIE W.BLACK LABEL 750ML X12</v>
          </cell>
          <cell r="F180">
            <v>116.43</v>
          </cell>
          <cell r="G180">
            <v>81</v>
          </cell>
        </row>
        <row r="181">
          <cell r="C181" t="str">
            <v>WHI0352</v>
          </cell>
          <cell r="D181" t="str">
            <v>WHI0352</v>
          </cell>
          <cell r="E181" t="str">
            <v>WHIS.JOHNNIE W. DOUBLE BLACK  750ML X6</v>
          </cell>
          <cell r="F181">
            <v>149.29</v>
          </cell>
          <cell r="G181">
            <v>102</v>
          </cell>
        </row>
        <row r="182">
          <cell r="C182" t="str">
            <v>WHI0353</v>
          </cell>
          <cell r="D182" t="str">
            <v>WHI0353</v>
          </cell>
          <cell r="E182" t="str">
            <v>WHIS.JOHNNIE W. GOLD RESERVE  750ML X6</v>
          </cell>
          <cell r="F182">
            <v>233.29</v>
          </cell>
          <cell r="G182">
            <v>160</v>
          </cell>
        </row>
        <row r="183">
          <cell r="C183" t="str">
            <v>WHI0759</v>
          </cell>
          <cell r="D183" t="str">
            <v>WHI0759</v>
          </cell>
          <cell r="E183" t="str">
            <v>WHISKY SWING 750ML X 12</v>
          </cell>
          <cell r="G183">
            <v>159</v>
          </cell>
        </row>
        <row r="184">
          <cell r="C184" t="str">
            <v>WHI0991</v>
          </cell>
          <cell r="D184" t="str">
            <v>WHI0991</v>
          </cell>
          <cell r="E184" t="str">
            <v xml:space="preserve">PCK WHIS CHIVAS 12AÑ X700ML+ CHIVAS 12AÑ  X200ML </v>
          </cell>
          <cell r="F184">
            <v>94.32</v>
          </cell>
          <cell r="G184">
            <v>66</v>
          </cell>
        </row>
        <row r="185">
          <cell r="C185" t="str">
            <v>WHI0998</v>
          </cell>
          <cell r="D185" t="str">
            <v>WHI0998</v>
          </cell>
          <cell r="E185" t="str">
            <v>WHIS.JOHNNIE W.GREEN LABEL 750ML X 6</v>
          </cell>
          <cell r="F185">
            <v>323.29000000000002</v>
          </cell>
          <cell r="G185">
            <v>226</v>
          </cell>
        </row>
        <row r="186">
          <cell r="C186" t="str">
            <v>WHI1014</v>
          </cell>
          <cell r="D186" t="str">
            <v>WHI1014</v>
          </cell>
          <cell r="E186" t="str">
            <v>WHIS.OLD PARR 12AÑ 750ML</v>
          </cell>
          <cell r="F186">
            <v>83.99</v>
          </cell>
          <cell r="G186">
            <v>67</v>
          </cell>
        </row>
        <row r="187">
          <cell r="C187" t="str">
            <v>WHI1068</v>
          </cell>
          <cell r="D187" t="str">
            <v>WHI1068</v>
          </cell>
          <cell r="E187" t="str">
            <v>WHISKY JHONIE WALKER BLONDE 750MLX12</v>
          </cell>
          <cell r="F187">
            <v>75.94</v>
          </cell>
          <cell r="G187">
            <v>60</v>
          </cell>
        </row>
        <row r="188">
          <cell r="C188" t="str">
            <v>WHI1069</v>
          </cell>
          <cell r="D188" t="str">
            <v>WHI1069</v>
          </cell>
          <cell r="E188" t="str">
            <v>PK WHIS BALLANT FINEST+BALLANT FINEST 200ML</v>
          </cell>
          <cell r="G188">
            <v>34.5</v>
          </cell>
        </row>
        <row r="189">
          <cell r="C189" t="str">
            <v>WHI1071</v>
          </cell>
          <cell r="D189" t="str">
            <v>WHI1071</v>
          </cell>
          <cell r="E189" t="str">
            <v>PK WHI CHI REGAL EX 13AÑ 700ML+GIN BEEF PINK 700ML</v>
          </cell>
          <cell r="G189">
            <v>100</v>
          </cell>
        </row>
        <row r="190">
          <cell r="C190" t="str">
            <v>WHI1072</v>
          </cell>
          <cell r="D190" t="str">
            <v>WHI1072</v>
          </cell>
          <cell r="E190" t="str">
            <v>PK WHI CHIV REGAL 12AÑ 700ML+RON HAVANA 7AÑ 700ML</v>
          </cell>
          <cell r="G190">
            <v>0</v>
          </cell>
        </row>
        <row r="191">
          <cell r="C191" t="str">
            <v>V10407</v>
          </cell>
          <cell r="D191" t="str">
            <v/>
          </cell>
          <cell r="E191" t="str">
            <v>ULTIMAT VODKA X 750 ML</v>
          </cell>
          <cell r="F191">
            <v>137.27000000000001</v>
          </cell>
          <cell r="G191">
            <v>0</v>
          </cell>
        </row>
        <row r="192">
          <cell r="C192" t="str">
            <v>04963406</v>
          </cell>
          <cell r="D192" t="str">
            <v>04963406</v>
          </cell>
          <cell r="E192" t="str">
            <v>COCA COLA CLASICA 12OZ X12</v>
          </cell>
          <cell r="G192">
            <v>3.5</v>
          </cell>
        </row>
        <row r="193">
          <cell r="C193" t="str">
            <v>04998606</v>
          </cell>
          <cell r="D193" t="str">
            <v>04998606</v>
          </cell>
          <cell r="E193" t="str">
            <v>INCA KOLA LATA 12 OZ X12</v>
          </cell>
          <cell r="G193">
            <v>3.5</v>
          </cell>
        </row>
        <row r="194">
          <cell r="C194" t="str">
            <v>07891108</v>
          </cell>
          <cell r="D194" t="str">
            <v>07891108</v>
          </cell>
          <cell r="E194" t="str">
            <v>CRUSH NARANJA LATA 12OZ X12</v>
          </cell>
          <cell r="G194">
            <v>3.5</v>
          </cell>
        </row>
        <row r="195">
          <cell r="C195" t="str">
            <v>14235</v>
          </cell>
          <cell r="D195" t="str">
            <v>14235</v>
          </cell>
          <cell r="E195" t="str">
            <v>FANTA NARANJA LATA 12OZ X12</v>
          </cell>
          <cell r="G195">
            <v>3.5</v>
          </cell>
        </row>
        <row r="196">
          <cell r="C196" t="str">
            <v>CH210262530</v>
          </cell>
          <cell r="D196" t="str">
            <v>CH210262530</v>
          </cell>
          <cell r="E196" t="str">
            <v>MILKA CHIPS AHOY  100G</v>
          </cell>
          <cell r="F196">
            <v>11.9</v>
          </cell>
          <cell r="G196">
            <v>10</v>
          </cell>
        </row>
        <row r="197">
          <cell r="C197" t="str">
            <v>CH300617820</v>
          </cell>
          <cell r="D197" t="str">
            <v>CH300617820</v>
          </cell>
          <cell r="E197" t="str">
            <v>MILKA OREO  100G</v>
          </cell>
          <cell r="F197">
            <v>10.27</v>
          </cell>
          <cell r="G197">
            <v>10</v>
          </cell>
        </row>
        <row r="198">
          <cell r="C198" t="str">
            <v>GUIN01</v>
          </cell>
          <cell r="D198" t="str">
            <v>GUIN01</v>
          </cell>
          <cell r="E198" t="str">
            <v>CERVEZA GUINNESS LATA 440 ML X24 UN</v>
          </cell>
          <cell r="F198">
            <v>16.03</v>
          </cell>
          <cell r="G198">
            <v>13</v>
          </cell>
        </row>
        <row r="199">
          <cell r="C199" t="str">
            <v>NMP01</v>
          </cell>
          <cell r="D199" t="str">
            <v>NMP01</v>
          </cell>
          <cell r="E199" t="str">
            <v>JACK DANIEL´S STRAWBERRY PUNCH LATA X 355ML</v>
          </cell>
          <cell r="F199">
            <v>12.93</v>
          </cell>
          <cell r="G199">
            <v>10</v>
          </cell>
        </row>
        <row r="200">
          <cell r="C200" t="str">
            <v>NMP12</v>
          </cell>
          <cell r="D200" t="str">
            <v>NMP12</v>
          </cell>
          <cell r="E200" t="str">
            <v>SMIRNOFF ICE PINK LEMONADE BOT X 332ML</v>
          </cell>
          <cell r="F200">
            <v>12.93</v>
          </cell>
          <cell r="G200">
            <v>10</v>
          </cell>
        </row>
        <row r="201">
          <cell r="C201" t="str">
            <v>NMP16</v>
          </cell>
          <cell r="D201" t="str">
            <v>NMP16</v>
          </cell>
          <cell r="E201" t="str">
            <v>CERVEZA MODELO ESPECIAL BT 355ML X 12</v>
          </cell>
          <cell r="F201">
            <v>16.03</v>
          </cell>
          <cell r="G201">
            <v>12</v>
          </cell>
        </row>
        <row r="202">
          <cell r="C202" t="str">
            <v>1203</v>
          </cell>
          <cell r="D202" t="str">
            <v>1203</v>
          </cell>
          <cell r="E202" t="str">
            <v>SAL SALINA PARRILLERA DOYPACK 750GR</v>
          </cell>
          <cell r="F202">
            <v>4.3499999999999996</v>
          </cell>
          <cell r="G202">
            <v>3.5</v>
          </cell>
        </row>
        <row r="203">
          <cell r="C203" t="str">
            <v>ABU001</v>
          </cell>
          <cell r="D203" t="str">
            <v>ABU001</v>
          </cell>
          <cell r="E203" t="str">
            <v>RON ABUELO AÑEJO 750ML X12</v>
          </cell>
          <cell r="F203">
            <v>42.29</v>
          </cell>
          <cell r="G203">
            <v>34.200000000000003</v>
          </cell>
        </row>
        <row r="204">
          <cell r="C204" t="str">
            <v>ABU002</v>
          </cell>
          <cell r="D204" t="str">
            <v>ABU002</v>
          </cell>
          <cell r="E204" t="str">
            <v>RON ABUELO 7 AÑ 750ML X12</v>
          </cell>
          <cell r="F204">
            <v>88.58</v>
          </cell>
          <cell r="G204">
            <v>73.599999999999994</v>
          </cell>
        </row>
        <row r="205">
          <cell r="C205" t="str">
            <v>ABU003</v>
          </cell>
          <cell r="D205" t="str">
            <v>ABU003</v>
          </cell>
          <cell r="E205" t="str">
            <v>RON ABUELO 12 AÑ 750ML X12</v>
          </cell>
          <cell r="F205">
            <v>131.52000000000001</v>
          </cell>
          <cell r="G205">
            <v>105.05</v>
          </cell>
        </row>
        <row r="206">
          <cell r="C206" t="str">
            <v>ABU004</v>
          </cell>
          <cell r="D206" t="str">
            <v>ABU004</v>
          </cell>
          <cell r="E206" t="str">
            <v>RON ABUELO CENTURIA 750ML X12</v>
          </cell>
          <cell r="F206">
            <v>729.54</v>
          </cell>
          <cell r="G206">
            <v>619</v>
          </cell>
        </row>
        <row r="207">
          <cell r="C207" t="str">
            <v>ABU014</v>
          </cell>
          <cell r="D207" t="str">
            <v>ABU014</v>
          </cell>
          <cell r="E207" t="str">
            <v>RON ABUELO AÑEJO 1.75 LT X 6</v>
          </cell>
          <cell r="G207">
            <v>0</v>
          </cell>
        </row>
        <row r="208">
          <cell r="C208" t="str">
            <v>ABU015</v>
          </cell>
          <cell r="D208" t="str">
            <v>ABU015</v>
          </cell>
          <cell r="E208" t="str">
            <v>RON ABUELO XII AÑOS TWO OAKS 750ML X12</v>
          </cell>
          <cell r="G208">
            <v>239.9</v>
          </cell>
        </row>
        <row r="209">
          <cell r="C209" t="str">
            <v>ANI0001</v>
          </cell>
          <cell r="D209" t="str">
            <v>ANI0001</v>
          </cell>
          <cell r="E209" t="str">
            <v>ANIS DEL MONO ROJO (DULCE) 1LT X 6</v>
          </cell>
          <cell r="F209">
            <v>95.8</v>
          </cell>
          <cell r="G209">
            <v>78.95</v>
          </cell>
        </row>
        <row r="210">
          <cell r="C210" t="str">
            <v>ANI0004</v>
          </cell>
          <cell r="D210" t="str">
            <v>ANI0004</v>
          </cell>
          <cell r="E210" t="str">
            <v>ANIS DEL MONO VERDE SECO 1LT X 6</v>
          </cell>
          <cell r="F210">
            <v>95.8</v>
          </cell>
          <cell r="G210">
            <v>78.95</v>
          </cell>
        </row>
        <row r="211">
          <cell r="C211" t="str">
            <v>BIO138</v>
          </cell>
          <cell r="D211" t="str">
            <v>BIO138</v>
          </cell>
          <cell r="E211" t="str">
            <v>PIS. BIONDI ITALIA 500ML X12</v>
          </cell>
          <cell r="F211">
            <v>66.739999999999995</v>
          </cell>
          <cell r="G211">
            <v>56.4</v>
          </cell>
        </row>
        <row r="212">
          <cell r="C212" t="str">
            <v>BIO172</v>
          </cell>
          <cell r="D212" t="str">
            <v>BIO172</v>
          </cell>
          <cell r="E212" t="str">
            <v>PIS.BIONDI ACHOLADO 12MESES 700ML X12</v>
          </cell>
          <cell r="F212">
            <v>51.48</v>
          </cell>
          <cell r="G212">
            <v>52.65</v>
          </cell>
        </row>
        <row r="213">
          <cell r="C213" t="str">
            <v>BIO175</v>
          </cell>
          <cell r="D213" t="str">
            <v>BIO175</v>
          </cell>
          <cell r="E213" t="str">
            <v>P/ BIONDI GRAN COSECHA ACHOL.500ML X12</v>
          </cell>
          <cell r="F213">
            <v>78.28</v>
          </cell>
          <cell r="G213">
            <v>66.2</v>
          </cell>
        </row>
        <row r="214">
          <cell r="C214" t="str">
            <v>COU196</v>
          </cell>
          <cell r="D214" t="str">
            <v>COU196</v>
          </cell>
          <cell r="E214" t="str">
            <v>V/COUSINO MACUL RESERV.CAB.SAUV 750ML X12</v>
          </cell>
          <cell r="G214">
            <v>55.58</v>
          </cell>
        </row>
        <row r="215">
          <cell r="C215" t="str">
            <v>COU200</v>
          </cell>
          <cell r="D215" t="str">
            <v>COU200</v>
          </cell>
          <cell r="E215" t="str">
            <v>V/COUSIÑO MACUL A.RESERV  MERLOT 750ML X12</v>
          </cell>
          <cell r="F215">
            <v>65.77</v>
          </cell>
          <cell r="G215">
            <v>55.64</v>
          </cell>
        </row>
        <row r="216">
          <cell r="C216" t="str">
            <v>COU223</v>
          </cell>
          <cell r="D216" t="str">
            <v>COU223</v>
          </cell>
          <cell r="E216" t="str">
            <v>V./ COUSIÑO MACUL CAB. SAUVIGN 750ML+ 1 COPA</v>
          </cell>
          <cell r="G216">
            <v>55.58</v>
          </cell>
        </row>
        <row r="217">
          <cell r="C217" t="str">
            <v>COU674</v>
          </cell>
          <cell r="D217" t="str">
            <v>COU674</v>
          </cell>
          <cell r="E217" t="str">
            <v>V/COUSIÑO MACUL D.LUIS CARMENERE 750ML X12</v>
          </cell>
          <cell r="F217">
            <v>37.83</v>
          </cell>
          <cell r="G217">
            <v>31.86</v>
          </cell>
        </row>
        <row r="218">
          <cell r="C218" t="str">
            <v>FER089</v>
          </cell>
          <cell r="D218" t="str">
            <v>FER089</v>
          </cell>
          <cell r="E218" t="str">
            <v>LICOR FERNET BRANCA 750ML X12</v>
          </cell>
          <cell r="F218">
            <v>81.48</v>
          </cell>
          <cell r="G218">
            <v>73.39</v>
          </cell>
        </row>
        <row r="219">
          <cell r="C219" t="str">
            <v>FXN046</v>
          </cell>
          <cell r="D219" t="str">
            <v>FXN046</v>
          </cell>
          <cell r="E219" t="str">
            <v>E/FREIXT C.NEGRO BRUT 750ML+COPA X6</v>
          </cell>
          <cell r="F219">
            <v>50.79</v>
          </cell>
          <cell r="G219">
            <v>42.42</v>
          </cell>
        </row>
        <row r="220">
          <cell r="C220" t="str">
            <v>FXN064</v>
          </cell>
          <cell r="D220" t="str">
            <v>FXN064</v>
          </cell>
          <cell r="E220" t="str">
            <v>E/ FREIXT MIA MOSCATO ROSADO 750ML X12</v>
          </cell>
          <cell r="F220">
            <v>50.79</v>
          </cell>
          <cell r="G220">
            <v>38.119999999999997</v>
          </cell>
        </row>
        <row r="221">
          <cell r="C221" t="str">
            <v>FXN687</v>
          </cell>
          <cell r="D221" t="str">
            <v>FXN687</v>
          </cell>
          <cell r="E221" t="str">
            <v>E/ FREIXT MIA MOSCATO (NARANJA) 750ML X12</v>
          </cell>
          <cell r="F221">
            <v>50.79</v>
          </cell>
          <cell r="G221">
            <v>42.11</v>
          </cell>
        </row>
        <row r="222">
          <cell r="C222" t="str">
            <v>JON384</v>
          </cell>
          <cell r="D222" t="str">
            <v>JON384</v>
          </cell>
          <cell r="E222" t="str">
            <v>WHISKY JOHN BARR  BLACK 750ML X12</v>
          </cell>
          <cell r="F222">
            <v>24.45</v>
          </cell>
          <cell r="G222">
            <v>20.5</v>
          </cell>
        </row>
        <row r="223">
          <cell r="C223" t="str">
            <v>NIE712</v>
          </cell>
          <cell r="D223" t="str">
            <v>NIE712</v>
          </cell>
          <cell r="E223" t="str">
            <v>V/SENETR DN NICANOR BLEND 750ML X12</v>
          </cell>
          <cell r="F223">
            <v>77.680000000000007</v>
          </cell>
          <cell r="G223">
            <v>65.900000000000006</v>
          </cell>
        </row>
        <row r="224">
          <cell r="C224" t="str">
            <v>NIE766</v>
          </cell>
          <cell r="D224" t="str">
            <v>NIE766</v>
          </cell>
          <cell r="E224" t="str">
            <v>V/S. D.NICANOR BARREL SELCT MALBC 750ML X12</v>
          </cell>
          <cell r="F224">
            <v>97.63</v>
          </cell>
          <cell r="G224">
            <v>82.62</v>
          </cell>
        </row>
        <row r="225">
          <cell r="C225" t="str">
            <v>NIE797</v>
          </cell>
          <cell r="D225" t="str">
            <v>NIE797</v>
          </cell>
          <cell r="E225" t="str">
            <v>V.SENETINER CAMILA ROSE DULCE X750ML</v>
          </cell>
          <cell r="F225">
            <v>36.590000000000003</v>
          </cell>
          <cell r="G225">
            <v>30.81</v>
          </cell>
        </row>
        <row r="226">
          <cell r="C226" t="str">
            <v>NIE799</v>
          </cell>
          <cell r="D226" t="str">
            <v>NIE799</v>
          </cell>
          <cell r="E226" t="str">
            <v>V/SENETR CAMILA MALBEC 750ML X12</v>
          </cell>
          <cell r="F226">
            <v>36.590000000000003</v>
          </cell>
          <cell r="G226">
            <v>30.8</v>
          </cell>
        </row>
        <row r="227">
          <cell r="C227" t="str">
            <v>RUT008</v>
          </cell>
          <cell r="D227" t="str">
            <v>RUT008</v>
          </cell>
          <cell r="E227" t="str">
            <v xml:space="preserve">V/RUTINI  COLECC. MALBEC 750ML X12 </v>
          </cell>
          <cell r="F227">
            <v>168.29</v>
          </cell>
          <cell r="G227">
            <v>142.6</v>
          </cell>
        </row>
        <row r="228">
          <cell r="C228" t="str">
            <v>RUT012</v>
          </cell>
          <cell r="D228" t="str">
            <v>RUT012</v>
          </cell>
          <cell r="E228" t="str">
            <v>V/RUTINI COLECC.CABERNT SAUVIGN 750ML X12</v>
          </cell>
          <cell r="F228">
            <v>168.29</v>
          </cell>
          <cell r="G228">
            <v>142.6</v>
          </cell>
        </row>
        <row r="229">
          <cell r="C229" t="str">
            <v>WIN007</v>
          </cell>
          <cell r="D229" t="str">
            <v>WIN007</v>
          </cell>
          <cell r="E229" t="str">
            <v>VNO DEMUERTE ONE TINTO 750ML X6</v>
          </cell>
          <cell r="G229">
            <v>54</v>
          </cell>
        </row>
        <row r="230">
          <cell r="C230" t="str">
            <v>VO014</v>
          </cell>
          <cell r="D230" t="str">
            <v/>
          </cell>
          <cell r="E230" t="str">
            <v>O. VINO F/CAV.CRIAN C/S X750ML X12</v>
          </cell>
          <cell r="F230">
            <v>36</v>
          </cell>
          <cell r="G230">
            <v>22.1</v>
          </cell>
        </row>
        <row r="231">
          <cell r="C231" t="str">
            <v>CAR001</v>
          </cell>
          <cell r="D231" t="str">
            <v>CAR001</v>
          </cell>
          <cell r="E231" t="str">
            <v>CARBON FENIX BOLSA X 5 KG</v>
          </cell>
          <cell r="F231">
            <v>26</v>
          </cell>
          <cell r="G231">
            <v>17.989999999999998</v>
          </cell>
        </row>
        <row r="232">
          <cell r="C232" t="str">
            <v>CAR002</v>
          </cell>
          <cell r="D232" t="str">
            <v>CAR002</v>
          </cell>
          <cell r="E232" t="str">
            <v>CARBON FENIX BOLSA X 3 KG</v>
          </cell>
          <cell r="F232">
            <v>19</v>
          </cell>
          <cell r="G232">
            <v>13</v>
          </cell>
        </row>
        <row r="233">
          <cell r="C233" t="str">
            <v>H100</v>
          </cell>
          <cell r="D233" t="str">
            <v>H100</v>
          </cell>
          <cell r="E233" t="str">
            <v>HIELO 3K AGUA CERO</v>
          </cell>
          <cell r="F233">
            <v>5</v>
          </cell>
          <cell r="G233">
            <v>3.75</v>
          </cell>
        </row>
        <row r="234">
          <cell r="C234" t="str">
            <v>SIERR01</v>
          </cell>
          <cell r="D234" t="str">
            <v>SIERR01</v>
          </cell>
          <cell r="E234" t="str">
            <v>SIERRA NEVEDA PALEALE 12BOT X 12OZ</v>
          </cell>
          <cell r="G234">
            <v>13</v>
          </cell>
        </row>
        <row r="235">
          <cell r="C235" t="str">
            <v>00804</v>
          </cell>
          <cell r="D235" t="str">
            <v>00804</v>
          </cell>
          <cell r="E235" t="str">
            <v>VINO ZUCCARDI Q MALBEC 750ML X 12</v>
          </cell>
          <cell r="G235">
            <v>84</v>
          </cell>
        </row>
        <row r="236">
          <cell r="C236" t="str">
            <v>00809</v>
          </cell>
          <cell r="D236" t="str">
            <v>00809</v>
          </cell>
          <cell r="E236" t="str">
            <v>VINO SANTA JULIA MALBEC CLASS 750MLX12</v>
          </cell>
          <cell r="G236">
            <v>29.9</v>
          </cell>
        </row>
        <row r="237">
          <cell r="C237" t="str">
            <v>01502</v>
          </cell>
          <cell r="D237" t="str">
            <v>01502</v>
          </cell>
          <cell r="E237" t="str">
            <v>VINO DOMAINES OTT (ROSADO) 750ML X 12</v>
          </cell>
          <cell r="G237">
            <v>0</v>
          </cell>
        </row>
        <row r="238">
          <cell r="C238" t="str">
            <v>04019</v>
          </cell>
          <cell r="D238" t="str">
            <v>04019</v>
          </cell>
          <cell r="E238" t="str">
            <v>RON PLANTATION OVERPROOF 69% 1LT X 6</v>
          </cell>
          <cell r="F238">
            <v>173.63</v>
          </cell>
          <cell r="G238">
            <v>149</v>
          </cell>
        </row>
        <row r="239">
          <cell r="C239" t="str">
            <v>04039</v>
          </cell>
          <cell r="D239" t="str">
            <v>04039</v>
          </cell>
          <cell r="E239" t="str">
            <v>RON PLANTATION ORIGINAL DARK 1LT X6</v>
          </cell>
          <cell r="F239">
            <v>97.21</v>
          </cell>
          <cell r="G239">
            <v>79.900000000000006</v>
          </cell>
        </row>
        <row r="240">
          <cell r="C240" t="str">
            <v>20006</v>
          </cell>
          <cell r="D240" t="str">
            <v>20006</v>
          </cell>
          <cell r="E240" t="str">
            <v>RON MYERS ORIGINAL DARK 750MLX 6</v>
          </cell>
          <cell r="G240">
            <v>41.5</v>
          </cell>
        </row>
        <row r="241">
          <cell r="C241" t="str">
            <v>L171</v>
          </cell>
          <cell r="D241" t="str">
            <v>L171</v>
          </cell>
          <cell r="E241" t="str">
            <v xml:space="preserve">CAFETERA MOKA ITAL CARMENCITA POP LAVAZZA </v>
          </cell>
          <cell r="F241">
            <v>252.18</v>
          </cell>
          <cell r="G241">
            <v>229</v>
          </cell>
        </row>
        <row r="242">
          <cell r="C242" t="str">
            <v>L7006</v>
          </cell>
          <cell r="D242" t="str">
            <v>L7006</v>
          </cell>
          <cell r="E242" t="str">
            <v>CAFE ESPRESSO MAESTRO RISTRETO X 10CAPS -LAVAZZA</v>
          </cell>
          <cell r="F242">
            <v>32.520000000000003</v>
          </cell>
          <cell r="G242">
            <v>26.9</v>
          </cell>
        </row>
        <row r="243">
          <cell r="C243" t="str">
            <v>102025</v>
          </cell>
          <cell r="D243" t="str">
            <v>102025</v>
          </cell>
          <cell r="E243" t="str">
            <v>BENEDIKTINER FESTBIER LATA 500 ML</v>
          </cell>
          <cell r="G243">
            <v>12.62</v>
          </cell>
        </row>
        <row r="244">
          <cell r="C244" t="str">
            <v>102026</v>
          </cell>
          <cell r="D244" t="str">
            <v>102026</v>
          </cell>
          <cell r="E244" t="str">
            <v>BENEDIKTINER FESTBIER BARRIL 5 L</v>
          </cell>
          <cell r="F244">
            <v>166.54</v>
          </cell>
          <cell r="G244">
            <v>137.33000000000001</v>
          </cell>
        </row>
        <row r="245">
          <cell r="C245" t="str">
            <v>102028</v>
          </cell>
          <cell r="D245" t="str">
            <v>102028</v>
          </cell>
          <cell r="E245" t="str">
            <v>CERV. BITBURGER BARRIL 5 L</v>
          </cell>
          <cell r="F245">
            <v>166.54</v>
          </cell>
          <cell r="G245">
            <v>133.29</v>
          </cell>
        </row>
        <row r="246">
          <cell r="C246" t="str">
            <v>102031</v>
          </cell>
          <cell r="D246" t="str">
            <v>102031</v>
          </cell>
          <cell r="E246" t="str">
            <v>CERV. PRESIDENTE BOTELLA 355 ML</v>
          </cell>
          <cell r="F246">
            <v>16.8</v>
          </cell>
          <cell r="G246">
            <v>9.42</v>
          </cell>
        </row>
        <row r="247">
          <cell r="C247" t="str">
            <v>102033</v>
          </cell>
          <cell r="D247" t="str">
            <v>102033</v>
          </cell>
          <cell r="E247" t="str">
            <v>CERV. MILLER BOTELLA 330 ML</v>
          </cell>
          <cell r="F247">
            <v>12.71</v>
          </cell>
          <cell r="G247">
            <v>10.1</v>
          </cell>
        </row>
        <row r="248">
          <cell r="C248" t="str">
            <v>102034</v>
          </cell>
          <cell r="D248" t="str">
            <v>102034</v>
          </cell>
          <cell r="E248" t="str">
            <v>CERV. MODELO LATA 237ML</v>
          </cell>
          <cell r="F248">
            <v>10.71</v>
          </cell>
          <cell r="G248">
            <v>6.31</v>
          </cell>
        </row>
        <row r="249">
          <cell r="C249" t="str">
            <v>0184557</v>
          </cell>
          <cell r="D249" t="str">
            <v>0184557</v>
          </cell>
          <cell r="E249" t="str">
            <v>TRAPICHE RVA CABERNET SAUV 750ML X 6</v>
          </cell>
          <cell r="G249">
            <v>33.01</v>
          </cell>
        </row>
        <row r="250">
          <cell r="C250" t="str">
            <v>140217</v>
          </cell>
          <cell r="D250" t="str">
            <v>140217</v>
          </cell>
          <cell r="E250" t="str">
            <v>NP GATO TETRA BLANCO 1L X 12</v>
          </cell>
          <cell r="G250">
            <v>11.07</v>
          </cell>
        </row>
        <row r="251">
          <cell r="C251" t="str">
            <v>140296</v>
          </cell>
          <cell r="D251" t="str">
            <v>140296</v>
          </cell>
          <cell r="E251" t="str">
            <v>VINO GATO DULCE TINTO 750MLX 12</v>
          </cell>
          <cell r="G251">
            <v>10.25</v>
          </cell>
        </row>
        <row r="252">
          <cell r="C252" t="str">
            <v>140351</v>
          </cell>
          <cell r="D252" t="str">
            <v>140351</v>
          </cell>
          <cell r="E252" t="str">
            <v>V.TINTO SAN PEDRO SIDERAL 750ML X12</v>
          </cell>
          <cell r="G252">
            <v>0</v>
          </cell>
        </row>
        <row r="253">
          <cell r="C253" t="str">
            <v>140600</v>
          </cell>
          <cell r="D253" t="str">
            <v>140600</v>
          </cell>
          <cell r="E253" t="str">
            <v>HERED.D.MARQ/RUEDA 750ML X6</v>
          </cell>
          <cell r="G253">
            <v>41.67</v>
          </cell>
        </row>
        <row r="254">
          <cell r="C254" t="str">
            <v>140610</v>
          </cell>
          <cell r="D254" t="str">
            <v>140610</v>
          </cell>
          <cell r="E254" t="str">
            <v>HERED.D.MARQ/RISCAL RESERVA 750ML X12</v>
          </cell>
          <cell r="G254">
            <v>85.84</v>
          </cell>
        </row>
        <row r="255">
          <cell r="C255" t="str">
            <v>140612</v>
          </cell>
          <cell r="D255" t="str">
            <v>140612</v>
          </cell>
          <cell r="E255" t="str">
            <v>HERED.D.MARQ/GRAN RESERVA 750ML X12</v>
          </cell>
          <cell r="G255">
            <v>191.77</v>
          </cell>
        </row>
        <row r="256">
          <cell r="C256" t="str">
            <v>140620</v>
          </cell>
          <cell r="D256" t="str">
            <v>140620</v>
          </cell>
          <cell r="E256" t="str">
            <v>HERED.D.MARQ/ROSADO 750ML X12</v>
          </cell>
          <cell r="G256">
            <v>40.840000000000003</v>
          </cell>
        </row>
        <row r="257">
          <cell r="C257" t="str">
            <v>140635</v>
          </cell>
          <cell r="D257" t="str">
            <v>140635</v>
          </cell>
          <cell r="E257" t="str">
            <v>HERED.D.MARQ/TEMPRANILLO 750ML X12</v>
          </cell>
          <cell r="G257">
            <v>40.840000000000003</v>
          </cell>
        </row>
        <row r="258">
          <cell r="C258" t="str">
            <v>142700</v>
          </cell>
          <cell r="D258" t="str">
            <v>142700</v>
          </cell>
          <cell r="E258" t="str">
            <v>V.TINTO ICONO UNANIME 750ML X6</v>
          </cell>
          <cell r="F258">
            <v>146.69999999999999</v>
          </cell>
          <cell r="G258">
            <v>123.81</v>
          </cell>
        </row>
        <row r="259">
          <cell r="C259" t="str">
            <v>142730</v>
          </cell>
          <cell r="D259" t="str">
            <v>142730</v>
          </cell>
          <cell r="E259" t="str">
            <v>V.TINTO LA GRAN MASCO.MALBEC 750ML X6</v>
          </cell>
          <cell r="F259">
            <v>81.95</v>
          </cell>
          <cell r="G259">
            <v>61.79</v>
          </cell>
        </row>
        <row r="260">
          <cell r="C260" t="str">
            <v>142760</v>
          </cell>
          <cell r="D260" t="str">
            <v>142760</v>
          </cell>
          <cell r="E260" t="str">
            <v>V.TINTO LA MASCOTA .MALBEC 750ML X12</v>
          </cell>
          <cell r="F260">
            <v>74.83</v>
          </cell>
          <cell r="G260">
            <v>43.66</v>
          </cell>
        </row>
        <row r="261">
          <cell r="C261" t="str">
            <v>142761</v>
          </cell>
          <cell r="D261" t="str">
            <v>142761</v>
          </cell>
          <cell r="E261" t="str">
            <v>V.TINTO LA MASC.CABERNET SAUV.750ML X12</v>
          </cell>
          <cell r="F261">
            <v>74.83</v>
          </cell>
          <cell r="G261">
            <v>58.18</v>
          </cell>
        </row>
        <row r="262">
          <cell r="C262" t="str">
            <v>142764</v>
          </cell>
          <cell r="D262" t="str">
            <v>142764</v>
          </cell>
          <cell r="E262" t="str">
            <v xml:space="preserve"> LA MASCOTA CABERNET FRANC 750ML X 12</v>
          </cell>
          <cell r="F262">
            <v>74.83</v>
          </cell>
          <cell r="G262">
            <v>43.66</v>
          </cell>
        </row>
        <row r="263">
          <cell r="C263" t="str">
            <v>177303</v>
          </cell>
          <cell r="D263" t="str">
            <v>177303</v>
          </cell>
          <cell r="E263" t="str">
            <v>PF.NC LOS ARBOLES RED BLEND 750ML X6</v>
          </cell>
          <cell r="G263">
            <v>21.63</v>
          </cell>
        </row>
        <row r="264">
          <cell r="C264" t="str">
            <v>177305</v>
          </cell>
          <cell r="D264" t="str">
            <v>177305</v>
          </cell>
          <cell r="E264" t="str">
            <v>NC LOS ARBOLES CABERN  MALBEC 750ML X6</v>
          </cell>
          <cell r="G264">
            <v>0</v>
          </cell>
        </row>
        <row r="265">
          <cell r="C265" t="str">
            <v>177325</v>
          </cell>
          <cell r="D265" t="str">
            <v>177325</v>
          </cell>
          <cell r="E265" t="str">
            <v>NC LOS ARBOLES CABERN SUAVIGNON 750ML X6</v>
          </cell>
          <cell r="F265">
            <v>26.74</v>
          </cell>
          <cell r="G265">
            <v>18.96</v>
          </cell>
        </row>
        <row r="266">
          <cell r="C266" t="str">
            <v>177335</v>
          </cell>
          <cell r="D266" t="str">
            <v>177335</v>
          </cell>
          <cell r="E266" t="str">
            <v>PF.NC LOS ARBOLES MALBEC 750ML X6</v>
          </cell>
          <cell r="F266">
            <v>26.74</v>
          </cell>
          <cell r="G266">
            <v>24.51</v>
          </cell>
        </row>
        <row r="267">
          <cell r="C267" t="str">
            <v>177352</v>
          </cell>
          <cell r="D267" t="str">
            <v>177352</v>
          </cell>
          <cell r="E267" t="str">
            <v>PF.NC DULCET SPARKLING 750ML X6</v>
          </cell>
          <cell r="G267">
            <v>36</v>
          </cell>
        </row>
        <row r="268">
          <cell r="C268" t="str">
            <v>177445</v>
          </cell>
          <cell r="D268" t="str">
            <v>177445</v>
          </cell>
          <cell r="E268" t="str">
            <v>V.TINTO SEP.LOTE ESPECIAL  MALBEC 750ML X6</v>
          </cell>
          <cell r="G268">
            <v>111.51</v>
          </cell>
        </row>
        <row r="269">
          <cell r="C269" t="str">
            <v>177450</v>
          </cell>
          <cell r="D269" t="str">
            <v>177450</v>
          </cell>
          <cell r="E269" t="str">
            <v>V.TINTO SEP.GRAN RESERVA 750ML X6</v>
          </cell>
          <cell r="G269">
            <v>78.16</v>
          </cell>
        </row>
        <row r="270">
          <cell r="C270" t="str">
            <v>177788</v>
          </cell>
          <cell r="D270" t="str">
            <v>177788</v>
          </cell>
          <cell r="E270" t="str">
            <v>V.TINTO SEP.OBRA CABERNET 750ML X6</v>
          </cell>
          <cell r="G270">
            <v>60.08</v>
          </cell>
        </row>
        <row r="271">
          <cell r="C271" t="str">
            <v>177789</v>
          </cell>
          <cell r="D271" t="str">
            <v>177789</v>
          </cell>
          <cell r="E271" t="str">
            <v>V.TINTO SEP.OBRA MALBEC 750ML X6</v>
          </cell>
          <cell r="G271">
            <v>60.08</v>
          </cell>
        </row>
        <row r="272">
          <cell r="C272" t="str">
            <v>177904</v>
          </cell>
          <cell r="D272" t="str">
            <v>177904</v>
          </cell>
          <cell r="E272" t="str">
            <v>PIS.FERREYROS ACHOLADO 750ML X12</v>
          </cell>
          <cell r="G272">
            <v>0</v>
          </cell>
        </row>
        <row r="273">
          <cell r="C273" t="str">
            <v>177915</v>
          </cell>
          <cell r="D273" t="str">
            <v>177915</v>
          </cell>
          <cell r="E273" t="str">
            <v>PIS.FERREYROS PUR.QUEBRANTA 750ML X12</v>
          </cell>
          <cell r="G273">
            <v>0</v>
          </cell>
        </row>
        <row r="274">
          <cell r="C274" t="str">
            <v>179900</v>
          </cell>
          <cell r="D274" t="str">
            <v>179900</v>
          </cell>
          <cell r="E274" t="str">
            <v>ANIS NAJAR SECO 750ML X12</v>
          </cell>
          <cell r="F274">
            <v>35.94</v>
          </cell>
          <cell r="G274">
            <v>28.88</v>
          </cell>
        </row>
        <row r="275">
          <cell r="C275" t="str">
            <v>179914</v>
          </cell>
          <cell r="D275" t="str">
            <v>179914</v>
          </cell>
          <cell r="E275" t="str">
            <v>ANIS NAJAR CREMA 750ML X12</v>
          </cell>
          <cell r="F275">
            <v>39.270000000000003</v>
          </cell>
          <cell r="G275">
            <v>30.89</v>
          </cell>
        </row>
        <row r="276">
          <cell r="C276" t="str">
            <v>179942</v>
          </cell>
          <cell r="D276" t="str">
            <v>179942</v>
          </cell>
          <cell r="E276" t="str">
            <v>ANIS NAJAR SECO 125ML X24</v>
          </cell>
          <cell r="F276">
            <v>12.23</v>
          </cell>
          <cell r="G276">
            <v>9.23</v>
          </cell>
        </row>
        <row r="277">
          <cell r="C277" t="str">
            <v>180101</v>
          </cell>
          <cell r="D277" t="str">
            <v>180101</v>
          </cell>
          <cell r="E277" t="str">
            <v>V.TINTO BORGOÑA.SEÑ.NAJ.750ML X12</v>
          </cell>
          <cell r="F277">
            <v>17.45</v>
          </cell>
          <cell r="G277">
            <v>14.5</v>
          </cell>
        </row>
        <row r="278">
          <cell r="C278" t="str">
            <v>180105</v>
          </cell>
          <cell r="D278" t="str">
            <v>180105</v>
          </cell>
          <cell r="E278" t="str">
            <v>PF.CHAMP.ESP.SEÑ.NAJAR 750ML X12</v>
          </cell>
          <cell r="G278">
            <v>0</v>
          </cell>
        </row>
        <row r="279">
          <cell r="C279" t="str">
            <v>184359</v>
          </cell>
          <cell r="D279" t="str">
            <v>184359</v>
          </cell>
          <cell r="E279" t="str">
            <v>TRAPICHE BROQUEL MALBEC 750ML X 6</v>
          </cell>
          <cell r="F279">
            <v>58.8</v>
          </cell>
          <cell r="G279">
            <v>47</v>
          </cell>
        </row>
        <row r="280">
          <cell r="C280" t="str">
            <v>184360</v>
          </cell>
          <cell r="D280" t="str">
            <v>184360</v>
          </cell>
          <cell r="E280" t="str">
            <v>TRAPICHE BROQUEL CAB.SAUV 750ML X 6</v>
          </cell>
          <cell r="F280">
            <v>58.8</v>
          </cell>
          <cell r="G280">
            <v>47</v>
          </cell>
        </row>
        <row r="281">
          <cell r="C281" t="str">
            <v>184361</v>
          </cell>
          <cell r="D281" t="str">
            <v>184361</v>
          </cell>
          <cell r="E281" t="str">
            <v>TRAPICHE BROQUEL CAB.FRANC 750ML X 6</v>
          </cell>
          <cell r="F281">
            <v>58.8</v>
          </cell>
          <cell r="G281">
            <v>47</v>
          </cell>
        </row>
        <row r="282">
          <cell r="C282" t="str">
            <v>196840</v>
          </cell>
          <cell r="D282" t="str">
            <v>196840</v>
          </cell>
          <cell r="E282" t="str">
            <v>NC CP PINOT NOIR 750 ML X6</v>
          </cell>
          <cell r="F282">
            <v>47.63</v>
          </cell>
          <cell r="G282">
            <v>38.299999999999997</v>
          </cell>
        </row>
        <row r="283">
          <cell r="C283" t="str">
            <v>197310</v>
          </cell>
          <cell r="D283" t="str">
            <v>197310</v>
          </cell>
          <cell r="E283" t="str">
            <v>RON VIEJO DE CALDAS 3 AÑOS 750MLX12</v>
          </cell>
          <cell r="G283">
            <v>20.14</v>
          </cell>
        </row>
        <row r="284">
          <cell r="C284" t="str">
            <v>197312</v>
          </cell>
          <cell r="D284" t="str">
            <v>197312</v>
          </cell>
          <cell r="E284" t="str">
            <v>RON VIEJO DE CALDAS 5 AÑOS X750</v>
          </cell>
          <cell r="G284">
            <v>0</v>
          </cell>
        </row>
        <row r="285">
          <cell r="C285" t="str">
            <v>197314</v>
          </cell>
          <cell r="D285" t="str">
            <v>197314</v>
          </cell>
          <cell r="E285" t="str">
            <v>RON VIEJO DE CALDAS 8 AÑOS X750</v>
          </cell>
          <cell r="G285">
            <v>0</v>
          </cell>
        </row>
        <row r="286">
          <cell r="C286" t="str">
            <v>197315</v>
          </cell>
          <cell r="D286" t="str">
            <v>197315</v>
          </cell>
          <cell r="E286" t="str">
            <v>RON VIEJO DE CALDAS GRAN RVA ESP. 750ML</v>
          </cell>
          <cell r="G286">
            <v>95.06</v>
          </cell>
        </row>
        <row r="287">
          <cell r="C287" t="str">
            <v>197322</v>
          </cell>
          <cell r="D287" t="str">
            <v>197322</v>
          </cell>
          <cell r="E287" t="str">
            <v>R.V CALDAS  ROBLE BLANCO 750ML X 12</v>
          </cell>
          <cell r="G287">
            <v>0</v>
          </cell>
        </row>
        <row r="288">
          <cell r="C288" t="str">
            <v>197323</v>
          </cell>
          <cell r="D288" t="str">
            <v>197323</v>
          </cell>
          <cell r="E288" t="str">
            <v>ESTUCHE R VIEJO CALDAS 5 AÑOS + SHAKER X 750ML</v>
          </cell>
          <cell r="G288">
            <v>0</v>
          </cell>
        </row>
        <row r="289">
          <cell r="C289" t="str">
            <v>197325</v>
          </cell>
          <cell r="D289" t="str">
            <v>197325</v>
          </cell>
          <cell r="E289" t="str">
            <v>ESTUCHE R.VIEJÓ CALDAS  8 AÑOS + VASO X750ML</v>
          </cell>
          <cell r="G289">
            <v>0</v>
          </cell>
        </row>
        <row r="290">
          <cell r="C290" t="str">
            <v>198720</v>
          </cell>
          <cell r="D290" t="str">
            <v>198720</v>
          </cell>
          <cell r="E290" t="str">
            <v>PF.NC ALEG.CABERNET SAUVIG.750ML X6</v>
          </cell>
          <cell r="F290">
            <v>99.3</v>
          </cell>
          <cell r="G290">
            <v>72.739999999999995</v>
          </cell>
        </row>
        <row r="291">
          <cell r="C291" t="str">
            <v>198850</v>
          </cell>
          <cell r="D291" t="str">
            <v>198850</v>
          </cell>
          <cell r="E291" t="str">
            <v>PF.NC CP BLEND 750ML X6</v>
          </cell>
          <cell r="F291">
            <v>47.63</v>
          </cell>
          <cell r="G291">
            <v>34.1</v>
          </cell>
        </row>
        <row r="292">
          <cell r="C292" t="str">
            <v>198870</v>
          </cell>
          <cell r="D292" t="str">
            <v/>
          </cell>
          <cell r="E292" t="str">
            <v>PF.NC CP MALBEC 750ML X6</v>
          </cell>
          <cell r="G292">
            <v>34.11</v>
          </cell>
        </row>
        <row r="293">
          <cell r="C293" t="str">
            <v>198910</v>
          </cell>
          <cell r="D293" t="str">
            <v/>
          </cell>
          <cell r="E293" t="str">
            <v>PF.NC CP CHARDONNAY 750ML X6</v>
          </cell>
          <cell r="G293">
            <v>38.299999999999997</v>
          </cell>
        </row>
        <row r="294">
          <cell r="C294" t="str">
            <v>198940</v>
          </cell>
          <cell r="D294" t="str">
            <v>198940</v>
          </cell>
          <cell r="E294" t="str">
            <v>PF.NC ALEG.MALBEC 750ML X6</v>
          </cell>
          <cell r="G294">
            <v>0</v>
          </cell>
        </row>
        <row r="295">
          <cell r="C295" t="str">
            <v>198950</v>
          </cell>
          <cell r="D295" t="str">
            <v/>
          </cell>
          <cell r="E295" t="str">
            <v>PF.NC CP CABER.SAUVIG 750ML X6</v>
          </cell>
          <cell r="G295">
            <v>34.11</v>
          </cell>
        </row>
        <row r="296">
          <cell r="C296" t="str">
            <v>198960</v>
          </cell>
          <cell r="D296" t="str">
            <v/>
          </cell>
          <cell r="E296" t="str">
            <v>PF.NC CP MERLOT 750ML X6</v>
          </cell>
          <cell r="G296">
            <v>0</v>
          </cell>
        </row>
        <row r="297">
          <cell r="C297" t="str">
            <v>199185</v>
          </cell>
          <cell r="D297" t="str">
            <v>199185</v>
          </cell>
          <cell r="E297" t="str">
            <v>PF.NC CP ROSADO 750ML X6</v>
          </cell>
          <cell r="G297">
            <v>0</v>
          </cell>
        </row>
        <row r="298">
          <cell r="C298" t="str">
            <v>199274</v>
          </cell>
          <cell r="D298" t="str">
            <v>199274</v>
          </cell>
          <cell r="E298" t="str">
            <v>SPIRIT GIN TONIC 275ML X 24</v>
          </cell>
          <cell r="F298">
            <v>6.73</v>
          </cell>
          <cell r="G298">
            <v>5.47</v>
          </cell>
        </row>
        <row r="299">
          <cell r="C299" t="str">
            <v>199275</v>
          </cell>
          <cell r="D299" t="str">
            <v>199275</v>
          </cell>
          <cell r="E299" t="str">
            <v>SPIRIT GIN LEMON 275ML X 24</v>
          </cell>
          <cell r="F299">
            <v>6.73</v>
          </cell>
          <cell r="G299">
            <v>5.47</v>
          </cell>
        </row>
        <row r="300">
          <cell r="C300" t="str">
            <v>199276</v>
          </cell>
          <cell r="D300" t="str">
            <v>199276</v>
          </cell>
          <cell r="E300" t="str">
            <v>SPIRIT VODKA BLUEBERRY  275ML X 24</v>
          </cell>
          <cell r="G300">
            <v>5.47</v>
          </cell>
        </row>
        <row r="301">
          <cell r="C301" t="str">
            <v>199277</v>
          </cell>
          <cell r="D301" t="str">
            <v>199277</v>
          </cell>
          <cell r="E301" t="str">
            <v>SPIRIT MOJITO 275ML X 24</v>
          </cell>
          <cell r="F301">
            <v>6.73</v>
          </cell>
          <cell r="G301">
            <v>5.47</v>
          </cell>
        </row>
        <row r="302">
          <cell r="C302" t="str">
            <v>199280</v>
          </cell>
          <cell r="D302" t="str">
            <v>199280</v>
          </cell>
          <cell r="E302" t="str">
            <v>SPIRIT MANZANA 275ML X 24</v>
          </cell>
          <cell r="G302">
            <v>5.47</v>
          </cell>
        </row>
        <row r="303">
          <cell r="C303" t="str">
            <v>199281</v>
          </cell>
          <cell r="D303" t="str">
            <v>199281</v>
          </cell>
          <cell r="E303" t="str">
            <v>SPIRIT PASSION FRUIT 275ML X 24</v>
          </cell>
          <cell r="F303">
            <v>6.73</v>
          </cell>
          <cell r="G303">
            <v>5.47</v>
          </cell>
        </row>
        <row r="304">
          <cell r="C304" t="str">
            <v>238501</v>
          </cell>
          <cell r="D304" t="str">
            <v>238501</v>
          </cell>
          <cell r="E304" t="str">
            <v>EVIAN AGUA 330ML S/GAS VIDRIO T/PLOMA</v>
          </cell>
          <cell r="G304">
            <v>5.84</v>
          </cell>
        </row>
        <row r="305">
          <cell r="C305" t="str">
            <v>299129</v>
          </cell>
          <cell r="D305" t="str">
            <v/>
          </cell>
          <cell r="E305" t="str">
            <v>NP-BRIT-AGUA TONICA LAT 150ML X24</v>
          </cell>
          <cell r="G305">
            <v>3.65</v>
          </cell>
        </row>
        <row r="306">
          <cell r="C306" t="str">
            <v>45833</v>
          </cell>
          <cell r="D306" t="str">
            <v>45833</v>
          </cell>
          <cell r="E306" t="str">
            <v>RED BULL.ENERGY.DRINK 250ML X24</v>
          </cell>
          <cell r="F306">
            <v>7.61</v>
          </cell>
          <cell r="G306">
            <v>6.38</v>
          </cell>
        </row>
        <row r="307">
          <cell r="C307" t="str">
            <v>MC000273</v>
          </cell>
          <cell r="D307" t="str">
            <v>MC000273</v>
          </cell>
          <cell r="E307" t="str">
            <v>R.FLOR DE CAÑA LICOR DE CAFE 750ML X12</v>
          </cell>
          <cell r="F307">
            <v>60.34</v>
          </cell>
          <cell r="G307">
            <v>50.57</v>
          </cell>
        </row>
        <row r="308">
          <cell r="C308" t="str">
            <v>V0036</v>
          </cell>
          <cell r="D308" t="str">
            <v>V0036</v>
          </cell>
          <cell r="E308" t="str">
            <v>R.FLOR DE CAÑA 12AÑ CENT 750ML X12</v>
          </cell>
          <cell r="F308">
            <v>102.2</v>
          </cell>
          <cell r="G308">
            <v>85.65</v>
          </cell>
        </row>
        <row r="309">
          <cell r="C309" t="str">
            <v>V0037</v>
          </cell>
          <cell r="D309" t="str">
            <v>V0037</v>
          </cell>
          <cell r="E309" t="str">
            <v>R.FLOR DE CAÑA 5AÑ CLAS 750ML X12</v>
          </cell>
          <cell r="F309">
            <v>48.13</v>
          </cell>
          <cell r="G309">
            <v>40.340000000000003</v>
          </cell>
        </row>
        <row r="310">
          <cell r="C310" t="str">
            <v>V0038</v>
          </cell>
          <cell r="D310" t="str">
            <v>V0038</v>
          </cell>
          <cell r="E310" t="str">
            <v>R.FLOR DE CAÑA 4AÑ 750ML X12</v>
          </cell>
          <cell r="F310">
            <v>38.82</v>
          </cell>
          <cell r="G310">
            <v>32.54</v>
          </cell>
        </row>
        <row r="311">
          <cell r="C311" t="str">
            <v>V0039</v>
          </cell>
          <cell r="D311" t="str">
            <v>V0039</v>
          </cell>
          <cell r="E311" t="str">
            <v>R.FLOR DE CAÑA 4AÑ 1LT X12</v>
          </cell>
          <cell r="F311">
            <v>52.65</v>
          </cell>
          <cell r="G311">
            <v>44.14</v>
          </cell>
        </row>
        <row r="312">
          <cell r="C312" t="str">
            <v>V0040</v>
          </cell>
          <cell r="D312" t="str">
            <v/>
          </cell>
          <cell r="E312" t="str">
            <v>R.FLOR DE CAÑA 25AÑ 750ML X6</v>
          </cell>
          <cell r="F312">
            <v>659.98</v>
          </cell>
          <cell r="G312">
            <v>523.20000000000005</v>
          </cell>
        </row>
        <row r="313">
          <cell r="C313" t="str">
            <v>V0041</v>
          </cell>
          <cell r="D313" t="str">
            <v>V0041</v>
          </cell>
          <cell r="E313" t="str">
            <v>R.FLOR DE CAÑA 5AÑ CLAS 1LT X12</v>
          </cell>
          <cell r="F313">
            <v>60.14</v>
          </cell>
          <cell r="G313">
            <v>50.4</v>
          </cell>
        </row>
        <row r="314">
          <cell r="C314" t="str">
            <v>V0051</v>
          </cell>
          <cell r="D314" t="str">
            <v>V0051</v>
          </cell>
          <cell r="E314" t="str">
            <v>R.FLOR DE CAÑA 4AÑ EX.SECO 750ML X12</v>
          </cell>
          <cell r="F314">
            <v>38.82</v>
          </cell>
          <cell r="G314">
            <v>34.409999999999997</v>
          </cell>
        </row>
        <row r="315">
          <cell r="C315" t="str">
            <v>V0052</v>
          </cell>
          <cell r="D315" t="str">
            <v>V0052</v>
          </cell>
          <cell r="E315" t="str">
            <v>R.FLOR DE CAÑA 4AÑ 1.750 LT X6</v>
          </cell>
          <cell r="F315">
            <v>76.69</v>
          </cell>
          <cell r="G315">
            <v>58.74</v>
          </cell>
        </row>
        <row r="316">
          <cell r="C316" t="str">
            <v>V0057</v>
          </cell>
          <cell r="D316" t="str">
            <v>V0057</v>
          </cell>
          <cell r="E316" t="str">
            <v>R.FLOR DE CAÑA 7AÑ G.RES.750ML X12</v>
          </cell>
          <cell r="F316">
            <v>70.33</v>
          </cell>
          <cell r="G316">
            <v>58.94</v>
          </cell>
        </row>
        <row r="317">
          <cell r="C317" t="str">
            <v>V0058</v>
          </cell>
          <cell r="D317" t="str">
            <v/>
          </cell>
          <cell r="E317" t="str">
            <v>R.FLOR DE CAÑA 18AÑ 750ML X6</v>
          </cell>
          <cell r="G317">
            <v>167.81</v>
          </cell>
        </row>
        <row r="318">
          <cell r="C318" t="str">
            <v>V0058C</v>
          </cell>
          <cell r="D318" t="str">
            <v>V0058C</v>
          </cell>
          <cell r="E318" t="str">
            <v>R.FLOR DE CAÑA 18AÑ 750ML X6 C/CAJA</v>
          </cell>
          <cell r="F318">
            <v>200.31</v>
          </cell>
          <cell r="G318">
            <v>167.89</v>
          </cell>
        </row>
        <row r="319">
          <cell r="C319" t="str">
            <v>V0060</v>
          </cell>
          <cell r="D319" t="str">
            <v/>
          </cell>
          <cell r="E319" t="str">
            <v>R.FLOR DE CAÑA 7AÑ G.RES.1LT X12</v>
          </cell>
          <cell r="G319">
            <v>72.150000000000006</v>
          </cell>
        </row>
        <row r="320">
          <cell r="C320" t="str">
            <v>V0249</v>
          </cell>
          <cell r="D320" t="str">
            <v>V0249</v>
          </cell>
          <cell r="E320" t="str">
            <v>R.FLOR DE CAÑA 12AÑ 375ML X24</v>
          </cell>
          <cell r="F320">
            <v>57.68</v>
          </cell>
          <cell r="G320">
            <v>45.5</v>
          </cell>
        </row>
        <row r="321">
          <cell r="C321" t="str">
            <v>CP002</v>
          </cell>
          <cell r="D321" t="str">
            <v>CP002</v>
          </cell>
          <cell r="E321" t="str">
            <v>COCKTAIL DE CAFE PICCOLI 12X750ML</v>
          </cell>
          <cell r="G321">
            <v>19.5</v>
          </cell>
        </row>
        <row r="322">
          <cell r="C322" t="str">
            <v>0115002</v>
          </cell>
          <cell r="D322" t="str">
            <v>0115002</v>
          </cell>
          <cell r="E322" t="str">
            <v>WHIS.JACK DANIELS 750ML X12</v>
          </cell>
          <cell r="F322">
            <v>94.17</v>
          </cell>
          <cell r="G322">
            <v>73</v>
          </cell>
        </row>
        <row r="323">
          <cell r="C323" t="str">
            <v>115013</v>
          </cell>
          <cell r="D323" t="str">
            <v>115013</v>
          </cell>
          <cell r="E323" t="str">
            <v>WHIS.JACK DANIELS HONEY 750ML X12</v>
          </cell>
          <cell r="F323">
            <v>94.17</v>
          </cell>
          <cell r="G323">
            <v>82.88</v>
          </cell>
        </row>
        <row r="324">
          <cell r="C324" t="str">
            <v>MC000163</v>
          </cell>
          <cell r="D324" t="str">
            <v>MC000163</v>
          </cell>
          <cell r="E324" t="str">
            <v>WHIS.GLENFIDDICH 12AÑ 750ML X12</v>
          </cell>
          <cell r="F324">
            <v>147.83000000000001</v>
          </cell>
          <cell r="G324">
            <v>117.43</v>
          </cell>
        </row>
        <row r="325">
          <cell r="C325" t="str">
            <v>MC000164</v>
          </cell>
          <cell r="D325" t="str">
            <v>MC000164</v>
          </cell>
          <cell r="E325" t="str">
            <v>WHIS.GLENFIDDICH 15AÑOS 750ML</v>
          </cell>
          <cell r="F325">
            <v>277.82</v>
          </cell>
          <cell r="G325">
            <v>215.1</v>
          </cell>
        </row>
        <row r="326">
          <cell r="C326" t="str">
            <v>MC000165</v>
          </cell>
          <cell r="D326" t="str">
            <v>MC000165</v>
          </cell>
          <cell r="E326" t="str">
            <v>WHIS.GLENFIDDICH 18AÑ 750ML X3</v>
          </cell>
          <cell r="F326">
            <v>574.16</v>
          </cell>
          <cell r="G326">
            <v>488.24</v>
          </cell>
        </row>
        <row r="327">
          <cell r="C327" t="str">
            <v>MC000182</v>
          </cell>
          <cell r="D327" t="str">
            <v>MC000182</v>
          </cell>
          <cell r="E327" t="str">
            <v>WHIS.GLENFIDDICH 21AÑ 750ML</v>
          </cell>
          <cell r="F327">
            <v>905.01</v>
          </cell>
          <cell r="G327">
            <v>701.18</v>
          </cell>
        </row>
        <row r="328">
          <cell r="C328" t="str">
            <v>MC000196</v>
          </cell>
          <cell r="D328" t="str">
            <v>MC000196</v>
          </cell>
          <cell r="E328" t="str">
            <v>MINI.WHIS.JACK DANIELS 50ML X10</v>
          </cell>
          <cell r="G328">
            <v>0</v>
          </cell>
        </row>
        <row r="329">
          <cell r="C329" t="str">
            <v>MC000197</v>
          </cell>
          <cell r="D329" t="str">
            <v>MC000197</v>
          </cell>
          <cell r="E329" t="str">
            <v>WHIS.JACK DANIELS 150ANV.SS 750ML X12</v>
          </cell>
          <cell r="F329">
            <v>157.78</v>
          </cell>
          <cell r="G329">
            <v>122.07</v>
          </cell>
        </row>
        <row r="330">
          <cell r="C330" t="str">
            <v>MC000214</v>
          </cell>
          <cell r="D330" t="str">
            <v>MC000214</v>
          </cell>
          <cell r="E330" t="str">
            <v>JAGERMEISTER 1LT X6</v>
          </cell>
          <cell r="F330">
            <v>82.83</v>
          </cell>
          <cell r="G330">
            <v>72.209999999999994</v>
          </cell>
        </row>
        <row r="331">
          <cell r="C331" t="str">
            <v>MC000215</v>
          </cell>
          <cell r="D331" t="str">
            <v>MC000215</v>
          </cell>
          <cell r="E331" t="str">
            <v>TEQUILA HERRADURA REPOSADO 750ML</v>
          </cell>
          <cell r="F331">
            <v>156.47</v>
          </cell>
          <cell r="G331">
            <v>132.38</v>
          </cell>
        </row>
        <row r="332">
          <cell r="C332" t="str">
            <v>MC000369</v>
          </cell>
          <cell r="D332" t="str">
            <v>MC000369</v>
          </cell>
          <cell r="E332" t="str">
            <v>WHIS.JACK DANIELS FIRE 750ML</v>
          </cell>
          <cell r="F332">
            <v>94.17</v>
          </cell>
          <cell r="G332">
            <v>82.88</v>
          </cell>
        </row>
        <row r="333">
          <cell r="C333" t="str">
            <v>MC000370</v>
          </cell>
          <cell r="D333" t="str">
            <v>MC000370</v>
          </cell>
          <cell r="E333" t="str">
            <v>ESPUMOSO NUVO 700ML</v>
          </cell>
          <cell r="F333">
            <v>111.35</v>
          </cell>
          <cell r="G333">
            <v>95.35</v>
          </cell>
        </row>
        <row r="334">
          <cell r="C334" t="str">
            <v>MC00434</v>
          </cell>
          <cell r="D334" t="str">
            <v>MC00434</v>
          </cell>
          <cell r="E334" t="str">
            <v>WHIS.JACK DANIELS APPLE  750ML X12</v>
          </cell>
          <cell r="F334">
            <v>94.17</v>
          </cell>
          <cell r="G334">
            <v>78.900000000000006</v>
          </cell>
        </row>
        <row r="335">
          <cell r="C335" t="str">
            <v>PC0257</v>
          </cell>
          <cell r="D335" t="str">
            <v>PC0257</v>
          </cell>
          <cell r="E335" t="str">
            <v>P-JACK DANIELS APPLE 750ML+COPA VERDE</v>
          </cell>
          <cell r="F335">
            <v>93.12</v>
          </cell>
          <cell r="G335">
            <v>82.88</v>
          </cell>
        </row>
        <row r="336">
          <cell r="C336" t="str">
            <v>V0013</v>
          </cell>
          <cell r="D336" t="str">
            <v>V0013</v>
          </cell>
          <cell r="E336" t="str">
            <v>WHIS.GIN HENDRICKS DIV.700ML X6</v>
          </cell>
          <cell r="F336">
            <v>135.54</v>
          </cell>
          <cell r="G336">
            <v>117.01</v>
          </cell>
        </row>
        <row r="337">
          <cell r="C337" t="str">
            <v>V0018</v>
          </cell>
          <cell r="D337" t="str">
            <v/>
          </cell>
          <cell r="E337" t="str">
            <v>JAGERMEISTER 700ML X6</v>
          </cell>
          <cell r="F337">
            <v>69.84</v>
          </cell>
          <cell r="G337">
            <v>62.34</v>
          </cell>
        </row>
        <row r="338">
          <cell r="C338" t="str">
            <v>V0160</v>
          </cell>
          <cell r="D338" t="str">
            <v/>
          </cell>
          <cell r="E338" t="str">
            <v>TEQUILA JIMADOR BLANCOX750ML X12</v>
          </cell>
          <cell r="F338">
            <v>75.59</v>
          </cell>
          <cell r="G338">
            <v>67.19</v>
          </cell>
        </row>
        <row r="339">
          <cell r="C339" t="str">
            <v>V0161</v>
          </cell>
          <cell r="D339" t="str">
            <v>V0161</v>
          </cell>
          <cell r="E339" t="str">
            <v>TEQUILA JIMADOR REPOSADOX750ML X12</v>
          </cell>
          <cell r="F339">
            <v>75.59</v>
          </cell>
          <cell r="G339">
            <v>63.99</v>
          </cell>
        </row>
        <row r="340">
          <cell r="C340" t="str">
            <v>403859</v>
          </cell>
          <cell r="D340" t="str">
            <v>403859</v>
          </cell>
          <cell r="E340" t="str">
            <v>BIFE ANGOSTO CHOICE 2U X 300GR</v>
          </cell>
          <cell r="G340">
            <v>134.19</v>
          </cell>
        </row>
        <row r="341">
          <cell r="C341" t="str">
            <v>404135</v>
          </cell>
          <cell r="D341" t="str">
            <v>404135</v>
          </cell>
          <cell r="E341" t="str">
            <v>ASADO TIRA CHO USA 3U X 750 GR</v>
          </cell>
          <cell r="F341">
            <v>158</v>
          </cell>
          <cell r="G341">
            <v>106.98</v>
          </cell>
        </row>
        <row r="342">
          <cell r="C342" t="str">
            <v>404490P</v>
          </cell>
          <cell r="D342" t="str">
            <v>404490P</v>
          </cell>
          <cell r="E342" t="str">
            <v>BIFE ANGOSTO USA CHOICE X900GR 1KG</v>
          </cell>
          <cell r="G342">
            <v>0</v>
          </cell>
        </row>
        <row r="343">
          <cell r="C343" t="str">
            <v>ASAH01</v>
          </cell>
          <cell r="D343" t="str">
            <v>ASAH01</v>
          </cell>
          <cell r="E343" t="str">
            <v>ASADO DE TIRA CON HUESO X 1250GR (PACK X 5  PIEZAS 200GR - 250GR)</v>
          </cell>
          <cell r="G343">
            <v>0</v>
          </cell>
        </row>
        <row r="344">
          <cell r="C344" t="str">
            <v>BFA001</v>
          </cell>
          <cell r="D344" t="str">
            <v>BFA001</v>
          </cell>
          <cell r="E344" t="str">
            <v>BIFE ANGOSTO MADURADO GRAIN FED ANGUS 800GR-1.2KG</v>
          </cell>
          <cell r="G344">
            <v>114.3</v>
          </cell>
        </row>
        <row r="345">
          <cell r="C345" t="str">
            <v>CHAR01</v>
          </cell>
          <cell r="D345" t="str">
            <v>CHAR01</v>
          </cell>
          <cell r="E345" t="str">
            <v xml:space="preserve">MIX CHARCUTERO </v>
          </cell>
          <cell r="G345">
            <v>40.64</v>
          </cell>
        </row>
        <row r="346">
          <cell r="C346" t="str">
            <v>CHAR019</v>
          </cell>
          <cell r="D346" t="str">
            <v>CHAR019</v>
          </cell>
          <cell r="E346" t="str">
            <v>FRASCOS CHIMICHURRI PICANTE 190 GR</v>
          </cell>
          <cell r="G346">
            <v>8.5</v>
          </cell>
        </row>
        <row r="347">
          <cell r="C347" t="str">
            <v>CHAR04</v>
          </cell>
          <cell r="D347" t="str">
            <v>CHAR04</v>
          </cell>
          <cell r="E347" t="str">
            <v>CHIMICHURRI CLASICO</v>
          </cell>
          <cell r="F347">
            <v>26.9</v>
          </cell>
          <cell r="G347">
            <v>18.95</v>
          </cell>
        </row>
        <row r="348">
          <cell r="C348" t="str">
            <v>CHAR07</v>
          </cell>
          <cell r="D348" t="str">
            <v>CHAR07</v>
          </cell>
          <cell r="E348" t="str">
            <v xml:space="preserve">CH. FINAS HIERBAS </v>
          </cell>
          <cell r="F348">
            <v>42.9</v>
          </cell>
          <cell r="G348">
            <v>27.64</v>
          </cell>
        </row>
        <row r="349">
          <cell r="C349" t="str">
            <v>CHAR08</v>
          </cell>
          <cell r="D349" t="str">
            <v>CHAR08</v>
          </cell>
          <cell r="E349" t="str">
            <v xml:space="preserve">CH.CERVEZA ARTESANAL </v>
          </cell>
          <cell r="F349">
            <v>42.9</v>
          </cell>
          <cell r="G349">
            <v>27.64</v>
          </cell>
        </row>
        <row r="350">
          <cell r="C350" t="str">
            <v>CHAR09</v>
          </cell>
          <cell r="D350" t="str">
            <v>CHAR09</v>
          </cell>
          <cell r="E350" t="str">
            <v>CH.ORIENTAL</v>
          </cell>
          <cell r="F350">
            <v>42.9</v>
          </cell>
          <cell r="G350">
            <v>27.64</v>
          </cell>
        </row>
        <row r="351">
          <cell r="C351" t="str">
            <v>CHAR10</v>
          </cell>
          <cell r="D351" t="str">
            <v>CHAR10</v>
          </cell>
          <cell r="E351" t="str">
            <v>CH.ARTESANAL PARRILLERO</v>
          </cell>
          <cell r="F351">
            <v>42.9</v>
          </cell>
          <cell r="G351">
            <v>27.64</v>
          </cell>
        </row>
        <row r="352">
          <cell r="C352" t="str">
            <v>CHAR15</v>
          </cell>
          <cell r="D352" t="str">
            <v>CHAR15</v>
          </cell>
          <cell r="E352" t="str">
            <v>CHORIZO MIEL DE MAPLE</v>
          </cell>
          <cell r="F352">
            <v>42.9</v>
          </cell>
          <cell r="G352">
            <v>27.64</v>
          </cell>
        </row>
        <row r="353">
          <cell r="C353" t="str">
            <v>CHAR17</v>
          </cell>
          <cell r="D353" t="str">
            <v>CHAR17</v>
          </cell>
          <cell r="E353" t="str">
            <v xml:space="preserve">CHIMICHUMRRI X 475 GR </v>
          </cell>
          <cell r="G353">
            <v>0</v>
          </cell>
        </row>
        <row r="354">
          <cell r="C354" t="str">
            <v>COL75</v>
          </cell>
          <cell r="D354" t="str">
            <v>COL75</v>
          </cell>
          <cell r="E354" t="str">
            <v>COLITA DE CUADRIL AG US 1.4KG - 1.5KG</v>
          </cell>
          <cell r="G354">
            <v>94.36</v>
          </cell>
        </row>
        <row r="355">
          <cell r="C355" t="str">
            <v>COL76</v>
          </cell>
          <cell r="D355" t="str">
            <v>COL76</v>
          </cell>
          <cell r="E355" t="str">
            <v>COLITA DE CUADRIL AG US 1.6KG - 1.8KG</v>
          </cell>
          <cell r="F355">
            <v>159</v>
          </cell>
          <cell r="G355">
            <v>115.69</v>
          </cell>
        </row>
        <row r="356">
          <cell r="C356" t="str">
            <v>COL77</v>
          </cell>
          <cell r="D356" t="str">
            <v>COL77</v>
          </cell>
          <cell r="E356" t="str">
            <v>COLITA DE CUADRIL AG US 1.9KG - 2KG</v>
          </cell>
          <cell r="F356">
            <v>181</v>
          </cell>
          <cell r="G356">
            <v>130.66999999999999</v>
          </cell>
        </row>
        <row r="357">
          <cell r="C357" t="str">
            <v>COL78</v>
          </cell>
          <cell r="D357" t="str">
            <v>COL78</v>
          </cell>
          <cell r="E357" t="str">
            <v>COLITA DE CUADRIL AG US 2.1KG - 2.3KG</v>
          </cell>
          <cell r="G357">
            <v>145.41999999999999</v>
          </cell>
        </row>
        <row r="358">
          <cell r="C358" t="str">
            <v>CRN0219</v>
          </cell>
          <cell r="D358" t="str">
            <v>CRN0219</v>
          </cell>
          <cell r="E358" t="str">
            <v>PORTER HOUSE PORC - STERLING SILVER X 1.1KG</v>
          </cell>
          <cell r="F358">
            <v>239.9</v>
          </cell>
          <cell r="G358">
            <v>168.43</v>
          </cell>
        </row>
        <row r="359">
          <cell r="C359" t="str">
            <v>CRN0945</v>
          </cell>
          <cell r="D359" t="str">
            <v>CRN0945</v>
          </cell>
          <cell r="E359" t="str">
            <v>LOMO FINO FRIGOR (1.3-1.6 KG)-BOL</v>
          </cell>
          <cell r="F359">
            <v>155</v>
          </cell>
          <cell r="G359">
            <v>109.38</v>
          </cell>
        </row>
        <row r="360">
          <cell r="C360" t="str">
            <v>CRN0946</v>
          </cell>
          <cell r="D360" t="str">
            <v>CRN0946</v>
          </cell>
          <cell r="E360" t="str">
            <v>LOMO FINO FRIGOR (1.6-1.9 KG)-BOL</v>
          </cell>
          <cell r="F360">
            <v>179.9</v>
          </cell>
          <cell r="G360">
            <v>117.1</v>
          </cell>
        </row>
        <row r="361">
          <cell r="C361" t="str">
            <v>CRN0947</v>
          </cell>
          <cell r="D361" t="str">
            <v>CRN0947</v>
          </cell>
          <cell r="E361" t="str">
            <v>LOMO FINO FRIGOR (1.9-2 KG)-BOL</v>
          </cell>
          <cell r="G361">
            <v>157.12</v>
          </cell>
        </row>
        <row r="362">
          <cell r="C362" t="str">
            <v>CRN1088</v>
          </cell>
          <cell r="D362" t="str">
            <v>CRN1088</v>
          </cell>
          <cell r="E362" t="str">
            <v>T-BONE 900-1KG CONG STERLING SILVER</v>
          </cell>
          <cell r="F362">
            <v>219.9</v>
          </cell>
          <cell r="G362">
            <v>151.9</v>
          </cell>
        </row>
        <row r="363">
          <cell r="C363" t="str">
            <v>CRN1107</v>
          </cell>
          <cell r="D363" t="str">
            <v>CRN1107</v>
          </cell>
          <cell r="E363" t="str">
            <v>PICAÑA ARGENTINA (DEVESA) 1.7KG - 1.9KG</v>
          </cell>
          <cell r="F363">
            <v>239</v>
          </cell>
          <cell r="G363">
            <v>167.03</v>
          </cell>
        </row>
        <row r="364">
          <cell r="C364" t="str">
            <v>CRN1108</v>
          </cell>
          <cell r="D364" t="str">
            <v>CRN1108</v>
          </cell>
          <cell r="E364" t="str">
            <v>PICAÑA ARGENTINA 1.4KG - 1.6KG ANGUS GRAIN FED</v>
          </cell>
          <cell r="F364">
            <v>209</v>
          </cell>
          <cell r="G364">
            <v>145.44</v>
          </cell>
        </row>
        <row r="365">
          <cell r="C365" t="str">
            <v>CRN1194</v>
          </cell>
          <cell r="D365" t="str">
            <v>CRN1194</v>
          </cell>
          <cell r="E365" t="str">
            <v>BIFE ANCHO BEEF MASTER ORG.USA 1-1.2KG</v>
          </cell>
          <cell r="G365">
            <v>0</v>
          </cell>
        </row>
        <row r="366">
          <cell r="C366" t="str">
            <v>CRN1197</v>
          </cell>
          <cell r="D366" t="str">
            <v>CRN1197</v>
          </cell>
          <cell r="E366" t="str">
            <v>BIFE ANCHO MADURADO DEVESA 800- 1.1KG</v>
          </cell>
          <cell r="G366">
            <v>161.83000000000001</v>
          </cell>
        </row>
        <row r="367">
          <cell r="C367" t="str">
            <v>EMGR014</v>
          </cell>
          <cell r="D367" t="str">
            <v>EMGR014</v>
          </cell>
          <cell r="E367" t="str">
            <v>CHORIZO MIEL MAPPLE 140G- OSSO</v>
          </cell>
          <cell r="F367">
            <v>42.9</v>
          </cell>
          <cell r="G367">
            <v>29.9</v>
          </cell>
        </row>
        <row r="368">
          <cell r="C368" t="str">
            <v>EMGR016</v>
          </cell>
          <cell r="D368" t="str">
            <v>EMGR016</v>
          </cell>
          <cell r="E368" t="str">
            <v>CHORIZO MERME-ROCOTO 140G OSSO</v>
          </cell>
          <cell r="F368">
            <v>42.9</v>
          </cell>
          <cell r="G368">
            <v>29.9</v>
          </cell>
        </row>
        <row r="369">
          <cell r="C369" t="str">
            <v>EMGR018</v>
          </cell>
          <cell r="D369" t="str">
            <v>EMGR018</v>
          </cell>
          <cell r="E369" t="str">
            <v>CHORIZO ANGUS CJA X500 OREGON FOODS</v>
          </cell>
          <cell r="F369">
            <v>52.9</v>
          </cell>
          <cell r="G369">
            <v>36.9</v>
          </cell>
        </row>
        <row r="370">
          <cell r="C370" t="str">
            <v>ENT102</v>
          </cell>
          <cell r="D370" t="str">
            <v>ENT102</v>
          </cell>
          <cell r="E370" t="str">
            <v>ENTRAÑA FINA CONG. ANGUS ARG 1KG - 1.5KG</v>
          </cell>
          <cell r="F370">
            <v>239.9</v>
          </cell>
          <cell r="G370">
            <v>163.81</v>
          </cell>
        </row>
        <row r="371">
          <cell r="C371" t="str">
            <v>ENT103</v>
          </cell>
          <cell r="D371" t="str">
            <v>ENT103</v>
          </cell>
          <cell r="E371" t="str">
            <v>ENTRAÑA FINA ANGUS 0.45KG - 0.75KG</v>
          </cell>
          <cell r="G371">
            <v>54.53</v>
          </cell>
        </row>
        <row r="372">
          <cell r="C372" t="str">
            <v>ENT104</v>
          </cell>
          <cell r="D372" t="str">
            <v>ENT104</v>
          </cell>
          <cell r="E372" t="str">
            <v>ENTRAÑA FINA ANGUS 0.75KG - 1KG</v>
          </cell>
          <cell r="G372">
            <v>78.37</v>
          </cell>
        </row>
        <row r="373">
          <cell r="C373" t="str">
            <v>HAMB01</v>
          </cell>
          <cell r="D373" t="str">
            <v>HAMB01</v>
          </cell>
          <cell r="E373" t="str">
            <v>HAMBUR.ANGUS 200GR X4 BEST MEATS</v>
          </cell>
          <cell r="F373">
            <v>66.900000000000006</v>
          </cell>
          <cell r="G373">
            <v>46.9</v>
          </cell>
        </row>
        <row r="374">
          <cell r="C374" t="str">
            <v>HAMB03</v>
          </cell>
          <cell r="D374" t="str">
            <v>HAMB03</v>
          </cell>
          <cell r="E374" t="str">
            <v>HAMBUR.D-BIFE 200GR X4 BEST MEATS</v>
          </cell>
          <cell r="F374">
            <v>63.9</v>
          </cell>
          <cell r="G374">
            <v>44.67</v>
          </cell>
        </row>
        <row r="375">
          <cell r="C375" t="str">
            <v>HAMB05</v>
          </cell>
          <cell r="D375" t="str">
            <v>HAMB05</v>
          </cell>
          <cell r="E375" t="str">
            <v>HAMBURGUESA RES 190GR OSSO</v>
          </cell>
          <cell r="F375">
            <v>49.9</v>
          </cell>
          <cell r="G375">
            <v>34.83</v>
          </cell>
        </row>
        <row r="376">
          <cell r="C376" t="str">
            <v>HAMB68</v>
          </cell>
          <cell r="D376" t="str">
            <v>HAMB68</v>
          </cell>
          <cell r="E376" t="str">
            <v>HAMBUR.MNIBURGUER 50GR X12 BEST MEATS</v>
          </cell>
          <cell r="F376">
            <v>56.9</v>
          </cell>
          <cell r="G376">
            <v>39.83</v>
          </cell>
        </row>
        <row r="377">
          <cell r="C377" t="str">
            <v>HAMB70</v>
          </cell>
          <cell r="D377" t="str">
            <v>HAMB70</v>
          </cell>
          <cell r="E377" t="str">
            <v>MINI HAMBURGUESA DE RES 600GR X 12</v>
          </cell>
          <cell r="F377">
            <v>34.9</v>
          </cell>
          <cell r="G377">
            <v>19.670000000000002</v>
          </cell>
        </row>
        <row r="378">
          <cell r="C378" t="str">
            <v>IMP00006</v>
          </cell>
          <cell r="D378" t="str">
            <v>IMP00006</v>
          </cell>
          <cell r="E378" t="str">
            <v>ASADO DE TIRA C/H  250 X 4UND</v>
          </cell>
          <cell r="F378">
            <v>179.9</v>
          </cell>
          <cell r="G378">
            <v>126.49</v>
          </cell>
        </row>
        <row r="379">
          <cell r="C379" t="str">
            <v>IMP00057</v>
          </cell>
          <cell r="D379" t="str">
            <v>IMP00057</v>
          </cell>
          <cell r="E379" t="str">
            <v>TOMAHAWH STERLING 1.3 - 1.5 KG</v>
          </cell>
          <cell r="F379">
            <v>275</v>
          </cell>
          <cell r="G379">
            <v>192.23</v>
          </cell>
        </row>
        <row r="380">
          <cell r="C380" t="str">
            <v>IMP00129</v>
          </cell>
          <cell r="D380" t="str">
            <v>IMP00129</v>
          </cell>
          <cell r="E380" t="str">
            <v>COWBOY USA OREGON BEEF MASTER 800GR-1.2KG</v>
          </cell>
          <cell r="G380">
            <v>0</v>
          </cell>
        </row>
        <row r="381">
          <cell r="C381" t="str">
            <v>PACK08</v>
          </cell>
          <cell r="D381" t="str">
            <v>PACK08</v>
          </cell>
          <cell r="E381" t="str">
            <v>PACK ENTRÑA F. ANG+CHORIZ MERM RCT+FRONT SWEET SEL</v>
          </cell>
          <cell r="G381">
            <v>0</v>
          </cell>
        </row>
        <row r="382">
          <cell r="C382" t="str">
            <v>SUP741</v>
          </cell>
          <cell r="D382" t="str">
            <v>SUP741</v>
          </cell>
          <cell r="E382" t="str">
            <v xml:space="preserve">TAPA CUADRILCHO AG US 1KG 1.2KG </v>
          </cell>
          <cell r="F382">
            <v>169</v>
          </cell>
          <cell r="G382">
            <v>118.23</v>
          </cell>
        </row>
        <row r="383">
          <cell r="C383" t="str">
            <v>SUP742</v>
          </cell>
          <cell r="D383" t="str">
            <v>SUP742</v>
          </cell>
          <cell r="E383" t="str">
            <v xml:space="preserve">TAPA CUADRILCHO AG US 1.6KG 1.9KG </v>
          </cell>
          <cell r="F383">
            <v>245</v>
          </cell>
          <cell r="G383">
            <v>167.06</v>
          </cell>
        </row>
        <row r="384">
          <cell r="C384" t="str">
            <v>SUP743</v>
          </cell>
          <cell r="D384" t="str">
            <v>SUP743</v>
          </cell>
          <cell r="E384" t="str">
            <v xml:space="preserve">TAPA CUADRILCHO AG US 1.3KG 1.6KG </v>
          </cell>
          <cell r="F384">
            <v>215</v>
          </cell>
          <cell r="G384">
            <v>131.07</v>
          </cell>
        </row>
        <row r="385">
          <cell r="C385" t="str">
            <v>SUP744</v>
          </cell>
          <cell r="D385" t="str">
            <v>SUP744</v>
          </cell>
          <cell r="E385" t="str">
            <v xml:space="preserve">TAPA CUADRILCHO AG US 1.9KG 2KG </v>
          </cell>
          <cell r="G385">
            <v>201.17</v>
          </cell>
        </row>
        <row r="386">
          <cell r="C386" t="str">
            <v>SUP745</v>
          </cell>
          <cell r="D386" t="str">
            <v>SUP745</v>
          </cell>
          <cell r="E386" t="str">
            <v>TAPA CUADRILCHO  AG US 2KG - 2.5KG</v>
          </cell>
          <cell r="G386">
            <v>236.97</v>
          </cell>
        </row>
        <row r="387">
          <cell r="C387" t="str">
            <v>10030240</v>
          </cell>
          <cell r="D387" t="str">
            <v>1003024</v>
          </cell>
          <cell r="E387" t="str">
            <v>GREENALLS WILL BERRY 700ML X 6</v>
          </cell>
          <cell r="F387">
            <v>69.930000000000007</v>
          </cell>
          <cell r="G387">
            <v>57.6</v>
          </cell>
        </row>
        <row r="388">
          <cell r="C388" t="str">
            <v>1003025</v>
          </cell>
          <cell r="D388" t="str">
            <v>1003025</v>
          </cell>
          <cell r="E388" t="str">
            <v>GREENALLS LONDON DRY 750ML X 12</v>
          </cell>
          <cell r="F388">
            <v>62.19</v>
          </cell>
          <cell r="G388">
            <v>51.2</v>
          </cell>
        </row>
        <row r="389">
          <cell r="C389" t="str">
            <v>10030250</v>
          </cell>
          <cell r="D389" t="str">
            <v>10030250</v>
          </cell>
          <cell r="E389" t="str">
            <v>PACK GREENALLS LONDON DRY GIN + COPA</v>
          </cell>
          <cell r="G389">
            <v>73.42</v>
          </cell>
        </row>
        <row r="390">
          <cell r="C390" t="str">
            <v>10033150</v>
          </cell>
          <cell r="D390" t="str">
            <v>10033150</v>
          </cell>
          <cell r="E390" t="str">
            <v>GIN GREENALLS BLOOD ORANGE GIN 700ML X 6</v>
          </cell>
          <cell r="G390">
            <v>57.6</v>
          </cell>
        </row>
        <row r="391">
          <cell r="C391" t="str">
            <v>10039840</v>
          </cell>
          <cell r="D391" t="str">
            <v>10039840</v>
          </cell>
          <cell r="E391" t="str">
            <v>PACK GREENALLS LONDON DRY GIN + WILD BERRY GIN</v>
          </cell>
          <cell r="G391">
            <v>138.74</v>
          </cell>
        </row>
        <row r="392">
          <cell r="C392" t="str">
            <v>109610</v>
          </cell>
          <cell r="D392" t="str">
            <v>109610</v>
          </cell>
          <cell r="E392" t="str">
            <v>RON BOTRAN COBRE 700ML X 6</v>
          </cell>
          <cell r="G392">
            <v>160.12</v>
          </cell>
        </row>
        <row r="393">
          <cell r="C393" t="str">
            <v>10964510</v>
          </cell>
          <cell r="D393" t="str">
            <v>10964510</v>
          </cell>
          <cell r="E393" t="str">
            <v>RON BOTRAN 5 AÑOS 750ML X 6</v>
          </cell>
          <cell r="F393">
            <v>40.1</v>
          </cell>
          <cell r="G393">
            <v>31.05</v>
          </cell>
        </row>
        <row r="394">
          <cell r="C394" t="str">
            <v>10964520</v>
          </cell>
          <cell r="D394" t="str">
            <v>10964520</v>
          </cell>
          <cell r="E394" t="str">
            <v>RON BOTRAN 8 AÑOS X 750ML X12</v>
          </cell>
          <cell r="F394">
            <v>60.81</v>
          </cell>
          <cell r="G394">
            <v>48.14</v>
          </cell>
        </row>
        <row r="395">
          <cell r="C395" t="str">
            <v>10964530</v>
          </cell>
          <cell r="D395" t="str">
            <v>10964530</v>
          </cell>
          <cell r="E395" t="str">
            <v>RON BOTRAN  12 AÑOS 750ML X 12</v>
          </cell>
          <cell r="F395">
            <v>72.349999999999994</v>
          </cell>
          <cell r="G395">
            <v>57.9</v>
          </cell>
        </row>
        <row r="396">
          <cell r="C396" t="str">
            <v>10964540</v>
          </cell>
          <cell r="D396" t="str">
            <v>10964540</v>
          </cell>
          <cell r="E396" t="str">
            <v>RON BOTRAN 15 AÑOS 750ML X 6</v>
          </cell>
          <cell r="G396">
            <v>86.42</v>
          </cell>
        </row>
        <row r="397">
          <cell r="C397" t="str">
            <v>10964550</v>
          </cell>
          <cell r="D397" t="str">
            <v>10964550</v>
          </cell>
          <cell r="E397" t="str">
            <v>RON BOTRAN 18 AÑOS 750ML X 6</v>
          </cell>
          <cell r="F397">
            <v>164.07</v>
          </cell>
          <cell r="G397">
            <v>118.46</v>
          </cell>
        </row>
        <row r="398">
          <cell r="C398" t="str">
            <v>109700</v>
          </cell>
          <cell r="D398" t="str">
            <v>109700</v>
          </cell>
          <cell r="E398" t="str">
            <v>RON COLONIAL ARTESANAL 700ML X 6</v>
          </cell>
          <cell r="F398">
            <v>134.44999999999999</v>
          </cell>
          <cell r="G398">
            <v>102.44</v>
          </cell>
        </row>
        <row r="399">
          <cell r="C399" t="str">
            <v>40281575</v>
          </cell>
          <cell r="D399" t="str">
            <v>40281575</v>
          </cell>
          <cell r="E399" t="str">
            <v>ESPUMANTE TOSTI ASTI DOCG 750ML X6</v>
          </cell>
          <cell r="F399">
            <v>45.2</v>
          </cell>
          <cell r="G399">
            <v>37.42</v>
          </cell>
        </row>
        <row r="400">
          <cell r="C400" t="str">
            <v>40281585</v>
          </cell>
          <cell r="D400" t="str">
            <v>40281585</v>
          </cell>
          <cell r="E400" t="str">
            <v>ESPUMANTE TOSTI PINK MOSCATO  750ML X6</v>
          </cell>
          <cell r="G400">
            <v>37.43</v>
          </cell>
        </row>
        <row r="401">
          <cell r="C401" t="str">
            <v>402899</v>
          </cell>
          <cell r="D401" t="str">
            <v>402899</v>
          </cell>
          <cell r="E401" t="str">
            <v>TOSTI ASTI DOCG + TOSTI PINK MOSCT X750ML</v>
          </cell>
          <cell r="G401">
            <v>74.83</v>
          </cell>
        </row>
        <row r="402">
          <cell r="C402" t="str">
            <v>60191215</v>
          </cell>
          <cell r="D402" t="str">
            <v>60191215</v>
          </cell>
          <cell r="E402" t="str">
            <v>V/T LORCA MALBEC 750ML X 6</v>
          </cell>
          <cell r="F402">
            <v>29.39</v>
          </cell>
          <cell r="G402">
            <v>22.35</v>
          </cell>
        </row>
        <row r="403">
          <cell r="C403" t="str">
            <v>60191275</v>
          </cell>
          <cell r="D403" t="str">
            <v>60191275</v>
          </cell>
          <cell r="E403" t="str">
            <v>V/T LORCA CABERNET FRANC 750ML X 6</v>
          </cell>
          <cell r="G403">
            <v>22.35</v>
          </cell>
        </row>
        <row r="404">
          <cell r="C404" t="str">
            <v>60193115</v>
          </cell>
          <cell r="D404" t="str">
            <v>60193115</v>
          </cell>
          <cell r="E404" t="str">
            <v>V/T LORCA CABERNET SAUVIGNON 750ML X6</v>
          </cell>
          <cell r="F404">
            <v>29.39</v>
          </cell>
          <cell r="G404">
            <v>22.35</v>
          </cell>
        </row>
        <row r="405">
          <cell r="C405" t="str">
            <v>61013605</v>
          </cell>
          <cell r="D405" t="str">
            <v>61013605</v>
          </cell>
          <cell r="E405" t="str">
            <v>V/T TRIBUTO SYRAH 750ML X 6</v>
          </cell>
          <cell r="F405">
            <v>93.15</v>
          </cell>
          <cell r="G405">
            <v>76.819999999999993</v>
          </cell>
        </row>
        <row r="406">
          <cell r="C406" t="str">
            <v>61013615</v>
          </cell>
          <cell r="D406" t="str">
            <v>61013615</v>
          </cell>
          <cell r="E406" t="str">
            <v>V/T TRIBUTO CENCIBEL 750ML X 6</v>
          </cell>
          <cell r="F406">
            <v>93.15</v>
          </cell>
          <cell r="G406">
            <v>76.819999999999993</v>
          </cell>
        </row>
        <row r="407">
          <cell r="C407" t="str">
            <v>700407</v>
          </cell>
          <cell r="D407" t="str">
            <v>700407</v>
          </cell>
          <cell r="E407" t="str">
            <v>RON BOTRAN ROAJÚ 700ML X 6</v>
          </cell>
          <cell r="F407">
            <v>184.26</v>
          </cell>
          <cell r="G407">
            <v>153.69999999999999</v>
          </cell>
        </row>
        <row r="408">
          <cell r="C408" t="str">
            <v>7012983</v>
          </cell>
          <cell r="D408" t="str">
            <v>7012983</v>
          </cell>
          <cell r="E408" t="str">
            <v>RON BOTRAN RARE BLEND GUATEMALAN 700ML</v>
          </cell>
          <cell r="F408">
            <v>215.23</v>
          </cell>
          <cell r="G408">
            <v>191.56</v>
          </cell>
        </row>
        <row r="409">
          <cell r="C409" t="str">
            <v>000123</v>
          </cell>
          <cell r="D409" t="str">
            <v>000123</v>
          </cell>
          <cell r="E409" t="str">
            <v>PISCANO SOUR LIMON 700MLX12</v>
          </cell>
          <cell r="G409">
            <v>12.4</v>
          </cell>
        </row>
        <row r="410">
          <cell r="C410" t="str">
            <v>000124</v>
          </cell>
          <cell r="D410" t="str">
            <v>000124</v>
          </cell>
          <cell r="E410" t="str">
            <v>PISCANO SOUR MARACUYA 700MLX12</v>
          </cell>
          <cell r="G410">
            <v>11.84</v>
          </cell>
        </row>
        <row r="411">
          <cell r="C411" t="str">
            <v>000150</v>
          </cell>
          <cell r="D411" t="str">
            <v>000150</v>
          </cell>
          <cell r="E411" t="str">
            <v>PISCANO SOUR MANGO 700MLX12</v>
          </cell>
          <cell r="G411">
            <v>12.32</v>
          </cell>
        </row>
        <row r="412">
          <cell r="C412" t="str">
            <v>000154</v>
          </cell>
          <cell r="D412" t="str">
            <v>000154</v>
          </cell>
          <cell r="E412" t="str">
            <v>PISCANO SOUR PIÑA COLADA 700MLX12</v>
          </cell>
          <cell r="G412">
            <v>11.84</v>
          </cell>
        </row>
        <row r="413">
          <cell r="C413" t="str">
            <v>59213</v>
          </cell>
          <cell r="D413" t="str">
            <v>59213</v>
          </cell>
          <cell r="E413" t="str">
            <v>CHEETOS HORNEADOS QUESO 90 GR X32 X1</v>
          </cell>
          <cell r="G413">
            <v>2.67</v>
          </cell>
        </row>
        <row r="414">
          <cell r="C414" t="str">
            <v>59214</v>
          </cell>
          <cell r="D414" t="str">
            <v>59214</v>
          </cell>
          <cell r="E414" t="str">
            <v>CHEETOS QUESO PIC 90 GR X32 X1</v>
          </cell>
          <cell r="F414">
            <v>2.54</v>
          </cell>
          <cell r="G414">
            <v>2.67</v>
          </cell>
        </row>
        <row r="415">
          <cell r="C415" t="str">
            <v>403947</v>
          </cell>
          <cell r="D415" t="str">
            <v>403947</v>
          </cell>
          <cell r="E415" t="str">
            <v>BIFE ANGOS CONG 2U BLS 500G AP SEGO</v>
          </cell>
          <cell r="G415">
            <v>0</v>
          </cell>
        </row>
        <row r="416">
          <cell r="C416" t="str">
            <v>1104824</v>
          </cell>
          <cell r="D416" t="str">
            <v>1104824</v>
          </cell>
          <cell r="E416" t="str">
            <v>INTIPALKA RESERVA MALBEC/MERLOT 750ML</v>
          </cell>
          <cell r="G416">
            <v>31.03</v>
          </cell>
        </row>
        <row r="417">
          <cell r="C417" t="str">
            <v>2022001</v>
          </cell>
          <cell r="D417" t="str">
            <v>2022001</v>
          </cell>
          <cell r="E417" t="str">
            <v>VINO ROSE SQ 750ML</v>
          </cell>
          <cell r="G417">
            <v>11.7</v>
          </cell>
        </row>
        <row r="418">
          <cell r="C418" t="str">
            <v>2022027</v>
          </cell>
          <cell r="D418" t="str">
            <v>2022027</v>
          </cell>
          <cell r="E418" t="str">
            <v>VINO ROSÉ EN CAJA 2 LTS</v>
          </cell>
          <cell r="G418">
            <v>25.83</v>
          </cell>
        </row>
        <row r="419">
          <cell r="C419" t="str">
            <v>2022050</v>
          </cell>
          <cell r="D419" t="str">
            <v>2022050</v>
          </cell>
          <cell r="E419" t="str">
            <v>PACK LONCHERA VINO ROSE SQL 750ML</v>
          </cell>
          <cell r="G419">
            <v>29.47</v>
          </cell>
        </row>
        <row r="420">
          <cell r="C420" t="str">
            <v>2022051</v>
          </cell>
          <cell r="D420" t="str">
            <v>2022051</v>
          </cell>
          <cell r="E420" t="str">
            <v>PACK LONCHERA MIXTA ROSE/ BORGOÑA</v>
          </cell>
          <cell r="G420">
            <v>29.47</v>
          </cell>
        </row>
        <row r="421">
          <cell r="C421" t="str">
            <v>2023001</v>
          </cell>
          <cell r="D421" t="str">
            <v>2023001</v>
          </cell>
          <cell r="E421" t="str">
            <v>VINO MOSCATO SQ 750ML</v>
          </cell>
          <cell r="F421">
            <v>13.06</v>
          </cell>
          <cell r="G421">
            <v>11.14</v>
          </cell>
        </row>
        <row r="422">
          <cell r="C422" t="str">
            <v>2024050</v>
          </cell>
          <cell r="D422" t="str">
            <v>2024050</v>
          </cell>
          <cell r="E422" t="str">
            <v>PACK LONCHERA VINO BORGOÑA SQL 750ML</v>
          </cell>
          <cell r="G422">
            <v>29.47</v>
          </cell>
        </row>
        <row r="423">
          <cell r="C423" t="str">
            <v>22031</v>
          </cell>
          <cell r="D423" t="str">
            <v>22031</v>
          </cell>
          <cell r="E423" t="str">
            <v>VINO ROSE  375ML X 24 T ROSCA</v>
          </cell>
          <cell r="G423">
            <v>6.81</v>
          </cell>
        </row>
        <row r="424">
          <cell r="C424" t="str">
            <v>24027</v>
          </cell>
          <cell r="D424" t="str">
            <v>24027</v>
          </cell>
          <cell r="E424" t="str">
            <v>VINO GRAN BORGOÑA 375ML X 24 T ROSCA</v>
          </cell>
          <cell r="G424">
            <v>6.81</v>
          </cell>
        </row>
        <row r="425">
          <cell r="C425" t="str">
            <v>4041001</v>
          </cell>
          <cell r="D425" t="str">
            <v>4041001</v>
          </cell>
          <cell r="E425" t="str">
            <v>PISCO SANTIAGO QUEIROLO QUEBRANTA 750ML</v>
          </cell>
          <cell r="G425">
            <v>21.52</v>
          </cell>
        </row>
        <row r="426">
          <cell r="C426" t="str">
            <v>4045001</v>
          </cell>
          <cell r="D426" t="str">
            <v>4045001</v>
          </cell>
          <cell r="E426" t="str">
            <v>S.Q PISCO ACHOLADO 750ML</v>
          </cell>
          <cell r="F426">
            <v>24.99</v>
          </cell>
          <cell r="G426">
            <v>21.52</v>
          </cell>
        </row>
        <row r="427">
          <cell r="C427" t="str">
            <v>4046001</v>
          </cell>
          <cell r="D427" t="str">
            <v>4046001</v>
          </cell>
          <cell r="E427" t="str">
            <v>PISCO SANTIAGO QUEIROLO ITALIA 750ML</v>
          </cell>
          <cell r="F427">
            <v>25.16</v>
          </cell>
          <cell r="G427">
            <v>22.46</v>
          </cell>
        </row>
        <row r="428">
          <cell r="C428" t="str">
            <v>5048201</v>
          </cell>
          <cell r="D428" t="str">
            <v>5048201</v>
          </cell>
          <cell r="E428" t="str">
            <v>DON SANTIAGO MAC.MANDARINA 500ML X6</v>
          </cell>
          <cell r="F428">
            <v>42.73</v>
          </cell>
          <cell r="G428">
            <v>36.46</v>
          </cell>
        </row>
        <row r="429">
          <cell r="C429" t="str">
            <v>5048301</v>
          </cell>
          <cell r="D429" t="str">
            <v>5048301</v>
          </cell>
          <cell r="E429" t="str">
            <v>DON SANTIAGO MACERADO PASAS 500ML X6</v>
          </cell>
          <cell r="F429">
            <v>42.73</v>
          </cell>
          <cell r="G429">
            <v>36.46</v>
          </cell>
        </row>
        <row r="430">
          <cell r="C430" t="str">
            <v>5048401</v>
          </cell>
          <cell r="D430" t="str">
            <v>5048401</v>
          </cell>
          <cell r="E430" t="str">
            <v>DON SANTIAGO MAC. CIRUELA 500ML X6</v>
          </cell>
          <cell r="F430">
            <v>42.73</v>
          </cell>
          <cell r="G430">
            <v>36.46</v>
          </cell>
        </row>
        <row r="431">
          <cell r="C431" t="str">
            <v>7065001</v>
          </cell>
          <cell r="D431" t="str">
            <v>7065001</v>
          </cell>
          <cell r="E431" t="str">
            <v>PIS.INTPK QUEBRANTA MOSTO VERD750ML X6</v>
          </cell>
          <cell r="F431">
            <v>73.569999999999993</v>
          </cell>
          <cell r="G431">
            <v>62.78</v>
          </cell>
        </row>
        <row r="432">
          <cell r="C432" t="str">
            <v>7065002</v>
          </cell>
          <cell r="D432" t="str">
            <v>7065002</v>
          </cell>
          <cell r="E432" t="str">
            <v>PIS.INTIPALKA QUEBRANTA 750ML X6</v>
          </cell>
          <cell r="F432">
            <v>33.31</v>
          </cell>
          <cell r="G432">
            <v>28.42</v>
          </cell>
        </row>
        <row r="433">
          <cell r="C433" t="str">
            <v>7065101</v>
          </cell>
          <cell r="D433" t="str">
            <v>7065101</v>
          </cell>
          <cell r="E433" t="str">
            <v>PIS.INTPK ITALIA MOSTO VERD750ML X6</v>
          </cell>
          <cell r="F433">
            <v>73.569999999999993</v>
          </cell>
          <cell r="G433">
            <v>60.01</v>
          </cell>
        </row>
        <row r="434">
          <cell r="C434" t="str">
            <v>7065102</v>
          </cell>
          <cell r="D434" t="str">
            <v>7065102</v>
          </cell>
          <cell r="E434" t="str">
            <v>PIS.PURO INTIPALKA ITALIA 750ML X6</v>
          </cell>
          <cell r="F434">
            <v>33.31</v>
          </cell>
          <cell r="G434">
            <v>28.42</v>
          </cell>
        </row>
        <row r="435">
          <cell r="C435" t="str">
            <v>7065201</v>
          </cell>
          <cell r="D435" t="str">
            <v>7065201</v>
          </cell>
          <cell r="E435" t="str">
            <v>PIS.INTPK ACHOLADO MOSTO VERD750ML X6</v>
          </cell>
          <cell r="F435">
            <v>73.569999999999993</v>
          </cell>
          <cell r="G435">
            <v>60.01</v>
          </cell>
        </row>
        <row r="436">
          <cell r="C436" t="str">
            <v>7065202</v>
          </cell>
          <cell r="D436" t="str">
            <v>7065202</v>
          </cell>
          <cell r="E436" t="str">
            <v>PIS.INTIPALKA ACHOLADO 750ML X6</v>
          </cell>
          <cell r="F436">
            <v>33.31</v>
          </cell>
          <cell r="G436">
            <v>28.42</v>
          </cell>
        </row>
        <row r="437">
          <cell r="C437" t="str">
            <v>SQ005</v>
          </cell>
          <cell r="D437" t="str">
            <v/>
          </cell>
          <cell r="E437" t="str">
            <v>S.Q. CHAMP.PRIMADONNA X750MLX12</v>
          </cell>
          <cell r="F437">
            <v>19.16</v>
          </cell>
          <cell r="G437">
            <v>16.5</v>
          </cell>
        </row>
        <row r="438">
          <cell r="C438" t="str">
            <v>SQ029</v>
          </cell>
          <cell r="D438" t="str">
            <v/>
          </cell>
          <cell r="E438" t="str">
            <v>S.Q. PISCO QUEBRANTA 2LT X 6</v>
          </cell>
          <cell r="F438">
            <v>60.58</v>
          </cell>
          <cell r="G438">
            <v>52.26</v>
          </cell>
        </row>
        <row r="439">
          <cell r="C439" t="str">
            <v>SQ041</v>
          </cell>
          <cell r="D439" t="str">
            <v/>
          </cell>
          <cell r="E439" t="str">
            <v>S.Q. PISCO QUEBRANTA 4LT X4</v>
          </cell>
          <cell r="F439">
            <v>115.41</v>
          </cell>
          <cell r="G439">
            <v>99.55</v>
          </cell>
        </row>
        <row r="440">
          <cell r="C440" t="str">
            <v>T100020</v>
          </cell>
          <cell r="D440" t="str">
            <v>T100020</v>
          </cell>
          <cell r="E440" t="str">
            <v xml:space="preserve">ESPUMOSO SEMI SECO TACAMA 2019 / 12X750ML </v>
          </cell>
          <cell r="F440">
            <v>36.299999999999997</v>
          </cell>
          <cell r="G440">
            <v>30</v>
          </cell>
        </row>
        <row r="441">
          <cell r="C441" t="str">
            <v>T100030</v>
          </cell>
          <cell r="D441" t="str">
            <v>T100030</v>
          </cell>
          <cell r="E441" t="str">
            <v xml:space="preserve">VINO BLANCO DE BLANCOS 12X750ML </v>
          </cell>
          <cell r="F441">
            <v>47.21</v>
          </cell>
          <cell r="G441">
            <v>45.54</v>
          </cell>
        </row>
        <row r="442">
          <cell r="C442" t="str">
            <v>T10020</v>
          </cell>
          <cell r="D442" t="str">
            <v>T10020</v>
          </cell>
          <cell r="E442" t="str">
            <v>VINO.TINTO.SEMI.SECO TACAMA 12X750ML</v>
          </cell>
          <cell r="G442">
            <v>12.1</v>
          </cell>
        </row>
        <row r="443">
          <cell r="C443" t="str">
            <v>T10027</v>
          </cell>
          <cell r="D443" t="str">
            <v>T10027</v>
          </cell>
          <cell r="E443" t="str">
            <v>VINO TOÑUZ 12X750ML</v>
          </cell>
          <cell r="F443">
            <v>36.21</v>
          </cell>
          <cell r="G443">
            <v>33.08</v>
          </cell>
        </row>
        <row r="444">
          <cell r="C444" t="str">
            <v>T10030</v>
          </cell>
          <cell r="D444" t="str">
            <v>T10030</v>
          </cell>
          <cell r="E444" t="str">
            <v>VINO.ROSE.SEMI.SECO TACAMA 12X750ML</v>
          </cell>
          <cell r="G444">
            <v>11.16</v>
          </cell>
        </row>
        <row r="445">
          <cell r="C445" t="str">
            <v>T200001</v>
          </cell>
          <cell r="D445" t="str">
            <v>T200001</v>
          </cell>
          <cell r="E445" t="str">
            <v xml:space="preserve">VINO GRAN TINTO 12X750ML </v>
          </cell>
          <cell r="G445">
            <v>17.8</v>
          </cell>
        </row>
        <row r="446">
          <cell r="C446" t="str">
            <v>T200006</v>
          </cell>
          <cell r="D446" t="str">
            <v>T200006</v>
          </cell>
          <cell r="E446" t="str">
            <v xml:space="preserve">VINO SELECCION ESPECIAL 12X750ML </v>
          </cell>
          <cell r="F446">
            <v>47.21</v>
          </cell>
          <cell r="G446">
            <v>39.700000000000003</v>
          </cell>
        </row>
        <row r="447">
          <cell r="C447" t="str">
            <v>T200013</v>
          </cell>
          <cell r="D447" t="str">
            <v>T200013</v>
          </cell>
          <cell r="E447" t="str">
            <v xml:space="preserve">VINO DON MNUEL TANNAT 12 X750ML </v>
          </cell>
          <cell r="F447">
            <v>86.9</v>
          </cell>
          <cell r="G447">
            <v>71.099999999999994</v>
          </cell>
        </row>
        <row r="448">
          <cell r="C448" t="str">
            <v>T200051</v>
          </cell>
          <cell r="D448" t="str">
            <v>T200051</v>
          </cell>
          <cell r="E448" t="str">
            <v>VINO SELECCION ESPECIAL MELBEC 12X750ML</v>
          </cell>
          <cell r="F448">
            <v>42.58</v>
          </cell>
          <cell r="G448">
            <v>45.53</v>
          </cell>
        </row>
        <row r="449">
          <cell r="C449" t="str">
            <v>T200058</v>
          </cell>
          <cell r="D449" t="str">
            <v>T200058</v>
          </cell>
          <cell r="E449" t="str">
            <v xml:space="preserve">VINO SELECCION ESPECIAL CARMENERE 12X750ML </v>
          </cell>
          <cell r="F449">
            <v>47.21</v>
          </cell>
          <cell r="G449">
            <v>43</v>
          </cell>
        </row>
        <row r="450">
          <cell r="C450" t="str">
            <v>T200097</v>
          </cell>
          <cell r="D450" t="str">
            <v>T200097</v>
          </cell>
          <cell r="E450" t="str">
            <v xml:space="preserve">VINO ORIGEN MALBEC 12 X 750ML </v>
          </cell>
          <cell r="F450">
            <v>68.75</v>
          </cell>
          <cell r="G450">
            <v>62.5</v>
          </cell>
        </row>
        <row r="451">
          <cell r="C451" t="str">
            <v>T30011</v>
          </cell>
          <cell r="D451" t="str">
            <v>T30011</v>
          </cell>
          <cell r="E451" t="str">
            <v>PISCO MULITA QUEBRANTA 2000ML X 9</v>
          </cell>
          <cell r="F451">
            <v>58.75</v>
          </cell>
          <cell r="G451">
            <v>87.38</v>
          </cell>
        </row>
        <row r="452">
          <cell r="C452" t="str">
            <v>T30013</v>
          </cell>
          <cell r="D452" t="str">
            <v>T30013</v>
          </cell>
          <cell r="E452" t="str">
            <v xml:space="preserve">GRAN DEMONIO QUEBRANTA  6X500ML </v>
          </cell>
          <cell r="F452">
            <v>60.27</v>
          </cell>
          <cell r="G452">
            <v>66.17</v>
          </cell>
        </row>
        <row r="453">
          <cell r="C453" t="str">
            <v>504358</v>
          </cell>
          <cell r="D453" t="str">
            <v>504358</v>
          </cell>
          <cell r="E453" t="str">
            <v>ESTCH ACHOLAD MOS.VER EDICION ESP 500MLX9</v>
          </cell>
          <cell r="F453">
            <v>96.37</v>
          </cell>
          <cell r="G453">
            <v>68.06</v>
          </cell>
        </row>
        <row r="454">
          <cell r="C454" t="str">
            <v>506039</v>
          </cell>
          <cell r="D454" t="str">
            <v>506039</v>
          </cell>
          <cell r="E454" t="str">
            <v>P.MOSCATEL SILVER  700ML X 12</v>
          </cell>
          <cell r="F454">
            <v>80.040000000000006</v>
          </cell>
          <cell r="G454">
            <v>103.87</v>
          </cell>
        </row>
        <row r="455">
          <cell r="C455" t="str">
            <v>506045</v>
          </cell>
          <cell r="D455" t="str">
            <v>506045</v>
          </cell>
          <cell r="E455" t="str">
            <v>P.MOSCATEL GOLD 700ML X 12</v>
          </cell>
          <cell r="F455">
            <v>102.59</v>
          </cell>
          <cell r="G455">
            <v>72.45</v>
          </cell>
        </row>
        <row r="456">
          <cell r="C456" t="str">
            <v>506752</v>
          </cell>
          <cell r="D456" t="str">
            <v>506752</v>
          </cell>
          <cell r="E456" t="str">
            <v>P.MOST VERD CHOLADO BLUE 710 ML X 6</v>
          </cell>
          <cell r="F456">
            <v>362.46</v>
          </cell>
          <cell r="G456">
            <v>269.68</v>
          </cell>
        </row>
        <row r="457">
          <cell r="C457" t="str">
            <v>0420</v>
          </cell>
          <cell r="D457" t="str">
            <v/>
          </cell>
          <cell r="E457" t="str">
            <v>VINO CLOS/PIRQUE TINTO 1LT X12</v>
          </cell>
          <cell r="F457">
            <v>13.75</v>
          </cell>
          <cell r="G457">
            <v>11.07</v>
          </cell>
        </row>
        <row r="458">
          <cell r="C458" t="str">
            <v>0504001</v>
          </cell>
          <cell r="D458" t="str">
            <v/>
          </cell>
          <cell r="E458" t="str">
            <v>C/T FRONT.CABERNET SAUVIGNON 750ML X12</v>
          </cell>
          <cell r="G458">
            <v>15.22</v>
          </cell>
        </row>
        <row r="459">
          <cell r="C459" t="str">
            <v>0504009</v>
          </cell>
          <cell r="D459" t="str">
            <v/>
          </cell>
          <cell r="E459" t="str">
            <v>C/T CAS.DIAB.CABERNET SAUVIG.750MLX12</v>
          </cell>
          <cell r="F459">
            <v>33.72</v>
          </cell>
          <cell r="G459">
            <v>24.76</v>
          </cell>
        </row>
        <row r="460">
          <cell r="C460" t="str">
            <v>23443</v>
          </cell>
          <cell r="D460" t="str">
            <v>23443</v>
          </cell>
          <cell r="E460" t="str">
            <v>RON MEDELLIN 3AÑ 750ML X12</v>
          </cell>
          <cell r="G460">
            <v>0</v>
          </cell>
        </row>
        <row r="461">
          <cell r="C461" t="str">
            <v>26722</v>
          </cell>
          <cell r="D461" t="str">
            <v>26722</v>
          </cell>
          <cell r="E461" t="str">
            <v>RON MEDELLIN 12AÑ 750ML X6</v>
          </cell>
          <cell r="G461">
            <v>0</v>
          </cell>
        </row>
        <row r="462">
          <cell r="C462" t="str">
            <v>390045</v>
          </cell>
          <cell r="D462" t="str">
            <v>390045</v>
          </cell>
          <cell r="E462" t="str">
            <v>C/T CAS.DIAB.SAUVIGNON BLAN.750ML X12</v>
          </cell>
          <cell r="F462">
            <v>31.66</v>
          </cell>
          <cell r="G462">
            <v>30.29</v>
          </cell>
        </row>
        <row r="463">
          <cell r="C463" t="str">
            <v>390060</v>
          </cell>
          <cell r="D463" t="str">
            <v/>
          </cell>
          <cell r="E463" t="str">
            <v>C/T CAS.DIAB.MERLOT 750ML X12</v>
          </cell>
          <cell r="F463">
            <v>33.72</v>
          </cell>
          <cell r="G463">
            <v>24.76</v>
          </cell>
        </row>
        <row r="464">
          <cell r="C464" t="str">
            <v>390062</v>
          </cell>
          <cell r="D464" t="str">
            <v>390062</v>
          </cell>
          <cell r="E464" t="str">
            <v>C/T CAS.DIAB.MALBEC 750ML X12</v>
          </cell>
          <cell r="F464">
            <v>33.72</v>
          </cell>
          <cell r="G464">
            <v>24.76</v>
          </cell>
        </row>
        <row r="465">
          <cell r="C465" t="str">
            <v>47181</v>
          </cell>
          <cell r="D465" t="str">
            <v>47181</v>
          </cell>
          <cell r="E465" t="str">
            <v>DIABLO DARK RED 750ML X12</v>
          </cell>
          <cell r="F465">
            <v>61.67</v>
          </cell>
          <cell r="G465">
            <v>47.7</v>
          </cell>
        </row>
        <row r="466">
          <cell r="C466" t="str">
            <v>47182</v>
          </cell>
          <cell r="D466" t="str">
            <v>47182</v>
          </cell>
          <cell r="E466" t="str">
            <v xml:space="preserve">C/T CAS.DIAB.RED BLEND 750ML X12 </v>
          </cell>
          <cell r="F466">
            <v>33.72</v>
          </cell>
          <cell r="G466">
            <v>24.76</v>
          </cell>
        </row>
        <row r="467">
          <cell r="C467" t="str">
            <v>48507</v>
          </cell>
          <cell r="D467" t="str">
            <v>48507</v>
          </cell>
          <cell r="E467" t="str">
            <v>WHIS.MACALLAN 12AÑ 700ML X12</v>
          </cell>
          <cell r="F467">
            <v>468.02</v>
          </cell>
          <cell r="G467">
            <v>380.31</v>
          </cell>
        </row>
        <row r="468">
          <cell r="C468" t="str">
            <v>51811</v>
          </cell>
          <cell r="D468" t="str">
            <v>51811</v>
          </cell>
          <cell r="E468" t="str">
            <v>DIABLO BLACK 750ML X12</v>
          </cell>
          <cell r="F468">
            <v>61.67</v>
          </cell>
          <cell r="G468">
            <v>45.43</v>
          </cell>
        </row>
        <row r="469">
          <cell r="C469" t="str">
            <v>51813</v>
          </cell>
          <cell r="D469" t="str">
            <v>51813</v>
          </cell>
          <cell r="E469" t="str">
            <v>C/T FRONT.MALBEC 750ML X12</v>
          </cell>
          <cell r="F469">
            <v>20.77</v>
          </cell>
          <cell r="G469">
            <v>16.559999999999999</v>
          </cell>
        </row>
        <row r="470">
          <cell r="C470" t="str">
            <v>53254</v>
          </cell>
          <cell r="D470" t="str">
            <v>53254</v>
          </cell>
          <cell r="E470" t="str">
            <v>V/T ALAMOS MALBEC 750ML X 12</v>
          </cell>
          <cell r="F470">
            <v>47.16</v>
          </cell>
          <cell r="G470">
            <v>38.17</v>
          </cell>
        </row>
        <row r="471">
          <cell r="C471" t="str">
            <v>53255</v>
          </cell>
          <cell r="D471" t="str">
            <v>53255</v>
          </cell>
          <cell r="E471" t="str">
            <v>V/T ALAMOS.CABERNET SAUVIGNON 750ML X12</v>
          </cell>
          <cell r="G471">
            <v>0</v>
          </cell>
        </row>
        <row r="472">
          <cell r="C472" t="str">
            <v>53274</v>
          </cell>
          <cell r="D472" t="str">
            <v>53274</v>
          </cell>
          <cell r="E472" t="str">
            <v>V/T CATENA.CABERNET SAUVIGNON 750ML X12</v>
          </cell>
          <cell r="F472">
            <v>82.57</v>
          </cell>
          <cell r="G472">
            <v>64.28</v>
          </cell>
        </row>
        <row r="473">
          <cell r="C473" t="str">
            <v>53276</v>
          </cell>
          <cell r="D473" t="str">
            <v>53276</v>
          </cell>
          <cell r="E473" t="str">
            <v>V/T CATENA MALBEC 750ML X 12</v>
          </cell>
          <cell r="F473">
            <v>82.57</v>
          </cell>
          <cell r="G473">
            <v>66.17</v>
          </cell>
        </row>
        <row r="474">
          <cell r="C474" t="str">
            <v>53292</v>
          </cell>
          <cell r="D474" t="str">
            <v>53292</v>
          </cell>
          <cell r="E474" t="str">
            <v>CATENA ZAPATA MALBEC ARGENTINO 6 X 750ML</v>
          </cell>
          <cell r="F474">
            <v>430.05</v>
          </cell>
          <cell r="G474">
            <v>319.41000000000003</v>
          </cell>
        </row>
        <row r="475">
          <cell r="C475" t="str">
            <v>53294</v>
          </cell>
          <cell r="D475" t="str">
            <v>53294</v>
          </cell>
          <cell r="E475" t="str">
            <v>EL ENEMIGO  CABERNET FRANC 12 X 750ML</v>
          </cell>
          <cell r="F475">
            <v>103.37</v>
          </cell>
          <cell r="G475">
            <v>79.73</v>
          </cell>
        </row>
        <row r="476">
          <cell r="C476" t="str">
            <v>53295</v>
          </cell>
          <cell r="D476" t="str">
            <v>53295</v>
          </cell>
          <cell r="E476" t="str">
            <v xml:space="preserve">EL ENEMIGO MALBEC 12 X 750ML </v>
          </cell>
          <cell r="G476">
            <v>79.73</v>
          </cell>
        </row>
        <row r="477">
          <cell r="C477" t="str">
            <v>53297</v>
          </cell>
          <cell r="D477" t="str">
            <v>53297</v>
          </cell>
          <cell r="E477" t="str">
            <v>V.TINTO GRAN ENEMIGO 6 X 750ML</v>
          </cell>
          <cell r="F477">
            <v>335.92</v>
          </cell>
          <cell r="G477">
            <v>275.94</v>
          </cell>
        </row>
        <row r="478">
          <cell r="C478" t="str">
            <v>53381</v>
          </cell>
          <cell r="D478" t="str">
            <v>53381</v>
          </cell>
          <cell r="E478" t="str">
            <v>PACK CAS.DIAB.CAB. SAUVI+ TRIV. MALB 750ML X6</v>
          </cell>
          <cell r="G478">
            <v>0</v>
          </cell>
        </row>
        <row r="479">
          <cell r="C479" t="str">
            <v>55004</v>
          </cell>
          <cell r="D479" t="str">
            <v>55004</v>
          </cell>
          <cell r="E479" t="str">
            <v>TRIVENTO MERRY MALBEC 750ML X12</v>
          </cell>
          <cell r="F479">
            <v>36.32</v>
          </cell>
          <cell r="G479">
            <v>28.89</v>
          </cell>
        </row>
        <row r="480">
          <cell r="C480" t="str">
            <v>61111</v>
          </cell>
          <cell r="D480" t="str">
            <v>61111</v>
          </cell>
          <cell r="E480" t="str">
            <v xml:space="preserve">C/T FRONT.SWEET SELECTION 750ML X 12  </v>
          </cell>
          <cell r="F480">
            <v>20.77</v>
          </cell>
          <cell r="G480">
            <v>15.22</v>
          </cell>
        </row>
        <row r="481">
          <cell r="C481" t="str">
            <v>67456</v>
          </cell>
          <cell r="D481" t="str">
            <v>67456</v>
          </cell>
          <cell r="E481" t="str">
            <v>FRONTERA FRUTAL TROPICAL 12X750ML</v>
          </cell>
          <cell r="G481">
            <v>14.58</v>
          </cell>
        </row>
        <row r="482">
          <cell r="C482" t="str">
            <v>67457</v>
          </cell>
          <cell r="D482" t="str">
            <v>67457</v>
          </cell>
          <cell r="E482" t="str">
            <v xml:space="preserve">FRONTERA FRUTAL TINTO DE VERANO 12 X 750ML </v>
          </cell>
          <cell r="F482">
            <v>19.75</v>
          </cell>
          <cell r="G482">
            <v>14.58</v>
          </cell>
        </row>
        <row r="483">
          <cell r="C483" t="str">
            <v>67458</v>
          </cell>
          <cell r="D483" t="str">
            <v>67458</v>
          </cell>
          <cell r="E483" t="str">
            <v>FRONTERA FRUTAL PINK  PARADISE 12X750ML</v>
          </cell>
          <cell r="G483">
            <v>14.58</v>
          </cell>
        </row>
        <row r="484">
          <cell r="C484" t="str">
            <v>VCH0017</v>
          </cell>
          <cell r="D484" t="str">
            <v>VCH0017</v>
          </cell>
          <cell r="E484" t="str">
            <v>CABALLO LOCO GRAN CRU APALTA AZULX 750ML</v>
          </cell>
          <cell r="F484">
            <v>208.41</v>
          </cell>
          <cell r="G484">
            <v>171.68</v>
          </cell>
        </row>
        <row r="485">
          <cell r="C485" t="str">
            <v>VCH0018</v>
          </cell>
          <cell r="D485" t="str">
            <v>VCH0018</v>
          </cell>
          <cell r="E485" t="str">
            <v>CABALLO LOCO GRAN CRU SAGRADA FAM. VERDE X 750ML</v>
          </cell>
          <cell r="F485">
            <v>208.41</v>
          </cell>
          <cell r="G485">
            <v>171.68</v>
          </cell>
        </row>
        <row r="486">
          <cell r="C486" t="str">
            <v>VCH0019</v>
          </cell>
          <cell r="D486" t="str">
            <v>VCH0019</v>
          </cell>
          <cell r="E486" t="str">
            <v>CABALLO LOCO GRAN CRU MAIPO ROJO X 750ML</v>
          </cell>
          <cell r="F486">
            <v>208.41</v>
          </cell>
          <cell r="G486">
            <v>171.68</v>
          </cell>
        </row>
        <row r="487">
          <cell r="C487" t="str">
            <v>VIN2536</v>
          </cell>
          <cell r="D487" t="str">
            <v>VIN2536</v>
          </cell>
          <cell r="E487" t="str">
            <v>VINO CABALLO LOCO N19 X 750ML</v>
          </cell>
          <cell r="F487">
            <v>285.02</v>
          </cell>
          <cell r="G487">
            <v>234.9</v>
          </cell>
        </row>
        <row r="488">
          <cell r="E488" t="str">
            <v xml:space="preserve">TOTAL GENERAL </v>
          </cell>
        </row>
        <row r="489">
          <cell r="E489" t="str">
            <v xml:space="preserve">syrah </v>
          </cell>
        </row>
        <row r="490">
          <cell r="E490" t="str">
            <v>gran tinto tacama - degustacion</v>
          </cell>
        </row>
        <row r="491">
          <cell r="E491" t="str">
            <v>vino tinto copello</v>
          </cell>
        </row>
        <row r="492">
          <cell r="E492" t="str">
            <v>wyboroba wodka</v>
          </cell>
        </row>
        <row r="493">
          <cell r="E493" t="str">
            <v>ocucaje mosto verde italia 500ml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3"/>
      <sheetName val="Hoja2"/>
    </sheetNames>
    <sheetDataSet>
      <sheetData sheetId="0"/>
      <sheetData sheetId="1">
        <row r="1">
          <cell r="D1" t="str">
            <v>CodigoInternoAux</v>
          </cell>
          <cell r="E1" t="str">
            <v>Descripcion</v>
          </cell>
          <cell r="F1" t="str">
            <v>Precio_1</v>
          </cell>
          <cell r="G1" t="str">
            <v>Precio_2</v>
          </cell>
          <cell r="H1" t="str">
            <v>Precio_3</v>
          </cell>
          <cell r="I1" t="str">
            <v>Precio_4</v>
          </cell>
          <cell r="J1" t="str">
            <v>Proveedor</v>
          </cell>
          <cell r="K1" t="str">
            <v>Linea</v>
          </cell>
          <cell r="L1" t="str">
            <v>SubLinea</v>
          </cell>
          <cell r="M1" t="str">
            <v>PrecioCostoAnt</v>
          </cell>
          <cell r="N1" t="str">
            <v>AntPrecioCompra</v>
          </cell>
          <cell r="O1" t="str">
            <v>LastPrecioCompra</v>
          </cell>
          <cell r="P1" t="str">
            <v>PrecioTPV</v>
          </cell>
        </row>
        <row r="2">
          <cell r="D2" t="str">
            <v>404202</v>
          </cell>
          <cell r="E2" t="str">
            <v>MORTADELA ESPECIAL PZ 2.9KG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 t="str">
            <v>SIG</v>
          </cell>
          <cell r="K2" t="str">
            <v>OTK</v>
          </cell>
          <cell r="L2" t="str">
            <v>JMN</v>
          </cell>
          <cell r="M2">
            <v>0</v>
          </cell>
          <cell r="N2">
            <v>0</v>
          </cell>
          <cell r="O2">
            <v>61.24</v>
          </cell>
          <cell r="P2">
            <v>70.89</v>
          </cell>
        </row>
        <row r="3">
          <cell r="D3" t="str">
            <v>404199</v>
          </cell>
          <cell r="E3" t="str">
            <v>JAMONADA ESP POLLO PQ 100GR 8LJ OK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 t="str">
            <v>SIG</v>
          </cell>
          <cell r="K3" t="str">
            <v>OTK</v>
          </cell>
          <cell r="L3" t="str">
            <v>JMN</v>
          </cell>
          <cell r="M3">
            <v>0</v>
          </cell>
          <cell r="N3">
            <v>0</v>
          </cell>
          <cell r="O3">
            <v>2.85</v>
          </cell>
          <cell r="P3">
            <v>3.31</v>
          </cell>
        </row>
        <row r="4">
          <cell r="D4" t="str">
            <v>404190</v>
          </cell>
          <cell r="E4" t="str">
            <v>JAMONADA ESPECIAL PZ 3KG OK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 t="str">
            <v>SIG</v>
          </cell>
          <cell r="K4" t="str">
            <v>OTK</v>
          </cell>
          <cell r="L4" t="str">
            <v>JMN</v>
          </cell>
          <cell r="M4">
            <v>0</v>
          </cell>
          <cell r="N4">
            <v>0</v>
          </cell>
          <cell r="O4">
            <v>79.849999999999994</v>
          </cell>
          <cell r="P4">
            <v>92.59</v>
          </cell>
        </row>
        <row r="5">
          <cell r="D5" t="str">
            <v>404091</v>
          </cell>
          <cell r="E5" t="str">
            <v>JAMONADA LONCH 100GR BDT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 t="str">
            <v>SIG</v>
          </cell>
          <cell r="K5" t="str">
            <v>OTK</v>
          </cell>
          <cell r="L5" t="str">
            <v>JMN</v>
          </cell>
          <cell r="M5">
            <v>0</v>
          </cell>
          <cell r="N5">
            <v>0</v>
          </cell>
          <cell r="O5">
            <v>0</v>
          </cell>
          <cell r="P5">
            <v>2.63</v>
          </cell>
        </row>
        <row r="6">
          <cell r="D6" t="str">
            <v>404203</v>
          </cell>
          <cell r="E6" t="str">
            <v>MORTADELA ESP PQ 100GR 8LJ OK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 t="str">
            <v>SIG</v>
          </cell>
          <cell r="K6" t="str">
            <v>OTK</v>
          </cell>
          <cell r="L6" t="str">
            <v>JMN</v>
          </cell>
          <cell r="M6">
            <v>0</v>
          </cell>
          <cell r="N6">
            <v>0</v>
          </cell>
          <cell r="O6">
            <v>0</v>
          </cell>
          <cell r="P6">
            <v>2.86</v>
          </cell>
        </row>
        <row r="7">
          <cell r="D7" t="str">
            <v>404196</v>
          </cell>
          <cell r="E7" t="str">
            <v>JAMONADA DE POLLO PZ 3KG OK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 t="str">
            <v>SIG</v>
          </cell>
          <cell r="K7" t="str">
            <v>OTK</v>
          </cell>
          <cell r="L7" t="str">
            <v>JMN</v>
          </cell>
          <cell r="M7">
            <v>0</v>
          </cell>
          <cell r="N7">
            <v>0</v>
          </cell>
          <cell r="O7">
            <v>74.260000000000005</v>
          </cell>
          <cell r="P7">
            <v>85.85</v>
          </cell>
        </row>
        <row r="8">
          <cell r="D8" t="str">
            <v>404193</v>
          </cell>
          <cell r="E8" t="str">
            <v>JAMONADA ESPECIAL PQ 100GR 8LJ OK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 t="str">
            <v>SIG</v>
          </cell>
          <cell r="K8" t="str">
            <v>OTK</v>
          </cell>
          <cell r="L8" t="str">
            <v>JMN</v>
          </cell>
          <cell r="M8">
            <v>0</v>
          </cell>
          <cell r="N8">
            <v>0</v>
          </cell>
          <cell r="O8">
            <v>0</v>
          </cell>
          <cell r="P8">
            <v>3.43</v>
          </cell>
        </row>
        <row r="9">
          <cell r="D9" t="str">
            <v>EMGR015</v>
          </cell>
          <cell r="E9" t="str">
            <v>CHORIZO ITALIANO 140G OSSO</v>
          </cell>
          <cell r="F9">
            <v>36.9</v>
          </cell>
          <cell r="G9">
            <v>36.9</v>
          </cell>
          <cell r="H9">
            <v>36.9</v>
          </cell>
          <cell r="I9">
            <v>36.9</v>
          </cell>
          <cell r="J9" t="str">
            <v>PRR</v>
          </cell>
          <cell r="K9" t="str">
            <v>OFD</v>
          </cell>
          <cell r="L9" t="str">
            <v>CHO</v>
          </cell>
          <cell r="M9">
            <v>0</v>
          </cell>
          <cell r="N9">
            <v>0</v>
          </cell>
          <cell r="O9">
            <v>29.9</v>
          </cell>
          <cell r="P9">
            <v>36.9</v>
          </cell>
        </row>
        <row r="10">
          <cell r="D10" t="str">
            <v>EMGR016</v>
          </cell>
          <cell r="E10" t="str">
            <v>CHORIZO MERME-ROCOTO 140G OSSO</v>
          </cell>
          <cell r="F10">
            <v>39.9</v>
          </cell>
          <cell r="G10">
            <v>39.9</v>
          </cell>
          <cell r="H10">
            <v>39.9</v>
          </cell>
          <cell r="I10">
            <v>39.9</v>
          </cell>
          <cell r="J10" t="str">
            <v>PRR</v>
          </cell>
          <cell r="K10" t="str">
            <v>OFD</v>
          </cell>
          <cell r="L10" t="str">
            <v>CHO</v>
          </cell>
          <cell r="M10">
            <v>0</v>
          </cell>
          <cell r="N10">
            <v>0</v>
          </cell>
          <cell r="O10">
            <v>29.9</v>
          </cell>
          <cell r="P10">
            <v>42.9</v>
          </cell>
        </row>
        <row r="11">
          <cell r="D11" t="str">
            <v>EMGR014</v>
          </cell>
          <cell r="E11" t="str">
            <v>CHORIZO MIEL MAPPLE 140G- OSSO</v>
          </cell>
          <cell r="F11">
            <v>39.9</v>
          </cell>
          <cell r="G11">
            <v>39.9</v>
          </cell>
          <cell r="H11">
            <v>39.9</v>
          </cell>
          <cell r="I11">
            <v>39.9</v>
          </cell>
          <cell r="J11" t="str">
            <v>PRR</v>
          </cell>
          <cell r="K11" t="str">
            <v>OFD</v>
          </cell>
          <cell r="L11" t="str">
            <v>CHO</v>
          </cell>
          <cell r="M11">
            <v>0</v>
          </cell>
          <cell r="N11">
            <v>0</v>
          </cell>
          <cell r="O11">
            <v>29.9</v>
          </cell>
          <cell r="P11">
            <v>42.9</v>
          </cell>
        </row>
        <row r="12">
          <cell r="D12" t="str">
            <v>EMGR017</v>
          </cell>
          <cell r="E12" t="str">
            <v>CHORIZO DE CERDO  CJA X600 OREGON FOOD</v>
          </cell>
          <cell r="F12">
            <v>37</v>
          </cell>
          <cell r="G12">
            <v>37</v>
          </cell>
          <cell r="H12">
            <v>37</v>
          </cell>
          <cell r="I12">
            <v>37</v>
          </cell>
          <cell r="J12" t="str">
            <v>PRR</v>
          </cell>
          <cell r="K12" t="str">
            <v>OFD</v>
          </cell>
          <cell r="L12" t="str">
            <v>CHO</v>
          </cell>
          <cell r="M12">
            <v>0</v>
          </cell>
          <cell r="N12">
            <v>0</v>
          </cell>
          <cell r="O12">
            <v>29.9</v>
          </cell>
          <cell r="P12">
            <v>37</v>
          </cell>
        </row>
        <row r="13">
          <cell r="D13" t="str">
            <v>EMGR018</v>
          </cell>
          <cell r="E13" t="str">
            <v>CHORIZO ANGUS CJA X500 OREGON FOODS</v>
          </cell>
          <cell r="F13">
            <v>49.5</v>
          </cell>
          <cell r="G13">
            <v>49.5</v>
          </cell>
          <cell r="H13">
            <v>49.5</v>
          </cell>
          <cell r="I13">
            <v>49.5</v>
          </cell>
          <cell r="J13" t="str">
            <v>PRR</v>
          </cell>
          <cell r="K13" t="str">
            <v>OFD</v>
          </cell>
          <cell r="L13" t="str">
            <v>CHO</v>
          </cell>
          <cell r="M13">
            <v>0</v>
          </cell>
          <cell r="N13">
            <v>0</v>
          </cell>
          <cell r="O13">
            <v>36.9</v>
          </cell>
          <cell r="P13">
            <v>52.9</v>
          </cell>
        </row>
        <row r="14">
          <cell r="D14" t="str">
            <v>G0001</v>
          </cell>
          <cell r="E14" t="str">
            <v>GINGER GAS.NOR ALE NOR.X1.5LT X6</v>
          </cell>
          <cell r="F14">
            <v>3.99</v>
          </cell>
          <cell r="G14">
            <v>3.99</v>
          </cell>
          <cell r="H14">
            <v>3.99</v>
          </cell>
          <cell r="I14">
            <v>3.99</v>
          </cell>
          <cell r="J14" t="str">
            <v>COP</v>
          </cell>
          <cell r="K14" t="str">
            <v>BDL</v>
          </cell>
          <cell r="L14" t="str">
            <v>GAS</v>
          </cell>
          <cell r="M14">
            <v>0</v>
          </cell>
          <cell r="N14">
            <v>0</v>
          </cell>
          <cell r="O14">
            <v>0</v>
          </cell>
          <cell r="P14">
            <v>4.0199999999999996</v>
          </cell>
        </row>
        <row r="15">
          <cell r="D15" t="str">
            <v>53295</v>
          </cell>
          <cell r="E15" t="str">
            <v xml:space="preserve">EL ENEMIGO MALBEC 12 X 750ML </v>
          </cell>
          <cell r="F15">
            <v>89.89</v>
          </cell>
          <cell r="G15">
            <v>89.89</v>
          </cell>
          <cell r="H15">
            <v>89.89</v>
          </cell>
          <cell r="I15">
            <v>89.89</v>
          </cell>
          <cell r="J15" t="str">
            <v>YIC</v>
          </cell>
          <cell r="K15" t="str">
            <v>LIC</v>
          </cell>
          <cell r="L15" t="str">
            <v>VIN</v>
          </cell>
          <cell r="M15">
            <v>0</v>
          </cell>
          <cell r="N15">
            <v>0</v>
          </cell>
          <cell r="O15">
            <v>79.73</v>
          </cell>
          <cell r="P15">
            <v>103.37</v>
          </cell>
        </row>
        <row r="16">
          <cell r="D16" t="str">
            <v>53294</v>
          </cell>
          <cell r="E16" t="str">
            <v>EL ENEMIGO  CABERNET FRANC 12 X 750ML</v>
          </cell>
          <cell r="F16">
            <v>88.38</v>
          </cell>
          <cell r="G16">
            <v>88.38</v>
          </cell>
          <cell r="H16">
            <v>89.89</v>
          </cell>
          <cell r="I16">
            <v>89.89</v>
          </cell>
          <cell r="J16" t="str">
            <v>YIC</v>
          </cell>
          <cell r="K16" t="str">
            <v>LIC</v>
          </cell>
          <cell r="L16" t="str">
            <v>VIN</v>
          </cell>
          <cell r="M16">
            <v>0</v>
          </cell>
          <cell r="N16">
            <v>0</v>
          </cell>
          <cell r="O16">
            <v>79.73</v>
          </cell>
          <cell r="P16">
            <v>103.37</v>
          </cell>
        </row>
        <row r="17">
          <cell r="D17" t="str">
            <v>55004</v>
          </cell>
          <cell r="E17" t="str">
            <v>TRIVENTO MERRY MALBEC 750ML X12</v>
          </cell>
          <cell r="F17">
            <v>32.369999999999997</v>
          </cell>
          <cell r="G17">
            <v>32.369999999999997</v>
          </cell>
          <cell r="H17">
            <v>33.020000000000003</v>
          </cell>
          <cell r="I17">
            <v>33.020000000000003</v>
          </cell>
          <cell r="J17" t="str">
            <v>YIC</v>
          </cell>
          <cell r="K17" t="str">
            <v>LIC</v>
          </cell>
          <cell r="L17" t="str">
            <v>VIN</v>
          </cell>
          <cell r="M17">
            <v>0</v>
          </cell>
          <cell r="N17">
            <v>0</v>
          </cell>
          <cell r="O17">
            <v>28.89</v>
          </cell>
          <cell r="P17">
            <v>36.32</v>
          </cell>
        </row>
        <row r="18">
          <cell r="D18" t="str">
            <v>53381</v>
          </cell>
          <cell r="E18" t="str">
            <v>PACK CAS.DIAB.CAB. SAUVI+ TRIV. MALB 750ML X6</v>
          </cell>
          <cell r="F18">
            <v>57.34</v>
          </cell>
          <cell r="G18">
            <v>57.34</v>
          </cell>
          <cell r="H18">
            <v>58.49</v>
          </cell>
          <cell r="I18">
            <v>58.49</v>
          </cell>
          <cell r="J18" t="str">
            <v>YIC</v>
          </cell>
          <cell r="K18" t="str">
            <v>LIC</v>
          </cell>
          <cell r="L18" t="str">
            <v>VIN</v>
          </cell>
          <cell r="M18">
            <v>0</v>
          </cell>
          <cell r="N18">
            <v>0</v>
          </cell>
          <cell r="O18">
            <v>56.3</v>
          </cell>
          <cell r="P18">
            <v>64.34</v>
          </cell>
        </row>
        <row r="19">
          <cell r="D19" t="str">
            <v>53297</v>
          </cell>
          <cell r="E19" t="str">
            <v>V.TINTO GRAN ENEMIGO 6 X 750ML</v>
          </cell>
          <cell r="F19">
            <v>299.39</v>
          </cell>
          <cell r="G19">
            <v>299.39</v>
          </cell>
          <cell r="H19">
            <v>305.38</v>
          </cell>
          <cell r="I19">
            <v>305.38</v>
          </cell>
          <cell r="J19" t="str">
            <v>YIC</v>
          </cell>
          <cell r="K19" t="str">
            <v>LIC</v>
          </cell>
          <cell r="L19" t="str">
            <v>VIN</v>
          </cell>
          <cell r="M19">
            <v>0</v>
          </cell>
          <cell r="N19">
            <v>0</v>
          </cell>
          <cell r="O19">
            <v>248.17</v>
          </cell>
          <cell r="P19">
            <v>335.92</v>
          </cell>
        </row>
        <row r="20">
          <cell r="D20" t="str">
            <v>53255</v>
          </cell>
          <cell r="E20" t="str">
            <v>V/T ALAMOS.CABERNET SAUVIGNON 750ML X12</v>
          </cell>
          <cell r="F20">
            <v>42.15</v>
          </cell>
          <cell r="G20">
            <v>42.15</v>
          </cell>
          <cell r="H20">
            <v>42.87</v>
          </cell>
          <cell r="I20">
            <v>42.87</v>
          </cell>
          <cell r="J20" t="str">
            <v>YIC</v>
          </cell>
          <cell r="K20" t="str">
            <v>LIC</v>
          </cell>
          <cell r="L20" t="str">
            <v>VIN</v>
          </cell>
          <cell r="M20">
            <v>0</v>
          </cell>
          <cell r="N20">
            <v>0</v>
          </cell>
          <cell r="O20">
            <v>38.17</v>
          </cell>
          <cell r="P20">
            <v>47.16</v>
          </cell>
        </row>
        <row r="21">
          <cell r="D21" t="str">
            <v>61271</v>
          </cell>
          <cell r="E21" t="str">
            <v>MITJANS LICOR DULCE AMARRETTO 750ML X 6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YIC</v>
          </cell>
          <cell r="K21" t="str">
            <v>LIC</v>
          </cell>
          <cell r="L21" t="str">
            <v>VIN</v>
          </cell>
          <cell r="M21">
            <v>0</v>
          </cell>
          <cell r="N21">
            <v>0</v>
          </cell>
          <cell r="O21">
            <v>0</v>
          </cell>
          <cell r="P21">
            <v>31.4</v>
          </cell>
        </row>
        <row r="22">
          <cell r="D22" t="str">
            <v>53254</v>
          </cell>
          <cell r="E22" t="str">
            <v>V/T ALAMOS MALBEC 750ML X 12</v>
          </cell>
          <cell r="F22">
            <v>42.15</v>
          </cell>
          <cell r="G22">
            <v>42.15</v>
          </cell>
          <cell r="H22">
            <v>42.87</v>
          </cell>
          <cell r="I22">
            <v>42.87</v>
          </cell>
          <cell r="J22" t="str">
            <v>YIC</v>
          </cell>
          <cell r="K22" t="str">
            <v>LIC</v>
          </cell>
          <cell r="L22" t="str">
            <v>VIN</v>
          </cell>
          <cell r="M22">
            <v>0</v>
          </cell>
          <cell r="N22">
            <v>0</v>
          </cell>
          <cell r="O22">
            <v>38.17</v>
          </cell>
          <cell r="P22">
            <v>47.16</v>
          </cell>
        </row>
        <row r="23">
          <cell r="D23" t="str">
            <v>61275</v>
          </cell>
          <cell r="E23" t="str">
            <v>MITJANS LICOR DULCE CURACAO 750ML X 6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YIC</v>
          </cell>
          <cell r="K23" t="str">
            <v>LIC</v>
          </cell>
          <cell r="L23" t="str">
            <v>VIN</v>
          </cell>
          <cell r="M23">
            <v>0</v>
          </cell>
          <cell r="N23">
            <v>0</v>
          </cell>
          <cell r="O23">
            <v>0</v>
          </cell>
          <cell r="P23">
            <v>31.4</v>
          </cell>
        </row>
        <row r="24">
          <cell r="D24" t="str">
            <v>226001</v>
          </cell>
          <cell r="E24" t="str">
            <v>RON MALIBU 750ML X12</v>
          </cell>
          <cell r="F24">
            <v>39.896999999999998</v>
          </cell>
          <cell r="G24">
            <v>39.896999999999998</v>
          </cell>
          <cell r="H24">
            <v>40.695</v>
          </cell>
          <cell r="I24">
            <v>40.695</v>
          </cell>
          <cell r="J24" t="str">
            <v>IWA</v>
          </cell>
          <cell r="K24" t="str">
            <v>MAL</v>
          </cell>
          <cell r="L24" t="str">
            <v>RON</v>
          </cell>
          <cell r="M24">
            <v>0</v>
          </cell>
          <cell r="N24">
            <v>0</v>
          </cell>
          <cell r="O24">
            <v>0</v>
          </cell>
          <cell r="P24">
            <v>44.77</v>
          </cell>
        </row>
        <row r="25">
          <cell r="D25" t="str">
            <v>45879</v>
          </cell>
          <cell r="E25" t="str">
            <v>PANETON CSD 1P 900GR BOLSA BIM X6</v>
          </cell>
          <cell r="F25">
            <v>8.5</v>
          </cell>
          <cell r="G25">
            <v>8.5</v>
          </cell>
          <cell r="H25">
            <v>17.86</v>
          </cell>
          <cell r="I25">
            <v>17.86</v>
          </cell>
          <cell r="J25" t="str">
            <v>BIM</v>
          </cell>
          <cell r="K25" t="str">
            <v>PAN</v>
          </cell>
          <cell r="L25" t="str">
            <v>PAN</v>
          </cell>
          <cell r="M25">
            <v>0</v>
          </cell>
          <cell r="N25">
            <v>0</v>
          </cell>
          <cell r="O25">
            <v>14.08</v>
          </cell>
          <cell r="P25">
            <v>17.850000000000001</v>
          </cell>
        </row>
        <row r="26">
          <cell r="D26" t="str">
            <v>39956</v>
          </cell>
          <cell r="E26" t="str">
            <v xml:space="preserve">SLMAS HORNEADAS 12P 216G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BIM</v>
          </cell>
          <cell r="K26" t="str">
            <v>PAN</v>
          </cell>
          <cell r="L26" t="str">
            <v>PAN</v>
          </cell>
          <cell r="M26">
            <v>0</v>
          </cell>
          <cell r="N26">
            <v>0</v>
          </cell>
          <cell r="O26">
            <v>0</v>
          </cell>
          <cell r="P26">
            <v>7.5</v>
          </cell>
        </row>
        <row r="27">
          <cell r="D27" t="str">
            <v>0210025</v>
          </cell>
          <cell r="E27" t="str">
            <v>R.HAVANA CLUB 7AÑ 700ML X12</v>
          </cell>
          <cell r="F27">
            <v>60.82</v>
          </cell>
          <cell r="G27">
            <v>60.82</v>
          </cell>
          <cell r="H27">
            <v>62.04</v>
          </cell>
          <cell r="I27">
            <v>62.04</v>
          </cell>
          <cell r="J27" t="str">
            <v>IWA</v>
          </cell>
          <cell r="K27" t="str">
            <v>HAC</v>
          </cell>
          <cell r="L27" t="str">
            <v>RON</v>
          </cell>
          <cell r="M27">
            <v>0</v>
          </cell>
          <cell r="N27">
            <v>0</v>
          </cell>
          <cell r="O27">
            <v>57</v>
          </cell>
          <cell r="P27">
            <v>78.989999999999995</v>
          </cell>
        </row>
        <row r="28">
          <cell r="D28" t="str">
            <v>0210003</v>
          </cell>
          <cell r="E28" t="str">
            <v>R.HAVANA CLUB AÑEJO RES.750ML X12</v>
          </cell>
          <cell r="F28">
            <v>35.020000000000003</v>
          </cell>
          <cell r="G28">
            <v>35.020000000000003</v>
          </cell>
          <cell r="H28">
            <v>35.72</v>
          </cell>
          <cell r="I28">
            <v>35.72</v>
          </cell>
          <cell r="J28" t="str">
            <v>IWA</v>
          </cell>
          <cell r="K28" t="str">
            <v>HAC</v>
          </cell>
          <cell r="L28" t="str">
            <v>RON</v>
          </cell>
          <cell r="M28">
            <v>0</v>
          </cell>
          <cell r="N28">
            <v>0</v>
          </cell>
          <cell r="O28">
            <v>30.5</v>
          </cell>
          <cell r="P28">
            <v>45.49</v>
          </cell>
        </row>
        <row r="29">
          <cell r="D29" t="str">
            <v>0210001</v>
          </cell>
          <cell r="E29" t="str">
            <v>R.HAVANA CLUB AÑEJO ESP.700ML X12</v>
          </cell>
          <cell r="F29">
            <v>31.59</v>
          </cell>
          <cell r="G29">
            <v>31.59</v>
          </cell>
          <cell r="H29">
            <v>32.22</v>
          </cell>
          <cell r="I29">
            <v>32.22</v>
          </cell>
          <cell r="J29" t="str">
            <v>IWA</v>
          </cell>
          <cell r="K29" t="str">
            <v>HAC</v>
          </cell>
          <cell r="L29" t="str">
            <v>RON</v>
          </cell>
          <cell r="M29">
            <v>0</v>
          </cell>
          <cell r="N29">
            <v>0</v>
          </cell>
          <cell r="O29">
            <v>56.7</v>
          </cell>
          <cell r="P29">
            <v>41.07</v>
          </cell>
        </row>
        <row r="30">
          <cell r="D30" t="str">
            <v>RON0875</v>
          </cell>
          <cell r="E30" t="str">
            <v>RON HAVANA CLUB BLANCO 3AÑ 700ML X12</v>
          </cell>
          <cell r="F30">
            <v>29.66</v>
          </cell>
          <cell r="G30">
            <v>29.66</v>
          </cell>
          <cell r="H30">
            <v>30.25</v>
          </cell>
          <cell r="I30">
            <v>30.25</v>
          </cell>
          <cell r="J30" t="str">
            <v>IWA</v>
          </cell>
          <cell r="K30" t="str">
            <v>HAC</v>
          </cell>
          <cell r="L30" t="str">
            <v>RON</v>
          </cell>
          <cell r="M30">
            <v>0</v>
          </cell>
          <cell r="N30">
            <v>0</v>
          </cell>
          <cell r="O30">
            <v>35.590000000000003</v>
          </cell>
          <cell r="P30">
            <v>37.5</v>
          </cell>
        </row>
        <row r="31">
          <cell r="D31" t="str">
            <v>197312</v>
          </cell>
          <cell r="E31" t="str">
            <v>RON VIEJO DE CALDAS 5 AÑOS X750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PFA</v>
          </cell>
          <cell r="K31" t="str">
            <v>LIC</v>
          </cell>
          <cell r="L31" t="str">
            <v>CDL</v>
          </cell>
          <cell r="M31">
            <v>0</v>
          </cell>
          <cell r="N31">
            <v>0</v>
          </cell>
          <cell r="O31">
            <v>27</v>
          </cell>
          <cell r="P31">
            <v>29.69</v>
          </cell>
        </row>
        <row r="32">
          <cell r="D32" t="str">
            <v>197322</v>
          </cell>
          <cell r="E32" t="str">
            <v>R.V CALDAS  ROBLE BLANCO 750ML X 12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PFA</v>
          </cell>
          <cell r="K32" t="str">
            <v>LIC</v>
          </cell>
          <cell r="L32" t="str">
            <v>CDL</v>
          </cell>
          <cell r="M32">
            <v>0</v>
          </cell>
          <cell r="N32">
            <v>0</v>
          </cell>
          <cell r="O32">
            <v>0</v>
          </cell>
          <cell r="P32">
            <v>24.03</v>
          </cell>
        </row>
        <row r="33">
          <cell r="D33" t="str">
            <v>197310</v>
          </cell>
          <cell r="E33" t="str">
            <v>RON VIEJO DE CALDAS 3 AÑOS 750MLX12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PFA</v>
          </cell>
          <cell r="K33" t="str">
            <v>LIC</v>
          </cell>
          <cell r="L33" t="str">
            <v>CDL</v>
          </cell>
          <cell r="M33">
            <v>0</v>
          </cell>
          <cell r="N33">
            <v>0</v>
          </cell>
          <cell r="O33">
            <v>0</v>
          </cell>
          <cell r="P33">
            <v>24.03</v>
          </cell>
        </row>
        <row r="34">
          <cell r="D34" t="str">
            <v>MC0310</v>
          </cell>
          <cell r="E34" t="str">
            <v>LICOR DISARONNO 700ML X 12</v>
          </cell>
          <cell r="F34">
            <v>106.94</v>
          </cell>
          <cell r="G34">
            <v>106.94</v>
          </cell>
          <cell r="H34">
            <v>109.08</v>
          </cell>
          <cell r="I34">
            <v>109.08</v>
          </cell>
          <cell r="J34" t="str">
            <v>PRE</v>
          </cell>
          <cell r="K34" t="str">
            <v>LIC</v>
          </cell>
          <cell r="L34" t="str">
            <v>BRI</v>
          </cell>
          <cell r="M34">
            <v>0</v>
          </cell>
          <cell r="N34">
            <v>0</v>
          </cell>
          <cell r="O34">
            <v>102.76</v>
          </cell>
          <cell r="P34">
            <v>119.99</v>
          </cell>
        </row>
        <row r="35">
          <cell r="D35" t="str">
            <v>V0040</v>
          </cell>
          <cell r="E35" t="str">
            <v>R.FLOR DE CAÑA 25AÑ 750ML X6</v>
          </cell>
          <cell r="F35">
            <v>565.16999999999996</v>
          </cell>
          <cell r="G35">
            <v>565.16999999999996</v>
          </cell>
          <cell r="H35">
            <v>576.47</v>
          </cell>
          <cell r="I35">
            <v>576.47</v>
          </cell>
          <cell r="J35" t="str">
            <v>PFA</v>
          </cell>
          <cell r="K35" t="str">
            <v>FDC</v>
          </cell>
          <cell r="L35" t="str">
            <v>RON</v>
          </cell>
          <cell r="M35">
            <v>0</v>
          </cell>
          <cell r="N35">
            <v>0</v>
          </cell>
          <cell r="O35">
            <v>523.20000000000005</v>
          </cell>
          <cell r="P35">
            <v>659.98</v>
          </cell>
        </row>
        <row r="36">
          <cell r="D36" t="str">
            <v>V0036</v>
          </cell>
          <cell r="E36" t="str">
            <v>R.FLOR DE CAÑA 12AÑ CENT 750ML X12</v>
          </cell>
          <cell r="F36">
            <v>99.48</v>
          </cell>
          <cell r="G36">
            <v>99.48</v>
          </cell>
          <cell r="H36">
            <v>102.91</v>
          </cell>
          <cell r="I36">
            <v>102.91</v>
          </cell>
          <cell r="J36" t="str">
            <v>PFA</v>
          </cell>
          <cell r="K36" t="str">
            <v>FDC</v>
          </cell>
          <cell r="L36" t="str">
            <v>RON</v>
          </cell>
          <cell r="M36">
            <v>0</v>
          </cell>
          <cell r="N36">
            <v>0</v>
          </cell>
          <cell r="O36">
            <v>85.65</v>
          </cell>
          <cell r="P36">
            <v>102.2</v>
          </cell>
        </row>
        <row r="37">
          <cell r="D37" t="str">
            <v>V0058</v>
          </cell>
          <cell r="E37" t="str">
            <v>R.FLOR DE CAÑA 18AÑ 750ML X6</v>
          </cell>
          <cell r="F37">
            <v>178.96</v>
          </cell>
          <cell r="G37">
            <v>178.96</v>
          </cell>
          <cell r="H37">
            <v>182.54</v>
          </cell>
          <cell r="I37">
            <v>182.54</v>
          </cell>
          <cell r="J37" t="str">
            <v>PFA</v>
          </cell>
          <cell r="K37" t="str">
            <v>FDC</v>
          </cell>
          <cell r="L37" t="str">
            <v>RON</v>
          </cell>
          <cell r="M37">
            <v>0</v>
          </cell>
          <cell r="N37">
            <v>0</v>
          </cell>
          <cell r="O37">
            <v>167.81</v>
          </cell>
          <cell r="P37">
            <v>182.54</v>
          </cell>
        </row>
        <row r="38">
          <cell r="D38" t="str">
            <v>V0036C</v>
          </cell>
          <cell r="E38" t="str">
            <v>R.FLOR DE CAÑA 12AÑ CENT 750ML X12 C/CAJA</v>
          </cell>
          <cell r="F38">
            <v>95.24</v>
          </cell>
          <cell r="G38">
            <v>95.24</v>
          </cell>
          <cell r="H38">
            <v>97.15</v>
          </cell>
          <cell r="I38">
            <v>97.15</v>
          </cell>
          <cell r="J38" t="str">
            <v>PFA</v>
          </cell>
          <cell r="K38" t="str">
            <v>FDC</v>
          </cell>
          <cell r="L38" t="str">
            <v>RON</v>
          </cell>
          <cell r="M38">
            <v>0</v>
          </cell>
          <cell r="N38">
            <v>0</v>
          </cell>
          <cell r="O38">
            <v>95.86</v>
          </cell>
          <cell r="P38">
            <v>102.01</v>
          </cell>
        </row>
        <row r="39">
          <cell r="D39" t="str">
            <v>V0051</v>
          </cell>
          <cell r="E39" t="str">
            <v>R.FLOR DE CAÑA 4AÑ EX.SECO 750ML X12</v>
          </cell>
          <cell r="F39">
            <v>32.619999999999997</v>
          </cell>
          <cell r="G39">
            <v>32.619999999999997</v>
          </cell>
          <cell r="H39">
            <v>33.270000000000003</v>
          </cell>
          <cell r="I39">
            <v>33.270000000000003</v>
          </cell>
          <cell r="J39" t="str">
            <v>PFA</v>
          </cell>
          <cell r="K39" t="str">
            <v>FDC</v>
          </cell>
          <cell r="L39" t="str">
            <v>RON</v>
          </cell>
          <cell r="M39">
            <v>0</v>
          </cell>
          <cell r="N39">
            <v>0</v>
          </cell>
          <cell r="O39">
            <v>29.4</v>
          </cell>
          <cell r="P39">
            <v>38.82</v>
          </cell>
        </row>
        <row r="40">
          <cell r="D40" t="str">
            <v>V0057</v>
          </cell>
          <cell r="E40" t="str">
            <v>R.FLOR DE CAÑA 7AÑ G.RES.750ML X12</v>
          </cell>
          <cell r="F40">
            <v>65.430000000000007</v>
          </cell>
          <cell r="G40">
            <v>65.430000000000007</v>
          </cell>
          <cell r="H40">
            <v>66.98</v>
          </cell>
          <cell r="I40">
            <v>66.98</v>
          </cell>
          <cell r="J40" t="str">
            <v>PFA</v>
          </cell>
          <cell r="K40" t="str">
            <v>FDC</v>
          </cell>
          <cell r="L40" t="str">
            <v>RON</v>
          </cell>
          <cell r="M40">
            <v>0</v>
          </cell>
          <cell r="N40">
            <v>0</v>
          </cell>
          <cell r="O40">
            <v>63.44</v>
          </cell>
          <cell r="P40">
            <v>70.33</v>
          </cell>
        </row>
        <row r="41">
          <cell r="D41" t="str">
            <v>V0249</v>
          </cell>
          <cell r="E41" t="str">
            <v>R.FLOR DE CAÑA 12AÑ 375ML X24</v>
          </cell>
          <cell r="F41">
            <v>53.86</v>
          </cell>
          <cell r="G41">
            <v>53.86</v>
          </cell>
          <cell r="H41">
            <v>54.94</v>
          </cell>
          <cell r="I41">
            <v>54.94</v>
          </cell>
          <cell r="J41" t="str">
            <v>PFA</v>
          </cell>
          <cell r="K41" t="str">
            <v>FDC</v>
          </cell>
          <cell r="L41" t="str">
            <v>RON</v>
          </cell>
          <cell r="M41">
            <v>0</v>
          </cell>
          <cell r="N41">
            <v>0</v>
          </cell>
          <cell r="O41">
            <v>45.55</v>
          </cell>
          <cell r="P41">
            <v>57.68</v>
          </cell>
        </row>
        <row r="42">
          <cell r="D42" t="str">
            <v>V0060</v>
          </cell>
          <cell r="E42" t="str">
            <v>R.FLOR DE CAÑA 7AÑ G.RES.1LT X12</v>
          </cell>
          <cell r="F42">
            <v>71.540000000000006</v>
          </cell>
          <cell r="G42">
            <v>71.540000000000006</v>
          </cell>
          <cell r="H42">
            <v>72.97</v>
          </cell>
          <cell r="I42">
            <v>72.97</v>
          </cell>
          <cell r="J42" t="str">
            <v>PFA</v>
          </cell>
          <cell r="K42" t="str">
            <v>FDC</v>
          </cell>
          <cell r="L42" t="str">
            <v>RON</v>
          </cell>
          <cell r="M42">
            <v>0</v>
          </cell>
          <cell r="N42">
            <v>0</v>
          </cell>
          <cell r="O42">
            <v>68.88</v>
          </cell>
          <cell r="P42">
            <v>86.09</v>
          </cell>
        </row>
        <row r="43">
          <cell r="D43" t="str">
            <v>V0037</v>
          </cell>
          <cell r="E43" t="str">
            <v>R.FLOR DE CAÑA 5AÑ CLAS 750ML X12</v>
          </cell>
          <cell r="F43">
            <v>44.87</v>
          </cell>
          <cell r="G43">
            <v>44.87</v>
          </cell>
          <cell r="H43">
            <v>47.12</v>
          </cell>
          <cell r="I43">
            <v>47.12</v>
          </cell>
          <cell r="J43" t="str">
            <v>PFA</v>
          </cell>
          <cell r="K43" t="str">
            <v>FDC</v>
          </cell>
          <cell r="L43" t="str">
            <v>RON</v>
          </cell>
          <cell r="M43">
            <v>0</v>
          </cell>
          <cell r="N43">
            <v>0</v>
          </cell>
          <cell r="O43">
            <v>42.83</v>
          </cell>
          <cell r="P43">
            <v>48.13</v>
          </cell>
        </row>
        <row r="44">
          <cell r="D44" t="str">
            <v>MC000273</v>
          </cell>
          <cell r="E44" t="str">
            <v>R.FLOR DE CAÑA LICOR DE CAFE 750ML X12</v>
          </cell>
          <cell r="F44">
            <v>49.92</v>
          </cell>
          <cell r="G44">
            <v>49.92</v>
          </cell>
          <cell r="H44">
            <v>50.92</v>
          </cell>
          <cell r="I44">
            <v>50.92</v>
          </cell>
          <cell r="J44" t="str">
            <v>PFA</v>
          </cell>
          <cell r="K44" t="str">
            <v>FDC</v>
          </cell>
          <cell r="L44" t="str">
            <v>RON</v>
          </cell>
          <cell r="M44">
            <v>0</v>
          </cell>
          <cell r="N44">
            <v>0</v>
          </cell>
          <cell r="O44">
            <v>34.03</v>
          </cell>
          <cell r="P44">
            <v>60.34</v>
          </cell>
        </row>
        <row r="45">
          <cell r="D45" t="str">
            <v>V0039</v>
          </cell>
          <cell r="E45" t="str">
            <v>R.FLOR DE CAÑA 4AÑ 1LT X12</v>
          </cell>
          <cell r="F45">
            <v>46.85</v>
          </cell>
          <cell r="G45">
            <v>46.85</v>
          </cell>
          <cell r="H45">
            <v>47.79</v>
          </cell>
          <cell r="I45">
            <v>47.79</v>
          </cell>
          <cell r="J45" t="str">
            <v>PFA</v>
          </cell>
          <cell r="K45" t="str">
            <v>FDC</v>
          </cell>
          <cell r="L45" t="str">
            <v>RON</v>
          </cell>
          <cell r="M45">
            <v>0</v>
          </cell>
          <cell r="N45">
            <v>0</v>
          </cell>
          <cell r="O45">
            <v>47.5</v>
          </cell>
          <cell r="P45">
            <v>52.65</v>
          </cell>
        </row>
        <row r="46">
          <cell r="D46" t="str">
            <v>V0038</v>
          </cell>
          <cell r="E46" t="str">
            <v>R.FLOR DE CAÑA 4AÑ 750ML X12</v>
          </cell>
          <cell r="F46">
            <v>36.11</v>
          </cell>
          <cell r="G46">
            <v>36.11</v>
          </cell>
          <cell r="H46">
            <v>36.97</v>
          </cell>
          <cell r="I46">
            <v>36.97</v>
          </cell>
          <cell r="J46" t="str">
            <v>PFA</v>
          </cell>
          <cell r="K46" t="str">
            <v>FDC</v>
          </cell>
          <cell r="L46" t="str">
            <v>RON</v>
          </cell>
          <cell r="M46">
            <v>0</v>
          </cell>
          <cell r="N46">
            <v>0</v>
          </cell>
          <cell r="O46">
            <v>32.64</v>
          </cell>
          <cell r="P46">
            <v>38.82</v>
          </cell>
        </row>
        <row r="47">
          <cell r="D47" t="str">
            <v>V0042</v>
          </cell>
          <cell r="E47" t="str">
            <v>R.FLOR DE CAÑA 5AÑ 375ML X24</v>
          </cell>
          <cell r="F47">
            <v>20.37</v>
          </cell>
          <cell r="G47">
            <v>20.37</v>
          </cell>
          <cell r="H47">
            <v>20.77</v>
          </cell>
          <cell r="I47">
            <v>20.77</v>
          </cell>
          <cell r="J47" t="str">
            <v>PFA</v>
          </cell>
          <cell r="K47" t="str">
            <v>FDC</v>
          </cell>
          <cell r="L47" t="str">
            <v>RON</v>
          </cell>
          <cell r="M47">
            <v>0</v>
          </cell>
          <cell r="N47">
            <v>0</v>
          </cell>
          <cell r="O47">
            <v>0</v>
          </cell>
          <cell r="P47">
            <v>26.74</v>
          </cell>
        </row>
        <row r="48">
          <cell r="D48" t="str">
            <v>V0058C</v>
          </cell>
          <cell r="E48" t="str">
            <v>R.FLOR DE CAÑA 18AÑ 750ML X6 C/CAJA</v>
          </cell>
          <cell r="F48">
            <v>190.77</v>
          </cell>
          <cell r="G48">
            <v>190.77</v>
          </cell>
          <cell r="H48">
            <v>190.77</v>
          </cell>
          <cell r="I48">
            <v>190.77</v>
          </cell>
          <cell r="J48" t="str">
            <v>PFA</v>
          </cell>
          <cell r="K48" t="str">
            <v>FDC</v>
          </cell>
          <cell r="L48" t="str">
            <v>RON</v>
          </cell>
          <cell r="M48">
            <v>0</v>
          </cell>
          <cell r="N48">
            <v>0</v>
          </cell>
          <cell r="O48">
            <v>167.89</v>
          </cell>
          <cell r="P48">
            <v>200.31</v>
          </cell>
        </row>
        <row r="49">
          <cell r="D49" t="str">
            <v>V0052</v>
          </cell>
          <cell r="E49" t="str">
            <v>R.FLOR DE CAÑA 4AÑ 1.750 LT X6</v>
          </cell>
          <cell r="F49">
            <v>65.069999999999993</v>
          </cell>
          <cell r="G49">
            <v>65.069999999999993</v>
          </cell>
          <cell r="H49">
            <v>66.37</v>
          </cell>
          <cell r="I49">
            <v>66.37</v>
          </cell>
          <cell r="J49" t="str">
            <v>PFA</v>
          </cell>
          <cell r="K49" t="str">
            <v>FDC</v>
          </cell>
          <cell r="L49" t="str">
            <v>RON</v>
          </cell>
          <cell r="M49">
            <v>0</v>
          </cell>
          <cell r="N49">
            <v>0</v>
          </cell>
          <cell r="O49">
            <v>58.74</v>
          </cell>
          <cell r="P49">
            <v>76.69</v>
          </cell>
        </row>
        <row r="50">
          <cell r="D50" t="str">
            <v>V0041</v>
          </cell>
          <cell r="E50" t="str">
            <v>R.FLOR DE CAÑA 5AÑ CLAS 1LT X12</v>
          </cell>
          <cell r="F50">
            <v>54.74</v>
          </cell>
          <cell r="G50">
            <v>54.74</v>
          </cell>
          <cell r="H50">
            <v>55.84</v>
          </cell>
          <cell r="I50">
            <v>55.84</v>
          </cell>
          <cell r="J50" t="str">
            <v>PFA</v>
          </cell>
          <cell r="K50" t="str">
            <v>FDC</v>
          </cell>
          <cell r="L50" t="str">
            <v>RON</v>
          </cell>
          <cell r="M50">
            <v>0</v>
          </cell>
          <cell r="N50">
            <v>0</v>
          </cell>
          <cell r="O50">
            <v>54.24</v>
          </cell>
          <cell r="P50">
            <v>60.14</v>
          </cell>
        </row>
        <row r="51">
          <cell r="D51" t="str">
            <v>707633</v>
          </cell>
          <cell r="E51" t="str">
            <v>PACK VINO VIÑA VIEJA OPORTO 750ML+COPA</v>
          </cell>
          <cell r="F51">
            <v>13.99</v>
          </cell>
          <cell r="G51">
            <v>13.99</v>
          </cell>
          <cell r="H51">
            <v>14.27</v>
          </cell>
          <cell r="I51">
            <v>14.27</v>
          </cell>
          <cell r="J51" t="str">
            <v>AVV</v>
          </cell>
          <cell r="K51" t="str">
            <v>VIN</v>
          </cell>
          <cell r="L51" t="str">
            <v>OPT</v>
          </cell>
          <cell r="M51">
            <v>0</v>
          </cell>
          <cell r="N51">
            <v>0</v>
          </cell>
          <cell r="O51">
            <v>0</v>
          </cell>
          <cell r="P51">
            <v>14.98</v>
          </cell>
        </row>
        <row r="52">
          <cell r="D52" t="str">
            <v>MC000165</v>
          </cell>
          <cell r="E52" t="str">
            <v>WHIS.GLENFIDDICH 18AÑ 750ML X3</v>
          </cell>
          <cell r="F52">
            <v>310.68</v>
          </cell>
          <cell r="G52">
            <v>310.68</v>
          </cell>
          <cell r="H52">
            <v>316.89</v>
          </cell>
          <cell r="I52">
            <v>316.89</v>
          </cell>
          <cell r="J52" t="str">
            <v>PRE</v>
          </cell>
          <cell r="K52" t="str">
            <v>WHI</v>
          </cell>
          <cell r="L52" t="str">
            <v>GLE</v>
          </cell>
          <cell r="M52">
            <v>0</v>
          </cell>
          <cell r="N52">
            <v>0</v>
          </cell>
          <cell r="O52">
            <v>488.24</v>
          </cell>
          <cell r="P52">
            <v>574.16</v>
          </cell>
        </row>
        <row r="53">
          <cell r="D53" t="str">
            <v>MC000164</v>
          </cell>
          <cell r="E53" t="str">
            <v>WHIS.GLENFIDDICH 15AÑOS 750ML</v>
          </cell>
          <cell r="F53">
            <v>247.61</v>
          </cell>
          <cell r="G53">
            <v>247.61</v>
          </cell>
          <cell r="H53">
            <v>252.57</v>
          </cell>
          <cell r="I53">
            <v>252.57</v>
          </cell>
          <cell r="J53" t="str">
            <v>PRE</v>
          </cell>
          <cell r="K53" t="str">
            <v>WHI</v>
          </cell>
          <cell r="L53" t="str">
            <v>GLE</v>
          </cell>
          <cell r="M53">
            <v>0</v>
          </cell>
          <cell r="N53">
            <v>0</v>
          </cell>
          <cell r="O53">
            <v>215.1</v>
          </cell>
          <cell r="P53">
            <v>277.82</v>
          </cell>
        </row>
        <row r="54">
          <cell r="D54" t="str">
            <v>MC000182</v>
          </cell>
          <cell r="E54" t="str">
            <v>WHIS.GLENFIDDICH 21AÑ 750ML</v>
          </cell>
          <cell r="F54">
            <v>806.61</v>
          </cell>
          <cell r="G54">
            <v>806.61</v>
          </cell>
          <cell r="H54">
            <v>822.74</v>
          </cell>
          <cell r="I54">
            <v>822.74</v>
          </cell>
          <cell r="J54" t="str">
            <v>PRE</v>
          </cell>
          <cell r="K54" t="str">
            <v>WHI</v>
          </cell>
          <cell r="L54" t="str">
            <v>GLE</v>
          </cell>
          <cell r="M54">
            <v>0</v>
          </cell>
          <cell r="N54">
            <v>0</v>
          </cell>
          <cell r="O54">
            <v>701.18</v>
          </cell>
          <cell r="P54">
            <v>905.01</v>
          </cell>
        </row>
        <row r="55">
          <cell r="D55" t="str">
            <v>MC000163</v>
          </cell>
          <cell r="E55" t="str">
            <v>WHIS.GLENFIDDICH 12AÑ 750ML X12</v>
          </cell>
          <cell r="F55">
            <v>140.91</v>
          </cell>
          <cell r="G55">
            <v>140.91</v>
          </cell>
          <cell r="H55">
            <v>143.72999999999999</v>
          </cell>
          <cell r="I55">
            <v>143.72999999999999</v>
          </cell>
          <cell r="J55" t="str">
            <v>PRE</v>
          </cell>
          <cell r="K55" t="str">
            <v>WHI</v>
          </cell>
          <cell r="L55" t="str">
            <v>GLE</v>
          </cell>
          <cell r="M55">
            <v>0</v>
          </cell>
          <cell r="N55">
            <v>0</v>
          </cell>
          <cell r="O55">
            <v>117.43</v>
          </cell>
          <cell r="P55">
            <v>147.83000000000001</v>
          </cell>
        </row>
        <row r="56">
          <cell r="D56" t="str">
            <v>80010001</v>
          </cell>
          <cell r="E56" t="str">
            <v>RON MANDATARIO XO 700ML X6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COP</v>
          </cell>
          <cell r="K56" t="str">
            <v>COP</v>
          </cell>
          <cell r="L56" t="str">
            <v>COP</v>
          </cell>
          <cell r="M56">
            <v>0</v>
          </cell>
          <cell r="N56">
            <v>0</v>
          </cell>
          <cell r="O56">
            <v>115.63</v>
          </cell>
          <cell r="P56">
            <v>145.77000000000001</v>
          </cell>
        </row>
        <row r="57">
          <cell r="D57" t="str">
            <v>VO021</v>
          </cell>
          <cell r="E57" t="str">
            <v>O. PIS.G.ACHOLADO X700ML X12</v>
          </cell>
          <cell r="F57">
            <v>21.59</v>
          </cell>
          <cell r="G57">
            <v>21.59</v>
          </cell>
          <cell r="H57">
            <v>22.02</v>
          </cell>
          <cell r="I57">
            <v>22.02</v>
          </cell>
          <cell r="J57" t="str">
            <v>OCU</v>
          </cell>
          <cell r="K57" t="str">
            <v>PIS</v>
          </cell>
          <cell r="L57" t="str">
            <v>ACH</v>
          </cell>
          <cell r="M57">
            <v>0</v>
          </cell>
          <cell r="N57">
            <v>0</v>
          </cell>
          <cell r="O57">
            <v>0</v>
          </cell>
          <cell r="P57">
            <v>34.5</v>
          </cell>
        </row>
        <row r="58">
          <cell r="D58" t="str">
            <v>514776</v>
          </cell>
          <cell r="E58" t="str">
            <v>TAKIS XPLOSION 28G FLOW BAR EXP X46</v>
          </cell>
          <cell r="F58">
            <v>1.49</v>
          </cell>
          <cell r="G58">
            <v>1.49</v>
          </cell>
          <cell r="H58">
            <v>1.66</v>
          </cell>
          <cell r="I58">
            <v>1.66</v>
          </cell>
          <cell r="J58" t="str">
            <v>BIM</v>
          </cell>
          <cell r="K58" t="str">
            <v>SNC</v>
          </cell>
          <cell r="L58" t="str">
            <v>TAK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D59" t="str">
            <v>515023</v>
          </cell>
          <cell r="E59" t="str">
            <v>TAKIS BLUE HEAT 56GR X42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BIM</v>
          </cell>
          <cell r="K59" t="str">
            <v>SNC</v>
          </cell>
          <cell r="L59" t="str">
            <v>TAK</v>
          </cell>
          <cell r="M59">
            <v>0</v>
          </cell>
          <cell r="N59">
            <v>0</v>
          </cell>
          <cell r="O59">
            <v>0</v>
          </cell>
          <cell r="P59">
            <v>2.5</v>
          </cell>
        </row>
        <row r="60">
          <cell r="D60" t="str">
            <v>128939</v>
          </cell>
          <cell r="E60" t="str">
            <v>TAKIS FUEGO 28G FLOW BAR EXP X46</v>
          </cell>
          <cell r="F60">
            <v>1.4279999999999999</v>
          </cell>
          <cell r="G60">
            <v>1.4279999999999999</v>
          </cell>
          <cell r="H60">
            <v>1.4279999999999999</v>
          </cell>
          <cell r="I60">
            <v>1.4279999999999999</v>
          </cell>
          <cell r="J60" t="str">
            <v>BIM</v>
          </cell>
          <cell r="K60" t="str">
            <v>SNC</v>
          </cell>
          <cell r="L60" t="str">
            <v>TAK</v>
          </cell>
          <cell r="M60">
            <v>0</v>
          </cell>
          <cell r="N60">
            <v>0</v>
          </cell>
          <cell r="O60">
            <v>1.36</v>
          </cell>
          <cell r="P60">
            <v>2</v>
          </cell>
        </row>
        <row r="61">
          <cell r="D61" t="str">
            <v>128971</v>
          </cell>
          <cell r="E61" t="str">
            <v>TAKIS ORIGINAL 200G FLOW BAR EXP X20</v>
          </cell>
          <cell r="F61">
            <v>5.702</v>
          </cell>
          <cell r="G61">
            <v>5.702</v>
          </cell>
          <cell r="H61">
            <v>5.702</v>
          </cell>
          <cell r="I61">
            <v>5.702</v>
          </cell>
          <cell r="J61" t="str">
            <v>BIM</v>
          </cell>
          <cell r="K61" t="str">
            <v>SNC</v>
          </cell>
          <cell r="L61" t="str">
            <v>TAK</v>
          </cell>
          <cell r="M61">
            <v>0</v>
          </cell>
          <cell r="N61">
            <v>0</v>
          </cell>
          <cell r="O61">
            <v>0</v>
          </cell>
          <cell r="P61">
            <v>8</v>
          </cell>
        </row>
        <row r="62">
          <cell r="D62" t="str">
            <v>515041</v>
          </cell>
          <cell r="E62" t="str">
            <v>TAKIS BLUE HEAT 28GR X46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BIM</v>
          </cell>
          <cell r="K62" t="str">
            <v>SNC</v>
          </cell>
          <cell r="L62" t="str">
            <v>TAK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D63" t="str">
            <v>128969</v>
          </cell>
          <cell r="E63" t="str">
            <v>TAKIS FUEGO 200G FLOW BAR EXP X20</v>
          </cell>
          <cell r="F63">
            <v>5.702</v>
          </cell>
          <cell r="G63">
            <v>5.702</v>
          </cell>
          <cell r="H63">
            <v>5.702</v>
          </cell>
          <cell r="I63">
            <v>5.702</v>
          </cell>
          <cell r="J63" t="str">
            <v>BIM</v>
          </cell>
          <cell r="K63" t="str">
            <v>SNC</v>
          </cell>
          <cell r="L63" t="str">
            <v>TAK</v>
          </cell>
          <cell r="M63">
            <v>0</v>
          </cell>
          <cell r="N63">
            <v>0</v>
          </cell>
          <cell r="O63">
            <v>0</v>
          </cell>
          <cell r="P63">
            <v>8</v>
          </cell>
        </row>
        <row r="64">
          <cell r="D64" t="str">
            <v>128974</v>
          </cell>
          <cell r="E64" t="str">
            <v>TAKIS XPLOSION 90G FLOW BAR EXP X35</v>
          </cell>
          <cell r="F64">
            <v>2.8450000000000002</v>
          </cell>
          <cell r="G64">
            <v>2.8450000000000002</v>
          </cell>
          <cell r="H64">
            <v>2.8450000000000002</v>
          </cell>
          <cell r="I64">
            <v>2.8450000000000002</v>
          </cell>
          <cell r="J64" t="str">
            <v>BIM</v>
          </cell>
          <cell r="K64" t="str">
            <v>SNC</v>
          </cell>
          <cell r="L64" t="str">
            <v>TAK</v>
          </cell>
          <cell r="M64">
            <v>0</v>
          </cell>
          <cell r="N64">
            <v>0</v>
          </cell>
          <cell r="O64">
            <v>0</v>
          </cell>
          <cell r="P64">
            <v>4</v>
          </cell>
        </row>
        <row r="65">
          <cell r="D65" t="str">
            <v>514777</v>
          </cell>
          <cell r="E65" t="str">
            <v>TAKIS ORIGINAL 28G FLOW BAR EXP X46</v>
          </cell>
          <cell r="F65">
            <v>1.49</v>
          </cell>
          <cell r="G65">
            <v>1.49</v>
          </cell>
          <cell r="H65">
            <v>1.66</v>
          </cell>
          <cell r="I65">
            <v>1.66</v>
          </cell>
          <cell r="J65" t="str">
            <v>BIM</v>
          </cell>
          <cell r="K65" t="str">
            <v>SNC</v>
          </cell>
          <cell r="L65" t="str">
            <v>TAK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D66" t="str">
            <v>128972</v>
          </cell>
          <cell r="E66" t="str">
            <v>TAKIS ORIGINAL 90G FLOW BAR EXP X35</v>
          </cell>
          <cell r="F66">
            <v>2.3620000000000001</v>
          </cell>
          <cell r="G66">
            <v>2.3620000000000001</v>
          </cell>
          <cell r="H66">
            <v>2.3620000000000001</v>
          </cell>
          <cell r="I66">
            <v>2.3620000000000001</v>
          </cell>
          <cell r="J66" t="str">
            <v>BIM</v>
          </cell>
          <cell r="K66" t="str">
            <v>SNC</v>
          </cell>
          <cell r="L66" t="str">
            <v>TAK</v>
          </cell>
          <cell r="M66">
            <v>0</v>
          </cell>
          <cell r="N66">
            <v>0</v>
          </cell>
          <cell r="O66">
            <v>0</v>
          </cell>
          <cell r="P66">
            <v>4</v>
          </cell>
        </row>
        <row r="67">
          <cell r="D67" t="str">
            <v>128938</v>
          </cell>
          <cell r="E67" t="str">
            <v>TAKIS FUEGO 90G FLOW BAR EXP X35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 t="str">
            <v>BIM</v>
          </cell>
          <cell r="K67" t="str">
            <v>SNC</v>
          </cell>
          <cell r="L67" t="str">
            <v>TAK</v>
          </cell>
          <cell r="M67">
            <v>0</v>
          </cell>
          <cell r="N67">
            <v>0</v>
          </cell>
          <cell r="O67">
            <v>0</v>
          </cell>
          <cell r="P67">
            <v>4</v>
          </cell>
        </row>
        <row r="68">
          <cell r="D68" t="str">
            <v>128970</v>
          </cell>
          <cell r="E68" t="str">
            <v>TAKIS XPLOSION 200G FLOW BAR EXP X20</v>
          </cell>
          <cell r="F68">
            <v>5.702</v>
          </cell>
          <cell r="G68">
            <v>5.702</v>
          </cell>
          <cell r="H68">
            <v>5.702</v>
          </cell>
          <cell r="I68">
            <v>5.702</v>
          </cell>
          <cell r="J68" t="str">
            <v>BIM</v>
          </cell>
          <cell r="K68" t="str">
            <v>SNC</v>
          </cell>
          <cell r="L68" t="str">
            <v>TAK</v>
          </cell>
          <cell r="M68">
            <v>0</v>
          </cell>
          <cell r="N68">
            <v>0</v>
          </cell>
          <cell r="O68">
            <v>0</v>
          </cell>
          <cell r="P68">
            <v>8</v>
          </cell>
        </row>
        <row r="69">
          <cell r="D69" t="str">
            <v>128975</v>
          </cell>
          <cell r="E69" t="str">
            <v>TAKIS XPLOSION 56G FLOW BAR EXP X42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 t="str">
            <v>BIM</v>
          </cell>
          <cell r="K69" t="str">
            <v>SNC</v>
          </cell>
          <cell r="L69" t="str">
            <v>TAK</v>
          </cell>
          <cell r="M69">
            <v>0</v>
          </cell>
          <cell r="N69">
            <v>0</v>
          </cell>
          <cell r="O69">
            <v>1.7</v>
          </cell>
          <cell r="P69">
            <v>2.5</v>
          </cell>
        </row>
        <row r="70">
          <cell r="D70" t="str">
            <v>515022</v>
          </cell>
          <cell r="E70" t="str">
            <v>TAKIS BLUE HEAT 200G FLOW BAR EXP X20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 t="str">
            <v>BIM</v>
          </cell>
          <cell r="K70" t="str">
            <v>SNC</v>
          </cell>
          <cell r="L70" t="str">
            <v>TAK</v>
          </cell>
          <cell r="M70">
            <v>0</v>
          </cell>
          <cell r="N70">
            <v>0</v>
          </cell>
          <cell r="O70">
            <v>0</v>
          </cell>
          <cell r="P70">
            <v>8</v>
          </cell>
        </row>
        <row r="71">
          <cell r="D71" t="str">
            <v>515025</v>
          </cell>
          <cell r="E71" t="str">
            <v>TAKIS BLUE HEAT 90GR X35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 t="str">
            <v>BIM</v>
          </cell>
          <cell r="K71" t="str">
            <v>SNC</v>
          </cell>
          <cell r="L71" t="str">
            <v>TAK</v>
          </cell>
          <cell r="M71">
            <v>0</v>
          </cell>
          <cell r="N71">
            <v>0</v>
          </cell>
          <cell r="O71">
            <v>0</v>
          </cell>
          <cell r="P71">
            <v>4</v>
          </cell>
        </row>
        <row r="72">
          <cell r="D72" t="str">
            <v>128973</v>
          </cell>
          <cell r="E72" t="str">
            <v>TAKIS ORIGINAL 56G FLOW BAR EXP X42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 t="str">
            <v>BIM</v>
          </cell>
          <cell r="K72" t="str">
            <v>SNC</v>
          </cell>
          <cell r="L72" t="str">
            <v>TAK</v>
          </cell>
          <cell r="M72">
            <v>0</v>
          </cell>
          <cell r="N72">
            <v>0</v>
          </cell>
          <cell r="O72">
            <v>1.7</v>
          </cell>
          <cell r="P72">
            <v>2.5</v>
          </cell>
        </row>
        <row r="73">
          <cell r="D73" t="str">
            <v>128976</v>
          </cell>
          <cell r="E73" t="str">
            <v>TAKIS FUEGO 56G FLOW BAR EXP X42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 t="str">
            <v>BIM</v>
          </cell>
          <cell r="K73" t="str">
            <v>SNC</v>
          </cell>
          <cell r="L73" t="str">
            <v>TAK</v>
          </cell>
          <cell r="M73">
            <v>0</v>
          </cell>
          <cell r="N73">
            <v>0</v>
          </cell>
          <cell r="O73">
            <v>1.7</v>
          </cell>
          <cell r="P73">
            <v>2.5</v>
          </cell>
        </row>
        <row r="74">
          <cell r="D74" t="str">
            <v>199275</v>
          </cell>
          <cell r="E74" t="str">
            <v>SPIRIT GIN LEMON 275ML X 24</v>
          </cell>
          <cell r="F74">
            <v>6.02</v>
          </cell>
          <cell r="G74">
            <v>6.02</v>
          </cell>
          <cell r="H74">
            <v>6.12</v>
          </cell>
          <cell r="I74">
            <v>6.12</v>
          </cell>
          <cell r="J74" t="str">
            <v>PFA</v>
          </cell>
          <cell r="K74" t="str">
            <v>LIC</v>
          </cell>
          <cell r="L74" t="str">
            <v>GIN</v>
          </cell>
          <cell r="M74">
            <v>0</v>
          </cell>
          <cell r="N74">
            <v>0</v>
          </cell>
          <cell r="O74">
            <v>5.47</v>
          </cell>
          <cell r="P74">
            <v>6.73</v>
          </cell>
        </row>
        <row r="75">
          <cell r="D75" t="str">
            <v>199274</v>
          </cell>
          <cell r="E75" t="str">
            <v>SPIRIT GIN TONIC 275ML X 24</v>
          </cell>
          <cell r="F75">
            <v>6.02</v>
          </cell>
          <cell r="G75">
            <v>6.02</v>
          </cell>
          <cell r="H75">
            <v>6.12</v>
          </cell>
          <cell r="I75">
            <v>6.12</v>
          </cell>
          <cell r="J75" t="str">
            <v>PFA</v>
          </cell>
          <cell r="K75" t="str">
            <v>LIC</v>
          </cell>
          <cell r="L75" t="str">
            <v>GIN</v>
          </cell>
          <cell r="M75">
            <v>0</v>
          </cell>
          <cell r="N75">
            <v>0</v>
          </cell>
          <cell r="O75">
            <v>5.47</v>
          </cell>
          <cell r="P75">
            <v>6.73</v>
          </cell>
        </row>
        <row r="76">
          <cell r="D76" t="str">
            <v>40000898</v>
          </cell>
          <cell r="E76" t="str">
            <v>RON CARTAVIO BLACK BARREL 1L</v>
          </cell>
          <cell r="F76">
            <v>25.65</v>
          </cell>
          <cell r="G76">
            <v>25.65</v>
          </cell>
          <cell r="H76">
            <v>26.1</v>
          </cell>
          <cell r="I76">
            <v>26.1</v>
          </cell>
          <cell r="J76" t="str">
            <v>CAR</v>
          </cell>
          <cell r="K76" t="str">
            <v>LIC</v>
          </cell>
          <cell r="L76" t="str">
            <v>TEQ</v>
          </cell>
          <cell r="M76">
            <v>0</v>
          </cell>
          <cell r="N76">
            <v>0</v>
          </cell>
          <cell r="O76">
            <v>0</v>
          </cell>
          <cell r="P76">
            <v>27.08</v>
          </cell>
        </row>
        <row r="77">
          <cell r="D77" t="str">
            <v xml:space="preserve">40001063  </v>
          </cell>
          <cell r="E77" t="str">
            <v>RON CABO BLANCO SILVER 1L</v>
          </cell>
          <cell r="F77">
            <v>16.73</v>
          </cell>
          <cell r="G77">
            <v>16.73</v>
          </cell>
          <cell r="H77">
            <v>16.73</v>
          </cell>
          <cell r="I77">
            <v>16.73</v>
          </cell>
          <cell r="J77" t="str">
            <v>CAR</v>
          </cell>
          <cell r="K77" t="str">
            <v>LIC</v>
          </cell>
          <cell r="L77" t="str">
            <v>TEQ</v>
          </cell>
          <cell r="M77">
            <v>0</v>
          </cell>
          <cell r="N77">
            <v>0</v>
          </cell>
          <cell r="O77">
            <v>0</v>
          </cell>
          <cell r="P77">
            <v>18.399999999999999</v>
          </cell>
        </row>
        <row r="78">
          <cell r="D78" t="str">
            <v>5000203</v>
          </cell>
          <cell r="E78" t="str">
            <v>TEQUILA JC SILVER 750 ML X12</v>
          </cell>
          <cell r="F78">
            <v>59.34</v>
          </cell>
          <cell r="G78">
            <v>59.34</v>
          </cell>
          <cell r="H78">
            <v>60.33</v>
          </cell>
          <cell r="I78">
            <v>60.33</v>
          </cell>
          <cell r="J78" t="str">
            <v>CAR</v>
          </cell>
          <cell r="K78" t="str">
            <v>LIC</v>
          </cell>
          <cell r="L78" t="str">
            <v>TEQ</v>
          </cell>
          <cell r="M78">
            <v>0</v>
          </cell>
          <cell r="N78">
            <v>0</v>
          </cell>
          <cell r="O78">
            <v>0</v>
          </cell>
          <cell r="P78">
            <v>65.09</v>
          </cell>
        </row>
        <row r="79">
          <cell r="D79" t="str">
            <v>5000205</v>
          </cell>
          <cell r="E79" t="str">
            <v>TEQUILA 1800 REPOSADO 750 ML X12</v>
          </cell>
          <cell r="F79">
            <v>114.36</v>
          </cell>
          <cell r="G79">
            <v>114.36</v>
          </cell>
          <cell r="H79">
            <v>114.36</v>
          </cell>
          <cell r="I79">
            <v>114.36</v>
          </cell>
          <cell r="J79" t="str">
            <v>CAR</v>
          </cell>
          <cell r="K79" t="str">
            <v>LIC</v>
          </cell>
          <cell r="L79" t="str">
            <v>TEQ</v>
          </cell>
          <cell r="M79">
            <v>0</v>
          </cell>
          <cell r="N79">
            <v>0</v>
          </cell>
          <cell r="O79">
            <v>90.81</v>
          </cell>
          <cell r="P79">
            <v>125.79</v>
          </cell>
        </row>
        <row r="80">
          <cell r="D80" t="str">
            <v xml:space="preserve">5000519  </v>
          </cell>
          <cell r="E80" t="str">
            <v>TEQ. JC ESP SILVER CALAVERA X 750 ML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 t="str">
            <v>CAR</v>
          </cell>
          <cell r="K80" t="str">
            <v>LIC</v>
          </cell>
          <cell r="L80" t="str">
            <v>TEQ</v>
          </cell>
          <cell r="M80">
            <v>0</v>
          </cell>
          <cell r="N80">
            <v>0</v>
          </cell>
          <cell r="O80">
            <v>0</v>
          </cell>
          <cell r="P80">
            <v>62.9</v>
          </cell>
        </row>
        <row r="81">
          <cell r="D81" t="str">
            <v>5000434</v>
          </cell>
          <cell r="E81" t="str">
            <v>TEQUILA 1800 CRISTALINO 700 ML X6</v>
          </cell>
          <cell r="F81">
            <v>191.75</v>
          </cell>
          <cell r="G81">
            <v>191.75</v>
          </cell>
          <cell r="H81">
            <v>191.75</v>
          </cell>
          <cell r="I81">
            <v>191.75</v>
          </cell>
          <cell r="J81" t="str">
            <v>CAR</v>
          </cell>
          <cell r="K81" t="str">
            <v>LIC</v>
          </cell>
          <cell r="L81" t="str">
            <v>TEQ</v>
          </cell>
          <cell r="M81">
            <v>0</v>
          </cell>
          <cell r="N81">
            <v>0</v>
          </cell>
          <cell r="O81">
            <v>158</v>
          </cell>
          <cell r="P81">
            <v>210.92</v>
          </cell>
        </row>
        <row r="82">
          <cell r="D82" t="str">
            <v>1003002</v>
          </cell>
          <cell r="E82" t="str">
            <v>TEQUILA JOSE C BLANCO(ESP) 750ML X12</v>
          </cell>
          <cell r="F82">
            <v>54.33</v>
          </cell>
          <cell r="G82">
            <v>54.33</v>
          </cell>
          <cell r="H82">
            <v>54.33</v>
          </cell>
          <cell r="I82">
            <v>54.33</v>
          </cell>
          <cell r="J82" t="str">
            <v>CAR</v>
          </cell>
          <cell r="K82" t="str">
            <v>LIC</v>
          </cell>
          <cell r="L82" t="str">
            <v>TEQ</v>
          </cell>
          <cell r="M82">
            <v>0</v>
          </cell>
          <cell r="N82">
            <v>0</v>
          </cell>
          <cell r="O82">
            <v>52</v>
          </cell>
          <cell r="P82">
            <v>59.76</v>
          </cell>
        </row>
        <row r="83">
          <cell r="D83" t="str">
            <v>5000252</v>
          </cell>
          <cell r="E83" t="str">
            <v>2014 TEQUILA 1800 SILVER 750ML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 t="str">
            <v>CAR</v>
          </cell>
          <cell r="K83" t="str">
            <v>LIC</v>
          </cell>
          <cell r="L83" t="str">
            <v>TEQ</v>
          </cell>
          <cell r="M83">
            <v>0</v>
          </cell>
          <cell r="N83">
            <v>0</v>
          </cell>
          <cell r="O83">
            <v>0</v>
          </cell>
          <cell r="P83">
            <v>105.07</v>
          </cell>
        </row>
        <row r="84">
          <cell r="D84" t="str">
            <v>DUFF01</v>
          </cell>
          <cell r="E84" t="str">
            <v>DUFF LATA 330ML X 4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 t="str">
            <v>IWA</v>
          </cell>
          <cell r="K84" t="str">
            <v>DUF</v>
          </cell>
          <cell r="L84" t="str">
            <v>CER</v>
          </cell>
          <cell r="M84">
            <v>0</v>
          </cell>
          <cell r="N84">
            <v>0</v>
          </cell>
          <cell r="O84">
            <v>2.48</v>
          </cell>
          <cell r="P84">
            <v>3.54</v>
          </cell>
        </row>
        <row r="85">
          <cell r="D85" t="str">
            <v>108002</v>
          </cell>
          <cell r="E85" t="str">
            <v>WHIS.PASSPORT SCOTCH 700ML X12</v>
          </cell>
          <cell r="F85">
            <v>23.45</v>
          </cell>
          <cell r="G85">
            <v>23.45</v>
          </cell>
          <cell r="H85">
            <v>23.87</v>
          </cell>
          <cell r="I85">
            <v>23.87</v>
          </cell>
          <cell r="J85" t="str">
            <v>IWA</v>
          </cell>
          <cell r="K85" t="str">
            <v>CHI</v>
          </cell>
          <cell r="L85" t="str">
            <v>WHI</v>
          </cell>
          <cell r="M85">
            <v>0</v>
          </cell>
          <cell r="N85">
            <v>0</v>
          </cell>
          <cell r="O85">
            <v>0</v>
          </cell>
          <cell r="P85">
            <v>26.26</v>
          </cell>
        </row>
        <row r="86">
          <cell r="D86" t="str">
            <v>1040095</v>
          </cell>
          <cell r="E86" t="str">
            <v>WHIS.CHIVAS REGAL 15AÑ 700ML X6</v>
          </cell>
          <cell r="F86">
            <v>144.33000000000001</v>
          </cell>
          <cell r="G86">
            <v>144.33000000000001</v>
          </cell>
          <cell r="H86">
            <v>144.33000000000001</v>
          </cell>
          <cell r="I86">
            <v>144.33000000000001</v>
          </cell>
          <cell r="J86" t="str">
            <v>IWA</v>
          </cell>
          <cell r="K86" t="str">
            <v>CHI</v>
          </cell>
          <cell r="L86" t="str">
            <v>WHI</v>
          </cell>
          <cell r="M86">
            <v>0</v>
          </cell>
          <cell r="N86">
            <v>0</v>
          </cell>
          <cell r="O86">
            <v>129</v>
          </cell>
          <cell r="P86">
            <v>144.33000000000001</v>
          </cell>
        </row>
        <row r="87">
          <cell r="D87" t="str">
            <v>WHI1093</v>
          </cell>
          <cell r="E87" t="str">
            <v>PACK O WHIS CHIVAS REGAL 12AÑ 700ML + 2 VASOS DIAM</v>
          </cell>
          <cell r="F87">
            <v>74.28</v>
          </cell>
          <cell r="G87">
            <v>74.28</v>
          </cell>
          <cell r="H87">
            <v>74.28</v>
          </cell>
          <cell r="I87">
            <v>74.28</v>
          </cell>
          <cell r="J87" t="str">
            <v>IWA</v>
          </cell>
          <cell r="K87" t="str">
            <v>CHI</v>
          </cell>
          <cell r="L87" t="str">
            <v>WHI</v>
          </cell>
          <cell r="M87">
            <v>0</v>
          </cell>
          <cell r="N87">
            <v>0</v>
          </cell>
          <cell r="O87">
            <v>0</v>
          </cell>
          <cell r="P87">
            <v>91.46</v>
          </cell>
        </row>
        <row r="88">
          <cell r="D88" t="str">
            <v>104003</v>
          </cell>
          <cell r="E88" t="str">
            <v>WHIS.CHIVAS REGAL 18AÑ 700ML X6</v>
          </cell>
          <cell r="F88">
            <v>198.55</v>
          </cell>
          <cell r="G88">
            <v>198.55</v>
          </cell>
          <cell r="H88">
            <v>201.53</v>
          </cell>
          <cell r="I88">
            <v>201.53</v>
          </cell>
          <cell r="J88" t="str">
            <v>IWA</v>
          </cell>
          <cell r="K88" t="str">
            <v>CHI</v>
          </cell>
          <cell r="L88" t="str">
            <v>WHI</v>
          </cell>
          <cell r="M88">
            <v>0</v>
          </cell>
          <cell r="N88">
            <v>0</v>
          </cell>
          <cell r="O88">
            <v>169</v>
          </cell>
          <cell r="P88">
            <v>214.01</v>
          </cell>
        </row>
        <row r="89">
          <cell r="D89" t="str">
            <v>WHI0034</v>
          </cell>
          <cell r="E89" t="str">
            <v>CHIVAS.REGAL EX 13AÑ( BOURBON MORAD)700MLX6</v>
          </cell>
          <cell r="F89">
            <v>88.3</v>
          </cell>
          <cell r="G89">
            <v>88.3</v>
          </cell>
          <cell r="H89">
            <v>90.07</v>
          </cell>
          <cell r="I89">
            <v>90.07</v>
          </cell>
          <cell r="J89" t="str">
            <v>IWA</v>
          </cell>
          <cell r="K89" t="str">
            <v>CHI</v>
          </cell>
          <cell r="L89" t="str">
            <v>WHI</v>
          </cell>
          <cell r="M89">
            <v>0</v>
          </cell>
          <cell r="N89">
            <v>0</v>
          </cell>
          <cell r="O89">
            <v>80</v>
          </cell>
          <cell r="P89">
            <v>114.68</v>
          </cell>
        </row>
        <row r="90">
          <cell r="D90" t="str">
            <v>LIC0024</v>
          </cell>
          <cell r="E90" t="str">
            <v>LICOR CAMPARI BITTER 750ML X 12</v>
          </cell>
          <cell r="F90">
            <v>60.82</v>
          </cell>
          <cell r="G90">
            <v>60.82</v>
          </cell>
          <cell r="H90">
            <v>60.82</v>
          </cell>
          <cell r="I90">
            <v>60.82</v>
          </cell>
          <cell r="J90" t="str">
            <v>IWA</v>
          </cell>
          <cell r="K90" t="str">
            <v>CHI</v>
          </cell>
          <cell r="L90" t="str">
            <v>WHI</v>
          </cell>
          <cell r="M90">
            <v>0</v>
          </cell>
          <cell r="N90">
            <v>0</v>
          </cell>
          <cell r="O90">
            <v>50.83</v>
          </cell>
          <cell r="P90">
            <v>76.06</v>
          </cell>
        </row>
        <row r="91">
          <cell r="D91" t="str">
            <v>WHI1071</v>
          </cell>
          <cell r="E91" t="str">
            <v>PK WHI CHI REGAL EX 13AÑ 700ML+GIN BEEF PINK 700ML</v>
          </cell>
          <cell r="F91">
            <v>115.53</v>
          </cell>
          <cell r="G91">
            <v>115.53</v>
          </cell>
          <cell r="H91">
            <v>117.84</v>
          </cell>
          <cell r="I91">
            <v>117.84</v>
          </cell>
          <cell r="J91" t="str">
            <v>IWA</v>
          </cell>
          <cell r="K91" t="str">
            <v>CHI</v>
          </cell>
          <cell r="L91" t="str">
            <v>WHI</v>
          </cell>
          <cell r="M91">
            <v>0</v>
          </cell>
          <cell r="N91">
            <v>0</v>
          </cell>
          <cell r="O91">
            <v>100</v>
          </cell>
          <cell r="P91">
            <v>150.04</v>
          </cell>
        </row>
        <row r="92">
          <cell r="D92" t="str">
            <v>WHI0032</v>
          </cell>
          <cell r="E92" t="str">
            <v xml:space="preserve">WHISKY CHIVAS REGAL 25 AÑOS 700ML </v>
          </cell>
          <cell r="F92">
            <v>2011.39</v>
          </cell>
          <cell r="G92">
            <v>2011.39</v>
          </cell>
          <cell r="H92">
            <v>2011.39</v>
          </cell>
          <cell r="I92">
            <v>2011.39</v>
          </cell>
          <cell r="J92" t="str">
            <v>IWA</v>
          </cell>
          <cell r="K92" t="str">
            <v>CHI</v>
          </cell>
          <cell r="L92" t="str">
            <v>WHI</v>
          </cell>
          <cell r="M92">
            <v>0</v>
          </cell>
          <cell r="N92">
            <v>0</v>
          </cell>
          <cell r="O92">
            <v>1897.26</v>
          </cell>
          <cell r="P92">
            <v>2710.76</v>
          </cell>
        </row>
        <row r="93">
          <cell r="D93" t="str">
            <v>WHI1094</v>
          </cell>
          <cell r="E93" t="str">
            <v>PACK WHIS CHIVAS REGAL 18AÑ 700ML+2 VAS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 t="str">
            <v>IWA</v>
          </cell>
          <cell r="K93" t="str">
            <v>CHI</v>
          </cell>
          <cell r="L93" t="str">
            <v>WHI</v>
          </cell>
          <cell r="M93">
            <v>0</v>
          </cell>
          <cell r="N93">
            <v>0</v>
          </cell>
          <cell r="O93">
            <v>0</v>
          </cell>
          <cell r="P93">
            <v>257.86</v>
          </cell>
        </row>
        <row r="94">
          <cell r="D94" t="str">
            <v>0104001</v>
          </cell>
          <cell r="E94" t="str">
            <v>WHIS.CHIVAS REGAL 12AÑ 700ML X12</v>
          </cell>
          <cell r="F94">
            <v>69.599999999999994</v>
          </cell>
          <cell r="G94">
            <v>69.599999999999994</v>
          </cell>
          <cell r="H94">
            <v>70.989999999999995</v>
          </cell>
          <cell r="I94">
            <v>70.989999999999995</v>
          </cell>
          <cell r="J94" t="str">
            <v>IWA</v>
          </cell>
          <cell r="K94" t="str">
            <v>CHI</v>
          </cell>
          <cell r="L94" t="str">
            <v>WHI</v>
          </cell>
          <cell r="M94">
            <v>0</v>
          </cell>
          <cell r="N94">
            <v>0</v>
          </cell>
          <cell r="O94">
            <v>59</v>
          </cell>
          <cell r="P94">
            <v>90.39</v>
          </cell>
        </row>
        <row r="95">
          <cell r="D95" t="str">
            <v>WHI0025</v>
          </cell>
          <cell r="E95" t="str">
            <v>MINI.WHIS CHIVAS REGAL EXTRA 13 AÑOS X 50ML</v>
          </cell>
          <cell r="F95">
            <v>17.350000000000001</v>
          </cell>
          <cell r="G95">
            <v>17.350000000000001</v>
          </cell>
          <cell r="H95">
            <v>17.7</v>
          </cell>
          <cell r="I95">
            <v>17.7</v>
          </cell>
          <cell r="J95" t="str">
            <v>IWA</v>
          </cell>
          <cell r="K95" t="str">
            <v>CHI</v>
          </cell>
          <cell r="L95" t="str">
            <v>WHI</v>
          </cell>
          <cell r="M95">
            <v>0</v>
          </cell>
          <cell r="N95">
            <v>0</v>
          </cell>
          <cell r="O95">
            <v>0</v>
          </cell>
          <cell r="P95">
            <v>22.54</v>
          </cell>
        </row>
        <row r="96">
          <cell r="D96" t="str">
            <v>0104002</v>
          </cell>
          <cell r="E96" t="str">
            <v>CHIVAS REGAL EX 13AÑ( SHERRY ROJO)700MLX6</v>
          </cell>
          <cell r="F96">
            <v>86.1</v>
          </cell>
          <cell r="G96">
            <v>86.1</v>
          </cell>
          <cell r="H96">
            <v>87.82</v>
          </cell>
          <cell r="I96">
            <v>87.82</v>
          </cell>
          <cell r="J96" t="str">
            <v>IWA</v>
          </cell>
          <cell r="K96" t="str">
            <v>CHI</v>
          </cell>
          <cell r="L96" t="str">
            <v>WHI</v>
          </cell>
          <cell r="M96">
            <v>0</v>
          </cell>
          <cell r="N96">
            <v>0</v>
          </cell>
          <cell r="O96">
            <v>78</v>
          </cell>
          <cell r="P96">
            <v>111</v>
          </cell>
        </row>
        <row r="97">
          <cell r="D97" t="str">
            <v>WHI0991</v>
          </cell>
          <cell r="E97" t="str">
            <v xml:space="preserve">PCK WHIS CHIVAS 12AÑ X700ML+ CHIVAS 12AÑ  X200ML </v>
          </cell>
          <cell r="F97">
            <v>75.069999999999993</v>
          </cell>
          <cell r="G97">
            <v>75.069999999999993</v>
          </cell>
          <cell r="H97">
            <v>76.569999999999993</v>
          </cell>
          <cell r="I97">
            <v>76.569999999999993</v>
          </cell>
          <cell r="J97" t="str">
            <v>IWA</v>
          </cell>
          <cell r="K97" t="str">
            <v>CHI</v>
          </cell>
          <cell r="L97" t="str">
            <v>WHI</v>
          </cell>
          <cell r="M97">
            <v>0</v>
          </cell>
          <cell r="N97">
            <v>0</v>
          </cell>
          <cell r="O97">
            <v>67</v>
          </cell>
          <cell r="P97">
            <v>94.32</v>
          </cell>
        </row>
        <row r="98">
          <cell r="D98" t="str">
            <v>WHI0031</v>
          </cell>
          <cell r="E98" t="str">
            <v>WHISKY ROYAL SALUTE 21 AÑOS 700ML X 6</v>
          </cell>
          <cell r="F98">
            <v>798.7</v>
          </cell>
          <cell r="G98">
            <v>798.7</v>
          </cell>
          <cell r="H98">
            <v>798.7</v>
          </cell>
          <cell r="I98">
            <v>798.7</v>
          </cell>
          <cell r="J98" t="str">
            <v>IWA</v>
          </cell>
          <cell r="K98" t="str">
            <v>CHI</v>
          </cell>
          <cell r="L98" t="str">
            <v>WHI</v>
          </cell>
          <cell r="M98">
            <v>0</v>
          </cell>
          <cell r="N98">
            <v>0</v>
          </cell>
          <cell r="O98">
            <v>753.22</v>
          </cell>
          <cell r="P98">
            <v>798.7</v>
          </cell>
        </row>
        <row r="99">
          <cell r="D99" t="str">
            <v>1040060</v>
          </cell>
          <cell r="E99" t="str">
            <v>WHIS.CHIVAS REGAL EXTRA 750ML X 6</v>
          </cell>
          <cell r="F99">
            <v>89.92</v>
          </cell>
          <cell r="G99">
            <v>89.92</v>
          </cell>
          <cell r="H99">
            <v>91.72</v>
          </cell>
          <cell r="I99">
            <v>91.72</v>
          </cell>
          <cell r="J99" t="str">
            <v>IWA</v>
          </cell>
          <cell r="K99" t="str">
            <v>CHI</v>
          </cell>
          <cell r="L99" t="str">
            <v>WHI</v>
          </cell>
          <cell r="M99">
            <v>0</v>
          </cell>
          <cell r="N99">
            <v>0</v>
          </cell>
          <cell r="O99">
            <v>78.930000000000007</v>
          </cell>
          <cell r="P99">
            <v>91.72</v>
          </cell>
        </row>
        <row r="100">
          <cell r="D100" t="str">
            <v>WHI0992</v>
          </cell>
          <cell r="E100" t="str">
            <v>CHIVAS REGAL EXT.13AÑ 700ML+CHIIVAS 13AÑ 200ML</v>
          </cell>
          <cell r="F100">
            <v>97.64</v>
          </cell>
          <cell r="G100">
            <v>97.64</v>
          </cell>
          <cell r="H100">
            <v>99.59</v>
          </cell>
          <cell r="I100">
            <v>99.59</v>
          </cell>
          <cell r="J100" t="str">
            <v>IWA</v>
          </cell>
          <cell r="K100" t="str">
            <v>CHI</v>
          </cell>
          <cell r="L100" t="str">
            <v>WHI</v>
          </cell>
          <cell r="M100">
            <v>0</v>
          </cell>
          <cell r="N100">
            <v>0</v>
          </cell>
          <cell r="O100">
            <v>89.3</v>
          </cell>
          <cell r="P100">
            <v>99.59</v>
          </cell>
        </row>
        <row r="101">
          <cell r="D101" t="str">
            <v>1040061</v>
          </cell>
          <cell r="E101" t="str">
            <v>WHIS.CHIVAS REGAL ULTIS(BLUE) 750ML X3</v>
          </cell>
          <cell r="F101">
            <v>665.03</v>
          </cell>
          <cell r="G101">
            <v>665.03</v>
          </cell>
          <cell r="H101">
            <v>665.03</v>
          </cell>
          <cell r="I101">
            <v>665.03</v>
          </cell>
          <cell r="J101" t="str">
            <v>IWA</v>
          </cell>
          <cell r="K101" t="str">
            <v>CHI</v>
          </cell>
          <cell r="L101" t="str">
            <v>WHI</v>
          </cell>
          <cell r="M101">
            <v>0</v>
          </cell>
          <cell r="N101">
            <v>0</v>
          </cell>
          <cell r="O101">
            <v>593.5</v>
          </cell>
          <cell r="P101">
            <v>848.25</v>
          </cell>
        </row>
        <row r="102">
          <cell r="D102" t="str">
            <v>WHI0474</v>
          </cell>
          <cell r="E102" t="str">
            <v>WHIS.CHIVAS REGAL DORADO 15AÑ X 750ML X6</v>
          </cell>
          <cell r="F102">
            <v>146.26</v>
          </cell>
          <cell r="G102">
            <v>146.26</v>
          </cell>
          <cell r="H102">
            <v>146.26</v>
          </cell>
          <cell r="I102">
            <v>146.26</v>
          </cell>
          <cell r="J102" t="str">
            <v>IWA</v>
          </cell>
          <cell r="K102" t="str">
            <v>CHI</v>
          </cell>
          <cell r="L102" t="str">
            <v>WHI</v>
          </cell>
          <cell r="M102">
            <v>0</v>
          </cell>
          <cell r="N102">
            <v>0</v>
          </cell>
          <cell r="O102">
            <v>0</v>
          </cell>
          <cell r="P102">
            <v>146.26</v>
          </cell>
        </row>
        <row r="103">
          <cell r="D103" t="str">
            <v>PAC0095</v>
          </cell>
          <cell r="E103" t="str">
            <v>PACK BALLANTINES FINEST 700ML+VASO X6</v>
          </cell>
          <cell r="F103">
            <v>37.520000000000003</v>
          </cell>
          <cell r="G103">
            <v>37.520000000000003</v>
          </cell>
          <cell r="H103">
            <v>38.270000000000003</v>
          </cell>
          <cell r="I103">
            <v>38.270000000000003</v>
          </cell>
          <cell r="J103" t="str">
            <v>IWA</v>
          </cell>
          <cell r="K103" t="str">
            <v>CHI</v>
          </cell>
          <cell r="L103" t="str">
            <v>WHI</v>
          </cell>
          <cell r="M103">
            <v>0</v>
          </cell>
          <cell r="N103">
            <v>0</v>
          </cell>
          <cell r="O103">
            <v>37.590000000000003</v>
          </cell>
          <cell r="P103">
            <v>49.08</v>
          </cell>
        </row>
        <row r="104">
          <cell r="D104" t="str">
            <v>WHI1072</v>
          </cell>
          <cell r="E104" t="str">
            <v>PK WHI CHIV REGAL 12AÑ 700ML+RON HAVANA 7AÑ 700ML</v>
          </cell>
          <cell r="F104">
            <v>128.83000000000001</v>
          </cell>
          <cell r="G104">
            <v>128.83000000000001</v>
          </cell>
          <cell r="H104">
            <v>131.4</v>
          </cell>
          <cell r="I104">
            <v>131.4</v>
          </cell>
          <cell r="J104" t="str">
            <v>IWA</v>
          </cell>
          <cell r="K104" t="str">
            <v>CHI</v>
          </cell>
          <cell r="L104" t="str">
            <v>WHI</v>
          </cell>
          <cell r="M104">
            <v>0</v>
          </cell>
          <cell r="N104">
            <v>0</v>
          </cell>
          <cell r="O104">
            <v>115</v>
          </cell>
          <cell r="P104">
            <v>164.32</v>
          </cell>
        </row>
        <row r="105">
          <cell r="D105" t="str">
            <v>1218</v>
          </cell>
          <cell r="E105" t="str">
            <v>GALL. LOACKER CLASSIC 45GR  DSPX 25</v>
          </cell>
          <cell r="F105">
            <v>4.5599999999999996</v>
          </cell>
          <cell r="G105">
            <v>4.5599999999999996</v>
          </cell>
          <cell r="H105">
            <v>4.72</v>
          </cell>
          <cell r="I105">
            <v>4.72</v>
          </cell>
          <cell r="J105" t="str">
            <v>IAJ</v>
          </cell>
          <cell r="K105" t="str">
            <v>OTR</v>
          </cell>
          <cell r="L105" t="str">
            <v>OTR</v>
          </cell>
          <cell r="M105">
            <v>0</v>
          </cell>
          <cell r="N105">
            <v>0</v>
          </cell>
          <cell r="O105">
            <v>3.87</v>
          </cell>
          <cell r="P105">
            <v>5.19</v>
          </cell>
        </row>
        <row r="106">
          <cell r="D106" t="str">
            <v>76773</v>
          </cell>
          <cell r="E106" t="str">
            <v>G.MARSHMALLOWS BLANCOS 255GR X30</v>
          </cell>
          <cell r="F106">
            <v>6.97</v>
          </cell>
          <cell r="G106">
            <v>6.97</v>
          </cell>
          <cell r="H106">
            <v>7.21</v>
          </cell>
          <cell r="I106">
            <v>7.21</v>
          </cell>
          <cell r="J106" t="str">
            <v>IAJ</v>
          </cell>
          <cell r="K106" t="str">
            <v>OTR</v>
          </cell>
          <cell r="L106" t="str">
            <v>OTR</v>
          </cell>
          <cell r="M106">
            <v>0</v>
          </cell>
          <cell r="N106">
            <v>0</v>
          </cell>
          <cell r="O106">
            <v>6.89</v>
          </cell>
          <cell r="P106">
            <v>7.93</v>
          </cell>
        </row>
        <row r="107">
          <cell r="D107" t="str">
            <v>760260</v>
          </cell>
          <cell r="E107" t="str">
            <v>G.MARSHMALLOWS MINI COLOR 100GR X 24</v>
          </cell>
          <cell r="F107">
            <v>3.31</v>
          </cell>
          <cell r="G107">
            <v>3.31</v>
          </cell>
          <cell r="H107">
            <v>3.43</v>
          </cell>
          <cell r="I107">
            <v>3.43</v>
          </cell>
          <cell r="J107" t="str">
            <v>IAJ</v>
          </cell>
          <cell r="K107" t="str">
            <v>OTR</v>
          </cell>
          <cell r="L107" t="str">
            <v>OTR</v>
          </cell>
          <cell r="M107">
            <v>0</v>
          </cell>
          <cell r="N107">
            <v>0</v>
          </cell>
          <cell r="O107">
            <v>3.28</v>
          </cell>
          <cell r="P107">
            <v>3.77</v>
          </cell>
        </row>
        <row r="108">
          <cell r="D108" t="str">
            <v>6691</v>
          </cell>
          <cell r="E108" t="str">
            <v>WRIGLEY´S WINTERFRESH 1DSP C X 10UN X 12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 t="str">
            <v>IAJ</v>
          </cell>
          <cell r="K108" t="str">
            <v>OTR</v>
          </cell>
          <cell r="L108" t="str">
            <v>OTR</v>
          </cell>
          <cell r="M108">
            <v>0</v>
          </cell>
          <cell r="N108">
            <v>0</v>
          </cell>
          <cell r="O108">
            <v>0</v>
          </cell>
          <cell r="P108">
            <v>5.05</v>
          </cell>
        </row>
        <row r="109">
          <cell r="D109" t="str">
            <v>1219</v>
          </cell>
          <cell r="E109" t="str">
            <v>ORBIT PEPPERMINT CJTLLA X 14UN  X 12</v>
          </cell>
          <cell r="F109">
            <v>3.87</v>
          </cell>
          <cell r="G109">
            <v>3.87</v>
          </cell>
          <cell r="H109">
            <v>4</v>
          </cell>
          <cell r="I109">
            <v>4</v>
          </cell>
          <cell r="J109" t="str">
            <v>IAJ</v>
          </cell>
          <cell r="K109" t="str">
            <v>OTR</v>
          </cell>
          <cell r="L109" t="str">
            <v>OTR</v>
          </cell>
          <cell r="M109">
            <v>0</v>
          </cell>
          <cell r="N109">
            <v>0</v>
          </cell>
          <cell r="O109">
            <v>0</v>
          </cell>
          <cell r="P109">
            <v>4.96</v>
          </cell>
        </row>
        <row r="110">
          <cell r="D110" t="str">
            <v>11240</v>
          </cell>
          <cell r="E110" t="str">
            <v>G.GOMAS BANANA 100GR X20</v>
          </cell>
          <cell r="F110">
            <v>2.99</v>
          </cell>
          <cell r="G110">
            <v>2.99</v>
          </cell>
          <cell r="H110">
            <v>3.1</v>
          </cell>
          <cell r="I110">
            <v>3.1</v>
          </cell>
          <cell r="J110" t="str">
            <v>IAJ</v>
          </cell>
          <cell r="K110" t="str">
            <v>OTR</v>
          </cell>
          <cell r="L110" t="str">
            <v>OTR</v>
          </cell>
          <cell r="M110">
            <v>0</v>
          </cell>
          <cell r="N110">
            <v>0</v>
          </cell>
          <cell r="O110">
            <v>3.28</v>
          </cell>
          <cell r="P110">
            <v>3.41</v>
          </cell>
        </row>
        <row r="111">
          <cell r="D111" t="str">
            <v>22660</v>
          </cell>
          <cell r="E111" t="str">
            <v>WRIGLEY´S DOBLE MENTA 1DSP C X 10UN X 12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 t="str">
            <v>IAJ</v>
          </cell>
          <cell r="K111" t="str">
            <v>OTR</v>
          </cell>
          <cell r="L111" t="str">
            <v>OTR</v>
          </cell>
          <cell r="M111">
            <v>0</v>
          </cell>
          <cell r="N111">
            <v>0</v>
          </cell>
          <cell r="O111">
            <v>32.799999999999997</v>
          </cell>
          <cell r="P111">
            <v>5.05</v>
          </cell>
        </row>
        <row r="112">
          <cell r="D112" t="str">
            <v>1443</v>
          </cell>
          <cell r="E112" t="str">
            <v>WRIGLEY´S FRUTA 1DSP L X 20UN X 40</v>
          </cell>
          <cell r="F112">
            <v>18.39</v>
          </cell>
          <cell r="G112">
            <v>18.39</v>
          </cell>
          <cell r="H112">
            <v>19</v>
          </cell>
          <cell r="I112">
            <v>19</v>
          </cell>
          <cell r="J112" t="str">
            <v>IAJ</v>
          </cell>
          <cell r="K112" t="str">
            <v>OTR</v>
          </cell>
          <cell r="L112" t="str">
            <v>OTR</v>
          </cell>
          <cell r="M112">
            <v>0</v>
          </cell>
          <cell r="N112">
            <v>0</v>
          </cell>
          <cell r="O112">
            <v>0</v>
          </cell>
          <cell r="P112">
            <v>1.2</v>
          </cell>
        </row>
        <row r="113">
          <cell r="D113" t="str">
            <v>8801</v>
          </cell>
          <cell r="E113" t="str">
            <v>MARUCHAN GALLINA 64GR X 12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 t="str">
            <v>IAJ</v>
          </cell>
          <cell r="K113" t="str">
            <v>OTR</v>
          </cell>
          <cell r="L113" t="str">
            <v>OTR</v>
          </cell>
          <cell r="M113">
            <v>0</v>
          </cell>
          <cell r="N113">
            <v>0</v>
          </cell>
          <cell r="O113">
            <v>3.87</v>
          </cell>
          <cell r="P113">
            <v>5.19</v>
          </cell>
        </row>
        <row r="114">
          <cell r="D114" t="str">
            <v>9064</v>
          </cell>
          <cell r="E114" t="str">
            <v>HUEVO MINIONS SAB SURTIDOS 30GR DSP X 9</v>
          </cell>
          <cell r="F114">
            <v>3.74</v>
          </cell>
          <cell r="G114">
            <v>3.74</v>
          </cell>
          <cell r="H114">
            <v>3.87</v>
          </cell>
          <cell r="I114">
            <v>3.87</v>
          </cell>
          <cell r="J114" t="str">
            <v>IAJ</v>
          </cell>
          <cell r="K114" t="str">
            <v>OTR</v>
          </cell>
          <cell r="L114" t="str">
            <v>OTR</v>
          </cell>
          <cell r="M114">
            <v>0</v>
          </cell>
          <cell r="N114">
            <v>0</v>
          </cell>
          <cell r="O114">
            <v>0</v>
          </cell>
          <cell r="P114">
            <v>4.25</v>
          </cell>
        </row>
        <row r="115">
          <cell r="D115" t="str">
            <v>8917</v>
          </cell>
          <cell r="E115" t="str">
            <v>MARUCHAN POLLO 64GR X 12</v>
          </cell>
          <cell r="F115">
            <v>4.5599999999999996</v>
          </cell>
          <cell r="G115">
            <v>4.5599999999999996</v>
          </cell>
          <cell r="H115">
            <v>4.72</v>
          </cell>
          <cell r="I115">
            <v>4.72</v>
          </cell>
          <cell r="J115" t="str">
            <v>IAJ</v>
          </cell>
          <cell r="K115" t="str">
            <v>OTR</v>
          </cell>
          <cell r="L115" t="str">
            <v>OTR</v>
          </cell>
          <cell r="M115">
            <v>0</v>
          </cell>
          <cell r="N115">
            <v>0</v>
          </cell>
          <cell r="O115">
            <v>3.87</v>
          </cell>
          <cell r="P115">
            <v>5.19</v>
          </cell>
        </row>
        <row r="116">
          <cell r="D116" t="str">
            <v>2294</v>
          </cell>
          <cell r="E116" t="str">
            <v>ORBIT SPEARMINT BOTELLA 1DSP X 9 UN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 t="str">
            <v>IAJ</v>
          </cell>
          <cell r="K116" t="str">
            <v>OTR</v>
          </cell>
          <cell r="L116" t="str">
            <v>OTR</v>
          </cell>
          <cell r="M116">
            <v>0</v>
          </cell>
          <cell r="N116">
            <v>0</v>
          </cell>
          <cell r="O116">
            <v>0</v>
          </cell>
          <cell r="P116">
            <v>6.04</v>
          </cell>
        </row>
        <row r="117">
          <cell r="D117" t="str">
            <v>76153</v>
          </cell>
          <cell r="E117" t="str">
            <v>G.MARSHMALLOWS BICOLOR 255GRX 30</v>
          </cell>
          <cell r="F117">
            <v>6.97</v>
          </cell>
          <cell r="G117">
            <v>6.97</v>
          </cell>
          <cell r="H117">
            <v>7.21</v>
          </cell>
          <cell r="I117">
            <v>7.21</v>
          </cell>
          <cell r="J117" t="str">
            <v>IAJ</v>
          </cell>
          <cell r="K117" t="str">
            <v>OTR</v>
          </cell>
          <cell r="L117" t="str">
            <v>OTR</v>
          </cell>
          <cell r="M117">
            <v>0</v>
          </cell>
          <cell r="N117">
            <v>0</v>
          </cell>
          <cell r="O117">
            <v>5.17</v>
          </cell>
          <cell r="P117">
            <v>7.93</v>
          </cell>
        </row>
        <row r="118">
          <cell r="D118" t="str">
            <v>2991</v>
          </cell>
          <cell r="E118" t="str">
            <v>MARUCHAN POLLO PICANTE 85GR X24</v>
          </cell>
          <cell r="F118">
            <v>2.2999999999999998</v>
          </cell>
          <cell r="G118">
            <v>2.2999999999999998</v>
          </cell>
          <cell r="H118">
            <v>2.42</v>
          </cell>
          <cell r="I118">
            <v>2.42</v>
          </cell>
          <cell r="J118" t="str">
            <v>IAJ</v>
          </cell>
          <cell r="K118" t="str">
            <v>OTR</v>
          </cell>
          <cell r="L118" t="str">
            <v>OTR</v>
          </cell>
          <cell r="M118">
            <v>0</v>
          </cell>
          <cell r="N118">
            <v>0</v>
          </cell>
          <cell r="O118">
            <v>2.16</v>
          </cell>
          <cell r="P118">
            <v>2.9</v>
          </cell>
        </row>
        <row r="119">
          <cell r="D119" t="str">
            <v>224345</v>
          </cell>
          <cell r="E119" t="str">
            <v>LIFESAVERS 5 SABORES 32GR X 10UN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 t="str">
            <v>IAJ</v>
          </cell>
          <cell r="K119" t="str">
            <v>OTR</v>
          </cell>
          <cell r="L119" t="str">
            <v>OTR</v>
          </cell>
          <cell r="M119">
            <v>0</v>
          </cell>
          <cell r="N119">
            <v>0</v>
          </cell>
          <cell r="O119">
            <v>0</v>
          </cell>
          <cell r="P119">
            <v>35.130000000000003</v>
          </cell>
        </row>
        <row r="120">
          <cell r="D120" t="str">
            <v>8925</v>
          </cell>
          <cell r="E120" t="str">
            <v>WELCH S FRUIT SNACKS BERRIES/CHE. 64GR X 24</v>
          </cell>
          <cell r="F120">
            <v>9.9700000000000006</v>
          </cell>
          <cell r="G120">
            <v>9.9700000000000006</v>
          </cell>
          <cell r="H120">
            <v>10.32</v>
          </cell>
          <cell r="I120">
            <v>10.32</v>
          </cell>
          <cell r="J120" t="str">
            <v>IAJ</v>
          </cell>
          <cell r="K120" t="str">
            <v>OTR</v>
          </cell>
          <cell r="L120" t="str">
            <v>OTR</v>
          </cell>
          <cell r="M120">
            <v>0</v>
          </cell>
          <cell r="N120">
            <v>0</v>
          </cell>
          <cell r="O120">
            <v>6.43</v>
          </cell>
          <cell r="P120">
            <v>8.6300000000000008</v>
          </cell>
        </row>
        <row r="121">
          <cell r="D121" t="str">
            <v>6653</v>
          </cell>
          <cell r="E121" t="str">
            <v>WRIGLEY´S SPEARMINT 1DSP C  X 10UN X 12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 t="str">
            <v>IAJ</v>
          </cell>
          <cell r="K121" t="str">
            <v>OTR</v>
          </cell>
          <cell r="L121" t="str">
            <v>OTR</v>
          </cell>
          <cell r="M121">
            <v>0</v>
          </cell>
          <cell r="N121">
            <v>0</v>
          </cell>
          <cell r="O121">
            <v>0</v>
          </cell>
          <cell r="P121">
            <v>5.05</v>
          </cell>
        </row>
        <row r="122">
          <cell r="D122" t="str">
            <v>11318</v>
          </cell>
          <cell r="E122" t="str">
            <v>G.GOMAS GOTITAS 100GR X 20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 t="str">
            <v>IAJ</v>
          </cell>
          <cell r="K122" t="str">
            <v>OTR</v>
          </cell>
          <cell r="L122" t="str">
            <v>OTR</v>
          </cell>
          <cell r="M122">
            <v>0</v>
          </cell>
          <cell r="N122">
            <v>0</v>
          </cell>
          <cell r="O122">
            <v>3.28</v>
          </cell>
          <cell r="P122">
            <v>3.41</v>
          </cell>
        </row>
        <row r="123">
          <cell r="D123" t="str">
            <v>8233U</v>
          </cell>
          <cell r="E123" t="str">
            <v>1UN.CHOCALE MALVAVISCO SABOR CHOCO X 35GR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 t="str">
            <v>IAJ</v>
          </cell>
          <cell r="K123" t="str">
            <v>OTR</v>
          </cell>
          <cell r="L123" t="str">
            <v>OTR</v>
          </cell>
          <cell r="M123">
            <v>0</v>
          </cell>
          <cell r="N123">
            <v>0</v>
          </cell>
          <cell r="O123">
            <v>0</v>
          </cell>
          <cell r="P123">
            <v>1.8</v>
          </cell>
        </row>
        <row r="124">
          <cell r="D124" t="str">
            <v>2881</v>
          </cell>
          <cell r="E124" t="str">
            <v>TOPPS SPRING POP JURASSIC DSP X 20UN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 t="str">
            <v>IAJ</v>
          </cell>
          <cell r="K124" t="str">
            <v>OTR</v>
          </cell>
          <cell r="L124" t="str">
            <v>OTR</v>
          </cell>
          <cell r="M124">
            <v>0</v>
          </cell>
          <cell r="N124">
            <v>0</v>
          </cell>
          <cell r="O124">
            <v>0</v>
          </cell>
          <cell r="P124">
            <v>9.2100000000000009</v>
          </cell>
        </row>
        <row r="125">
          <cell r="D125" t="str">
            <v>22660U</v>
          </cell>
          <cell r="E125" t="str">
            <v>1UN.WRIGLEY´S BOBLE MENTA X 10UN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 t="str">
            <v>IAJ</v>
          </cell>
          <cell r="K125" t="str">
            <v>OTR</v>
          </cell>
          <cell r="L125" t="str">
            <v>OTR</v>
          </cell>
          <cell r="M125">
            <v>0</v>
          </cell>
          <cell r="N125">
            <v>0</v>
          </cell>
          <cell r="O125">
            <v>0</v>
          </cell>
          <cell r="P125">
            <v>5.05</v>
          </cell>
        </row>
        <row r="126">
          <cell r="D126" t="str">
            <v>11271</v>
          </cell>
          <cell r="E126" t="str">
            <v>G.GOMAS CULEBRITAS 100GR X 20</v>
          </cell>
          <cell r="F126">
            <v>2.85</v>
          </cell>
          <cell r="G126">
            <v>2.85</v>
          </cell>
          <cell r="H126">
            <v>2.85</v>
          </cell>
          <cell r="I126">
            <v>2.85</v>
          </cell>
          <cell r="J126" t="str">
            <v>IAJ</v>
          </cell>
          <cell r="K126" t="str">
            <v>OTR</v>
          </cell>
          <cell r="L126" t="str">
            <v>OTR</v>
          </cell>
          <cell r="M126">
            <v>0</v>
          </cell>
          <cell r="N126">
            <v>0</v>
          </cell>
          <cell r="O126">
            <v>2.62</v>
          </cell>
          <cell r="P126">
            <v>3.41</v>
          </cell>
        </row>
        <row r="127">
          <cell r="D127" t="str">
            <v>1249</v>
          </cell>
          <cell r="E127" t="str">
            <v>GALL. LOACKER CLASSIC VAINILLA 45GR  DSPX 25</v>
          </cell>
          <cell r="F127">
            <v>4.5599999999999996</v>
          </cell>
          <cell r="G127">
            <v>4.5599999999999996</v>
          </cell>
          <cell r="H127">
            <v>4.72</v>
          </cell>
          <cell r="I127">
            <v>4.72</v>
          </cell>
          <cell r="J127" t="str">
            <v>IAJ</v>
          </cell>
          <cell r="K127" t="str">
            <v>OTR</v>
          </cell>
          <cell r="L127" t="str">
            <v>OTR</v>
          </cell>
          <cell r="M127">
            <v>0</v>
          </cell>
          <cell r="N127">
            <v>0</v>
          </cell>
          <cell r="O127">
            <v>3.87</v>
          </cell>
          <cell r="P127">
            <v>5.19</v>
          </cell>
        </row>
        <row r="128">
          <cell r="D128" t="str">
            <v>3395</v>
          </cell>
          <cell r="E128" t="str">
            <v>NERDS WATERMELON &amp; CHERRY C 46.7GR</v>
          </cell>
          <cell r="F128">
            <v>6.11</v>
          </cell>
          <cell r="G128">
            <v>6.11</v>
          </cell>
          <cell r="H128">
            <v>6.32</v>
          </cell>
          <cell r="I128">
            <v>6.32</v>
          </cell>
          <cell r="J128" t="str">
            <v>IAJ</v>
          </cell>
          <cell r="K128" t="str">
            <v>OTR</v>
          </cell>
          <cell r="L128" t="str">
            <v>OTR</v>
          </cell>
          <cell r="M128">
            <v>0</v>
          </cell>
          <cell r="N128">
            <v>0</v>
          </cell>
          <cell r="O128">
            <v>0</v>
          </cell>
          <cell r="P128">
            <v>6.95</v>
          </cell>
        </row>
        <row r="129">
          <cell r="D129" t="str">
            <v>2915</v>
          </cell>
          <cell r="E129" t="str">
            <v>MARUCHAN POLLO 85GR X24</v>
          </cell>
          <cell r="F129">
            <v>2.2999999999999998</v>
          </cell>
          <cell r="G129">
            <v>2.2999999999999998</v>
          </cell>
          <cell r="H129">
            <v>2.42</v>
          </cell>
          <cell r="I129">
            <v>2.42</v>
          </cell>
          <cell r="J129" t="str">
            <v>IAJ</v>
          </cell>
          <cell r="K129" t="str">
            <v>OTR</v>
          </cell>
          <cell r="L129" t="str">
            <v>OTR</v>
          </cell>
          <cell r="M129">
            <v>0</v>
          </cell>
          <cell r="N129">
            <v>0</v>
          </cell>
          <cell r="O129">
            <v>2.16</v>
          </cell>
          <cell r="P129">
            <v>2.9</v>
          </cell>
        </row>
        <row r="130">
          <cell r="D130" t="str">
            <v>8924</v>
          </cell>
          <cell r="E130" t="str">
            <v>MARUCHAN RES 64GR X 12</v>
          </cell>
          <cell r="F130">
            <v>4.5599999999999996</v>
          </cell>
          <cell r="G130">
            <v>4.5599999999999996</v>
          </cell>
          <cell r="H130">
            <v>4.72</v>
          </cell>
          <cell r="I130">
            <v>4.72</v>
          </cell>
          <cell r="J130" t="str">
            <v>IAJ</v>
          </cell>
          <cell r="K130" t="str">
            <v>OTR</v>
          </cell>
          <cell r="L130" t="str">
            <v>OTR</v>
          </cell>
          <cell r="M130">
            <v>0</v>
          </cell>
          <cell r="N130">
            <v>0</v>
          </cell>
          <cell r="O130">
            <v>3.87</v>
          </cell>
          <cell r="P130">
            <v>5.19</v>
          </cell>
        </row>
        <row r="131">
          <cell r="D131" t="str">
            <v>8907</v>
          </cell>
          <cell r="E131" t="str">
            <v>ORBIT PEPPERMINT BOTELLA 1DSP X 9 UN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 t="str">
            <v>IAJ</v>
          </cell>
          <cell r="K131" t="str">
            <v>OTR</v>
          </cell>
          <cell r="L131" t="str">
            <v>OTR</v>
          </cell>
          <cell r="M131">
            <v>0</v>
          </cell>
          <cell r="N131">
            <v>0</v>
          </cell>
          <cell r="O131">
            <v>0</v>
          </cell>
          <cell r="P131">
            <v>6.04</v>
          </cell>
        </row>
        <row r="132">
          <cell r="D132" t="str">
            <v>1441</v>
          </cell>
          <cell r="E132" t="str">
            <v>WRIGLEY S YERBABUENA 1 DSP X 13GR</v>
          </cell>
          <cell r="F132">
            <v>18.39</v>
          </cell>
          <cell r="G132">
            <v>18.39</v>
          </cell>
          <cell r="H132">
            <v>19</v>
          </cell>
          <cell r="I132">
            <v>19</v>
          </cell>
          <cell r="J132" t="str">
            <v>IAJ</v>
          </cell>
          <cell r="K132" t="str">
            <v>OTR</v>
          </cell>
          <cell r="L132" t="str">
            <v>OTR</v>
          </cell>
          <cell r="M132">
            <v>0</v>
          </cell>
          <cell r="N132">
            <v>0</v>
          </cell>
          <cell r="O132">
            <v>0.78</v>
          </cell>
          <cell r="P132">
            <v>1.1000000000000001</v>
          </cell>
        </row>
        <row r="133">
          <cell r="D133" t="str">
            <v>5011U</v>
          </cell>
          <cell r="E133" t="str">
            <v xml:space="preserve">1UNI.TOPPS PUSH POP SURTIDO 15GR 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 t="str">
            <v>IAJ</v>
          </cell>
          <cell r="K133" t="str">
            <v>OTR</v>
          </cell>
          <cell r="L133" t="str">
            <v>OTR</v>
          </cell>
          <cell r="M133">
            <v>0</v>
          </cell>
          <cell r="N133">
            <v>0</v>
          </cell>
          <cell r="O133">
            <v>0</v>
          </cell>
          <cell r="P133">
            <v>3.51</v>
          </cell>
        </row>
        <row r="134">
          <cell r="D134" t="str">
            <v>1442U</v>
          </cell>
          <cell r="E134" t="str">
            <v xml:space="preserve">1UNI. WRIGLEY´S DOBLE MENTAX 20 UN 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 t="str">
            <v>IAJ</v>
          </cell>
          <cell r="K134" t="str">
            <v>OTR</v>
          </cell>
          <cell r="L134" t="str">
            <v>OTR</v>
          </cell>
          <cell r="M134">
            <v>0</v>
          </cell>
          <cell r="N134">
            <v>0</v>
          </cell>
          <cell r="O134">
            <v>0</v>
          </cell>
          <cell r="P134">
            <v>1.2</v>
          </cell>
        </row>
        <row r="135">
          <cell r="D135" t="str">
            <v>11257</v>
          </cell>
          <cell r="E135" t="str">
            <v>G.GOMAS CORAZONES 100GR X20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 t="str">
            <v>IAJ</v>
          </cell>
          <cell r="K135" t="str">
            <v>OTR</v>
          </cell>
          <cell r="L135" t="str">
            <v>OTR</v>
          </cell>
          <cell r="M135">
            <v>0</v>
          </cell>
          <cell r="N135">
            <v>0</v>
          </cell>
          <cell r="O135">
            <v>3.28</v>
          </cell>
          <cell r="P135">
            <v>3.41</v>
          </cell>
        </row>
        <row r="136">
          <cell r="D136" t="str">
            <v>8893</v>
          </cell>
          <cell r="E136" t="str">
            <v>BACI TUBO CHOCOLATE 37.5GR X 14</v>
          </cell>
          <cell r="F136">
            <v>8.43</v>
          </cell>
          <cell r="G136">
            <v>8.43</v>
          </cell>
          <cell r="H136">
            <v>9.59</v>
          </cell>
          <cell r="I136">
            <v>9.59</v>
          </cell>
          <cell r="J136" t="str">
            <v>IAJ</v>
          </cell>
          <cell r="K136" t="str">
            <v>OTR</v>
          </cell>
          <cell r="L136" t="str">
            <v>OTR</v>
          </cell>
          <cell r="M136">
            <v>0</v>
          </cell>
          <cell r="N136">
            <v>0</v>
          </cell>
          <cell r="O136">
            <v>6.55</v>
          </cell>
          <cell r="P136">
            <v>7.96</v>
          </cell>
        </row>
        <row r="137">
          <cell r="D137" t="str">
            <v>88909U</v>
          </cell>
          <cell r="E137" t="str">
            <v>BACI BOMBON CHOCO.ORIG 12.5GR X 78UNI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 t="str">
            <v>IAJ</v>
          </cell>
          <cell r="K137" t="str">
            <v>OTR</v>
          </cell>
          <cell r="L137" t="str">
            <v>OTR</v>
          </cell>
          <cell r="M137">
            <v>0</v>
          </cell>
          <cell r="N137">
            <v>0</v>
          </cell>
          <cell r="O137">
            <v>0</v>
          </cell>
          <cell r="P137">
            <v>2.5</v>
          </cell>
        </row>
        <row r="138">
          <cell r="D138" t="str">
            <v>1441U</v>
          </cell>
          <cell r="E138" t="str">
            <v>WRIGLEY S YERBABUENA 2.5GR  X 1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 t="str">
            <v>IAJ</v>
          </cell>
          <cell r="K138" t="str">
            <v>OTR</v>
          </cell>
          <cell r="L138" t="str">
            <v>OTR</v>
          </cell>
          <cell r="M138">
            <v>0</v>
          </cell>
          <cell r="N138">
            <v>0</v>
          </cell>
          <cell r="O138">
            <v>0</v>
          </cell>
          <cell r="P138">
            <v>1.1000000000000001</v>
          </cell>
        </row>
        <row r="139">
          <cell r="D139" t="str">
            <v>DIS0000148</v>
          </cell>
          <cell r="E139" t="str">
            <v>STARBURST ORIGINAL SINGLES CANDY X 58.7GR</v>
          </cell>
          <cell r="F139">
            <v>3.79</v>
          </cell>
          <cell r="G139">
            <v>3.79</v>
          </cell>
          <cell r="H139">
            <v>3.87</v>
          </cell>
          <cell r="I139">
            <v>3.87</v>
          </cell>
          <cell r="J139" t="str">
            <v>IAJ</v>
          </cell>
          <cell r="K139" t="str">
            <v>OTR</v>
          </cell>
          <cell r="L139" t="str">
            <v>OTR</v>
          </cell>
          <cell r="M139">
            <v>0</v>
          </cell>
          <cell r="N139">
            <v>0</v>
          </cell>
          <cell r="O139">
            <v>2.37</v>
          </cell>
          <cell r="P139">
            <v>3.7</v>
          </cell>
        </row>
        <row r="140">
          <cell r="D140" t="str">
            <v>1442</v>
          </cell>
          <cell r="E140" t="str">
            <v>WRIGLEY´S DOBLE MENTA 1DSP L X 20 UN X 40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 t="str">
            <v>IAJ</v>
          </cell>
          <cell r="K140" t="str">
            <v>OTR</v>
          </cell>
          <cell r="L140" t="str">
            <v>OTR</v>
          </cell>
          <cell r="M140">
            <v>0</v>
          </cell>
          <cell r="N140">
            <v>0</v>
          </cell>
          <cell r="O140">
            <v>15.58</v>
          </cell>
          <cell r="P140">
            <v>1.1000000000000001</v>
          </cell>
        </row>
        <row r="141">
          <cell r="D141" t="str">
            <v>3364</v>
          </cell>
          <cell r="E141" t="str">
            <v>NERDS GRAPE &amp; STRAWBERRY X 46.7GR</v>
          </cell>
          <cell r="F141">
            <v>6.11</v>
          </cell>
          <cell r="G141">
            <v>6.11</v>
          </cell>
          <cell r="H141">
            <v>6.32</v>
          </cell>
          <cell r="I141">
            <v>6.32</v>
          </cell>
          <cell r="J141" t="str">
            <v>IAJ</v>
          </cell>
          <cell r="K141" t="str">
            <v>OTR</v>
          </cell>
          <cell r="L141" t="str">
            <v>OTR</v>
          </cell>
          <cell r="M141">
            <v>0</v>
          </cell>
          <cell r="N141">
            <v>0</v>
          </cell>
          <cell r="O141">
            <v>0</v>
          </cell>
          <cell r="P141">
            <v>6.95</v>
          </cell>
        </row>
        <row r="142">
          <cell r="D142" t="str">
            <v>5019</v>
          </cell>
          <cell r="E142" t="str">
            <v>TURTLES KING BAR 50GR X 10</v>
          </cell>
          <cell r="F142">
            <v>6.18</v>
          </cell>
          <cell r="G142">
            <v>6.18</v>
          </cell>
          <cell r="H142">
            <v>6.4</v>
          </cell>
          <cell r="I142">
            <v>6.4</v>
          </cell>
          <cell r="J142" t="str">
            <v>IAJ</v>
          </cell>
          <cell r="K142" t="str">
            <v>OTR</v>
          </cell>
          <cell r="L142" t="str">
            <v>OTR</v>
          </cell>
          <cell r="M142">
            <v>0</v>
          </cell>
          <cell r="N142">
            <v>0</v>
          </cell>
          <cell r="O142">
            <v>5.24</v>
          </cell>
          <cell r="P142">
            <v>7.04</v>
          </cell>
        </row>
        <row r="143">
          <cell r="D143" t="str">
            <v>2922</v>
          </cell>
          <cell r="E143" t="str">
            <v>MARUCHAN RES  85GR X24</v>
          </cell>
          <cell r="F143">
            <v>2.2999999999999998</v>
          </cell>
          <cell r="G143">
            <v>2.2999999999999998</v>
          </cell>
          <cell r="H143">
            <v>2.42</v>
          </cell>
          <cell r="I143">
            <v>2.42</v>
          </cell>
          <cell r="J143" t="str">
            <v>IAJ</v>
          </cell>
          <cell r="K143" t="str">
            <v>OTR</v>
          </cell>
          <cell r="L143" t="str">
            <v>OTR</v>
          </cell>
          <cell r="M143">
            <v>0</v>
          </cell>
          <cell r="N143">
            <v>0</v>
          </cell>
          <cell r="O143">
            <v>2.16</v>
          </cell>
          <cell r="P143">
            <v>2.9</v>
          </cell>
        </row>
        <row r="144">
          <cell r="D144" t="str">
            <v>10560</v>
          </cell>
          <cell r="E144" t="str">
            <v>DELINUT NAPOLITANO 10GR X 48 UN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 t="str">
            <v>IAJ</v>
          </cell>
          <cell r="K144" t="str">
            <v>OTR</v>
          </cell>
          <cell r="L144" t="str">
            <v>OTR</v>
          </cell>
          <cell r="M144">
            <v>0</v>
          </cell>
          <cell r="N144">
            <v>0</v>
          </cell>
          <cell r="O144">
            <v>0</v>
          </cell>
          <cell r="P144">
            <v>13.2</v>
          </cell>
        </row>
        <row r="145">
          <cell r="D145" t="str">
            <v>2493U</v>
          </cell>
          <cell r="E145" t="str">
            <v xml:space="preserve">1UN.TOPPS RING POP 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 t="str">
            <v>IAJ</v>
          </cell>
          <cell r="K145" t="str">
            <v>OTR</v>
          </cell>
          <cell r="L145" t="str">
            <v>OTR</v>
          </cell>
          <cell r="M145">
            <v>0</v>
          </cell>
          <cell r="N145">
            <v>0</v>
          </cell>
          <cell r="O145">
            <v>0</v>
          </cell>
          <cell r="P145">
            <v>2.2000000000000002</v>
          </cell>
        </row>
        <row r="146">
          <cell r="D146" t="str">
            <v>V0767</v>
          </cell>
          <cell r="E146" t="str">
            <v>CERVEZA PERONI BOT.330ML X24</v>
          </cell>
          <cell r="F146">
            <v>4.4800000000000004</v>
          </cell>
          <cell r="G146">
            <v>4.4800000000000004</v>
          </cell>
          <cell r="H146">
            <v>4.57</v>
          </cell>
          <cell r="I146">
            <v>4.57</v>
          </cell>
          <cell r="J146" t="str">
            <v>PRE</v>
          </cell>
          <cell r="K146" t="str">
            <v>PBA</v>
          </cell>
          <cell r="L146" t="str">
            <v>CRE</v>
          </cell>
          <cell r="M146">
            <v>0</v>
          </cell>
          <cell r="N146">
            <v>0</v>
          </cell>
          <cell r="O146">
            <v>4.22</v>
          </cell>
          <cell r="P146">
            <v>4.57</v>
          </cell>
        </row>
        <row r="147">
          <cell r="D147" t="str">
            <v>V0772</v>
          </cell>
          <cell r="E147" t="str">
            <v>CERVEZA GROLSCH BOT.450ML X24</v>
          </cell>
          <cell r="F147">
            <v>8.76</v>
          </cell>
          <cell r="G147">
            <v>8.76</v>
          </cell>
          <cell r="H147">
            <v>8.9499999999999993</v>
          </cell>
          <cell r="I147">
            <v>8.9499999999999993</v>
          </cell>
          <cell r="J147" t="str">
            <v>PRE</v>
          </cell>
          <cell r="K147" t="str">
            <v>PBA</v>
          </cell>
          <cell r="L147" t="str">
            <v>CRE</v>
          </cell>
          <cell r="M147">
            <v>0</v>
          </cell>
          <cell r="N147">
            <v>0</v>
          </cell>
          <cell r="O147">
            <v>6.68</v>
          </cell>
          <cell r="P147">
            <v>8.76</v>
          </cell>
        </row>
        <row r="148">
          <cell r="D148" t="str">
            <v>323002</v>
          </cell>
          <cell r="E148" t="str">
            <v>VODKA WYBOROWA 750ML X12</v>
          </cell>
          <cell r="F148">
            <v>20.637</v>
          </cell>
          <cell r="G148">
            <v>20.637</v>
          </cell>
          <cell r="H148">
            <v>21.048999999999999</v>
          </cell>
          <cell r="I148">
            <v>21.048999999999999</v>
          </cell>
          <cell r="J148" t="str">
            <v>IWA</v>
          </cell>
          <cell r="K148" t="str">
            <v>WYB</v>
          </cell>
          <cell r="L148" t="str">
            <v>VOD</v>
          </cell>
          <cell r="M148">
            <v>0</v>
          </cell>
          <cell r="N148">
            <v>0</v>
          </cell>
          <cell r="O148">
            <v>0</v>
          </cell>
          <cell r="P148">
            <v>26.58</v>
          </cell>
        </row>
        <row r="149">
          <cell r="D149" t="str">
            <v>49716</v>
          </cell>
          <cell r="E149" t="str">
            <v xml:space="preserve">CHEDDAR BURGER 200GR/ QUESO 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 t="str">
            <v>LCP</v>
          </cell>
          <cell r="K149" t="str">
            <v>PRE</v>
          </cell>
          <cell r="L149" t="str">
            <v>QUE</v>
          </cell>
          <cell r="M149">
            <v>0</v>
          </cell>
          <cell r="N149">
            <v>0</v>
          </cell>
          <cell r="O149">
            <v>8.6199999999999992</v>
          </cell>
          <cell r="P149">
            <v>9.52</v>
          </cell>
        </row>
        <row r="150">
          <cell r="D150" t="str">
            <v>026270</v>
          </cell>
          <cell r="E150" t="str">
            <v xml:space="preserve">CREMA DE QUESO BRIE PRESIDENT 125GR 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>LCP</v>
          </cell>
          <cell r="K150" t="str">
            <v>PRE</v>
          </cell>
          <cell r="L150" t="str">
            <v>QUE</v>
          </cell>
          <cell r="M150">
            <v>0</v>
          </cell>
          <cell r="N150">
            <v>0</v>
          </cell>
          <cell r="O150">
            <v>12.61</v>
          </cell>
          <cell r="P150">
            <v>13.08</v>
          </cell>
        </row>
        <row r="151">
          <cell r="D151" t="str">
            <v>228004</v>
          </cell>
          <cell r="E151" t="str">
            <v>RON ZACAPA AMBAR 12 AÑOS X750ML</v>
          </cell>
          <cell r="F151">
            <v>109.19</v>
          </cell>
          <cell r="G151">
            <v>109.19</v>
          </cell>
          <cell r="H151">
            <v>111.56</v>
          </cell>
          <cell r="I151">
            <v>111.56</v>
          </cell>
          <cell r="J151" t="str">
            <v>IWA</v>
          </cell>
          <cell r="K151" t="str">
            <v>OTR</v>
          </cell>
          <cell r="L151" t="str">
            <v>OTR</v>
          </cell>
          <cell r="M151">
            <v>0</v>
          </cell>
          <cell r="N151">
            <v>0</v>
          </cell>
          <cell r="O151">
            <v>99</v>
          </cell>
          <cell r="P151">
            <v>122.71</v>
          </cell>
        </row>
        <row r="152">
          <cell r="D152" t="str">
            <v>RON0974</v>
          </cell>
          <cell r="E152" t="str">
            <v>RON KINGSTON RUBIO 200ML X24</v>
          </cell>
          <cell r="F152">
            <v>8.6</v>
          </cell>
          <cell r="G152">
            <v>8.6</v>
          </cell>
          <cell r="H152">
            <v>8.77</v>
          </cell>
          <cell r="I152">
            <v>8.77</v>
          </cell>
          <cell r="J152" t="str">
            <v>IWA</v>
          </cell>
          <cell r="K152" t="str">
            <v>OTR</v>
          </cell>
          <cell r="L152" t="str">
            <v>OTR</v>
          </cell>
          <cell r="M152">
            <v>0</v>
          </cell>
          <cell r="N152">
            <v>0</v>
          </cell>
          <cell r="O152">
            <v>0</v>
          </cell>
          <cell r="P152">
            <v>11.17</v>
          </cell>
        </row>
        <row r="153">
          <cell r="D153" t="str">
            <v>LIC2005</v>
          </cell>
          <cell r="E153" t="str">
            <v xml:space="preserve">DU BOUCHETT CREMA DE MENTA VERDE 1LT </v>
          </cell>
          <cell r="F153">
            <v>39.99</v>
          </cell>
          <cell r="G153">
            <v>39.99</v>
          </cell>
          <cell r="H153">
            <v>40.86</v>
          </cell>
          <cell r="I153">
            <v>40.86</v>
          </cell>
          <cell r="J153" t="str">
            <v>IWA</v>
          </cell>
          <cell r="K153" t="str">
            <v>OTR</v>
          </cell>
          <cell r="L153" t="str">
            <v>OTR</v>
          </cell>
          <cell r="M153">
            <v>0</v>
          </cell>
          <cell r="N153">
            <v>0</v>
          </cell>
          <cell r="O153">
            <v>0</v>
          </cell>
          <cell r="P153">
            <v>53</v>
          </cell>
        </row>
        <row r="154">
          <cell r="D154" t="str">
            <v>ESP0257</v>
          </cell>
          <cell r="E154" t="str">
            <v>ESPUM. CINZANO PROSECCO 750MLX6</v>
          </cell>
          <cell r="F154">
            <v>35.53</v>
          </cell>
          <cell r="G154">
            <v>35.53</v>
          </cell>
          <cell r="H154">
            <v>36.24</v>
          </cell>
          <cell r="I154">
            <v>36.24</v>
          </cell>
          <cell r="J154" t="str">
            <v>IWA</v>
          </cell>
          <cell r="K154" t="str">
            <v>OTR</v>
          </cell>
          <cell r="L154" t="str">
            <v>OTR</v>
          </cell>
          <cell r="M154">
            <v>0</v>
          </cell>
          <cell r="N154">
            <v>0</v>
          </cell>
          <cell r="O154">
            <v>40.96</v>
          </cell>
          <cell r="P154">
            <v>46.14</v>
          </cell>
        </row>
        <row r="155">
          <cell r="D155" t="str">
            <v>WHI0145</v>
          </cell>
          <cell r="E155" t="str">
            <v>WHIS.OLD SMUGGLER 750ML X6</v>
          </cell>
          <cell r="F155">
            <v>21.22</v>
          </cell>
          <cell r="G155">
            <v>21.22</v>
          </cell>
          <cell r="H155">
            <v>21.65</v>
          </cell>
          <cell r="I155">
            <v>21.65</v>
          </cell>
          <cell r="J155" t="str">
            <v>IWA</v>
          </cell>
          <cell r="K155" t="str">
            <v>OTR</v>
          </cell>
          <cell r="L155" t="str">
            <v>OTR</v>
          </cell>
          <cell r="M155">
            <v>0</v>
          </cell>
          <cell r="N155">
            <v>0</v>
          </cell>
          <cell r="O155">
            <v>0</v>
          </cell>
          <cell r="P155">
            <v>27.31</v>
          </cell>
        </row>
        <row r="156">
          <cell r="D156" t="str">
            <v>VER0003</v>
          </cell>
          <cell r="E156" t="str">
            <v>VERMOUTH CINZANO ROSSO 750ML X 12</v>
          </cell>
          <cell r="F156">
            <v>46.13</v>
          </cell>
          <cell r="G156">
            <v>46.13</v>
          </cell>
          <cell r="H156">
            <v>47.06</v>
          </cell>
          <cell r="I156">
            <v>47.06</v>
          </cell>
          <cell r="J156" t="str">
            <v>IWA</v>
          </cell>
          <cell r="K156" t="str">
            <v>OTR</v>
          </cell>
          <cell r="L156" t="str">
            <v>OTR</v>
          </cell>
          <cell r="M156">
            <v>0</v>
          </cell>
          <cell r="N156">
            <v>0</v>
          </cell>
          <cell r="O156">
            <v>41.69</v>
          </cell>
          <cell r="P156">
            <v>59.91</v>
          </cell>
        </row>
        <row r="157">
          <cell r="D157" t="str">
            <v>LIC0012</v>
          </cell>
          <cell r="E157" t="str">
            <v>LICOR APEROL 750ML X6</v>
          </cell>
          <cell r="F157">
            <v>52.68</v>
          </cell>
          <cell r="G157">
            <v>52.68</v>
          </cell>
          <cell r="H157">
            <v>53.73</v>
          </cell>
          <cell r="I157">
            <v>53.73</v>
          </cell>
          <cell r="J157" t="str">
            <v>IWA</v>
          </cell>
          <cell r="K157" t="str">
            <v>OTR</v>
          </cell>
          <cell r="L157" t="str">
            <v>OTR</v>
          </cell>
          <cell r="M157">
            <v>0</v>
          </cell>
          <cell r="N157">
            <v>0</v>
          </cell>
          <cell r="O157">
            <v>47.25</v>
          </cell>
          <cell r="P157">
            <v>68.41</v>
          </cell>
        </row>
        <row r="158">
          <cell r="D158" t="str">
            <v>WHI0349</v>
          </cell>
          <cell r="E158" t="str">
            <v>WHIS.JOHNNIE W.BLACK LABEL 750ML X12</v>
          </cell>
          <cell r="F158">
            <v>90.2</v>
          </cell>
          <cell r="G158">
            <v>90.2</v>
          </cell>
          <cell r="H158">
            <v>92</v>
          </cell>
          <cell r="I158">
            <v>92</v>
          </cell>
          <cell r="J158" t="str">
            <v>IWA</v>
          </cell>
          <cell r="K158" t="str">
            <v>OTR</v>
          </cell>
          <cell r="L158" t="str">
            <v>OTR</v>
          </cell>
          <cell r="M158">
            <v>0</v>
          </cell>
          <cell r="N158">
            <v>0</v>
          </cell>
          <cell r="O158">
            <v>81</v>
          </cell>
          <cell r="P158">
            <v>116.43</v>
          </cell>
        </row>
        <row r="159">
          <cell r="D159" t="str">
            <v>WHI0353</v>
          </cell>
          <cell r="E159" t="str">
            <v>WHIS.JOHNNIE W. GOLD RESERVE  750ML X6</v>
          </cell>
          <cell r="F159">
            <v>188.5</v>
          </cell>
          <cell r="G159">
            <v>188.5</v>
          </cell>
          <cell r="H159">
            <v>192.27</v>
          </cell>
          <cell r="I159">
            <v>192.27</v>
          </cell>
          <cell r="J159" t="str">
            <v>IWA</v>
          </cell>
          <cell r="K159" t="str">
            <v>OTR</v>
          </cell>
          <cell r="L159" t="str">
            <v>OTR</v>
          </cell>
          <cell r="M159">
            <v>0</v>
          </cell>
          <cell r="N159">
            <v>0</v>
          </cell>
          <cell r="O159">
            <v>169</v>
          </cell>
          <cell r="P159">
            <v>233.29</v>
          </cell>
        </row>
        <row r="160">
          <cell r="D160" t="str">
            <v>V0071</v>
          </cell>
          <cell r="E160" t="str">
            <v xml:space="preserve">PACK CREMA BAILEYS ORIG 750MLL + JARRO X6 </v>
          </cell>
          <cell r="F160">
            <v>64.91</v>
          </cell>
          <cell r="G160">
            <v>64.91</v>
          </cell>
          <cell r="H160">
            <v>66.2</v>
          </cell>
          <cell r="I160">
            <v>66.2</v>
          </cell>
          <cell r="J160" t="str">
            <v>IWA</v>
          </cell>
          <cell r="K160" t="str">
            <v>OTR</v>
          </cell>
          <cell r="L160" t="str">
            <v>OTR</v>
          </cell>
          <cell r="M160">
            <v>0</v>
          </cell>
          <cell r="N160">
            <v>0</v>
          </cell>
          <cell r="O160">
            <v>0</v>
          </cell>
          <cell r="P160">
            <v>72.819999999999993</v>
          </cell>
        </row>
        <row r="161">
          <cell r="D161" t="str">
            <v>WHI0352</v>
          </cell>
          <cell r="E161" t="str">
            <v>WHIS.JOHNNIE W. DOUBLE BLACK  750ML X6</v>
          </cell>
          <cell r="F161">
            <v>123.53</v>
          </cell>
          <cell r="G161">
            <v>123.53</v>
          </cell>
          <cell r="H161">
            <v>126</v>
          </cell>
          <cell r="I161">
            <v>126</v>
          </cell>
          <cell r="J161" t="str">
            <v>IWA</v>
          </cell>
          <cell r="K161" t="str">
            <v>OTR</v>
          </cell>
          <cell r="L161" t="str">
            <v>OTR</v>
          </cell>
          <cell r="M161">
            <v>0</v>
          </cell>
          <cell r="N161">
            <v>0</v>
          </cell>
          <cell r="O161">
            <v>106</v>
          </cell>
          <cell r="P161">
            <v>149.29</v>
          </cell>
        </row>
        <row r="162">
          <cell r="D162" t="str">
            <v>LIC002</v>
          </cell>
          <cell r="E162" t="str">
            <v>DU BOUCHETT CURACAO (AZUL) 1LT X 12</v>
          </cell>
          <cell r="F162">
            <v>39.99</v>
          </cell>
          <cell r="G162">
            <v>39.99</v>
          </cell>
          <cell r="H162">
            <v>40.86</v>
          </cell>
          <cell r="I162">
            <v>40.86</v>
          </cell>
          <cell r="J162" t="str">
            <v>IWA</v>
          </cell>
          <cell r="K162" t="str">
            <v>OTR</v>
          </cell>
          <cell r="L162" t="str">
            <v>OTR</v>
          </cell>
          <cell r="M162">
            <v>0</v>
          </cell>
          <cell r="N162">
            <v>0</v>
          </cell>
          <cell r="O162">
            <v>36.06</v>
          </cell>
          <cell r="P162">
            <v>53</v>
          </cell>
        </row>
        <row r="163">
          <cell r="D163" t="str">
            <v>CRE0245</v>
          </cell>
          <cell r="E163" t="str">
            <v>CREMA DE COCO / COCOBAR 240ML X 24</v>
          </cell>
          <cell r="F163">
            <v>5.89</v>
          </cell>
          <cell r="G163">
            <v>5.89</v>
          </cell>
          <cell r="H163">
            <v>6.02</v>
          </cell>
          <cell r="I163">
            <v>6.02</v>
          </cell>
          <cell r="J163" t="str">
            <v>IWA</v>
          </cell>
          <cell r="K163" t="str">
            <v>OTR</v>
          </cell>
          <cell r="L163" t="str">
            <v>OTR</v>
          </cell>
          <cell r="M163">
            <v>0</v>
          </cell>
          <cell r="N163">
            <v>0</v>
          </cell>
          <cell r="O163">
            <v>5.4</v>
          </cell>
          <cell r="P163">
            <v>7.14</v>
          </cell>
        </row>
        <row r="164">
          <cell r="D164" t="str">
            <v>APE0156</v>
          </cell>
          <cell r="E164" t="str">
            <v>ANGOSTURA AROMATIC BITTER 100M X 12</v>
          </cell>
          <cell r="F164">
            <v>49.97</v>
          </cell>
          <cell r="G164">
            <v>49.97</v>
          </cell>
          <cell r="H164">
            <v>50.72</v>
          </cell>
          <cell r="I164">
            <v>50.72</v>
          </cell>
          <cell r="J164" t="str">
            <v>IWA</v>
          </cell>
          <cell r="K164" t="str">
            <v>OTR</v>
          </cell>
          <cell r="L164" t="str">
            <v>OTR</v>
          </cell>
          <cell r="M164">
            <v>0</v>
          </cell>
          <cell r="N164">
            <v>0</v>
          </cell>
          <cell r="O164">
            <v>41.29</v>
          </cell>
          <cell r="P164">
            <v>59.2</v>
          </cell>
        </row>
        <row r="165">
          <cell r="D165" t="str">
            <v>228003</v>
          </cell>
          <cell r="E165" t="str">
            <v>RON ZACAPA 23 AÑOS X750ML</v>
          </cell>
          <cell r="F165">
            <v>196.41</v>
          </cell>
          <cell r="G165">
            <v>196.41</v>
          </cell>
          <cell r="H165">
            <v>200.67</v>
          </cell>
          <cell r="I165">
            <v>200.67</v>
          </cell>
          <cell r="J165" t="str">
            <v>IWA</v>
          </cell>
          <cell r="K165" t="str">
            <v>OTR</v>
          </cell>
          <cell r="L165" t="str">
            <v>OTR</v>
          </cell>
          <cell r="M165">
            <v>0</v>
          </cell>
          <cell r="N165">
            <v>0</v>
          </cell>
          <cell r="O165">
            <v>155.5</v>
          </cell>
          <cell r="P165">
            <v>229.29</v>
          </cell>
        </row>
        <row r="166">
          <cell r="D166" t="str">
            <v>ESP0096</v>
          </cell>
          <cell r="E166" t="str">
            <v>ESPUMANTE CINZANO TO SPRITS 750MLX6</v>
          </cell>
          <cell r="F166">
            <v>52.25</v>
          </cell>
          <cell r="G166">
            <v>52.25</v>
          </cell>
          <cell r="H166">
            <v>53.3</v>
          </cell>
          <cell r="I166">
            <v>53.3</v>
          </cell>
          <cell r="J166" t="str">
            <v>IWA</v>
          </cell>
          <cell r="K166" t="str">
            <v>OTR</v>
          </cell>
          <cell r="L166" t="str">
            <v>OTR</v>
          </cell>
          <cell r="M166">
            <v>0</v>
          </cell>
          <cell r="N166">
            <v>0</v>
          </cell>
          <cell r="O166">
            <v>29.5</v>
          </cell>
          <cell r="P166">
            <v>67.86</v>
          </cell>
        </row>
        <row r="167">
          <cell r="D167" t="str">
            <v>WHI0015</v>
          </cell>
          <cell r="E167" t="str">
            <v>WHISKY OLD SMUGGLER 200ML X 24</v>
          </cell>
          <cell r="F167">
            <v>6.3</v>
          </cell>
          <cell r="G167">
            <v>6.3</v>
          </cell>
          <cell r="H167">
            <v>6.43</v>
          </cell>
          <cell r="I167">
            <v>6.43</v>
          </cell>
          <cell r="J167" t="str">
            <v>IWA</v>
          </cell>
          <cell r="K167" t="str">
            <v>OTR</v>
          </cell>
          <cell r="L167" t="str">
            <v>OTR</v>
          </cell>
          <cell r="M167">
            <v>0</v>
          </cell>
          <cell r="N167">
            <v>0</v>
          </cell>
          <cell r="O167">
            <v>0</v>
          </cell>
          <cell r="P167">
            <v>8.19</v>
          </cell>
        </row>
        <row r="168">
          <cell r="D168" t="str">
            <v>LIC1897</v>
          </cell>
          <cell r="E168" t="str">
            <v>DU BOUCHETT TRIPLE SEC 1LT X 12</v>
          </cell>
          <cell r="F168">
            <v>39.99</v>
          </cell>
          <cell r="G168">
            <v>39.99</v>
          </cell>
          <cell r="H168">
            <v>40.86</v>
          </cell>
          <cell r="I168">
            <v>40.86</v>
          </cell>
          <cell r="J168" t="str">
            <v>IWA</v>
          </cell>
          <cell r="K168" t="str">
            <v>OTR</v>
          </cell>
          <cell r="L168" t="str">
            <v>OTR</v>
          </cell>
          <cell r="M168">
            <v>0</v>
          </cell>
          <cell r="N168">
            <v>0</v>
          </cell>
          <cell r="O168">
            <v>0</v>
          </cell>
          <cell r="P168">
            <v>53</v>
          </cell>
        </row>
        <row r="169">
          <cell r="D169" t="str">
            <v>WHI0105</v>
          </cell>
          <cell r="E169" t="str">
            <v>WHIS.OLD PARR 12AÑ 750ML+ 2 VASOS</v>
          </cell>
          <cell r="F169">
            <v>103.76</v>
          </cell>
          <cell r="G169">
            <v>103.76</v>
          </cell>
          <cell r="H169">
            <v>105.83</v>
          </cell>
          <cell r="I169">
            <v>105.83</v>
          </cell>
          <cell r="J169" t="str">
            <v>IWA</v>
          </cell>
          <cell r="K169" t="str">
            <v>OTR</v>
          </cell>
          <cell r="L169" t="str">
            <v>OTR</v>
          </cell>
          <cell r="M169">
            <v>0</v>
          </cell>
          <cell r="N169">
            <v>0</v>
          </cell>
          <cell r="O169">
            <v>97.61</v>
          </cell>
          <cell r="P169">
            <v>105.83</v>
          </cell>
        </row>
        <row r="170">
          <cell r="D170" t="str">
            <v>WHI0348</v>
          </cell>
          <cell r="E170" t="str">
            <v>WHIS.JOHNNIE W.RED LABEL 750ML X12</v>
          </cell>
          <cell r="F170">
            <v>40.15</v>
          </cell>
          <cell r="G170">
            <v>40.15</v>
          </cell>
          <cell r="H170">
            <v>40.950000000000003</v>
          </cell>
          <cell r="I170">
            <v>40.950000000000003</v>
          </cell>
          <cell r="J170" t="str">
            <v>IWA</v>
          </cell>
          <cell r="K170" t="str">
            <v>OTR</v>
          </cell>
          <cell r="L170" t="str">
            <v>OTR</v>
          </cell>
          <cell r="M170">
            <v>0</v>
          </cell>
          <cell r="N170">
            <v>0</v>
          </cell>
          <cell r="O170">
            <v>35.9</v>
          </cell>
          <cell r="P170">
            <v>50</v>
          </cell>
        </row>
        <row r="171">
          <cell r="D171" t="str">
            <v>WHI0029</v>
          </cell>
          <cell r="E171" t="str">
            <v>WHIS.JOHN. W.GOLD LABEL RESERV 200ML X24</v>
          </cell>
          <cell r="F171">
            <v>64.83</v>
          </cell>
          <cell r="G171">
            <v>64.83</v>
          </cell>
          <cell r="H171">
            <v>66.13</v>
          </cell>
          <cell r="I171">
            <v>66.13</v>
          </cell>
          <cell r="J171" t="str">
            <v>IWA</v>
          </cell>
          <cell r="K171" t="str">
            <v>OTR</v>
          </cell>
          <cell r="L171" t="str">
            <v>OTR</v>
          </cell>
          <cell r="M171">
            <v>0</v>
          </cell>
          <cell r="N171">
            <v>0</v>
          </cell>
          <cell r="O171">
            <v>58.8</v>
          </cell>
          <cell r="P171">
            <v>84.2</v>
          </cell>
        </row>
        <row r="172">
          <cell r="D172" t="str">
            <v>WHI0759</v>
          </cell>
          <cell r="E172" t="str">
            <v>WHISKY SWING 750ML X 12</v>
          </cell>
          <cell r="F172">
            <v>191.18</v>
          </cell>
          <cell r="G172">
            <v>191.18</v>
          </cell>
          <cell r="H172">
            <v>195</v>
          </cell>
          <cell r="I172">
            <v>195</v>
          </cell>
          <cell r="J172" t="str">
            <v>IWA</v>
          </cell>
          <cell r="K172" t="str">
            <v>OTR</v>
          </cell>
          <cell r="L172" t="str">
            <v>OTR</v>
          </cell>
          <cell r="M172">
            <v>0</v>
          </cell>
          <cell r="N172">
            <v>0</v>
          </cell>
          <cell r="O172">
            <v>180.19</v>
          </cell>
          <cell r="P172">
            <v>227.59</v>
          </cell>
        </row>
        <row r="173">
          <cell r="D173" t="str">
            <v>WHI0997</v>
          </cell>
          <cell r="E173" t="str">
            <v>WHISKY JW BLANCK LABEL 750ML + PARLANTE X 6</v>
          </cell>
          <cell r="F173">
            <v>134.82</v>
          </cell>
          <cell r="G173">
            <v>134.82</v>
          </cell>
          <cell r="H173">
            <v>137.51</v>
          </cell>
          <cell r="I173">
            <v>137.51</v>
          </cell>
          <cell r="J173" t="str">
            <v>IWA</v>
          </cell>
          <cell r="K173" t="str">
            <v>OTR</v>
          </cell>
          <cell r="L173" t="str">
            <v>OTR</v>
          </cell>
          <cell r="M173">
            <v>0</v>
          </cell>
          <cell r="N173">
            <v>0</v>
          </cell>
          <cell r="O173">
            <v>126.91</v>
          </cell>
          <cell r="P173">
            <v>137.51</v>
          </cell>
        </row>
        <row r="174">
          <cell r="D174" t="str">
            <v>APE0155</v>
          </cell>
          <cell r="E174" t="str">
            <v>ANGOSTURA ORANGE BITTER 100ML X 24</v>
          </cell>
          <cell r="F174">
            <v>49.97</v>
          </cell>
          <cell r="G174">
            <v>49.97</v>
          </cell>
          <cell r="H174">
            <v>50.72</v>
          </cell>
          <cell r="I174">
            <v>50.72</v>
          </cell>
          <cell r="J174" t="str">
            <v>IWA</v>
          </cell>
          <cell r="K174" t="str">
            <v>OTR</v>
          </cell>
          <cell r="L174" t="str">
            <v>OTR</v>
          </cell>
          <cell r="M174">
            <v>0</v>
          </cell>
          <cell r="N174">
            <v>0</v>
          </cell>
          <cell r="O174">
            <v>43.05</v>
          </cell>
          <cell r="P174">
            <v>61.71</v>
          </cell>
        </row>
        <row r="175">
          <cell r="D175" t="str">
            <v>WHI0350</v>
          </cell>
          <cell r="E175" t="str">
            <v>WHIS.JOHNNIE W. A SONG OF FIRE 750ML X12</v>
          </cell>
          <cell r="F175">
            <v>89.9</v>
          </cell>
          <cell r="G175">
            <v>89.9</v>
          </cell>
          <cell r="H175">
            <v>91.7</v>
          </cell>
          <cell r="I175">
            <v>91.7</v>
          </cell>
          <cell r="J175" t="str">
            <v>IWA</v>
          </cell>
          <cell r="K175" t="str">
            <v>OTR</v>
          </cell>
          <cell r="L175" t="str">
            <v>OTR</v>
          </cell>
          <cell r="M175">
            <v>0</v>
          </cell>
          <cell r="N175">
            <v>0</v>
          </cell>
          <cell r="O175">
            <v>80</v>
          </cell>
          <cell r="P175">
            <v>114.68</v>
          </cell>
        </row>
        <row r="176">
          <cell r="D176" t="str">
            <v>WHI1014</v>
          </cell>
          <cell r="E176" t="str">
            <v>WHIS.OLD PARR 12AÑ 750ML</v>
          </cell>
          <cell r="F176">
            <v>83.66</v>
          </cell>
          <cell r="G176">
            <v>83.66</v>
          </cell>
          <cell r="H176">
            <v>85.33</v>
          </cell>
          <cell r="I176">
            <v>85.33</v>
          </cell>
          <cell r="J176" t="str">
            <v>IWA</v>
          </cell>
          <cell r="K176" t="str">
            <v>OTR</v>
          </cell>
          <cell r="L176" t="str">
            <v>OTR</v>
          </cell>
          <cell r="M176">
            <v>0</v>
          </cell>
          <cell r="N176">
            <v>0</v>
          </cell>
          <cell r="O176">
            <v>67</v>
          </cell>
          <cell r="P176">
            <v>83.99</v>
          </cell>
        </row>
        <row r="177">
          <cell r="D177" t="str">
            <v>JAR0016</v>
          </cell>
          <cell r="E177" t="str">
            <v>JARABE DE GRANADINA VARGAS 750MLX12</v>
          </cell>
          <cell r="F177">
            <v>10.92</v>
          </cell>
          <cell r="G177">
            <v>10.92</v>
          </cell>
          <cell r="H177">
            <v>11.15</v>
          </cell>
          <cell r="I177">
            <v>11.15</v>
          </cell>
          <cell r="J177" t="str">
            <v>IWA</v>
          </cell>
          <cell r="K177" t="str">
            <v>OTR</v>
          </cell>
          <cell r="L177" t="str">
            <v>OTR</v>
          </cell>
          <cell r="M177">
            <v>0</v>
          </cell>
          <cell r="N177">
            <v>0</v>
          </cell>
          <cell r="O177">
            <v>9.8000000000000007</v>
          </cell>
          <cell r="P177">
            <v>11.38</v>
          </cell>
        </row>
        <row r="178">
          <cell r="D178" t="str">
            <v>WHI1068</v>
          </cell>
          <cell r="E178" t="str">
            <v>WHISKY JHONIE WALKER BLONDE 750MLX12</v>
          </cell>
          <cell r="F178">
            <v>67.680000000000007</v>
          </cell>
          <cell r="G178">
            <v>67.680000000000007</v>
          </cell>
          <cell r="H178">
            <v>69.040000000000006</v>
          </cell>
          <cell r="I178">
            <v>69.040000000000006</v>
          </cell>
          <cell r="J178" t="str">
            <v>IWA</v>
          </cell>
          <cell r="K178" t="str">
            <v>OTR</v>
          </cell>
          <cell r="L178" t="str">
            <v>OTR</v>
          </cell>
          <cell r="M178">
            <v>0</v>
          </cell>
          <cell r="N178">
            <v>0</v>
          </cell>
          <cell r="O178">
            <v>60</v>
          </cell>
          <cell r="P178">
            <v>75.94</v>
          </cell>
        </row>
        <row r="179">
          <cell r="D179" t="str">
            <v>GIN0007</v>
          </cell>
          <cell r="E179" t="str">
            <v>GIN BULLDOG 750ML X6</v>
          </cell>
          <cell r="F179">
            <v>109.81</v>
          </cell>
          <cell r="G179">
            <v>109.81</v>
          </cell>
          <cell r="H179">
            <v>112.01</v>
          </cell>
          <cell r="I179">
            <v>112.01</v>
          </cell>
          <cell r="J179" t="str">
            <v>IWA</v>
          </cell>
          <cell r="K179" t="str">
            <v>OTR</v>
          </cell>
          <cell r="L179" t="str">
            <v>OTR</v>
          </cell>
          <cell r="M179">
            <v>0</v>
          </cell>
          <cell r="N179">
            <v>0</v>
          </cell>
          <cell r="O179">
            <v>99.58</v>
          </cell>
          <cell r="P179">
            <v>142.61000000000001</v>
          </cell>
        </row>
        <row r="180">
          <cell r="D180" t="str">
            <v>LIC2012</v>
          </cell>
          <cell r="E180" t="str">
            <v>DU BOUCHETT CREMA DE CACAO DARK 1 LT</v>
          </cell>
          <cell r="F180">
            <v>39.99</v>
          </cell>
          <cell r="G180">
            <v>39.99</v>
          </cell>
          <cell r="H180">
            <v>40.86</v>
          </cell>
          <cell r="I180">
            <v>40.86</v>
          </cell>
          <cell r="J180" t="str">
            <v>IWA</v>
          </cell>
          <cell r="K180" t="str">
            <v>OTR</v>
          </cell>
          <cell r="L180" t="str">
            <v>OTR</v>
          </cell>
          <cell r="M180">
            <v>0</v>
          </cell>
          <cell r="N180">
            <v>0</v>
          </cell>
          <cell r="O180">
            <v>0</v>
          </cell>
          <cell r="P180">
            <v>53</v>
          </cell>
        </row>
        <row r="181">
          <cell r="D181" t="str">
            <v>19528</v>
          </cell>
          <cell r="E181" t="str">
            <v>EVERVESS X 1.50LX6</v>
          </cell>
          <cell r="F181">
            <v>4.95</v>
          </cell>
          <cell r="G181">
            <v>4.95</v>
          </cell>
          <cell r="H181">
            <v>4.95</v>
          </cell>
          <cell r="I181">
            <v>4.95</v>
          </cell>
          <cell r="J181" t="str">
            <v>IWA</v>
          </cell>
          <cell r="K181" t="str">
            <v>OTR</v>
          </cell>
          <cell r="L181" t="str">
            <v>OTR</v>
          </cell>
          <cell r="M181">
            <v>0</v>
          </cell>
          <cell r="N181">
            <v>0</v>
          </cell>
          <cell r="O181">
            <v>4.82</v>
          </cell>
          <cell r="P181">
            <v>4.4800000000000004</v>
          </cell>
        </row>
        <row r="182">
          <cell r="D182" t="str">
            <v>WHIOP</v>
          </cell>
          <cell r="E182" t="str">
            <v>WHISKY OLD  PARR.SUPERIOR 12 AÑOS 750MX12</v>
          </cell>
          <cell r="F182">
            <v>79.59</v>
          </cell>
          <cell r="G182">
            <v>79.59</v>
          </cell>
          <cell r="H182">
            <v>79.59</v>
          </cell>
          <cell r="I182">
            <v>79.59</v>
          </cell>
          <cell r="J182" t="str">
            <v>IWA</v>
          </cell>
          <cell r="K182" t="str">
            <v>OTR</v>
          </cell>
          <cell r="L182" t="str">
            <v>OTR</v>
          </cell>
          <cell r="M182">
            <v>0</v>
          </cell>
          <cell r="N182">
            <v>0</v>
          </cell>
          <cell r="O182">
            <v>75</v>
          </cell>
          <cell r="P182">
            <v>97.86</v>
          </cell>
        </row>
        <row r="183">
          <cell r="D183" t="str">
            <v>RON0980</v>
          </cell>
          <cell r="E183" t="str">
            <v>RON KINGSTON GOLD 750ML X12</v>
          </cell>
          <cell r="F183">
            <v>26.87</v>
          </cell>
          <cell r="G183">
            <v>26.87</v>
          </cell>
          <cell r="H183">
            <v>27.41</v>
          </cell>
          <cell r="I183">
            <v>27.41</v>
          </cell>
          <cell r="J183" t="str">
            <v>IWA</v>
          </cell>
          <cell r="K183" t="str">
            <v>OTR</v>
          </cell>
          <cell r="L183" t="str">
            <v>OTR</v>
          </cell>
          <cell r="M183">
            <v>0</v>
          </cell>
          <cell r="N183">
            <v>0</v>
          </cell>
          <cell r="O183">
            <v>0</v>
          </cell>
          <cell r="P183">
            <v>35.21</v>
          </cell>
        </row>
        <row r="184">
          <cell r="D184" t="str">
            <v>APE0109</v>
          </cell>
          <cell r="E184" t="str">
            <v>ANGOSTURA AROMATIC BITTER 200ML X24</v>
          </cell>
          <cell r="F184">
            <v>73.209999999999994</v>
          </cell>
          <cell r="G184">
            <v>73.209999999999994</v>
          </cell>
          <cell r="H184">
            <v>74.790000000000006</v>
          </cell>
          <cell r="I184">
            <v>74.790000000000006</v>
          </cell>
          <cell r="J184" t="str">
            <v>IWA</v>
          </cell>
          <cell r="K184" t="str">
            <v>OTR</v>
          </cell>
          <cell r="L184" t="str">
            <v>OTR</v>
          </cell>
          <cell r="M184">
            <v>0</v>
          </cell>
          <cell r="N184">
            <v>0</v>
          </cell>
          <cell r="O184">
            <v>66.400000000000006</v>
          </cell>
          <cell r="P184">
            <v>95.07</v>
          </cell>
        </row>
        <row r="185">
          <cell r="D185" t="str">
            <v>APE0154</v>
          </cell>
          <cell r="E185" t="str">
            <v>ANGOSTURA COCOA BITTERS 100ML X 24</v>
          </cell>
          <cell r="F185">
            <v>49.97</v>
          </cell>
          <cell r="G185">
            <v>49.97</v>
          </cell>
          <cell r="H185">
            <v>50.72</v>
          </cell>
          <cell r="I185">
            <v>50.72</v>
          </cell>
          <cell r="J185" t="str">
            <v>IWA</v>
          </cell>
          <cell r="K185" t="str">
            <v>OTR</v>
          </cell>
          <cell r="L185" t="str">
            <v>OTR</v>
          </cell>
          <cell r="M185">
            <v>0</v>
          </cell>
          <cell r="N185">
            <v>0</v>
          </cell>
          <cell r="O185">
            <v>44.1</v>
          </cell>
          <cell r="P185">
            <v>65.73</v>
          </cell>
        </row>
        <row r="186">
          <cell r="D186" t="str">
            <v>223312</v>
          </cell>
          <cell r="E186" t="str">
            <v xml:space="preserve">JW BLACK 75CL+ TUMBLER NEGRO </v>
          </cell>
          <cell r="F186">
            <v>97.36</v>
          </cell>
          <cell r="G186">
            <v>97.36</v>
          </cell>
          <cell r="H186">
            <v>99.31</v>
          </cell>
          <cell r="I186">
            <v>99.31</v>
          </cell>
          <cell r="J186" t="str">
            <v>IWA</v>
          </cell>
          <cell r="K186" t="str">
            <v>OTR</v>
          </cell>
          <cell r="L186" t="str">
            <v>OTR</v>
          </cell>
          <cell r="M186">
            <v>0</v>
          </cell>
          <cell r="N186">
            <v>0</v>
          </cell>
          <cell r="O186">
            <v>88.49</v>
          </cell>
          <cell r="P186">
            <v>109.24</v>
          </cell>
        </row>
        <row r="187">
          <cell r="D187" t="str">
            <v>WHI0998</v>
          </cell>
          <cell r="E187" t="str">
            <v>WHIS.JOHNNIE W.GREEN LABEL 750ML X 6</v>
          </cell>
          <cell r="F187">
            <v>248.93</v>
          </cell>
          <cell r="G187">
            <v>248.93</v>
          </cell>
          <cell r="H187">
            <v>253.91</v>
          </cell>
          <cell r="I187">
            <v>253.91</v>
          </cell>
          <cell r="J187" t="str">
            <v>IWA</v>
          </cell>
          <cell r="K187" t="str">
            <v>OTR</v>
          </cell>
          <cell r="L187" t="str">
            <v>OTR</v>
          </cell>
          <cell r="M187">
            <v>0</v>
          </cell>
          <cell r="N187">
            <v>0</v>
          </cell>
          <cell r="O187">
            <v>226</v>
          </cell>
          <cell r="P187">
            <v>323.29000000000002</v>
          </cell>
        </row>
        <row r="188">
          <cell r="D188" t="str">
            <v>WHI011</v>
          </cell>
          <cell r="E188" t="str">
            <v>WISKEY BLACK ANDEAN 750ML X 12</v>
          </cell>
          <cell r="F188">
            <v>136.74</v>
          </cell>
          <cell r="G188">
            <v>136.74</v>
          </cell>
          <cell r="H188">
            <v>139.47</v>
          </cell>
          <cell r="I188">
            <v>139.47</v>
          </cell>
          <cell r="J188" t="str">
            <v>IWA</v>
          </cell>
          <cell r="K188" t="str">
            <v>OTR</v>
          </cell>
          <cell r="L188" t="str">
            <v>OTR</v>
          </cell>
          <cell r="M188">
            <v>0</v>
          </cell>
          <cell r="N188">
            <v>0</v>
          </cell>
          <cell r="O188">
            <v>142.5</v>
          </cell>
          <cell r="P188">
            <v>184.29</v>
          </cell>
        </row>
        <row r="189">
          <cell r="D189" t="str">
            <v>WHI0347</v>
          </cell>
          <cell r="E189" t="str">
            <v>WHIS.JOHNNIE W.BLUE LABEL 750ML X6</v>
          </cell>
          <cell r="F189">
            <v>889.78</v>
          </cell>
          <cell r="G189">
            <v>889.78</v>
          </cell>
          <cell r="H189">
            <v>916.47</v>
          </cell>
          <cell r="I189">
            <v>916.47</v>
          </cell>
          <cell r="J189" t="str">
            <v>IWA</v>
          </cell>
          <cell r="K189" t="str">
            <v>OTR</v>
          </cell>
          <cell r="L189" t="str">
            <v>OTR</v>
          </cell>
          <cell r="M189">
            <v>0</v>
          </cell>
          <cell r="N189">
            <v>0</v>
          </cell>
          <cell r="O189">
            <v>700</v>
          </cell>
          <cell r="P189">
            <v>1000.64</v>
          </cell>
        </row>
        <row r="190">
          <cell r="D190" t="str">
            <v>WHI0354</v>
          </cell>
          <cell r="E190" t="str">
            <v>WHISKY J.W. GOLD RESERVE + VASO 750ML X6</v>
          </cell>
          <cell r="F190">
            <v>214.08</v>
          </cell>
          <cell r="G190">
            <v>214.08</v>
          </cell>
          <cell r="H190">
            <v>218.37</v>
          </cell>
          <cell r="I190">
            <v>218.37</v>
          </cell>
          <cell r="J190" t="str">
            <v>IWA</v>
          </cell>
          <cell r="K190" t="str">
            <v>OTR</v>
          </cell>
          <cell r="L190" t="str">
            <v>OTR</v>
          </cell>
          <cell r="M190">
            <v>0</v>
          </cell>
          <cell r="N190">
            <v>0</v>
          </cell>
          <cell r="O190">
            <v>198</v>
          </cell>
          <cell r="P190">
            <v>218.37</v>
          </cell>
        </row>
        <row r="191">
          <cell r="D191" t="str">
            <v>V0070</v>
          </cell>
          <cell r="E191" t="str">
            <v>LICOR DE CREMA BAILEYS ORIGINALX750</v>
          </cell>
          <cell r="F191">
            <v>56.22</v>
          </cell>
          <cell r="G191">
            <v>56.22</v>
          </cell>
          <cell r="H191">
            <v>57.44</v>
          </cell>
          <cell r="I191">
            <v>57.44</v>
          </cell>
          <cell r="J191" t="str">
            <v>IWA</v>
          </cell>
          <cell r="K191" t="str">
            <v>OTR</v>
          </cell>
          <cell r="L191" t="str">
            <v>OTR</v>
          </cell>
          <cell r="M191">
            <v>0</v>
          </cell>
          <cell r="N191">
            <v>0</v>
          </cell>
          <cell r="O191">
            <v>54</v>
          </cell>
          <cell r="P191">
            <v>71.709999999999994</v>
          </cell>
        </row>
        <row r="192">
          <cell r="D192" t="str">
            <v>10030240</v>
          </cell>
          <cell r="E192" t="str">
            <v>GREENALLS WILL BERRY 700ML X 6</v>
          </cell>
          <cell r="F192">
            <v>63.57</v>
          </cell>
          <cell r="G192">
            <v>63.57</v>
          </cell>
          <cell r="H192">
            <v>63.57</v>
          </cell>
          <cell r="I192">
            <v>63.57</v>
          </cell>
          <cell r="J192" t="str">
            <v>RPD</v>
          </cell>
          <cell r="K192" t="str">
            <v>OTR</v>
          </cell>
          <cell r="L192" t="str">
            <v>OTR</v>
          </cell>
          <cell r="M192">
            <v>0</v>
          </cell>
          <cell r="N192">
            <v>0</v>
          </cell>
          <cell r="O192">
            <v>54.86</v>
          </cell>
          <cell r="P192">
            <v>69.930000000000007</v>
          </cell>
        </row>
        <row r="193">
          <cell r="D193" t="str">
            <v>10033500</v>
          </cell>
          <cell r="E193" t="str">
            <v>GREENALLS RTD BLUEBERRY GIN &amp; TONIC 250ML X 12</v>
          </cell>
          <cell r="F193">
            <v>5.51</v>
          </cell>
          <cell r="G193">
            <v>5.51</v>
          </cell>
          <cell r="H193">
            <v>5.51</v>
          </cell>
          <cell r="I193">
            <v>5.51</v>
          </cell>
          <cell r="J193" t="str">
            <v>RPD</v>
          </cell>
          <cell r="K193" t="str">
            <v>OTR</v>
          </cell>
          <cell r="L193" t="str">
            <v>OTR</v>
          </cell>
          <cell r="M193">
            <v>0</v>
          </cell>
          <cell r="N193">
            <v>0</v>
          </cell>
          <cell r="O193">
            <v>0</v>
          </cell>
          <cell r="P193">
            <v>5.78</v>
          </cell>
        </row>
        <row r="194">
          <cell r="D194" t="str">
            <v>1004045</v>
          </cell>
          <cell r="E194" t="str">
            <v>LUXARDO CHERRY SANGUE 750ML X12</v>
          </cell>
          <cell r="F194">
            <v>109.33</v>
          </cell>
          <cell r="G194">
            <v>109.33</v>
          </cell>
          <cell r="H194">
            <v>109.33</v>
          </cell>
          <cell r="I194">
            <v>109.33</v>
          </cell>
          <cell r="J194" t="str">
            <v>RPD</v>
          </cell>
          <cell r="K194" t="str">
            <v>OTR</v>
          </cell>
          <cell r="L194" t="str">
            <v>OTR</v>
          </cell>
          <cell r="M194">
            <v>0</v>
          </cell>
          <cell r="N194">
            <v>0</v>
          </cell>
          <cell r="O194">
            <v>0</v>
          </cell>
          <cell r="P194">
            <v>120.26</v>
          </cell>
        </row>
        <row r="195">
          <cell r="D195" t="str">
            <v>1003025</v>
          </cell>
          <cell r="E195" t="str">
            <v>GREENALLS LONDON DRY 750ML X 12</v>
          </cell>
          <cell r="F195">
            <v>56.54</v>
          </cell>
          <cell r="G195">
            <v>56.54</v>
          </cell>
          <cell r="H195">
            <v>56.54</v>
          </cell>
          <cell r="I195">
            <v>56.54</v>
          </cell>
          <cell r="J195" t="str">
            <v>RPD</v>
          </cell>
          <cell r="K195" t="str">
            <v>OTR</v>
          </cell>
          <cell r="L195" t="str">
            <v>OTR</v>
          </cell>
          <cell r="M195">
            <v>0</v>
          </cell>
          <cell r="N195">
            <v>0</v>
          </cell>
          <cell r="O195">
            <v>48.76</v>
          </cell>
          <cell r="P195">
            <v>62.19</v>
          </cell>
        </row>
        <row r="196">
          <cell r="D196" t="str">
            <v>390945</v>
          </cell>
          <cell r="E196" t="str">
            <v>ESPUM. MURVIEDRO AMOR MAR BLUE MOSCATO 750ML X 12</v>
          </cell>
          <cell r="F196">
            <v>28.69</v>
          </cell>
          <cell r="G196">
            <v>28.69</v>
          </cell>
          <cell r="H196">
            <v>28.69</v>
          </cell>
          <cell r="I196">
            <v>28.69</v>
          </cell>
          <cell r="J196" t="str">
            <v>RPD</v>
          </cell>
          <cell r="K196" t="str">
            <v>OTR</v>
          </cell>
          <cell r="L196" t="str">
            <v>OTR</v>
          </cell>
          <cell r="M196">
            <v>0</v>
          </cell>
          <cell r="N196">
            <v>0</v>
          </cell>
          <cell r="O196">
            <v>0</v>
          </cell>
          <cell r="P196">
            <v>31.56</v>
          </cell>
        </row>
        <row r="197">
          <cell r="D197" t="str">
            <v>29830</v>
          </cell>
          <cell r="E197" t="str">
            <v>MIXERS REAL CREMA DE COCO 425ML X 6</v>
          </cell>
          <cell r="F197">
            <v>16.52</v>
          </cell>
          <cell r="G197">
            <v>16.52</v>
          </cell>
          <cell r="H197">
            <v>16.52</v>
          </cell>
          <cell r="I197">
            <v>16.52</v>
          </cell>
          <cell r="J197" t="str">
            <v>RPD</v>
          </cell>
          <cell r="K197" t="str">
            <v>OTR</v>
          </cell>
          <cell r="L197" t="str">
            <v>OTR</v>
          </cell>
          <cell r="M197">
            <v>0</v>
          </cell>
          <cell r="N197">
            <v>0</v>
          </cell>
          <cell r="O197">
            <v>0</v>
          </cell>
          <cell r="P197">
            <v>18.170000000000002</v>
          </cell>
        </row>
        <row r="198">
          <cell r="D198" t="str">
            <v>10030250</v>
          </cell>
          <cell r="E198" t="str">
            <v>PACK GREENALLS LONDON DRY GIN + COPA</v>
          </cell>
          <cell r="F198">
            <v>75.89</v>
          </cell>
          <cell r="G198">
            <v>75.89</v>
          </cell>
          <cell r="H198">
            <v>75.89</v>
          </cell>
          <cell r="I198">
            <v>75.89</v>
          </cell>
          <cell r="J198" t="str">
            <v>RPD</v>
          </cell>
          <cell r="K198" t="str">
            <v>OTR</v>
          </cell>
          <cell r="L198" t="str">
            <v>OTR</v>
          </cell>
          <cell r="M198">
            <v>0</v>
          </cell>
          <cell r="N198">
            <v>0</v>
          </cell>
          <cell r="O198">
            <v>69.92</v>
          </cell>
          <cell r="P198">
            <v>75.89</v>
          </cell>
        </row>
        <row r="199">
          <cell r="D199" t="str">
            <v>602031</v>
          </cell>
          <cell r="E199" t="str">
            <v>PANETON SAYON BOLSA 750GR X6</v>
          </cell>
          <cell r="F199">
            <v>15.6</v>
          </cell>
          <cell r="G199">
            <v>15.6</v>
          </cell>
          <cell r="H199">
            <v>15.9</v>
          </cell>
          <cell r="I199">
            <v>15.9</v>
          </cell>
          <cell r="J199" t="str">
            <v>ALI</v>
          </cell>
          <cell r="K199" t="str">
            <v>PAN</v>
          </cell>
          <cell r="L199" t="str">
            <v>BOL</v>
          </cell>
          <cell r="M199">
            <v>0</v>
          </cell>
          <cell r="N199">
            <v>0</v>
          </cell>
          <cell r="O199">
            <v>15.05</v>
          </cell>
          <cell r="P199">
            <v>16.05</v>
          </cell>
        </row>
        <row r="200">
          <cell r="D200" t="str">
            <v>GF0017</v>
          </cell>
          <cell r="E200" t="str">
            <v>GOLD FUSION COCOA 750ML X6</v>
          </cell>
          <cell r="F200">
            <v>41.4</v>
          </cell>
          <cell r="G200">
            <v>41.4</v>
          </cell>
          <cell r="H200">
            <v>42.29</v>
          </cell>
          <cell r="I200">
            <v>42.29</v>
          </cell>
          <cell r="J200" t="str">
            <v>EXC</v>
          </cell>
          <cell r="K200" t="str">
            <v>FUS</v>
          </cell>
          <cell r="L200" t="str">
            <v>FOR</v>
          </cell>
          <cell r="M200">
            <v>0</v>
          </cell>
          <cell r="N200">
            <v>0</v>
          </cell>
          <cell r="O200">
            <v>37</v>
          </cell>
          <cell r="P200">
            <v>46.52</v>
          </cell>
        </row>
        <row r="201">
          <cell r="D201" t="str">
            <v>GF0008</v>
          </cell>
          <cell r="E201" t="str">
            <v>GOLD FUSION INFINITY  X750ML X6</v>
          </cell>
          <cell r="F201">
            <v>41.4</v>
          </cell>
          <cell r="G201">
            <v>41.4</v>
          </cell>
          <cell r="H201">
            <v>42.29</v>
          </cell>
          <cell r="I201">
            <v>42.29</v>
          </cell>
          <cell r="J201" t="str">
            <v>EXC</v>
          </cell>
          <cell r="K201" t="str">
            <v>FUS</v>
          </cell>
          <cell r="L201" t="str">
            <v>FOR</v>
          </cell>
          <cell r="M201">
            <v>0</v>
          </cell>
          <cell r="N201">
            <v>0</v>
          </cell>
          <cell r="O201">
            <v>35.049999999999997</v>
          </cell>
          <cell r="P201">
            <v>46.52</v>
          </cell>
        </row>
        <row r="202">
          <cell r="D202" t="str">
            <v>2022</v>
          </cell>
          <cell r="E202" t="str">
            <v>MEX CREAM MANGO CON TEQUILA 750ML X 6</v>
          </cell>
          <cell r="F202">
            <v>58.4</v>
          </cell>
          <cell r="G202">
            <v>58.4</v>
          </cell>
          <cell r="H202">
            <v>58.6</v>
          </cell>
          <cell r="I202">
            <v>58.6</v>
          </cell>
          <cell r="J202" t="str">
            <v>EXC</v>
          </cell>
          <cell r="K202" t="str">
            <v>FUS</v>
          </cell>
          <cell r="L202" t="str">
            <v>FOR</v>
          </cell>
          <cell r="M202">
            <v>0</v>
          </cell>
          <cell r="N202">
            <v>0</v>
          </cell>
          <cell r="O202">
            <v>53</v>
          </cell>
          <cell r="P202">
            <v>61.53</v>
          </cell>
        </row>
        <row r="203">
          <cell r="D203" t="str">
            <v>2023</v>
          </cell>
          <cell r="E203" t="str">
            <v>MEX CREAM FRESA CON TEQUILA 750ML X 6</v>
          </cell>
          <cell r="F203">
            <v>58.4</v>
          </cell>
          <cell r="G203">
            <v>58.4</v>
          </cell>
          <cell r="H203">
            <v>58.6</v>
          </cell>
          <cell r="I203">
            <v>58.6</v>
          </cell>
          <cell r="J203" t="str">
            <v>EXC</v>
          </cell>
          <cell r="K203" t="str">
            <v>FUS</v>
          </cell>
          <cell r="L203" t="str">
            <v>FOR</v>
          </cell>
          <cell r="M203">
            <v>0</v>
          </cell>
          <cell r="N203">
            <v>0</v>
          </cell>
          <cell r="O203">
            <v>53</v>
          </cell>
          <cell r="P203">
            <v>61.53</v>
          </cell>
        </row>
        <row r="204">
          <cell r="D204" t="str">
            <v>GF0005</v>
          </cell>
          <cell r="E204" t="str">
            <v>GOLD PREMIUM ROMANTIC X750ML X6</v>
          </cell>
          <cell r="F204">
            <v>41.4</v>
          </cell>
          <cell r="G204">
            <v>41.4</v>
          </cell>
          <cell r="H204">
            <v>42.29</v>
          </cell>
          <cell r="I204">
            <v>42.29</v>
          </cell>
          <cell r="J204" t="str">
            <v>EXC</v>
          </cell>
          <cell r="K204" t="str">
            <v>FUS</v>
          </cell>
          <cell r="L204" t="str">
            <v>FOR</v>
          </cell>
          <cell r="M204">
            <v>0</v>
          </cell>
          <cell r="N204">
            <v>0</v>
          </cell>
          <cell r="O204">
            <v>37.5</v>
          </cell>
          <cell r="P204">
            <v>46.52</v>
          </cell>
        </row>
        <row r="205">
          <cell r="D205" t="str">
            <v>2075</v>
          </cell>
          <cell r="E205" t="str">
            <v>MEX CREAM MELON  700ML X 6</v>
          </cell>
          <cell r="F205">
            <v>58.4</v>
          </cell>
          <cell r="G205">
            <v>58.4</v>
          </cell>
          <cell r="H205">
            <v>58.6</v>
          </cell>
          <cell r="I205">
            <v>58.6</v>
          </cell>
          <cell r="J205" t="str">
            <v>EXC</v>
          </cell>
          <cell r="K205" t="str">
            <v>FUS</v>
          </cell>
          <cell r="L205" t="str">
            <v>FOR</v>
          </cell>
          <cell r="M205">
            <v>0</v>
          </cell>
          <cell r="N205">
            <v>0</v>
          </cell>
          <cell r="O205">
            <v>0</v>
          </cell>
          <cell r="P205">
            <v>61.53</v>
          </cell>
        </row>
        <row r="206">
          <cell r="D206" t="str">
            <v>GF0007</v>
          </cell>
          <cell r="E206" t="str">
            <v>GOLD PREMIUM ENIGMA X750ML X6</v>
          </cell>
          <cell r="F206">
            <v>41.4</v>
          </cell>
          <cell r="G206">
            <v>41.4</v>
          </cell>
          <cell r="H206">
            <v>42.29</v>
          </cell>
          <cell r="I206">
            <v>42.29</v>
          </cell>
          <cell r="J206" t="str">
            <v>EXC</v>
          </cell>
          <cell r="K206" t="str">
            <v>FUS</v>
          </cell>
          <cell r="L206" t="str">
            <v>FOR</v>
          </cell>
          <cell r="M206">
            <v>0</v>
          </cell>
          <cell r="N206">
            <v>0</v>
          </cell>
          <cell r="O206">
            <v>34.15</v>
          </cell>
          <cell r="P206">
            <v>46.52</v>
          </cell>
        </row>
        <row r="207">
          <cell r="D207" t="str">
            <v>GF0001</v>
          </cell>
          <cell r="E207" t="str">
            <v>GOLD  PREMIUM  FORTUNE X750ML X6</v>
          </cell>
          <cell r="F207">
            <v>41.4</v>
          </cell>
          <cell r="G207">
            <v>41.4</v>
          </cell>
          <cell r="H207">
            <v>42.29</v>
          </cell>
          <cell r="I207">
            <v>42.29</v>
          </cell>
          <cell r="J207" t="str">
            <v>EXC</v>
          </cell>
          <cell r="K207" t="str">
            <v>FUS</v>
          </cell>
          <cell r="L207" t="str">
            <v>FOR</v>
          </cell>
          <cell r="M207">
            <v>0</v>
          </cell>
          <cell r="N207">
            <v>0</v>
          </cell>
          <cell r="O207">
            <v>37</v>
          </cell>
          <cell r="P207">
            <v>46.52</v>
          </cell>
        </row>
        <row r="208">
          <cell r="D208" t="str">
            <v>GF0006</v>
          </cell>
          <cell r="E208" t="str">
            <v>GOLD  PREMIUM  WILD X750ML X6</v>
          </cell>
          <cell r="F208">
            <v>41.4</v>
          </cell>
          <cell r="G208">
            <v>41.4</v>
          </cell>
          <cell r="H208">
            <v>42.29</v>
          </cell>
          <cell r="I208">
            <v>42.29</v>
          </cell>
          <cell r="J208" t="str">
            <v>EXC</v>
          </cell>
          <cell r="K208" t="str">
            <v>FUS</v>
          </cell>
          <cell r="L208" t="str">
            <v>FOR</v>
          </cell>
          <cell r="M208">
            <v>0</v>
          </cell>
          <cell r="N208">
            <v>0</v>
          </cell>
          <cell r="O208">
            <v>37.5</v>
          </cell>
          <cell r="P208">
            <v>46.52</v>
          </cell>
        </row>
        <row r="209">
          <cell r="D209" t="str">
            <v>T100040</v>
          </cell>
          <cell r="E209" t="str">
            <v xml:space="preserve">GRAN DEMONIO ACHOLADO 6X500ML 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TCM</v>
          </cell>
          <cell r="K209" t="str">
            <v>TCM</v>
          </cell>
          <cell r="L209" t="str">
            <v>PIS</v>
          </cell>
          <cell r="M209">
            <v>0</v>
          </cell>
          <cell r="N209">
            <v>0</v>
          </cell>
          <cell r="O209">
            <v>59.43</v>
          </cell>
          <cell r="P209">
            <v>63.53</v>
          </cell>
        </row>
        <row r="210">
          <cell r="D210" t="str">
            <v>T30012</v>
          </cell>
          <cell r="E210" t="str">
            <v>PISCO MULITA ACHOLADO 750MLX12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TCM</v>
          </cell>
          <cell r="K210" t="str">
            <v>TCM</v>
          </cell>
          <cell r="L210" t="str">
            <v>PIS</v>
          </cell>
          <cell r="M210">
            <v>0</v>
          </cell>
          <cell r="N210">
            <v>0</v>
          </cell>
          <cell r="O210">
            <v>0</v>
          </cell>
          <cell r="P210">
            <v>21.34</v>
          </cell>
        </row>
        <row r="211">
          <cell r="D211" t="str">
            <v>T30010</v>
          </cell>
          <cell r="E211" t="str">
            <v>PISCO MULITA QUEBRANTA 750MLX12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TCM</v>
          </cell>
          <cell r="K211" t="str">
            <v>TCM</v>
          </cell>
          <cell r="L211" t="str">
            <v>PIS</v>
          </cell>
          <cell r="M211">
            <v>0</v>
          </cell>
          <cell r="N211">
            <v>0</v>
          </cell>
          <cell r="O211">
            <v>0</v>
          </cell>
          <cell r="P211">
            <v>21.34</v>
          </cell>
        </row>
        <row r="212">
          <cell r="D212" t="str">
            <v>T600177</v>
          </cell>
          <cell r="E212" t="str">
            <v>PISC. MULITA ACHOLADO 750ML+VASO+GINGER X9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TCM</v>
          </cell>
          <cell r="K212" t="str">
            <v>TCM</v>
          </cell>
          <cell r="L212" t="str">
            <v>PIS</v>
          </cell>
          <cell r="M212">
            <v>0</v>
          </cell>
          <cell r="N212">
            <v>0</v>
          </cell>
          <cell r="O212">
            <v>0</v>
          </cell>
          <cell r="P212">
            <v>35.700000000000003</v>
          </cell>
        </row>
        <row r="213">
          <cell r="D213" t="str">
            <v>T30011</v>
          </cell>
          <cell r="E213" t="str">
            <v>PISCO MULITA QUEBRANTA 2000ML X 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TCM</v>
          </cell>
          <cell r="K213" t="str">
            <v>TCM</v>
          </cell>
          <cell r="L213" t="str">
            <v>PIS</v>
          </cell>
          <cell r="M213">
            <v>0</v>
          </cell>
          <cell r="N213">
            <v>0</v>
          </cell>
          <cell r="O213">
            <v>91.75</v>
          </cell>
          <cell r="P213">
            <v>58.75</v>
          </cell>
        </row>
        <row r="214">
          <cell r="D214" t="str">
            <v>T100110</v>
          </cell>
          <cell r="E214" t="str">
            <v xml:space="preserve">PDA ACHOLDO 40% 12X700ML (BURDEOS ) 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TCM</v>
          </cell>
          <cell r="K214" t="str">
            <v>TCM</v>
          </cell>
          <cell r="L214" t="str">
            <v>PIS</v>
          </cell>
          <cell r="M214">
            <v>0</v>
          </cell>
          <cell r="N214">
            <v>0</v>
          </cell>
          <cell r="O214">
            <v>0</v>
          </cell>
          <cell r="P214">
            <v>37.630000000000003</v>
          </cell>
        </row>
        <row r="215">
          <cell r="D215" t="str">
            <v>CHAR019</v>
          </cell>
          <cell r="E215" t="str">
            <v>FRASCOS CHIMICHURRI PICANTE 190 GR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 t="str">
            <v>PRR</v>
          </cell>
          <cell r="K215" t="str">
            <v>OTR</v>
          </cell>
          <cell r="L215" t="str">
            <v>OTR</v>
          </cell>
          <cell r="M215">
            <v>0</v>
          </cell>
          <cell r="N215">
            <v>0</v>
          </cell>
          <cell r="O215">
            <v>8.5</v>
          </cell>
          <cell r="P215">
            <v>9.9</v>
          </cell>
        </row>
        <row r="216">
          <cell r="D216" t="str">
            <v>CHAR018</v>
          </cell>
          <cell r="E216" t="str">
            <v>FRASCOS CHIMICHURRI CLASICO 190 GR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PRR</v>
          </cell>
          <cell r="K216" t="str">
            <v>OTR</v>
          </cell>
          <cell r="L216" t="str">
            <v>OTR</v>
          </cell>
          <cell r="M216">
            <v>0</v>
          </cell>
          <cell r="N216">
            <v>0</v>
          </cell>
          <cell r="O216">
            <v>8</v>
          </cell>
          <cell r="P216">
            <v>9.9</v>
          </cell>
        </row>
        <row r="217">
          <cell r="D217" t="str">
            <v>CHAR017</v>
          </cell>
          <cell r="E217" t="str">
            <v>FRASCOS CHIMICHURRI VACA NOSTRA CLASICO 250ML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 t="str">
            <v>PRR</v>
          </cell>
          <cell r="K217" t="str">
            <v>OTR</v>
          </cell>
          <cell r="L217" t="str">
            <v>OTR</v>
          </cell>
          <cell r="M217">
            <v>11</v>
          </cell>
          <cell r="N217">
            <v>0</v>
          </cell>
          <cell r="O217">
            <v>11</v>
          </cell>
          <cell r="P217">
            <v>19.5</v>
          </cell>
        </row>
        <row r="218">
          <cell r="D218" t="str">
            <v>0617014</v>
          </cell>
          <cell r="E218" t="str">
            <v>RICCADONNA ESP.MOSCATO ROSE 750ML X6</v>
          </cell>
          <cell r="F218">
            <v>47.06</v>
          </cell>
          <cell r="G218">
            <v>47.06</v>
          </cell>
          <cell r="H218">
            <v>48.01</v>
          </cell>
          <cell r="I218">
            <v>48.01</v>
          </cell>
          <cell r="J218" t="str">
            <v>IWA</v>
          </cell>
          <cell r="K218" t="str">
            <v>RIC</v>
          </cell>
          <cell r="L218" t="str">
            <v>MOS</v>
          </cell>
          <cell r="M218">
            <v>0</v>
          </cell>
          <cell r="N218">
            <v>0</v>
          </cell>
          <cell r="O218">
            <v>43.8</v>
          </cell>
          <cell r="P218">
            <v>63.29</v>
          </cell>
        </row>
        <row r="219">
          <cell r="D219" t="str">
            <v>RC003</v>
          </cell>
          <cell r="E219" t="str">
            <v>VINO CHACOTA TORRONTES X 750ML</v>
          </cell>
          <cell r="F219">
            <v>21.42</v>
          </cell>
          <cell r="G219">
            <v>21.42</v>
          </cell>
          <cell r="H219">
            <v>21.94</v>
          </cell>
          <cell r="I219">
            <v>21.94</v>
          </cell>
          <cell r="J219" t="str">
            <v>GKP</v>
          </cell>
          <cell r="K219" t="str">
            <v>LIC</v>
          </cell>
          <cell r="L219" t="str">
            <v>LIC</v>
          </cell>
          <cell r="M219">
            <v>0</v>
          </cell>
          <cell r="N219">
            <v>0</v>
          </cell>
          <cell r="O219">
            <v>0</v>
          </cell>
          <cell r="P219">
            <v>27.5</v>
          </cell>
        </row>
        <row r="220">
          <cell r="D220" t="str">
            <v>RC001</v>
          </cell>
          <cell r="E220" t="str">
            <v xml:space="preserve">RON CAÑA DE ORO BLACK X 750ML </v>
          </cell>
          <cell r="F220">
            <v>17.850000000000001</v>
          </cell>
          <cell r="G220">
            <v>17.850000000000001</v>
          </cell>
          <cell r="H220">
            <v>18.29</v>
          </cell>
          <cell r="I220">
            <v>18.29</v>
          </cell>
          <cell r="J220" t="str">
            <v>GKP</v>
          </cell>
          <cell r="K220" t="str">
            <v>LIC</v>
          </cell>
          <cell r="L220" t="str">
            <v>LIC</v>
          </cell>
          <cell r="M220">
            <v>0</v>
          </cell>
          <cell r="N220">
            <v>0</v>
          </cell>
          <cell r="O220">
            <v>0</v>
          </cell>
          <cell r="P220">
            <v>23</v>
          </cell>
        </row>
        <row r="221">
          <cell r="D221" t="str">
            <v>V0844</v>
          </cell>
          <cell r="E221" t="str">
            <v>CRIMINAL COLECCION PRIVADA ROBLE MALBEC 750ML X 6</v>
          </cell>
          <cell r="F221">
            <v>59.76</v>
          </cell>
          <cell r="G221">
            <v>59.76</v>
          </cell>
          <cell r="H221">
            <v>60.96</v>
          </cell>
          <cell r="I221">
            <v>60.96</v>
          </cell>
          <cell r="J221" t="str">
            <v>GKP</v>
          </cell>
          <cell r="K221" t="str">
            <v>LIC</v>
          </cell>
          <cell r="L221" t="str">
            <v>LIC</v>
          </cell>
          <cell r="M221">
            <v>0</v>
          </cell>
          <cell r="N221">
            <v>0</v>
          </cell>
          <cell r="O221">
            <v>52</v>
          </cell>
          <cell r="P221">
            <v>65.73</v>
          </cell>
        </row>
        <row r="222">
          <cell r="D222" t="str">
            <v>V0843</v>
          </cell>
          <cell r="E222" t="str">
            <v>VINO CRIMINAL VARIETAL MALBEC 750ML X 6</v>
          </cell>
          <cell r="F222">
            <v>41.48</v>
          </cell>
          <cell r="G222">
            <v>41.48</v>
          </cell>
          <cell r="H222">
            <v>42.31</v>
          </cell>
          <cell r="I222">
            <v>42.31</v>
          </cell>
          <cell r="J222" t="str">
            <v>GKP</v>
          </cell>
          <cell r="K222" t="str">
            <v>LIC</v>
          </cell>
          <cell r="L222" t="str">
            <v>LIC</v>
          </cell>
          <cell r="M222">
            <v>0</v>
          </cell>
          <cell r="N222">
            <v>0</v>
          </cell>
          <cell r="O222">
            <v>36</v>
          </cell>
          <cell r="P222">
            <v>45.63</v>
          </cell>
        </row>
        <row r="223">
          <cell r="D223" t="str">
            <v>RC004</v>
          </cell>
          <cell r="E223" t="str">
            <v>VINO CHACOTA BONARDA MALBEC X 750ML</v>
          </cell>
          <cell r="F223">
            <v>21.42</v>
          </cell>
          <cell r="G223">
            <v>21.42</v>
          </cell>
          <cell r="H223">
            <v>21.94</v>
          </cell>
          <cell r="I223">
            <v>21.94</v>
          </cell>
          <cell r="J223" t="str">
            <v>GKP</v>
          </cell>
          <cell r="K223" t="str">
            <v>LIC</v>
          </cell>
          <cell r="L223" t="str">
            <v>LIC</v>
          </cell>
          <cell r="M223">
            <v>0</v>
          </cell>
          <cell r="N223">
            <v>0</v>
          </cell>
          <cell r="O223">
            <v>0</v>
          </cell>
          <cell r="P223">
            <v>27.5</v>
          </cell>
        </row>
        <row r="224">
          <cell r="D224" t="str">
            <v>26011</v>
          </cell>
          <cell r="E224" t="str">
            <v>TAKIS FUEGO HOT CHIL 28GR X 46UN</v>
          </cell>
          <cell r="F224">
            <v>2.5</v>
          </cell>
          <cell r="G224">
            <v>2.5</v>
          </cell>
          <cell r="H224">
            <v>2.59</v>
          </cell>
          <cell r="I224">
            <v>2.59</v>
          </cell>
          <cell r="J224" t="str">
            <v>JYA</v>
          </cell>
          <cell r="K224" t="str">
            <v>TAK</v>
          </cell>
          <cell r="L224" t="str">
            <v>TAK</v>
          </cell>
          <cell r="M224">
            <v>0</v>
          </cell>
          <cell r="N224">
            <v>0</v>
          </cell>
          <cell r="O224">
            <v>2.31</v>
          </cell>
          <cell r="P224">
            <v>2.5</v>
          </cell>
        </row>
        <row r="225">
          <cell r="D225" t="str">
            <v>AC0352</v>
          </cell>
          <cell r="E225" t="str">
            <v>PIS.PF.ITALIA 750ML X12</v>
          </cell>
          <cell r="F225">
            <v>20.59</v>
          </cell>
          <cell r="G225">
            <v>20.59</v>
          </cell>
          <cell r="H225">
            <v>20.59</v>
          </cell>
          <cell r="I225">
            <v>20.59</v>
          </cell>
          <cell r="J225" t="str">
            <v>COP</v>
          </cell>
          <cell r="K225" t="str">
            <v>COP</v>
          </cell>
          <cell r="L225" t="str">
            <v>PIS</v>
          </cell>
          <cell r="M225">
            <v>0</v>
          </cell>
          <cell r="N225">
            <v>0</v>
          </cell>
          <cell r="O225">
            <v>0</v>
          </cell>
          <cell r="P225">
            <v>23.85</v>
          </cell>
        </row>
        <row r="226">
          <cell r="D226" t="str">
            <v>26968</v>
          </cell>
          <cell r="E226" t="str">
            <v>TOSTADAS INTEGRALES 10P 180G BIM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 t="str">
            <v>BIM</v>
          </cell>
          <cell r="K226" t="str">
            <v>PAN</v>
          </cell>
          <cell r="L226" t="str">
            <v>BMB</v>
          </cell>
          <cell r="M226">
            <v>0</v>
          </cell>
          <cell r="N226">
            <v>0</v>
          </cell>
          <cell r="O226">
            <v>0</v>
          </cell>
          <cell r="P226">
            <v>6.5</v>
          </cell>
        </row>
        <row r="227">
          <cell r="D227" t="str">
            <v>4006</v>
          </cell>
          <cell r="E227" t="str">
            <v>BIMBOLETE VAINILLA 3P 82.5G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 t="str">
            <v>BIM</v>
          </cell>
          <cell r="K227" t="str">
            <v>PAN</v>
          </cell>
          <cell r="L227" t="str">
            <v>BMB</v>
          </cell>
          <cell r="M227">
            <v>0</v>
          </cell>
          <cell r="N227">
            <v>0</v>
          </cell>
          <cell r="O227">
            <v>0</v>
          </cell>
          <cell r="P227">
            <v>3.5</v>
          </cell>
        </row>
        <row r="228">
          <cell r="D228" t="str">
            <v>504375</v>
          </cell>
          <cell r="E228" t="str">
            <v>BIMBOLETE VAINILLA 8P 440G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 t="str">
            <v>BIM</v>
          </cell>
          <cell r="K228" t="str">
            <v>PAN</v>
          </cell>
          <cell r="L228" t="str">
            <v>BMB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D229" t="str">
            <v>3681</v>
          </cell>
          <cell r="E229" t="str">
            <v>BIMBOLETES MARMOLEADOS 3P 82.5G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 t="str">
            <v>BIM</v>
          </cell>
          <cell r="K229" t="str">
            <v>PAN</v>
          </cell>
          <cell r="L229" t="str">
            <v>BMB</v>
          </cell>
          <cell r="M229">
            <v>0</v>
          </cell>
          <cell r="N229">
            <v>0</v>
          </cell>
          <cell r="O229">
            <v>0</v>
          </cell>
          <cell r="P229">
            <v>3.5</v>
          </cell>
        </row>
        <row r="230">
          <cell r="D230" t="str">
            <v>26966</v>
          </cell>
          <cell r="E230" t="str">
            <v xml:space="preserve">TOSTADAS CLASICAS 10P 160GR 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 t="str">
            <v>BIM</v>
          </cell>
          <cell r="K230" t="str">
            <v>PAN</v>
          </cell>
          <cell r="L230" t="str">
            <v>BMB</v>
          </cell>
          <cell r="M230">
            <v>0</v>
          </cell>
          <cell r="N230">
            <v>0</v>
          </cell>
          <cell r="O230">
            <v>0</v>
          </cell>
          <cell r="P230">
            <v>6.2</v>
          </cell>
        </row>
        <row r="231">
          <cell r="D231" t="str">
            <v>504377</v>
          </cell>
          <cell r="E231" t="str">
            <v xml:space="preserve">BIMBOLETE FAMILIA 8P 440G 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 t="str">
            <v>BIM</v>
          </cell>
          <cell r="K231" t="str">
            <v>PAN</v>
          </cell>
          <cell r="L231" t="str">
            <v>BMB</v>
          </cell>
          <cell r="M231">
            <v>0</v>
          </cell>
          <cell r="N231">
            <v>0</v>
          </cell>
          <cell r="O231">
            <v>0</v>
          </cell>
          <cell r="P231">
            <v>2.2000000000000002</v>
          </cell>
        </row>
        <row r="232">
          <cell r="D232" t="str">
            <v>48379</v>
          </cell>
          <cell r="E232" t="str">
            <v>TOSTADAS CLASICAS 8P 118G PYC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 t="str">
            <v>BIM</v>
          </cell>
          <cell r="K232" t="str">
            <v>PAN</v>
          </cell>
          <cell r="L232" t="str">
            <v>BMB</v>
          </cell>
          <cell r="M232">
            <v>0</v>
          </cell>
          <cell r="N232">
            <v>0</v>
          </cell>
          <cell r="O232">
            <v>0</v>
          </cell>
          <cell r="P232">
            <v>4</v>
          </cell>
        </row>
        <row r="233">
          <cell r="D233" t="str">
            <v>48375</v>
          </cell>
          <cell r="E233" t="str">
            <v>TOSTADAS INTEGRALES 8P 120GR PYC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 t="str">
            <v>BIM</v>
          </cell>
          <cell r="K233" t="str">
            <v>PAN</v>
          </cell>
          <cell r="L233" t="str">
            <v>BMB</v>
          </cell>
          <cell r="M233">
            <v>0</v>
          </cell>
          <cell r="N233">
            <v>0</v>
          </cell>
          <cell r="O233">
            <v>0</v>
          </cell>
          <cell r="P233">
            <v>4.5</v>
          </cell>
        </row>
        <row r="234">
          <cell r="D234" t="str">
            <v>220635</v>
          </cell>
          <cell r="E234" t="str">
            <v>RED BULL RED EDITION 250ML X24</v>
          </cell>
          <cell r="F234">
            <v>7.25</v>
          </cell>
          <cell r="G234">
            <v>7.25</v>
          </cell>
          <cell r="H234">
            <v>7.25</v>
          </cell>
          <cell r="I234">
            <v>7.25</v>
          </cell>
          <cell r="J234" t="str">
            <v>PFA</v>
          </cell>
          <cell r="K234" t="str">
            <v>RED</v>
          </cell>
          <cell r="L234" t="str">
            <v>BEB</v>
          </cell>
          <cell r="M234">
            <v>0</v>
          </cell>
          <cell r="N234">
            <v>0</v>
          </cell>
          <cell r="O234">
            <v>6</v>
          </cell>
          <cell r="P234">
            <v>7.61</v>
          </cell>
        </row>
        <row r="235">
          <cell r="D235" t="str">
            <v>45833</v>
          </cell>
          <cell r="E235" t="str">
            <v>RED BULL.ENERGY.DRINK 250ML X24</v>
          </cell>
          <cell r="F235">
            <v>7.25</v>
          </cell>
          <cell r="G235">
            <v>7.25</v>
          </cell>
          <cell r="H235">
            <v>7.25</v>
          </cell>
          <cell r="I235">
            <v>7.25</v>
          </cell>
          <cell r="J235" t="str">
            <v>PFA</v>
          </cell>
          <cell r="K235" t="str">
            <v>RED</v>
          </cell>
          <cell r="L235" t="str">
            <v>BEB</v>
          </cell>
          <cell r="M235">
            <v>0</v>
          </cell>
          <cell r="N235">
            <v>0</v>
          </cell>
          <cell r="O235">
            <v>6.38</v>
          </cell>
          <cell r="P235">
            <v>7.61</v>
          </cell>
        </row>
        <row r="236">
          <cell r="D236" t="str">
            <v>220659</v>
          </cell>
          <cell r="E236" t="str">
            <v>RED BULL TROPICAL EDITION 250ML X24</v>
          </cell>
          <cell r="F236">
            <v>7.25</v>
          </cell>
          <cell r="G236">
            <v>7.25</v>
          </cell>
          <cell r="H236">
            <v>7.25</v>
          </cell>
          <cell r="I236">
            <v>7.25</v>
          </cell>
          <cell r="J236" t="str">
            <v>PFA</v>
          </cell>
          <cell r="K236" t="str">
            <v>RED</v>
          </cell>
          <cell r="L236" t="str">
            <v>BEB</v>
          </cell>
          <cell r="M236">
            <v>0</v>
          </cell>
          <cell r="N236">
            <v>0</v>
          </cell>
          <cell r="O236">
            <v>0</v>
          </cell>
          <cell r="P236">
            <v>7.61</v>
          </cell>
        </row>
        <row r="237">
          <cell r="D237" t="str">
            <v>45834</v>
          </cell>
          <cell r="E237" t="str">
            <v>RED BULL.SUGAR FREE 250ML X24</v>
          </cell>
          <cell r="F237">
            <v>7.25</v>
          </cell>
          <cell r="G237">
            <v>7.25</v>
          </cell>
          <cell r="H237">
            <v>7.25</v>
          </cell>
          <cell r="I237">
            <v>7.25</v>
          </cell>
          <cell r="J237" t="str">
            <v>PFA</v>
          </cell>
          <cell r="K237" t="str">
            <v>RED</v>
          </cell>
          <cell r="L237" t="str">
            <v>BEB</v>
          </cell>
          <cell r="M237">
            <v>0</v>
          </cell>
          <cell r="N237">
            <v>0</v>
          </cell>
          <cell r="O237">
            <v>0</v>
          </cell>
          <cell r="P237">
            <v>7.61</v>
          </cell>
        </row>
        <row r="238">
          <cell r="D238" t="str">
            <v>404160</v>
          </cell>
          <cell r="E238" t="str">
            <v>JAMON PIZZA PQ 100GR 6LJ OK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 t="str">
            <v>SIG</v>
          </cell>
          <cell r="K238" t="str">
            <v>OTK</v>
          </cell>
          <cell r="L238" t="str">
            <v>JAM</v>
          </cell>
          <cell r="M238">
            <v>0</v>
          </cell>
          <cell r="N238">
            <v>0</v>
          </cell>
          <cell r="O238">
            <v>0</v>
          </cell>
          <cell r="P238">
            <v>3.7</v>
          </cell>
        </row>
        <row r="239">
          <cell r="D239" t="str">
            <v>403792</v>
          </cell>
          <cell r="E239" t="str">
            <v>PACK J PIZZA Y EDAM 340GR OK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 t="str">
            <v>SIG</v>
          </cell>
          <cell r="K239" t="str">
            <v>OTK</v>
          </cell>
          <cell r="L239" t="str">
            <v>JAM</v>
          </cell>
          <cell r="M239">
            <v>0</v>
          </cell>
          <cell r="N239">
            <v>0</v>
          </cell>
          <cell r="O239">
            <v>11.02</v>
          </cell>
          <cell r="P239">
            <v>12.87</v>
          </cell>
        </row>
        <row r="240">
          <cell r="D240" t="str">
            <v>404310</v>
          </cell>
          <cell r="E240" t="str">
            <v>CABANOSSI PICANTE 20GR OK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 t="str">
            <v>SIG</v>
          </cell>
          <cell r="K240" t="str">
            <v>OTK</v>
          </cell>
          <cell r="L240" t="str">
            <v>JAM</v>
          </cell>
          <cell r="M240">
            <v>0</v>
          </cell>
          <cell r="N240">
            <v>0</v>
          </cell>
          <cell r="O240">
            <v>0</v>
          </cell>
          <cell r="P240">
            <v>2.8</v>
          </cell>
        </row>
        <row r="241">
          <cell r="D241" t="str">
            <v>4010404</v>
          </cell>
          <cell r="E241" t="str">
            <v>DELAVIUDA STICKS CHEESECAKE 120GR X 12</v>
          </cell>
          <cell r="F241">
            <v>19.96</v>
          </cell>
          <cell r="G241">
            <v>19.96</v>
          </cell>
          <cell r="H241">
            <v>20.36</v>
          </cell>
          <cell r="I241">
            <v>20.36</v>
          </cell>
          <cell r="J241" t="str">
            <v>DAN</v>
          </cell>
          <cell r="K241" t="str">
            <v>OTR</v>
          </cell>
          <cell r="L241" t="str">
            <v>OTR</v>
          </cell>
          <cell r="M241">
            <v>0</v>
          </cell>
          <cell r="N241">
            <v>0</v>
          </cell>
          <cell r="O241">
            <v>11.67</v>
          </cell>
          <cell r="P241">
            <v>20.36</v>
          </cell>
        </row>
        <row r="242">
          <cell r="D242" t="str">
            <v>7020102012</v>
          </cell>
          <cell r="E242" t="str">
            <v>AGNESI CANNELLONI LE SPECIALITÁ 500G</v>
          </cell>
          <cell r="F242">
            <v>12.42</v>
          </cell>
          <cell r="G242">
            <v>12.42</v>
          </cell>
          <cell r="H242">
            <v>12.67</v>
          </cell>
          <cell r="I242">
            <v>12.67</v>
          </cell>
          <cell r="J242" t="str">
            <v>DAN</v>
          </cell>
          <cell r="K242" t="str">
            <v>OTR</v>
          </cell>
          <cell r="L242" t="str">
            <v>OTR</v>
          </cell>
          <cell r="M242">
            <v>0</v>
          </cell>
          <cell r="N242">
            <v>0</v>
          </cell>
          <cell r="O242">
            <v>9.01</v>
          </cell>
          <cell r="P242">
            <v>13.94</v>
          </cell>
        </row>
        <row r="243">
          <cell r="D243" t="str">
            <v>14012312246</v>
          </cell>
          <cell r="E243" t="str">
            <v>AZAFRÁN MOLIDO EXTRA 0.4G</v>
          </cell>
          <cell r="F243">
            <v>24.75</v>
          </cell>
          <cell r="G243">
            <v>24.75</v>
          </cell>
          <cell r="H243">
            <v>25.25</v>
          </cell>
          <cell r="I243">
            <v>25.25</v>
          </cell>
          <cell r="J243" t="str">
            <v>DAN</v>
          </cell>
          <cell r="K243" t="str">
            <v>OTR</v>
          </cell>
          <cell r="L243" t="str">
            <v>OTR</v>
          </cell>
          <cell r="M243">
            <v>0</v>
          </cell>
          <cell r="N243">
            <v>0</v>
          </cell>
          <cell r="O243">
            <v>19.77</v>
          </cell>
          <cell r="P243">
            <v>27.77</v>
          </cell>
        </row>
        <row r="244">
          <cell r="D244" t="str">
            <v>0401040</v>
          </cell>
          <cell r="E244" t="str">
            <v>DELAVUIDA BOMBONES LATA CORAZON X 160GR</v>
          </cell>
          <cell r="F244">
            <v>47.74</v>
          </cell>
          <cell r="G244">
            <v>47.74</v>
          </cell>
          <cell r="H244">
            <v>48.7</v>
          </cell>
          <cell r="I244">
            <v>48.7</v>
          </cell>
          <cell r="J244" t="str">
            <v>DAN</v>
          </cell>
          <cell r="K244" t="str">
            <v>OTR</v>
          </cell>
          <cell r="L244" t="str">
            <v>OTR</v>
          </cell>
          <cell r="M244">
            <v>0</v>
          </cell>
          <cell r="N244">
            <v>0</v>
          </cell>
          <cell r="O244">
            <v>53.1</v>
          </cell>
          <cell r="P244">
            <v>48.7</v>
          </cell>
        </row>
        <row r="245">
          <cell r="D245" t="str">
            <v>40900196</v>
          </cell>
          <cell r="E245" t="str">
            <v>TÉ ACAI BERRY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 t="str">
            <v>DAN</v>
          </cell>
          <cell r="K245" t="str">
            <v>OTR</v>
          </cell>
          <cell r="L245" t="str">
            <v>OTR</v>
          </cell>
          <cell r="M245">
            <v>0</v>
          </cell>
          <cell r="N245">
            <v>0</v>
          </cell>
          <cell r="O245">
            <v>14.69</v>
          </cell>
          <cell r="P245">
            <v>19.260000000000002</v>
          </cell>
        </row>
        <row r="246">
          <cell r="D246" t="str">
            <v>021510212</v>
          </cell>
          <cell r="E246" t="str">
            <v>PISTACHIOS TOSTADO SALADO 141G</v>
          </cell>
          <cell r="F246">
            <v>27.26</v>
          </cell>
          <cell r="G246">
            <v>27.26</v>
          </cell>
          <cell r="H246">
            <v>27.8</v>
          </cell>
          <cell r="I246">
            <v>27.8</v>
          </cell>
          <cell r="J246" t="str">
            <v>DAN</v>
          </cell>
          <cell r="K246" t="str">
            <v>OTR</v>
          </cell>
          <cell r="L246" t="str">
            <v>OTR</v>
          </cell>
          <cell r="M246">
            <v>0</v>
          </cell>
          <cell r="N246">
            <v>0</v>
          </cell>
          <cell r="O246">
            <v>22.74</v>
          </cell>
          <cell r="P246">
            <v>27.8</v>
          </cell>
        </row>
        <row r="247">
          <cell r="D247" t="str">
            <v>2502375</v>
          </cell>
          <cell r="E247" t="str">
            <v>SAL DE MARAS SAB/ OREGANO X 115GR X 12</v>
          </cell>
          <cell r="F247">
            <v>8.82</v>
          </cell>
          <cell r="G247">
            <v>8.82</v>
          </cell>
          <cell r="H247">
            <v>9</v>
          </cell>
          <cell r="I247">
            <v>9</v>
          </cell>
          <cell r="J247" t="str">
            <v>DAN</v>
          </cell>
          <cell r="K247" t="str">
            <v>OTR</v>
          </cell>
          <cell r="L247" t="str">
            <v>OTR</v>
          </cell>
          <cell r="M247">
            <v>0</v>
          </cell>
          <cell r="N247">
            <v>0</v>
          </cell>
          <cell r="O247">
            <v>7.55</v>
          </cell>
          <cell r="P247">
            <v>9.9</v>
          </cell>
        </row>
        <row r="248">
          <cell r="D248" t="str">
            <v>10207049</v>
          </cell>
          <cell r="E248" t="str">
            <v>ACEITE DE OLIVA EXTRA VIRGEN 1LT</v>
          </cell>
          <cell r="F248">
            <v>57.13</v>
          </cell>
          <cell r="G248">
            <v>57.13</v>
          </cell>
          <cell r="H248">
            <v>62.84</v>
          </cell>
          <cell r="I248">
            <v>62.84</v>
          </cell>
          <cell r="J248" t="str">
            <v>DAN</v>
          </cell>
          <cell r="K248" t="str">
            <v>OTR</v>
          </cell>
          <cell r="L248" t="str">
            <v>OTR</v>
          </cell>
          <cell r="M248">
            <v>0</v>
          </cell>
          <cell r="N248">
            <v>0</v>
          </cell>
          <cell r="O248">
            <v>0</v>
          </cell>
          <cell r="P248">
            <v>62.84</v>
          </cell>
        </row>
        <row r="249">
          <cell r="D249" t="str">
            <v>70200105</v>
          </cell>
          <cell r="E249" t="str">
            <v>DOLCESENZA DE AVENA CON YOGUR 400G</v>
          </cell>
          <cell r="F249">
            <v>17.98</v>
          </cell>
          <cell r="G249">
            <v>17.98</v>
          </cell>
          <cell r="H249">
            <v>18.34</v>
          </cell>
          <cell r="I249">
            <v>18.34</v>
          </cell>
          <cell r="J249" t="str">
            <v>DAN</v>
          </cell>
          <cell r="K249" t="str">
            <v>OTR</v>
          </cell>
          <cell r="L249" t="str">
            <v>OTR</v>
          </cell>
          <cell r="M249">
            <v>0</v>
          </cell>
          <cell r="N249">
            <v>0</v>
          </cell>
          <cell r="O249">
            <v>5</v>
          </cell>
          <cell r="P249">
            <v>18.34</v>
          </cell>
        </row>
        <row r="250">
          <cell r="D250" t="str">
            <v>21510213</v>
          </cell>
          <cell r="E250" t="str">
            <v>WOND. PISTACHOS TOSTADO Y SALDO 35GR X12</v>
          </cell>
          <cell r="F250">
            <v>9.0299999999999994</v>
          </cell>
          <cell r="G250">
            <v>9.0299999999999994</v>
          </cell>
          <cell r="H250">
            <v>9.2100000000000009</v>
          </cell>
          <cell r="I250">
            <v>9.2100000000000009</v>
          </cell>
          <cell r="J250" t="str">
            <v>DAN</v>
          </cell>
          <cell r="K250" t="str">
            <v>OTR</v>
          </cell>
          <cell r="L250" t="str">
            <v>OTR</v>
          </cell>
          <cell r="M250">
            <v>0</v>
          </cell>
          <cell r="N250">
            <v>0</v>
          </cell>
          <cell r="O250">
            <v>7.53</v>
          </cell>
          <cell r="P250">
            <v>9.2100000000000009</v>
          </cell>
        </row>
        <row r="251">
          <cell r="D251" t="str">
            <v>14012312245</v>
          </cell>
          <cell r="E251" t="str">
            <v>AZAFRÁN HEBRA EXTRA 0´375G</v>
          </cell>
          <cell r="F251">
            <v>23.1</v>
          </cell>
          <cell r="G251">
            <v>23.1</v>
          </cell>
          <cell r="H251">
            <v>23.57</v>
          </cell>
          <cell r="I251">
            <v>23.57</v>
          </cell>
          <cell r="J251" t="str">
            <v>DAN</v>
          </cell>
          <cell r="K251" t="str">
            <v>OTR</v>
          </cell>
          <cell r="L251" t="str">
            <v>OTR</v>
          </cell>
          <cell r="M251">
            <v>0</v>
          </cell>
          <cell r="N251">
            <v>0</v>
          </cell>
          <cell r="O251">
            <v>21.19</v>
          </cell>
          <cell r="P251">
            <v>25.92</v>
          </cell>
        </row>
        <row r="252">
          <cell r="D252" t="str">
            <v>21510212</v>
          </cell>
          <cell r="E252" t="str">
            <v>WOND. PISTACHOS TOSTADO Y SALDO 141GR X12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 t="str">
            <v>DAN</v>
          </cell>
          <cell r="K252" t="str">
            <v>OTR</v>
          </cell>
          <cell r="L252" t="str">
            <v>OTR</v>
          </cell>
          <cell r="M252">
            <v>0</v>
          </cell>
          <cell r="N252">
            <v>0</v>
          </cell>
          <cell r="O252">
            <v>22.74</v>
          </cell>
          <cell r="P252">
            <v>27.8</v>
          </cell>
        </row>
        <row r="253">
          <cell r="D253" t="str">
            <v>400004</v>
          </cell>
          <cell r="E253" t="str">
            <v>V.N  COCKTAIL  DE NUECES  S/SAL 40GR X 36</v>
          </cell>
          <cell r="F253">
            <v>2.8</v>
          </cell>
          <cell r="G253">
            <v>2.8</v>
          </cell>
          <cell r="H253">
            <v>2.86</v>
          </cell>
          <cell r="I253">
            <v>2.86</v>
          </cell>
          <cell r="J253" t="str">
            <v>DAN</v>
          </cell>
          <cell r="K253" t="str">
            <v>OTR</v>
          </cell>
          <cell r="L253" t="str">
            <v>OTR</v>
          </cell>
          <cell r="M253">
            <v>0</v>
          </cell>
          <cell r="N253">
            <v>0</v>
          </cell>
          <cell r="O253">
            <v>2.4</v>
          </cell>
          <cell r="P253">
            <v>3.15</v>
          </cell>
        </row>
        <row r="254">
          <cell r="D254" t="str">
            <v>7020102006</v>
          </cell>
          <cell r="E254" t="str">
            <v>AGNESI LASAGNE ALL UOVO 500G</v>
          </cell>
          <cell r="F254">
            <v>20.56</v>
          </cell>
          <cell r="G254">
            <v>20.56</v>
          </cell>
          <cell r="H254">
            <v>20.97</v>
          </cell>
          <cell r="I254">
            <v>20.97</v>
          </cell>
          <cell r="J254" t="str">
            <v>DAN</v>
          </cell>
          <cell r="K254" t="str">
            <v>OTR</v>
          </cell>
          <cell r="L254" t="str">
            <v>OTR</v>
          </cell>
          <cell r="M254">
            <v>0</v>
          </cell>
          <cell r="N254">
            <v>0</v>
          </cell>
          <cell r="O254">
            <v>15.1</v>
          </cell>
          <cell r="P254">
            <v>23.06</v>
          </cell>
        </row>
        <row r="255">
          <cell r="D255" t="str">
            <v>4010406</v>
          </cell>
          <cell r="E255" t="str">
            <v>DELAVIUDA STICKS CHOCO/ ALMENDRAS 120GR X 12</v>
          </cell>
          <cell r="F255">
            <v>19.96</v>
          </cell>
          <cell r="G255">
            <v>19.96</v>
          </cell>
          <cell r="H255">
            <v>20.36</v>
          </cell>
          <cell r="I255">
            <v>20.36</v>
          </cell>
          <cell r="J255" t="str">
            <v>DAN</v>
          </cell>
          <cell r="K255" t="str">
            <v>OTR</v>
          </cell>
          <cell r="L255" t="str">
            <v>OTR</v>
          </cell>
          <cell r="M255">
            <v>0</v>
          </cell>
          <cell r="N255">
            <v>0</v>
          </cell>
          <cell r="O255">
            <v>11.67</v>
          </cell>
          <cell r="P255">
            <v>20.36</v>
          </cell>
        </row>
        <row r="256">
          <cell r="D256" t="str">
            <v>1717333</v>
          </cell>
          <cell r="E256" t="str">
            <v>HARINA STAGIONI S/P X 1 KG</v>
          </cell>
          <cell r="F256">
            <v>10.52</v>
          </cell>
          <cell r="G256">
            <v>10.52</v>
          </cell>
          <cell r="H256">
            <v>10.73</v>
          </cell>
          <cell r="I256">
            <v>10.73</v>
          </cell>
          <cell r="J256" t="str">
            <v>DAN</v>
          </cell>
          <cell r="K256" t="str">
            <v>OTR</v>
          </cell>
          <cell r="L256" t="str">
            <v>OTR</v>
          </cell>
          <cell r="M256">
            <v>0</v>
          </cell>
          <cell r="N256">
            <v>0</v>
          </cell>
          <cell r="O256">
            <v>9</v>
          </cell>
          <cell r="P256">
            <v>11.08</v>
          </cell>
        </row>
        <row r="257">
          <cell r="D257" t="str">
            <v>400001</v>
          </cell>
          <cell r="E257" t="str">
            <v>MILYS CHIFLES NORTEÑOS 250GR X 24</v>
          </cell>
          <cell r="F257">
            <v>8.32</v>
          </cell>
          <cell r="G257">
            <v>8.32</v>
          </cell>
          <cell r="H257">
            <v>8.49</v>
          </cell>
          <cell r="I257">
            <v>8.49</v>
          </cell>
          <cell r="J257" t="str">
            <v>DAN</v>
          </cell>
          <cell r="K257" t="str">
            <v>OTR</v>
          </cell>
          <cell r="L257" t="str">
            <v>OTR</v>
          </cell>
          <cell r="M257">
            <v>0</v>
          </cell>
          <cell r="N257">
            <v>0</v>
          </cell>
          <cell r="O257">
            <v>7.12</v>
          </cell>
          <cell r="P257">
            <v>9.34</v>
          </cell>
        </row>
        <row r="258">
          <cell r="D258" t="str">
            <v>2502374</v>
          </cell>
          <cell r="E258" t="str">
            <v>SAL DE MARAS SM/ GRUESA X 500 GR</v>
          </cell>
          <cell r="F258">
            <v>11.03</v>
          </cell>
          <cell r="G258">
            <v>11.03</v>
          </cell>
          <cell r="H258">
            <v>11.25</v>
          </cell>
          <cell r="I258">
            <v>11.25</v>
          </cell>
          <cell r="J258" t="str">
            <v>DAN</v>
          </cell>
          <cell r="K258" t="str">
            <v>OTR</v>
          </cell>
          <cell r="L258" t="str">
            <v>OTR</v>
          </cell>
          <cell r="M258">
            <v>0</v>
          </cell>
          <cell r="N258">
            <v>0</v>
          </cell>
          <cell r="O258">
            <v>9.44</v>
          </cell>
          <cell r="P258">
            <v>12.38</v>
          </cell>
        </row>
        <row r="259">
          <cell r="D259" t="str">
            <v>31200008</v>
          </cell>
          <cell r="E259" t="str">
            <v>CARMENCITA INF.MANZANILLA C/MENTA 13GR X 10</v>
          </cell>
          <cell r="F259">
            <v>8.02</v>
          </cell>
          <cell r="G259">
            <v>8.02</v>
          </cell>
          <cell r="H259">
            <v>8.18</v>
          </cell>
          <cell r="I259">
            <v>8.18</v>
          </cell>
          <cell r="J259" t="str">
            <v>DAN</v>
          </cell>
          <cell r="K259" t="str">
            <v>OTR</v>
          </cell>
          <cell r="L259" t="str">
            <v>OTR</v>
          </cell>
          <cell r="M259">
            <v>0</v>
          </cell>
          <cell r="N259">
            <v>0</v>
          </cell>
          <cell r="O259">
            <v>6.86</v>
          </cell>
          <cell r="P259">
            <v>8.99</v>
          </cell>
        </row>
        <row r="260">
          <cell r="D260" t="str">
            <v>400007</v>
          </cell>
          <cell r="E260" t="str">
            <v>V.N COCKTAIL PREMIUN 80GR X 24</v>
          </cell>
          <cell r="F260">
            <v>6.45</v>
          </cell>
          <cell r="G260">
            <v>6.45</v>
          </cell>
          <cell r="H260">
            <v>6.58</v>
          </cell>
          <cell r="I260">
            <v>6.58</v>
          </cell>
          <cell r="J260" t="str">
            <v>DAN</v>
          </cell>
          <cell r="K260" t="str">
            <v>OTR</v>
          </cell>
          <cell r="L260" t="str">
            <v>OTR</v>
          </cell>
          <cell r="M260">
            <v>0</v>
          </cell>
          <cell r="N260">
            <v>0</v>
          </cell>
          <cell r="O260">
            <v>5.52</v>
          </cell>
          <cell r="P260">
            <v>7.24</v>
          </cell>
        </row>
        <row r="261">
          <cell r="D261" t="str">
            <v>05010703</v>
          </cell>
          <cell r="E261" t="str">
            <v>MISURA MULTIGRAIN 330 GR X 12</v>
          </cell>
          <cell r="F261">
            <v>17.98</v>
          </cell>
          <cell r="G261">
            <v>17.98</v>
          </cell>
          <cell r="H261">
            <v>18.34</v>
          </cell>
          <cell r="I261">
            <v>18.34</v>
          </cell>
          <cell r="J261" t="str">
            <v>DAN</v>
          </cell>
          <cell r="K261" t="str">
            <v>OTR</v>
          </cell>
          <cell r="L261" t="str">
            <v>OTR</v>
          </cell>
          <cell r="M261">
            <v>0</v>
          </cell>
          <cell r="N261">
            <v>0</v>
          </cell>
          <cell r="O261">
            <v>15</v>
          </cell>
          <cell r="P261">
            <v>18.34</v>
          </cell>
        </row>
        <row r="262">
          <cell r="D262" t="str">
            <v>3011108</v>
          </cell>
          <cell r="E262" t="str">
            <v xml:space="preserve">SCOTTI BEBIDA DE ALMENDRA </v>
          </cell>
          <cell r="F262">
            <v>16.28</v>
          </cell>
          <cell r="G262">
            <v>16.28</v>
          </cell>
          <cell r="H262">
            <v>16.600000000000001</v>
          </cell>
          <cell r="I262">
            <v>16.600000000000001</v>
          </cell>
          <cell r="J262" t="str">
            <v>DAN</v>
          </cell>
          <cell r="K262" t="str">
            <v>OTR</v>
          </cell>
          <cell r="L262" t="str">
            <v>OTR</v>
          </cell>
          <cell r="M262">
            <v>0</v>
          </cell>
          <cell r="N262">
            <v>0</v>
          </cell>
          <cell r="O262">
            <v>18.57</v>
          </cell>
          <cell r="P262">
            <v>18.260000000000002</v>
          </cell>
        </row>
        <row r="263">
          <cell r="D263" t="str">
            <v>7010102002</v>
          </cell>
          <cell r="E263" t="str">
            <v>AGNESI LE LASAGNE LE SPECIALITÁ 500G</v>
          </cell>
          <cell r="F263">
            <v>19.88</v>
          </cell>
          <cell r="G263">
            <v>19.88</v>
          </cell>
          <cell r="H263">
            <v>20.28</v>
          </cell>
          <cell r="I263">
            <v>20.28</v>
          </cell>
          <cell r="J263" t="str">
            <v>DAN</v>
          </cell>
          <cell r="K263" t="str">
            <v>OTR</v>
          </cell>
          <cell r="L263" t="str">
            <v>OTR</v>
          </cell>
          <cell r="M263">
            <v>0</v>
          </cell>
          <cell r="N263">
            <v>0</v>
          </cell>
          <cell r="O263">
            <v>14.42</v>
          </cell>
          <cell r="P263">
            <v>22.3</v>
          </cell>
        </row>
        <row r="264">
          <cell r="D264" t="str">
            <v>31200006</v>
          </cell>
          <cell r="E264" t="str">
            <v>CARMENCITA INF.JENGIBRE C/MIEL 15GR X 10</v>
          </cell>
          <cell r="F264">
            <v>8.02</v>
          </cell>
          <cell r="G264">
            <v>8.02</v>
          </cell>
          <cell r="H264">
            <v>8.18</v>
          </cell>
          <cell r="I264">
            <v>8.18</v>
          </cell>
          <cell r="J264" t="str">
            <v>DAN</v>
          </cell>
          <cell r="K264" t="str">
            <v>OTR</v>
          </cell>
          <cell r="L264" t="str">
            <v>OTR</v>
          </cell>
          <cell r="M264">
            <v>0</v>
          </cell>
          <cell r="N264">
            <v>0</v>
          </cell>
          <cell r="O264">
            <v>6.86</v>
          </cell>
          <cell r="P264">
            <v>8.99</v>
          </cell>
        </row>
        <row r="265">
          <cell r="D265" t="str">
            <v>31200009</v>
          </cell>
          <cell r="E265" t="str">
            <v>CARMENCITA INF.FRUT.ROJOS 15GR X 10</v>
          </cell>
          <cell r="F265">
            <v>8.02</v>
          </cell>
          <cell r="G265">
            <v>8.02</v>
          </cell>
          <cell r="H265">
            <v>8.18</v>
          </cell>
          <cell r="I265">
            <v>8.18</v>
          </cell>
          <cell r="J265" t="str">
            <v>DAN</v>
          </cell>
          <cell r="K265" t="str">
            <v>OTR</v>
          </cell>
          <cell r="L265" t="str">
            <v>OTR</v>
          </cell>
          <cell r="M265">
            <v>0</v>
          </cell>
          <cell r="N265">
            <v>0</v>
          </cell>
          <cell r="O265">
            <v>6.86</v>
          </cell>
          <cell r="P265">
            <v>8.99</v>
          </cell>
        </row>
        <row r="266">
          <cell r="D266" t="str">
            <v>11409184</v>
          </cell>
          <cell r="E266" t="str">
            <v>TÉ GRANADA Y FRESAS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 t="str">
            <v>DAN</v>
          </cell>
          <cell r="K266" t="str">
            <v>OTR</v>
          </cell>
          <cell r="L266" t="str">
            <v>OTR</v>
          </cell>
          <cell r="M266">
            <v>0</v>
          </cell>
          <cell r="N266">
            <v>0</v>
          </cell>
          <cell r="O266">
            <v>14.68</v>
          </cell>
          <cell r="P266">
            <v>19.260000000000002</v>
          </cell>
        </row>
        <row r="267">
          <cell r="D267" t="str">
            <v>4010405</v>
          </cell>
          <cell r="E267" t="str">
            <v>DELAVIUDA STICKS TIRAMISU 120GR X 12</v>
          </cell>
          <cell r="F267">
            <v>19.96</v>
          </cell>
          <cell r="G267">
            <v>19.96</v>
          </cell>
          <cell r="H267">
            <v>20.36</v>
          </cell>
          <cell r="I267">
            <v>20.36</v>
          </cell>
          <cell r="J267" t="str">
            <v>DAN</v>
          </cell>
          <cell r="K267" t="str">
            <v>OTR</v>
          </cell>
          <cell r="L267" t="str">
            <v>OTR</v>
          </cell>
          <cell r="M267">
            <v>0</v>
          </cell>
          <cell r="N267">
            <v>0</v>
          </cell>
          <cell r="O267">
            <v>11.67</v>
          </cell>
          <cell r="P267">
            <v>20.36</v>
          </cell>
        </row>
        <row r="268">
          <cell r="D268" t="str">
            <v>40300239</v>
          </cell>
          <cell r="E268" t="str">
            <v>BOMBONES SELECCIÓN 200GR</v>
          </cell>
          <cell r="F268">
            <v>57.58</v>
          </cell>
          <cell r="G268">
            <v>57.58</v>
          </cell>
          <cell r="H268">
            <v>58.73</v>
          </cell>
          <cell r="I268">
            <v>58.73</v>
          </cell>
          <cell r="J268" t="str">
            <v>DAN</v>
          </cell>
          <cell r="K268" t="str">
            <v>OTR</v>
          </cell>
          <cell r="L268" t="str">
            <v>OTR</v>
          </cell>
          <cell r="M268">
            <v>0</v>
          </cell>
          <cell r="N268">
            <v>0</v>
          </cell>
          <cell r="O268">
            <v>48.04</v>
          </cell>
          <cell r="P268">
            <v>58.73</v>
          </cell>
        </row>
        <row r="269">
          <cell r="D269" t="str">
            <v>30503077</v>
          </cell>
          <cell r="E269" t="str">
            <v>TURRON DURO 75G</v>
          </cell>
          <cell r="F269">
            <v>16.62</v>
          </cell>
          <cell r="G269">
            <v>16.62</v>
          </cell>
          <cell r="H269">
            <v>16.96</v>
          </cell>
          <cell r="I269">
            <v>16.96</v>
          </cell>
          <cell r="J269" t="str">
            <v>DAN</v>
          </cell>
          <cell r="K269" t="str">
            <v>OTR</v>
          </cell>
          <cell r="L269" t="str">
            <v>OTR</v>
          </cell>
          <cell r="M269">
            <v>0</v>
          </cell>
          <cell r="N269">
            <v>0</v>
          </cell>
          <cell r="O269">
            <v>13.88</v>
          </cell>
          <cell r="P269">
            <v>16.96</v>
          </cell>
        </row>
        <row r="270">
          <cell r="D270" t="str">
            <v>10207046</v>
          </cell>
          <cell r="E270" t="str">
            <v>ACEITE DE OLIVA  EXTRA VIRGEN 250ML</v>
          </cell>
          <cell r="F270">
            <v>19.7</v>
          </cell>
          <cell r="G270">
            <v>19.7</v>
          </cell>
          <cell r="H270">
            <v>20.100000000000001</v>
          </cell>
          <cell r="I270">
            <v>20.100000000000001</v>
          </cell>
          <cell r="J270" t="str">
            <v>DAN</v>
          </cell>
          <cell r="K270" t="str">
            <v>OTR</v>
          </cell>
          <cell r="L270" t="str">
            <v>OTR</v>
          </cell>
          <cell r="M270">
            <v>0</v>
          </cell>
          <cell r="N270">
            <v>0</v>
          </cell>
          <cell r="O270">
            <v>16.86</v>
          </cell>
          <cell r="P270">
            <v>22.11</v>
          </cell>
        </row>
        <row r="271">
          <cell r="D271" t="str">
            <v>10102152</v>
          </cell>
          <cell r="E271" t="str">
            <v>AGNESI PESTO ALLA GENOVESE 185GR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 t="str">
            <v>DAN</v>
          </cell>
          <cell r="K271" t="str">
            <v>OTR</v>
          </cell>
          <cell r="L271" t="str">
            <v>OTR</v>
          </cell>
          <cell r="M271">
            <v>0</v>
          </cell>
          <cell r="N271">
            <v>0</v>
          </cell>
          <cell r="O271">
            <v>18.579999999999998</v>
          </cell>
          <cell r="P271">
            <v>24.37</v>
          </cell>
        </row>
        <row r="272">
          <cell r="D272" t="str">
            <v>31200012</v>
          </cell>
          <cell r="E272" t="str">
            <v>CARMENCITA INF.MANZANILLA C/MIEL 13GR X 10</v>
          </cell>
          <cell r="F272">
            <v>8.02</v>
          </cell>
          <cell r="G272">
            <v>8.02</v>
          </cell>
          <cell r="H272">
            <v>8.18</v>
          </cell>
          <cell r="I272">
            <v>8.18</v>
          </cell>
          <cell r="J272" t="str">
            <v>DAN</v>
          </cell>
          <cell r="K272" t="str">
            <v>OTR</v>
          </cell>
          <cell r="L272" t="str">
            <v>OTR</v>
          </cell>
          <cell r="M272">
            <v>0</v>
          </cell>
          <cell r="N272">
            <v>0</v>
          </cell>
          <cell r="O272">
            <v>6.86</v>
          </cell>
          <cell r="P272">
            <v>8.99</v>
          </cell>
        </row>
        <row r="273">
          <cell r="D273" t="str">
            <v>10102155</v>
          </cell>
          <cell r="E273" t="str">
            <v>AGNESI POMODORO BOLOGNESE 400G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 t="str">
            <v>DAN</v>
          </cell>
          <cell r="K273" t="str">
            <v>OTR</v>
          </cell>
          <cell r="L273" t="str">
            <v>OTR</v>
          </cell>
          <cell r="M273">
            <v>0</v>
          </cell>
          <cell r="N273">
            <v>0</v>
          </cell>
          <cell r="O273">
            <v>15.75</v>
          </cell>
          <cell r="P273">
            <v>20.66</v>
          </cell>
        </row>
        <row r="274">
          <cell r="D274" t="str">
            <v>40900199</v>
          </cell>
          <cell r="E274" t="str">
            <v>TÉ GINGER PEACH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 t="str">
            <v>DAN</v>
          </cell>
          <cell r="K274" t="str">
            <v>OTR</v>
          </cell>
          <cell r="L274" t="str">
            <v>OTR</v>
          </cell>
          <cell r="M274">
            <v>0</v>
          </cell>
          <cell r="N274">
            <v>0</v>
          </cell>
          <cell r="O274">
            <v>14.69</v>
          </cell>
          <cell r="P274">
            <v>19.260000000000002</v>
          </cell>
        </row>
        <row r="275">
          <cell r="D275" t="str">
            <v>400012</v>
          </cell>
          <cell r="E275" t="str">
            <v>V.N PECANAS PELADAS 60 GR X 24</v>
          </cell>
          <cell r="F275">
            <v>10.19</v>
          </cell>
          <cell r="G275">
            <v>10.19</v>
          </cell>
          <cell r="H275">
            <v>10.39</v>
          </cell>
          <cell r="I275">
            <v>10.39</v>
          </cell>
          <cell r="J275" t="str">
            <v>DAN</v>
          </cell>
          <cell r="K275" t="str">
            <v>OTR</v>
          </cell>
          <cell r="L275" t="str">
            <v>OTR</v>
          </cell>
          <cell r="M275">
            <v>0</v>
          </cell>
          <cell r="N275">
            <v>0</v>
          </cell>
          <cell r="O275">
            <v>8.7200000000000006</v>
          </cell>
          <cell r="P275">
            <v>11.43</v>
          </cell>
        </row>
        <row r="276">
          <cell r="D276" t="str">
            <v>3668</v>
          </cell>
          <cell r="E276" t="str">
            <v>STACH TE VERDE GRANADA 36GR X 18UN</v>
          </cell>
          <cell r="F276">
            <v>20.93</v>
          </cell>
          <cell r="G276">
            <v>20.93</v>
          </cell>
          <cell r="H276">
            <v>21.35</v>
          </cell>
          <cell r="I276">
            <v>21.35</v>
          </cell>
          <cell r="J276" t="str">
            <v>DAN</v>
          </cell>
          <cell r="K276" t="str">
            <v>OTR</v>
          </cell>
          <cell r="L276" t="str">
            <v>OTR</v>
          </cell>
          <cell r="M276">
            <v>0</v>
          </cell>
          <cell r="N276">
            <v>0</v>
          </cell>
          <cell r="O276">
            <v>14.69</v>
          </cell>
          <cell r="P276">
            <v>23.48</v>
          </cell>
        </row>
        <row r="277">
          <cell r="D277" t="str">
            <v>7050102032</v>
          </cell>
          <cell r="E277" t="str">
            <v>AGNESI FETTUCCINE FLAT 500G</v>
          </cell>
          <cell r="F277">
            <v>10.58</v>
          </cell>
          <cell r="G277">
            <v>10.58</v>
          </cell>
          <cell r="H277">
            <v>10.79</v>
          </cell>
          <cell r="I277">
            <v>10.79</v>
          </cell>
          <cell r="J277" t="str">
            <v>DAN</v>
          </cell>
          <cell r="K277" t="str">
            <v>OTR</v>
          </cell>
          <cell r="L277" t="str">
            <v>OTR</v>
          </cell>
          <cell r="M277">
            <v>0</v>
          </cell>
          <cell r="N277">
            <v>0</v>
          </cell>
          <cell r="O277">
            <v>7.66</v>
          </cell>
          <cell r="P277">
            <v>11.87</v>
          </cell>
        </row>
        <row r="278">
          <cell r="D278" t="str">
            <v>10702097</v>
          </cell>
          <cell r="E278" t="str">
            <v>PRIVOLAT CON MIEL 400G</v>
          </cell>
          <cell r="F278">
            <v>17.98</v>
          </cell>
          <cell r="G278">
            <v>17.98</v>
          </cell>
          <cell r="H278">
            <v>18.34</v>
          </cell>
          <cell r="I278">
            <v>18.34</v>
          </cell>
          <cell r="J278" t="str">
            <v>DAN</v>
          </cell>
          <cell r="K278" t="str">
            <v>OTR</v>
          </cell>
          <cell r="L278" t="str">
            <v>OTR</v>
          </cell>
          <cell r="M278">
            <v>0</v>
          </cell>
          <cell r="N278">
            <v>0</v>
          </cell>
          <cell r="O278">
            <v>15</v>
          </cell>
          <cell r="P278">
            <v>18.34</v>
          </cell>
        </row>
        <row r="279">
          <cell r="D279" t="str">
            <v>05010702</v>
          </cell>
          <cell r="E279" t="str">
            <v>MISURA FIBREXTRA  330 GR X 12</v>
          </cell>
          <cell r="F279">
            <v>17.98</v>
          </cell>
          <cell r="G279">
            <v>17.98</v>
          </cell>
          <cell r="H279">
            <v>18.34</v>
          </cell>
          <cell r="I279">
            <v>18.34</v>
          </cell>
          <cell r="J279" t="str">
            <v>DAN</v>
          </cell>
          <cell r="K279" t="str">
            <v>OTR</v>
          </cell>
          <cell r="L279" t="str">
            <v>OTR</v>
          </cell>
          <cell r="M279">
            <v>0</v>
          </cell>
          <cell r="N279">
            <v>0</v>
          </cell>
          <cell r="O279">
            <v>15</v>
          </cell>
          <cell r="P279">
            <v>18.34</v>
          </cell>
        </row>
        <row r="280">
          <cell r="D280" t="str">
            <v>400005</v>
          </cell>
          <cell r="E280" t="str">
            <v>V.N PASAS MORENAS 150GR X 12</v>
          </cell>
          <cell r="F280">
            <v>4.58</v>
          </cell>
          <cell r="G280">
            <v>4.58</v>
          </cell>
          <cell r="H280">
            <v>4.67</v>
          </cell>
          <cell r="I280">
            <v>4.67</v>
          </cell>
          <cell r="J280" t="str">
            <v>DAN</v>
          </cell>
          <cell r="K280" t="str">
            <v>OTR</v>
          </cell>
          <cell r="L280" t="str">
            <v>OTR</v>
          </cell>
          <cell r="M280">
            <v>0</v>
          </cell>
          <cell r="N280">
            <v>0</v>
          </cell>
          <cell r="O280">
            <v>3.92</v>
          </cell>
          <cell r="P280">
            <v>5.14</v>
          </cell>
        </row>
        <row r="281">
          <cell r="D281" t="str">
            <v>4000011</v>
          </cell>
          <cell r="E281" t="str">
            <v>V.N  BERRY MIX CLASICO 250GR X 24</v>
          </cell>
          <cell r="F281">
            <v>12.99</v>
          </cell>
          <cell r="G281">
            <v>12.99</v>
          </cell>
          <cell r="H281">
            <v>13.25</v>
          </cell>
          <cell r="I281">
            <v>13.25</v>
          </cell>
          <cell r="J281" t="str">
            <v>DAN</v>
          </cell>
          <cell r="K281" t="str">
            <v>OTR</v>
          </cell>
          <cell r="L281" t="str">
            <v>OTR</v>
          </cell>
          <cell r="M281">
            <v>0</v>
          </cell>
          <cell r="N281">
            <v>0</v>
          </cell>
          <cell r="O281">
            <v>11.12</v>
          </cell>
          <cell r="P281">
            <v>14.58</v>
          </cell>
        </row>
        <row r="282">
          <cell r="D282" t="str">
            <v>10906145</v>
          </cell>
          <cell r="E282" t="str">
            <v>TOMATE PELADO DE 400G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 t="str">
            <v>DAN</v>
          </cell>
          <cell r="K282" t="str">
            <v>OTR</v>
          </cell>
          <cell r="L282" t="str">
            <v>OTR</v>
          </cell>
          <cell r="M282">
            <v>0</v>
          </cell>
          <cell r="N282">
            <v>0</v>
          </cell>
          <cell r="O282">
            <v>8.23</v>
          </cell>
          <cell r="P282">
            <v>10.79</v>
          </cell>
        </row>
        <row r="283">
          <cell r="D283" t="str">
            <v>30111081</v>
          </cell>
          <cell r="E283" t="str">
            <v xml:space="preserve">SCOTTI BEBIDA RICE COCONUT DRINK </v>
          </cell>
          <cell r="F283">
            <v>14.34</v>
          </cell>
          <cell r="G283">
            <v>14.34</v>
          </cell>
          <cell r="H283">
            <v>14.63</v>
          </cell>
          <cell r="I283">
            <v>14.63</v>
          </cell>
          <cell r="J283" t="str">
            <v>DAN</v>
          </cell>
          <cell r="K283" t="str">
            <v>OTR</v>
          </cell>
          <cell r="L283" t="str">
            <v>OTR</v>
          </cell>
          <cell r="M283">
            <v>0</v>
          </cell>
          <cell r="N283">
            <v>0</v>
          </cell>
          <cell r="O283">
            <v>12.27</v>
          </cell>
          <cell r="P283">
            <v>16.09</v>
          </cell>
        </row>
        <row r="284">
          <cell r="D284" t="str">
            <v>10403059</v>
          </cell>
          <cell r="E284" t="str">
            <v>BOMBÓN CHOCOLATE CON LECHE 150G</v>
          </cell>
          <cell r="F284">
            <v>23.83</v>
          </cell>
          <cell r="G284">
            <v>23.83</v>
          </cell>
          <cell r="H284">
            <v>24.3</v>
          </cell>
          <cell r="I284">
            <v>24.3</v>
          </cell>
          <cell r="J284" t="str">
            <v>DAN</v>
          </cell>
          <cell r="K284" t="str">
            <v>OTR</v>
          </cell>
          <cell r="L284" t="str">
            <v>OTR</v>
          </cell>
          <cell r="M284">
            <v>0</v>
          </cell>
          <cell r="N284">
            <v>0</v>
          </cell>
          <cell r="O284">
            <v>19.88</v>
          </cell>
          <cell r="P284">
            <v>24.3</v>
          </cell>
        </row>
        <row r="285">
          <cell r="D285" t="str">
            <v>30503073</v>
          </cell>
          <cell r="E285" t="str">
            <v>ALMENDRO TURRON BLANDO 150GR</v>
          </cell>
          <cell r="F285">
            <v>27.45</v>
          </cell>
          <cell r="G285">
            <v>27.45</v>
          </cell>
          <cell r="H285">
            <v>28</v>
          </cell>
          <cell r="I285">
            <v>28</v>
          </cell>
          <cell r="J285" t="str">
            <v>DAN</v>
          </cell>
          <cell r="K285" t="str">
            <v>OTR</v>
          </cell>
          <cell r="L285" t="str">
            <v>OTR</v>
          </cell>
          <cell r="M285">
            <v>0</v>
          </cell>
          <cell r="N285">
            <v>0</v>
          </cell>
          <cell r="O285">
            <v>22.89</v>
          </cell>
          <cell r="P285">
            <v>28</v>
          </cell>
        </row>
        <row r="286">
          <cell r="D286" t="str">
            <v>1624</v>
          </cell>
          <cell r="E286" t="str">
            <v>ARROZ ARBORIO INVERNI 1KG X12</v>
          </cell>
          <cell r="F286">
            <v>24.91</v>
          </cell>
          <cell r="G286">
            <v>24.91</v>
          </cell>
          <cell r="H286">
            <v>27.4</v>
          </cell>
          <cell r="I286">
            <v>27.4</v>
          </cell>
          <cell r="J286" t="str">
            <v>DAN</v>
          </cell>
          <cell r="K286" t="str">
            <v>OTR</v>
          </cell>
          <cell r="L286" t="str">
            <v>OTR</v>
          </cell>
          <cell r="M286">
            <v>0</v>
          </cell>
          <cell r="N286">
            <v>0</v>
          </cell>
          <cell r="O286">
            <v>23.04</v>
          </cell>
          <cell r="P286">
            <v>27.4</v>
          </cell>
        </row>
        <row r="287">
          <cell r="D287" t="str">
            <v>7050102035</v>
          </cell>
          <cell r="E287" t="str">
            <v>AGNESI SPAGHETTI N°3 500G</v>
          </cell>
          <cell r="F287">
            <v>10.58</v>
          </cell>
          <cell r="G287">
            <v>10.58</v>
          </cell>
          <cell r="H287">
            <v>10.79</v>
          </cell>
          <cell r="I287">
            <v>10.79</v>
          </cell>
          <cell r="J287" t="str">
            <v>DAN</v>
          </cell>
          <cell r="K287" t="str">
            <v>OTR</v>
          </cell>
          <cell r="L287" t="str">
            <v>OTR</v>
          </cell>
          <cell r="M287">
            <v>0</v>
          </cell>
          <cell r="N287">
            <v>0</v>
          </cell>
          <cell r="O287">
            <v>7.66</v>
          </cell>
          <cell r="P287">
            <v>11.87</v>
          </cell>
        </row>
        <row r="288">
          <cell r="D288" t="str">
            <v>90600001</v>
          </cell>
          <cell r="E288" t="str">
            <v>SALSA PARA PIZZA AROMATIZADA DE 400G</v>
          </cell>
          <cell r="F288">
            <v>12.53</v>
          </cell>
          <cell r="G288">
            <v>12.53</v>
          </cell>
          <cell r="H288">
            <v>12.53</v>
          </cell>
          <cell r="I288">
            <v>12.53</v>
          </cell>
          <cell r="J288" t="str">
            <v>DAN</v>
          </cell>
          <cell r="K288" t="str">
            <v>OTR</v>
          </cell>
          <cell r="L288" t="str">
            <v>OTR</v>
          </cell>
          <cell r="M288">
            <v>0</v>
          </cell>
          <cell r="N288">
            <v>0</v>
          </cell>
          <cell r="O288">
            <v>10.73</v>
          </cell>
          <cell r="P288">
            <v>14.06</v>
          </cell>
        </row>
        <row r="289">
          <cell r="D289" t="str">
            <v>31200013</v>
          </cell>
          <cell r="E289" t="str">
            <v>CARMENCITA.INF.CURCUMA &amp; CANELA 15GR X 10</v>
          </cell>
          <cell r="F289">
            <v>8.02</v>
          </cell>
          <cell r="G289">
            <v>8.02</v>
          </cell>
          <cell r="H289">
            <v>8.18</v>
          </cell>
          <cell r="I289">
            <v>8.18</v>
          </cell>
          <cell r="J289" t="str">
            <v>DAN</v>
          </cell>
          <cell r="K289" t="str">
            <v>OTR</v>
          </cell>
          <cell r="L289" t="str">
            <v>OTR</v>
          </cell>
          <cell r="M289">
            <v>0</v>
          </cell>
          <cell r="N289">
            <v>0</v>
          </cell>
          <cell r="O289">
            <v>6.86</v>
          </cell>
          <cell r="P289">
            <v>8.99</v>
          </cell>
        </row>
        <row r="290">
          <cell r="D290" t="str">
            <v>7030102017</v>
          </cell>
          <cell r="E290" t="str">
            <v>AGNESI FARFALLE 500G</v>
          </cell>
          <cell r="F290">
            <v>11.55</v>
          </cell>
          <cell r="G290">
            <v>11.55</v>
          </cell>
          <cell r="H290">
            <v>11.78</v>
          </cell>
          <cell r="I290">
            <v>11.78</v>
          </cell>
          <cell r="J290" t="str">
            <v>DAN</v>
          </cell>
          <cell r="K290" t="str">
            <v>OTR</v>
          </cell>
          <cell r="L290" t="str">
            <v>OTR</v>
          </cell>
          <cell r="M290">
            <v>0</v>
          </cell>
          <cell r="N290">
            <v>0</v>
          </cell>
          <cell r="O290">
            <v>8.3699999999999992</v>
          </cell>
          <cell r="P290">
            <v>12.95</v>
          </cell>
        </row>
        <row r="291">
          <cell r="D291" t="str">
            <v>4010403</v>
          </cell>
          <cell r="E291" t="str">
            <v>DELAVIUDA STICKS CHOCO/ AVELLANA 120GR X 12</v>
          </cell>
          <cell r="F291">
            <v>19.96</v>
          </cell>
          <cell r="G291">
            <v>19.96</v>
          </cell>
          <cell r="H291">
            <v>20.36</v>
          </cell>
          <cell r="I291">
            <v>20.36</v>
          </cell>
          <cell r="J291" t="str">
            <v>DAN</v>
          </cell>
          <cell r="K291" t="str">
            <v>OTR</v>
          </cell>
          <cell r="L291" t="str">
            <v>OTR</v>
          </cell>
          <cell r="M291">
            <v>0</v>
          </cell>
          <cell r="N291">
            <v>0</v>
          </cell>
          <cell r="O291">
            <v>11.67</v>
          </cell>
          <cell r="P291">
            <v>20.36</v>
          </cell>
        </row>
        <row r="292">
          <cell r="D292" t="str">
            <v>10403058</v>
          </cell>
          <cell r="E292" t="str">
            <v>BOMBÓN AVELLANA 150G</v>
          </cell>
          <cell r="F292">
            <v>23.83</v>
          </cell>
          <cell r="G292">
            <v>23.83</v>
          </cell>
          <cell r="H292">
            <v>24.3</v>
          </cell>
          <cell r="I292">
            <v>24.3</v>
          </cell>
          <cell r="J292" t="str">
            <v>DAN</v>
          </cell>
          <cell r="K292" t="str">
            <v>OTR</v>
          </cell>
          <cell r="L292" t="str">
            <v>OTR</v>
          </cell>
          <cell r="M292">
            <v>0</v>
          </cell>
          <cell r="N292">
            <v>0</v>
          </cell>
          <cell r="O292">
            <v>19.88</v>
          </cell>
          <cell r="P292">
            <v>24.3</v>
          </cell>
        </row>
        <row r="293">
          <cell r="D293" t="str">
            <v>400015</v>
          </cell>
          <cell r="E293" t="str">
            <v>V.N PECANAS PELADAS 100GR X 18</v>
          </cell>
          <cell r="F293">
            <v>16.09</v>
          </cell>
          <cell r="G293">
            <v>16.09</v>
          </cell>
          <cell r="H293">
            <v>16.41</v>
          </cell>
          <cell r="I293">
            <v>16.41</v>
          </cell>
          <cell r="J293" t="str">
            <v>DAN</v>
          </cell>
          <cell r="K293" t="str">
            <v>OTR</v>
          </cell>
          <cell r="L293" t="str">
            <v>OTR</v>
          </cell>
          <cell r="M293">
            <v>0</v>
          </cell>
          <cell r="N293">
            <v>0</v>
          </cell>
          <cell r="O293">
            <v>13.77</v>
          </cell>
          <cell r="P293">
            <v>18.05</v>
          </cell>
        </row>
        <row r="294">
          <cell r="D294" t="str">
            <v>30503075</v>
          </cell>
          <cell r="E294" t="str">
            <v>TURRON CROCANTE CON CHOCOLATE 75G</v>
          </cell>
          <cell r="F294">
            <v>16.62</v>
          </cell>
          <cell r="G294">
            <v>16.62</v>
          </cell>
          <cell r="H294">
            <v>16.96</v>
          </cell>
          <cell r="I294">
            <v>16.96</v>
          </cell>
          <cell r="J294" t="str">
            <v>DAN</v>
          </cell>
          <cell r="K294" t="str">
            <v>OTR</v>
          </cell>
          <cell r="L294" t="str">
            <v>OTR</v>
          </cell>
          <cell r="M294">
            <v>0</v>
          </cell>
          <cell r="N294">
            <v>0</v>
          </cell>
          <cell r="O294">
            <v>13.88</v>
          </cell>
          <cell r="P294">
            <v>16.96</v>
          </cell>
        </row>
        <row r="295">
          <cell r="D295" t="str">
            <v>1923</v>
          </cell>
          <cell r="E295" t="str">
            <v>VINO SOL/ T TINTO S/SECO 750ML X 12</v>
          </cell>
          <cell r="F295">
            <v>10.47</v>
          </cell>
          <cell r="G295">
            <v>10.47</v>
          </cell>
          <cell r="H295">
            <v>10.78</v>
          </cell>
          <cell r="I295">
            <v>10.78</v>
          </cell>
          <cell r="J295" t="str">
            <v>EXC</v>
          </cell>
          <cell r="K295" t="str">
            <v>LIC</v>
          </cell>
          <cell r="L295" t="str">
            <v>VIN</v>
          </cell>
          <cell r="M295">
            <v>0</v>
          </cell>
          <cell r="N295">
            <v>0</v>
          </cell>
          <cell r="O295">
            <v>0</v>
          </cell>
          <cell r="P295">
            <v>12.41</v>
          </cell>
        </row>
        <row r="296">
          <cell r="D296" t="str">
            <v>1918</v>
          </cell>
          <cell r="E296" t="str">
            <v xml:space="preserve">V SOL/TIERRA DE HIGO X 750ML </v>
          </cell>
          <cell r="F296">
            <v>10.47</v>
          </cell>
          <cell r="G296">
            <v>10.47</v>
          </cell>
          <cell r="H296">
            <v>10.78</v>
          </cell>
          <cell r="I296">
            <v>10.78</v>
          </cell>
          <cell r="J296" t="str">
            <v>EXC</v>
          </cell>
          <cell r="K296" t="str">
            <v>LIC</v>
          </cell>
          <cell r="L296" t="str">
            <v>VIN</v>
          </cell>
          <cell r="M296">
            <v>0</v>
          </cell>
          <cell r="N296">
            <v>0</v>
          </cell>
          <cell r="O296">
            <v>0</v>
          </cell>
          <cell r="P296">
            <v>12.41</v>
          </cell>
        </row>
        <row r="297">
          <cell r="D297" t="str">
            <v>2061</v>
          </cell>
          <cell r="E297" t="str">
            <v>MEX CREAM MARACUYA CON TEQUILA 750ML X 6</v>
          </cell>
          <cell r="F297">
            <v>58.4</v>
          </cell>
          <cell r="G297">
            <v>58.4</v>
          </cell>
          <cell r="H297">
            <v>58.6</v>
          </cell>
          <cell r="I297">
            <v>58.6</v>
          </cell>
          <cell r="J297" t="str">
            <v>EXC</v>
          </cell>
          <cell r="K297" t="str">
            <v>LIC</v>
          </cell>
          <cell r="L297" t="str">
            <v>VIN</v>
          </cell>
          <cell r="M297">
            <v>0</v>
          </cell>
          <cell r="N297">
            <v>0</v>
          </cell>
          <cell r="O297">
            <v>0</v>
          </cell>
          <cell r="P297">
            <v>61.53</v>
          </cell>
        </row>
        <row r="298">
          <cell r="D298" t="str">
            <v>1922</v>
          </cell>
          <cell r="E298" t="str">
            <v>VINO SOL/ T MISTELA 750ML X 12</v>
          </cell>
          <cell r="F298">
            <v>10.47</v>
          </cell>
          <cell r="G298">
            <v>10.47</v>
          </cell>
          <cell r="H298">
            <v>10.78</v>
          </cell>
          <cell r="I298">
            <v>10.78</v>
          </cell>
          <cell r="J298" t="str">
            <v>EXC</v>
          </cell>
          <cell r="K298" t="str">
            <v>LIC</v>
          </cell>
          <cell r="L298" t="str">
            <v>VIN</v>
          </cell>
          <cell r="M298">
            <v>0</v>
          </cell>
          <cell r="N298">
            <v>0</v>
          </cell>
          <cell r="O298">
            <v>0</v>
          </cell>
          <cell r="P298">
            <v>12.41</v>
          </cell>
        </row>
        <row r="299">
          <cell r="D299" t="str">
            <v>1920</v>
          </cell>
          <cell r="E299" t="str">
            <v>VINO SOL/T ROSE 750ML X 12</v>
          </cell>
          <cell r="F299">
            <v>10.47</v>
          </cell>
          <cell r="G299">
            <v>10.47</v>
          </cell>
          <cell r="H299">
            <v>10.78</v>
          </cell>
          <cell r="I299">
            <v>10.78</v>
          </cell>
          <cell r="J299" t="str">
            <v>EXC</v>
          </cell>
          <cell r="K299" t="str">
            <v>LIC</v>
          </cell>
          <cell r="L299" t="str">
            <v>VIN</v>
          </cell>
          <cell r="M299">
            <v>0</v>
          </cell>
          <cell r="N299">
            <v>0</v>
          </cell>
          <cell r="O299">
            <v>0</v>
          </cell>
          <cell r="P299">
            <v>12.41</v>
          </cell>
        </row>
        <row r="300">
          <cell r="D300" t="str">
            <v>971</v>
          </cell>
          <cell r="E300" t="str">
            <v>VINO SOL/ T BORGOÑA SEMI SECO 750ML X 12</v>
          </cell>
          <cell r="F300">
            <v>10.47</v>
          </cell>
          <cell r="G300">
            <v>10.47</v>
          </cell>
          <cell r="H300">
            <v>10.78</v>
          </cell>
          <cell r="I300">
            <v>10.78</v>
          </cell>
          <cell r="J300" t="str">
            <v>EXC</v>
          </cell>
          <cell r="K300" t="str">
            <v>LIC</v>
          </cell>
          <cell r="L300" t="str">
            <v>VIN</v>
          </cell>
          <cell r="M300">
            <v>0</v>
          </cell>
          <cell r="N300">
            <v>0</v>
          </cell>
          <cell r="O300">
            <v>0</v>
          </cell>
          <cell r="P300">
            <v>12.41</v>
          </cell>
        </row>
        <row r="301">
          <cell r="D301" t="str">
            <v>1919</v>
          </cell>
          <cell r="E301" t="str">
            <v>VINO SOL/ T PERFECTO AMOR 750ML X 12</v>
          </cell>
          <cell r="F301">
            <v>10.47</v>
          </cell>
          <cell r="G301">
            <v>10.47</v>
          </cell>
          <cell r="H301">
            <v>10.78</v>
          </cell>
          <cell r="I301">
            <v>10.78</v>
          </cell>
          <cell r="J301" t="str">
            <v>EXC</v>
          </cell>
          <cell r="K301" t="str">
            <v>LIC</v>
          </cell>
          <cell r="L301" t="str">
            <v>VIN</v>
          </cell>
          <cell r="M301">
            <v>0</v>
          </cell>
          <cell r="N301">
            <v>0</v>
          </cell>
          <cell r="O301">
            <v>0</v>
          </cell>
          <cell r="P301">
            <v>12.41</v>
          </cell>
        </row>
        <row r="302">
          <cell r="D302" t="str">
            <v>02071</v>
          </cell>
          <cell r="E302" t="str">
            <v>PANETTONE PERA Y CHOCOLATE 930GR TRE MARIE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 t="str">
            <v>ADI</v>
          </cell>
          <cell r="K302" t="str">
            <v>PAN</v>
          </cell>
          <cell r="L302" t="str">
            <v>CAJ</v>
          </cell>
          <cell r="M302">
            <v>0</v>
          </cell>
          <cell r="N302">
            <v>0</v>
          </cell>
          <cell r="O302">
            <v>121.64</v>
          </cell>
          <cell r="P302">
            <v>157.53</v>
          </cell>
        </row>
        <row r="303">
          <cell r="D303" t="str">
            <v>02827</v>
          </cell>
          <cell r="E303" t="str">
            <v>PANETTONE AL PISTACCHIO VERDE DI BRONTE DOP 1KG RUSTICHELLA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 t="str">
            <v>ADI</v>
          </cell>
          <cell r="K303" t="str">
            <v>PAN</v>
          </cell>
          <cell r="L303" t="str">
            <v>CAJ</v>
          </cell>
          <cell r="M303">
            <v>0</v>
          </cell>
          <cell r="N303">
            <v>0</v>
          </cell>
          <cell r="O303">
            <v>223.71</v>
          </cell>
          <cell r="P303">
            <v>289.7</v>
          </cell>
        </row>
        <row r="304">
          <cell r="D304" t="str">
            <v>1429</v>
          </cell>
          <cell r="E304" t="str">
            <v>PANETON LAZZARONI CHOCOLATE 100GR</v>
          </cell>
          <cell r="F304">
            <v>13.17</v>
          </cell>
          <cell r="G304">
            <v>13.17</v>
          </cell>
          <cell r="H304">
            <v>13.83</v>
          </cell>
          <cell r="I304">
            <v>13.83</v>
          </cell>
          <cell r="J304" t="str">
            <v>ADI</v>
          </cell>
          <cell r="K304" t="str">
            <v>PAN</v>
          </cell>
          <cell r="L304" t="str">
            <v>CAJ</v>
          </cell>
          <cell r="M304">
            <v>0</v>
          </cell>
          <cell r="N304">
            <v>0</v>
          </cell>
          <cell r="O304">
            <v>11.51</v>
          </cell>
          <cell r="P304">
            <v>13.83</v>
          </cell>
        </row>
        <row r="305">
          <cell r="D305" t="str">
            <v>2740</v>
          </cell>
          <cell r="E305" t="str">
            <v>SALAME GALET NATURE 100 GR MAISON LOSTE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 t="str">
            <v>ADI</v>
          </cell>
          <cell r="K305" t="str">
            <v>PAN</v>
          </cell>
          <cell r="L305" t="str">
            <v>CAJ</v>
          </cell>
          <cell r="M305">
            <v>0</v>
          </cell>
          <cell r="N305">
            <v>0</v>
          </cell>
          <cell r="O305">
            <v>17.48</v>
          </cell>
          <cell r="P305">
            <v>20.98</v>
          </cell>
        </row>
        <row r="306">
          <cell r="D306" t="str">
            <v>239</v>
          </cell>
          <cell r="E306" t="str">
            <v>BAROLO DOCG SORANUS TENUTA MONTEMANGO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 t="str">
            <v>ADI</v>
          </cell>
          <cell r="K306" t="str">
            <v>PAN</v>
          </cell>
          <cell r="L306" t="str">
            <v>CAJ</v>
          </cell>
          <cell r="M306">
            <v>0</v>
          </cell>
          <cell r="N306">
            <v>0</v>
          </cell>
          <cell r="O306">
            <v>179.69</v>
          </cell>
          <cell r="P306">
            <v>215.69</v>
          </cell>
        </row>
        <row r="307">
          <cell r="D307" t="str">
            <v>03018</v>
          </cell>
          <cell r="E307" t="str">
            <v>PANETTONE OFELLA CON VASO PIST 1KG RUSTICHELLA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 t="str">
            <v>ADI</v>
          </cell>
          <cell r="K307" t="str">
            <v>PAN</v>
          </cell>
          <cell r="L307" t="str">
            <v>CAJ</v>
          </cell>
          <cell r="M307">
            <v>0</v>
          </cell>
          <cell r="N307">
            <v>0</v>
          </cell>
          <cell r="O307">
            <v>279.64</v>
          </cell>
          <cell r="P307">
            <v>362.13</v>
          </cell>
        </row>
        <row r="308">
          <cell r="D308" t="str">
            <v>01249</v>
          </cell>
          <cell r="E308" t="str">
            <v>GARNELLI ALLUOVO X 25 GR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 t="str">
            <v>ADI</v>
          </cell>
          <cell r="K308" t="str">
            <v>PAN</v>
          </cell>
          <cell r="L308" t="str">
            <v>CAJ</v>
          </cell>
          <cell r="M308">
            <v>0</v>
          </cell>
          <cell r="N308">
            <v>0</v>
          </cell>
          <cell r="O308">
            <v>19.37</v>
          </cell>
          <cell r="P308">
            <v>23.26</v>
          </cell>
        </row>
        <row r="309">
          <cell r="D309" t="str">
            <v>0734</v>
          </cell>
          <cell r="E309" t="str">
            <v>PANETTONE MILANESE BASSO 1KG TRE MARIE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 t="str">
            <v>ADI</v>
          </cell>
          <cell r="K309" t="str">
            <v>PAN</v>
          </cell>
          <cell r="L309" t="str">
            <v>CAJ</v>
          </cell>
          <cell r="M309">
            <v>0</v>
          </cell>
          <cell r="N309">
            <v>0</v>
          </cell>
          <cell r="O309">
            <v>100.67</v>
          </cell>
          <cell r="P309">
            <v>130.37</v>
          </cell>
        </row>
        <row r="310">
          <cell r="D310" t="str">
            <v>01425</v>
          </cell>
          <cell r="E310" t="str">
            <v xml:space="preserve">PANETTONE CLASICO CAJA 1KG LAZZARONI 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 t="str">
            <v>ADI</v>
          </cell>
          <cell r="K310" t="str">
            <v>PAN</v>
          </cell>
          <cell r="L310" t="str">
            <v>CAJ</v>
          </cell>
          <cell r="M310">
            <v>0</v>
          </cell>
          <cell r="N310">
            <v>0</v>
          </cell>
          <cell r="O310">
            <v>67.11</v>
          </cell>
          <cell r="P310">
            <v>86.91</v>
          </cell>
        </row>
        <row r="311">
          <cell r="D311" t="str">
            <v>2035</v>
          </cell>
          <cell r="E311" t="str">
            <v>PANETTONE MARRONS GLACES ENVUELTO A MANO 750 GR LAZZARONI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 t="str">
            <v>ADI</v>
          </cell>
          <cell r="K311" t="str">
            <v>PAN</v>
          </cell>
          <cell r="L311" t="str">
            <v>CAJ</v>
          </cell>
          <cell r="M311">
            <v>0</v>
          </cell>
          <cell r="N311">
            <v>0</v>
          </cell>
          <cell r="O311">
            <v>98.05</v>
          </cell>
          <cell r="P311">
            <v>147.69</v>
          </cell>
        </row>
        <row r="312">
          <cell r="D312" t="str">
            <v>1723</v>
          </cell>
          <cell r="E312" t="str">
            <v>PANETON MILANESE TRE MARIE 1KG</v>
          </cell>
          <cell r="F312">
            <v>107.47</v>
          </cell>
          <cell r="G312">
            <v>107.47</v>
          </cell>
          <cell r="H312">
            <v>112.84</v>
          </cell>
          <cell r="I312">
            <v>112.84</v>
          </cell>
          <cell r="J312" t="str">
            <v>ADI</v>
          </cell>
          <cell r="K312" t="str">
            <v>PAN</v>
          </cell>
          <cell r="L312" t="str">
            <v>CAJ</v>
          </cell>
          <cell r="M312">
            <v>0</v>
          </cell>
          <cell r="N312">
            <v>0</v>
          </cell>
          <cell r="O312">
            <v>93.27</v>
          </cell>
          <cell r="P312">
            <v>112</v>
          </cell>
        </row>
        <row r="313">
          <cell r="D313" t="str">
            <v>695</v>
          </cell>
          <cell r="E313" t="str">
            <v>PANDORO CLASSICO LAZZARONI CAJA  1KG</v>
          </cell>
          <cell r="F313">
            <v>92.37</v>
          </cell>
          <cell r="G313">
            <v>92.37</v>
          </cell>
          <cell r="H313">
            <v>96.99</v>
          </cell>
          <cell r="I313">
            <v>96.99</v>
          </cell>
          <cell r="J313" t="str">
            <v>ADI</v>
          </cell>
          <cell r="K313" t="str">
            <v>PAN</v>
          </cell>
          <cell r="L313" t="str">
            <v>CAJ</v>
          </cell>
          <cell r="M313">
            <v>0</v>
          </cell>
          <cell r="N313">
            <v>0</v>
          </cell>
          <cell r="O313">
            <v>79.400000000000006</v>
          </cell>
          <cell r="P313">
            <v>95.3</v>
          </cell>
        </row>
        <row r="314">
          <cell r="D314" t="str">
            <v>1427</v>
          </cell>
          <cell r="E314" t="str">
            <v>PANETON CLASSICO RED X500GR</v>
          </cell>
          <cell r="F314">
            <v>51.58</v>
          </cell>
          <cell r="G314">
            <v>51.58</v>
          </cell>
          <cell r="H314">
            <v>54.16</v>
          </cell>
          <cell r="I314">
            <v>54.16</v>
          </cell>
          <cell r="J314" t="str">
            <v>ADI</v>
          </cell>
          <cell r="K314" t="str">
            <v>PAN</v>
          </cell>
          <cell r="L314" t="str">
            <v>CAJ</v>
          </cell>
          <cell r="M314">
            <v>0</v>
          </cell>
          <cell r="N314">
            <v>0</v>
          </cell>
          <cell r="O314">
            <v>44.98</v>
          </cell>
          <cell r="P314">
            <v>54.16</v>
          </cell>
        </row>
        <row r="315">
          <cell r="D315" t="str">
            <v>01419</v>
          </cell>
          <cell r="E315" t="str">
            <v>PANETTONE CLASICO "RUSTICO ANDINA" ENV MANO 750GR LAZZARONI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 t="str">
            <v>ADI</v>
          </cell>
          <cell r="K315" t="str">
            <v>PAN</v>
          </cell>
          <cell r="L315" t="str">
            <v>CAJ</v>
          </cell>
          <cell r="M315">
            <v>0</v>
          </cell>
          <cell r="N315">
            <v>0</v>
          </cell>
          <cell r="O315">
            <v>75.150000000000006</v>
          </cell>
          <cell r="P315">
            <v>97.32</v>
          </cell>
        </row>
        <row r="316">
          <cell r="D316" t="str">
            <v>0357</v>
          </cell>
          <cell r="E316" t="str">
            <v>FUNGHI PORCINI 100 G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 t="str">
            <v>ADI</v>
          </cell>
          <cell r="K316" t="str">
            <v>PAN</v>
          </cell>
          <cell r="L316" t="str">
            <v>CAJ</v>
          </cell>
          <cell r="M316">
            <v>0</v>
          </cell>
          <cell r="N316">
            <v>0</v>
          </cell>
          <cell r="O316">
            <v>42.55</v>
          </cell>
          <cell r="P316">
            <v>51.07</v>
          </cell>
        </row>
        <row r="317">
          <cell r="D317" t="str">
            <v>2766</v>
          </cell>
          <cell r="E317" t="str">
            <v>PANETTONE GLASSATO ALLE MANDORLE RUSTICHELLA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 t="str">
            <v>ADI</v>
          </cell>
          <cell r="K317" t="str">
            <v>PAN</v>
          </cell>
          <cell r="L317" t="str">
            <v>CAJ</v>
          </cell>
          <cell r="M317">
            <v>0</v>
          </cell>
          <cell r="N317">
            <v>0</v>
          </cell>
          <cell r="O317">
            <v>161.13999999999999</v>
          </cell>
          <cell r="P317">
            <v>208.68</v>
          </cell>
        </row>
        <row r="318">
          <cell r="D318" t="str">
            <v>1426</v>
          </cell>
          <cell r="E318" t="str">
            <v>PANETON CLASICO RED 100GR</v>
          </cell>
          <cell r="F318">
            <v>13.17</v>
          </cell>
          <cell r="G318">
            <v>13.17</v>
          </cell>
          <cell r="H318">
            <v>13.83</v>
          </cell>
          <cell r="I318">
            <v>13.83</v>
          </cell>
          <cell r="J318" t="str">
            <v>ADI</v>
          </cell>
          <cell r="K318" t="str">
            <v>PAN</v>
          </cell>
          <cell r="L318" t="str">
            <v>CAJ</v>
          </cell>
          <cell r="M318">
            <v>0</v>
          </cell>
          <cell r="N318">
            <v>0</v>
          </cell>
          <cell r="O318">
            <v>11.51</v>
          </cell>
          <cell r="P318">
            <v>13.83</v>
          </cell>
        </row>
        <row r="319">
          <cell r="D319" t="str">
            <v>2762</v>
          </cell>
          <cell r="E319" t="str">
            <v>QUESO DESHIDRATADO BOLSA DE 100 GR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 t="str">
            <v>ADI</v>
          </cell>
          <cell r="K319" t="str">
            <v>PAN</v>
          </cell>
          <cell r="L319" t="str">
            <v>CAJ</v>
          </cell>
          <cell r="M319">
            <v>0</v>
          </cell>
          <cell r="N319">
            <v>0</v>
          </cell>
          <cell r="O319">
            <v>7.41</v>
          </cell>
          <cell r="P319">
            <v>8.89</v>
          </cell>
        </row>
        <row r="320">
          <cell r="D320" t="str">
            <v>00733</v>
          </cell>
          <cell r="E320" t="str">
            <v xml:space="preserve">PANETTONE MILANESE SENZA CANDITI TRE MARIE 1KG 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 t="str">
            <v>ADI</v>
          </cell>
          <cell r="K320" t="str">
            <v>PAN</v>
          </cell>
          <cell r="L320" t="str">
            <v>CAJ</v>
          </cell>
          <cell r="M320">
            <v>0</v>
          </cell>
          <cell r="N320">
            <v>0</v>
          </cell>
          <cell r="O320">
            <v>100.32</v>
          </cell>
          <cell r="P320">
            <v>129.91</v>
          </cell>
        </row>
        <row r="321">
          <cell r="D321" t="str">
            <v>2048</v>
          </cell>
          <cell r="E321" t="str">
            <v>PANETTONE LIMONCELLO ENV MANO 750 GR LAZZARONI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 t="str">
            <v>ADI</v>
          </cell>
          <cell r="K321" t="str">
            <v>PAN</v>
          </cell>
          <cell r="L321" t="str">
            <v>CAJ</v>
          </cell>
          <cell r="M321">
            <v>0</v>
          </cell>
          <cell r="N321">
            <v>0</v>
          </cell>
          <cell r="O321">
            <v>90.04</v>
          </cell>
          <cell r="P321">
            <v>108.07</v>
          </cell>
        </row>
        <row r="322">
          <cell r="D322" t="str">
            <v>1423</v>
          </cell>
          <cell r="E322" t="str">
            <v>PANETON CLASSICO RED LATA 1KG</v>
          </cell>
          <cell r="F322">
            <v>98.59</v>
          </cell>
          <cell r="G322">
            <v>98.59</v>
          </cell>
          <cell r="H322">
            <v>103.52</v>
          </cell>
          <cell r="I322">
            <v>103.52</v>
          </cell>
          <cell r="J322" t="str">
            <v>ADI</v>
          </cell>
          <cell r="K322" t="str">
            <v>PAN</v>
          </cell>
          <cell r="L322" t="str">
            <v>CAJ</v>
          </cell>
          <cell r="M322">
            <v>0</v>
          </cell>
          <cell r="N322">
            <v>0</v>
          </cell>
          <cell r="O322">
            <v>86</v>
          </cell>
          <cell r="P322">
            <v>103.52</v>
          </cell>
        </row>
        <row r="323">
          <cell r="D323" t="str">
            <v>02767</v>
          </cell>
          <cell r="E323" t="str">
            <v>PANETTONE AL CIOCCOLATO X 1KG RUSTICHELLA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 t="str">
            <v>ADI</v>
          </cell>
          <cell r="K323" t="str">
            <v>PAN</v>
          </cell>
          <cell r="L323" t="str">
            <v>CAJ</v>
          </cell>
          <cell r="M323">
            <v>0</v>
          </cell>
          <cell r="N323">
            <v>0</v>
          </cell>
          <cell r="O323">
            <v>174.77</v>
          </cell>
          <cell r="P323">
            <v>226.33</v>
          </cell>
        </row>
        <row r="324">
          <cell r="D324" t="str">
            <v>00725</v>
          </cell>
          <cell r="E324" t="str">
            <v xml:space="preserve">PANETTONE MILANESE INCARTADO MANO 1KG TRE MARIE LINEA CLASICA 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 t="str">
            <v>ADI</v>
          </cell>
          <cell r="K324" t="str">
            <v>PAN</v>
          </cell>
          <cell r="L324" t="str">
            <v>CAJ</v>
          </cell>
          <cell r="M324">
            <v>0</v>
          </cell>
          <cell r="N324">
            <v>0</v>
          </cell>
          <cell r="O324">
            <v>116.74</v>
          </cell>
          <cell r="P324">
            <v>144.88999999999999</v>
          </cell>
        </row>
        <row r="325">
          <cell r="D325" t="str">
            <v>099</v>
          </cell>
          <cell r="E325" t="str">
            <v>BAROLO DOCG CA BIANCA 750 ML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 t="str">
            <v>ADI</v>
          </cell>
          <cell r="K325" t="str">
            <v>PAN</v>
          </cell>
          <cell r="L325" t="str">
            <v>CAJ</v>
          </cell>
          <cell r="M325">
            <v>0</v>
          </cell>
          <cell r="N325">
            <v>0</v>
          </cell>
          <cell r="O325">
            <v>148.16</v>
          </cell>
          <cell r="P325">
            <v>177.84</v>
          </cell>
        </row>
        <row r="326">
          <cell r="D326" t="str">
            <v>169</v>
          </cell>
          <cell r="E326" t="str">
            <v>CANTUCCINI 25% BOLSA 15 G BELLI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 t="str">
            <v>ADI</v>
          </cell>
          <cell r="K326" t="str">
            <v>PAN</v>
          </cell>
          <cell r="L326" t="str">
            <v>CAJ</v>
          </cell>
          <cell r="M326">
            <v>0</v>
          </cell>
          <cell r="N326">
            <v>0</v>
          </cell>
          <cell r="O326">
            <v>10.64</v>
          </cell>
          <cell r="P326">
            <v>12.77</v>
          </cell>
        </row>
        <row r="327">
          <cell r="D327" t="str">
            <v>003011</v>
          </cell>
          <cell r="E327" t="str">
            <v>PANETTONE CLASSICO CAJA REGALO 750GR LAZZARONI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 t="str">
            <v>ADI</v>
          </cell>
          <cell r="K327" t="str">
            <v>PAN</v>
          </cell>
          <cell r="L327" t="str">
            <v>CAJ</v>
          </cell>
          <cell r="M327">
            <v>0</v>
          </cell>
          <cell r="N327">
            <v>0</v>
          </cell>
          <cell r="O327">
            <v>87.39</v>
          </cell>
          <cell r="P327">
            <v>113.17</v>
          </cell>
        </row>
        <row r="328">
          <cell r="D328" t="str">
            <v>2461</v>
          </cell>
          <cell r="E328" t="str">
            <v>PANETTONE PERLA DEL SUD TRE MARIE 850 GR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 t="str">
            <v>ADI</v>
          </cell>
          <cell r="K328" t="str">
            <v>PAN</v>
          </cell>
          <cell r="L328" t="str">
            <v>CAJ</v>
          </cell>
          <cell r="M328">
            <v>0</v>
          </cell>
          <cell r="N328">
            <v>0</v>
          </cell>
          <cell r="O328">
            <v>124.79</v>
          </cell>
          <cell r="P328">
            <v>161.6</v>
          </cell>
        </row>
        <row r="329">
          <cell r="D329" t="str">
            <v>2640</v>
          </cell>
          <cell r="E329" t="str">
            <v>VAN TIN AMARETTI CRUNCHY 100 GR LAZZARONI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 t="str">
            <v>ADI</v>
          </cell>
          <cell r="K329" t="str">
            <v>PAN</v>
          </cell>
          <cell r="L329" t="str">
            <v>CAJ</v>
          </cell>
          <cell r="M329">
            <v>0</v>
          </cell>
          <cell r="N329">
            <v>0</v>
          </cell>
          <cell r="O329">
            <v>69.14</v>
          </cell>
          <cell r="P329">
            <v>82.99</v>
          </cell>
        </row>
        <row r="330">
          <cell r="D330" t="str">
            <v>1416</v>
          </cell>
          <cell r="E330" t="str">
            <v>PANETTONNE AL AMARETTO LAZZARONI 750 GR EMV. A MANO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 t="str">
            <v>ADI</v>
          </cell>
          <cell r="K330" t="str">
            <v>PAN</v>
          </cell>
          <cell r="L330" t="str">
            <v>CAJ</v>
          </cell>
          <cell r="M330">
            <v>0</v>
          </cell>
          <cell r="N330">
            <v>0</v>
          </cell>
          <cell r="O330">
            <v>90.17</v>
          </cell>
          <cell r="P330">
            <v>112.22</v>
          </cell>
        </row>
        <row r="331">
          <cell r="D331" t="str">
            <v>2770</v>
          </cell>
          <cell r="E331" t="str">
            <v xml:space="preserve">PICI X 250 GR 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 t="str">
            <v>ADI</v>
          </cell>
          <cell r="K331" t="str">
            <v>PAN</v>
          </cell>
          <cell r="L331" t="str">
            <v>CAJ</v>
          </cell>
          <cell r="M331">
            <v>0</v>
          </cell>
          <cell r="N331">
            <v>0</v>
          </cell>
          <cell r="O331">
            <v>18.62</v>
          </cell>
          <cell r="P331">
            <v>22.34</v>
          </cell>
        </row>
        <row r="332">
          <cell r="D332" t="str">
            <v>01870</v>
          </cell>
          <cell r="E332" t="str">
            <v>PANETTONE CARAMEL DORE TRE MARIE 900 GR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 t="str">
            <v>ADI</v>
          </cell>
          <cell r="K332" t="str">
            <v>PAN</v>
          </cell>
          <cell r="L332" t="str">
            <v>CAJ</v>
          </cell>
          <cell r="M332">
            <v>0</v>
          </cell>
          <cell r="N332">
            <v>0</v>
          </cell>
          <cell r="O332">
            <v>118.62</v>
          </cell>
          <cell r="P332">
            <v>147.26</v>
          </cell>
        </row>
        <row r="333">
          <cell r="D333" t="str">
            <v>167</v>
          </cell>
          <cell r="E333" t="str">
            <v>CANTUCCINI 25% BOLSA 25 GR+VIN SANTO 375 CC BIELLI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 t="str">
            <v>ADI</v>
          </cell>
          <cell r="K333" t="str">
            <v>PAN</v>
          </cell>
          <cell r="L333" t="str">
            <v>CAJ</v>
          </cell>
          <cell r="M333">
            <v>0</v>
          </cell>
          <cell r="N333">
            <v>0</v>
          </cell>
          <cell r="O333">
            <v>53.19</v>
          </cell>
          <cell r="P333">
            <v>63.84</v>
          </cell>
        </row>
        <row r="334">
          <cell r="D334" t="str">
            <v>1869</v>
          </cell>
          <cell r="E334" t="str">
            <v>PANETON CAPOLAVORIO BLANCO X 800GR</v>
          </cell>
          <cell r="F334">
            <v>94.86</v>
          </cell>
          <cell r="G334">
            <v>94.86</v>
          </cell>
          <cell r="H334">
            <v>99.6</v>
          </cell>
          <cell r="I334">
            <v>99.6</v>
          </cell>
          <cell r="J334" t="str">
            <v>ADI</v>
          </cell>
          <cell r="K334" t="str">
            <v>PAN</v>
          </cell>
          <cell r="L334" t="str">
            <v>CAJ</v>
          </cell>
          <cell r="M334">
            <v>0</v>
          </cell>
          <cell r="N334">
            <v>0</v>
          </cell>
          <cell r="O334">
            <v>85.3</v>
          </cell>
          <cell r="P334">
            <v>132.16999999999999</v>
          </cell>
        </row>
        <row r="335">
          <cell r="D335" t="str">
            <v>437</v>
          </cell>
          <cell r="E335" t="str">
            <v>GOCCE DI TARTUFO BLANCO BOT. 55 ML (ACEITE DE TRUFA BLANCA)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 t="str">
            <v>ADI</v>
          </cell>
          <cell r="K335" t="str">
            <v>PAN</v>
          </cell>
          <cell r="L335" t="str">
            <v>CAJ</v>
          </cell>
          <cell r="M335">
            <v>0</v>
          </cell>
          <cell r="N335">
            <v>0</v>
          </cell>
          <cell r="O335">
            <v>32.29</v>
          </cell>
          <cell r="P335">
            <v>38.76</v>
          </cell>
        </row>
        <row r="336">
          <cell r="D336" t="str">
            <v>003012</v>
          </cell>
          <cell r="E336" t="str">
            <v>PANETTONE LIMONCELLO CAJA REGALO 750 GR LAZZARONI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 t="str">
            <v>ADI</v>
          </cell>
          <cell r="K336" t="str">
            <v>PAN</v>
          </cell>
          <cell r="L336" t="str">
            <v>CAJ</v>
          </cell>
          <cell r="M336">
            <v>0</v>
          </cell>
          <cell r="N336">
            <v>0</v>
          </cell>
          <cell r="O336">
            <v>87.39</v>
          </cell>
          <cell r="P336">
            <v>113.17</v>
          </cell>
        </row>
        <row r="337">
          <cell r="D337" t="str">
            <v>2033</v>
          </cell>
          <cell r="E337" t="str">
            <v>PANETON PERAS Y CHOCOLATES CHIPS CAJA 100GR LAZZARONI</v>
          </cell>
          <cell r="F337">
            <v>13.17</v>
          </cell>
          <cell r="G337">
            <v>13.17</v>
          </cell>
          <cell r="H337">
            <v>13.83</v>
          </cell>
          <cell r="I337">
            <v>13.83</v>
          </cell>
          <cell r="J337" t="str">
            <v>ADI</v>
          </cell>
          <cell r="K337" t="str">
            <v>PAN</v>
          </cell>
          <cell r="L337" t="str">
            <v>CAJ</v>
          </cell>
          <cell r="M337">
            <v>0</v>
          </cell>
          <cell r="N337">
            <v>0</v>
          </cell>
          <cell r="O337">
            <v>11.32</v>
          </cell>
          <cell r="P337">
            <v>13.59</v>
          </cell>
        </row>
        <row r="338">
          <cell r="D338" t="str">
            <v>693</v>
          </cell>
          <cell r="E338" t="str">
            <v>PANDORO  MAGNIFICO INTENSO CHOCO X1K</v>
          </cell>
          <cell r="F338">
            <v>119.9</v>
          </cell>
          <cell r="G338">
            <v>119.9</v>
          </cell>
          <cell r="H338">
            <v>125.9</v>
          </cell>
          <cell r="I338">
            <v>125.9</v>
          </cell>
          <cell r="J338" t="str">
            <v>ADI</v>
          </cell>
          <cell r="K338" t="str">
            <v>PAN</v>
          </cell>
          <cell r="L338" t="str">
            <v>CAJ</v>
          </cell>
          <cell r="M338">
            <v>0</v>
          </cell>
          <cell r="N338">
            <v>0</v>
          </cell>
          <cell r="O338">
            <v>104.47</v>
          </cell>
          <cell r="P338">
            <v>125.9</v>
          </cell>
        </row>
        <row r="339">
          <cell r="D339" t="str">
            <v>ISM1540</v>
          </cell>
          <cell r="E339" t="str">
            <v>FRUVI FCO DURAZNO 300ML X12</v>
          </cell>
          <cell r="F339">
            <v>24.8</v>
          </cell>
          <cell r="G339">
            <v>24.8</v>
          </cell>
          <cell r="H339">
            <v>25.25</v>
          </cell>
          <cell r="I339">
            <v>25.25</v>
          </cell>
          <cell r="J339" t="str">
            <v>ISM</v>
          </cell>
          <cell r="K339" t="str">
            <v>KER</v>
          </cell>
          <cell r="L339" t="str">
            <v>FRU</v>
          </cell>
          <cell r="M339">
            <v>0</v>
          </cell>
          <cell r="N339">
            <v>0</v>
          </cell>
          <cell r="O339">
            <v>17.71</v>
          </cell>
          <cell r="P339">
            <v>14.12</v>
          </cell>
        </row>
        <row r="340">
          <cell r="D340" t="str">
            <v>ISM1542</v>
          </cell>
          <cell r="E340" t="str">
            <v>FRUVI FCO MANGO 300ML X12</v>
          </cell>
          <cell r="F340">
            <v>24.8</v>
          </cell>
          <cell r="G340">
            <v>24.8</v>
          </cell>
          <cell r="H340">
            <v>25.25</v>
          </cell>
          <cell r="I340">
            <v>25.25</v>
          </cell>
          <cell r="J340" t="str">
            <v>ISM</v>
          </cell>
          <cell r="K340" t="str">
            <v>KER</v>
          </cell>
          <cell r="L340" t="str">
            <v>FRU</v>
          </cell>
          <cell r="M340">
            <v>0</v>
          </cell>
          <cell r="N340">
            <v>0</v>
          </cell>
          <cell r="O340">
            <v>17.71</v>
          </cell>
          <cell r="P340">
            <v>14.12</v>
          </cell>
        </row>
        <row r="341">
          <cell r="D341" t="str">
            <v>ISM01544</v>
          </cell>
          <cell r="E341" t="str">
            <v>FRUVI MANGO 1LT X6</v>
          </cell>
          <cell r="F341">
            <v>19.46</v>
          </cell>
          <cell r="G341">
            <v>19.46</v>
          </cell>
          <cell r="H341">
            <v>19.61</v>
          </cell>
          <cell r="I341">
            <v>19.61</v>
          </cell>
          <cell r="J341" t="str">
            <v>ISM</v>
          </cell>
          <cell r="K341" t="str">
            <v>KER</v>
          </cell>
          <cell r="L341" t="str">
            <v>FRU</v>
          </cell>
          <cell r="M341">
            <v>0</v>
          </cell>
          <cell r="N341">
            <v>0</v>
          </cell>
          <cell r="O341">
            <v>17.71</v>
          </cell>
          <cell r="P341">
            <v>17.55</v>
          </cell>
        </row>
        <row r="342">
          <cell r="D342" t="str">
            <v>142730</v>
          </cell>
          <cell r="E342" t="str">
            <v>V.TINTO LA GRAN MASCO.MALBEC 750ML X6</v>
          </cell>
          <cell r="F342">
            <v>74.5</v>
          </cell>
          <cell r="G342">
            <v>74.5</v>
          </cell>
          <cell r="H342">
            <v>74.5</v>
          </cell>
          <cell r="I342">
            <v>74.5</v>
          </cell>
          <cell r="J342" t="str">
            <v>PFA</v>
          </cell>
          <cell r="K342" t="str">
            <v>LIC</v>
          </cell>
          <cell r="L342" t="str">
            <v>VIN</v>
          </cell>
          <cell r="M342">
            <v>0</v>
          </cell>
          <cell r="N342">
            <v>0</v>
          </cell>
          <cell r="O342">
            <v>61.79</v>
          </cell>
          <cell r="P342">
            <v>81.95</v>
          </cell>
        </row>
        <row r="343">
          <cell r="D343" t="str">
            <v>177789</v>
          </cell>
          <cell r="E343" t="str">
            <v>V.TINTO SEP.OBRA MALBEC 750ML X6</v>
          </cell>
          <cell r="F343">
            <v>69.09</v>
          </cell>
          <cell r="G343">
            <v>69.09</v>
          </cell>
          <cell r="H343">
            <v>70.61</v>
          </cell>
          <cell r="I343">
            <v>70.61</v>
          </cell>
          <cell r="J343" t="str">
            <v>PFA</v>
          </cell>
          <cell r="K343" t="str">
            <v>LIC</v>
          </cell>
          <cell r="L343" t="str">
            <v>VIN</v>
          </cell>
          <cell r="M343">
            <v>0</v>
          </cell>
          <cell r="N343">
            <v>0</v>
          </cell>
          <cell r="O343">
            <v>60.08</v>
          </cell>
          <cell r="P343">
            <v>77.67</v>
          </cell>
        </row>
        <row r="344">
          <cell r="D344" t="str">
            <v>142761</v>
          </cell>
          <cell r="E344" t="str">
            <v>V.TINTO LA MASC.CABERNET SAUV.750ML X12</v>
          </cell>
          <cell r="F344">
            <v>66.430000000000007</v>
          </cell>
          <cell r="G344">
            <v>66.430000000000007</v>
          </cell>
          <cell r="H344">
            <v>68.03</v>
          </cell>
          <cell r="I344">
            <v>68.03</v>
          </cell>
          <cell r="J344" t="str">
            <v>PFA</v>
          </cell>
          <cell r="K344" t="str">
            <v>LIC</v>
          </cell>
          <cell r="L344" t="str">
            <v>VIN</v>
          </cell>
          <cell r="M344">
            <v>0</v>
          </cell>
          <cell r="N344">
            <v>0</v>
          </cell>
          <cell r="O344">
            <v>58.18</v>
          </cell>
          <cell r="P344">
            <v>74.83</v>
          </cell>
        </row>
        <row r="345">
          <cell r="D345" t="str">
            <v>177445</v>
          </cell>
          <cell r="E345" t="str">
            <v>V.TINTO SEP.LOTE ESPECIAL  MALBEC 750ML X6</v>
          </cell>
          <cell r="F345">
            <v>115.89</v>
          </cell>
          <cell r="G345">
            <v>115.89</v>
          </cell>
          <cell r="H345">
            <v>118.43</v>
          </cell>
          <cell r="I345">
            <v>118.43</v>
          </cell>
          <cell r="J345" t="str">
            <v>PFA</v>
          </cell>
          <cell r="K345" t="str">
            <v>LIC</v>
          </cell>
          <cell r="L345" t="str">
            <v>VIN</v>
          </cell>
          <cell r="M345">
            <v>0</v>
          </cell>
          <cell r="N345">
            <v>0</v>
          </cell>
          <cell r="O345">
            <v>104.64</v>
          </cell>
          <cell r="P345">
            <v>130.27000000000001</v>
          </cell>
        </row>
        <row r="346">
          <cell r="D346" t="str">
            <v>140218</v>
          </cell>
          <cell r="E346" t="str">
            <v>NP GATO TETRA TINTO 1L X 12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 t="str">
            <v>PFA</v>
          </cell>
          <cell r="K346" t="str">
            <v>LIC</v>
          </cell>
          <cell r="L346" t="str">
            <v>VIN</v>
          </cell>
          <cell r="M346">
            <v>0</v>
          </cell>
          <cell r="N346">
            <v>0</v>
          </cell>
          <cell r="O346">
            <v>11.51</v>
          </cell>
          <cell r="P346">
            <v>12.95</v>
          </cell>
        </row>
        <row r="347">
          <cell r="D347" t="str">
            <v>177788</v>
          </cell>
          <cell r="E347" t="str">
            <v>V.TINTO SEP.OBRA CABERNET 750ML X6</v>
          </cell>
          <cell r="F347">
            <v>69.09</v>
          </cell>
          <cell r="G347">
            <v>69.09</v>
          </cell>
          <cell r="H347">
            <v>70.61</v>
          </cell>
          <cell r="I347">
            <v>70.61</v>
          </cell>
          <cell r="J347" t="str">
            <v>PFA</v>
          </cell>
          <cell r="K347" t="str">
            <v>LIC</v>
          </cell>
          <cell r="L347" t="str">
            <v>VIN</v>
          </cell>
          <cell r="M347">
            <v>0</v>
          </cell>
          <cell r="N347">
            <v>0</v>
          </cell>
          <cell r="O347">
            <v>60.08</v>
          </cell>
          <cell r="P347">
            <v>77.67</v>
          </cell>
        </row>
        <row r="348">
          <cell r="D348" t="str">
            <v>142760</v>
          </cell>
          <cell r="E348" t="str">
            <v>V.TINTO LA MASCOTA .MALBEC 750ML X12</v>
          </cell>
          <cell r="F348">
            <v>66.430000000000007</v>
          </cell>
          <cell r="G348">
            <v>66.430000000000007</v>
          </cell>
          <cell r="H348">
            <v>68.03</v>
          </cell>
          <cell r="I348">
            <v>68.03</v>
          </cell>
          <cell r="J348" t="str">
            <v>PFA</v>
          </cell>
          <cell r="K348" t="str">
            <v>LIC</v>
          </cell>
          <cell r="L348" t="str">
            <v>VIN</v>
          </cell>
          <cell r="M348">
            <v>0</v>
          </cell>
          <cell r="N348">
            <v>0</v>
          </cell>
          <cell r="O348">
            <v>43.66</v>
          </cell>
          <cell r="P348">
            <v>74.83</v>
          </cell>
        </row>
        <row r="349">
          <cell r="D349" t="str">
            <v>140296</v>
          </cell>
          <cell r="E349" t="str">
            <v>VINO GATO DULCE TINTO 750MLX 12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 t="str">
            <v>PFA</v>
          </cell>
          <cell r="K349" t="str">
            <v>LIC</v>
          </cell>
          <cell r="L349" t="str">
            <v>VIN</v>
          </cell>
          <cell r="M349">
            <v>0</v>
          </cell>
          <cell r="N349">
            <v>0</v>
          </cell>
          <cell r="O349">
            <v>12.05</v>
          </cell>
          <cell r="P349">
            <v>13.24</v>
          </cell>
        </row>
        <row r="350">
          <cell r="D350" t="str">
            <v>180101</v>
          </cell>
          <cell r="E350" t="str">
            <v>V.TINTO BORGOÑA.SEÑ.NAJ.750ML X12</v>
          </cell>
          <cell r="F350">
            <v>16.02</v>
          </cell>
          <cell r="G350">
            <v>16.02</v>
          </cell>
          <cell r="H350">
            <v>16.62</v>
          </cell>
          <cell r="I350">
            <v>16.62</v>
          </cell>
          <cell r="J350" t="str">
            <v>PFA</v>
          </cell>
          <cell r="K350" t="str">
            <v>LIC</v>
          </cell>
          <cell r="L350" t="str">
            <v>VIN</v>
          </cell>
          <cell r="M350">
            <v>0</v>
          </cell>
          <cell r="N350">
            <v>0</v>
          </cell>
          <cell r="O350">
            <v>14.5</v>
          </cell>
          <cell r="P350">
            <v>17.45</v>
          </cell>
        </row>
        <row r="351">
          <cell r="D351" t="str">
            <v>177450</v>
          </cell>
          <cell r="E351" t="str">
            <v>V.TINTO SEP.GRAN RESERVA 750ML X6</v>
          </cell>
          <cell r="F351">
            <v>89.88</v>
          </cell>
          <cell r="G351">
            <v>89.88</v>
          </cell>
          <cell r="H351">
            <v>91.85</v>
          </cell>
          <cell r="I351">
            <v>91.85</v>
          </cell>
          <cell r="J351" t="str">
            <v>PFA</v>
          </cell>
          <cell r="K351" t="str">
            <v>LIC</v>
          </cell>
          <cell r="L351" t="str">
            <v>VIN</v>
          </cell>
          <cell r="M351">
            <v>0</v>
          </cell>
          <cell r="N351">
            <v>0</v>
          </cell>
          <cell r="O351">
            <v>78.16</v>
          </cell>
          <cell r="P351">
            <v>101.04</v>
          </cell>
        </row>
        <row r="352">
          <cell r="D352" t="str">
            <v>140351</v>
          </cell>
          <cell r="E352" t="str">
            <v>V.TINTO SAN PEDRO SIDERAL 750ML X12</v>
          </cell>
          <cell r="F352">
            <v>99.91</v>
          </cell>
          <cell r="G352">
            <v>99.91</v>
          </cell>
          <cell r="H352">
            <v>102.32</v>
          </cell>
          <cell r="I352">
            <v>102.32</v>
          </cell>
          <cell r="J352" t="str">
            <v>PFA</v>
          </cell>
          <cell r="K352" t="str">
            <v>LIC</v>
          </cell>
          <cell r="L352" t="str">
            <v>VIN</v>
          </cell>
          <cell r="M352">
            <v>0</v>
          </cell>
          <cell r="N352">
            <v>0</v>
          </cell>
          <cell r="O352">
            <v>90.62</v>
          </cell>
          <cell r="P352">
            <v>107.44</v>
          </cell>
        </row>
        <row r="353">
          <cell r="D353" t="str">
            <v>184377</v>
          </cell>
          <cell r="E353" t="str">
            <v>TRAPICHE ASTICA CABER. MALBEC 750ML X 12</v>
          </cell>
          <cell r="F353">
            <v>17.329999999999998</v>
          </cell>
          <cell r="G353">
            <v>17.329999999999998</v>
          </cell>
          <cell r="H353">
            <v>17.670000000000002</v>
          </cell>
          <cell r="I353">
            <v>17.670000000000002</v>
          </cell>
          <cell r="J353" t="str">
            <v>PFA</v>
          </cell>
          <cell r="K353" t="str">
            <v>LIC</v>
          </cell>
          <cell r="L353" t="str">
            <v>VIN</v>
          </cell>
          <cell r="M353">
            <v>0</v>
          </cell>
          <cell r="N353">
            <v>0</v>
          </cell>
          <cell r="O353">
            <v>0</v>
          </cell>
          <cell r="P353">
            <v>19.440000000000001</v>
          </cell>
        </row>
        <row r="354">
          <cell r="D354" t="str">
            <v>140217</v>
          </cell>
          <cell r="E354" t="str">
            <v>NP GATO TETRA BLANCO 1L X 12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 t="str">
            <v>PFA</v>
          </cell>
          <cell r="K354" t="str">
            <v>LIC</v>
          </cell>
          <cell r="L354" t="str">
            <v>VIN</v>
          </cell>
          <cell r="M354">
            <v>0</v>
          </cell>
          <cell r="N354">
            <v>0</v>
          </cell>
          <cell r="O354">
            <v>11.78</v>
          </cell>
          <cell r="P354">
            <v>12.95</v>
          </cell>
        </row>
        <row r="355">
          <cell r="D355" t="str">
            <v>142700</v>
          </cell>
          <cell r="E355" t="str">
            <v>V.TINTO ICONO UNANIME 750ML X6</v>
          </cell>
          <cell r="F355">
            <v>136.41999999999999</v>
          </cell>
          <cell r="G355">
            <v>136.41999999999999</v>
          </cell>
          <cell r="H355">
            <v>139.71</v>
          </cell>
          <cell r="I355">
            <v>139.71</v>
          </cell>
          <cell r="J355" t="str">
            <v>PFA</v>
          </cell>
          <cell r="K355" t="str">
            <v>LIC</v>
          </cell>
          <cell r="L355" t="str">
            <v>VIN</v>
          </cell>
          <cell r="M355">
            <v>0</v>
          </cell>
          <cell r="N355">
            <v>0</v>
          </cell>
          <cell r="O355">
            <v>123.81</v>
          </cell>
          <cell r="P355">
            <v>146.69999999999999</v>
          </cell>
        </row>
        <row r="356">
          <cell r="D356" t="str">
            <v>142764</v>
          </cell>
          <cell r="E356" t="str">
            <v xml:space="preserve"> LA MASCOTA CABERNET FRANC 750ML X 12</v>
          </cell>
          <cell r="F356">
            <v>66.430000000000007</v>
          </cell>
          <cell r="G356">
            <v>66.430000000000007</v>
          </cell>
          <cell r="H356">
            <v>68.03</v>
          </cell>
          <cell r="I356">
            <v>68.03</v>
          </cell>
          <cell r="J356" t="str">
            <v>PFA</v>
          </cell>
          <cell r="K356" t="str">
            <v>LIC</v>
          </cell>
          <cell r="L356" t="str">
            <v>VIN</v>
          </cell>
          <cell r="M356">
            <v>0</v>
          </cell>
          <cell r="N356">
            <v>0</v>
          </cell>
          <cell r="O356">
            <v>43.66</v>
          </cell>
          <cell r="P356">
            <v>74.83</v>
          </cell>
        </row>
        <row r="357">
          <cell r="D357" t="str">
            <v>60193115</v>
          </cell>
          <cell r="E357" t="str">
            <v>V/T LORCA CABERNET SAUVIGNON 750ML X6</v>
          </cell>
          <cell r="F357">
            <v>26.72</v>
          </cell>
          <cell r="G357">
            <v>26.72</v>
          </cell>
          <cell r="H357">
            <v>26.72</v>
          </cell>
          <cell r="I357">
            <v>26.72</v>
          </cell>
          <cell r="J357" t="str">
            <v>RPD</v>
          </cell>
          <cell r="K357" t="str">
            <v>OTR</v>
          </cell>
          <cell r="L357" t="str">
            <v>VIN</v>
          </cell>
          <cell r="M357">
            <v>0</v>
          </cell>
          <cell r="N357">
            <v>0</v>
          </cell>
          <cell r="O357">
            <v>21.29</v>
          </cell>
          <cell r="P357">
            <v>29.39</v>
          </cell>
        </row>
        <row r="358">
          <cell r="D358" t="str">
            <v>40281585</v>
          </cell>
          <cell r="E358" t="str">
            <v>ESPUMANTE TOSTI PINK MOSCATO  750ML X6</v>
          </cell>
          <cell r="F358">
            <v>41.09</v>
          </cell>
          <cell r="G358">
            <v>41.09</v>
          </cell>
          <cell r="H358">
            <v>41.09</v>
          </cell>
          <cell r="I358">
            <v>41.09</v>
          </cell>
          <cell r="J358" t="str">
            <v>RPD</v>
          </cell>
          <cell r="K358" t="str">
            <v>OTR</v>
          </cell>
          <cell r="L358" t="str">
            <v>VIN</v>
          </cell>
          <cell r="M358">
            <v>0</v>
          </cell>
          <cell r="N358">
            <v>0</v>
          </cell>
          <cell r="O358">
            <v>35.64</v>
          </cell>
          <cell r="P358">
            <v>45.2</v>
          </cell>
        </row>
        <row r="359">
          <cell r="D359" t="str">
            <v>60944395</v>
          </cell>
          <cell r="E359" t="str">
            <v>V/T CARAY EXPRESION 750ML X 6</v>
          </cell>
          <cell r="F359">
            <v>45.97</v>
          </cell>
          <cell r="G359">
            <v>45.97</v>
          </cell>
          <cell r="H359">
            <v>45.97</v>
          </cell>
          <cell r="I359">
            <v>45.97</v>
          </cell>
          <cell r="J359" t="str">
            <v>RPD</v>
          </cell>
          <cell r="K359" t="str">
            <v>OTR</v>
          </cell>
          <cell r="L359" t="str">
            <v>VIN</v>
          </cell>
          <cell r="M359">
            <v>0</v>
          </cell>
          <cell r="N359">
            <v>0</v>
          </cell>
          <cell r="O359">
            <v>0</v>
          </cell>
          <cell r="P359">
            <v>48.27</v>
          </cell>
        </row>
        <row r="360">
          <cell r="D360" t="str">
            <v>60191215</v>
          </cell>
          <cell r="E360" t="str">
            <v>V/T LORCA MALBEC 750ML X 6</v>
          </cell>
          <cell r="F360">
            <v>26.72</v>
          </cell>
          <cell r="G360">
            <v>26.72</v>
          </cell>
          <cell r="H360">
            <v>26.72</v>
          </cell>
          <cell r="I360">
            <v>26.72</v>
          </cell>
          <cell r="J360" t="str">
            <v>RPD</v>
          </cell>
          <cell r="K360" t="str">
            <v>OTR</v>
          </cell>
          <cell r="L360" t="str">
            <v>VIN</v>
          </cell>
          <cell r="M360">
            <v>0</v>
          </cell>
          <cell r="N360">
            <v>0</v>
          </cell>
          <cell r="O360">
            <v>21.29</v>
          </cell>
          <cell r="P360">
            <v>29.39</v>
          </cell>
        </row>
        <row r="361">
          <cell r="D361" t="str">
            <v>61013605</v>
          </cell>
          <cell r="E361" t="str">
            <v>V/T TRIBUTO SYRAH 750ML X 6</v>
          </cell>
          <cell r="F361">
            <v>84.69</v>
          </cell>
          <cell r="G361">
            <v>84.69</v>
          </cell>
          <cell r="H361">
            <v>84.69</v>
          </cell>
          <cell r="I361">
            <v>84.69</v>
          </cell>
          <cell r="J361" t="str">
            <v>RPD</v>
          </cell>
          <cell r="K361" t="str">
            <v>OTR</v>
          </cell>
          <cell r="L361" t="str">
            <v>VIN</v>
          </cell>
          <cell r="M361">
            <v>0</v>
          </cell>
          <cell r="N361">
            <v>0</v>
          </cell>
          <cell r="O361">
            <v>73.16</v>
          </cell>
          <cell r="P361">
            <v>93.15</v>
          </cell>
        </row>
        <row r="362">
          <cell r="D362" t="str">
            <v>40281575</v>
          </cell>
          <cell r="E362" t="str">
            <v>ESPUMANTE TOSTI ASTI DOCG 750ML X6</v>
          </cell>
          <cell r="F362">
            <v>41.09</v>
          </cell>
          <cell r="G362">
            <v>41.09</v>
          </cell>
          <cell r="H362">
            <v>41.09</v>
          </cell>
          <cell r="I362">
            <v>41.09</v>
          </cell>
          <cell r="J362" t="str">
            <v>RPD</v>
          </cell>
          <cell r="K362" t="str">
            <v>OTR</v>
          </cell>
          <cell r="L362" t="str">
            <v>VIN</v>
          </cell>
          <cell r="M362">
            <v>0</v>
          </cell>
          <cell r="N362">
            <v>0</v>
          </cell>
          <cell r="O362">
            <v>35.64</v>
          </cell>
          <cell r="P362">
            <v>45.2</v>
          </cell>
        </row>
        <row r="363">
          <cell r="D363" t="str">
            <v>61013615</v>
          </cell>
          <cell r="E363" t="str">
            <v>V/T TRIBUTO CENCIBEL 750ML X 6</v>
          </cell>
          <cell r="F363">
            <v>84.69</v>
          </cell>
          <cell r="G363">
            <v>84.69</v>
          </cell>
          <cell r="H363">
            <v>84.69</v>
          </cell>
          <cell r="I363">
            <v>84.69</v>
          </cell>
          <cell r="J363" t="str">
            <v>RPD</v>
          </cell>
          <cell r="K363" t="str">
            <v>OTR</v>
          </cell>
          <cell r="L363" t="str">
            <v>VIN</v>
          </cell>
          <cell r="M363">
            <v>0</v>
          </cell>
          <cell r="N363">
            <v>0</v>
          </cell>
          <cell r="O363">
            <v>73.16</v>
          </cell>
          <cell r="P363">
            <v>93.15</v>
          </cell>
        </row>
        <row r="364">
          <cell r="D364" t="str">
            <v>60191275</v>
          </cell>
          <cell r="E364" t="str">
            <v>V/T LORCA CABERNET FRANC 750ML X 6</v>
          </cell>
          <cell r="F364">
            <v>26.72</v>
          </cell>
          <cell r="G364">
            <v>26.72</v>
          </cell>
          <cell r="H364">
            <v>26.72</v>
          </cell>
          <cell r="I364">
            <v>26.72</v>
          </cell>
          <cell r="J364" t="str">
            <v>RPD</v>
          </cell>
          <cell r="K364" t="str">
            <v>OTR</v>
          </cell>
          <cell r="L364" t="str">
            <v>VIN</v>
          </cell>
          <cell r="M364">
            <v>0</v>
          </cell>
          <cell r="N364">
            <v>0</v>
          </cell>
          <cell r="O364">
            <v>21.29</v>
          </cell>
          <cell r="P364">
            <v>29.39</v>
          </cell>
        </row>
        <row r="365">
          <cell r="D365" t="str">
            <v>402899</v>
          </cell>
          <cell r="E365" t="str">
            <v>TOSTI ASTI DOCG + TOSTI PINK MOSCT X750ML</v>
          </cell>
          <cell r="F365">
            <v>81.03</v>
          </cell>
          <cell r="G365">
            <v>81.03</v>
          </cell>
          <cell r="H365">
            <v>81.03</v>
          </cell>
          <cell r="I365">
            <v>81.03</v>
          </cell>
          <cell r="J365" t="str">
            <v>RPD</v>
          </cell>
          <cell r="K365" t="str">
            <v>OTR</v>
          </cell>
          <cell r="L365" t="str">
            <v>VIN</v>
          </cell>
          <cell r="M365">
            <v>0</v>
          </cell>
          <cell r="N365">
            <v>0</v>
          </cell>
          <cell r="O365">
            <v>71.27</v>
          </cell>
          <cell r="P365">
            <v>89.14</v>
          </cell>
        </row>
        <row r="366">
          <cell r="D366" t="str">
            <v>CRN1193</v>
          </cell>
          <cell r="E366" t="str">
            <v>BIFE ANCHO 3 - 4 KG MAD DEVESA</v>
          </cell>
          <cell r="F366">
            <v>138</v>
          </cell>
          <cell r="G366">
            <v>138</v>
          </cell>
          <cell r="H366">
            <v>138</v>
          </cell>
          <cell r="I366">
            <v>138</v>
          </cell>
          <cell r="J366" t="str">
            <v>PRR</v>
          </cell>
          <cell r="K366" t="str">
            <v>OFD</v>
          </cell>
          <cell r="L366" t="str">
            <v>RES</v>
          </cell>
          <cell r="M366">
            <v>0</v>
          </cell>
          <cell r="N366">
            <v>0</v>
          </cell>
          <cell r="O366">
            <v>106.48</v>
          </cell>
          <cell r="P366">
            <v>138</v>
          </cell>
        </row>
        <row r="367">
          <cell r="D367" t="str">
            <v>CRN1313</v>
          </cell>
          <cell r="E367" t="str">
            <v>ENTRAÑA FIN ARGENTINA 500GR-800GR</v>
          </cell>
          <cell r="F367">
            <v>130</v>
          </cell>
          <cell r="G367">
            <v>130</v>
          </cell>
          <cell r="H367">
            <v>130</v>
          </cell>
          <cell r="I367">
            <v>130</v>
          </cell>
          <cell r="J367" t="str">
            <v>PRR</v>
          </cell>
          <cell r="K367" t="str">
            <v>OFD</v>
          </cell>
          <cell r="L367" t="str">
            <v>RES</v>
          </cell>
          <cell r="M367">
            <v>0</v>
          </cell>
          <cell r="N367">
            <v>0</v>
          </cell>
          <cell r="O367">
            <v>103.6</v>
          </cell>
          <cell r="P367">
            <v>130</v>
          </cell>
        </row>
        <row r="368">
          <cell r="D368" t="str">
            <v>CRN0950</v>
          </cell>
          <cell r="E368" t="str">
            <v>LOMO FINO FRIGOR (2-2.5KG)-BOL</v>
          </cell>
          <cell r="F368">
            <v>239</v>
          </cell>
          <cell r="G368">
            <v>239</v>
          </cell>
          <cell r="H368">
            <v>239</v>
          </cell>
          <cell r="I368">
            <v>239</v>
          </cell>
          <cell r="J368" t="str">
            <v>PRR</v>
          </cell>
          <cell r="K368" t="str">
            <v>OFD</v>
          </cell>
          <cell r="L368" t="str">
            <v>RES</v>
          </cell>
          <cell r="M368">
            <v>0</v>
          </cell>
          <cell r="N368">
            <v>0</v>
          </cell>
          <cell r="O368">
            <v>190.96</v>
          </cell>
          <cell r="P368">
            <v>239</v>
          </cell>
        </row>
        <row r="369">
          <cell r="D369" t="str">
            <v>CRN1194P</v>
          </cell>
          <cell r="E369" t="str">
            <v>BIFE ANCHO 300GR - 350GR OREGON -GRAIN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 t="str">
            <v>PRR</v>
          </cell>
          <cell r="K369" t="str">
            <v>OFD</v>
          </cell>
          <cell r="L369" t="str">
            <v>RES</v>
          </cell>
          <cell r="M369">
            <v>0</v>
          </cell>
          <cell r="N369">
            <v>0</v>
          </cell>
          <cell r="O369">
            <v>0</v>
          </cell>
          <cell r="P369">
            <v>46.8</v>
          </cell>
        </row>
        <row r="370">
          <cell r="D370" t="str">
            <v>CRN0219</v>
          </cell>
          <cell r="E370" t="str">
            <v>PORTER HOUSE PORC - STERLING SILVER X 1.1KG</v>
          </cell>
          <cell r="F370">
            <v>220</v>
          </cell>
          <cell r="G370">
            <v>220</v>
          </cell>
          <cell r="H370">
            <v>220</v>
          </cell>
          <cell r="I370">
            <v>220</v>
          </cell>
          <cell r="J370" t="str">
            <v>PRR</v>
          </cell>
          <cell r="K370" t="str">
            <v>OFD</v>
          </cell>
          <cell r="L370" t="str">
            <v>RES</v>
          </cell>
          <cell r="M370">
            <v>0</v>
          </cell>
          <cell r="N370">
            <v>0</v>
          </cell>
          <cell r="O370">
            <v>168.43</v>
          </cell>
          <cell r="P370">
            <v>239.9</v>
          </cell>
        </row>
        <row r="371">
          <cell r="D371" t="str">
            <v>BRANG04</v>
          </cell>
          <cell r="E371" t="str">
            <v>TOMAHAWH 1.2 KG-1.6KG BRANGUS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 t="str">
            <v>PRR</v>
          </cell>
          <cell r="K371" t="str">
            <v>OFD</v>
          </cell>
          <cell r="L371" t="str">
            <v>RES</v>
          </cell>
          <cell r="M371">
            <v>0</v>
          </cell>
          <cell r="N371">
            <v>0</v>
          </cell>
          <cell r="O371">
            <v>0</v>
          </cell>
          <cell r="P371">
            <v>121.9</v>
          </cell>
        </row>
        <row r="372">
          <cell r="D372" t="str">
            <v>CRN1320</v>
          </cell>
          <cell r="E372" t="str">
            <v>TAPA DE CUADRIL CONG TACUAREMBO URUGUAY 1.4KG - 1.6KG</v>
          </cell>
          <cell r="F372">
            <v>140</v>
          </cell>
          <cell r="G372">
            <v>140</v>
          </cell>
          <cell r="H372">
            <v>140</v>
          </cell>
          <cell r="I372">
            <v>140</v>
          </cell>
          <cell r="J372" t="str">
            <v>PRR</v>
          </cell>
          <cell r="K372" t="str">
            <v>OFD</v>
          </cell>
          <cell r="L372" t="str">
            <v>RES</v>
          </cell>
          <cell r="M372">
            <v>0</v>
          </cell>
          <cell r="N372">
            <v>0</v>
          </cell>
          <cell r="O372">
            <v>86.76</v>
          </cell>
          <cell r="P372">
            <v>140</v>
          </cell>
        </row>
        <row r="373">
          <cell r="D373" t="str">
            <v>BRANG02</v>
          </cell>
          <cell r="E373" t="str">
            <v>ASADO PEJERRY 2.2KG - 2.75KG</v>
          </cell>
          <cell r="F373">
            <v>194.5</v>
          </cell>
          <cell r="G373">
            <v>194.5</v>
          </cell>
          <cell r="H373">
            <v>194.5</v>
          </cell>
          <cell r="I373">
            <v>194.5</v>
          </cell>
          <cell r="J373" t="str">
            <v>PRR</v>
          </cell>
          <cell r="K373" t="str">
            <v>OFD</v>
          </cell>
          <cell r="L373" t="str">
            <v>RES</v>
          </cell>
          <cell r="M373">
            <v>0</v>
          </cell>
          <cell r="N373">
            <v>0</v>
          </cell>
          <cell r="O373">
            <v>140</v>
          </cell>
          <cell r="P373">
            <v>194.5</v>
          </cell>
        </row>
        <row r="374">
          <cell r="D374" t="str">
            <v>CRN0945</v>
          </cell>
          <cell r="E374" t="str">
            <v>LOMO FINO FRIGOR (1.3-1.6 KG)-BOL</v>
          </cell>
          <cell r="F374">
            <v>149</v>
          </cell>
          <cell r="G374">
            <v>149</v>
          </cell>
          <cell r="H374">
            <v>149</v>
          </cell>
          <cell r="I374">
            <v>149</v>
          </cell>
          <cell r="J374" t="str">
            <v>PRR</v>
          </cell>
          <cell r="K374" t="str">
            <v>OFD</v>
          </cell>
          <cell r="L374" t="str">
            <v>RES</v>
          </cell>
          <cell r="M374">
            <v>0</v>
          </cell>
          <cell r="N374">
            <v>0</v>
          </cell>
          <cell r="O374">
            <v>109.38</v>
          </cell>
          <cell r="P374">
            <v>155</v>
          </cell>
        </row>
        <row r="375">
          <cell r="D375" t="str">
            <v>CRN0947</v>
          </cell>
          <cell r="E375" t="str">
            <v>LOMO FINO FRIGOR (1.9-2 KG)-BOL</v>
          </cell>
          <cell r="F375">
            <v>189.64</v>
          </cell>
          <cell r="G375">
            <v>189.64</v>
          </cell>
          <cell r="H375">
            <v>189.64</v>
          </cell>
          <cell r="I375">
            <v>189.64</v>
          </cell>
          <cell r="J375" t="str">
            <v>PRR</v>
          </cell>
          <cell r="K375" t="str">
            <v>OFD</v>
          </cell>
          <cell r="L375" t="str">
            <v>RES</v>
          </cell>
          <cell r="M375">
            <v>0</v>
          </cell>
          <cell r="N375">
            <v>0</v>
          </cell>
          <cell r="O375">
            <v>157.12</v>
          </cell>
          <cell r="P375">
            <v>223</v>
          </cell>
        </row>
        <row r="376">
          <cell r="D376" t="str">
            <v>BRANG06</v>
          </cell>
          <cell r="E376" t="str">
            <v>PICAÑA BRANGUS 1.5KG- 1.8KG</v>
          </cell>
          <cell r="F376">
            <v>169</v>
          </cell>
          <cell r="G376">
            <v>169</v>
          </cell>
          <cell r="H376">
            <v>169</v>
          </cell>
          <cell r="I376">
            <v>169</v>
          </cell>
          <cell r="J376" t="str">
            <v>PRR</v>
          </cell>
          <cell r="K376" t="str">
            <v>OFD</v>
          </cell>
          <cell r="L376" t="str">
            <v>RES</v>
          </cell>
          <cell r="M376">
            <v>0</v>
          </cell>
          <cell r="N376">
            <v>0</v>
          </cell>
          <cell r="O376">
            <v>114.52</v>
          </cell>
          <cell r="P376">
            <v>169</v>
          </cell>
        </row>
        <row r="377">
          <cell r="D377" t="str">
            <v>CRN1108</v>
          </cell>
          <cell r="E377" t="str">
            <v>PICAÑA ARGENTINA 1.4KG - 1.6KG ANGUS GRAIN FED</v>
          </cell>
          <cell r="F377">
            <v>199.9</v>
          </cell>
          <cell r="G377">
            <v>199.9</v>
          </cell>
          <cell r="H377">
            <v>199.9</v>
          </cell>
          <cell r="I377">
            <v>199.9</v>
          </cell>
          <cell r="J377" t="str">
            <v>PRR</v>
          </cell>
          <cell r="K377" t="str">
            <v>OFD</v>
          </cell>
          <cell r="L377" t="str">
            <v>RES</v>
          </cell>
          <cell r="M377">
            <v>0</v>
          </cell>
          <cell r="N377">
            <v>0</v>
          </cell>
          <cell r="O377">
            <v>145.44</v>
          </cell>
          <cell r="P377">
            <v>209</v>
          </cell>
        </row>
        <row r="378">
          <cell r="D378" t="str">
            <v>ENT100</v>
          </cell>
          <cell r="E378" t="str">
            <v>ENTRAÑA FINA CONG. ANGUS ARG 1.5KG - 1.8KG</v>
          </cell>
          <cell r="F378">
            <v>199</v>
          </cell>
          <cell r="G378">
            <v>199</v>
          </cell>
          <cell r="H378">
            <v>199</v>
          </cell>
          <cell r="I378">
            <v>199</v>
          </cell>
          <cell r="J378" t="str">
            <v>PRR</v>
          </cell>
          <cell r="K378" t="str">
            <v>OFD</v>
          </cell>
          <cell r="L378" t="str">
            <v>RES</v>
          </cell>
          <cell r="M378">
            <v>0</v>
          </cell>
          <cell r="N378">
            <v>0</v>
          </cell>
          <cell r="O378">
            <v>185.93</v>
          </cell>
          <cell r="P378">
            <v>199</v>
          </cell>
        </row>
        <row r="379">
          <cell r="D379" t="str">
            <v>ENT102</v>
          </cell>
          <cell r="E379" t="str">
            <v>ENTRAÑA FINA CONG. ANGUS ARG 1KG - 1.5KG</v>
          </cell>
          <cell r="F379">
            <v>189.9</v>
          </cell>
          <cell r="G379">
            <v>189.9</v>
          </cell>
          <cell r="H379">
            <v>189.9</v>
          </cell>
          <cell r="I379">
            <v>189.9</v>
          </cell>
          <cell r="J379" t="str">
            <v>PRR</v>
          </cell>
          <cell r="K379" t="str">
            <v>OFD</v>
          </cell>
          <cell r="L379" t="str">
            <v>RES</v>
          </cell>
          <cell r="M379">
            <v>0</v>
          </cell>
          <cell r="N379">
            <v>0</v>
          </cell>
          <cell r="O379">
            <v>163.81</v>
          </cell>
          <cell r="P379">
            <v>239.9</v>
          </cell>
        </row>
        <row r="380">
          <cell r="D380" t="str">
            <v>CRN1197</v>
          </cell>
          <cell r="E380" t="str">
            <v>BIFE ANCHO MADURADO DEVESA 800- 1.1KG</v>
          </cell>
          <cell r="F380">
            <v>209</v>
          </cell>
          <cell r="G380">
            <v>209</v>
          </cell>
          <cell r="H380">
            <v>209</v>
          </cell>
          <cell r="I380">
            <v>209</v>
          </cell>
          <cell r="J380" t="str">
            <v>PRR</v>
          </cell>
          <cell r="K380" t="str">
            <v>OFD</v>
          </cell>
          <cell r="L380" t="str">
            <v>RES</v>
          </cell>
          <cell r="M380">
            <v>0</v>
          </cell>
          <cell r="N380">
            <v>0</v>
          </cell>
          <cell r="O380">
            <v>161.83000000000001</v>
          </cell>
          <cell r="P380">
            <v>229</v>
          </cell>
        </row>
        <row r="381">
          <cell r="D381" t="str">
            <v>CRN1194</v>
          </cell>
          <cell r="E381" t="str">
            <v>BIFE ANCHO BEEF MASTER ORG.USA 1-1.2KG</v>
          </cell>
          <cell r="F381">
            <v>245</v>
          </cell>
          <cell r="G381">
            <v>245</v>
          </cell>
          <cell r="H381">
            <v>245</v>
          </cell>
          <cell r="I381">
            <v>245</v>
          </cell>
          <cell r="J381" t="str">
            <v>PRR</v>
          </cell>
          <cell r="K381" t="str">
            <v>OFD</v>
          </cell>
          <cell r="L381" t="str">
            <v>RES</v>
          </cell>
          <cell r="M381">
            <v>0</v>
          </cell>
          <cell r="N381">
            <v>0</v>
          </cell>
          <cell r="O381">
            <v>186.32</v>
          </cell>
          <cell r="P381">
            <v>245</v>
          </cell>
        </row>
        <row r="382">
          <cell r="D382" t="str">
            <v>BRANG03</v>
          </cell>
          <cell r="E382" t="str">
            <v>OSOBUCO PACK 330GR(4UND X 80GR)</v>
          </cell>
          <cell r="F382">
            <v>89.9</v>
          </cell>
          <cell r="G382">
            <v>89.9</v>
          </cell>
          <cell r="H382">
            <v>89.9</v>
          </cell>
          <cell r="I382">
            <v>89.9</v>
          </cell>
          <cell r="J382" t="str">
            <v>PRR</v>
          </cell>
          <cell r="K382" t="str">
            <v>OFD</v>
          </cell>
          <cell r="L382" t="str">
            <v>RES</v>
          </cell>
          <cell r="M382">
            <v>0</v>
          </cell>
          <cell r="N382">
            <v>0</v>
          </cell>
          <cell r="O382">
            <v>59.68</v>
          </cell>
          <cell r="P382">
            <v>89.9</v>
          </cell>
        </row>
        <row r="383">
          <cell r="D383" t="str">
            <v>ENT101</v>
          </cell>
          <cell r="E383" t="str">
            <v>ENTRAÑA FINA ANGUS BEEF 500GR-700GR</v>
          </cell>
          <cell r="F383">
            <v>159</v>
          </cell>
          <cell r="G383">
            <v>159</v>
          </cell>
          <cell r="H383">
            <v>159</v>
          </cell>
          <cell r="I383">
            <v>159</v>
          </cell>
          <cell r="J383" t="str">
            <v>PRR</v>
          </cell>
          <cell r="K383" t="str">
            <v>OFD</v>
          </cell>
          <cell r="L383" t="str">
            <v>RES</v>
          </cell>
          <cell r="M383">
            <v>0</v>
          </cell>
          <cell r="N383">
            <v>0</v>
          </cell>
          <cell r="O383">
            <v>121.94</v>
          </cell>
          <cell r="P383">
            <v>159</v>
          </cell>
        </row>
        <row r="384">
          <cell r="D384" t="str">
            <v>ENT103</v>
          </cell>
          <cell r="E384" t="str">
            <v>ENTRAÑA FINA ANGUS 0.45KG - 0.75KG</v>
          </cell>
          <cell r="F384">
            <v>89</v>
          </cell>
          <cell r="G384">
            <v>89</v>
          </cell>
          <cell r="H384">
            <v>89</v>
          </cell>
          <cell r="I384">
            <v>89</v>
          </cell>
          <cell r="J384" t="str">
            <v>PRR</v>
          </cell>
          <cell r="K384" t="str">
            <v>OFD</v>
          </cell>
          <cell r="L384" t="str">
            <v>RES</v>
          </cell>
          <cell r="M384">
            <v>0</v>
          </cell>
          <cell r="N384">
            <v>0</v>
          </cell>
          <cell r="O384">
            <v>57.25</v>
          </cell>
          <cell r="P384">
            <v>78</v>
          </cell>
        </row>
        <row r="385">
          <cell r="D385" t="str">
            <v>CRN1107</v>
          </cell>
          <cell r="E385" t="str">
            <v>PICAÑA ARGENTINA (DEVESA) 1.7KG - 1.9KG</v>
          </cell>
          <cell r="F385">
            <v>229</v>
          </cell>
          <cell r="G385">
            <v>229</v>
          </cell>
          <cell r="H385">
            <v>229</v>
          </cell>
          <cell r="I385">
            <v>229</v>
          </cell>
          <cell r="J385" t="str">
            <v>PRR</v>
          </cell>
          <cell r="K385" t="str">
            <v>OFD</v>
          </cell>
          <cell r="L385" t="str">
            <v>RES</v>
          </cell>
          <cell r="M385">
            <v>0</v>
          </cell>
          <cell r="N385">
            <v>0</v>
          </cell>
          <cell r="O385">
            <v>167.03</v>
          </cell>
          <cell r="P385">
            <v>239</v>
          </cell>
        </row>
        <row r="386">
          <cell r="D386" t="str">
            <v>COLC01</v>
          </cell>
          <cell r="E386" t="str">
            <v>COLITA DE CUADRIL X 1.1KG - 1.5KG</v>
          </cell>
          <cell r="F386">
            <v>139</v>
          </cell>
          <cell r="G386">
            <v>139</v>
          </cell>
          <cell r="H386">
            <v>139</v>
          </cell>
          <cell r="I386">
            <v>139</v>
          </cell>
          <cell r="J386" t="str">
            <v>PRR</v>
          </cell>
          <cell r="K386" t="str">
            <v>OFD</v>
          </cell>
          <cell r="L386" t="str">
            <v>RES</v>
          </cell>
          <cell r="M386">
            <v>0</v>
          </cell>
          <cell r="N386">
            <v>0</v>
          </cell>
          <cell r="O386">
            <v>104.8</v>
          </cell>
          <cell r="P386">
            <v>139</v>
          </cell>
        </row>
        <row r="387">
          <cell r="D387" t="str">
            <v>CRN1319</v>
          </cell>
          <cell r="E387" t="str">
            <v>TAPA DE CUADRIL CONG TACUAREMBO - URUGUAY 1.3KG</v>
          </cell>
          <cell r="F387">
            <v>97</v>
          </cell>
          <cell r="G387">
            <v>97</v>
          </cell>
          <cell r="H387">
            <v>97</v>
          </cell>
          <cell r="I387">
            <v>97</v>
          </cell>
          <cell r="J387" t="str">
            <v>PRR</v>
          </cell>
          <cell r="K387" t="str">
            <v>OFD</v>
          </cell>
          <cell r="L387" t="str">
            <v>RES</v>
          </cell>
          <cell r="M387">
            <v>0</v>
          </cell>
          <cell r="N387">
            <v>0</v>
          </cell>
          <cell r="O387">
            <v>75.22</v>
          </cell>
          <cell r="P387">
            <v>159.9</v>
          </cell>
        </row>
        <row r="388">
          <cell r="D388" t="str">
            <v>CRN1106</v>
          </cell>
          <cell r="E388" t="str">
            <v>PICAÑA ARGENTINA (DEVESA) 1KG - 1.3KG</v>
          </cell>
          <cell r="F388">
            <v>169</v>
          </cell>
          <cell r="G388">
            <v>169</v>
          </cell>
          <cell r="H388">
            <v>169</v>
          </cell>
          <cell r="I388">
            <v>169</v>
          </cell>
          <cell r="J388" t="str">
            <v>PRR</v>
          </cell>
          <cell r="K388" t="str">
            <v>OFD</v>
          </cell>
          <cell r="L388" t="str">
            <v>RES</v>
          </cell>
          <cell r="M388">
            <v>0</v>
          </cell>
          <cell r="N388">
            <v>0</v>
          </cell>
          <cell r="O388">
            <v>122.43</v>
          </cell>
          <cell r="P388">
            <v>175</v>
          </cell>
        </row>
        <row r="389">
          <cell r="D389" t="str">
            <v>IMP00006</v>
          </cell>
          <cell r="E389" t="str">
            <v>ASADO DE TIRA C/H  250 X 4UND</v>
          </cell>
          <cell r="F389">
            <v>172</v>
          </cell>
          <cell r="G389">
            <v>172</v>
          </cell>
          <cell r="H389">
            <v>172</v>
          </cell>
          <cell r="I389">
            <v>172</v>
          </cell>
          <cell r="J389" t="str">
            <v>PRR</v>
          </cell>
          <cell r="K389" t="str">
            <v>OFD</v>
          </cell>
          <cell r="L389" t="str">
            <v>RES</v>
          </cell>
          <cell r="M389">
            <v>0</v>
          </cell>
          <cell r="N389">
            <v>0</v>
          </cell>
          <cell r="O389">
            <v>126.49</v>
          </cell>
          <cell r="P389">
            <v>179.9</v>
          </cell>
        </row>
        <row r="390">
          <cell r="D390" t="str">
            <v>BFA001</v>
          </cell>
          <cell r="E390" t="str">
            <v>BIFE ANGOSTO MADURADO GRAIN FED ANGUS 800GR-1.2KG</v>
          </cell>
          <cell r="F390">
            <v>155</v>
          </cell>
          <cell r="G390">
            <v>155</v>
          </cell>
          <cell r="H390">
            <v>155</v>
          </cell>
          <cell r="I390">
            <v>155</v>
          </cell>
          <cell r="J390" t="str">
            <v>PRR</v>
          </cell>
          <cell r="K390" t="str">
            <v>OFD</v>
          </cell>
          <cell r="L390" t="str">
            <v>RES</v>
          </cell>
          <cell r="M390">
            <v>0</v>
          </cell>
          <cell r="N390">
            <v>0</v>
          </cell>
          <cell r="O390">
            <v>114.3</v>
          </cell>
          <cell r="P390">
            <v>164</v>
          </cell>
        </row>
        <row r="391">
          <cell r="D391" t="str">
            <v>CRN1088</v>
          </cell>
          <cell r="E391" t="str">
            <v>T-BONE 900-1KG CONG STERLING SILVER</v>
          </cell>
          <cell r="F391">
            <v>199</v>
          </cell>
          <cell r="G391">
            <v>199</v>
          </cell>
          <cell r="H391">
            <v>199</v>
          </cell>
          <cell r="I391">
            <v>199</v>
          </cell>
          <cell r="J391" t="str">
            <v>PRR</v>
          </cell>
          <cell r="K391" t="str">
            <v>OFD</v>
          </cell>
          <cell r="L391" t="str">
            <v>RES</v>
          </cell>
          <cell r="M391">
            <v>0</v>
          </cell>
          <cell r="N391">
            <v>0</v>
          </cell>
          <cell r="O391">
            <v>151.9</v>
          </cell>
          <cell r="P391">
            <v>219.9</v>
          </cell>
        </row>
        <row r="392">
          <cell r="D392" t="str">
            <v>BRANG01</v>
          </cell>
          <cell r="E392" t="str">
            <v>TOMAHAWH 800-1KG</v>
          </cell>
          <cell r="F392">
            <v>121.9</v>
          </cell>
          <cell r="G392">
            <v>121.9</v>
          </cell>
          <cell r="H392">
            <v>121.9</v>
          </cell>
          <cell r="I392">
            <v>121.9</v>
          </cell>
          <cell r="J392" t="str">
            <v>PRR</v>
          </cell>
          <cell r="K392" t="str">
            <v>OFD</v>
          </cell>
          <cell r="L392" t="str">
            <v>RES</v>
          </cell>
          <cell r="M392">
            <v>0</v>
          </cell>
          <cell r="N392">
            <v>0</v>
          </cell>
          <cell r="O392">
            <v>83.8</v>
          </cell>
          <cell r="P392">
            <v>121.9</v>
          </cell>
        </row>
        <row r="393">
          <cell r="D393" t="str">
            <v>CRN1321</v>
          </cell>
          <cell r="E393" t="str">
            <v>TAPA DE CUADRIL CONG TACUAREMBO URUGUAY 1.8KG - 2.1KG</v>
          </cell>
          <cell r="F393">
            <v>170</v>
          </cell>
          <cell r="G393">
            <v>170</v>
          </cell>
          <cell r="H393">
            <v>170</v>
          </cell>
          <cell r="I393">
            <v>170</v>
          </cell>
          <cell r="J393" t="str">
            <v>PRR</v>
          </cell>
          <cell r="K393" t="str">
            <v>OFD</v>
          </cell>
          <cell r="L393" t="str">
            <v>RES</v>
          </cell>
          <cell r="M393">
            <v>0</v>
          </cell>
          <cell r="N393">
            <v>0</v>
          </cell>
          <cell r="O393">
            <v>101.13</v>
          </cell>
          <cell r="P393">
            <v>170</v>
          </cell>
        </row>
        <row r="394">
          <cell r="D394" t="str">
            <v>BRANG05</v>
          </cell>
          <cell r="E394" t="str">
            <v>PICAÑA BRANGUS 1.1KG- 1.4KG</v>
          </cell>
          <cell r="F394">
            <v>139</v>
          </cell>
          <cell r="G394">
            <v>139</v>
          </cell>
          <cell r="H394">
            <v>139</v>
          </cell>
          <cell r="I394">
            <v>139</v>
          </cell>
          <cell r="J394" t="str">
            <v>PRR</v>
          </cell>
          <cell r="K394" t="str">
            <v>OFD</v>
          </cell>
          <cell r="L394" t="str">
            <v>RES</v>
          </cell>
          <cell r="M394">
            <v>0</v>
          </cell>
          <cell r="N394">
            <v>0</v>
          </cell>
          <cell r="O394">
            <v>91</v>
          </cell>
          <cell r="P394">
            <v>139</v>
          </cell>
        </row>
        <row r="395">
          <cell r="D395" t="str">
            <v>CRN1110</v>
          </cell>
          <cell r="E395" t="str">
            <v xml:space="preserve">PICAÑA ARGENTINA (DEVESA) 1.9KG - 2KG - </v>
          </cell>
          <cell r="F395">
            <v>245</v>
          </cell>
          <cell r="G395">
            <v>245</v>
          </cell>
          <cell r="H395">
            <v>245</v>
          </cell>
          <cell r="I395">
            <v>245</v>
          </cell>
          <cell r="J395" t="str">
            <v>PRR</v>
          </cell>
          <cell r="K395" t="str">
            <v>OFD</v>
          </cell>
          <cell r="L395" t="str">
            <v>RES</v>
          </cell>
          <cell r="M395">
            <v>0</v>
          </cell>
          <cell r="N395">
            <v>0</v>
          </cell>
          <cell r="O395">
            <v>196.9</v>
          </cell>
          <cell r="P395">
            <v>269</v>
          </cell>
        </row>
        <row r="396">
          <cell r="D396" t="str">
            <v>ENTA01</v>
          </cell>
          <cell r="E396" t="str">
            <v>TIRA DE ENTRAÑA X 1.1KG - 1.350KG</v>
          </cell>
          <cell r="F396">
            <v>99</v>
          </cell>
          <cell r="G396">
            <v>99</v>
          </cell>
          <cell r="H396">
            <v>99</v>
          </cell>
          <cell r="I396">
            <v>99</v>
          </cell>
          <cell r="J396" t="str">
            <v>PRR</v>
          </cell>
          <cell r="K396" t="str">
            <v>OFD</v>
          </cell>
          <cell r="L396" t="str">
            <v>RES</v>
          </cell>
          <cell r="M396">
            <v>0</v>
          </cell>
          <cell r="N396">
            <v>0</v>
          </cell>
          <cell r="O396">
            <v>76.180000000000007</v>
          </cell>
          <cell r="P396">
            <v>99</v>
          </cell>
        </row>
        <row r="397">
          <cell r="D397" t="str">
            <v>CRN0946</v>
          </cell>
          <cell r="E397" t="str">
            <v>LOMO FINO FRIGOR (1.6-1.9 KG)-BOL</v>
          </cell>
          <cell r="F397">
            <v>179.9</v>
          </cell>
          <cell r="G397">
            <v>179.9</v>
          </cell>
          <cell r="H397">
            <v>179.9</v>
          </cell>
          <cell r="I397">
            <v>179.9</v>
          </cell>
          <cell r="J397" t="str">
            <v>PRR</v>
          </cell>
          <cell r="K397" t="str">
            <v>OFD</v>
          </cell>
          <cell r="L397" t="str">
            <v>RES</v>
          </cell>
          <cell r="M397">
            <v>0</v>
          </cell>
          <cell r="N397">
            <v>0</v>
          </cell>
          <cell r="O397">
            <v>117.1</v>
          </cell>
          <cell r="P397">
            <v>179.9</v>
          </cell>
        </row>
        <row r="398">
          <cell r="D398" t="str">
            <v>ASAH01</v>
          </cell>
          <cell r="E398" t="str">
            <v>ASADO DE TIRA CON HUESO X 1250GR (PACK X 5  PIEZAS 200GR - 250GR)</v>
          </cell>
          <cell r="F398">
            <v>199.9</v>
          </cell>
          <cell r="G398">
            <v>199.9</v>
          </cell>
          <cell r="H398">
            <v>199.9</v>
          </cell>
          <cell r="I398">
            <v>199.9</v>
          </cell>
          <cell r="J398" t="str">
            <v>PRR</v>
          </cell>
          <cell r="K398" t="str">
            <v>OFD</v>
          </cell>
          <cell r="L398" t="str">
            <v>RES</v>
          </cell>
          <cell r="M398">
            <v>0</v>
          </cell>
          <cell r="N398">
            <v>0</v>
          </cell>
          <cell r="O398">
            <v>158.07</v>
          </cell>
          <cell r="P398">
            <v>225.9</v>
          </cell>
        </row>
        <row r="399">
          <cell r="D399" t="str">
            <v>BATT01</v>
          </cell>
          <cell r="E399" t="str">
            <v>BATTERED ONION RINGS 5/8</v>
          </cell>
          <cell r="F399">
            <v>34.5</v>
          </cell>
          <cell r="G399">
            <v>34.5</v>
          </cell>
          <cell r="H399">
            <v>34.5</v>
          </cell>
          <cell r="I399">
            <v>34.5</v>
          </cell>
          <cell r="J399" t="str">
            <v>PRR</v>
          </cell>
          <cell r="K399" t="str">
            <v>OFD</v>
          </cell>
          <cell r="L399" t="str">
            <v>RES</v>
          </cell>
          <cell r="M399">
            <v>0</v>
          </cell>
          <cell r="N399">
            <v>0</v>
          </cell>
          <cell r="O399">
            <v>26.58</v>
          </cell>
          <cell r="P399">
            <v>34.5</v>
          </cell>
        </row>
        <row r="400">
          <cell r="D400" t="str">
            <v>CRN1277</v>
          </cell>
          <cell r="E400" t="str">
            <v>COSTILLAS DE CERDON 600GR-1KG OFD</v>
          </cell>
          <cell r="F400">
            <v>45</v>
          </cell>
          <cell r="G400">
            <v>45</v>
          </cell>
          <cell r="H400">
            <v>45</v>
          </cell>
          <cell r="I400">
            <v>45</v>
          </cell>
          <cell r="J400" t="str">
            <v>PRR</v>
          </cell>
          <cell r="K400" t="str">
            <v>OFD</v>
          </cell>
          <cell r="L400" t="str">
            <v>RES</v>
          </cell>
          <cell r="M400">
            <v>0</v>
          </cell>
          <cell r="N400">
            <v>0</v>
          </cell>
          <cell r="O400">
            <v>31.83</v>
          </cell>
          <cell r="P400">
            <v>45</v>
          </cell>
        </row>
        <row r="401">
          <cell r="D401" t="str">
            <v>404888</v>
          </cell>
          <cell r="E401" t="str">
            <v xml:space="preserve">SUPER HAMBURG RES PQ 1.008KG SEGO 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 t="str">
            <v>SIG</v>
          </cell>
          <cell r="K401" t="str">
            <v>SEG</v>
          </cell>
          <cell r="L401" t="str">
            <v>SCH</v>
          </cell>
          <cell r="M401">
            <v>0</v>
          </cell>
          <cell r="N401">
            <v>0</v>
          </cell>
          <cell r="O401">
            <v>0</v>
          </cell>
          <cell r="P401">
            <v>12.27</v>
          </cell>
        </row>
        <row r="402">
          <cell r="D402" t="str">
            <v>404872</v>
          </cell>
          <cell r="E402" t="str">
            <v>SALCHICHA DE HUACHO 250GR SEGO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 t="str">
            <v>SIG</v>
          </cell>
          <cell r="K402" t="str">
            <v>SEG</v>
          </cell>
          <cell r="L402" t="str">
            <v>SCH</v>
          </cell>
          <cell r="M402">
            <v>0</v>
          </cell>
          <cell r="N402">
            <v>0</v>
          </cell>
          <cell r="O402">
            <v>0</v>
          </cell>
          <cell r="P402">
            <v>4.95</v>
          </cell>
        </row>
        <row r="403">
          <cell r="D403" t="str">
            <v xml:space="preserve">403673 </v>
          </cell>
          <cell r="E403" t="str">
            <v>VIENESA AHUMADA 1KG SEGO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 t="str">
            <v>SIG</v>
          </cell>
          <cell r="K403" t="str">
            <v>SEG</v>
          </cell>
          <cell r="L403" t="str">
            <v>SCH</v>
          </cell>
          <cell r="M403">
            <v>0</v>
          </cell>
          <cell r="N403">
            <v>0</v>
          </cell>
          <cell r="O403">
            <v>0</v>
          </cell>
          <cell r="P403">
            <v>16.78</v>
          </cell>
        </row>
        <row r="404">
          <cell r="D404" t="str">
            <v>CARC003</v>
          </cell>
          <cell r="E404" t="str">
            <v>CARNE CERDO PARTE COSTILLA</v>
          </cell>
          <cell r="F404">
            <v>21.42</v>
          </cell>
          <cell r="G404">
            <v>21.42</v>
          </cell>
          <cell r="H404">
            <v>21.94</v>
          </cell>
          <cell r="I404">
            <v>21.94</v>
          </cell>
          <cell r="J404" t="str">
            <v>PRR</v>
          </cell>
          <cell r="K404" t="str">
            <v>GJB</v>
          </cell>
          <cell r="L404" t="str">
            <v>CER</v>
          </cell>
          <cell r="M404">
            <v>0</v>
          </cell>
          <cell r="N404">
            <v>0</v>
          </cell>
          <cell r="O404">
            <v>17</v>
          </cell>
          <cell r="P404">
            <v>27.5</v>
          </cell>
        </row>
        <row r="405">
          <cell r="D405" t="str">
            <v>CARC002</v>
          </cell>
          <cell r="E405" t="str">
            <v>CARNE CERDO PARTE PANCETA</v>
          </cell>
          <cell r="F405">
            <v>25</v>
          </cell>
          <cell r="G405">
            <v>25</v>
          </cell>
          <cell r="H405">
            <v>25</v>
          </cell>
          <cell r="I405">
            <v>25</v>
          </cell>
          <cell r="J405" t="str">
            <v>PRR</v>
          </cell>
          <cell r="K405" t="str">
            <v>GJB</v>
          </cell>
          <cell r="L405" t="str">
            <v>CER</v>
          </cell>
          <cell r="M405">
            <v>0</v>
          </cell>
          <cell r="N405">
            <v>0</v>
          </cell>
          <cell r="O405">
            <v>0</v>
          </cell>
          <cell r="P405">
            <v>22.23</v>
          </cell>
        </row>
        <row r="406">
          <cell r="D406" t="str">
            <v>0617016</v>
          </cell>
          <cell r="E406" t="str">
            <v>RICCADONNA ESP.ASTI 200ML X24</v>
          </cell>
          <cell r="F406">
            <v>17.559999999999999</v>
          </cell>
          <cell r="G406">
            <v>17.559999999999999</v>
          </cell>
          <cell r="H406">
            <v>17.91</v>
          </cell>
          <cell r="I406">
            <v>17.91</v>
          </cell>
          <cell r="J406" t="str">
            <v>IWA</v>
          </cell>
          <cell r="K406" t="str">
            <v>RIC</v>
          </cell>
          <cell r="L406" t="str">
            <v>RUB</v>
          </cell>
          <cell r="M406">
            <v>0</v>
          </cell>
          <cell r="N406">
            <v>0</v>
          </cell>
          <cell r="O406">
            <v>15.2</v>
          </cell>
          <cell r="P406">
            <v>22.01</v>
          </cell>
        </row>
        <row r="407">
          <cell r="D407" t="str">
            <v>0617017</v>
          </cell>
          <cell r="E407" t="str">
            <v>RICCADONNA ESP.RUBY 200ML X24</v>
          </cell>
          <cell r="F407">
            <v>17.559999999999999</v>
          </cell>
          <cell r="G407">
            <v>17.559999999999999</v>
          </cell>
          <cell r="H407">
            <v>17.91</v>
          </cell>
          <cell r="I407">
            <v>17.91</v>
          </cell>
          <cell r="J407" t="str">
            <v>IWA</v>
          </cell>
          <cell r="K407" t="str">
            <v>RIC</v>
          </cell>
          <cell r="L407" t="str">
            <v>RUB</v>
          </cell>
          <cell r="M407">
            <v>0</v>
          </cell>
          <cell r="N407">
            <v>0</v>
          </cell>
          <cell r="O407">
            <v>15.2</v>
          </cell>
          <cell r="P407">
            <v>22.01</v>
          </cell>
        </row>
        <row r="408">
          <cell r="D408" t="str">
            <v>FRIB0647</v>
          </cell>
          <cell r="E408" t="str">
            <v>PICAÑA BRASIL FRIBOI 1.1KG- 1.4 KG</v>
          </cell>
          <cell r="F408">
            <v>119</v>
          </cell>
          <cell r="G408">
            <v>119</v>
          </cell>
          <cell r="H408">
            <v>119</v>
          </cell>
          <cell r="I408">
            <v>119</v>
          </cell>
          <cell r="J408" t="str">
            <v>PRR</v>
          </cell>
          <cell r="K408" t="str">
            <v>SBR</v>
          </cell>
          <cell r="L408" t="str">
            <v>RES</v>
          </cell>
          <cell r="M408">
            <v>0</v>
          </cell>
          <cell r="N408">
            <v>0</v>
          </cell>
          <cell r="O408">
            <v>95.15</v>
          </cell>
          <cell r="P408">
            <v>119</v>
          </cell>
        </row>
        <row r="409">
          <cell r="D409" t="str">
            <v>510003</v>
          </cell>
          <cell r="E409" t="str">
            <v>JARABE DE GOMA CHEVALIER 750ML X12</v>
          </cell>
          <cell r="F409">
            <v>10.43</v>
          </cell>
          <cell r="G409">
            <v>10.43</v>
          </cell>
          <cell r="H409">
            <v>10.64</v>
          </cell>
          <cell r="I409">
            <v>10.64</v>
          </cell>
          <cell r="J409" t="str">
            <v>AVV</v>
          </cell>
          <cell r="K409" t="str">
            <v>JAR</v>
          </cell>
          <cell r="L409" t="str">
            <v>CHV</v>
          </cell>
          <cell r="M409">
            <v>0</v>
          </cell>
          <cell r="N409">
            <v>0</v>
          </cell>
          <cell r="O409">
            <v>9</v>
          </cell>
          <cell r="P409">
            <v>11.18</v>
          </cell>
        </row>
        <row r="410">
          <cell r="D410" t="str">
            <v>510088</v>
          </cell>
          <cell r="E410" t="str">
            <v>JARABE DE GRANADINA CHEVALIER 750ML X12</v>
          </cell>
          <cell r="F410">
            <v>10.43</v>
          </cell>
          <cell r="G410">
            <v>10.43</v>
          </cell>
          <cell r="H410">
            <v>10.64</v>
          </cell>
          <cell r="I410">
            <v>10.64</v>
          </cell>
          <cell r="J410" t="str">
            <v>AVV</v>
          </cell>
          <cell r="K410" t="str">
            <v>JAR</v>
          </cell>
          <cell r="L410" t="str">
            <v>CHV</v>
          </cell>
          <cell r="M410">
            <v>0</v>
          </cell>
          <cell r="N410">
            <v>0</v>
          </cell>
          <cell r="O410">
            <v>0</v>
          </cell>
          <cell r="P410">
            <v>11.18</v>
          </cell>
        </row>
        <row r="411">
          <cell r="D411" t="str">
            <v>0421</v>
          </cell>
          <cell r="E411" t="str">
            <v>VINO CLOS/PIRQUE BLAN.X1LT X12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 t="str">
            <v>YIC</v>
          </cell>
          <cell r="K411" t="str">
            <v>LIC</v>
          </cell>
          <cell r="L411" t="str">
            <v>CLO</v>
          </cell>
          <cell r="M411">
            <v>0</v>
          </cell>
          <cell r="N411">
            <v>0</v>
          </cell>
          <cell r="O411">
            <v>12.06</v>
          </cell>
          <cell r="P411">
            <v>13.75</v>
          </cell>
        </row>
        <row r="412">
          <cell r="D412" t="str">
            <v>23445</v>
          </cell>
          <cell r="E412" t="str">
            <v>ANTIOQUEÑO AGUARDIENTE  750ML X 12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 t="str">
            <v>YIC</v>
          </cell>
          <cell r="K412" t="str">
            <v>LIC</v>
          </cell>
          <cell r="L412" t="str">
            <v>CLO</v>
          </cell>
          <cell r="M412">
            <v>0</v>
          </cell>
          <cell r="N412">
            <v>0</v>
          </cell>
          <cell r="O412">
            <v>0</v>
          </cell>
          <cell r="P412">
            <v>28.86</v>
          </cell>
        </row>
        <row r="413">
          <cell r="D413" t="str">
            <v>0420</v>
          </cell>
          <cell r="E413" t="str">
            <v>VINO CLOS/PIRQUE TINTO 1LT X12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 t="str">
            <v>YIC</v>
          </cell>
          <cell r="K413" t="str">
            <v>LIC</v>
          </cell>
          <cell r="L413" t="str">
            <v>CLO</v>
          </cell>
          <cell r="M413">
            <v>0</v>
          </cell>
          <cell r="N413">
            <v>0</v>
          </cell>
          <cell r="O413">
            <v>0</v>
          </cell>
          <cell r="P413">
            <v>13.75</v>
          </cell>
        </row>
        <row r="414">
          <cell r="D414" t="str">
            <v>26721</v>
          </cell>
          <cell r="E414" t="str">
            <v>ANTIOQUEÑO AGUARDIENTE S/AZUC 750ML X 12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 t="str">
            <v>YIC</v>
          </cell>
          <cell r="K414" t="str">
            <v>LIC</v>
          </cell>
          <cell r="L414" t="str">
            <v>CLO</v>
          </cell>
          <cell r="M414">
            <v>0</v>
          </cell>
          <cell r="N414">
            <v>0</v>
          </cell>
          <cell r="O414">
            <v>0</v>
          </cell>
          <cell r="P414">
            <v>28.86</v>
          </cell>
        </row>
        <row r="415">
          <cell r="D415" t="str">
            <v>GF0002</v>
          </cell>
          <cell r="E415" t="str">
            <v>GOLD PREMIUM (FUSION) GLACIAR 750ML X6</v>
          </cell>
          <cell r="F415">
            <v>41.4</v>
          </cell>
          <cell r="G415">
            <v>41.4</v>
          </cell>
          <cell r="H415">
            <v>42.29</v>
          </cell>
          <cell r="I415">
            <v>42.29</v>
          </cell>
          <cell r="J415" t="str">
            <v>EXC</v>
          </cell>
          <cell r="K415" t="str">
            <v>FUS</v>
          </cell>
          <cell r="L415" t="str">
            <v>GLA</v>
          </cell>
          <cell r="M415">
            <v>0</v>
          </cell>
          <cell r="N415">
            <v>0</v>
          </cell>
          <cell r="O415">
            <v>35.090000000000003</v>
          </cell>
          <cell r="P415">
            <v>46.52</v>
          </cell>
        </row>
        <row r="416">
          <cell r="D416" t="str">
            <v>61847U</v>
          </cell>
          <cell r="E416" t="str">
            <v>01 UND LOS CUATES PIC 45 GR X12UND X8 TIR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 t="str">
            <v>SAL</v>
          </cell>
          <cell r="K416" t="str">
            <v>SNK</v>
          </cell>
          <cell r="L416" t="str">
            <v>SNK</v>
          </cell>
          <cell r="M416">
            <v>0</v>
          </cell>
          <cell r="N416">
            <v>0</v>
          </cell>
          <cell r="O416">
            <v>0</v>
          </cell>
          <cell r="P416">
            <v>1</v>
          </cell>
        </row>
        <row r="417">
          <cell r="D417" t="str">
            <v>59214</v>
          </cell>
          <cell r="E417" t="str">
            <v>CHEETOS QUESO PIC 90 GR X32 X1</v>
          </cell>
          <cell r="F417">
            <v>2.97</v>
          </cell>
          <cell r="G417">
            <v>2.97</v>
          </cell>
          <cell r="H417">
            <v>2.97</v>
          </cell>
          <cell r="I417">
            <v>2.97</v>
          </cell>
          <cell r="J417" t="str">
            <v>SAL</v>
          </cell>
          <cell r="K417" t="str">
            <v>SNK</v>
          </cell>
          <cell r="L417" t="str">
            <v>SNK</v>
          </cell>
          <cell r="M417">
            <v>0</v>
          </cell>
          <cell r="N417">
            <v>0</v>
          </cell>
          <cell r="O417">
            <v>2.67</v>
          </cell>
          <cell r="P417">
            <v>2.54</v>
          </cell>
        </row>
        <row r="418">
          <cell r="D418" t="str">
            <v>058978</v>
          </cell>
          <cell r="E418" t="str">
            <v>DORITOS Q/A 90 GR X 44</v>
          </cell>
          <cell r="F418">
            <v>2.96</v>
          </cell>
          <cell r="G418">
            <v>2.96</v>
          </cell>
          <cell r="H418">
            <v>2.96</v>
          </cell>
          <cell r="I418">
            <v>2.96</v>
          </cell>
          <cell r="J418" t="str">
            <v>SAL</v>
          </cell>
          <cell r="K418" t="str">
            <v>SNK</v>
          </cell>
          <cell r="L418" t="str">
            <v>SNK</v>
          </cell>
          <cell r="M418">
            <v>0</v>
          </cell>
          <cell r="N418">
            <v>0</v>
          </cell>
          <cell r="O418">
            <v>2.67</v>
          </cell>
          <cell r="P418">
            <v>2.96</v>
          </cell>
        </row>
        <row r="419">
          <cell r="D419" t="str">
            <v>359676</v>
          </cell>
          <cell r="E419" t="str">
            <v>PIQUEO SNAX 105 GR X 20</v>
          </cell>
          <cell r="F419">
            <v>2.96</v>
          </cell>
          <cell r="G419">
            <v>2.96</v>
          </cell>
          <cell r="H419">
            <v>2.96</v>
          </cell>
          <cell r="I419">
            <v>2.96</v>
          </cell>
          <cell r="J419" t="str">
            <v>SAL</v>
          </cell>
          <cell r="K419" t="str">
            <v>SNK</v>
          </cell>
          <cell r="L419" t="str">
            <v>SNK</v>
          </cell>
          <cell r="M419">
            <v>0</v>
          </cell>
          <cell r="N419">
            <v>0</v>
          </cell>
          <cell r="O419">
            <v>2.67</v>
          </cell>
          <cell r="P419">
            <v>2.96</v>
          </cell>
        </row>
        <row r="420">
          <cell r="D420" t="str">
            <v>59213</v>
          </cell>
          <cell r="E420" t="str">
            <v>CHEETOS HORNEADOS QUESO 90 GR X32 X1</v>
          </cell>
          <cell r="F420">
            <v>2.97</v>
          </cell>
          <cell r="G420">
            <v>2.97</v>
          </cell>
          <cell r="H420">
            <v>2.97</v>
          </cell>
          <cell r="I420">
            <v>2.97</v>
          </cell>
          <cell r="J420" t="str">
            <v>SAL</v>
          </cell>
          <cell r="K420" t="str">
            <v>SNK</v>
          </cell>
          <cell r="L420" t="str">
            <v>SNK</v>
          </cell>
          <cell r="M420">
            <v>0</v>
          </cell>
          <cell r="N420">
            <v>0</v>
          </cell>
          <cell r="O420">
            <v>2.67</v>
          </cell>
          <cell r="P420">
            <v>2.54</v>
          </cell>
        </row>
        <row r="421">
          <cell r="D421" t="str">
            <v>12380801</v>
          </cell>
          <cell r="E421" t="str">
            <v>CH.MOROCHAS BARQ.DISP 6X22GR X14</v>
          </cell>
          <cell r="F421">
            <v>6.91</v>
          </cell>
          <cell r="G421">
            <v>6.91</v>
          </cell>
          <cell r="H421">
            <v>7.05</v>
          </cell>
          <cell r="I421">
            <v>7.05</v>
          </cell>
          <cell r="J421" t="str">
            <v>NES</v>
          </cell>
          <cell r="K421" t="str">
            <v>NEP</v>
          </cell>
          <cell r="L421" t="str">
            <v>CHO</v>
          </cell>
          <cell r="M421">
            <v>0</v>
          </cell>
          <cell r="N421">
            <v>0</v>
          </cell>
          <cell r="O421">
            <v>5.36</v>
          </cell>
          <cell r="P421">
            <v>5.36</v>
          </cell>
        </row>
        <row r="422">
          <cell r="D422" t="str">
            <v>00809</v>
          </cell>
          <cell r="E422" t="str">
            <v>VINO SANTA JULIA MALBEC CLASS 750MLX12</v>
          </cell>
          <cell r="F422">
            <v>33.520000000000003</v>
          </cell>
          <cell r="G422">
            <v>33.520000000000003</v>
          </cell>
          <cell r="H422">
            <v>34.86</v>
          </cell>
          <cell r="I422">
            <v>34.86</v>
          </cell>
          <cell r="J422" t="str">
            <v>PAN</v>
          </cell>
          <cell r="K422" t="str">
            <v>PAN</v>
          </cell>
          <cell r="L422" t="str">
            <v>VIN</v>
          </cell>
          <cell r="M422">
            <v>0</v>
          </cell>
          <cell r="N422">
            <v>0</v>
          </cell>
          <cell r="O422">
            <v>29.9</v>
          </cell>
          <cell r="P422">
            <v>36.61</v>
          </cell>
        </row>
        <row r="423">
          <cell r="D423" t="str">
            <v>01502</v>
          </cell>
          <cell r="E423" t="str">
            <v>VINO DOMAINES OTT (ROSADO) 750ML X 12</v>
          </cell>
          <cell r="F423">
            <v>185.7</v>
          </cell>
          <cell r="G423">
            <v>185.7</v>
          </cell>
          <cell r="H423">
            <v>193.13</v>
          </cell>
          <cell r="I423">
            <v>193.13</v>
          </cell>
          <cell r="J423" t="str">
            <v>PAN</v>
          </cell>
          <cell r="K423" t="str">
            <v>PAN</v>
          </cell>
          <cell r="L423" t="str">
            <v>VIN</v>
          </cell>
          <cell r="M423">
            <v>0</v>
          </cell>
          <cell r="N423">
            <v>0</v>
          </cell>
          <cell r="O423">
            <v>167</v>
          </cell>
          <cell r="P423">
            <v>202.79</v>
          </cell>
        </row>
        <row r="424">
          <cell r="D424" t="str">
            <v>00804</v>
          </cell>
          <cell r="E424" t="str">
            <v>VINO ZUCCARDI Q MALBEC 750ML X 12</v>
          </cell>
          <cell r="F424">
            <v>93.57</v>
          </cell>
          <cell r="G424">
            <v>93.57</v>
          </cell>
          <cell r="H424">
            <v>97.32</v>
          </cell>
          <cell r="I424">
            <v>97.32</v>
          </cell>
          <cell r="J424" t="str">
            <v>PAN</v>
          </cell>
          <cell r="K424" t="str">
            <v>PAN</v>
          </cell>
          <cell r="L424" t="str">
            <v>VIN</v>
          </cell>
          <cell r="M424">
            <v>0</v>
          </cell>
          <cell r="N424">
            <v>0</v>
          </cell>
          <cell r="O424">
            <v>84</v>
          </cell>
          <cell r="P424">
            <v>102.18</v>
          </cell>
        </row>
        <row r="425">
          <cell r="D425" t="str">
            <v>06500</v>
          </cell>
          <cell r="E425" t="str">
            <v>VINO PEÑASCAL ROSADO 750ML X 12</v>
          </cell>
          <cell r="F425">
            <v>37.299999999999997</v>
          </cell>
          <cell r="G425">
            <v>37.299999999999997</v>
          </cell>
          <cell r="H425">
            <v>38.79</v>
          </cell>
          <cell r="I425">
            <v>38.79</v>
          </cell>
          <cell r="J425" t="str">
            <v>PAN</v>
          </cell>
          <cell r="K425" t="str">
            <v>PAN</v>
          </cell>
          <cell r="L425" t="str">
            <v>VIN</v>
          </cell>
          <cell r="M425">
            <v>0</v>
          </cell>
          <cell r="N425">
            <v>0</v>
          </cell>
          <cell r="O425">
            <v>0</v>
          </cell>
          <cell r="P425">
            <v>40.729999999999997</v>
          </cell>
        </row>
        <row r="426">
          <cell r="D426" t="str">
            <v>RON0163</v>
          </cell>
          <cell r="E426" t="str">
            <v>RON BARCELO ANEJO 750ML X 12</v>
          </cell>
          <cell r="F426">
            <v>36.200000000000003</v>
          </cell>
          <cell r="G426">
            <v>36.200000000000003</v>
          </cell>
          <cell r="H426">
            <v>36.380000000000003</v>
          </cell>
          <cell r="I426">
            <v>36.380000000000003</v>
          </cell>
          <cell r="J426" t="str">
            <v>IWA</v>
          </cell>
          <cell r="K426" t="str">
            <v>LIC</v>
          </cell>
          <cell r="L426" t="str">
            <v>RON</v>
          </cell>
          <cell r="M426">
            <v>0</v>
          </cell>
          <cell r="N426">
            <v>0</v>
          </cell>
          <cell r="O426">
            <v>30</v>
          </cell>
          <cell r="P426">
            <v>43.3</v>
          </cell>
        </row>
        <row r="427">
          <cell r="D427" t="str">
            <v>RON0150</v>
          </cell>
          <cell r="E427" t="str">
            <v>RON BARCELO IMPERIAL 750ML X 6</v>
          </cell>
          <cell r="F427">
            <v>92.08</v>
          </cell>
          <cell r="G427">
            <v>92.08</v>
          </cell>
          <cell r="H427">
            <v>94.07</v>
          </cell>
          <cell r="I427">
            <v>94.07</v>
          </cell>
          <cell r="J427" t="str">
            <v>IWA</v>
          </cell>
          <cell r="K427" t="str">
            <v>LIC</v>
          </cell>
          <cell r="L427" t="str">
            <v>RON</v>
          </cell>
          <cell r="M427">
            <v>0</v>
          </cell>
          <cell r="N427">
            <v>0</v>
          </cell>
          <cell r="O427">
            <v>82</v>
          </cell>
          <cell r="P427">
            <v>117.44</v>
          </cell>
        </row>
        <row r="428">
          <cell r="D428" t="str">
            <v>RON1056</v>
          </cell>
          <cell r="E428" t="str">
            <v>RON ANGOSTURA TAMBOO SPICED 750ML X 12</v>
          </cell>
          <cell r="F428">
            <v>96.22</v>
          </cell>
          <cell r="G428">
            <v>96.22</v>
          </cell>
          <cell r="H428">
            <v>98.31</v>
          </cell>
          <cell r="I428">
            <v>98.31</v>
          </cell>
          <cell r="J428" t="str">
            <v>IWA</v>
          </cell>
          <cell r="K428" t="str">
            <v>LIC</v>
          </cell>
          <cell r="L428" t="str">
            <v>RON</v>
          </cell>
          <cell r="M428">
            <v>0</v>
          </cell>
          <cell r="N428">
            <v>0</v>
          </cell>
          <cell r="O428">
            <v>85.7</v>
          </cell>
          <cell r="P428">
            <v>122.73</v>
          </cell>
        </row>
        <row r="429">
          <cell r="D429" t="str">
            <v>RON0053</v>
          </cell>
          <cell r="E429" t="str">
            <v>RON ZACAPA XO 750ML X 6</v>
          </cell>
          <cell r="F429">
            <v>544.41</v>
          </cell>
          <cell r="G429">
            <v>544.41</v>
          </cell>
          <cell r="H429">
            <v>556.22</v>
          </cell>
          <cell r="I429">
            <v>556.22</v>
          </cell>
          <cell r="J429" t="str">
            <v>IWA</v>
          </cell>
          <cell r="K429" t="str">
            <v>LIC</v>
          </cell>
          <cell r="L429" t="str">
            <v>RON</v>
          </cell>
          <cell r="M429">
            <v>0</v>
          </cell>
          <cell r="N429">
            <v>0</v>
          </cell>
          <cell r="O429">
            <v>513.33000000000004</v>
          </cell>
          <cell r="P429">
            <v>636.09</v>
          </cell>
        </row>
        <row r="430">
          <cell r="D430" t="str">
            <v>RON0130</v>
          </cell>
          <cell r="E430" t="str">
            <v>RON APPLETON SIGNATURE BLEND 200 MLX24</v>
          </cell>
          <cell r="F430">
            <v>13.77</v>
          </cell>
          <cell r="G430">
            <v>13.77</v>
          </cell>
          <cell r="H430">
            <v>14.04</v>
          </cell>
          <cell r="I430">
            <v>14.04</v>
          </cell>
          <cell r="J430" t="str">
            <v>IWA</v>
          </cell>
          <cell r="K430" t="str">
            <v>LIC</v>
          </cell>
          <cell r="L430" t="str">
            <v>RON</v>
          </cell>
          <cell r="M430">
            <v>0</v>
          </cell>
          <cell r="N430">
            <v>0</v>
          </cell>
          <cell r="O430">
            <v>0</v>
          </cell>
          <cell r="P430">
            <v>17.100000000000001</v>
          </cell>
        </row>
        <row r="431">
          <cell r="D431" t="str">
            <v>RON0997</v>
          </cell>
          <cell r="E431" t="str">
            <v>RON ANGOSTURA 1824 750ML X 6</v>
          </cell>
          <cell r="F431">
            <v>233.53</v>
          </cell>
          <cell r="G431">
            <v>233.53</v>
          </cell>
          <cell r="H431">
            <v>238.6</v>
          </cell>
          <cell r="I431">
            <v>238.6</v>
          </cell>
          <cell r="J431" t="str">
            <v>IWA</v>
          </cell>
          <cell r="K431" t="str">
            <v>LIC</v>
          </cell>
          <cell r="L431" t="str">
            <v>RON</v>
          </cell>
          <cell r="M431">
            <v>0</v>
          </cell>
          <cell r="N431">
            <v>0</v>
          </cell>
          <cell r="O431">
            <v>225.01</v>
          </cell>
          <cell r="P431">
            <v>297.87</v>
          </cell>
        </row>
        <row r="432">
          <cell r="D432" t="str">
            <v>RON0079</v>
          </cell>
          <cell r="E432" t="str">
            <v>RON DIPLOMATICO RESV EXC 750ML LATA</v>
          </cell>
          <cell r="F432">
            <v>199.65</v>
          </cell>
          <cell r="G432">
            <v>199.65</v>
          </cell>
          <cell r="H432">
            <v>203.64</v>
          </cell>
          <cell r="I432">
            <v>203.64</v>
          </cell>
          <cell r="J432" t="str">
            <v>IWA</v>
          </cell>
          <cell r="K432" t="str">
            <v>LIC</v>
          </cell>
          <cell r="L432" t="str">
            <v>RON</v>
          </cell>
          <cell r="M432">
            <v>0</v>
          </cell>
          <cell r="N432">
            <v>0</v>
          </cell>
          <cell r="O432">
            <v>182</v>
          </cell>
          <cell r="P432">
            <v>191.79</v>
          </cell>
        </row>
        <row r="433">
          <cell r="D433" t="str">
            <v>RON0179</v>
          </cell>
          <cell r="E433" t="str">
            <v>RON LA HECHICERA 700ML X6</v>
          </cell>
          <cell r="F433">
            <v>202.7</v>
          </cell>
          <cell r="G433">
            <v>202.7</v>
          </cell>
          <cell r="H433">
            <v>205.74</v>
          </cell>
          <cell r="I433">
            <v>205.74</v>
          </cell>
          <cell r="J433" t="str">
            <v>IWA</v>
          </cell>
          <cell r="K433" t="str">
            <v>LIC</v>
          </cell>
          <cell r="L433" t="str">
            <v>RON</v>
          </cell>
          <cell r="M433">
            <v>0</v>
          </cell>
          <cell r="N433">
            <v>0</v>
          </cell>
          <cell r="O433">
            <v>184</v>
          </cell>
          <cell r="P433">
            <v>263.25</v>
          </cell>
        </row>
        <row r="434">
          <cell r="D434" t="str">
            <v>RON0578</v>
          </cell>
          <cell r="E434" t="str">
            <v>RON ANGOSTURA 1919 750ML X 6</v>
          </cell>
          <cell r="F434">
            <v>142.91999999999999</v>
          </cell>
          <cell r="G434">
            <v>142.91999999999999</v>
          </cell>
          <cell r="H434">
            <v>146.02000000000001</v>
          </cell>
          <cell r="I434">
            <v>146.02000000000001</v>
          </cell>
          <cell r="J434" t="str">
            <v>IWA</v>
          </cell>
          <cell r="K434" t="str">
            <v>LIC</v>
          </cell>
          <cell r="L434" t="str">
            <v>RON</v>
          </cell>
          <cell r="M434">
            <v>0</v>
          </cell>
          <cell r="N434">
            <v>0</v>
          </cell>
          <cell r="O434">
            <v>127.46</v>
          </cell>
          <cell r="P434">
            <v>182.3</v>
          </cell>
        </row>
        <row r="435">
          <cell r="D435" t="str">
            <v>RON0160</v>
          </cell>
          <cell r="E435" t="str">
            <v>RON BARCELO GRAN ANEJO 750ML X 12</v>
          </cell>
          <cell r="F435">
            <v>38.22</v>
          </cell>
          <cell r="G435">
            <v>38.22</v>
          </cell>
          <cell r="H435">
            <v>40.130000000000003</v>
          </cell>
          <cell r="I435">
            <v>40.130000000000003</v>
          </cell>
          <cell r="J435" t="str">
            <v>IWA</v>
          </cell>
          <cell r="K435" t="str">
            <v>LIC</v>
          </cell>
          <cell r="L435" t="str">
            <v>RON</v>
          </cell>
          <cell r="M435">
            <v>0</v>
          </cell>
          <cell r="N435">
            <v>0</v>
          </cell>
          <cell r="O435">
            <v>34</v>
          </cell>
          <cell r="P435">
            <v>48.87</v>
          </cell>
        </row>
        <row r="436">
          <cell r="D436" t="str">
            <v>RON0026</v>
          </cell>
          <cell r="E436" t="str">
            <v xml:space="preserve">RON ZACAPA ROYAL 750ML </v>
          </cell>
          <cell r="F436">
            <v>1855.28</v>
          </cell>
          <cell r="G436">
            <v>1855.28</v>
          </cell>
          <cell r="H436">
            <v>1855.28</v>
          </cell>
          <cell r="I436">
            <v>1855.28</v>
          </cell>
          <cell r="J436" t="str">
            <v>IWA</v>
          </cell>
          <cell r="K436" t="str">
            <v>LIC</v>
          </cell>
          <cell r="L436" t="str">
            <v>RON</v>
          </cell>
          <cell r="M436">
            <v>0</v>
          </cell>
          <cell r="N436">
            <v>0</v>
          </cell>
          <cell r="O436">
            <v>1750</v>
          </cell>
          <cell r="P436">
            <v>2500.37</v>
          </cell>
        </row>
        <row r="437">
          <cell r="D437" t="str">
            <v>RON0170</v>
          </cell>
          <cell r="E437" t="str">
            <v>RON BARCELO DORADO ANEJO 750ML X 12</v>
          </cell>
          <cell r="F437">
            <v>31.69</v>
          </cell>
          <cell r="G437">
            <v>31.69</v>
          </cell>
          <cell r="H437">
            <v>32.32</v>
          </cell>
          <cell r="I437">
            <v>32.32</v>
          </cell>
          <cell r="J437" t="str">
            <v>IWA</v>
          </cell>
          <cell r="K437" t="str">
            <v>LIC</v>
          </cell>
          <cell r="L437" t="str">
            <v>RON</v>
          </cell>
          <cell r="M437">
            <v>0</v>
          </cell>
          <cell r="N437">
            <v>0</v>
          </cell>
          <cell r="O437">
            <v>27.8</v>
          </cell>
          <cell r="P437">
            <v>41.16</v>
          </cell>
        </row>
        <row r="438">
          <cell r="D438" t="str">
            <v>APE0166</v>
          </cell>
          <cell r="E438" t="str">
            <v>AMARGO CHUNPI 75ML</v>
          </cell>
          <cell r="F438">
            <v>9.9700000000000006</v>
          </cell>
          <cell r="G438">
            <v>9.9700000000000006</v>
          </cell>
          <cell r="H438">
            <v>10.18</v>
          </cell>
          <cell r="I438">
            <v>10.18</v>
          </cell>
          <cell r="J438" t="str">
            <v>IWA</v>
          </cell>
          <cell r="K438" t="str">
            <v>LIC</v>
          </cell>
          <cell r="L438" t="str">
            <v>RON</v>
          </cell>
          <cell r="M438">
            <v>0</v>
          </cell>
          <cell r="N438">
            <v>0</v>
          </cell>
          <cell r="O438">
            <v>8.84</v>
          </cell>
          <cell r="P438">
            <v>12.77</v>
          </cell>
        </row>
        <row r="439">
          <cell r="D439" t="str">
            <v>APE1987</v>
          </cell>
          <cell r="E439" t="str">
            <v>LIC AMARO DI ANGOSTURA 750ML X12</v>
          </cell>
          <cell r="F439">
            <v>85.57</v>
          </cell>
          <cell r="G439">
            <v>85.57</v>
          </cell>
          <cell r="H439">
            <v>87.42</v>
          </cell>
          <cell r="I439">
            <v>87.42</v>
          </cell>
          <cell r="J439" t="str">
            <v>IWA</v>
          </cell>
          <cell r="K439" t="str">
            <v>LIC</v>
          </cell>
          <cell r="L439" t="str">
            <v>RON</v>
          </cell>
          <cell r="M439">
            <v>0</v>
          </cell>
          <cell r="N439">
            <v>0</v>
          </cell>
          <cell r="O439">
            <v>76.099999999999994</v>
          </cell>
          <cell r="P439">
            <v>109.14</v>
          </cell>
        </row>
        <row r="440">
          <cell r="D440" t="str">
            <v>RON0152</v>
          </cell>
          <cell r="E440" t="str">
            <v xml:space="preserve">RON APPLETON SIGNATURE BLEND 750MLX12 </v>
          </cell>
          <cell r="F440">
            <v>36.32</v>
          </cell>
          <cell r="G440">
            <v>36.32</v>
          </cell>
          <cell r="H440">
            <v>37.04</v>
          </cell>
          <cell r="I440">
            <v>37.04</v>
          </cell>
          <cell r="J440" t="str">
            <v>IWA</v>
          </cell>
          <cell r="K440" t="str">
            <v>LIC</v>
          </cell>
          <cell r="L440" t="str">
            <v>RON</v>
          </cell>
          <cell r="M440">
            <v>0</v>
          </cell>
          <cell r="N440">
            <v>0</v>
          </cell>
          <cell r="O440">
            <v>0</v>
          </cell>
          <cell r="P440">
            <v>45.11</v>
          </cell>
        </row>
        <row r="441">
          <cell r="D441" t="str">
            <v>RON0162</v>
          </cell>
          <cell r="E441" t="str">
            <v>RON BARCELO GRAN ANEJO 1.750 LT X 6</v>
          </cell>
          <cell r="F441">
            <v>71.569999999999993</v>
          </cell>
          <cell r="G441">
            <v>71.569999999999993</v>
          </cell>
          <cell r="H441">
            <v>73.12</v>
          </cell>
          <cell r="I441">
            <v>73.12</v>
          </cell>
          <cell r="J441" t="str">
            <v>IWA</v>
          </cell>
          <cell r="K441" t="str">
            <v>LIC</v>
          </cell>
          <cell r="L441" t="str">
            <v>RON</v>
          </cell>
          <cell r="M441">
            <v>0</v>
          </cell>
          <cell r="N441">
            <v>0</v>
          </cell>
          <cell r="O441">
            <v>63.6</v>
          </cell>
          <cell r="P441">
            <v>92.94</v>
          </cell>
        </row>
        <row r="442">
          <cell r="D442" t="str">
            <v>RON0575</v>
          </cell>
          <cell r="E442" t="str">
            <v>RON ANGOSTURA 7AÑ 750ML X 6</v>
          </cell>
          <cell r="F442">
            <v>69.540000000000006</v>
          </cell>
          <cell r="G442">
            <v>69.540000000000006</v>
          </cell>
          <cell r="H442">
            <v>71.05</v>
          </cell>
          <cell r="I442">
            <v>71.05</v>
          </cell>
          <cell r="J442" t="str">
            <v>IWA</v>
          </cell>
          <cell r="K442" t="str">
            <v>LIC</v>
          </cell>
          <cell r="L442" t="str">
            <v>RON</v>
          </cell>
          <cell r="M442">
            <v>0</v>
          </cell>
          <cell r="N442">
            <v>0</v>
          </cell>
          <cell r="O442">
            <v>61.94</v>
          </cell>
          <cell r="P442">
            <v>88.7</v>
          </cell>
        </row>
        <row r="443">
          <cell r="D443" t="str">
            <v>RON0171</v>
          </cell>
          <cell r="E443" t="str">
            <v>RON BARCELO DORADO  1LT X 12</v>
          </cell>
          <cell r="F443">
            <v>33.78</v>
          </cell>
          <cell r="G443">
            <v>33.78</v>
          </cell>
          <cell r="H443">
            <v>33.950000000000003</v>
          </cell>
          <cell r="I443">
            <v>33.950000000000003</v>
          </cell>
          <cell r="J443" t="str">
            <v>IWA</v>
          </cell>
          <cell r="K443" t="str">
            <v>LIC</v>
          </cell>
          <cell r="L443" t="str">
            <v>RON</v>
          </cell>
          <cell r="M443">
            <v>0</v>
          </cell>
          <cell r="N443">
            <v>0</v>
          </cell>
          <cell r="O443">
            <v>30.5</v>
          </cell>
          <cell r="P443">
            <v>43.87</v>
          </cell>
        </row>
        <row r="444">
          <cell r="D444" t="str">
            <v>RON0164</v>
          </cell>
          <cell r="E444" t="str">
            <v>RON BARCELO ANEJO 1LT X 12</v>
          </cell>
          <cell r="F444">
            <v>46.13</v>
          </cell>
          <cell r="G444">
            <v>46.13</v>
          </cell>
          <cell r="H444">
            <v>46.36</v>
          </cell>
          <cell r="I444">
            <v>46.36</v>
          </cell>
          <cell r="J444" t="str">
            <v>IWA</v>
          </cell>
          <cell r="K444" t="str">
            <v>LIC</v>
          </cell>
          <cell r="L444" t="str">
            <v>RON</v>
          </cell>
          <cell r="M444">
            <v>0</v>
          </cell>
          <cell r="N444">
            <v>0</v>
          </cell>
          <cell r="O444">
            <v>42.5</v>
          </cell>
          <cell r="P444">
            <v>61.01</v>
          </cell>
        </row>
        <row r="445">
          <cell r="D445" t="str">
            <v>RON0151</v>
          </cell>
          <cell r="E445" t="str">
            <v xml:space="preserve">RON BARCELO IMPERIAL ONYX 750ML </v>
          </cell>
          <cell r="F445">
            <v>113.05</v>
          </cell>
          <cell r="G445">
            <v>113.05</v>
          </cell>
          <cell r="H445">
            <v>115.5</v>
          </cell>
          <cell r="I445">
            <v>115.5</v>
          </cell>
          <cell r="J445" t="str">
            <v>IWA</v>
          </cell>
          <cell r="K445" t="str">
            <v>LIC</v>
          </cell>
          <cell r="L445" t="str">
            <v>RON</v>
          </cell>
          <cell r="M445">
            <v>0</v>
          </cell>
          <cell r="N445">
            <v>0</v>
          </cell>
          <cell r="O445">
            <v>98</v>
          </cell>
          <cell r="P445">
            <v>140.43</v>
          </cell>
        </row>
        <row r="446">
          <cell r="D446" t="str">
            <v>RON1057</v>
          </cell>
          <cell r="E446" t="str">
            <v>RON BARCELO IMPERIAL 40 ANIVERSARIO X750ML</v>
          </cell>
          <cell r="F446">
            <v>627.54</v>
          </cell>
          <cell r="G446">
            <v>627.54</v>
          </cell>
          <cell r="H446">
            <v>641.15</v>
          </cell>
          <cell r="I446">
            <v>641.15</v>
          </cell>
          <cell r="J446" t="str">
            <v>IWA</v>
          </cell>
          <cell r="K446" t="str">
            <v>LIC</v>
          </cell>
          <cell r="L446" t="str">
            <v>RON</v>
          </cell>
          <cell r="M446">
            <v>0</v>
          </cell>
          <cell r="N446">
            <v>0</v>
          </cell>
          <cell r="O446">
            <v>560</v>
          </cell>
          <cell r="P446">
            <v>841.57</v>
          </cell>
        </row>
        <row r="447">
          <cell r="D447" t="str">
            <v>RON0172</v>
          </cell>
          <cell r="E447" t="str">
            <v xml:space="preserve">RON BARCELO AÑEJO (6 A) 1.750ML </v>
          </cell>
          <cell r="F447">
            <v>68.959999999999994</v>
          </cell>
          <cell r="G447">
            <v>68.959999999999994</v>
          </cell>
          <cell r="H447">
            <v>69.3</v>
          </cell>
          <cell r="I447">
            <v>69.3</v>
          </cell>
          <cell r="J447" t="str">
            <v>IWA</v>
          </cell>
          <cell r="K447" t="str">
            <v>LIC</v>
          </cell>
          <cell r="L447" t="str">
            <v>RON</v>
          </cell>
          <cell r="M447">
            <v>0</v>
          </cell>
          <cell r="N447">
            <v>0</v>
          </cell>
          <cell r="O447">
            <v>61.4</v>
          </cell>
          <cell r="P447">
            <v>91.21</v>
          </cell>
        </row>
        <row r="448">
          <cell r="D448" t="str">
            <v>RON0080</v>
          </cell>
          <cell r="E448" t="str">
            <v>RON DIPLOMATICO RESV EXC 700ML</v>
          </cell>
          <cell r="F448">
            <v>170.94</v>
          </cell>
          <cell r="G448">
            <v>170.94</v>
          </cell>
          <cell r="H448">
            <v>174.35</v>
          </cell>
          <cell r="I448">
            <v>174.35</v>
          </cell>
          <cell r="J448" t="str">
            <v>IWA</v>
          </cell>
          <cell r="K448" t="str">
            <v>LIC</v>
          </cell>
          <cell r="L448" t="str">
            <v>RON</v>
          </cell>
          <cell r="M448">
            <v>0</v>
          </cell>
          <cell r="N448">
            <v>0</v>
          </cell>
          <cell r="O448">
            <v>148.31</v>
          </cell>
          <cell r="P448">
            <v>212.34</v>
          </cell>
        </row>
        <row r="449">
          <cell r="D449" t="str">
            <v>RON0161</v>
          </cell>
          <cell r="E449" t="str">
            <v>RON BARCELO GRAN ANEJO 1LT X 12</v>
          </cell>
          <cell r="F449">
            <v>52.04</v>
          </cell>
          <cell r="G449">
            <v>52.04</v>
          </cell>
          <cell r="H449">
            <v>53.17</v>
          </cell>
          <cell r="I449">
            <v>53.17</v>
          </cell>
          <cell r="J449" t="str">
            <v>IWA</v>
          </cell>
          <cell r="K449" t="str">
            <v>LIC</v>
          </cell>
          <cell r="L449" t="str">
            <v>RON</v>
          </cell>
          <cell r="M449">
            <v>0</v>
          </cell>
          <cell r="N449">
            <v>0</v>
          </cell>
          <cell r="O449">
            <v>47.92</v>
          </cell>
          <cell r="P449">
            <v>67.52</v>
          </cell>
        </row>
        <row r="450">
          <cell r="D450" t="str">
            <v>0102001</v>
          </cell>
          <cell r="E450" t="str">
            <v>WHIS.BALLANTINES FINEST 700ML X12</v>
          </cell>
          <cell r="F450">
            <v>35.5</v>
          </cell>
          <cell r="G450">
            <v>35.5</v>
          </cell>
          <cell r="H450">
            <v>36.21</v>
          </cell>
          <cell r="I450">
            <v>36.21</v>
          </cell>
          <cell r="J450" t="str">
            <v>IWA</v>
          </cell>
          <cell r="K450" t="str">
            <v>BAL</v>
          </cell>
          <cell r="L450" t="str">
            <v>WHI</v>
          </cell>
          <cell r="M450">
            <v>0</v>
          </cell>
          <cell r="N450">
            <v>0</v>
          </cell>
          <cell r="O450">
            <v>31.5</v>
          </cell>
          <cell r="P450">
            <v>46.11</v>
          </cell>
        </row>
        <row r="451">
          <cell r="D451" t="str">
            <v>WHI1069</v>
          </cell>
          <cell r="E451" t="str">
            <v>PK WHIS BALLANT FINEST+BALLANT FINEST 200ML</v>
          </cell>
          <cell r="F451">
            <v>39.229999999999997</v>
          </cell>
          <cell r="G451">
            <v>39.229999999999997</v>
          </cell>
          <cell r="H451">
            <v>40.01</v>
          </cell>
          <cell r="I451">
            <v>40.01</v>
          </cell>
          <cell r="J451" t="str">
            <v>IWA</v>
          </cell>
          <cell r="K451" t="str">
            <v>BAL</v>
          </cell>
          <cell r="L451" t="str">
            <v>WHI</v>
          </cell>
          <cell r="M451">
            <v>0</v>
          </cell>
          <cell r="N451">
            <v>0</v>
          </cell>
          <cell r="O451">
            <v>35</v>
          </cell>
          <cell r="P451">
            <v>49.32</v>
          </cell>
        </row>
        <row r="452">
          <cell r="D452" t="str">
            <v>WHI0334</v>
          </cell>
          <cell r="E452" t="str">
            <v xml:space="preserve">MINI WHIS.BALLANTINES FINEST 50ML </v>
          </cell>
          <cell r="F452">
            <v>7.5</v>
          </cell>
          <cell r="G452">
            <v>7.5</v>
          </cell>
          <cell r="H452">
            <v>7.65</v>
          </cell>
          <cell r="I452">
            <v>7.65</v>
          </cell>
          <cell r="J452" t="str">
            <v>IWA</v>
          </cell>
          <cell r="K452" t="str">
            <v>BAL</v>
          </cell>
          <cell r="L452" t="str">
            <v>WHI</v>
          </cell>
          <cell r="M452">
            <v>0</v>
          </cell>
          <cell r="N452">
            <v>0</v>
          </cell>
          <cell r="O452">
            <v>6.12</v>
          </cell>
          <cell r="P452">
            <v>9.68</v>
          </cell>
        </row>
        <row r="453">
          <cell r="D453" t="str">
            <v>199281</v>
          </cell>
          <cell r="E453" t="str">
            <v>SPIRIT PASSION FRUIT 275ML X 24</v>
          </cell>
          <cell r="F453">
            <v>6.02</v>
          </cell>
          <cell r="G453">
            <v>6.02</v>
          </cell>
          <cell r="H453">
            <v>6.12</v>
          </cell>
          <cell r="I453">
            <v>6.12</v>
          </cell>
          <cell r="J453" t="str">
            <v>PFA</v>
          </cell>
          <cell r="K453" t="str">
            <v>LIC</v>
          </cell>
          <cell r="L453" t="str">
            <v>VOD</v>
          </cell>
          <cell r="M453">
            <v>0</v>
          </cell>
          <cell r="N453">
            <v>0</v>
          </cell>
          <cell r="O453">
            <v>5.47</v>
          </cell>
          <cell r="P453">
            <v>6.73</v>
          </cell>
        </row>
        <row r="454">
          <cell r="D454" t="str">
            <v>199277</v>
          </cell>
          <cell r="E454" t="str">
            <v>SPIRIT MOJITO 275ML X 24</v>
          </cell>
          <cell r="F454">
            <v>6.02</v>
          </cell>
          <cell r="G454">
            <v>6.02</v>
          </cell>
          <cell r="H454">
            <v>6.12</v>
          </cell>
          <cell r="I454">
            <v>6.12</v>
          </cell>
          <cell r="J454" t="str">
            <v>PFA</v>
          </cell>
          <cell r="K454" t="str">
            <v>LIC</v>
          </cell>
          <cell r="L454" t="str">
            <v>VOD</v>
          </cell>
          <cell r="M454">
            <v>0</v>
          </cell>
          <cell r="N454">
            <v>0</v>
          </cell>
          <cell r="O454">
            <v>5.47</v>
          </cell>
          <cell r="P454">
            <v>6.73</v>
          </cell>
        </row>
        <row r="455">
          <cell r="D455" t="str">
            <v>199280</v>
          </cell>
          <cell r="E455" t="str">
            <v>SPIRIT MANZANA 275ML X 24</v>
          </cell>
          <cell r="F455">
            <v>6.02</v>
          </cell>
          <cell r="G455">
            <v>6.02</v>
          </cell>
          <cell r="H455">
            <v>6.12</v>
          </cell>
          <cell r="I455">
            <v>6.12</v>
          </cell>
          <cell r="J455" t="str">
            <v>PFA</v>
          </cell>
          <cell r="K455" t="str">
            <v>LIC</v>
          </cell>
          <cell r="L455" t="str">
            <v>VOD</v>
          </cell>
          <cell r="M455">
            <v>0</v>
          </cell>
          <cell r="N455">
            <v>0</v>
          </cell>
          <cell r="O455">
            <v>5.47</v>
          </cell>
          <cell r="P455">
            <v>6.73</v>
          </cell>
        </row>
        <row r="456">
          <cell r="D456" t="str">
            <v>199276</v>
          </cell>
          <cell r="E456" t="str">
            <v>SPIRIT VODKA BLUEBERRY  275ML X 24</v>
          </cell>
          <cell r="F456">
            <v>6.02</v>
          </cell>
          <cell r="G456">
            <v>6.02</v>
          </cell>
          <cell r="H456">
            <v>6.12</v>
          </cell>
          <cell r="I456">
            <v>6.12</v>
          </cell>
          <cell r="J456" t="str">
            <v>PFA</v>
          </cell>
          <cell r="K456" t="str">
            <v>LIC</v>
          </cell>
          <cell r="L456" t="str">
            <v>VOD</v>
          </cell>
          <cell r="M456">
            <v>0</v>
          </cell>
          <cell r="N456">
            <v>0</v>
          </cell>
          <cell r="O456">
            <v>5.47</v>
          </cell>
          <cell r="P456">
            <v>6.73</v>
          </cell>
        </row>
        <row r="457">
          <cell r="D457" t="str">
            <v>047013</v>
          </cell>
          <cell r="E457" t="str">
            <v xml:space="preserve">PAULANER MUNCHNER HELL LATA 500ML </v>
          </cell>
          <cell r="F457">
            <v>8.65</v>
          </cell>
          <cell r="G457">
            <v>8.65</v>
          </cell>
          <cell r="H457">
            <v>8.65</v>
          </cell>
          <cell r="I457">
            <v>8.65</v>
          </cell>
          <cell r="J457" t="str">
            <v>FDL</v>
          </cell>
          <cell r="K457" t="str">
            <v>PAU</v>
          </cell>
          <cell r="L457" t="str">
            <v>PAU</v>
          </cell>
          <cell r="M457">
            <v>0</v>
          </cell>
          <cell r="N457">
            <v>0</v>
          </cell>
          <cell r="O457">
            <v>6.5</v>
          </cell>
          <cell r="P457">
            <v>8.8699999999999992</v>
          </cell>
        </row>
        <row r="458">
          <cell r="D458" t="str">
            <v>047054</v>
          </cell>
          <cell r="E458" t="str">
            <v>PAULANER SALVATOR BOTELLA 300ML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 t="str">
            <v>FDL</v>
          </cell>
          <cell r="K458" t="str">
            <v>PAU</v>
          </cell>
          <cell r="L458" t="str">
            <v>PAU</v>
          </cell>
          <cell r="M458">
            <v>0</v>
          </cell>
          <cell r="N458">
            <v>0</v>
          </cell>
          <cell r="O458">
            <v>7.35</v>
          </cell>
          <cell r="P458">
            <v>8.31</v>
          </cell>
        </row>
        <row r="459">
          <cell r="D459" t="str">
            <v>047004</v>
          </cell>
          <cell r="E459" t="str">
            <v>PAULANER WEISBSBIER BARRIL 5LT</v>
          </cell>
          <cell r="F459">
            <v>99</v>
          </cell>
          <cell r="G459">
            <v>99</v>
          </cell>
          <cell r="H459">
            <v>99</v>
          </cell>
          <cell r="I459">
            <v>99</v>
          </cell>
          <cell r="J459" t="str">
            <v>FDL</v>
          </cell>
          <cell r="K459" t="str">
            <v>PAU</v>
          </cell>
          <cell r="L459" t="str">
            <v>PAU</v>
          </cell>
          <cell r="M459">
            <v>0</v>
          </cell>
          <cell r="N459">
            <v>0</v>
          </cell>
          <cell r="O459">
            <v>83.33</v>
          </cell>
          <cell r="P459">
            <v>101.56</v>
          </cell>
        </row>
        <row r="460">
          <cell r="D460" t="str">
            <v>047056</v>
          </cell>
          <cell r="E460" t="str">
            <v xml:space="preserve">PAULANER WEISSBIER RUBIA BOT 500ML </v>
          </cell>
          <cell r="F460">
            <v>10.55</v>
          </cell>
          <cell r="G460">
            <v>10.55</v>
          </cell>
          <cell r="H460">
            <v>10.55</v>
          </cell>
          <cell r="I460">
            <v>10.55</v>
          </cell>
          <cell r="J460" t="str">
            <v>FDL</v>
          </cell>
          <cell r="K460" t="str">
            <v>PAU</v>
          </cell>
          <cell r="L460" t="str">
            <v>PAU</v>
          </cell>
          <cell r="M460">
            <v>0</v>
          </cell>
          <cell r="N460">
            <v>0</v>
          </cell>
          <cell r="O460">
            <v>8.82</v>
          </cell>
          <cell r="P460">
            <v>10.82</v>
          </cell>
        </row>
        <row r="461">
          <cell r="D461" t="str">
            <v>047378</v>
          </cell>
          <cell r="E461" t="str">
            <v>PAULANER MUNCHNER HELL BOT 500ML</v>
          </cell>
          <cell r="F461">
            <v>10.55</v>
          </cell>
          <cell r="G461">
            <v>10.55</v>
          </cell>
          <cell r="H461">
            <v>10.55</v>
          </cell>
          <cell r="I461">
            <v>10.55</v>
          </cell>
          <cell r="J461" t="str">
            <v>FDL</v>
          </cell>
          <cell r="K461" t="str">
            <v>PAU</v>
          </cell>
          <cell r="L461" t="str">
            <v>PAU</v>
          </cell>
          <cell r="M461">
            <v>0</v>
          </cell>
          <cell r="N461">
            <v>0</v>
          </cell>
          <cell r="O461">
            <v>8.89</v>
          </cell>
          <cell r="P461">
            <v>10.82</v>
          </cell>
        </row>
        <row r="462">
          <cell r="D462" t="str">
            <v>047011</v>
          </cell>
          <cell r="E462" t="str">
            <v>PAULANER MUNCHNER BARRIL 5LT</v>
          </cell>
          <cell r="F462">
            <v>99</v>
          </cell>
          <cell r="G462">
            <v>99</v>
          </cell>
          <cell r="H462">
            <v>99</v>
          </cell>
          <cell r="I462">
            <v>99</v>
          </cell>
          <cell r="J462" t="str">
            <v>FDL</v>
          </cell>
          <cell r="K462" t="str">
            <v>PAU</v>
          </cell>
          <cell r="L462" t="str">
            <v>PAU</v>
          </cell>
          <cell r="M462">
            <v>0</v>
          </cell>
          <cell r="N462">
            <v>0</v>
          </cell>
          <cell r="O462">
            <v>83.33</v>
          </cell>
          <cell r="P462">
            <v>101.56</v>
          </cell>
        </row>
        <row r="463">
          <cell r="D463" t="str">
            <v>047105</v>
          </cell>
          <cell r="E463" t="str">
            <v>PAULANER WEISSBIER BOT 330ML</v>
          </cell>
          <cell r="F463">
            <v>7.43</v>
          </cell>
          <cell r="G463">
            <v>7.43</v>
          </cell>
          <cell r="H463">
            <v>7.56</v>
          </cell>
          <cell r="I463">
            <v>7.56</v>
          </cell>
          <cell r="J463" t="str">
            <v>FDL</v>
          </cell>
          <cell r="K463" t="str">
            <v>PAU</v>
          </cell>
          <cell r="L463" t="str">
            <v>PAU</v>
          </cell>
          <cell r="M463">
            <v>0</v>
          </cell>
          <cell r="N463">
            <v>0</v>
          </cell>
          <cell r="O463">
            <v>6.07</v>
          </cell>
          <cell r="P463">
            <v>7.4</v>
          </cell>
        </row>
        <row r="464">
          <cell r="D464" t="str">
            <v>047361</v>
          </cell>
          <cell r="E464" t="str">
            <v>PAULANER NATURTRUB RUBIA BARRIL 5LT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 t="str">
            <v>FDL</v>
          </cell>
          <cell r="K464" t="str">
            <v>PAU</v>
          </cell>
          <cell r="L464" t="str">
            <v>PAU</v>
          </cell>
          <cell r="M464">
            <v>0</v>
          </cell>
          <cell r="N464">
            <v>0</v>
          </cell>
          <cell r="O464">
            <v>18.05</v>
          </cell>
          <cell r="P464">
            <v>92.18</v>
          </cell>
        </row>
        <row r="465">
          <cell r="D465" t="str">
            <v>047355</v>
          </cell>
          <cell r="E465" t="str">
            <v>PAULANER WEISSBIER DUNKEL BOT 500ML X 20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 t="str">
            <v>FDL</v>
          </cell>
          <cell r="K465" t="str">
            <v>PAU</v>
          </cell>
          <cell r="L465" t="str">
            <v>PAU</v>
          </cell>
          <cell r="M465">
            <v>0</v>
          </cell>
          <cell r="N465">
            <v>0</v>
          </cell>
          <cell r="O465">
            <v>0</v>
          </cell>
          <cell r="P465">
            <v>11.26</v>
          </cell>
        </row>
        <row r="466">
          <cell r="D466" t="str">
            <v>047052</v>
          </cell>
          <cell r="E466" t="str">
            <v>PAULANER WEISSBIER LATA X 500</v>
          </cell>
          <cell r="F466">
            <v>8.65</v>
          </cell>
          <cell r="G466">
            <v>8.65</v>
          </cell>
          <cell r="H466">
            <v>8.65</v>
          </cell>
          <cell r="I466">
            <v>8.65</v>
          </cell>
          <cell r="J466" t="str">
            <v>FDL</v>
          </cell>
          <cell r="K466" t="str">
            <v>PAU</v>
          </cell>
          <cell r="L466" t="str">
            <v>PAU</v>
          </cell>
          <cell r="M466">
            <v>0</v>
          </cell>
          <cell r="N466">
            <v>0</v>
          </cell>
          <cell r="O466">
            <v>7.27</v>
          </cell>
          <cell r="P466">
            <v>8.8699999999999992</v>
          </cell>
        </row>
        <row r="467">
          <cell r="D467" t="str">
            <v>7067101</v>
          </cell>
          <cell r="E467" t="str">
            <v>SQ CHILCANO MASCO 275ML</v>
          </cell>
          <cell r="F467">
            <v>4.91</v>
          </cell>
          <cell r="G467">
            <v>4.91</v>
          </cell>
          <cell r="H467">
            <v>5.2</v>
          </cell>
          <cell r="I467">
            <v>5.2</v>
          </cell>
          <cell r="J467" t="str">
            <v>SQL</v>
          </cell>
          <cell r="K467" t="str">
            <v>SQL</v>
          </cell>
          <cell r="L467" t="str">
            <v>SQL</v>
          </cell>
          <cell r="M467">
            <v>0</v>
          </cell>
          <cell r="N467">
            <v>0</v>
          </cell>
          <cell r="O467">
            <v>0</v>
          </cell>
          <cell r="P467">
            <v>5.38</v>
          </cell>
        </row>
        <row r="468">
          <cell r="D468" t="str">
            <v>7067001</v>
          </cell>
          <cell r="E468" t="str">
            <v>SQ CHILCANO LIMON 275ML</v>
          </cell>
          <cell r="F468">
            <v>4.91</v>
          </cell>
          <cell r="G468">
            <v>4.91</v>
          </cell>
          <cell r="H468">
            <v>5.2</v>
          </cell>
          <cell r="I468">
            <v>5.2</v>
          </cell>
          <cell r="J468" t="str">
            <v>SQL</v>
          </cell>
          <cell r="K468" t="str">
            <v>SQL</v>
          </cell>
          <cell r="L468" t="str">
            <v>SQL</v>
          </cell>
          <cell r="M468">
            <v>0</v>
          </cell>
          <cell r="N468">
            <v>0</v>
          </cell>
          <cell r="O468">
            <v>0</v>
          </cell>
          <cell r="P468">
            <v>5.38</v>
          </cell>
        </row>
        <row r="469">
          <cell r="D469" t="str">
            <v>7067201</v>
          </cell>
          <cell r="E469" t="str">
            <v>SANTIAO QUEIROLO SOUR LIMON 700ML X12</v>
          </cell>
          <cell r="F469">
            <v>15.16</v>
          </cell>
          <cell r="G469">
            <v>15.16</v>
          </cell>
          <cell r="H469">
            <v>15.47</v>
          </cell>
          <cell r="I469">
            <v>15.47</v>
          </cell>
          <cell r="J469" t="str">
            <v>SQL</v>
          </cell>
          <cell r="K469" t="str">
            <v>SQL</v>
          </cell>
          <cell r="L469" t="str">
            <v>SQL</v>
          </cell>
          <cell r="M469">
            <v>0</v>
          </cell>
          <cell r="N469">
            <v>0</v>
          </cell>
          <cell r="O469">
            <v>0</v>
          </cell>
          <cell r="P469">
            <v>16.010000000000002</v>
          </cell>
        </row>
        <row r="470">
          <cell r="D470" t="str">
            <v>IMP00129</v>
          </cell>
          <cell r="E470" t="str">
            <v>COWBOY USA OREGON BEEF MASTER 800GR-1.2KG</v>
          </cell>
          <cell r="F470">
            <v>220</v>
          </cell>
          <cell r="G470">
            <v>220</v>
          </cell>
          <cell r="H470">
            <v>220</v>
          </cell>
          <cell r="I470">
            <v>220</v>
          </cell>
          <cell r="J470" t="str">
            <v>PRR</v>
          </cell>
          <cell r="K470" t="str">
            <v>QBF</v>
          </cell>
          <cell r="L470" t="str">
            <v>RES</v>
          </cell>
          <cell r="M470">
            <v>0</v>
          </cell>
          <cell r="N470">
            <v>0</v>
          </cell>
          <cell r="O470">
            <v>159.71</v>
          </cell>
          <cell r="P470">
            <v>229</v>
          </cell>
        </row>
        <row r="471">
          <cell r="D471" t="str">
            <v>IMP00052</v>
          </cell>
          <cell r="E471" t="str">
            <v>TAPA DE CUADRIL USA (PICANHA) X 1.8KG -  2.2KG</v>
          </cell>
          <cell r="F471">
            <v>215</v>
          </cell>
          <cell r="G471">
            <v>215</v>
          </cell>
          <cell r="H471">
            <v>215</v>
          </cell>
          <cell r="I471">
            <v>215</v>
          </cell>
          <cell r="J471" t="str">
            <v>PRR</v>
          </cell>
          <cell r="K471" t="str">
            <v>QBF</v>
          </cell>
          <cell r="L471" t="str">
            <v>RES</v>
          </cell>
          <cell r="M471">
            <v>0</v>
          </cell>
          <cell r="N471">
            <v>0</v>
          </cell>
          <cell r="O471">
            <v>165.45</v>
          </cell>
          <cell r="P471">
            <v>215</v>
          </cell>
        </row>
        <row r="472">
          <cell r="D472" t="str">
            <v>IMP00055</v>
          </cell>
          <cell r="E472" t="str">
            <v>TAPA DE CUADRIL USA (PICANHA) X 1.2KG - 1.4KG</v>
          </cell>
          <cell r="F472">
            <v>142.6</v>
          </cell>
          <cell r="G472">
            <v>142.6</v>
          </cell>
          <cell r="H472">
            <v>142.6</v>
          </cell>
          <cell r="I472">
            <v>142.6</v>
          </cell>
          <cell r="J472" t="str">
            <v>PRR</v>
          </cell>
          <cell r="K472" t="str">
            <v>QBF</v>
          </cell>
          <cell r="L472" t="str">
            <v>RES</v>
          </cell>
          <cell r="M472">
            <v>0</v>
          </cell>
          <cell r="N472">
            <v>0</v>
          </cell>
          <cell r="O472">
            <v>109.7</v>
          </cell>
          <cell r="P472">
            <v>142.6</v>
          </cell>
        </row>
        <row r="473">
          <cell r="D473" t="str">
            <v>IMP00050</v>
          </cell>
          <cell r="E473" t="str">
            <v>TAPA DE CUADRIL USA (PICANHA) X 0.8KG - 1.1KG</v>
          </cell>
          <cell r="F473">
            <v>136.9</v>
          </cell>
          <cell r="G473">
            <v>136.9</v>
          </cell>
          <cell r="H473">
            <v>136.9</v>
          </cell>
          <cell r="I473">
            <v>136.9</v>
          </cell>
          <cell r="J473" t="str">
            <v>PRR</v>
          </cell>
          <cell r="K473" t="str">
            <v>QBF</v>
          </cell>
          <cell r="L473" t="str">
            <v>RES</v>
          </cell>
          <cell r="M473">
            <v>0</v>
          </cell>
          <cell r="N473">
            <v>0</v>
          </cell>
          <cell r="O473">
            <v>105.36</v>
          </cell>
          <cell r="P473">
            <v>136.9</v>
          </cell>
        </row>
        <row r="474">
          <cell r="D474" t="str">
            <v>IMP00057</v>
          </cell>
          <cell r="E474" t="str">
            <v>TOMAHAWH STERLING 1.3 - 1.5 KG</v>
          </cell>
          <cell r="F474">
            <v>329</v>
          </cell>
          <cell r="G474">
            <v>329</v>
          </cell>
          <cell r="H474">
            <v>329</v>
          </cell>
          <cell r="I474">
            <v>329</v>
          </cell>
          <cell r="J474" t="str">
            <v>PRR</v>
          </cell>
          <cell r="K474" t="str">
            <v>QBF</v>
          </cell>
          <cell r="L474" t="str">
            <v>RES</v>
          </cell>
          <cell r="M474">
            <v>0</v>
          </cell>
          <cell r="N474">
            <v>0</v>
          </cell>
          <cell r="O474">
            <v>192.23</v>
          </cell>
          <cell r="P474">
            <v>275</v>
          </cell>
        </row>
        <row r="475">
          <cell r="D475" t="str">
            <v>IMP00051</v>
          </cell>
          <cell r="E475" t="str">
            <v>TAPA DE CUADRIL USA (PICANHA) X 1.5KG - 1.7KG</v>
          </cell>
          <cell r="F475">
            <v>179.5</v>
          </cell>
          <cell r="G475">
            <v>179.5</v>
          </cell>
          <cell r="H475">
            <v>179.5</v>
          </cell>
          <cell r="I475">
            <v>179.5</v>
          </cell>
          <cell r="J475" t="str">
            <v>PRR</v>
          </cell>
          <cell r="K475" t="str">
            <v>QBF</v>
          </cell>
          <cell r="L475" t="str">
            <v>RES</v>
          </cell>
          <cell r="M475">
            <v>0</v>
          </cell>
          <cell r="N475">
            <v>0</v>
          </cell>
          <cell r="O475">
            <v>133.6</v>
          </cell>
          <cell r="P475">
            <v>179.5</v>
          </cell>
        </row>
        <row r="476">
          <cell r="D476" t="str">
            <v>IMP00005</v>
          </cell>
          <cell r="E476" t="str">
            <v>ASADO DE TIRA U.S.A.1UND X 250GR</v>
          </cell>
          <cell r="F476">
            <v>48.5</v>
          </cell>
          <cell r="G476">
            <v>48.5</v>
          </cell>
          <cell r="H476">
            <v>48.5</v>
          </cell>
          <cell r="I476">
            <v>48.5</v>
          </cell>
          <cell r="J476" t="str">
            <v>PRR</v>
          </cell>
          <cell r="K476" t="str">
            <v>QBF</v>
          </cell>
          <cell r="L476" t="str">
            <v>RES</v>
          </cell>
          <cell r="M476">
            <v>0</v>
          </cell>
          <cell r="N476">
            <v>0</v>
          </cell>
          <cell r="O476">
            <v>50</v>
          </cell>
          <cell r="P476">
            <v>48.5</v>
          </cell>
        </row>
        <row r="477">
          <cell r="D477" t="str">
            <v>CRN1196</v>
          </cell>
          <cell r="E477" t="str">
            <v>ENTRAÑA BEEF MASTER 700GR X18</v>
          </cell>
          <cell r="F477">
            <v>115</v>
          </cell>
          <cell r="G477">
            <v>115</v>
          </cell>
          <cell r="H477">
            <v>115</v>
          </cell>
          <cell r="I477">
            <v>115</v>
          </cell>
          <cell r="J477" t="str">
            <v>OFD</v>
          </cell>
          <cell r="K477" t="str">
            <v>OTR</v>
          </cell>
          <cell r="L477" t="str">
            <v>OTR</v>
          </cell>
          <cell r="M477">
            <v>0</v>
          </cell>
          <cell r="N477">
            <v>0</v>
          </cell>
          <cell r="O477">
            <v>0</v>
          </cell>
          <cell r="P477">
            <v>212.9</v>
          </cell>
        </row>
        <row r="478">
          <cell r="D478" t="str">
            <v>0303001</v>
          </cell>
          <cell r="E478" t="str">
            <v>VODKA ABSOLUT 700ML X12</v>
          </cell>
          <cell r="F478">
            <v>40.06</v>
          </cell>
          <cell r="G478">
            <v>40.06</v>
          </cell>
          <cell r="H478">
            <v>40.06</v>
          </cell>
          <cell r="I478">
            <v>40.06</v>
          </cell>
          <cell r="J478" t="str">
            <v>IWA</v>
          </cell>
          <cell r="K478" t="str">
            <v>ABS</v>
          </cell>
          <cell r="L478" t="str">
            <v>VOD</v>
          </cell>
          <cell r="M478">
            <v>0</v>
          </cell>
          <cell r="N478">
            <v>0</v>
          </cell>
          <cell r="O478">
            <v>33</v>
          </cell>
          <cell r="P478">
            <v>50.71</v>
          </cell>
        </row>
        <row r="479">
          <cell r="D479" t="str">
            <v>S0012</v>
          </cell>
          <cell r="E479" t="str">
            <v>VODKA SMIRNOFF TAMARINDO 700ML X 6</v>
          </cell>
          <cell r="F479">
            <v>32.36</v>
          </cell>
          <cell r="G479">
            <v>32.36</v>
          </cell>
          <cell r="H479">
            <v>32.36</v>
          </cell>
          <cell r="I479">
            <v>32.36</v>
          </cell>
          <cell r="J479" t="str">
            <v>IWA</v>
          </cell>
          <cell r="K479" t="str">
            <v>ABS</v>
          </cell>
          <cell r="L479" t="str">
            <v>VOD</v>
          </cell>
          <cell r="M479">
            <v>0</v>
          </cell>
          <cell r="N479">
            <v>0</v>
          </cell>
          <cell r="O479">
            <v>0</v>
          </cell>
          <cell r="P479">
            <v>42.36</v>
          </cell>
        </row>
        <row r="480">
          <cell r="D480" t="str">
            <v>S0010</v>
          </cell>
          <cell r="E480" t="str">
            <v>VODKA SMIRNOFF APPLE 700ML X 6</v>
          </cell>
          <cell r="F480">
            <v>28.21</v>
          </cell>
          <cell r="G480">
            <v>28.21</v>
          </cell>
          <cell r="H480">
            <v>28.77</v>
          </cell>
          <cell r="I480">
            <v>28.77</v>
          </cell>
          <cell r="J480" t="str">
            <v>IWA</v>
          </cell>
          <cell r="K480" t="str">
            <v>ABS</v>
          </cell>
          <cell r="L480" t="str">
            <v>VOD</v>
          </cell>
          <cell r="M480">
            <v>0</v>
          </cell>
          <cell r="N480">
            <v>0</v>
          </cell>
          <cell r="O480">
            <v>26</v>
          </cell>
          <cell r="P480">
            <v>35.71</v>
          </cell>
        </row>
        <row r="481">
          <cell r="D481" t="str">
            <v>S0011</v>
          </cell>
          <cell r="E481" t="str">
            <v>VODKA SMIRNOFF RED 700ML X 12</v>
          </cell>
          <cell r="F481">
            <v>25.76</v>
          </cell>
          <cell r="G481">
            <v>25.76</v>
          </cell>
          <cell r="H481">
            <v>26.28</v>
          </cell>
          <cell r="I481">
            <v>26.28</v>
          </cell>
          <cell r="J481" t="str">
            <v>IWA</v>
          </cell>
          <cell r="K481" t="str">
            <v>ABS</v>
          </cell>
          <cell r="L481" t="str">
            <v>VOD</v>
          </cell>
          <cell r="M481">
            <v>0</v>
          </cell>
          <cell r="N481">
            <v>0</v>
          </cell>
          <cell r="O481">
            <v>21</v>
          </cell>
          <cell r="P481">
            <v>32.86</v>
          </cell>
        </row>
        <row r="482">
          <cell r="D482" t="str">
            <v>40001142</v>
          </cell>
          <cell r="E482" t="str">
            <v>VODKA SKYY  BLUE 750ML X12</v>
          </cell>
          <cell r="F482">
            <v>37.979999999999997</v>
          </cell>
          <cell r="G482">
            <v>37.979999999999997</v>
          </cell>
          <cell r="H482">
            <v>38.74</v>
          </cell>
          <cell r="I482">
            <v>38.74</v>
          </cell>
          <cell r="J482" t="str">
            <v>IWA</v>
          </cell>
          <cell r="K482" t="str">
            <v>ABS</v>
          </cell>
          <cell r="L482" t="str">
            <v>VOD</v>
          </cell>
          <cell r="M482">
            <v>0</v>
          </cell>
          <cell r="N482">
            <v>0</v>
          </cell>
          <cell r="O482">
            <v>35.83</v>
          </cell>
          <cell r="P482">
            <v>49.33</v>
          </cell>
        </row>
        <row r="483">
          <cell r="D483" t="str">
            <v>10964510</v>
          </cell>
          <cell r="E483" t="str">
            <v>RON BOTRAN 5 AÑOS 750ML X 6</v>
          </cell>
          <cell r="F483">
            <v>36.46</v>
          </cell>
          <cell r="G483">
            <v>36.46</v>
          </cell>
          <cell r="H483">
            <v>36.46</v>
          </cell>
          <cell r="I483">
            <v>36.46</v>
          </cell>
          <cell r="J483" t="str">
            <v>RPD</v>
          </cell>
          <cell r="K483" t="str">
            <v>LIC</v>
          </cell>
          <cell r="L483" t="str">
            <v>RON</v>
          </cell>
          <cell r="M483">
            <v>0</v>
          </cell>
          <cell r="N483">
            <v>0</v>
          </cell>
          <cell r="O483">
            <v>36.54</v>
          </cell>
          <cell r="P483">
            <v>40.1</v>
          </cell>
        </row>
        <row r="484">
          <cell r="D484" t="str">
            <v>700407</v>
          </cell>
          <cell r="E484" t="str">
            <v>RON BOTRAN ROAJÚ 700ML X 6</v>
          </cell>
          <cell r="F484">
            <v>167.51</v>
          </cell>
          <cell r="G484">
            <v>167.51</v>
          </cell>
          <cell r="H484">
            <v>167.51</v>
          </cell>
          <cell r="I484">
            <v>167.51</v>
          </cell>
          <cell r="J484" t="str">
            <v>RPD</v>
          </cell>
          <cell r="K484" t="str">
            <v>LIC</v>
          </cell>
          <cell r="L484" t="str">
            <v>RON</v>
          </cell>
          <cell r="M484">
            <v>0</v>
          </cell>
          <cell r="N484">
            <v>0</v>
          </cell>
          <cell r="O484">
            <v>146.38</v>
          </cell>
          <cell r="P484">
            <v>184.26</v>
          </cell>
        </row>
        <row r="485">
          <cell r="D485" t="str">
            <v>10964530</v>
          </cell>
          <cell r="E485" t="str">
            <v>RON BOTRAN  12 AÑOS 750ML X 12</v>
          </cell>
          <cell r="F485">
            <v>65.77</v>
          </cell>
          <cell r="G485">
            <v>65.77</v>
          </cell>
          <cell r="H485">
            <v>65.77</v>
          </cell>
          <cell r="I485">
            <v>65.77</v>
          </cell>
          <cell r="J485" t="str">
            <v>RPD</v>
          </cell>
          <cell r="K485" t="str">
            <v>LIC</v>
          </cell>
          <cell r="L485" t="str">
            <v>RON</v>
          </cell>
          <cell r="M485">
            <v>0</v>
          </cell>
          <cell r="N485">
            <v>0</v>
          </cell>
          <cell r="O485">
            <v>57.9</v>
          </cell>
          <cell r="P485">
            <v>72.349999999999994</v>
          </cell>
        </row>
        <row r="486">
          <cell r="D486" t="str">
            <v>10964540</v>
          </cell>
          <cell r="E486" t="str">
            <v>RON BOTRAN 15 AÑOS 750ML X 6</v>
          </cell>
          <cell r="F486">
            <v>102.11</v>
          </cell>
          <cell r="G486">
            <v>102.11</v>
          </cell>
          <cell r="H486">
            <v>102.11</v>
          </cell>
          <cell r="I486">
            <v>102.11</v>
          </cell>
          <cell r="J486" t="str">
            <v>RPD</v>
          </cell>
          <cell r="K486" t="str">
            <v>LIC</v>
          </cell>
          <cell r="L486" t="str">
            <v>RON</v>
          </cell>
          <cell r="M486">
            <v>0</v>
          </cell>
          <cell r="N486">
            <v>0</v>
          </cell>
          <cell r="O486">
            <v>82.31</v>
          </cell>
          <cell r="P486">
            <v>112.32</v>
          </cell>
        </row>
        <row r="487">
          <cell r="D487" t="str">
            <v>109610</v>
          </cell>
          <cell r="E487" t="str">
            <v>RON BOTRAN COBRE 700ML X 6</v>
          </cell>
          <cell r="F487">
            <v>179.93</v>
          </cell>
          <cell r="G487">
            <v>179.93</v>
          </cell>
          <cell r="H487">
            <v>179.93</v>
          </cell>
          <cell r="I487">
            <v>179.93</v>
          </cell>
          <cell r="J487" t="str">
            <v>RPD</v>
          </cell>
          <cell r="K487" t="str">
            <v>LIC</v>
          </cell>
          <cell r="L487" t="str">
            <v>RON</v>
          </cell>
          <cell r="M487">
            <v>0</v>
          </cell>
          <cell r="N487">
            <v>0</v>
          </cell>
          <cell r="O487">
            <v>152.49</v>
          </cell>
          <cell r="P487">
            <v>197.92</v>
          </cell>
        </row>
        <row r="488">
          <cell r="D488" t="str">
            <v>7000667</v>
          </cell>
          <cell r="E488" t="str">
            <v>RON BOTRAN INFINITO 700ML</v>
          </cell>
          <cell r="F488">
            <v>958.02</v>
          </cell>
          <cell r="G488">
            <v>958.02</v>
          </cell>
          <cell r="H488">
            <v>958.02</v>
          </cell>
          <cell r="I488">
            <v>958.02</v>
          </cell>
          <cell r="J488" t="str">
            <v>RPD</v>
          </cell>
          <cell r="K488" t="str">
            <v>LIC</v>
          </cell>
          <cell r="L488" t="str">
            <v>RON</v>
          </cell>
          <cell r="M488">
            <v>0</v>
          </cell>
          <cell r="N488">
            <v>0</v>
          </cell>
          <cell r="O488">
            <v>0</v>
          </cell>
          <cell r="P488">
            <v>986.76</v>
          </cell>
        </row>
        <row r="489">
          <cell r="D489" t="str">
            <v>10964550</v>
          </cell>
          <cell r="E489" t="str">
            <v>RON BOTRAN 18 AÑOS 750ML X 6</v>
          </cell>
          <cell r="F489">
            <v>149.15</v>
          </cell>
          <cell r="G489">
            <v>149.15</v>
          </cell>
          <cell r="H489">
            <v>149.15</v>
          </cell>
          <cell r="I489">
            <v>149.15</v>
          </cell>
          <cell r="J489" t="str">
            <v>RPD</v>
          </cell>
          <cell r="K489" t="str">
            <v>LIC</v>
          </cell>
          <cell r="L489" t="str">
            <v>RON</v>
          </cell>
          <cell r="M489">
            <v>0</v>
          </cell>
          <cell r="N489">
            <v>0</v>
          </cell>
          <cell r="O489">
            <v>112.82</v>
          </cell>
          <cell r="P489">
            <v>164.07</v>
          </cell>
        </row>
        <row r="490">
          <cell r="D490" t="str">
            <v>7012983</v>
          </cell>
          <cell r="E490" t="str">
            <v>RON BOTRAN RARE BLEND GUATEMALAN 700ML</v>
          </cell>
          <cell r="F490">
            <v>204.98</v>
          </cell>
          <cell r="G490">
            <v>204.98</v>
          </cell>
          <cell r="H490">
            <v>204.98</v>
          </cell>
          <cell r="I490">
            <v>204.98</v>
          </cell>
          <cell r="J490" t="str">
            <v>RPD</v>
          </cell>
          <cell r="K490" t="str">
            <v>LIC</v>
          </cell>
          <cell r="L490" t="str">
            <v>RON</v>
          </cell>
          <cell r="M490">
            <v>0</v>
          </cell>
          <cell r="N490">
            <v>0</v>
          </cell>
          <cell r="O490">
            <v>182.44</v>
          </cell>
          <cell r="P490">
            <v>215.23</v>
          </cell>
        </row>
        <row r="491">
          <cell r="D491" t="str">
            <v>10964520</v>
          </cell>
          <cell r="E491" t="str">
            <v>RON BOTRAN 8 AÑOS X 750ML X12</v>
          </cell>
          <cell r="F491">
            <v>55.28</v>
          </cell>
          <cell r="G491">
            <v>55.28</v>
          </cell>
          <cell r="H491">
            <v>55.28</v>
          </cell>
          <cell r="I491">
            <v>55.28</v>
          </cell>
          <cell r="J491" t="str">
            <v>RPD</v>
          </cell>
          <cell r="K491" t="str">
            <v>LIC</v>
          </cell>
          <cell r="L491" t="str">
            <v>RON</v>
          </cell>
          <cell r="M491">
            <v>0</v>
          </cell>
          <cell r="N491">
            <v>0</v>
          </cell>
          <cell r="O491">
            <v>48.14</v>
          </cell>
          <cell r="P491">
            <v>60.81</v>
          </cell>
        </row>
        <row r="492">
          <cell r="D492" t="str">
            <v>BIO138</v>
          </cell>
          <cell r="E492" t="str">
            <v>PIS. BIONDI ITALIA 500ML X12</v>
          </cell>
          <cell r="F492">
            <v>62.32</v>
          </cell>
          <cell r="G492">
            <v>62.32</v>
          </cell>
          <cell r="H492">
            <v>63.56</v>
          </cell>
          <cell r="I492">
            <v>63.56</v>
          </cell>
          <cell r="J492" t="str">
            <v>KLS</v>
          </cell>
          <cell r="K492" t="str">
            <v>LIC</v>
          </cell>
          <cell r="L492" t="str">
            <v>PIS</v>
          </cell>
          <cell r="M492">
            <v>0</v>
          </cell>
          <cell r="N492">
            <v>0</v>
          </cell>
          <cell r="O492">
            <v>56.4</v>
          </cell>
          <cell r="P492">
            <v>66.739999999999995</v>
          </cell>
        </row>
        <row r="493">
          <cell r="D493" t="str">
            <v>BIO175</v>
          </cell>
          <cell r="E493" t="str">
            <v>P/ BIONDI GRAN COSECHA ACHOL.500ML X12</v>
          </cell>
          <cell r="F493">
            <v>73.099999999999994</v>
          </cell>
          <cell r="G493">
            <v>73.099999999999994</v>
          </cell>
          <cell r="H493">
            <v>74.56</v>
          </cell>
          <cell r="I493">
            <v>74.56</v>
          </cell>
          <cell r="J493" t="str">
            <v>KLS</v>
          </cell>
          <cell r="K493" t="str">
            <v>LIC</v>
          </cell>
          <cell r="L493" t="str">
            <v>PIS</v>
          </cell>
          <cell r="M493">
            <v>0</v>
          </cell>
          <cell r="N493">
            <v>0</v>
          </cell>
          <cell r="O493">
            <v>66.2</v>
          </cell>
          <cell r="P493">
            <v>78.28</v>
          </cell>
        </row>
        <row r="494">
          <cell r="D494" t="str">
            <v>BIO172</v>
          </cell>
          <cell r="E494" t="str">
            <v>PIS.BIONDI ACHOLADO 12MESES 700ML X12</v>
          </cell>
          <cell r="F494">
            <v>48.07</v>
          </cell>
          <cell r="G494">
            <v>48.07</v>
          </cell>
          <cell r="H494">
            <v>49.03</v>
          </cell>
          <cell r="I494">
            <v>49.03</v>
          </cell>
          <cell r="J494" t="str">
            <v>KLS</v>
          </cell>
          <cell r="K494" t="str">
            <v>LIC</v>
          </cell>
          <cell r="L494" t="str">
            <v>PIS</v>
          </cell>
          <cell r="M494">
            <v>0</v>
          </cell>
          <cell r="N494">
            <v>0</v>
          </cell>
          <cell r="O494">
            <v>43.4</v>
          </cell>
          <cell r="P494">
            <v>51.48</v>
          </cell>
        </row>
        <row r="495">
          <cell r="D495" t="str">
            <v>59999</v>
          </cell>
          <cell r="E495" t="str">
            <v>SOL DEL CUSCO TAB CAN/CLA 90GR.DSP 12 X 6</v>
          </cell>
          <cell r="F495">
            <v>25.65</v>
          </cell>
          <cell r="G495">
            <v>25.65</v>
          </cell>
          <cell r="H495">
            <v>26.15</v>
          </cell>
          <cell r="I495">
            <v>26.15</v>
          </cell>
          <cell r="J495" t="str">
            <v>YIC</v>
          </cell>
          <cell r="K495" t="str">
            <v>INC</v>
          </cell>
          <cell r="L495" t="str">
            <v>CHO</v>
          </cell>
          <cell r="M495">
            <v>0</v>
          </cell>
          <cell r="N495">
            <v>0</v>
          </cell>
          <cell r="O495">
            <v>21.21</v>
          </cell>
          <cell r="P495">
            <v>2</v>
          </cell>
        </row>
        <row r="496">
          <cell r="D496" t="str">
            <v>60013</v>
          </cell>
          <cell r="E496" t="str">
            <v>SOL DEL CUSCO INST CHOCOL 90GR 12UN X 4DSP</v>
          </cell>
          <cell r="F496">
            <v>3.15</v>
          </cell>
          <cell r="G496">
            <v>3.15</v>
          </cell>
          <cell r="H496">
            <v>3.25</v>
          </cell>
          <cell r="I496">
            <v>3.25</v>
          </cell>
          <cell r="J496" t="str">
            <v>YIC</v>
          </cell>
          <cell r="K496" t="str">
            <v>INC</v>
          </cell>
          <cell r="L496" t="str">
            <v>CHO</v>
          </cell>
          <cell r="M496">
            <v>0</v>
          </cell>
          <cell r="N496">
            <v>0</v>
          </cell>
          <cell r="O496">
            <v>0</v>
          </cell>
          <cell r="P496">
            <v>3.25</v>
          </cell>
        </row>
        <row r="497">
          <cell r="D497" t="str">
            <v>404893</v>
          </cell>
          <cell r="E497" t="str">
            <v>PEPERONI PQ 500GR SEGO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 t="str">
            <v>SIG</v>
          </cell>
          <cell r="K497" t="str">
            <v>SEG</v>
          </cell>
          <cell r="L497" t="str">
            <v>PEP</v>
          </cell>
          <cell r="M497">
            <v>0</v>
          </cell>
          <cell r="N497">
            <v>0</v>
          </cell>
          <cell r="O497">
            <v>0</v>
          </cell>
          <cell r="P497">
            <v>15.2</v>
          </cell>
        </row>
        <row r="498">
          <cell r="D498" t="str">
            <v>MC000218</v>
          </cell>
          <cell r="E498" t="str">
            <v>VODKA STOLICHNAYA 1LT X12</v>
          </cell>
          <cell r="F498">
            <v>31.78</v>
          </cell>
          <cell r="G498">
            <v>31.78</v>
          </cell>
          <cell r="H498">
            <v>32.47</v>
          </cell>
          <cell r="I498">
            <v>32.47</v>
          </cell>
          <cell r="J498" t="str">
            <v>PRE</v>
          </cell>
          <cell r="K498" t="str">
            <v>VOD</v>
          </cell>
          <cell r="L498" t="str">
            <v>LIC</v>
          </cell>
          <cell r="M498">
            <v>0</v>
          </cell>
          <cell r="N498">
            <v>0</v>
          </cell>
          <cell r="O498">
            <v>0</v>
          </cell>
          <cell r="P498">
            <v>32.47</v>
          </cell>
        </row>
        <row r="499">
          <cell r="D499" t="str">
            <v>3171</v>
          </cell>
          <cell r="E499" t="str">
            <v>VODKA STOLICHNAYA X750ML.  X12</v>
          </cell>
          <cell r="F499">
            <v>32.86</v>
          </cell>
          <cell r="G499">
            <v>32.86</v>
          </cell>
          <cell r="H499">
            <v>33.58</v>
          </cell>
          <cell r="I499">
            <v>33.58</v>
          </cell>
          <cell r="J499" t="str">
            <v>PRE</v>
          </cell>
          <cell r="K499" t="str">
            <v>VOD</v>
          </cell>
          <cell r="L499" t="str">
            <v>LIC</v>
          </cell>
          <cell r="M499">
            <v>0</v>
          </cell>
          <cell r="N499">
            <v>0</v>
          </cell>
          <cell r="O499">
            <v>0</v>
          </cell>
          <cell r="P499">
            <v>33.58</v>
          </cell>
        </row>
        <row r="500">
          <cell r="D500" t="str">
            <v>602032</v>
          </cell>
          <cell r="E500" t="str">
            <v>PANETON SAYON CAJA 750GR X6</v>
          </cell>
          <cell r="F500">
            <v>16.399999999999999</v>
          </cell>
          <cell r="G500">
            <v>16.399999999999999</v>
          </cell>
          <cell r="H500">
            <v>16.850000000000001</v>
          </cell>
          <cell r="I500">
            <v>16.850000000000001</v>
          </cell>
          <cell r="J500" t="str">
            <v>ALI</v>
          </cell>
          <cell r="K500" t="str">
            <v>PAN</v>
          </cell>
          <cell r="L500" t="str">
            <v>CAJ</v>
          </cell>
          <cell r="M500">
            <v>0</v>
          </cell>
          <cell r="N500">
            <v>0</v>
          </cell>
          <cell r="O500">
            <v>15.79</v>
          </cell>
          <cell r="P500">
            <v>16.899999999999999</v>
          </cell>
        </row>
        <row r="501">
          <cell r="D501" t="str">
            <v>8001</v>
          </cell>
          <cell r="E501" t="str">
            <v>HEINEKEN CERVEZA LATA 330GR X24</v>
          </cell>
          <cell r="F501">
            <v>3.23</v>
          </cell>
          <cell r="G501">
            <v>3.23</v>
          </cell>
          <cell r="H501">
            <v>3.23</v>
          </cell>
          <cell r="I501">
            <v>3.23</v>
          </cell>
          <cell r="J501" t="str">
            <v>YIC</v>
          </cell>
          <cell r="K501" t="str">
            <v>HEI</v>
          </cell>
          <cell r="L501" t="str">
            <v>YIC</v>
          </cell>
          <cell r="M501">
            <v>0</v>
          </cell>
          <cell r="N501">
            <v>0</v>
          </cell>
          <cell r="O501">
            <v>3.74</v>
          </cell>
          <cell r="P501">
            <v>3.87</v>
          </cell>
        </row>
        <row r="502">
          <cell r="D502" t="str">
            <v>1519</v>
          </cell>
          <cell r="E502" t="str">
            <v>HEINEKEN BARRIL 5LT X2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 t="str">
            <v>YIC</v>
          </cell>
          <cell r="K502" t="str">
            <v>HEI</v>
          </cell>
          <cell r="L502" t="str">
            <v>YIC</v>
          </cell>
          <cell r="M502">
            <v>0</v>
          </cell>
          <cell r="N502">
            <v>0</v>
          </cell>
          <cell r="O502">
            <v>60.18</v>
          </cell>
          <cell r="P502">
            <v>76.349999999999994</v>
          </cell>
        </row>
        <row r="503">
          <cell r="D503" t="str">
            <v>177915</v>
          </cell>
          <cell r="E503" t="str">
            <v>PIS.FERREYROS PUR.QUEBRANTA 750ML X12</v>
          </cell>
          <cell r="F503">
            <v>75.25</v>
          </cell>
          <cell r="G503">
            <v>75.25</v>
          </cell>
          <cell r="H503">
            <v>77.06</v>
          </cell>
          <cell r="I503">
            <v>77.06</v>
          </cell>
          <cell r="J503" t="str">
            <v>PFA</v>
          </cell>
          <cell r="K503" t="str">
            <v>LIC</v>
          </cell>
          <cell r="L503" t="str">
            <v>PIS</v>
          </cell>
          <cell r="M503">
            <v>0</v>
          </cell>
          <cell r="N503">
            <v>0</v>
          </cell>
          <cell r="O503">
            <v>68.2</v>
          </cell>
          <cell r="P503">
            <v>84.77</v>
          </cell>
        </row>
        <row r="504">
          <cell r="D504" t="str">
            <v>197324</v>
          </cell>
          <cell r="E504" t="str">
            <v>EST.R.V. CALDAS ROBLE BLANCO + SHAKER 750MLXX6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 t="str">
            <v>PFA</v>
          </cell>
          <cell r="K504" t="str">
            <v>LIC</v>
          </cell>
          <cell r="L504" t="str">
            <v>PIS</v>
          </cell>
          <cell r="M504">
            <v>0</v>
          </cell>
          <cell r="N504">
            <v>0</v>
          </cell>
          <cell r="O504">
            <v>0</v>
          </cell>
          <cell r="P504">
            <v>24.03</v>
          </cell>
        </row>
        <row r="505">
          <cell r="D505" t="str">
            <v>177904</v>
          </cell>
          <cell r="E505" t="str">
            <v>PIS.FERREYROS ACHOLADO 750ML X12</v>
          </cell>
          <cell r="F505">
            <v>75.25</v>
          </cell>
          <cell r="G505">
            <v>75.25</v>
          </cell>
          <cell r="H505">
            <v>77.06</v>
          </cell>
          <cell r="I505">
            <v>77.06</v>
          </cell>
          <cell r="J505" t="str">
            <v>PFA</v>
          </cell>
          <cell r="K505" t="str">
            <v>LIC</v>
          </cell>
          <cell r="L505" t="str">
            <v>PIS</v>
          </cell>
          <cell r="M505">
            <v>0</v>
          </cell>
          <cell r="N505">
            <v>0</v>
          </cell>
          <cell r="O505">
            <v>68.2</v>
          </cell>
          <cell r="P505">
            <v>84.77</v>
          </cell>
        </row>
        <row r="506">
          <cell r="D506" t="str">
            <v>404890</v>
          </cell>
          <cell r="E506" t="str">
            <v>CABANOSSI UN 25GR 0.026KG SEGO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 t="str">
            <v>SIG</v>
          </cell>
          <cell r="K506" t="str">
            <v>SEG</v>
          </cell>
          <cell r="L506" t="str">
            <v>HDG</v>
          </cell>
          <cell r="M506">
            <v>0</v>
          </cell>
          <cell r="N506">
            <v>0</v>
          </cell>
          <cell r="O506">
            <v>0</v>
          </cell>
          <cell r="P506">
            <v>1.73</v>
          </cell>
        </row>
        <row r="507">
          <cell r="D507" t="str">
            <v>404866</v>
          </cell>
          <cell r="E507" t="str">
            <v>HOT DOG SALCHIPAPERO ROSADO 920GR SEGO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 t="str">
            <v>SIG</v>
          </cell>
          <cell r="K507" t="str">
            <v>SEG</v>
          </cell>
          <cell r="L507" t="str">
            <v>HDG</v>
          </cell>
          <cell r="M507">
            <v>0</v>
          </cell>
          <cell r="N507">
            <v>0</v>
          </cell>
          <cell r="O507">
            <v>8.91</v>
          </cell>
          <cell r="P507">
            <v>10.29</v>
          </cell>
        </row>
        <row r="508">
          <cell r="D508" t="str">
            <v>403707</v>
          </cell>
          <cell r="E508" t="str">
            <v>HOT DOG ROJO 1KG SEGO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 t="str">
            <v>SIG</v>
          </cell>
          <cell r="K508" t="str">
            <v>SEG</v>
          </cell>
          <cell r="L508" t="str">
            <v>HDG</v>
          </cell>
          <cell r="M508">
            <v>0</v>
          </cell>
          <cell r="N508">
            <v>0</v>
          </cell>
          <cell r="O508">
            <v>7.22</v>
          </cell>
          <cell r="P508">
            <v>9.49</v>
          </cell>
        </row>
        <row r="509">
          <cell r="D509" t="str">
            <v>404297</v>
          </cell>
          <cell r="E509" t="str">
            <v>TOCINO CUL PQ 500GR 20GR 25LJ OK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 t="str">
            <v>SIG</v>
          </cell>
          <cell r="K509" t="str">
            <v>OTK</v>
          </cell>
          <cell r="L509" t="str">
            <v>TCN</v>
          </cell>
          <cell r="M509">
            <v>0</v>
          </cell>
          <cell r="N509">
            <v>0</v>
          </cell>
          <cell r="O509">
            <v>0</v>
          </cell>
          <cell r="P509">
            <v>23.19</v>
          </cell>
        </row>
        <row r="510">
          <cell r="D510" t="str">
            <v>404306</v>
          </cell>
          <cell r="E510" t="str">
            <v xml:space="preserve">CABANOSSI 20GR OK 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 t="str">
            <v>SIG</v>
          </cell>
          <cell r="K510" t="str">
            <v>OTK</v>
          </cell>
          <cell r="L510" t="str">
            <v>TCN</v>
          </cell>
          <cell r="M510">
            <v>0</v>
          </cell>
          <cell r="N510">
            <v>0</v>
          </cell>
          <cell r="O510">
            <v>0</v>
          </cell>
          <cell r="P510">
            <v>2.8</v>
          </cell>
        </row>
        <row r="511">
          <cell r="D511" t="str">
            <v>19360</v>
          </cell>
          <cell r="E511" t="str">
            <v>TOCINO AHUMADO 80GR BDT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 t="str">
            <v>SIG</v>
          </cell>
          <cell r="K511" t="str">
            <v>OTK</v>
          </cell>
          <cell r="L511" t="str">
            <v>TCN</v>
          </cell>
          <cell r="M511">
            <v>0</v>
          </cell>
          <cell r="N511">
            <v>0</v>
          </cell>
          <cell r="O511">
            <v>4.62</v>
          </cell>
          <cell r="P511">
            <v>5.34</v>
          </cell>
        </row>
        <row r="512">
          <cell r="D512" t="str">
            <v>61111</v>
          </cell>
          <cell r="E512" t="str">
            <v xml:space="preserve">C/T FRONT.SWEET SELECTION 750ML X 12  </v>
          </cell>
          <cell r="F512">
            <v>17.88</v>
          </cell>
          <cell r="G512">
            <v>17.88</v>
          </cell>
          <cell r="H512">
            <v>18.059999999999999</v>
          </cell>
          <cell r="I512">
            <v>18.059999999999999</v>
          </cell>
          <cell r="J512" t="str">
            <v>YIC</v>
          </cell>
          <cell r="K512" t="str">
            <v>LIC</v>
          </cell>
          <cell r="L512" t="str">
            <v>FRO</v>
          </cell>
          <cell r="M512">
            <v>0</v>
          </cell>
          <cell r="N512">
            <v>0</v>
          </cell>
          <cell r="O512">
            <v>15.22</v>
          </cell>
          <cell r="P512">
            <v>20.77</v>
          </cell>
        </row>
        <row r="513">
          <cell r="D513" t="str">
            <v>67456</v>
          </cell>
          <cell r="E513" t="str">
            <v>FRONTERA FRUTAL TROPICAL 12X750ML</v>
          </cell>
          <cell r="F513">
            <v>16.18</v>
          </cell>
          <cell r="G513">
            <v>16.18</v>
          </cell>
          <cell r="H513">
            <v>16.350000000000001</v>
          </cell>
          <cell r="I513">
            <v>16.350000000000001</v>
          </cell>
          <cell r="J513" t="str">
            <v>YIC</v>
          </cell>
          <cell r="K513" t="str">
            <v>LIC</v>
          </cell>
          <cell r="L513" t="str">
            <v>FRO</v>
          </cell>
          <cell r="M513">
            <v>0</v>
          </cell>
          <cell r="N513">
            <v>0</v>
          </cell>
          <cell r="O513">
            <v>14.58</v>
          </cell>
          <cell r="P513">
            <v>19.75</v>
          </cell>
        </row>
        <row r="514">
          <cell r="D514" t="str">
            <v>3407</v>
          </cell>
          <cell r="E514" t="str">
            <v>C/T FRONT.CARMENERE 750MLX12</v>
          </cell>
          <cell r="F514">
            <v>17.88</v>
          </cell>
          <cell r="G514">
            <v>17.88</v>
          </cell>
          <cell r="H514">
            <v>18.059999999999999</v>
          </cell>
          <cell r="I514">
            <v>18.059999999999999</v>
          </cell>
          <cell r="J514" t="str">
            <v>YIC</v>
          </cell>
          <cell r="K514" t="str">
            <v>LIC</v>
          </cell>
          <cell r="L514" t="str">
            <v>FRO</v>
          </cell>
          <cell r="M514">
            <v>0</v>
          </cell>
          <cell r="N514">
            <v>0</v>
          </cell>
          <cell r="O514">
            <v>16.600000000000001</v>
          </cell>
          <cell r="P514">
            <v>20.77</v>
          </cell>
        </row>
        <row r="515">
          <cell r="D515" t="str">
            <v>67457</v>
          </cell>
          <cell r="E515" t="str">
            <v xml:space="preserve">FRONTERA FRUTAL TINTO DE VERANO 12 X 750ML </v>
          </cell>
          <cell r="F515">
            <v>16.18</v>
          </cell>
          <cell r="G515">
            <v>16.18</v>
          </cell>
          <cell r="H515">
            <v>16.350000000000001</v>
          </cell>
          <cell r="I515">
            <v>16.350000000000001</v>
          </cell>
          <cell r="J515" t="str">
            <v>YIC</v>
          </cell>
          <cell r="K515" t="str">
            <v>LIC</v>
          </cell>
          <cell r="L515" t="str">
            <v>FRO</v>
          </cell>
          <cell r="M515">
            <v>0</v>
          </cell>
          <cell r="N515">
            <v>0</v>
          </cell>
          <cell r="O515">
            <v>14.58</v>
          </cell>
          <cell r="P515">
            <v>19.75</v>
          </cell>
        </row>
        <row r="516">
          <cell r="D516" t="str">
            <v>0504001</v>
          </cell>
          <cell r="E516" t="str">
            <v>C/T FRONT.CABERNET SAUVIGNON 750ML X12</v>
          </cell>
          <cell r="F516">
            <v>17.88</v>
          </cell>
          <cell r="G516">
            <v>17.88</v>
          </cell>
          <cell r="H516">
            <v>18.059999999999999</v>
          </cell>
          <cell r="I516">
            <v>18.059999999999999</v>
          </cell>
          <cell r="J516" t="str">
            <v>YIC</v>
          </cell>
          <cell r="K516" t="str">
            <v>LIC</v>
          </cell>
          <cell r="L516" t="str">
            <v>FRO</v>
          </cell>
          <cell r="M516">
            <v>0</v>
          </cell>
          <cell r="N516">
            <v>0</v>
          </cell>
          <cell r="O516">
            <v>15.22</v>
          </cell>
          <cell r="P516">
            <v>20.77</v>
          </cell>
        </row>
        <row r="517">
          <cell r="D517" t="str">
            <v>0130</v>
          </cell>
          <cell r="E517" t="str">
            <v>C/T FRONT.SAUVIGNON BLANC.750ML X12</v>
          </cell>
          <cell r="F517">
            <v>17.52</v>
          </cell>
          <cell r="G517">
            <v>17.52</v>
          </cell>
          <cell r="H517">
            <v>17.690000000000001</v>
          </cell>
          <cell r="I517">
            <v>17.690000000000001</v>
          </cell>
          <cell r="J517" t="str">
            <v>YIC</v>
          </cell>
          <cell r="K517" t="str">
            <v>LIC</v>
          </cell>
          <cell r="L517" t="str">
            <v>FRO</v>
          </cell>
          <cell r="M517">
            <v>0</v>
          </cell>
          <cell r="N517">
            <v>0</v>
          </cell>
          <cell r="O517">
            <v>0</v>
          </cell>
          <cell r="P517">
            <v>20.77</v>
          </cell>
        </row>
        <row r="518">
          <cell r="D518" t="str">
            <v>0504036</v>
          </cell>
          <cell r="E518" t="str">
            <v>C/T FRONT.MERLOT 750ML X12</v>
          </cell>
          <cell r="F518">
            <v>17.88</v>
          </cell>
          <cell r="G518">
            <v>17.88</v>
          </cell>
          <cell r="H518">
            <v>18.059999999999999</v>
          </cell>
          <cell r="I518">
            <v>18.059999999999999</v>
          </cell>
          <cell r="J518" t="str">
            <v>YIC</v>
          </cell>
          <cell r="K518" t="str">
            <v>LIC</v>
          </cell>
          <cell r="L518" t="str">
            <v>FRO</v>
          </cell>
          <cell r="M518">
            <v>0</v>
          </cell>
          <cell r="N518">
            <v>0</v>
          </cell>
          <cell r="O518">
            <v>16.18</v>
          </cell>
          <cell r="P518">
            <v>20.77</v>
          </cell>
        </row>
        <row r="519">
          <cell r="D519" t="str">
            <v>67458</v>
          </cell>
          <cell r="E519" t="str">
            <v>FRONTERA FRUTAL PINK  PARADISE 12X750ML</v>
          </cell>
          <cell r="F519">
            <v>16.18</v>
          </cell>
          <cell r="G519">
            <v>16.18</v>
          </cell>
          <cell r="H519">
            <v>16.350000000000001</v>
          </cell>
          <cell r="I519">
            <v>16.350000000000001</v>
          </cell>
          <cell r="J519" t="str">
            <v>YIC</v>
          </cell>
          <cell r="K519" t="str">
            <v>LIC</v>
          </cell>
          <cell r="L519" t="str">
            <v>FRO</v>
          </cell>
          <cell r="M519">
            <v>0</v>
          </cell>
          <cell r="N519">
            <v>0</v>
          </cell>
          <cell r="O519">
            <v>14.58</v>
          </cell>
          <cell r="P519">
            <v>19.75</v>
          </cell>
        </row>
        <row r="520">
          <cell r="D520" t="str">
            <v>51813</v>
          </cell>
          <cell r="E520" t="str">
            <v>C/T FRONT.MALBEC 750ML X12</v>
          </cell>
          <cell r="F520">
            <v>17.88</v>
          </cell>
          <cell r="G520">
            <v>17.88</v>
          </cell>
          <cell r="H520">
            <v>18.059999999999999</v>
          </cell>
          <cell r="I520">
            <v>18.059999999999999</v>
          </cell>
          <cell r="J520" t="str">
            <v>YIC</v>
          </cell>
          <cell r="K520" t="str">
            <v>LIC</v>
          </cell>
          <cell r="L520" t="str">
            <v>FRO</v>
          </cell>
          <cell r="M520">
            <v>0</v>
          </cell>
          <cell r="N520">
            <v>0</v>
          </cell>
          <cell r="O520">
            <v>16.559999999999999</v>
          </cell>
          <cell r="P520">
            <v>20.77</v>
          </cell>
        </row>
        <row r="521">
          <cell r="D521" t="str">
            <v>GIN0462</v>
          </cell>
          <cell r="E521" t="str">
            <v>PK GIN BEEFEATER DRY 700ML+ABSOLUT 375ML</v>
          </cell>
          <cell r="F521">
            <v>67.23</v>
          </cell>
          <cell r="G521">
            <v>67.23</v>
          </cell>
          <cell r="H521">
            <v>68.569999999999993</v>
          </cell>
          <cell r="I521">
            <v>68.569999999999993</v>
          </cell>
          <cell r="J521" t="str">
            <v>IWA</v>
          </cell>
          <cell r="K521" t="str">
            <v>BEE</v>
          </cell>
          <cell r="L521" t="str">
            <v>GIN</v>
          </cell>
          <cell r="M521">
            <v>0</v>
          </cell>
          <cell r="N521">
            <v>0</v>
          </cell>
          <cell r="O521">
            <v>60</v>
          </cell>
          <cell r="P521">
            <v>85.75</v>
          </cell>
        </row>
        <row r="522">
          <cell r="D522" t="str">
            <v>GIN0221</v>
          </cell>
          <cell r="E522" t="str">
            <v>GIN &amp; TONIC TANQUERAY 275MLX4</v>
          </cell>
          <cell r="F522">
            <v>11.17</v>
          </cell>
          <cell r="G522">
            <v>11.17</v>
          </cell>
          <cell r="H522">
            <v>11.17</v>
          </cell>
          <cell r="I522">
            <v>11.17</v>
          </cell>
          <cell r="J522" t="str">
            <v>IWA</v>
          </cell>
          <cell r="K522" t="str">
            <v>BEE</v>
          </cell>
          <cell r="L522" t="str">
            <v>GIN</v>
          </cell>
          <cell r="M522">
            <v>0</v>
          </cell>
          <cell r="N522">
            <v>0</v>
          </cell>
          <cell r="O522">
            <v>10.15</v>
          </cell>
          <cell r="P522">
            <v>11.17</v>
          </cell>
        </row>
        <row r="523">
          <cell r="D523" t="str">
            <v>GIN0036</v>
          </cell>
          <cell r="E523" t="str">
            <v>GIN BEEFEATER LONDON DRY 1LT X12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 t="str">
            <v>IWA</v>
          </cell>
          <cell r="K523" t="str">
            <v>BEE</v>
          </cell>
          <cell r="L523" t="str">
            <v>GIN</v>
          </cell>
          <cell r="M523">
            <v>0</v>
          </cell>
          <cell r="N523">
            <v>0</v>
          </cell>
          <cell r="O523">
            <v>0</v>
          </cell>
          <cell r="P523">
            <v>66.3</v>
          </cell>
        </row>
        <row r="524">
          <cell r="D524" t="str">
            <v>GIN0463</v>
          </cell>
          <cell r="E524" t="str">
            <v>PK GIN BEEFEATER PINK 700ML+ABSOLUT 375ML</v>
          </cell>
          <cell r="F524">
            <v>83.74</v>
          </cell>
          <cell r="G524">
            <v>83.74</v>
          </cell>
          <cell r="H524">
            <v>85.41</v>
          </cell>
          <cell r="I524">
            <v>85.41</v>
          </cell>
          <cell r="J524" t="str">
            <v>IWA</v>
          </cell>
          <cell r="K524" t="str">
            <v>BEE</v>
          </cell>
          <cell r="L524" t="str">
            <v>GIN</v>
          </cell>
          <cell r="M524">
            <v>0</v>
          </cell>
          <cell r="N524">
            <v>0</v>
          </cell>
          <cell r="O524">
            <v>70</v>
          </cell>
          <cell r="P524">
            <v>108.75</v>
          </cell>
        </row>
        <row r="525">
          <cell r="D525" t="str">
            <v>GIN0294</v>
          </cell>
          <cell r="E525" t="str">
            <v>GIN TANQUERAY FLOR DE SEVILLA 700ML+COPA</v>
          </cell>
          <cell r="F525">
            <v>89.86</v>
          </cell>
          <cell r="G525">
            <v>89.86</v>
          </cell>
          <cell r="H525">
            <v>91.66</v>
          </cell>
          <cell r="I525">
            <v>91.66</v>
          </cell>
          <cell r="J525" t="str">
            <v>IWA</v>
          </cell>
          <cell r="K525" t="str">
            <v>BEE</v>
          </cell>
          <cell r="L525" t="str">
            <v>GIN</v>
          </cell>
          <cell r="M525">
            <v>0</v>
          </cell>
          <cell r="N525">
            <v>0</v>
          </cell>
          <cell r="O525">
            <v>81.680000000000007</v>
          </cell>
          <cell r="P525">
            <v>100.82</v>
          </cell>
        </row>
        <row r="526">
          <cell r="D526" t="str">
            <v>GIN0295</v>
          </cell>
          <cell r="E526" t="str">
            <v>GIN TANQUERAY ROYALE 700ML+COPA</v>
          </cell>
          <cell r="F526">
            <v>89.86</v>
          </cell>
          <cell r="G526">
            <v>89.86</v>
          </cell>
          <cell r="H526">
            <v>91.65</v>
          </cell>
          <cell r="I526">
            <v>91.65</v>
          </cell>
          <cell r="J526" t="str">
            <v>IWA</v>
          </cell>
          <cell r="K526" t="str">
            <v>BEE</v>
          </cell>
          <cell r="L526" t="str">
            <v>GIN</v>
          </cell>
          <cell r="M526">
            <v>0</v>
          </cell>
          <cell r="N526">
            <v>0</v>
          </cell>
          <cell r="O526">
            <v>81.680000000000007</v>
          </cell>
          <cell r="P526">
            <v>100.82</v>
          </cell>
        </row>
        <row r="527">
          <cell r="D527" t="str">
            <v>GIN0220</v>
          </cell>
          <cell r="E527" t="str">
            <v>GIN TANQUERAY FLOR DE SEVILLA 700ML</v>
          </cell>
          <cell r="F527">
            <v>92.93</v>
          </cell>
          <cell r="G527">
            <v>92.93</v>
          </cell>
          <cell r="H527">
            <v>94.79</v>
          </cell>
          <cell r="I527">
            <v>94.79</v>
          </cell>
          <cell r="J527" t="str">
            <v>IWA</v>
          </cell>
          <cell r="K527" t="str">
            <v>BEE</v>
          </cell>
          <cell r="L527" t="str">
            <v>GIN</v>
          </cell>
          <cell r="M527">
            <v>0</v>
          </cell>
          <cell r="N527">
            <v>0</v>
          </cell>
          <cell r="O527">
            <v>89</v>
          </cell>
          <cell r="P527">
            <v>125.24</v>
          </cell>
        </row>
        <row r="528">
          <cell r="D528" t="str">
            <v>403001</v>
          </cell>
          <cell r="E528" t="str">
            <v>GIN BEEFEATER LONDON DRY 700ML X12</v>
          </cell>
          <cell r="F528">
            <v>55.77</v>
          </cell>
          <cell r="G528">
            <v>55.77</v>
          </cell>
          <cell r="H528">
            <v>55.77</v>
          </cell>
          <cell r="I528">
            <v>55.77</v>
          </cell>
          <cell r="J528" t="str">
            <v>IWA</v>
          </cell>
          <cell r="K528" t="str">
            <v>BEE</v>
          </cell>
          <cell r="L528" t="str">
            <v>GIN</v>
          </cell>
          <cell r="M528">
            <v>0</v>
          </cell>
          <cell r="N528">
            <v>0</v>
          </cell>
          <cell r="O528">
            <v>49.5</v>
          </cell>
          <cell r="P528">
            <v>71.010000000000005</v>
          </cell>
        </row>
        <row r="529">
          <cell r="D529" t="str">
            <v>GIN0222</v>
          </cell>
          <cell r="E529" t="str">
            <v>GIN TANQUERAY LONDON 750ML X 6</v>
          </cell>
          <cell r="F529">
            <v>78.2</v>
          </cell>
          <cell r="G529">
            <v>78.2</v>
          </cell>
          <cell r="H529">
            <v>79.760000000000005</v>
          </cell>
          <cell r="I529">
            <v>79.760000000000005</v>
          </cell>
          <cell r="J529" t="str">
            <v>IWA</v>
          </cell>
          <cell r="K529" t="str">
            <v>BEE</v>
          </cell>
          <cell r="L529" t="str">
            <v>GIN</v>
          </cell>
          <cell r="M529">
            <v>0</v>
          </cell>
          <cell r="N529">
            <v>0</v>
          </cell>
          <cell r="O529">
            <v>65</v>
          </cell>
          <cell r="P529">
            <v>93.29</v>
          </cell>
        </row>
        <row r="530">
          <cell r="D530" t="str">
            <v>403006</v>
          </cell>
          <cell r="E530" t="str">
            <v>GIN BEEFEATER PINK 700ML X6</v>
          </cell>
          <cell r="F530">
            <v>68.209999999999994</v>
          </cell>
          <cell r="G530">
            <v>68.209999999999994</v>
          </cell>
          <cell r="H530">
            <v>69.569999999999993</v>
          </cell>
          <cell r="I530">
            <v>69.569999999999993</v>
          </cell>
          <cell r="J530" t="str">
            <v>IWA</v>
          </cell>
          <cell r="K530" t="str">
            <v>BEE</v>
          </cell>
          <cell r="L530" t="str">
            <v>GIN</v>
          </cell>
          <cell r="M530">
            <v>0</v>
          </cell>
          <cell r="N530">
            <v>0</v>
          </cell>
          <cell r="O530">
            <v>57.5</v>
          </cell>
          <cell r="P530">
            <v>84.73</v>
          </cell>
        </row>
        <row r="531">
          <cell r="D531" t="str">
            <v>GIN0223</v>
          </cell>
          <cell r="E531" t="str">
            <v>GIN TANQUERAY ROYALE 750ML X 6</v>
          </cell>
          <cell r="F531">
            <v>88.48</v>
          </cell>
          <cell r="G531">
            <v>88.48</v>
          </cell>
          <cell r="H531">
            <v>90.25</v>
          </cell>
          <cell r="I531">
            <v>90.25</v>
          </cell>
          <cell r="J531" t="str">
            <v>IWA</v>
          </cell>
          <cell r="K531" t="str">
            <v>BEE</v>
          </cell>
          <cell r="L531" t="str">
            <v>GIN</v>
          </cell>
          <cell r="M531">
            <v>0</v>
          </cell>
          <cell r="N531">
            <v>0</v>
          </cell>
          <cell r="O531">
            <v>93.5</v>
          </cell>
          <cell r="P531">
            <v>112.86</v>
          </cell>
        </row>
        <row r="532">
          <cell r="D532" t="str">
            <v>GIN0027</v>
          </cell>
          <cell r="E532" t="str">
            <v>GIN BEEFEATER BLOOD ORANGE 700ML X 6</v>
          </cell>
          <cell r="F532">
            <v>68.209999999999994</v>
          </cell>
          <cell r="G532">
            <v>68.209999999999994</v>
          </cell>
          <cell r="H532">
            <v>69.569999999999993</v>
          </cell>
          <cell r="I532">
            <v>69.569999999999993</v>
          </cell>
          <cell r="J532" t="str">
            <v>IWA</v>
          </cell>
          <cell r="K532" t="str">
            <v>BEE</v>
          </cell>
          <cell r="L532" t="str">
            <v>GIN</v>
          </cell>
          <cell r="M532">
            <v>0</v>
          </cell>
          <cell r="N532">
            <v>0</v>
          </cell>
          <cell r="O532">
            <v>73</v>
          </cell>
          <cell r="P532">
            <v>104.68</v>
          </cell>
        </row>
        <row r="533">
          <cell r="D533" t="str">
            <v>VO014</v>
          </cell>
          <cell r="E533" t="str">
            <v>O. VINO F/CAV.CRIAN C/S X750ML X12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 t="str">
            <v>OCU</v>
          </cell>
          <cell r="K533" t="str">
            <v>VIN</v>
          </cell>
          <cell r="L533" t="str">
            <v>CRI</v>
          </cell>
          <cell r="M533">
            <v>0</v>
          </cell>
          <cell r="N533">
            <v>0</v>
          </cell>
          <cell r="O533">
            <v>0</v>
          </cell>
          <cell r="P533">
            <v>36</v>
          </cell>
        </row>
        <row r="534">
          <cell r="D534" t="str">
            <v>628UNI</v>
          </cell>
          <cell r="E534" t="str">
            <v>UNIDAD DE TRIANGULOX32GR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 t="str">
            <v>NES</v>
          </cell>
          <cell r="K534" t="str">
            <v>NEP</v>
          </cell>
          <cell r="L534" t="str">
            <v>GOL</v>
          </cell>
          <cell r="M534">
            <v>0</v>
          </cell>
          <cell r="N534">
            <v>0</v>
          </cell>
          <cell r="O534">
            <v>0</v>
          </cell>
          <cell r="P534">
            <v>1.2</v>
          </cell>
        </row>
        <row r="535">
          <cell r="D535" t="str">
            <v>2689</v>
          </cell>
          <cell r="E535" t="str">
            <v>CH.SUBLIME CLASICO 24X28GR X27</v>
          </cell>
          <cell r="F535">
            <v>31.1</v>
          </cell>
          <cell r="G535">
            <v>31.1</v>
          </cell>
          <cell r="H535">
            <v>31.68</v>
          </cell>
          <cell r="I535">
            <v>31.68</v>
          </cell>
          <cell r="J535" t="str">
            <v>NES</v>
          </cell>
          <cell r="K535" t="str">
            <v>NEP</v>
          </cell>
          <cell r="L535" t="str">
            <v>GOL</v>
          </cell>
          <cell r="M535">
            <v>0</v>
          </cell>
          <cell r="N535">
            <v>0</v>
          </cell>
          <cell r="O535">
            <v>28.23</v>
          </cell>
          <cell r="P535">
            <v>31.1</v>
          </cell>
        </row>
        <row r="536">
          <cell r="D536" t="str">
            <v>1421374</v>
          </cell>
          <cell r="E536" t="str">
            <v>CREMA SELVA DE COCO FRASCO X 280GR</v>
          </cell>
          <cell r="F536">
            <v>9.17</v>
          </cell>
          <cell r="G536">
            <v>9.17</v>
          </cell>
          <cell r="H536">
            <v>9.81</v>
          </cell>
          <cell r="I536">
            <v>9.81</v>
          </cell>
          <cell r="J536" t="str">
            <v>AND</v>
          </cell>
          <cell r="K536" t="str">
            <v>SEL</v>
          </cell>
          <cell r="L536" t="str">
            <v>BEB</v>
          </cell>
          <cell r="M536">
            <v>0</v>
          </cell>
          <cell r="N536">
            <v>0</v>
          </cell>
          <cell r="O536">
            <v>9</v>
          </cell>
          <cell r="P536">
            <v>9.1999999999999993</v>
          </cell>
        </row>
        <row r="537">
          <cell r="D537" t="str">
            <v>SALM001</v>
          </cell>
          <cell r="E537" t="str">
            <v>SALMON TROZOS BOL 500GR X 5 UNI</v>
          </cell>
          <cell r="F537">
            <v>64.900000000000006</v>
          </cell>
          <cell r="G537">
            <v>64.900000000000006</v>
          </cell>
          <cell r="H537">
            <v>64.900000000000006</v>
          </cell>
          <cell r="I537">
            <v>64.900000000000006</v>
          </cell>
          <cell r="J537" t="str">
            <v>PRR</v>
          </cell>
          <cell r="K537" t="str">
            <v>SBR</v>
          </cell>
          <cell r="L537" t="str">
            <v>OTR</v>
          </cell>
          <cell r="M537">
            <v>0</v>
          </cell>
          <cell r="N537">
            <v>0</v>
          </cell>
          <cell r="O537">
            <v>49.9</v>
          </cell>
          <cell r="P537">
            <v>64.900000000000006</v>
          </cell>
        </row>
        <row r="538">
          <cell r="D538" t="str">
            <v>ISM1484</v>
          </cell>
          <cell r="E538" t="str">
            <v>LOA AGUA LIGERADA S/GAS 625ML X15</v>
          </cell>
          <cell r="F538">
            <v>11.62</v>
          </cell>
          <cell r="G538">
            <v>11.62</v>
          </cell>
          <cell r="H538">
            <v>11.86</v>
          </cell>
          <cell r="I538">
            <v>11.86</v>
          </cell>
          <cell r="J538" t="str">
            <v>ISM</v>
          </cell>
          <cell r="K538" t="str">
            <v>AGU</v>
          </cell>
          <cell r="L538" t="str">
            <v>LOA</v>
          </cell>
          <cell r="M538">
            <v>0</v>
          </cell>
          <cell r="N538">
            <v>0</v>
          </cell>
          <cell r="O538">
            <v>10.74</v>
          </cell>
          <cell r="P538">
            <v>12.1</v>
          </cell>
        </row>
        <row r="539">
          <cell r="D539" t="str">
            <v>1032A72</v>
          </cell>
          <cell r="E539" t="str">
            <v>PANETON RICCOS CAJA 850GR X 6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 t="str">
            <v>AND</v>
          </cell>
          <cell r="K539" t="str">
            <v>RIC</v>
          </cell>
          <cell r="L539" t="str">
            <v>PAN</v>
          </cell>
          <cell r="M539">
            <v>0</v>
          </cell>
          <cell r="N539">
            <v>0</v>
          </cell>
          <cell r="O539">
            <v>0</v>
          </cell>
          <cell r="P539">
            <v>19.399999999999999</v>
          </cell>
        </row>
        <row r="540">
          <cell r="D540" t="str">
            <v>1032A71</v>
          </cell>
          <cell r="E540" t="str">
            <v>PANETON RICCOS BOLSA 850GR X 6</v>
          </cell>
          <cell r="F540">
            <v>18</v>
          </cell>
          <cell r="G540">
            <v>18</v>
          </cell>
          <cell r="H540">
            <v>18</v>
          </cell>
          <cell r="I540">
            <v>18</v>
          </cell>
          <cell r="J540" t="str">
            <v>AND</v>
          </cell>
          <cell r="K540" t="str">
            <v>RIC</v>
          </cell>
          <cell r="L540" t="str">
            <v>PAN</v>
          </cell>
          <cell r="M540">
            <v>0</v>
          </cell>
          <cell r="N540">
            <v>0</v>
          </cell>
          <cell r="O540">
            <v>0</v>
          </cell>
          <cell r="P540">
            <v>18</v>
          </cell>
        </row>
        <row r="541">
          <cell r="D541" t="str">
            <v>GF0004</v>
          </cell>
          <cell r="E541" t="str">
            <v>GOLD FUSION LED EXPOSITOR MAGNETICO 750ML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 t="str">
            <v>EXC</v>
          </cell>
          <cell r="K541" t="str">
            <v>FUS</v>
          </cell>
          <cell r="L541" t="str">
            <v>VUL</v>
          </cell>
          <cell r="M541">
            <v>0</v>
          </cell>
          <cell r="N541">
            <v>0</v>
          </cell>
          <cell r="O541">
            <v>0</v>
          </cell>
          <cell r="P541">
            <v>46.52</v>
          </cell>
        </row>
        <row r="542">
          <cell r="D542" t="str">
            <v>GF0003</v>
          </cell>
          <cell r="E542" t="str">
            <v>GOLD FUSION VULCANO 750ML X6</v>
          </cell>
          <cell r="F542">
            <v>41.4</v>
          </cell>
          <cell r="G542">
            <v>41.4</v>
          </cell>
          <cell r="H542">
            <v>42.29</v>
          </cell>
          <cell r="I542">
            <v>42.29</v>
          </cell>
          <cell r="J542" t="str">
            <v>EXC</v>
          </cell>
          <cell r="K542" t="str">
            <v>FUS</v>
          </cell>
          <cell r="L542" t="str">
            <v>VUL</v>
          </cell>
          <cell r="M542">
            <v>0</v>
          </cell>
          <cell r="N542">
            <v>0</v>
          </cell>
          <cell r="O542">
            <v>37</v>
          </cell>
          <cell r="P542">
            <v>46.52</v>
          </cell>
        </row>
        <row r="543">
          <cell r="D543" t="str">
            <v>GF0016</v>
          </cell>
          <cell r="E543" t="str">
            <v>GOLD PREMIUM MANGO 750ML X6</v>
          </cell>
          <cell r="F543">
            <v>41.4</v>
          </cell>
          <cell r="G543">
            <v>41.4</v>
          </cell>
          <cell r="H543">
            <v>42.29</v>
          </cell>
          <cell r="I543">
            <v>42.29</v>
          </cell>
          <cell r="J543" t="str">
            <v>EXC</v>
          </cell>
          <cell r="K543" t="str">
            <v>FUS</v>
          </cell>
          <cell r="L543" t="str">
            <v>VUL</v>
          </cell>
          <cell r="M543">
            <v>0</v>
          </cell>
          <cell r="N543">
            <v>0</v>
          </cell>
          <cell r="O543">
            <v>34.15</v>
          </cell>
          <cell r="P543">
            <v>46.52</v>
          </cell>
        </row>
        <row r="544">
          <cell r="D544" t="str">
            <v>504289</v>
          </cell>
          <cell r="E544" t="str">
            <v>P. PURO V.D  QUEBRANTA 4000ML X 4</v>
          </cell>
          <cell r="F544">
            <v>131.69</v>
          </cell>
          <cell r="G544">
            <v>131.69</v>
          </cell>
          <cell r="H544">
            <v>151.44999999999999</v>
          </cell>
          <cell r="I544">
            <v>151.44999999999999</v>
          </cell>
          <cell r="J544" t="str">
            <v>VDO</v>
          </cell>
          <cell r="K544" t="str">
            <v>PIS</v>
          </cell>
          <cell r="L544" t="str">
            <v>PIS</v>
          </cell>
          <cell r="M544">
            <v>0</v>
          </cell>
          <cell r="N544">
            <v>0</v>
          </cell>
          <cell r="O544">
            <v>0</v>
          </cell>
          <cell r="P544">
            <v>151.44999999999999</v>
          </cell>
        </row>
        <row r="545">
          <cell r="D545" t="str">
            <v>504358</v>
          </cell>
          <cell r="E545" t="str">
            <v>ESTCH ACHOLAD MOS.VER EDICION ESP 500MLX9</v>
          </cell>
          <cell r="F545">
            <v>80.31</v>
          </cell>
          <cell r="G545">
            <v>80.31</v>
          </cell>
          <cell r="H545">
            <v>80.31</v>
          </cell>
          <cell r="I545">
            <v>80.31</v>
          </cell>
          <cell r="J545" t="str">
            <v>VDO</v>
          </cell>
          <cell r="K545" t="str">
            <v>PIS</v>
          </cell>
          <cell r="L545" t="str">
            <v>PIS</v>
          </cell>
          <cell r="M545">
            <v>0</v>
          </cell>
          <cell r="N545">
            <v>0</v>
          </cell>
          <cell r="O545">
            <v>68.06</v>
          </cell>
          <cell r="P545">
            <v>96.37</v>
          </cell>
        </row>
        <row r="546">
          <cell r="D546" t="str">
            <v>506046</v>
          </cell>
          <cell r="E546" t="str">
            <v>P.MOST VERD TORONTEL GOLD 700ML X 12</v>
          </cell>
          <cell r="F546">
            <v>85.49</v>
          </cell>
          <cell r="G546">
            <v>85.49</v>
          </cell>
          <cell r="H546">
            <v>85.49</v>
          </cell>
          <cell r="I546">
            <v>85.49</v>
          </cell>
          <cell r="J546" t="str">
            <v>VDO</v>
          </cell>
          <cell r="K546" t="str">
            <v>PIS</v>
          </cell>
          <cell r="L546" t="str">
            <v>PIS</v>
          </cell>
          <cell r="M546">
            <v>0</v>
          </cell>
          <cell r="N546">
            <v>0</v>
          </cell>
          <cell r="O546">
            <v>0</v>
          </cell>
          <cell r="P546">
            <v>102.59</v>
          </cell>
        </row>
        <row r="547">
          <cell r="D547" t="str">
            <v>506044</v>
          </cell>
          <cell r="E547" t="str">
            <v>P.MOST VERD ACHOLADO GOLD 700ML X 12</v>
          </cell>
          <cell r="F547">
            <v>85.49</v>
          </cell>
          <cell r="G547">
            <v>85.49</v>
          </cell>
          <cell r="H547">
            <v>85.49</v>
          </cell>
          <cell r="I547">
            <v>85.49</v>
          </cell>
          <cell r="J547" t="str">
            <v>VDO</v>
          </cell>
          <cell r="K547" t="str">
            <v>PIS</v>
          </cell>
          <cell r="L547" t="str">
            <v>PIS</v>
          </cell>
          <cell r="M547">
            <v>0</v>
          </cell>
          <cell r="N547">
            <v>0</v>
          </cell>
          <cell r="O547">
            <v>0</v>
          </cell>
          <cell r="P547">
            <v>102.59</v>
          </cell>
        </row>
        <row r="548">
          <cell r="D548" t="str">
            <v>506040</v>
          </cell>
          <cell r="E548" t="str">
            <v>P.PURO TORONTEL SILVER 700ML X 12</v>
          </cell>
          <cell r="F548">
            <v>66.7</v>
          </cell>
          <cell r="G548">
            <v>66.7</v>
          </cell>
          <cell r="H548">
            <v>66.7</v>
          </cell>
          <cell r="I548">
            <v>66.7</v>
          </cell>
          <cell r="J548" t="str">
            <v>VDO</v>
          </cell>
          <cell r="K548" t="str">
            <v>PIS</v>
          </cell>
          <cell r="L548" t="str">
            <v>PIS</v>
          </cell>
          <cell r="M548">
            <v>0</v>
          </cell>
          <cell r="N548">
            <v>0</v>
          </cell>
          <cell r="O548">
            <v>0</v>
          </cell>
          <cell r="P548">
            <v>80.040000000000006</v>
          </cell>
        </row>
        <row r="549">
          <cell r="D549" t="str">
            <v>506222</v>
          </cell>
          <cell r="E549" t="str">
            <v>TASTING BOX MOST VERD(QUE/ACH/ITA) X 150ML</v>
          </cell>
          <cell r="F549">
            <v>59.93</v>
          </cell>
          <cell r="G549">
            <v>59.93</v>
          </cell>
          <cell r="H549">
            <v>59.93</v>
          </cell>
          <cell r="I549">
            <v>59.93</v>
          </cell>
          <cell r="J549" t="str">
            <v>VDO</v>
          </cell>
          <cell r="K549" t="str">
            <v>PIS</v>
          </cell>
          <cell r="L549" t="str">
            <v>PIS</v>
          </cell>
          <cell r="M549">
            <v>0</v>
          </cell>
          <cell r="N549">
            <v>0</v>
          </cell>
          <cell r="O549">
            <v>0</v>
          </cell>
          <cell r="P549">
            <v>71.92</v>
          </cell>
        </row>
        <row r="550">
          <cell r="D550" t="str">
            <v>506041</v>
          </cell>
          <cell r="E550" t="str">
            <v>P.MOST VERD QUEBRANTA GOLD 700ML X 12</v>
          </cell>
          <cell r="F550">
            <v>85.49</v>
          </cell>
          <cell r="G550">
            <v>85.49</v>
          </cell>
          <cell r="H550">
            <v>85.49</v>
          </cell>
          <cell r="I550">
            <v>85.49</v>
          </cell>
          <cell r="J550" t="str">
            <v>VDO</v>
          </cell>
          <cell r="K550" t="str">
            <v>PIS</v>
          </cell>
          <cell r="L550" t="str">
            <v>PIS</v>
          </cell>
          <cell r="M550">
            <v>0</v>
          </cell>
          <cell r="N550">
            <v>0</v>
          </cell>
          <cell r="O550">
            <v>0</v>
          </cell>
          <cell r="P550">
            <v>102.59</v>
          </cell>
        </row>
        <row r="551">
          <cell r="D551" t="str">
            <v>506036</v>
          </cell>
          <cell r="E551" t="str">
            <v>P.PURO ACHOLADO SILVER 2(QUE/ITA/TOR) 700ML X 12</v>
          </cell>
          <cell r="F551">
            <v>66.7</v>
          </cell>
          <cell r="G551">
            <v>66.7</v>
          </cell>
          <cell r="H551">
            <v>66.7</v>
          </cell>
          <cell r="I551">
            <v>66.7</v>
          </cell>
          <cell r="J551" t="str">
            <v>VDO</v>
          </cell>
          <cell r="K551" t="str">
            <v>PIS</v>
          </cell>
          <cell r="L551" t="str">
            <v>PIS</v>
          </cell>
          <cell r="M551">
            <v>0</v>
          </cell>
          <cell r="N551">
            <v>0</v>
          </cell>
          <cell r="O551">
            <v>0</v>
          </cell>
          <cell r="P551">
            <v>80.040000000000006</v>
          </cell>
        </row>
        <row r="552">
          <cell r="D552" t="str">
            <v>506039</v>
          </cell>
          <cell r="E552" t="str">
            <v>P.MOSCATEL SILVER  700ML X 12</v>
          </cell>
          <cell r="F552">
            <v>66.7</v>
          </cell>
          <cell r="G552">
            <v>66.7</v>
          </cell>
          <cell r="H552">
            <v>80.040000000000006</v>
          </cell>
          <cell r="I552">
            <v>80.040000000000006</v>
          </cell>
          <cell r="J552" t="str">
            <v>VDO</v>
          </cell>
          <cell r="K552" t="str">
            <v>PIS</v>
          </cell>
          <cell r="L552" t="str">
            <v>PIS</v>
          </cell>
          <cell r="M552">
            <v>0</v>
          </cell>
          <cell r="N552">
            <v>0</v>
          </cell>
          <cell r="O552">
            <v>103.87</v>
          </cell>
          <cell r="P552">
            <v>80.040000000000006</v>
          </cell>
        </row>
        <row r="553">
          <cell r="D553" t="str">
            <v>506752</v>
          </cell>
          <cell r="E553" t="str">
            <v>P.MOST VERD CHOLADO BLUE 710 ML X 6</v>
          </cell>
          <cell r="F553">
            <v>302.05</v>
          </cell>
          <cell r="G553">
            <v>302.05</v>
          </cell>
          <cell r="H553">
            <v>302.05</v>
          </cell>
          <cell r="I553">
            <v>302.05</v>
          </cell>
          <cell r="J553" t="str">
            <v>VDO</v>
          </cell>
          <cell r="K553" t="str">
            <v>PIS</v>
          </cell>
          <cell r="L553" t="str">
            <v>PIS</v>
          </cell>
          <cell r="M553">
            <v>0</v>
          </cell>
          <cell r="N553">
            <v>0</v>
          </cell>
          <cell r="O553">
            <v>269.68</v>
          </cell>
          <cell r="P553">
            <v>362.46</v>
          </cell>
        </row>
        <row r="554">
          <cell r="D554" t="str">
            <v>506045</v>
          </cell>
          <cell r="E554" t="str">
            <v>P.MOSCATEL GOLD 700ML X 12</v>
          </cell>
          <cell r="F554">
            <v>85.49</v>
          </cell>
          <cell r="G554">
            <v>85.49</v>
          </cell>
          <cell r="H554">
            <v>102.59</v>
          </cell>
          <cell r="I554">
            <v>102.59</v>
          </cell>
          <cell r="J554" t="str">
            <v>VDO</v>
          </cell>
          <cell r="K554" t="str">
            <v>PIS</v>
          </cell>
          <cell r="L554" t="str">
            <v>PIS</v>
          </cell>
          <cell r="M554">
            <v>0</v>
          </cell>
          <cell r="N554">
            <v>0</v>
          </cell>
          <cell r="O554">
            <v>72.45</v>
          </cell>
          <cell r="P554">
            <v>102.59</v>
          </cell>
        </row>
        <row r="555">
          <cell r="D555" t="str">
            <v>506033</v>
          </cell>
          <cell r="E555" t="str">
            <v>P.PURO QUEBRANTA SILVER 700ML X 12</v>
          </cell>
          <cell r="F555">
            <v>66.7</v>
          </cell>
          <cell r="G555">
            <v>66.7</v>
          </cell>
          <cell r="H555">
            <v>66.7</v>
          </cell>
          <cell r="I555">
            <v>66.7</v>
          </cell>
          <cell r="J555" t="str">
            <v>VDO</v>
          </cell>
          <cell r="K555" t="str">
            <v>PIS</v>
          </cell>
          <cell r="L555" t="str">
            <v>PIS</v>
          </cell>
          <cell r="M555">
            <v>0</v>
          </cell>
          <cell r="N555">
            <v>0</v>
          </cell>
          <cell r="O555">
            <v>0</v>
          </cell>
          <cell r="P555">
            <v>80.040000000000006</v>
          </cell>
        </row>
        <row r="556">
          <cell r="D556" t="str">
            <v>5048301</v>
          </cell>
          <cell r="E556" t="str">
            <v>DON SANTIAGO MACERADO PASAS 500ML X6</v>
          </cell>
          <cell r="F556">
            <v>40.47</v>
          </cell>
          <cell r="G556">
            <v>40.47</v>
          </cell>
          <cell r="H556">
            <v>41.28</v>
          </cell>
          <cell r="I556">
            <v>41.28</v>
          </cell>
          <cell r="J556" t="str">
            <v>SQL</v>
          </cell>
          <cell r="K556" t="str">
            <v>SQL</v>
          </cell>
          <cell r="L556" t="str">
            <v>VIN</v>
          </cell>
          <cell r="M556">
            <v>0</v>
          </cell>
          <cell r="N556">
            <v>0</v>
          </cell>
          <cell r="O556">
            <v>36.46</v>
          </cell>
          <cell r="P556">
            <v>42.73</v>
          </cell>
        </row>
        <row r="557">
          <cell r="D557" t="str">
            <v>2024050</v>
          </cell>
          <cell r="E557" t="str">
            <v>PACK LONCHERA VINO BORGOÑA SQL 750ML</v>
          </cell>
          <cell r="F557">
            <v>32.9</v>
          </cell>
          <cell r="G557">
            <v>32.9</v>
          </cell>
          <cell r="H557">
            <v>33.56</v>
          </cell>
          <cell r="I557">
            <v>33.56</v>
          </cell>
          <cell r="J557" t="str">
            <v>SQL</v>
          </cell>
          <cell r="K557" t="str">
            <v>SQL</v>
          </cell>
          <cell r="L557" t="str">
            <v>VIN</v>
          </cell>
          <cell r="M557">
            <v>0</v>
          </cell>
          <cell r="N557">
            <v>0</v>
          </cell>
          <cell r="O557">
            <v>31.04</v>
          </cell>
          <cell r="P557">
            <v>34.74</v>
          </cell>
        </row>
        <row r="558">
          <cell r="D558" t="str">
            <v>2022001</v>
          </cell>
          <cell r="E558" t="str">
            <v>VINO ROSE SQ 750ML</v>
          </cell>
          <cell r="F558">
            <v>12.37</v>
          </cell>
          <cell r="G558">
            <v>12.37</v>
          </cell>
          <cell r="H558">
            <v>12.61</v>
          </cell>
          <cell r="I558">
            <v>12.61</v>
          </cell>
          <cell r="J558" t="str">
            <v>SQL</v>
          </cell>
          <cell r="K558" t="str">
            <v>SQL</v>
          </cell>
          <cell r="L558" t="str">
            <v>VIN</v>
          </cell>
          <cell r="M558">
            <v>0</v>
          </cell>
          <cell r="N558">
            <v>0</v>
          </cell>
          <cell r="O558">
            <v>11.14</v>
          </cell>
          <cell r="P558">
            <v>13.06</v>
          </cell>
        </row>
        <row r="559">
          <cell r="D559" t="str">
            <v>7065002</v>
          </cell>
          <cell r="E559" t="str">
            <v>PIS.INTIPALKA QUEBRANTA 750ML X6</v>
          </cell>
          <cell r="F559">
            <v>31.55</v>
          </cell>
          <cell r="G559">
            <v>31.55</v>
          </cell>
          <cell r="H559">
            <v>32.18</v>
          </cell>
          <cell r="I559">
            <v>32.18</v>
          </cell>
          <cell r="J559" t="str">
            <v>SQL</v>
          </cell>
          <cell r="K559" t="str">
            <v>SQL</v>
          </cell>
          <cell r="L559" t="str">
            <v>VIN</v>
          </cell>
          <cell r="M559">
            <v>0</v>
          </cell>
          <cell r="N559">
            <v>0</v>
          </cell>
          <cell r="O559">
            <v>28.42</v>
          </cell>
          <cell r="P559">
            <v>33.31</v>
          </cell>
        </row>
        <row r="560">
          <cell r="D560" t="str">
            <v>2025001</v>
          </cell>
          <cell r="E560" t="str">
            <v>VINO MAGDALENA SQ S/S 750ML</v>
          </cell>
          <cell r="F560">
            <v>12.37</v>
          </cell>
          <cell r="G560">
            <v>12.37</v>
          </cell>
          <cell r="H560">
            <v>12.62</v>
          </cell>
          <cell r="I560">
            <v>12.62</v>
          </cell>
          <cell r="J560" t="str">
            <v>SQL</v>
          </cell>
          <cell r="K560" t="str">
            <v>SQL</v>
          </cell>
          <cell r="L560" t="str">
            <v>VIN</v>
          </cell>
          <cell r="M560">
            <v>0</v>
          </cell>
          <cell r="N560">
            <v>0</v>
          </cell>
          <cell r="O560">
            <v>0</v>
          </cell>
          <cell r="P560">
            <v>13.06</v>
          </cell>
        </row>
        <row r="561">
          <cell r="D561" t="str">
            <v>2024003</v>
          </cell>
          <cell r="E561" t="str">
            <v>VINO RGRAN BORGOÑA SQ 2LT X6</v>
          </cell>
          <cell r="F561">
            <v>31.98</v>
          </cell>
          <cell r="G561">
            <v>31.98</v>
          </cell>
          <cell r="H561">
            <v>32.619999999999997</v>
          </cell>
          <cell r="I561">
            <v>32.619999999999997</v>
          </cell>
          <cell r="J561" t="str">
            <v>SQL</v>
          </cell>
          <cell r="K561" t="str">
            <v>SQL</v>
          </cell>
          <cell r="L561" t="str">
            <v>VIN</v>
          </cell>
          <cell r="M561">
            <v>0</v>
          </cell>
          <cell r="N561">
            <v>0</v>
          </cell>
          <cell r="O561">
            <v>0</v>
          </cell>
          <cell r="P561">
            <v>33.76</v>
          </cell>
        </row>
        <row r="562">
          <cell r="D562" t="str">
            <v>2022026</v>
          </cell>
          <cell r="E562" t="str">
            <v>VINO ROSE SQ 4.05 LT X 4</v>
          </cell>
          <cell r="F562">
            <v>57</v>
          </cell>
          <cell r="G562">
            <v>57</v>
          </cell>
          <cell r="H562">
            <v>58.14</v>
          </cell>
          <cell r="I562">
            <v>58.14</v>
          </cell>
          <cell r="J562" t="str">
            <v>SQL</v>
          </cell>
          <cell r="K562" t="str">
            <v>SQL</v>
          </cell>
          <cell r="L562" t="str">
            <v>VIN</v>
          </cell>
          <cell r="M562">
            <v>0</v>
          </cell>
          <cell r="N562">
            <v>0</v>
          </cell>
          <cell r="O562">
            <v>0</v>
          </cell>
          <cell r="P562">
            <v>60.18</v>
          </cell>
        </row>
        <row r="563">
          <cell r="D563" t="str">
            <v>7065001</v>
          </cell>
          <cell r="E563" t="str">
            <v>PIS.INTPK QUEBRANTA MOSTO VERD750ML X6</v>
          </cell>
          <cell r="F563">
            <v>69.69</v>
          </cell>
          <cell r="G563">
            <v>69.69</v>
          </cell>
          <cell r="H563">
            <v>71.09</v>
          </cell>
          <cell r="I563">
            <v>71.09</v>
          </cell>
          <cell r="J563" t="str">
            <v>SQL</v>
          </cell>
          <cell r="K563" t="str">
            <v>SQL</v>
          </cell>
          <cell r="L563" t="str">
            <v>VIN</v>
          </cell>
          <cell r="M563">
            <v>0</v>
          </cell>
          <cell r="N563">
            <v>0</v>
          </cell>
          <cell r="O563">
            <v>62.78</v>
          </cell>
          <cell r="P563">
            <v>73.569999999999993</v>
          </cell>
        </row>
        <row r="564">
          <cell r="D564" t="str">
            <v>2022050</v>
          </cell>
          <cell r="E564" t="str">
            <v>PACK LONCHERA VINO ROSE SQL 750ML</v>
          </cell>
          <cell r="F564">
            <v>32.9</v>
          </cell>
          <cell r="G564">
            <v>32.9</v>
          </cell>
          <cell r="H564">
            <v>33.56</v>
          </cell>
          <cell r="I564">
            <v>33.56</v>
          </cell>
          <cell r="J564" t="str">
            <v>SQL</v>
          </cell>
          <cell r="K564" t="str">
            <v>SQL</v>
          </cell>
          <cell r="L564" t="str">
            <v>VIN</v>
          </cell>
          <cell r="M564">
            <v>0</v>
          </cell>
          <cell r="N564">
            <v>0</v>
          </cell>
          <cell r="O564">
            <v>32.35</v>
          </cell>
          <cell r="P564">
            <v>34.74</v>
          </cell>
        </row>
        <row r="565">
          <cell r="D565" t="str">
            <v>2024001</v>
          </cell>
          <cell r="E565" t="str">
            <v>VINO GRAN BORGOÑA SQ750ML</v>
          </cell>
          <cell r="F565">
            <v>12.37</v>
          </cell>
          <cell r="G565">
            <v>12.37</v>
          </cell>
          <cell r="H565">
            <v>12.61</v>
          </cell>
          <cell r="I565">
            <v>12.61</v>
          </cell>
          <cell r="J565" t="str">
            <v>SQL</v>
          </cell>
          <cell r="K565" t="str">
            <v>SQL</v>
          </cell>
          <cell r="L565" t="str">
            <v>VIN</v>
          </cell>
          <cell r="M565">
            <v>0</v>
          </cell>
          <cell r="N565">
            <v>0</v>
          </cell>
          <cell r="O565">
            <v>11.62</v>
          </cell>
          <cell r="P565">
            <v>13.06</v>
          </cell>
        </row>
        <row r="566">
          <cell r="D566" t="str">
            <v>2024030</v>
          </cell>
          <cell r="E566" t="str">
            <v>VINO BORGOÑA EN CAJA 2LTS</v>
          </cell>
          <cell r="F566">
            <v>31.51</v>
          </cell>
          <cell r="G566">
            <v>31.51</v>
          </cell>
          <cell r="H566">
            <v>32.15</v>
          </cell>
          <cell r="I566">
            <v>32.15</v>
          </cell>
          <cell r="J566" t="str">
            <v>SQL</v>
          </cell>
          <cell r="K566" t="str">
            <v>SQL</v>
          </cell>
          <cell r="L566" t="str">
            <v>VIN</v>
          </cell>
          <cell r="M566">
            <v>0</v>
          </cell>
          <cell r="N566">
            <v>0</v>
          </cell>
          <cell r="O566">
            <v>0</v>
          </cell>
          <cell r="P566">
            <v>33.270000000000003</v>
          </cell>
        </row>
        <row r="567">
          <cell r="D567" t="str">
            <v>2027001</v>
          </cell>
          <cell r="E567" t="str">
            <v>BARBERA BORGOÑA COSECHA 125 750ML</v>
          </cell>
          <cell r="F567">
            <v>12.91</v>
          </cell>
          <cell r="G567">
            <v>12.91</v>
          </cell>
          <cell r="H567">
            <v>13.17</v>
          </cell>
          <cell r="I567">
            <v>13.17</v>
          </cell>
          <cell r="J567" t="str">
            <v>SQL</v>
          </cell>
          <cell r="K567" t="str">
            <v>SQL</v>
          </cell>
          <cell r="L567" t="str">
            <v>VIN</v>
          </cell>
          <cell r="M567">
            <v>0</v>
          </cell>
          <cell r="N567">
            <v>0</v>
          </cell>
          <cell r="O567">
            <v>0</v>
          </cell>
          <cell r="P567">
            <v>13.06</v>
          </cell>
        </row>
        <row r="568">
          <cell r="D568" t="str">
            <v>5051001</v>
          </cell>
          <cell r="E568" t="str">
            <v>VINO MASCO DE CIRUELA SQ 750ML</v>
          </cell>
          <cell r="F568">
            <v>24.56</v>
          </cell>
          <cell r="G568">
            <v>24.56</v>
          </cell>
          <cell r="H568">
            <v>25.06</v>
          </cell>
          <cell r="I568">
            <v>25.06</v>
          </cell>
          <cell r="J568" t="str">
            <v>SQL</v>
          </cell>
          <cell r="K568" t="str">
            <v>SQL</v>
          </cell>
          <cell r="L568" t="str">
            <v>VIN</v>
          </cell>
          <cell r="M568">
            <v>0</v>
          </cell>
          <cell r="N568">
            <v>0</v>
          </cell>
          <cell r="O568">
            <v>0</v>
          </cell>
          <cell r="P568">
            <v>25.94</v>
          </cell>
        </row>
        <row r="569">
          <cell r="D569" t="str">
            <v>2023001</v>
          </cell>
          <cell r="E569" t="str">
            <v>VINO MOSCATO SQ 750ML</v>
          </cell>
          <cell r="F569">
            <v>12.37</v>
          </cell>
          <cell r="G569">
            <v>12.37</v>
          </cell>
          <cell r="H569">
            <v>12.61</v>
          </cell>
          <cell r="I569">
            <v>12.61</v>
          </cell>
          <cell r="J569" t="str">
            <v>SQL</v>
          </cell>
          <cell r="K569" t="str">
            <v>SQL</v>
          </cell>
          <cell r="L569" t="str">
            <v>VIN</v>
          </cell>
          <cell r="M569">
            <v>0</v>
          </cell>
          <cell r="N569">
            <v>0</v>
          </cell>
          <cell r="O569">
            <v>11.62</v>
          </cell>
          <cell r="P569">
            <v>13.06</v>
          </cell>
        </row>
        <row r="570">
          <cell r="D570" t="str">
            <v>1104624</v>
          </cell>
          <cell r="E570" t="str">
            <v>INTIPALKA RESERVA CS/SYRAH 750ML</v>
          </cell>
          <cell r="F570">
            <v>35.32</v>
          </cell>
          <cell r="G570">
            <v>35.32</v>
          </cell>
          <cell r="H570">
            <v>36.03</v>
          </cell>
          <cell r="I570">
            <v>36.03</v>
          </cell>
          <cell r="J570" t="str">
            <v>SQL</v>
          </cell>
          <cell r="K570" t="str">
            <v>SQL</v>
          </cell>
          <cell r="L570" t="str">
            <v>VIN</v>
          </cell>
          <cell r="M570">
            <v>0</v>
          </cell>
          <cell r="N570">
            <v>0</v>
          </cell>
          <cell r="O570">
            <v>0</v>
          </cell>
          <cell r="P570">
            <v>36.03</v>
          </cell>
        </row>
        <row r="571">
          <cell r="D571" t="str">
            <v>1104324</v>
          </cell>
          <cell r="E571" t="str">
            <v>INTIPALKA MALBEC 750ML X6</v>
          </cell>
          <cell r="F571">
            <v>25.54</v>
          </cell>
          <cell r="G571">
            <v>25.54</v>
          </cell>
          <cell r="H571">
            <v>26.05</v>
          </cell>
          <cell r="I571">
            <v>26.05</v>
          </cell>
          <cell r="J571" t="str">
            <v>SQL</v>
          </cell>
          <cell r="K571" t="str">
            <v>SQL</v>
          </cell>
          <cell r="L571" t="str">
            <v>VIN</v>
          </cell>
          <cell r="M571">
            <v>0</v>
          </cell>
          <cell r="N571">
            <v>0</v>
          </cell>
          <cell r="O571">
            <v>23.01</v>
          </cell>
          <cell r="P571">
            <v>26.97</v>
          </cell>
        </row>
        <row r="572">
          <cell r="D572" t="str">
            <v>4041001</v>
          </cell>
          <cell r="E572" t="str">
            <v>PISCO SANTIAGO QUEIROLO QUEBRANTA 750ML</v>
          </cell>
          <cell r="F572">
            <v>24.66</v>
          </cell>
          <cell r="G572">
            <v>24.66</v>
          </cell>
          <cell r="H572">
            <v>25.16</v>
          </cell>
          <cell r="I572">
            <v>25.16</v>
          </cell>
          <cell r="J572" t="str">
            <v>SQL</v>
          </cell>
          <cell r="K572" t="str">
            <v>SQL</v>
          </cell>
          <cell r="L572" t="str">
            <v>VIN</v>
          </cell>
          <cell r="M572">
            <v>0</v>
          </cell>
          <cell r="N572">
            <v>0</v>
          </cell>
          <cell r="O572">
            <v>22.46</v>
          </cell>
          <cell r="P572">
            <v>24.99</v>
          </cell>
        </row>
        <row r="573">
          <cell r="D573" t="str">
            <v>24027</v>
          </cell>
          <cell r="E573" t="str">
            <v>VINO GRAN BORGOÑA 375ML X 24 T ROSCA</v>
          </cell>
          <cell r="F573">
            <v>7.45</v>
          </cell>
          <cell r="G573">
            <v>7.45</v>
          </cell>
          <cell r="H573">
            <v>7.6</v>
          </cell>
          <cell r="I573">
            <v>7.6</v>
          </cell>
          <cell r="J573" t="str">
            <v>SQL</v>
          </cell>
          <cell r="K573" t="str">
            <v>SQL</v>
          </cell>
          <cell r="L573" t="str">
            <v>VIN</v>
          </cell>
          <cell r="M573">
            <v>0</v>
          </cell>
          <cell r="N573">
            <v>0</v>
          </cell>
          <cell r="O573">
            <v>6.81</v>
          </cell>
          <cell r="P573">
            <v>7.87</v>
          </cell>
        </row>
        <row r="574">
          <cell r="D574" t="str">
            <v>7065102</v>
          </cell>
          <cell r="E574" t="str">
            <v>PIS.PURO INTIPALKA ITALIA 750ML X6</v>
          </cell>
          <cell r="F574">
            <v>31.55</v>
          </cell>
          <cell r="G574">
            <v>31.55</v>
          </cell>
          <cell r="H574">
            <v>32.18</v>
          </cell>
          <cell r="I574">
            <v>32.18</v>
          </cell>
          <cell r="J574" t="str">
            <v>SQL</v>
          </cell>
          <cell r="K574" t="str">
            <v>SQL</v>
          </cell>
          <cell r="L574" t="str">
            <v>VIN</v>
          </cell>
          <cell r="M574">
            <v>0</v>
          </cell>
          <cell r="N574">
            <v>0</v>
          </cell>
          <cell r="O574">
            <v>28.42</v>
          </cell>
          <cell r="P574">
            <v>33.31</v>
          </cell>
        </row>
        <row r="575">
          <cell r="D575" t="str">
            <v>2022051</v>
          </cell>
          <cell r="E575" t="str">
            <v>PACK LONCHERA MIXTA ROSE/ BORGOÑA</v>
          </cell>
          <cell r="F575">
            <v>32.9</v>
          </cell>
          <cell r="G575">
            <v>32.9</v>
          </cell>
          <cell r="H575">
            <v>33.229999999999997</v>
          </cell>
          <cell r="I575">
            <v>33.229999999999997</v>
          </cell>
          <cell r="J575" t="str">
            <v>SQL</v>
          </cell>
          <cell r="K575" t="str">
            <v>SQL</v>
          </cell>
          <cell r="L575" t="str">
            <v>VIN</v>
          </cell>
          <cell r="M575">
            <v>0</v>
          </cell>
          <cell r="N575">
            <v>0</v>
          </cell>
          <cell r="O575">
            <v>26.28</v>
          </cell>
          <cell r="P575">
            <v>34.4</v>
          </cell>
        </row>
        <row r="576">
          <cell r="D576" t="str">
            <v>4045001</v>
          </cell>
          <cell r="E576" t="str">
            <v>S.Q PISCO ACHOLADO 750ML</v>
          </cell>
          <cell r="F576">
            <v>24.66</v>
          </cell>
          <cell r="G576">
            <v>24.66</v>
          </cell>
          <cell r="H576">
            <v>25.16</v>
          </cell>
          <cell r="I576">
            <v>25.16</v>
          </cell>
          <cell r="J576" t="str">
            <v>SQL</v>
          </cell>
          <cell r="K576" t="str">
            <v>SQL</v>
          </cell>
          <cell r="L576" t="str">
            <v>VIN</v>
          </cell>
          <cell r="M576">
            <v>0</v>
          </cell>
          <cell r="N576">
            <v>0</v>
          </cell>
          <cell r="O576">
            <v>22.12</v>
          </cell>
          <cell r="P576">
            <v>24.99</v>
          </cell>
        </row>
        <row r="577">
          <cell r="D577" t="str">
            <v>5048401</v>
          </cell>
          <cell r="E577" t="str">
            <v>DON SANTIAGO MAC. CIRUELA 500ML X6</v>
          </cell>
          <cell r="F577">
            <v>40.47</v>
          </cell>
          <cell r="G577">
            <v>40.47</v>
          </cell>
          <cell r="H577">
            <v>41.28</v>
          </cell>
          <cell r="I577">
            <v>41.28</v>
          </cell>
          <cell r="J577" t="str">
            <v>SQL</v>
          </cell>
          <cell r="K577" t="str">
            <v>SQL</v>
          </cell>
          <cell r="L577" t="str">
            <v>VIN</v>
          </cell>
          <cell r="M577">
            <v>0</v>
          </cell>
          <cell r="N577">
            <v>0</v>
          </cell>
          <cell r="O577">
            <v>36.46</v>
          </cell>
          <cell r="P577">
            <v>42.73</v>
          </cell>
        </row>
        <row r="578">
          <cell r="D578" t="str">
            <v>2022003</v>
          </cell>
          <cell r="E578" t="str">
            <v>VINO ROSE SQ 2LT X6</v>
          </cell>
          <cell r="F578">
            <v>31.98</v>
          </cell>
          <cell r="G578">
            <v>31.98</v>
          </cell>
          <cell r="H578">
            <v>32.619999999999997</v>
          </cell>
          <cell r="I578">
            <v>32.619999999999997</v>
          </cell>
          <cell r="J578" t="str">
            <v>SQL</v>
          </cell>
          <cell r="K578" t="str">
            <v>SQL</v>
          </cell>
          <cell r="L578" t="str">
            <v>VIN</v>
          </cell>
          <cell r="M578">
            <v>0</v>
          </cell>
          <cell r="N578">
            <v>0</v>
          </cell>
          <cell r="O578">
            <v>0</v>
          </cell>
          <cell r="P578">
            <v>33.76</v>
          </cell>
        </row>
        <row r="579">
          <cell r="D579" t="str">
            <v>7065101</v>
          </cell>
          <cell r="E579" t="str">
            <v>PIS.INTPK ITALIA MOSTO VERD750ML X6</v>
          </cell>
          <cell r="F579">
            <v>69.69</v>
          </cell>
          <cell r="G579">
            <v>69.69</v>
          </cell>
          <cell r="H579">
            <v>71.09</v>
          </cell>
          <cell r="I579">
            <v>71.09</v>
          </cell>
          <cell r="J579" t="str">
            <v>SQL</v>
          </cell>
          <cell r="K579" t="str">
            <v>SQL</v>
          </cell>
          <cell r="L579" t="str">
            <v>VIN</v>
          </cell>
          <cell r="M579">
            <v>0</v>
          </cell>
          <cell r="N579">
            <v>0</v>
          </cell>
          <cell r="O579">
            <v>60.01</v>
          </cell>
          <cell r="P579">
            <v>73.569999999999993</v>
          </cell>
        </row>
        <row r="580">
          <cell r="D580" t="str">
            <v>2022027</v>
          </cell>
          <cell r="E580" t="str">
            <v>VINO ROSÉ EN CAJA 2 LTS</v>
          </cell>
          <cell r="F580">
            <v>31.51</v>
          </cell>
          <cell r="G580">
            <v>31.51</v>
          </cell>
          <cell r="H580">
            <v>32.15</v>
          </cell>
          <cell r="I580">
            <v>32.15</v>
          </cell>
          <cell r="J580" t="str">
            <v>SQL</v>
          </cell>
          <cell r="K580" t="str">
            <v>SQL</v>
          </cell>
          <cell r="L580" t="str">
            <v>VIN</v>
          </cell>
          <cell r="M580">
            <v>0</v>
          </cell>
          <cell r="N580">
            <v>0</v>
          </cell>
          <cell r="O580">
            <v>28.39</v>
          </cell>
          <cell r="P580">
            <v>33.270000000000003</v>
          </cell>
        </row>
        <row r="581">
          <cell r="D581" t="str">
            <v>2025030</v>
          </cell>
          <cell r="E581" t="str">
            <v>VINO MAGDALENA EN CAJA 2 LTS</v>
          </cell>
          <cell r="F581">
            <v>31.51</v>
          </cell>
          <cell r="G581">
            <v>31.51</v>
          </cell>
          <cell r="H581">
            <v>32.15</v>
          </cell>
          <cell r="I581">
            <v>32.15</v>
          </cell>
          <cell r="J581" t="str">
            <v>SQL</v>
          </cell>
          <cell r="K581" t="str">
            <v>SQL</v>
          </cell>
          <cell r="L581" t="str">
            <v>VIN</v>
          </cell>
          <cell r="M581">
            <v>0</v>
          </cell>
          <cell r="N581">
            <v>0</v>
          </cell>
          <cell r="O581">
            <v>0</v>
          </cell>
          <cell r="P581">
            <v>33.270000000000003</v>
          </cell>
        </row>
        <row r="582">
          <cell r="D582" t="str">
            <v>3033001</v>
          </cell>
          <cell r="E582" t="str">
            <v>ESPUMANTE PRIMADO SQ 750ML</v>
          </cell>
          <cell r="F582">
            <v>12.52</v>
          </cell>
          <cell r="G582">
            <v>12.52</v>
          </cell>
          <cell r="H582">
            <v>12.52</v>
          </cell>
          <cell r="I582">
            <v>12.52</v>
          </cell>
          <cell r="J582" t="str">
            <v>SQL</v>
          </cell>
          <cell r="K582" t="str">
            <v>SQL</v>
          </cell>
          <cell r="L582" t="str">
            <v>VIN</v>
          </cell>
          <cell r="M582">
            <v>0</v>
          </cell>
          <cell r="N582">
            <v>0</v>
          </cell>
          <cell r="O582">
            <v>0</v>
          </cell>
          <cell r="P582">
            <v>13.09</v>
          </cell>
        </row>
        <row r="583">
          <cell r="D583" t="str">
            <v>1104824</v>
          </cell>
          <cell r="E583" t="str">
            <v>INTIPALKA RESERVA MALBEC/MERLOT 750ML</v>
          </cell>
          <cell r="F583">
            <v>34.44</v>
          </cell>
          <cell r="G583">
            <v>34.44</v>
          </cell>
          <cell r="H583">
            <v>35.14</v>
          </cell>
          <cell r="I583">
            <v>35.14</v>
          </cell>
          <cell r="J583" t="str">
            <v>SQL</v>
          </cell>
          <cell r="K583" t="str">
            <v>SQL</v>
          </cell>
          <cell r="L583" t="str">
            <v>VIN</v>
          </cell>
          <cell r="M583">
            <v>0</v>
          </cell>
          <cell r="N583">
            <v>0</v>
          </cell>
          <cell r="O583">
            <v>31.82</v>
          </cell>
          <cell r="P583">
            <v>36.369999999999997</v>
          </cell>
        </row>
        <row r="584">
          <cell r="D584" t="str">
            <v>6029001</v>
          </cell>
          <cell r="E584" t="str">
            <v>S.Q.L SANGRIA TINTATPK 1LT X 6</v>
          </cell>
          <cell r="F584">
            <v>10.82</v>
          </cell>
          <cell r="G584">
            <v>10.82</v>
          </cell>
          <cell r="H584">
            <v>11.04</v>
          </cell>
          <cell r="I584">
            <v>11.04</v>
          </cell>
          <cell r="J584" t="str">
            <v>SQL</v>
          </cell>
          <cell r="K584" t="str">
            <v>SQL</v>
          </cell>
          <cell r="L584" t="str">
            <v>VIN</v>
          </cell>
          <cell r="M584">
            <v>0</v>
          </cell>
          <cell r="N584">
            <v>0</v>
          </cell>
          <cell r="O584">
            <v>0</v>
          </cell>
          <cell r="P584">
            <v>11.43</v>
          </cell>
        </row>
        <row r="585">
          <cell r="D585" t="str">
            <v>5048201</v>
          </cell>
          <cell r="E585" t="str">
            <v>DON SANTIAGO MAC.MANDARINA 500ML X6</v>
          </cell>
          <cell r="F585">
            <v>40.47</v>
          </cell>
          <cell r="G585">
            <v>40.47</v>
          </cell>
          <cell r="H585">
            <v>41.28</v>
          </cell>
          <cell r="I585">
            <v>41.28</v>
          </cell>
          <cell r="J585" t="str">
            <v>SQL</v>
          </cell>
          <cell r="K585" t="str">
            <v>SQL</v>
          </cell>
          <cell r="L585" t="str">
            <v>VIN</v>
          </cell>
          <cell r="M585">
            <v>0</v>
          </cell>
          <cell r="N585">
            <v>0</v>
          </cell>
          <cell r="O585">
            <v>36.46</v>
          </cell>
          <cell r="P585">
            <v>42.73</v>
          </cell>
        </row>
        <row r="586">
          <cell r="D586" t="str">
            <v>1018001</v>
          </cell>
          <cell r="E586" t="str">
            <v>VINO MALBEC SQ 750ML X12</v>
          </cell>
          <cell r="F586">
            <v>13.81</v>
          </cell>
          <cell r="G586">
            <v>13.81</v>
          </cell>
          <cell r="H586">
            <v>14.09</v>
          </cell>
          <cell r="I586">
            <v>14.09</v>
          </cell>
          <cell r="J586" t="str">
            <v>SQL</v>
          </cell>
          <cell r="K586" t="str">
            <v>SQL</v>
          </cell>
          <cell r="L586" t="str">
            <v>VIN</v>
          </cell>
          <cell r="M586">
            <v>0</v>
          </cell>
          <cell r="N586">
            <v>0</v>
          </cell>
          <cell r="O586">
            <v>0</v>
          </cell>
          <cell r="P586">
            <v>14.58</v>
          </cell>
        </row>
        <row r="587">
          <cell r="D587" t="str">
            <v>2024026</v>
          </cell>
          <cell r="E587" t="str">
            <v>VINO GRAN BORGOÑA  SQ 4.05 LT X 4</v>
          </cell>
          <cell r="F587">
            <v>57</v>
          </cell>
          <cell r="G587">
            <v>57</v>
          </cell>
          <cell r="H587">
            <v>58.14</v>
          </cell>
          <cell r="I587">
            <v>58.14</v>
          </cell>
          <cell r="J587" t="str">
            <v>SQL</v>
          </cell>
          <cell r="K587" t="str">
            <v>SQL</v>
          </cell>
          <cell r="L587" t="str">
            <v>VIN</v>
          </cell>
          <cell r="M587">
            <v>0</v>
          </cell>
          <cell r="N587">
            <v>0</v>
          </cell>
          <cell r="O587">
            <v>0</v>
          </cell>
          <cell r="P587">
            <v>60.18</v>
          </cell>
        </row>
        <row r="588">
          <cell r="D588" t="str">
            <v>7065202</v>
          </cell>
          <cell r="E588" t="str">
            <v>PIS.INTIPALKA ACHOLADO 750ML X6</v>
          </cell>
          <cell r="F588">
            <v>31.55</v>
          </cell>
          <cell r="G588">
            <v>31.55</v>
          </cell>
          <cell r="H588">
            <v>32.18</v>
          </cell>
          <cell r="I588">
            <v>32.18</v>
          </cell>
          <cell r="J588" t="str">
            <v>SQL</v>
          </cell>
          <cell r="K588" t="str">
            <v>SQL</v>
          </cell>
          <cell r="L588" t="str">
            <v>VIN</v>
          </cell>
          <cell r="M588">
            <v>0</v>
          </cell>
          <cell r="N588">
            <v>0</v>
          </cell>
          <cell r="O588">
            <v>28.42</v>
          </cell>
          <cell r="P588">
            <v>33.31</v>
          </cell>
        </row>
        <row r="589">
          <cell r="D589" t="str">
            <v>22031</v>
          </cell>
          <cell r="E589" t="str">
            <v>VINO ROSE  375ML X 24 T ROSCA</v>
          </cell>
          <cell r="F589">
            <v>7.45</v>
          </cell>
          <cell r="G589">
            <v>7.45</v>
          </cell>
          <cell r="H589">
            <v>7.6</v>
          </cell>
          <cell r="I589">
            <v>7.6</v>
          </cell>
          <cell r="J589" t="str">
            <v>SQL</v>
          </cell>
          <cell r="K589" t="str">
            <v>SQL</v>
          </cell>
          <cell r="L589" t="str">
            <v>VIN</v>
          </cell>
          <cell r="M589">
            <v>0</v>
          </cell>
          <cell r="N589">
            <v>0</v>
          </cell>
          <cell r="O589">
            <v>6.81</v>
          </cell>
          <cell r="P589">
            <v>7.87</v>
          </cell>
        </row>
        <row r="590">
          <cell r="D590" t="str">
            <v>04301</v>
          </cell>
          <cell r="E590" t="str">
            <v>INTIPALKA MALBEC 375 ML X 12</v>
          </cell>
          <cell r="F590">
            <v>14.05</v>
          </cell>
          <cell r="G590">
            <v>14.05</v>
          </cell>
          <cell r="H590">
            <v>14.34</v>
          </cell>
          <cell r="I590">
            <v>14.34</v>
          </cell>
          <cell r="J590" t="str">
            <v>SQL</v>
          </cell>
          <cell r="K590" t="str">
            <v>SQL</v>
          </cell>
          <cell r="L590" t="str">
            <v>VIN</v>
          </cell>
          <cell r="M590">
            <v>0</v>
          </cell>
          <cell r="N590">
            <v>0</v>
          </cell>
          <cell r="O590">
            <v>0</v>
          </cell>
          <cell r="P590">
            <v>14.84</v>
          </cell>
        </row>
        <row r="591">
          <cell r="D591" t="str">
            <v>7065201</v>
          </cell>
          <cell r="E591" t="str">
            <v>PIS.INTPK ACHOLADO MOSTO VERD750ML X6</v>
          </cell>
          <cell r="F591">
            <v>69.69</v>
          </cell>
          <cell r="G591">
            <v>69.69</v>
          </cell>
          <cell r="H591">
            <v>71.09</v>
          </cell>
          <cell r="I591">
            <v>71.09</v>
          </cell>
          <cell r="J591" t="str">
            <v>SQL</v>
          </cell>
          <cell r="K591" t="str">
            <v>SQL</v>
          </cell>
          <cell r="L591" t="str">
            <v>VIN</v>
          </cell>
          <cell r="M591">
            <v>0</v>
          </cell>
          <cell r="N591">
            <v>0</v>
          </cell>
          <cell r="O591">
            <v>60.01</v>
          </cell>
          <cell r="P591">
            <v>73.569999999999993</v>
          </cell>
        </row>
        <row r="592">
          <cell r="D592" t="str">
            <v>MC00434</v>
          </cell>
          <cell r="E592" t="str">
            <v>WHIS.JACK DANIELS APPLE  750ML X12</v>
          </cell>
          <cell r="F592">
            <v>83.93</v>
          </cell>
          <cell r="G592">
            <v>83.93</v>
          </cell>
          <cell r="H592">
            <v>85.61</v>
          </cell>
          <cell r="I592">
            <v>85.61</v>
          </cell>
          <cell r="J592" t="str">
            <v>PRE</v>
          </cell>
          <cell r="K592" t="str">
            <v>WHI</v>
          </cell>
          <cell r="L592" t="str">
            <v>JCK</v>
          </cell>
          <cell r="M592">
            <v>0</v>
          </cell>
          <cell r="N592">
            <v>0</v>
          </cell>
          <cell r="O592">
            <v>82.88</v>
          </cell>
          <cell r="P592">
            <v>94.17</v>
          </cell>
        </row>
        <row r="593">
          <cell r="D593" t="str">
            <v>115013</v>
          </cell>
          <cell r="E593" t="str">
            <v>WHIS.JACK DANIELS HONEY 750ML X12</v>
          </cell>
          <cell r="F593">
            <v>88.03</v>
          </cell>
          <cell r="G593">
            <v>88.03</v>
          </cell>
          <cell r="H593">
            <v>89.79</v>
          </cell>
          <cell r="I593">
            <v>89.79</v>
          </cell>
          <cell r="J593" t="str">
            <v>PRE</v>
          </cell>
          <cell r="K593" t="str">
            <v>WHI</v>
          </cell>
          <cell r="L593" t="str">
            <v>JCK</v>
          </cell>
          <cell r="M593">
            <v>0</v>
          </cell>
          <cell r="N593">
            <v>0</v>
          </cell>
          <cell r="O593">
            <v>82.88</v>
          </cell>
          <cell r="P593">
            <v>94.17</v>
          </cell>
        </row>
        <row r="594">
          <cell r="D594" t="str">
            <v>MC000204</v>
          </cell>
          <cell r="E594" t="str">
            <v>WHIS.GENTLE.JACK.TENNESSEE 750ML X12</v>
          </cell>
          <cell r="F594">
            <v>166.32</v>
          </cell>
          <cell r="G594">
            <v>166.32</v>
          </cell>
          <cell r="H594">
            <v>169.64</v>
          </cell>
          <cell r="I594">
            <v>169.64</v>
          </cell>
          <cell r="J594" t="str">
            <v>PRE</v>
          </cell>
          <cell r="K594" t="str">
            <v>WHI</v>
          </cell>
          <cell r="L594" t="str">
            <v>JCK</v>
          </cell>
          <cell r="M594">
            <v>0</v>
          </cell>
          <cell r="N594">
            <v>0</v>
          </cell>
          <cell r="O594">
            <v>150.99</v>
          </cell>
          <cell r="P594">
            <v>161.75</v>
          </cell>
        </row>
        <row r="595">
          <cell r="D595" t="str">
            <v>MC000213</v>
          </cell>
          <cell r="E595" t="str">
            <v>WHISKY JACK DANIELS SINATRA 1LTX6</v>
          </cell>
          <cell r="F595">
            <v>672.35</v>
          </cell>
          <cell r="G595">
            <v>672.35</v>
          </cell>
          <cell r="H595">
            <v>685.79</v>
          </cell>
          <cell r="I595">
            <v>685.79</v>
          </cell>
          <cell r="J595" t="str">
            <v>PRE</v>
          </cell>
          <cell r="K595" t="str">
            <v>WHI</v>
          </cell>
          <cell r="L595" t="str">
            <v>JCK</v>
          </cell>
          <cell r="M595">
            <v>0</v>
          </cell>
          <cell r="N595">
            <v>0</v>
          </cell>
          <cell r="O595">
            <v>0</v>
          </cell>
          <cell r="P595">
            <v>754.37</v>
          </cell>
        </row>
        <row r="596">
          <cell r="D596" t="str">
            <v>115013C</v>
          </cell>
          <cell r="E596" t="str">
            <v>WHIS.JACK DANIELS HONEY 750ML X12 C/CAJA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 t="str">
            <v>PRE</v>
          </cell>
          <cell r="K596" t="str">
            <v>WHI</v>
          </cell>
          <cell r="L596" t="str">
            <v>JCK</v>
          </cell>
          <cell r="M596">
            <v>0</v>
          </cell>
          <cell r="N596">
            <v>0</v>
          </cell>
          <cell r="O596">
            <v>0</v>
          </cell>
          <cell r="P596">
            <v>89.04</v>
          </cell>
        </row>
        <row r="597">
          <cell r="D597" t="str">
            <v>PC0257</v>
          </cell>
          <cell r="E597" t="str">
            <v>P-JACK DANIELS APPLE 750ML+COPA VERDE</v>
          </cell>
          <cell r="F597">
            <v>86.95</v>
          </cell>
          <cell r="G597">
            <v>86.95</v>
          </cell>
          <cell r="H597">
            <v>88.69</v>
          </cell>
          <cell r="I597">
            <v>88.69</v>
          </cell>
          <cell r="J597" t="str">
            <v>PRE</v>
          </cell>
          <cell r="K597" t="str">
            <v>WHI</v>
          </cell>
          <cell r="L597" t="str">
            <v>JCK</v>
          </cell>
          <cell r="M597">
            <v>0</v>
          </cell>
          <cell r="N597">
            <v>0</v>
          </cell>
          <cell r="O597">
            <v>82.88</v>
          </cell>
          <cell r="P597">
            <v>93.12</v>
          </cell>
        </row>
        <row r="598">
          <cell r="D598" t="str">
            <v>0115002</v>
          </cell>
          <cell r="E598" t="str">
            <v>WHIS.JACK DANIELS 750ML X12</v>
          </cell>
          <cell r="F598">
            <v>88.03</v>
          </cell>
          <cell r="G598">
            <v>88.03</v>
          </cell>
          <cell r="H598">
            <v>89.79</v>
          </cell>
          <cell r="I598">
            <v>89.79</v>
          </cell>
          <cell r="J598" t="str">
            <v>PRE</v>
          </cell>
          <cell r="K598" t="str">
            <v>WHI</v>
          </cell>
          <cell r="L598" t="str">
            <v>JCK</v>
          </cell>
          <cell r="M598">
            <v>0</v>
          </cell>
          <cell r="N598">
            <v>0</v>
          </cell>
          <cell r="O598">
            <v>82.88</v>
          </cell>
          <cell r="P598">
            <v>94.17</v>
          </cell>
        </row>
        <row r="599">
          <cell r="D599" t="str">
            <v>MC000197</v>
          </cell>
          <cell r="E599" t="str">
            <v>WHIS.JACK DANIELS 150ANV.SS 750ML X12</v>
          </cell>
          <cell r="F599">
            <v>140.62</v>
          </cell>
          <cell r="G599">
            <v>140.62</v>
          </cell>
          <cell r="H599">
            <v>143.43</v>
          </cell>
          <cell r="I599">
            <v>143.43</v>
          </cell>
          <cell r="J599" t="str">
            <v>PRE</v>
          </cell>
          <cell r="K599" t="str">
            <v>WHI</v>
          </cell>
          <cell r="L599" t="str">
            <v>JCK</v>
          </cell>
          <cell r="M599">
            <v>0</v>
          </cell>
          <cell r="N599">
            <v>0</v>
          </cell>
          <cell r="O599">
            <v>122.07</v>
          </cell>
          <cell r="P599">
            <v>157.78</v>
          </cell>
        </row>
        <row r="600">
          <cell r="D600" t="str">
            <v>MC000369</v>
          </cell>
          <cell r="E600" t="str">
            <v>WHIS.JACK DANIELS FIRE 750ML</v>
          </cell>
          <cell r="F600">
            <v>88.03</v>
          </cell>
          <cell r="G600">
            <v>88.03</v>
          </cell>
          <cell r="H600">
            <v>89.79</v>
          </cell>
          <cell r="I600">
            <v>89.79</v>
          </cell>
          <cell r="J600" t="str">
            <v>PRE</v>
          </cell>
          <cell r="K600" t="str">
            <v>WHI</v>
          </cell>
          <cell r="L600" t="str">
            <v>JCK</v>
          </cell>
          <cell r="M600">
            <v>0</v>
          </cell>
          <cell r="N600">
            <v>0</v>
          </cell>
          <cell r="O600">
            <v>82.88</v>
          </cell>
          <cell r="P600">
            <v>94.17</v>
          </cell>
        </row>
        <row r="601">
          <cell r="D601" t="str">
            <v>MC000196</v>
          </cell>
          <cell r="E601" t="str">
            <v>MINI.WHIS.JACK DANIELS 50ML X10</v>
          </cell>
          <cell r="F601">
            <v>11.05</v>
          </cell>
          <cell r="G601">
            <v>11.05</v>
          </cell>
          <cell r="H601">
            <v>11.28</v>
          </cell>
          <cell r="I601">
            <v>11.28</v>
          </cell>
          <cell r="J601" t="str">
            <v>PRE</v>
          </cell>
          <cell r="K601" t="str">
            <v>WHI</v>
          </cell>
          <cell r="L601" t="str">
            <v>JCK</v>
          </cell>
          <cell r="M601">
            <v>0</v>
          </cell>
          <cell r="N601">
            <v>0</v>
          </cell>
          <cell r="O601">
            <v>9.07</v>
          </cell>
          <cell r="P601">
            <v>11.58</v>
          </cell>
        </row>
        <row r="602">
          <cell r="D602" t="str">
            <v>MC000205</v>
          </cell>
          <cell r="E602" t="str">
            <v>WHIS.JACK DANIELS SINGLE BARREL 750ML X6</v>
          </cell>
          <cell r="F602">
            <v>190.85</v>
          </cell>
          <cell r="G602">
            <v>190.85</v>
          </cell>
          <cell r="H602">
            <v>194.67</v>
          </cell>
          <cell r="I602">
            <v>194.67</v>
          </cell>
          <cell r="J602" t="str">
            <v>PRE</v>
          </cell>
          <cell r="K602" t="str">
            <v>WHI</v>
          </cell>
          <cell r="L602" t="str">
            <v>JCK</v>
          </cell>
          <cell r="M602">
            <v>0</v>
          </cell>
          <cell r="N602">
            <v>0</v>
          </cell>
          <cell r="O602">
            <v>165.75</v>
          </cell>
          <cell r="P602">
            <v>282.44</v>
          </cell>
        </row>
        <row r="603">
          <cell r="D603" t="str">
            <v>197323</v>
          </cell>
          <cell r="E603" t="str">
            <v>ESTUCHE R VIEJO CALDAS 5 AÑOS + SHAKER X 750ML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 t="str">
            <v>PFA</v>
          </cell>
          <cell r="K603" t="str">
            <v>OTR</v>
          </cell>
          <cell r="L603" t="str">
            <v>OTR</v>
          </cell>
          <cell r="M603">
            <v>0</v>
          </cell>
          <cell r="N603">
            <v>0</v>
          </cell>
          <cell r="O603">
            <v>27</v>
          </cell>
          <cell r="P603">
            <v>29.69</v>
          </cell>
        </row>
        <row r="604">
          <cell r="D604" t="str">
            <v>197325</v>
          </cell>
          <cell r="E604" t="str">
            <v>ESTUCHE R.VIEJÓ CALDAS  8 AÑOS + VASO X750ML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 t="str">
            <v>PFA</v>
          </cell>
          <cell r="K604" t="str">
            <v>OTR</v>
          </cell>
          <cell r="L604" t="str">
            <v>OTR</v>
          </cell>
          <cell r="M604">
            <v>0</v>
          </cell>
          <cell r="N604">
            <v>0</v>
          </cell>
          <cell r="O604">
            <v>37.82</v>
          </cell>
          <cell r="P604">
            <v>46.02</v>
          </cell>
        </row>
        <row r="605">
          <cell r="D605" t="str">
            <v>197315</v>
          </cell>
          <cell r="E605" t="str">
            <v>RON VIEJO DE CALDAS GRAN RVA ESP. 750ML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 t="str">
            <v>PFA</v>
          </cell>
          <cell r="K605" t="str">
            <v>OTR</v>
          </cell>
          <cell r="L605" t="str">
            <v>OTR</v>
          </cell>
          <cell r="M605">
            <v>0</v>
          </cell>
          <cell r="N605">
            <v>0</v>
          </cell>
          <cell r="O605">
            <v>21.19</v>
          </cell>
          <cell r="P605">
            <v>109.78</v>
          </cell>
        </row>
        <row r="606">
          <cell r="D606" t="str">
            <v>160109</v>
          </cell>
          <cell r="E606" t="str">
            <v>AGUA ANDEA SIN GAS 600MLX12</v>
          </cell>
          <cell r="F606">
            <v>1.52</v>
          </cell>
          <cell r="G606">
            <v>1.52</v>
          </cell>
          <cell r="H606">
            <v>1.55</v>
          </cell>
          <cell r="I606">
            <v>1.55</v>
          </cell>
          <cell r="J606" t="str">
            <v>PFA</v>
          </cell>
          <cell r="K606" t="str">
            <v>OTR</v>
          </cell>
          <cell r="L606" t="str">
            <v>OTR</v>
          </cell>
          <cell r="M606">
            <v>0</v>
          </cell>
          <cell r="N606">
            <v>0</v>
          </cell>
          <cell r="O606">
            <v>0</v>
          </cell>
          <cell r="P606">
            <v>1.66</v>
          </cell>
        </row>
        <row r="607">
          <cell r="D607" t="str">
            <v>160110</v>
          </cell>
          <cell r="E607" t="str">
            <v>AGUA ANDEA CON GAS 330MLX12</v>
          </cell>
          <cell r="F607">
            <v>3.83</v>
          </cell>
          <cell r="G607">
            <v>3.83</v>
          </cell>
          <cell r="H607">
            <v>3.95</v>
          </cell>
          <cell r="I607">
            <v>3.95</v>
          </cell>
          <cell r="J607" t="str">
            <v>PFA</v>
          </cell>
          <cell r="K607" t="str">
            <v>OTR</v>
          </cell>
          <cell r="L607" t="str">
            <v>OTR</v>
          </cell>
          <cell r="M607">
            <v>0</v>
          </cell>
          <cell r="N607">
            <v>0</v>
          </cell>
          <cell r="O607">
            <v>2.96</v>
          </cell>
          <cell r="P607">
            <v>3.95</v>
          </cell>
        </row>
        <row r="608">
          <cell r="D608" t="str">
            <v>V0160</v>
          </cell>
          <cell r="E608" t="str">
            <v>TEQUILA JIMADOR BLANCOX750ML X12</v>
          </cell>
          <cell r="F608">
            <v>67.95</v>
          </cell>
          <cell r="G608">
            <v>67.95</v>
          </cell>
          <cell r="H608">
            <v>69.31</v>
          </cell>
          <cell r="I608">
            <v>69.31</v>
          </cell>
          <cell r="J608" t="str">
            <v>PRE</v>
          </cell>
          <cell r="K608" t="str">
            <v>TEQ</v>
          </cell>
          <cell r="L608" t="str">
            <v>OTR</v>
          </cell>
          <cell r="M608">
            <v>0</v>
          </cell>
          <cell r="N608">
            <v>0</v>
          </cell>
          <cell r="O608">
            <v>67.19</v>
          </cell>
          <cell r="P608">
            <v>75.59</v>
          </cell>
        </row>
        <row r="609">
          <cell r="D609" t="str">
            <v>MC000215</v>
          </cell>
          <cell r="E609" t="str">
            <v>TEQUILA HERRADURA REPOSADO 750ML</v>
          </cell>
          <cell r="F609">
            <v>149.02000000000001</v>
          </cell>
          <cell r="G609">
            <v>149.02000000000001</v>
          </cell>
          <cell r="H609">
            <v>152.01</v>
          </cell>
          <cell r="I609">
            <v>152.01</v>
          </cell>
          <cell r="J609" t="str">
            <v>PRE</v>
          </cell>
          <cell r="K609" t="str">
            <v>TEQ</v>
          </cell>
          <cell r="L609" t="str">
            <v>OTR</v>
          </cell>
          <cell r="M609">
            <v>0</v>
          </cell>
          <cell r="N609">
            <v>0</v>
          </cell>
          <cell r="O609">
            <v>143.29</v>
          </cell>
          <cell r="P609">
            <v>156.47</v>
          </cell>
        </row>
        <row r="610">
          <cell r="D610" t="str">
            <v>V0161</v>
          </cell>
          <cell r="E610" t="str">
            <v>TEQUILA JIMADOR REPOSADOX750ML X12</v>
          </cell>
          <cell r="F610">
            <v>69.38</v>
          </cell>
          <cell r="G610">
            <v>69.38</v>
          </cell>
          <cell r="H610">
            <v>70.77</v>
          </cell>
          <cell r="I610">
            <v>70.77</v>
          </cell>
          <cell r="J610" t="str">
            <v>PRE</v>
          </cell>
          <cell r="K610" t="str">
            <v>TEQ</v>
          </cell>
          <cell r="L610" t="str">
            <v>OTR</v>
          </cell>
          <cell r="M610">
            <v>0</v>
          </cell>
          <cell r="N610">
            <v>0</v>
          </cell>
          <cell r="O610">
            <v>67.19</v>
          </cell>
          <cell r="P610">
            <v>75.59</v>
          </cell>
        </row>
        <row r="611">
          <cell r="D611" t="str">
            <v>212014</v>
          </cell>
          <cell r="E611" t="str">
            <v>SNICKERS PEANUT BUTTER 50.5GR X</v>
          </cell>
          <cell r="F611">
            <v>3.6</v>
          </cell>
          <cell r="G611">
            <v>3.6</v>
          </cell>
          <cell r="H611">
            <v>3.67</v>
          </cell>
          <cell r="I611">
            <v>3.67</v>
          </cell>
          <cell r="J611" t="str">
            <v>PFA</v>
          </cell>
          <cell r="K611" t="str">
            <v>OTR</v>
          </cell>
          <cell r="L611" t="str">
            <v>OTR</v>
          </cell>
          <cell r="M611">
            <v>0</v>
          </cell>
          <cell r="N611">
            <v>0</v>
          </cell>
          <cell r="O611">
            <v>3.28</v>
          </cell>
          <cell r="P611">
            <v>4</v>
          </cell>
        </row>
        <row r="612">
          <cell r="D612" t="str">
            <v>01070003</v>
          </cell>
          <cell r="E612" t="str">
            <v>PACK SOMETHING SPEC.750ML+ VASO X6</v>
          </cell>
          <cell r="F612">
            <v>47.28</v>
          </cell>
          <cell r="G612">
            <v>47.28</v>
          </cell>
          <cell r="H612">
            <v>48.22</v>
          </cell>
          <cell r="I612">
            <v>48.22</v>
          </cell>
          <cell r="J612" t="str">
            <v>IWA</v>
          </cell>
          <cell r="K612" t="str">
            <v>SSP</v>
          </cell>
          <cell r="L612" t="str">
            <v>WHI</v>
          </cell>
          <cell r="M612">
            <v>0</v>
          </cell>
          <cell r="N612">
            <v>0</v>
          </cell>
          <cell r="O612">
            <v>0</v>
          </cell>
          <cell r="P612">
            <v>49.18</v>
          </cell>
        </row>
        <row r="613">
          <cell r="D613" t="str">
            <v>WHI1061</v>
          </cell>
          <cell r="E613" t="str">
            <v>PACK WISKY SOMETHING SPECIAL 750ML + 2 VASOS X 6</v>
          </cell>
          <cell r="F613">
            <v>39.44</v>
          </cell>
          <cell r="G613">
            <v>39.44</v>
          </cell>
          <cell r="H613">
            <v>39.44</v>
          </cell>
          <cell r="I613">
            <v>39.44</v>
          </cell>
          <cell r="J613" t="str">
            <v>IWA</v>
          </cell>
          <cell r="K613" t="str">
            <v>SSP</v>
          </cell>
          <cell r="L613" t="str">
            <v>WHI</v>
          </cell>
          <cell r="M613">
            <v>0</v>
          </cell>
          <cell r="N613">
            <v>0</v>
          </cell>
          <cell r="O613">
            <v>0</v>
          </cell>
          <cell r="P613">
            <v>49.49</v>
          </cell>
        </row>
        <row r="614">
          <cell r="D614" t="str">
            <v>01070004</v>
          </cell>
          <cell r="E614" t="str">
            <v>PACK SOMETHING SPEC.750ML+ SOMET X350ML</v>
          </cell>
          <cell r="F614">
            <v>56.98</v>
          </cell>
          <cell r="G614">
            <v>56.98</v>
          </cell>
          <cell r="H614">
            <v>58.12</v>
          </cell>
          <cell r="I614">
            <v>58.12</v>
          </cell>
          <cell r="J614" t="str">
            <v>IWA</v>
          </cell>
          <cell r="K614" t="str">
            <v>SSP</v>
          </cell>
          <cell r="L614" t="str">
            <v>WHI</v>
          </cell>
          <cell r="M614">
            <v>0</v>
          </cell>
          <cell r="N614">
            <v>0</v>
          </cell>
          <cell r="O614">
            <v>52</v>
          </cell>
          <cell r="P614">
            <v>58.12</v>
          </cell>
        </row>
        <row r="615">
          <cell r="D615" t="str">
            <v>WHI1040</v>
          </cell>
          <cell r="E615" t="str">
            <v>PK WHI SOMETHING SP 750ML+ SOMETHING SP 200ML</v>
          </cell>
          <cell r="F615">
            <v>42.1</v>
          </cell>
          <cell r="G615">
            <v>42.1</v>
          </cell>
          <cell r="H615">
            <v>42.1</v>
          </cell>
          <cell r="I615">
            <v>42.1</v>
          </cell>
          <cell r="J615" t="str">
            <v>IWA</v>
          </cell>
          <cell r="K615" t="str">
            <v>SSP</v>
          </cell>
          <cell r="L615" t="str">
            <v>WHI</v>
          </cell>
          <cell r="M615">
            <v>0</v>
          </cell>
          <cell r="N615">
            <v>0</v>
          </cell>
          <cell r="O615">
            <v>36</v>
          </cell>
          <cell r="P615">
            <v>50.75</v>
          </cell>
        </row>
        <row r="616">
          <cell r="D616" t="str">
            <v>0107001</v>
          </cell>
          <cell r="E616" t="str">
            <v>WHIS.SOMETHING SPEC.750ML X12</v>
          </cell>
          <cell r="F616">
            <v>36</v>
          </cell>
          <cell r="G616">
            <v>36</v>
          </cell>
          <cell r="H616">
            <v>36.72</v>
          </cell>
          <cell r="I616">
            <v>36.72</v>
          </cell>
          <cell r="J616" t="str">
            <v>IWA</v>
          </cell>
          <cell r="K616" t="str">
            <v>SSP</v>
          </cell>
          <cell r="L616" t="str">
            <v>WHI</v>
          </cell>
          <cell r="M616">
            <v>0</v>
          </cell>
          <cell r="N616">
            <v>0</v>
          </cell>
          <cell r="O616">
            <v>28</v>
          </cell>
          <cell r="P616">
            <v>46.11</v>
          </cell>
        </row>
        <row r="617">
          <cell r="D617" t="str">
            <v>L226</v>
          </cell>
          <cell r="E617" t="str">
            <v>TAZA TERMICA DE VIAJE  0.35L LAVAZZA</v>
          </cell>
          <cell r="F617">
            <v>118.92</v>
          </cell>
          <cell r="G617">
            <v>118.92</v>
          </cell>
          <cell r="H617">
            <v>118.92</v>
          </cell>
          <cell r="I617">
            <v>118.92</v>
          </cell>
          <cell r="J617" t="str">
            <v>PAN</v>
          </cell>
          <cell r="K617" t="str">
            <v>PAN</v>
          </cell>
          <cell r="L617" t="str">
            <v>ART</v>
          </cell>
          <cell r="M617">
            <v>0</v>
          </cell>
          <cell r="N617">
            <v>0</v>
          </cell>
          <cell r="O617">
            <v>98.9</v>
          </cell>
          <cell r="P617">
            <v>118.92</v>
          </cell>
        </row>
        <row r="618">
          <cell r="D618" t="str">
            <v>04998606</v>
          </cell>
          <cell r="E618" t="str">
            <v>INCA KOLA LATA 12 OZ X12</v>
          </cell>
          <cell r="F618">
            <v>4.22</v>
          </cell>
          <cell r="G618">
            <v>4.22</v>
          </cell>
          <cell r="H618">
            <v>4.22</v>
          </cell>
          <cell r="I618">
            <v>4.22</v>
          </cell>
          <cell r="J618" t="str">
            <v>JYA</v>
          </cell>
          <cell r="K618" t="str">
            <v>GAS</v>
          </cell>
          <cell r="L618" t="str">
            <v>GAS</v>
          </cell>
          <cell r="M618">
            <v>0</v>
          </cell>
          <cell r="N618">
            <v>0</v>
          </cell>
          <cell r="O618">
            <v>3.58</v>
          </cell>
          <cell r="P618">
            <v>4.4000000000000004</v>
          </cell>
        </row>
        <row r="619">
          <cell r="D619" t="str">
            <v>14266</v>
          </cell>
          <cell r="E619" t="str">
            <v>FANTA FRESA LATA  355ML</v>
          </cell>
          <cell r="F619">
            <v>4.22</v>
          </cell>
          <cell r="G619">
            <v>4.22</v>
          </cell>
          <cell r="H619">
            <v>4.22</v>
          </cell>
          <cell r="I619">
            <v>4.22</v>
          </cell>
          <cell r="J619" t="str">
            <v>JYA</v>
          </cell>
          <cell r="K619" t="str">
            <v>GAS</v>
          </cell>
          <cell r="L619" t="str">
            <v>GAS</v>
          </cell>
          <cell r="M619">
            <v>0</v>
          </cell>
          <cell r="N619">
            <v>0</v>
          </cell>
          <cell r="O619">
            <v>0</v>
          </cell>
          <cell r="P619">
            <v>4.4000000000000004</v>
          </cell>
        </row>
        <row r="620">
          <cell r="D620" t="str">
            <v>260134</v>
          </cell>
          <cell r="E620" t="str">
            <v>COCA COLA CHERRY 12OZ X12</v>
          </cell>
          <cell r="F620">
            <v>4.22</v>
          </cell>
          <cell r="G620">
            <v>4.22</v>
          </cell>
          <cell r="H620">
            <v>4.22</v>
          </cell>
          <cell r="I620">
            <v>4.22</v>
          </cell>
          <cell r="J620" t="str">
            <v>JYA</v>
          </cell>
          <cell r="K620" t="str">
            <v>GAS</v>
          </cell>
          <cell r="L620" t="str">
            <v>GAS</v>
          </cell>
          <cell r="M620">
            <v>0</v>
          </cell>
          <cell r="N620">
            <v>0</v>
          </cell>
          <cell r="O620">
            <v>0</v>
          </cell>
          <cell r="P620">
            <v>4.4000000000000004</v>
          </cell>
        </row>
        <row r="621">
          <cell r="D621" t="str">
            <v>04963406</v>
          </cell>
          <cell r="E621" t="str">
            <v>COCA COLA CLASICA 12OZ X12</v>
          </cell>
          <cell r="F621">
            <v>4.22</v>
          </cell>
          <cell r="G621">
            <v>4.22</v>
          </cell>
          <cell r="H621">
            <v>4.22</v>
          </cell>
          <cell r="I621">
            <v>4.22</v>
          </cell>
          <cell r="J621" t="str">
            <v>JYA</v>
          </cell>
          <cell r="K621" t="str">
            <v>GAS</v>
          </cell>
          <cell r="L621" t="str">
            <v>GAS</v>
          </cell>
          <cell r="M621">
            <v>0</v>
          </cell>
          <cell r="N621">
            <v>0</v>
          </cell>
          <cell r="O621">
            <v>3.62</v>
          </cell>
          <cell r="P621">
            <v>4.4000000000000004</v>
          </cell>
        </row>
        <row r="622">
          <cell r="D622" t="str">
            <v>261055</v>
          </cell>
          <cell r="E622" t="str">
            <v>DR PEPPER ORIG. X12 X355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 t="str">
            <v>JYA</v>
          </cell>
          <cell r="K622" t="str">
            <v>GAS</v>
          </cell>
          <cell r="L622" t="str">
            <v>GAS</v>
          </cell>
          <cell r="M622">
            <v>0</v>
          </cell>
          <cell r="N622">
            <v>0</v>
          </cell>
          <cell r="O622">
            <v>0</v>
          </cell>
          <cell r="P622">
            <v>4.4000000000000004</v>
          </cell>
        </row>
        <row r="623">
          <cell r="D623" t="str">
            <v>14236</v>
          </cell>
          <cell r="E623" t="str">
            <v>FANTA BERRY LATA  355ML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 t="str">
            <v>JYA</v>
          </cell>
          <cell r="K623" t="str">
            <v>GAS</v>
          </cell>
          <cell r="L623" t="str">
            <v>GAS</v>
          </cell>
          <cell r="M623">
            <v>0</v>
          </cell>
          <cell r="N623">
            <v>0</v>
          </cell>
          <cell r="O623">
            <v>0</v>
          </cell>
          <cell r="P623">
            <v>4.4000000000000004</v>
          </cell>
        </row>
        <row r="624">
          <cell r="D624" t="str">
            <v>07891108</v>
          </cell>
          <cell r="E624" t="str">
            <v>CRUSH NARANJA LATA 12OZ X12</v>
          </cell>
          <cell r="F624">
            <v>4.22</v>
          </cell>
          <cell r="G624">
            <v>4.22</v>
          </cell>
          <cell r="H624">
            <v>4.22</v>
          </cell>
          <cell r="I624">
            <v>4.22</v>
          </cell>
          <cell r="J624" t="str">
            <v>JYA</v>
          </cell>
          <cell r="K624" t="str">
            <v>GAS</v>
          </cell>
          <cell r="L624" t="str">
            <v>GAS</v>
          </cell>
          <cell r="M624">
            <v>0</v>
          </cell>
          <cell r="N624">
            <v>0</v>
          </cell>
          <cell r="O624">
            <v>3.67</v>
          </cell>
          <cell r="P624">
            <v>4.4000000000000004</v>
          </cell>
        </row>
        <row r="625">
          <cell r="D625" t="str">
            <v>07812402</v>
          </cell>
          <cell r="E625" t="str">
            <v>CANADA DRY AGUA TONIA LATA 12OZ X12</v>
          </cell>
          <cell r="F625">
            <v>5.69</v>
          </cell>
          <cell r="G625">
            <v>5.69</v>
          </cell>
          <cell r="H625">
            <v>5.69</v>
          </cell>
          <cell r="I625">
            <v>5.69</v>
          </cell>
          <cell r="J625" t="str">
            <v>JYA</v>
          </cell>
          <cell r="K625" t="str">
            <v>GAS</v>
          </cell>
          <cell r="L625" t="str">
            <v>GAS</v>
          </cell>
          <cell r="M625">
            <v>0</v>
          </cell>
          <cell r="N625">
            <v>0</v>
          </cell>
          <cell r="O625">
            <v>4.59</v>
          </cell>
          <cell r="P625">
            <v>5.69</v>
          </cell>
        </row>
        <row r="626">
          <cell r="D626" t="str">
            <v>701053</v>
          </cell>
          <cell r="E626" t="str">
            <v>FANTA APPLE  LATA 12 X 355ML</v>
          </cell>
          <cell r="F626">
            <v>4.2300000000000004</v>
          </cell>
          <cell r="G626">
            <v>4.2300000000000004</v>
          </cell>
          <cell r="H626">
            <v>4.2300000000000004</v>
          </cell>
          <cell r="I626">
            <v>4.2300000000000004</v>
          </cell>
          <cell r="J626" t="str">
            <v>JYA</v>
          </cell>
          <cell r="K626" t="str">
            <v>GAS</v>
          </cell>
          <cell r="L626" t="str">
            <v>GAS</v>
          </cell>
          <cell r="M626">
            <v>0</v>
          </cell>
          <cell r="N626">
            <v>0</v>
          </cell>
          <cell r="O626">
            <v>0</v>
          </cell>
          <cell r="P626">
            <v>4.4000000000000004</v>
          </cell>
        </row>
        <row r="627">
          <cell r="D627" t="str">
            <v>260852</v>
          </cell>
          <cell r="E627" t="str">
            <v>FANTA UVA LATA  X 12UN X 355ML</v>
          </cell>
          <cell r="F627">
            <v>4.22</v>
          </cell>
          <cell r="G627">
            <v>4.22</v>
          </cell>
          <cell r="H627">
            <v>4.22</v>
          </cell>
          <cell r="I627">
            <v>4.22</v>
          </cell>
          <cell r="J627" t="str">
            <v>JYA</v>
          </cell>
          <cell r="K627" t="str">
            <v>GAS</v>
          </cell>
          <cell r="L627" t="str">
            <v>GAS</v>
          </cell>
          <cell r="M627">
            <v>0</v>
          </cell>
          <cell r="N627">
            <v>0</v>
          </cell>
          <cell r="O627">
            <v>0</v>
          </cell>
          <cell r="P627">
            <v>4.4000000000000004</v>
          </cell>
        </row>
        <row r="628">
          <cell r="D628" t="str">
            <v>14235</v>
          </cell>
          <cell r="E628" t="str">
            <v>FANTA NARANJA LATA 12OZ X12</v>
          </cell>
          <cell r="F628">
            <v>4.22</v>
          </cell>
          <cell r="G628">
            <v>4.22</v>
          </cell>
          <cell r="H628">
            <v>4.22</v>
          </cell>
          <cell r="I628">
            <v>4.22</v>
          </cell>
          <cell r="J628" t="str">
            <v>JYA</v>
          </cell>
          <cell r="K628" t="str">
            <v>GAS</v>
          </cell>
          <cell r="L628" t="str">
            <v>GAS</v>
          </cell>
          <cell r="M628">
            <v>0</v>
          </cell>
          <cell r="N628">
            <v>0</v>
          </cell>
          <cell r="O628">
            <v>3.67</v>
          </cell>
          <cell r="P628">
            <v>4.4000000000000004</v>
          </cell>
        </row>
        <row r="629">
          <cell r="D629" t="str">
            <v>04913207</v>
          </cell>
          <cell r="E629" t="str">
            <v>SPRITE LATA 12OZ X35</v>
          </cell>
          <cell r="F629">
            <v>4.22</v>
          </cell>
          <cell r="G629">
            <v>4.22</v>
          </cell>
          <cell r="H629">
            <v>4.22</v>
          </cell>
          <cell r="I629">
            <v>4.22</v>
          </cell>
          <cell r="J629" t="str">
            <v>JYA</v>
          </cell>
          <cell r="K629" t="str">
            <v>GAS</v>
          </cell>
          <cell r="L629" t="str">
            <v>GAS</v>
          </cell>
          <cell r="M629">
            <v>0</v>
          </cell>
          <cell r="N629">
            <v>0</v>
          </cell>
          <cell r="O629">
            <v>3.58</v>
          </cell>
          <cell r="P629">
            <v>4.4000000000000004</v>
          </cell>
        </row>
        <row r="630">
          <cell r="D630" t="str">
            <v>07803802</v>
          </cell>
          <cell r="E630" t="str">
            <v>SEVEN UP LATA 12OZ X24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 t="str">
            <v>JYA</v>
          </cell>
          <cell r="K630" t="str">
            <v>GAS</v>
          </cell>
          <cell r="L630" t="str">
            <v>GAS</v>
          </cell>
          <cell r="M630">
            <v>0</v>
          </cell>
          <cell r="N630">
            <v>0</v>
          </cell>
          <cell r="O630">
            <v>4.53</v>
          </cell>
          <cell r="P630">
            <v>5.69</v>
          </cell>
        </row>
        <row r="631">
          <cell r="D631" t="str">
            <v>09132</v>
          </cell>
          <cell r="E631" t="str">
            <v>CRUSH FRESA LATA 355ML X 12</v>
          </cell>
          <cell r="F631">
            <v>4.22</v>
          </cell>
          <cell r="G631">
            <v>4.22</v>
          </cell>
          <cell r="H631">
            <v>4.22</v>
          </cell>
          <cell r="I631">
            <v>4.22</v>
          </cell>
          <cell r="J631" t="str">
            <v>JYA</v>
          </cell>
          <cell r="K631" t="str">
            <v>GAS</v>
          </cell>
          <cell r="L631" t="str">
            <v>GAS</v>
          </cell>
          <cell r="M631">
            <v>0</v>
          </cell>
          <cell r="N631">
            <v>0</v>
          </cell>
          <cell r="O631">
            <v>0</v>
          </cell>
          <cell r="P631">
            <v>4.4000000000000004</v>
          </cell>
        </row>
        <row r="632">
          <cell r="D632" t="str">
            <v>026456</v>
          </cell>
          <cell r="E632" t="str">
            <v>COCA COLA ZERO LATA 12OZ X12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 t="str">
            <v>JYA</v>
          </cell>
          <cell r="K632" t="str">
            <v>GAS</v>
          </cell>
          <cell r="L632" t="str">
            <v>GAS</v>
          </cell>
          <cell r="M632">
            <v>0</v>
          </cell>
          <cell r="N632">
            <v>0</v>
          </cell>
          <cell r="O632">
            <v>4.53</v>
          </cell>
          <cell r="P632">
            <v>4.5</v>
          </cell>
        </row>
        <row r="633">
          <cell r="D633" t="str">
            <v>260844</v>
          </cell>
          <cell r="E633" t="str">
            <v>FANTA PIÑA LATA  355ML</v>
          </cell>
          <cell r="F633">
            <v>4.22</v>
          </cell>
          <cell r="G633">
            <v>4.22</v>
          </cell>
          <cell r="H633">
            <v>4.22</v>
          </cell>
          <cell r="I633">
            <v>4.22</v>
          </cell>
          <cell r="J633" t="str">
            <v>JYA</v>
          </cell>
          <cell r="K633" t="str">
            <v>GAS</v>
          </cell>
          <cell r="L633" t="str">
            <v>GAS</v>
          </cell>
          <cell r="M633">
            <v>0</v>
          </cell>
          <cell r="N633">
            <v>0</v>
          </cell>
          <cell r="O633">
            <v>0</v>
          </cell>
          <cell r="P633">
            <v>4.4000000000000004</v>
          </cell>
        </row>
        <row r="634">
          <cell r="D634" t="str">
            <v>0111</v>
          </cell>
          <cell r="E634" t="str">
            <v>COCA COLA VAINILLA LATA 355ML X 12</v>
          </cell>
          <cell r="F634">
            <v>4.22</v>
          </cell>
          <cell r="G634">
            <v>4.22</v>
          </cell>
          <cell r="H634">
            <v>4.22</v>
          </cell>
          <cell r="I634">
            <v>4.22</v>
          </cell>
          <cell r="J634" t="str">
            <v>JYA</v>
          </cell>
          <cell r="K634" t="str">
            <v>GAS</v>
          </cell>
          <cell r="L634" t="str">
            <v>GAS</v>
          </cell>
          <cell r="M634">
            <v>0</v>
          </cell>
          <cell r="N634">
            <v>0</v>
          </cell>
          <cell r="O634">
            <v>0</v>
          </cell>
          <cell r="P634">
            <v>4.4000000000000004</v>
          </cell>
        </row>
        <row r="635">
          <cell r="D635" t="str">
            <v>07811403</v>
          </cell>
          <cell r="E635" t="str">
            <v>CANADA DRY GINGER ALE LATA 12OZ X12</v>
          </cell>
          <cell r="F635">
            <v>4.5</v>
          </cell>
          <cell r="G635">
            <v>4.5</v>
          </cell>
          <cell r="H635">
            <v>4.5</v>
          </cell>
          <cell r="I635">
            <v>4.5</v>
          </cell>
          <cell r="J635" t="str">
            <v>JYA</v>
          </cell>
          <cell r="K635" t="str">
            <v>GAS</v>
          </cell>
          <cell r="L635" t="str">
            <v>GAS</v>
          </cell>
          <cell r="M635">
            <v>0</v>
          </cell>
          <cell r="N635">
            <v>0</v>
          </cell>
          <cell r="O635">
            <v>3.83</v>
          </cell>
          <cell r="P635">
            <v>5.69</v>
          </cell>
        </row>
        <row r="636">
          <cell r="D636" t="str">
            <v>0112</v>
          </cell>
          <cell r="E636" t="str">
            <v>CRUSH UVA LATA 355ML X 12</v>
          </cell>
          <cell r="F636">
            <v>4.22</v>
          </cell>
          <cell r="G636">
            <v>4.22</v>
          </cell>
          <cell r="H636">
            <v>4.22</v>
          </cell>
          <cell r="I636">
            <v>4.22</v>
          </cell>
          <cell r="J636" t="str">
            <v>JYA</v>
          </cell>
          <cell r="K636" t="str">
            <v>GAS</v>
          </cell>
          <cell r="L636" t="str">
            <v>GAS</v>
          </cell>
          <cell r="M636">
            <v>0</v>
          </cell>
          <cell r="N636">
            <v>0</v>
          </cell>
          <cell r="O636">
            <v>0</v>
          </cell>
          <cell r="P636">
            <v>4.4000000000000004</v>
          </cell>
        </row>
        <row r="637">
          <cell r="D637" t="str">
            <v>CH010035788</v>
          </cell>
          <cell r="E637" t="str">
            <v>TOBLERONE DE LECHE  200GR</v>
          </cell>
          <cell r="F637">
            <v>16.97</v>
          </cell>
          <cell r="G637">
            <v>16.97</v>
          </cell>
          <cell r="H637">
            <v>17.309999999999999</v>
          </cell>
          <cell r="I637">
            <v>17.309999999999999</v>
          </cell>
          <cell r="J637" t="str">
            <v>ITN</v>
          </cell>
          <cell r="K637" t="str">
            <v>OTR</v>
          </cell>
          <cell r="L637" t="str">
            <v>OTR</v>
          </cell>
          <cell r="M637">
            <v>0</v>
          </cell>
          <cell r="N637">
            <v>0</v>
          </cell>
          <cell r="O637">
            <v>14.16</v>
          </cell>
          <cell r="P637">
            <v>17.309999999999999</v>
          </cell>
        </row>
        <row r="638">
          <cell r="D638" t="str">
            <v>MERDF957949</v>
          </cell>
          <cell r="E638" t="str">
            <v>ST DALFOUR - MERMELADA DE NARANJAS CON PIEL X 284GR</v>
          </cell>
          <cell r="F638">
            <v>17</v>
          </cell>
          <cell r="G638">
            <v>17</v>
          </cell>
          <cell r="H638">
            <v>17.34</v>
          </cell>
          <cell r="I638">
            <v>17.34</v>
          </cell>
          <cell r="J638" t="str">
            <v>ITN</v>
          </cell>
          <cell r="K638" t="str">
            <v>OTR</v>
          </cell>
          <cell r="L638" t="str">
            <v>OTR</v>
          </cell>
          <cell r="M638">
            <v>0</v>
          </cell>
          <cell r="N638">
            <v>0</v>
          </cell>
          <cell r="O638">
            <v>14.55</v>
          </cell>
          <cell r="P638">
            <v>19.079999999999998</v>
          </cell>
        </row>
        <row r="639">
          <cell r="D639" t="str">
            <v>HEINZ364008</v>
          </cell>
          <cell r="E639" t="str">
            <v>KETCHUP PET HEINZ 567GR</v>
          </cell>
          <cell r="F639">
            <v>14.9</v>
          </cell>
          <cell r="G639">
            <v>14.9</v>
          </cell>
          <cell r="H639">
            <v>15.64</v>
          </cell>
          <cell r="I639">
            <v>15.64</v>
          </cell>
          <cell r="J639" t="str">
            <v>ITN</v>
          </cell>
          <cell r="K639" t="str">
            <v>OTR</v>
          </cell>
          <cell r="L639" t="str">
            <v>OTR</v>
          </cell>
          <cell r="M639">
            <v>0</v>
          </cell>
          <cell r="N639">
            <v>0</v>
          </cell>
          <cell r="O639">
            <v>12.43</v>
          </cell>
          <cell r="P639">
            <v>16.43</v>
          </cell>
        </row>
        <row r="640">
          <cell r="D640" t="str">
            <v>POST2102102</v>
          </cell>
          <cell r="E640" t="str">
            <v>CEREAL BLUEBERRY MORNING POST X 382 G</v>
          </cell>
          <cell r="F640">
            <v>17.239999999999998</v>
          </cell>
          <cell r="G640">
            <v>17.239999999999998</v>
          </cell>
          <cell r="H640">
            <v>17.579999999999998</v>
          </cell>
          <cell r="I640">
            <v>17.579999999999998</v>
          </cell>
          <cell r="J640" t="str">
            <v>ITN</v>
          </cell>
          <cell r="K640" t="str">
            <v>OTR</v>
          </cell>
          <cell r="L640" t="str">
            <v>OTR</v>
          </cell>
          <cell r="M640">
            <v>0</v>
          </cell>
          <cell r="N640">
            <v>0</v>
          </cell>
          <cell r="O640">
            <v>14.75</v>
          </cell>
          <cell r="P640">
            <v>19.34</v>
          </cell>
        </row>
        <row r="641">
          <cell r="D641" t="str">
            <v>SK000002825</v>
          </cell>
          <cell r="E641" t="str">
            <v xml:space="preserve">SALSA KRAFT VINAGRETA BALSAMIC X 473ML  </v>
          </cell>
          <cell r="F641">
            <v>15.31</v>
          </cell>
          <cell r="G641">
            <v>15.31</v>
          </cell>
          <cell r="H641">
            <v>16.07</v>
          </cell>
          <cell r="I641">
            <v>16.07</v>
          </cell>
          <cell r="J641" t="str">
            <v>ITN</v>
          </cell>
          <cell r="K641" t="str">
            <v>OTR</v>
          </cell>
          <cell r="L641" t="str">
            <v>OTR</v>
          </cell>
          <cell r="M641">
            <v>0</v>
          </cell>
          <cell r="N641">
            <v>0</v>
          </cell>
          <cell r="O641">
            <v>12.77</v>
          </cell>
          <cell r="P641">
            <v>16.87</v>
          </cell>
        </row>
        <row r="642">
          <cell r="D642" t="str">
            <v>HEINZ016372</v>
          </cell>
          <cell r="E642" t="str">
            <v>KETCHUP DOYPACK HEINZ 397G</v>
          </cell>
          <cell r="F642">
            <v>6.51</v>
          </cell>
          <cell r="G642">
            <v>6.51</v>
          </cell>
          <cell r="H642">
            <v>6.83</v>
          </cell>
          <cell r="I642">
            <v>6.83</v>
          </cell>
          <cell r="J642" t="str">
            <v>ITN</v>
          </cell>
          <cell r="K642" t="str">
            <v>OTR</v>
          </cell>
          <cell r="L642" t="str">
            <v>OTR</v>
          </cell>
          <cell r="M642">
            <v>0</v>
          </cell>
          <cell r="N642">
            <v>0</v>
          </cell>
          <cell r="O642">
            <v>5.43</v>
          </cell>
          <cell r="P642">
            <v>6.83</v>
          </cell>
        </row>
        <row r="643">
          <cell r="D643" t="str">
            <v>MERDF959042</v>
          </cell>
          <cell r="E643" t="str">
            <v>ST DALFOUR - MERMELADA DE HIGO X 284GR</v>
          </cell>
          <cell r="F643">
            <v>17</v>
          </cell>
          <cell r="G643">
            <v>17</v>
          </cell>
          <cell r="H643">
            <v>17.34</v>
          </cell>
          <cell r="I643">
            <v>17.34</v>
          </cell>
          <cell r="J643" t="str">
            <v>ITN</v>
          </cell>
          <cell r="K643" t="str">
            <v>OTR</v>
          </cell>
          <cell r="L643" t="str">
            <v>OTR</v>
          </cell>
          <cell r="M643">
            <v>0</v>
          </cell>
          <cell r="N643">
            <v>0</v>
          </cell>
          <cell r="O643">
            <v>14.55</v>
          </cell>
          <cell r="P643">
            <v>19.079999999999998</v>
          </cell>
        </row>
        <row r="644">
          <cell r="D644" t="str">
            <v>CH000081416</v>
          </cell>
          <cell r="E644" t="str">
            <v>TOBLERONE TINY DARK 200G</v>
          </cell>
          <cell r="F644">
            <v>17.82</v>
          </cell>
          <cell r="G644">
            <v>17.82</v>
          </cell>
          <cell r="H644">
            <v>18.18</v>
          </cell>
          <cell r="I644">
            <v>18.18</v>
          </cell>
          <cell r="J644" t="str">
            <v>ITN</v>
          </cell>
          <cell r="K644" t="str">
            <v>OTR</v>
          </cell>
          <cell r="L644" t="str">
            <v>OTR</v>
          </cell>
          <cell r="M644">
            <v>0</v>
          </cell>
          <cell r="N644">
            <v>0</v>
          </cell>
          <cell r="O644">
            <v>14.87</v>
          </cell>
          <cell r="P644">
            <v>18.18</v>
          </cell>
        </row>
        <row r="645">
          <cell r="D645" t="str">
            <v>SK000641048</v>
          </cell>
          <cell r="E645" t="str">
            <v>ADEREZO KRAFT ZESTY ITALIAN FAT FREE X 473 ML</v>
          </cell>
          <cell r="F645">
            <v>15.31</v>
          </cell>
          <cell r="G645">
            <v>15.31</v>
          </cell>
          <cell r="H645">
            <v>16.07</v>
          </cell>
          <cell r="I645">
            <v>16.07</v>
          </cell>
          <cell r="J645" t="str">
            <v>ITN</v>
          </cell>
          <cell r="K645" t="str">
            <v>OTR</v>
          </cell>
          <cell r="L645" t="str">
            <v>OTR</v>
          </cell>
          <cell r="M645">
            <v>0</v>
          </cell>
          <cell r="N645">
            <v>0</v>
          </cell>
          <cell r="O645">
            <v>12.77</v>
          </cell>
          <cell r="P645">
            <v>16.87</v>
          </cell>
        </row>
        <row r="646">
          <cell r="D646" t="str">
            <v>POST2359155</v>
          </cell>
          <cell r="E646" t="str">
            <v>CEREAL POST- HONEY BUNCHES 340 GR</v>
          </cell>
          <cell r="F646">
            <v>15.17</v>
          </cell>
          <cell r="G646">
            <v>15.17</v>
          </cell>
          <cell r="H646">
            <v>15.47</v>
          </cell>
          <cell r="I646">
            <v>15.47</v>
          </cell>
          <cell r="J646" t="str">
            <v>ITN</v>
          </cell>
          <cell r="K646" t="str">
            <v>OTR</v>
          </cell>
          <cell r="L646" t="str">
            <v>OTR</v>
          </cell>
          <cell r="M646">
            <v>0</v>
          </cell>
          <cell r="N646">
            <v>0</v>
          </cell>
          <cell r="O646">
            <v>12.98</v>
          </cell>
          <cell r="P646">
            <v>17.02</v>
          </cell>
        </row>
        <row r="647">
          <cell r="D647" t="str">
            <v>JD071913696</v>
          </cell>
          <cell r="E647" t="str">
            <v>JD PACK MIXTO GALLETAS MINIS CJ 126GR</v>
          </cell>
          <cell r="F647">
            <v>15.56</v>
          </cell>
          <cell r="G647">
            <v>15.56</v>
          </cell>
          <cell r="H647">
            <v>15.87</v>
          </cell>
          <cell r="I647">
            <v>15.87</v>
          </cell>
          <cell r="J647" t="str">
            <v>ITN</v>
          </cell>
          <cell r="K647" t="str">
            <v>OTR</v>
          </cell>
          <cell r="L647" t="str">
            <v>OTR</v>
          </cell>
          <cell r="M647">
            <v>0</v>
          </cell>
          <cell r="N647">
            <v>0</v>
          </cell>
          <cell r="O647">
            <v>12.98</v>
          </cell>
          <cell r="P647">
            <v>15.87</v>
          </cell>
        </row>
        <row r="648">
          <cell r="D648" t="str">
            <v>DAL80273561</v>
          </cell>
          <cell r="E648" t="str">
            <v>CONDIMENTO BLACK PEPPER CORNS X 45GR</v>
          </cell>
          <cell r="F648">
            <v>9.65</v>
          </cell>
          <cell r="G648">
            <v>9.65</v>
          </cell>
          <cell r="H648">
            <v>9.85</v>
          </cell>
          <cell r="I648">
            <v>9.85</v>
          </cell>
          <cell r="J648" t="str">
            <v>ITN</v>
          </cell>
          <cell r="K648" t="str">
            <v>OTR</v>
          </cell>
          <cell r="L648" t="str">
            <v>OTR</v>
          </cell>
          <cell r="M648">
            <v>0</v>
          </cell>
          <cell r="N648">
            <v>0</v>
          </cell>
          <cell r="O648">
            <v>8.26</v>
          </cell>
          <cell r="P648">
            <v>10.83</v>
          </cell>
        </row>
        <row r="649">
          <cell r="D649" t="str">
            <v>RICOLA02056</v>
          </cell>
          <cell r="E649" t="str">
            <v>RICOLA EUCALIPTO SUGAR FREE X 27.5 GRS</v>
          </cell>
          <cell r="F649">
            <v>4.7300000000000004</v>
          </cell>
          <cell r="G649">
            <v>4.7300000000000004</v>
          </cell>
          <cell r="H649">
            <v>4.83</v>
          </cell>
          <cell r="I649">
            <v>4.83</v>
          </cell>
          <cell r="J649" t="str">
            <v>ITN</v>
          </cell>
          <cell r="K649" t="str">
            <v>OTR</v>
          </cell>
          <cell r="L649" t="str">
            <v>OTR</v>
          </cell>
          <cell r="M649">
            <v>0</v>
          </cell>
          <cell r="N649">
            <v>0</v>
          </cell>
          <cell r="O649">
            <v>3.95</v>
          </cell>
          <cell r="P649">
            <v>4.83</v>
          </cell>
        </row>
        <row r="650">
          <cell r="D650" t="str">
            <v>7030102020</v>
          </cell>
          <cell r="E650" t="str">
            <v>AGNESI PENNETE RIGATE N°87 500G</v>
          </cell>
          <cell r="F650">
            <v>11.55</v>
          </cell>
          <cell r="G650">
            <v>11.55</v>
          </cell>
          <cell r="H650">
            <v>11.78</v>
          </cell>
          <cell r="I650">
            <v>11.78</v>
          </cell>
          <cell r="J650" t="str">
            <v>DAN</v>
          </cell>
          <cell r="K650" t="str">
            <v>OTR</v>
          </cell>
          <cell r="L650" t="str">
            <v>OTR</v>
          </cell>
          <cell r="M650">
            <v>0</v>
          </cell>
          <cell r="N650">
            <v>0</v>
          </cell>
          <cell r="O650">
            <v>8.3699999999999992</v>
          </cell>
          <cell r="P650">
            <v>12.95</v>
          </cell>
        </row>
        <row r="651">
          <cell r="D651" t="str">
            <v>MERDF957444</v>
          </cell>
          <cell r="E651" t="str">
            <v>ST DALFOUR - MERMELADA DE FRESAS X 284GR</v>
          </cell>
          <cell r="F651">
            <v>17</v>
          </cell>
          <cell r="G651">
            <v>17</v>
          </cell>
          <cell r="H651">
            <v>17.34</v>
          </cell>
          <cell r="I651">
            <v>17.34</v>
          </cell>
          <cell r="J651" t="str">
            <v>ITN</v>
          </cell>
          <cell r="K651" t="str">
            <v>OTR</v>
          </cell>
          <cell r="L651" t="str">
            <v>OTR</v>
          </cell>
          <cell r="M651">
            <v>0</v>
          </cell>
          <cell r="N651">
            <v>0</v>
          </cell>
          <cell r="O651">
            <v>14.55</v>
          </cell>
          <cell r="P651">
            <v>19.079999999999998</v>
          </cell>
        </row>
        <row r="652">
          <cell r="D652" t="str">
            <v>JD010110774</v>
          </cell>
          <cell r="E652" t="str">
            <v>JD GALLETAS CROCANTE DE MANTEQUILLA CJ 100GR</v>
          </cell>
          <cell r="F652">
            <v>12.9</v>
          </cell>
          <cell r="G652">
            <v>12.9</v>
          </cell>
          <cell r="H652">
            <v>13.15</v>
          </cell>
          <cell r="I652">
            <v>13.15</v>
          </cell>
          <cell r="J652" t="str">
            <v>ITN</v>
          </cell>
          <cell r="K652" t="str">
            <v>OTR</v>
          </cell>
          <cell r="L652" t="str">
            <v>OTR</v>
          </cell>
          <cell r="M652">
            <v>0</v>
          </cell>
          <cell r="N652">
            <v>0</v>
          </cell>
          <cell r="O652">
            <v>10.76</v>
          </cell>
          <cell r="P652">
            <v>13.15</v>
          </cell>
        </row>
        <row r="653">
          <cell r="D653" t="str">
            <v>POST1212951</v>
          </cell>
          <cell r="E653" t="str">
            <v>CEREAL POST- COCOA PEBBLES 11 OZ</v>
          </cell>
          <cell r="F653">
            <v>13.79</v>
          </cell>
          <cell r="G653">
            <v>13.79</v>
          </cell>
          <cell r="H653">
            <v>14.07</v>
          </cell>
          <cell r="I653">
            <v>14.07</v>
          </cell>
          <cell r="J653" t="str">
            <v>ITN</v>
          </cell>
          <cell r="K653" t="str">
            <v>OTR</v>
          </cell>
          <cell r="L653" t="str">
            <v>OTR</v>
          </cell>
          <cell r="M653">
            <v>0</v>
          </cell>
          <cell r="N653">
            <v>0</v>
          </cell>
          <cell r="O653">
            <v>11.8</v>
          </cell>
          <cell r="P653">
            <v>15.47</v>
          </cell>
        </row>
        <row r="654">
          <cell r="D654" t="str">
            <v>RICOLA02094</v>
          </cell>
          <cell r="E654" t="str">
            <v>RICOLA LIMON MENTA SUGAR FREE X 27.5GRS</v>
          </cell>
          <cell r="F654">
            <v>4.7300000000000004</v>
          </cell>
          <cell r="G654">
            <v>4.7300000000000004</v>
          </cell>
          <cell r="H654">
            <v>4.83</v>
          </cell>
          <cell r="I654">
            <v>4.83</v>
          </cell>
          <cell r="J654" t="str">
            <v>ITN</v>
          </cell>
          <cell r="K654" t="str">
            <v>OTR</v>
          </cell>
          <cell r="L654" t="str">
            <v>OTR</v>
          </cell>
          <cell r="M654">
            <v>0</v>
          </cell>
          <cell r="N654">
            <v>0</v>
          </cell>
          <cell r="O654">
            <v>3.95</v>
          </cell>
          <cell r="P654">
            <v>4.84</v>
          </cell>
        </row>
        <row r="655">
          <cell r="D655" t="str">
            <v>GULL6009415</v>
          </cell>
          <cell r="E655" t="str">
            <v>GULLON CHIP CHOCO FIBRA SIN AZUCAR  150G</v>
          </cell>
          <cell r="F655">
            <v>7.54</v>
          </cell>
          <cell r="G655">
            <v>7.54</v>
          </cell>
          <cell r="H655">
            <v>7.69</v>
          </cell>
          <cell r="I655">
            <v>7.69</v>
          </cell>
          <cell r="J655" t="str">
            <v>ITN</v>
          </cell>
          <cell r="K655" t="str">
            <v>OTR</v>
          </cell>
          <cell r="L655" t="str">
            <v>OTR</v>
          </cell>
          <cell r="M655">
            <v>0</v>
          </cell>
          <cell r="N655">
            <v>0</v>
          </cell>
          <cell r="O655">
            <v>6.29</v>
          </cell>
          <cell r="P655">
            <v>7.69</v>
          </cell>
        </row>
        <row r="656">
          <cell r="D656" t="str">
            <v>SKBQ0052295</v>
          </cell>
          <cell r="E656" t="str">
            <v xml:space="preserve">SALSA PARA PARRILA / AHUMADA 496GR    </v>
          </cell>
          <cell r="F656">
            <v>11.85</v>
          </cell>
          <cell r="G656">
            <v>11.85</v>
          </cell>
          <cell r="H656">
            <v>12.45</v>
          </cell>
          <cell r="I656">
            <v>12.45</v>
          </cell>
          <cell r="J656" t="str">
            <v>ITN</v>
          </cell>
          <cell r="K656" t="str">
            <v>OTR</v>
          </cell>
          <cell r="L656" t="str">
            <v>OTR</v>
          </cell>
          <cell r="M656">
            <v>0</v>
          </cell>
          <cell r="N656">
            <v>0</v>
          </cell>
          <cell r="O656">
            <v>10.199999999999999</v>
          </cell>
          <cell r="P656">
            <v>13.07</v>
          </cell>
        </row>
        <row r="657">
          <cell r="D657" t="str">
            <v>POST2359162</v>
          </cell>
          <cell r="E657" t="str">
            <v>CEREAL POST- HONEY BUNCHES ALMOND 340 GR</v>
          </cell>
          <cell r="F657">
            <v>15.17</v>
          </cell>
          <cell r="G657">
            <v>15.17</v>
          </cell>
          <cell r="H657">
            <v>15.47</v>
          </cell>
          <cell r="I657">
            <v>15.47</v>
          </cell>
          <cell r="J657" t="str">
            <v>ITN</v>
          </cell>
          <cell r="K657" t="str">
            <v>OTR</v>
          </cell>
          <cell r="L657" t="str">
            <v>OTR</v>
          </cell>
          <cell r="M657">
            <v>0</v>
          </cell>
          <cell r="N657">
            <v>0</v>
          </cell>
          <cell r="O657">
            <v>12.98</v>
          </cell>
          <cell r="P657">
            <v>17.02</v>
          </cell>
        </row>
        <row r="658">
          <cell r="D658" t="str">
            <v>JD010130901</v>
          </cell>
          <cell r="E658" t="str">
            <v>JD GALLETAS DE CHOCOLATE CJ 100GR</v>
          </cell>
          <cell r="F658">
            <v>12.9</v>
          </cell>
          <cell r="G658">
            <v>12.9</v>
          </cell>
          <cell r="H658">
            <v>13.15</v>
          </cell>
          <cell r="I658">
            <v>13.15</v>
          </cell>
          <cell r="J658" t="str">
            <v>ITN</v>
          </cell>
          <cell r="K658" t="str">
            <v>OTR</v>
          </cell>
          <cell r="L658" t="str">
            <v>OTR</v>
          </cell>
          <cell r="M658">
            <v>0</v>
          </cell>
          <cell r="N658">
            <v>0</v>
          </cell>
          <cell r="O658">
            <v>10.76</v>
          </cell>
          <cell r="P658">
            <v>13.15</v>
          </cell>
        </row>
        <row r="659">
          <cell r="D659" t="str">
            <v>CH400011641</v>
          </cell>
          <cell r="E659" t="str">
            <v>MILKA COW SPOT  100GR</v>
          </cell>
          <cell r="F659">
            <v>10.32</v>
          </cell>
          <cell r="G659">
            <v>10.32</v>
          </cell>
          <cell r="H659">
            <v>10.53</v>
          </cell>
          <cell r="I659">
            <v>10.53</v>
          </cell>
          <cell r="J659" t="str">
            <v>ITN</v>
          </cell>
          <cell r="K659" t="str">
            <v>OTR</v>
          </cell>
          <cell r="L659" t="str">
            <v>OTR</v>
          </cell>
          <cell r="M659">
            <v>0</v>
          </cell>
          <cell r="N659">
            <v>0</v>
          </cell>
          <cell r="O659">
            <v>8.61</v>
          </cell>
          <cell r="P659">
            <v>10.53</v>
          </cell>
        </row>
        <row r="660">
          <cell r="D660" t="str">
            <v>RICOLA01899</v>
          </cell>
          <cell r="E660" t="str">
            <v>RICOLA ORIGINAL SUGAR FREE X 27.5GRS NUEVO!!!</v>
          </cell>
          <cell r="F660">
            <v>4.7300000000000004</v>
          </cell>
          <cell r="G660">
            <v>4.7300000000000004</v>
          </cell>
          <cell r="H660">
            <v>4.83</v>
          </cell>
          <cell r="I660">
            <v>4.83</v>
          </cell>
          <cell r="J660" t="str">
            <v>ITN</v>
          </cell>
          <cell r="K660" t="str">
            <v>OTR</v>
          </cell>
          <cell r="L660" t="str">
            <v>OTR</v>
          </cell>
          <cell r="M660">
            <v>0</v>
          </cell>
          <cell r="N660">
            <v>0</v>
          </cell>
          <cell r="O660">
            <v>3.95</v>
          </cell>
          <cell r="P660">
            <v>4.83</v>
          </cell>
        </row>
        <row r="661">
          <cell r="D661" t="str">
            <v>CH000865849</v>
          </cell>
          <cell r="E661" t="str">
            <v>TOBLERONE TINY MILK 200G</v>
          </cell>
          <cell r="F661">
            <v>17.82</v>
          </cell>
          <cell r="G661">
            <v>17.82</v>
          </cell>
          <cell r="H661">
            <v>18.18</v>
          </cell>
          <cell r="I661">
            <v>18.18</v>
          </cell>
          <cell r="J661" t="str">
            <v>ITN</v>
          </cell>
          <cell r="K661" t="str">
            <v>OTR</v>
          </cell>
          <cell r="L661" t="str">
            <v>OTR</v>
          </cell>
          <cell r="M661">
            <v>0</v>
          </cell>
          <cell r="N661">
            <v>0</v>
          </cell>
          <cell r="O661">
            <v>14.87</v>
          </cell>
          <cell r="P661">
            <v>24.74</v>
          </cell>
        </row>
        <row r="662">
          <cell r="D662" t="str">
            <v>POST2126016</v>
          </cell>
          <cell r="E662" t="str">
            <v>CEREAL  POST- GREAT GRAINS CRUNCHY PECANS X 453 G</v>
          </cell>
          <cell r="F662">
            <v>18.62</v>
          </cell>
          <cell r="G662">
            <v>18.62</v>
          </cell>
          <cell r="H662">
            <v>18.989999999999998</v>
          </cell>
          <cell r="I662">
            <v>18.989999999999998</v>
          </cell>
          <cell r="J662" t="str">
            <v>ITN</v>
          </cell>
          <cell r="K662" t="str">
            <v>OTR</v>
          </cell>
          <cell r="L662" t="str">
            <v>OTR</v>
          </cell>
          <cell r="M662">
            <v>0</v>
          </cell>
          <cell r="N662">
            <v>0</v>
          </cell>
          <cell r="O662">
            <v>15.93</v>
          </cell>
          <cell r="P662">
            <v>20.89</v>
          </cell>
        </row>
        <row r="663">
          <cell r="D663" t="str">
            <v>MERDF957543</v>
          </cell>
          <cell r="E663" t="str">
            <v>ST DALFOUR - MERMELADA DE ALBARICOQUES X 284GR</v>
          </cell>
          <cell r="F663">
            <v>17</v>
          </cell>
          <cell r="G663">
            <v>17</v>
          </cell>
          <cell r="H663">
            <v>17.34</v>
          </cell>
          <cell r="I663">
            <v>17.34</v>
          </cell>
          <cell r="J663" t="str">
            <v>ITN</v>
          </cell>
          <cell r="K663" t="str">
            <v>OTR</v>
          </cell>
          <cell r="L663" t="str">
            <v>OTR</v>
          </cell>
          <cell r="M663">
            <v>0</v>
          </cell>
          <cell r="N663">
            <v>0</v>
          </cell>
          <cell r="O663">
            <v>14.55</v>
          </cell>
          <cell r="P663">
            <v>19.079999999999998</v>
          </cell>
        </row>
        <row r="664">
          <cell r="D664" t="str">
            <v>POST0016500</v>
          </cell>
          <cell r="E664" t="str">
            <v>CEREAL POST- BANANA NUT CRUNCH</v>
          </cell>
          <cell r="F664">
            <v>15.17</v>
          </cell>
          <cell r="G664">
            <v>15.17</v>
          </cell>
          <cell r="H664">
            <v>15.47</v>
          </cell>
          <cell r="I664">
            <v>15.47</v>
          </cell>
          <cell r="J664" t="str">
            <v>ITN</v>
          </cell>
          <cell r="K664" t="str">
            <v>OTR</v>
          </cell>
          <cell r="L664" t="str">
            <v>OTR</v>
          </cell>
          <cell r="M664">
            <v>0</v>
          </cell>
          <cell r="N664">
            <v>0</v>
          </cell>
          <cell r="O664">
            <v>12.98</v>
          </cell>
          <cell r="P664">
            <v>17.02</v>
          </cell>
        </row>
        <row r="665">
          <cell r="D665" t="str">
            <v>CH010313674</v>
          </cell>
          <cell r="E665" t="str">
            <v>TOBLERONE DE LECHE  100GR</v>
          </cell>
          <cell r="F665">
            <v>9.9</v>
          </cell>
          <cell r="G665">
            <v>9.9</v>
          </cell>
          <cell r="H665">
            <v>10.1</v>
          </cell>
          <cell r="I665">
            <v>10.1</v>
          </cell>
          <cell r="J665" t="str">
            <v>ITN</v>
          </cell>
          <cell r="K665" t="str">
            <v>OTR</v>
          </cell>
          <cell r="L665" t="str">
            <v>OTR</v>
          </cell>
          <cell r="M665">
            <v>0</v>
          </cell>
          <cell r="N665">
            <v>0</v>
          </cell>
          <cell r="O665">
            <v>8.26</v>
          </cell>
          <cell r="P665">
            <v>10.1</v>
          </cell>
        </row>
        <row r="666">
          <cell r="D666" t="str">
            <v>ELECTR65365</v>
          </cell>
          <cell r="E666" t="str">
            <v>PIEDRA PARA PIZZA</v>
          </cell>
          <cell r="F666">
            <v>244.59</v>
          </cell>
          <cell r="G666">
            <v>244.59</v>
          </cell>
          <cell r="H666">
            <v>249.48</v>
          </cell>
          <cell r="I666">
            <v>249.48</v>
          </cell>
          <cell r="J666" t="str">
            <v>ITN</v>
          </cell>
          <cell r="K666" t="str">
            <v>OTR</v>
          </cell>
          <cell r="L666" t="str">
            <v>OTR</v>
          </cell>
          <cell r="M666">
            <v>0</v>
          </cell>
          <cell r="N666">
            <v>0</v>
          </cell>
          <cell r="O666">
            <v>209.3</v>
          </cell>
          <cell r="P666">
            <v>274.43</v>
          </cell>
        </row>
        <row r="667">
          <cell r="D667" t="str">
            <v>SKBQ0052288</v>
          </cell>
          <cell r="E667" t="str">
            <v xml:space="preserve">SALSA PARA PARRILA / ORIGINAL 510GR    </v>
          </cell>
          <cell r="F667">
            <v>11.85</v>
          </cell>
          <cell r="G667">
            <v>11.85</v>
          </cell>
          <cell r="H667">
            <v>13.07</v>
          </cell>
          <cell r="I667">
            <v>13.07</v>
          </cell>
          <cell r="J667" t="str">
            <v>ITN</v>
          </cell>
          <cell r="K667" t="str">
            <v>OTR</v>
          </cell>
          <cell r="L667" t="str">
            <v>OTR</v>
          </cell>
          <cell r="M667">
            <v>0</v>
          </cell>
          <cell r="N667">
            <v>0</v>
          </cell>
          <cell r="O667">
            <v>9.89</v>
          </cell>
          <cell r="P667">
            <v>13.07</v>
          </cell>
        </row>
        <row r="668">
          <cell r="D668" t="str">
            <v>MERDF958342</v>
          </cell>
          <cell r="E668" t="str">
            <v>ST DALFOUR - MERMELADA DE MANGO Y PIÑA X 284GR</v>
          </cell>
          <cell r="F668">
            <v>17</v>
          </cell>
          <cell r="G668">
            <v>17</v>
          </cell>
          <cell r="H668">
            <v>17.34</v>
          </cell>
          <cell r="I668">
            <v>17.34</v>
          </cell>
          <cell r="J668" t="str">
            <v>ITN</v>
          </cell>
          <cell r="K668" t="str">
            <v>OTR</v>
          </cell>
          <cell r="L668" t="str">
            <v>OTR</v>
          </cell>
          <cell r="M668">
            <v>0</v>
          </cell>
          <cell r="N668">
            <v>0</v>
          </cell>
          <cell r="O668">
            <v>14.55</v>
          </cell>
          <cell r="P668">
            <v>19.079999999999998</v>
          </cell>
        </row>
        <row r="669">
          <cell r="D669" t="str">
            <v>SKBQ0052387</v>
          </cell>
          <cell r="E669" t="str">
            <v xml:space="preserve">SALSA PARA PARRILA / HONEY 510GR    </v>
          </cell>
          <cell r="F669">
            <v>11.85</v>
          </cell>
          <cell r="G669">
            <v>11.85</v>
          </cell>
          <cell r="H669">
            <v>12.45</v>
          </cell>
          <cell r="I669">
            <v>12.45</v>
          </cell>
          <cell r="J669" t="str">
            <v>ITN</v>
          </cell>
          <cell r="K669" t="str">
            <v>OTR</v>
          </cell>
          <cell r="L669" t="str">
            <v>OTR</v>
          </cell>
          <cell r="M669">
            <v>0</v>
          </cell>
          <cell r="N669">
            <v>0</v>
          </cell>
          <cell r="O669">
            <v>10.199999999999999</v>
          </cell>
          <cell r="P669">
            <v>13.07</v>
          </cell>
        </row>
        <row r="670">
          <cell r="D670" t="str">
            <v>PASTA653218</v>
          </cell>
          <cell r="E670" t="str">
            <v>MACARONI &amp; CHEESE DINNER THREE CHEESE - CAJA X 206G</v>
          </cell>
          <cell r="F670">
            <v>5.0199999999999996</v>
          </cell>
          <cell r="G670">
            <v>5.0199999999999996</v>
          </cell>
          <cell r="H670">
            <v>5.27</v>
          </cell>
          <cell r="I670">
            <v>5.27</v>
          </cell>
          <cell r="J670" t="str">
            <v>ITN</v>
          </cell>
          <cell r="K670" t="str">
            <v>OTR</v>
          </cell>
          <cell r="L670" t="str">
            <v>OTR</v>
          </cell>
          <cell r="M670">
            <v>0</v>
          </cell>
          <cell r="N670">
            <v>0</v>
          </cell>
          <cell r="O670">
            <v>4.1900000000000004</v>
          </cell>
          <cell r="P670">
            <v>5.54</v>
          </cell>
        </row>
        <row r="671">
          <cell r="D671" t="str">
            <v>CH010333767</v>
          </cell>
          <cell r="E671" t="str">
            <v>TOBLERONE DE LECHE  35GR</v>
          </cell>
          <cell r="F671">
            <v>3.04</v>
          </cell>
          <cell r="G671">
            <v>3.04</v>
          </cell>
          <cell r="H671">
            <v>3.11</v>
          </cell>
          <cell r="I671">
            <v>3.11</v>
          </cell>
          <cell r="J671" t="str">
            <v>ITN</v>
          </cell>
          <cell r="K671" t="str">
            <v>OTR</v>
          </cell>
          <cell r="L671" t="str">
            <v>OTR</v>
          </cell>
          <cell r="M671">
            <v>0</v>
          </cell>
          <cell r="N671">
            <v>0</v>
          </cell>
          <cell r="O671">
            <v>2.54</v>
          </cell>
          <cell r="P671">
            <v>3.11</v>
          </cell>
        </row>
        <row r="672">
          <cell r="D672" t="str">
            <v>FER090</v>
          </cell>
          <cell r="E672" t="str">
            <v>LICOR BRANCAMENTA 750ML X 6</v>
          </cell>
          <cell r="F672">
            <v>77.41</v>
          </cell>
          <cell r="G672">
            <v>77.41</v>
          </cell>
          <cell r="H672">
            <v>78.959999999999994</v>
          </cell>
          <cell r="I672">
            <v>78.959999999999994</v>
          </cell>
          <cell r="J672" t="str">
            <v>KLS</v>
          </cell>
          <cell r="K672" t="str">
            <v>OTR</v>
          </cell>
          <cell r="L672" t="str">
            <v>OTR</v>
          </cell>
          <cell r="M672">
            <v>0</v>
          </cell>
          <cell r="N672">
            <v>0</v>
          </cell>
          <cell r="O672">
            <v>0</v>
          </cell>
          <cell r="P672">
            <v>82.91</v>
          </cell>
        </row>
        <row r="673">
          <cell r="D673" t="str">
            <v>ANI0004</v>
          </cell>
          <cell r="E673" t="str">
            <v>ANIS DEL MONO VERDE SECO 1LT X 6</v>
          </cell>
          <cell r="F673">
            <v>89.3</v>
          </cell>
          <cell r="G673">
            <v>89.3</v>
          </cell>
          <cell r="H673">
            <v>91.24</v>
          </cell>
          <cell r="I673">
            <v>91.24</v>
          </cell>
          <cell r="J673" t="str">
            <v>KLS</v>
          </cell>
          <cell r="K673" t="str">
            <v>OTR</v>
          </cell>
          <cell r="L673" t="str">
            <v>OTR</v>
          </cell>
          <cell r="M673">
            <v>0</v>
          </cell>
          <cell r="N673">
            <v>0</v>
          </cell>
          <cell r="O673">
            <v>76.33</v>
          </cell>
          <cell r="P673">
            <v>95.8</v>
          </cell>
        </row>
        <row r="674">
          <cell r="D674" t="str">
            <v>ANI0001</v>
          </cell>
          <cell r="E674" t="str">
            <v>ANIS DEL MONO ROJO (DULCE) 1LT X 6</v>
          </cell>
          <cell r="F674">
            <v>89.3</v>
          </cell>
          <cell r="G674">
            <v>89.3</v>
          </cell>
          <cell r="H674">
            <v>91.24</v>
          </cell>
          <cell r="I674">
            <v>91.24</v>
          </cell>
          <cell r="J674" t="str">
            <v>KLS</v>
          </cell>
          <cell r="K674" t="str">
            <v>OTR</v>
          </cell>
          <cell r="L674" t="str">
            <v>OTR</v>
          </cell>
          <cell r="M674">
            <v>0</v>
          </cell>
          <cell r="N674">
            <v>0</v>
          </cell>
          <cell r="O674">
            <v>78.95</v>
          </cell>
          <cell r="P674">
            <v>95.8</v>
          </cell>
        </row>
        <row r="675">
          <cell r="D675" t="str">
            <v>FER089</v>
          </cell>
          <cell r="E675" t="str">
            <v>LICOR FERNET BRANCA 750ML X12</v>
          </cell>
          <cell r="F675">
            <v>76.08</v>
          </cell>
          <cell r="G675">
            <v>76.08</v>
          </cell>
          <cell r="H675">
            <v>77.599999999999994</v>
          </cell>
          <cell r="I675">
            <v>77.599999999999994</v>
          </cell>
          <cell r="J675" t="str">
            <v>KLS</v>
          </cell>
          <cell r="K675" t="str">
            <v>OTR</v>
          </cell>
          <cell r="L675" t="str">
            <v>OTR</v>
          </cell>
          <cell r="M675">
            <v>0</v>
          </cell>
          <cell r="N675">
            <v>0</v>
          </cell>
          <cell r="O675">
            <v>63.6</v>
          </cell>
          <cell r="P675">
            <v>81.48</v>
          </cell>
        </row>
        <row r="676">
          <cell r="D676" t="str">
            <v>TAB001</v>
          </cell>
          <cell r="E676" t="str">
            <v>SALSA TABASCO SALSA PICANTE 60ML X 12</v>
          </cell>
          <cell r="F676">
            <v>11.62</v>
          </cell>
          <cell r="G676">
            <v>11.62</v>
          </cell>
          <cell r="H676">
            <v>11.87</v>
          </cell>
          <cell r="I676">
            <v>11.87</v>
          </cell>
          <cell r="J676" t="str">
            <v>KLS</v>
          </cell>
          <cell r="K676" t="str">
            <v>OTR</v>
          </cell>
          <cell r="L676" t="str">
            <v>OTR</v>
          </cell>
          <cell r="M676">
            <v>0</v>
          </cell>
          <cell r="N676">
            <v>0</v>
          </cell>
          <cell r="O676">
            <v>0</v>
          </cell>
          <cell r="P676">
            <v>12.46</v>
          </cell>
        </row>
        <row r="677">
          <cell r="D677" t="str">
            <v>404278</v>
          </cell>
          <cell r="E677" t="str">
            <v>QUESO DE CHANCHO PZ 3KG OK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 t="str">
            <v>SIG</v>
          </cell>
          <cell r="K677" t="str">
            <v>OTK</v>
          </cell>
          <cell r="L677" t="str">
            <v>QSO</v>
          </cell>
          <cell r="M677">
            <v>0</v>
          </cell>
          <cell r="N677">
            <v>0</v>
          </cell>
          <cell r="O677">
            <v>48.97</v>
          </cell>
          <cell r="P677">
            <v>57.46</v>
          </cell>
        </row>
        <row r="678">
          <cell r="D678" t="str">
            <v>403525</v>
          </cell>
          <cell r="E678" t="str">
            <v>QUESO GOUDA 90GR BDT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 t="str">
            <v>SIG</v>
          </cell>
          <cell r="K678" t="str">
            <v>OTK</v>
          </cell>
          <cell r="L678" t="str">
            <v>QSO</v>
          </cell>
          <cell r="M678">
            <v>0</v>
          </cell>
          <cell r="N678">
            <v>0</v>
          </cell>
          <cell r="O678">
            <v>0</v>
          </cell>
          <cell r="P678">
            <v>4.6399999999999997</v>
          </cell>
        </row>
        <row r="679">
          <cell r="D679" t="str">
            <v>404279</v>
          </cell>
          <cell r="E679" t="str">
            <v>QUESO DE CHANCHO PQ 100GR 7LJ OK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 t="str">
            <v>SIG</v>
          </cell>
          <cell r="K679" t="str">
            <v>OTK</v>
          </cell>
          <cell r="L679" t="str">
            <v>QSO</v>
          </cell>
          <cell r="M679">
            <v>0</v>
          </cell>
          <cell r="N679">
            <v>0</v>
          </cell>
          <cell r="O679">
            <v>0</v>
          </cell>
          <cell r="P679">
            <v>2.4500000000000002</v>
          </cell>
        </row>
        <row r="680">
          <cell r="D680" t="str">
            <v>PICROC</v>
          </cell>
          <cell r="E680" t="str">
            <v>PICADILLO C/ ROCOTO X 250GR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 t="str">
            <v>AGC</v>
          </cell>
          <cell r="K680" t="str">
            <v>ACT</v>
          </cell>
          <cell r="L680" t="str">
            <v>OLI</v>
          </cell>
          <cell r="M680">
            <v>0</v>
          </cell>
          <cell r="N680">
            <v>0</v>
          </cell>
          <cell r="O680">
            <v>12.65</v>
          </cell>
          <cell r="P680">
            <v>13.2</v>
          </cell>
        </row>
        <row r="681">
          <cell r="D681" t="str">
            <v>ACENEG1</v>
          </cell>
          <cell r="E681" t="str">
            <v>ACEITUNA NEGRA X 300GR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 t="str">
            <v>AGC</v>
          </cell>
          <cell r="K681" t="str">
            <v>ACT</v>
          </cell>
          <cell r="L681" t="str">
            <v>OLI</v>
          </cell>
          <cell r="M681">
            <v>0</v>
          </cell>
          <cell r="N681">
            <v>0</v>
          </cell>
          <cell r="O681">
            <v>8.35</v>
          </cell>
          <cell r="P681">
            <v>8.65</v>
          </cell>
        </row>
        <row r="682">
          <cell r="D682" t="str">
            <v>PASACE1</v>
          </cell>
          <cell r="E682" t="str">
            <v>PASTA ACEITUNA D.P X500GR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 t="str">
            <v>AGC</v>
          </cell>
          <cell r="K682" t="str">
            <v>ACT</v>
          </cell>
          <cell r="L682" t="str">
            <v>OLI</v>
          </cell>
          <cell r="M682">
            <v>0</v>
          </cell>
          <cell r="N682">
            <v>0</v>
          </cell>
          <cell r="O682">
            <v>13.95</v>
          </cell>
          <cell r="P682">
            <v>14.4</v>
          </cell>
        </row>
        <row r="683">
          <cell r="D683" t="str">
            <v>ACO12</v>
          </cell>
          <cell r="E683" t="str">
            <v>ACT.OLIVA JARRA ARTESANAL 300ML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 t="str">
            <v>AGC</v>
          </cell>
          <cell r="K683" t="str">
            <v>ACT</v>
          </cell>
          <cell r="L683" t="str">
            <v>OLI</v>
          </cell>
          <cell r="M683">
            <v>0</v>
          </cell>
          <cell r="N683">
            <v>0</v>
          </cell>
          <cell r="O683">
            <v>0</v>
          </cell>
          <cell r="P683">
            <v>41.05</v>
          </cell>
        </row>
        <row r="684">
          <cell r="D684" t="str">
            <v>ACENEG</v>
          </cell>
          <cell r="E684" t="str">
            <v>ACEITUNA NEGRA X 500GR</v>
          </cell>
          <cell r="F684">
            <v>13.35</v>
          </cell>
          <cell r="G684">
            <v>13.35</v>
          </cell>
          <cell r="H684">
            <v>13.35</v>
          </cell>
          <cell r="I684">
            <v>13.35</v>
          </cell>
          <cell r="J684" t="str">
            <v>AGC</v>
          </cell>
          <cell r="K684" t="str">
            <v>ACT</v>
          </cell>
          <cell r="L684" t="str">
            <v>OLI</v>
          </cell>
          <cell r="M684">
            <v>0</v>
          </cell>
          <cell r="N684">
            <v>0</v>
          </cell>
          <cell r="O684">
            <v>0</v>
          </cell>
          <cell r="P684">
            <v>13.8</v>
          </cell>
        </row>
        <row r="685">
          <cell r="D685" t="str">
            <v>ACEVER</v>
          </cell>
          <cell r="E685" t="str">
            <v>ACEITUNA VERDE X 500GR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 t="str">
            <v>AGC</v>
          </cell>
          <cell r="K685" t="str">
            <v>ACT</v>
          </cell>
          <cell r="L685" t="str">
            <v>OLI</v>
          </cell>
          <cell r="M685">
            <v>0</v>
          </cell>
          <cell r="N685">
            <v>0</v>
          </cell>
          <cell r="O685">
            <v>0</v>
          </cell>
          <cell r="P685">
            <v>13.8</v>
          </cell>
        </row>
        <row r="686">
          <cell r="D686" t="str">
            <v>PASACE</v>
          </cell>
          <cell r="E686" t="str">
            <v>PASTA ACEITUNA D.P X250GR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 t="str">
            <v>AGC</v>
          </cell>
          <cell r="K686" t="str">
            <v>ACT</v>
          </cell>
          <cell r="L686" t="str">
            <v>OLI</v>
          </cell>
          <cell r="M686">
            <v>0</v>
          </cell>
          <cell r="N686">
            <v>0</v>
          </cell>
          <cell r="O686">
            <v>0</v>
          </cell>
          <cell r="P686">
            <v>8.65</v>
          </cell>
        </row>
        <row r="687">
          <cell r="D687" t="str">
            <v>PICPIM</v>
          </cell>
          <cell r="E687" t="str">
            <v>PICADILLO C/ PIMIENTO X 250GR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 t="str">
            <v>AGC</v>
          </cell>
          <cell r="K687" t="str">
            <v>ACT</v>
          </cell>
          <cell r="L687" t="str">
            <v>OLI</v>
          </cell>
          <cell r="M687">
            <v>0</v>
          </cell>
          <cell r="N687">
            <v>0</v>
          </cell>
          <cell r="O687">
            <v>12.65</v>
          </cell>
          <cell r="P687">
            <v>13.2</v>
          </cell>
        </row>
        <row r="688">
          <cell r="D688" t="str">
            <v>ACO7</v>
          </cell>
          <cell r="E688" t="str">
            <v>PACK ACT.OLIVA 4 PRE.VIDRI (1LT+500ML+250ML+JAR.260ML)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 t="str">
            <v>AGC</v>
          </cell>
          <cell r="K688" t="str">
            <v>ACT</v>
          </cell>
          <cell r="L688" t="str">
            <v>OLI</v>
          </cell>
          <cell r="M688">
            <v>0</v>
          </cell>
          <cell r="N688">
            <v>0</v>
          </cell>
          <cell r="O688">
            <v>72.45</v>
          </cell>
          <cell r="P688">
            <v>82.8</v>
          </cell>
        </row>
        <row r="689">
          <cell r="D689" t="str">
            <v>ACO1</v>
          </cell>
          <cell r="E689" t="str">
            <v>ACT.OLIVA VIDRIO 1LT X24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 t="str">
            <v>AGC</v>
          </cell>
          <cell r="K689" t="str">
            <v>ACT</v>
          </cell>
          <cell r="L689" t="str">
            <v>OLI</v>
          </cell>
          <cell r="M689">
            <v>0</v>
          </cell>
          <cell r="N689">
            <v>0</v>
          </cell>
          <cell r="O689">
            <v>47.25</v>
          </cell>
          <cell r="P689">
            <v>55.1</v>
          </cell>
        </row>
        <row r="690">
          <cell r="D690" t="str">
            <v>ACO14</v>
          </cell>
          <cell r="E690" t="str">
            <v>ACT.OLIVA VIDRIO 200ML X36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 t="str">
            <v>AGC</v>
          </cell>
          <cell r="K690" t="str">
            <v>ACT</v>
          </cell>
          <cell r="L690" t="str">
            <v>OLI</v>
          </cell>
          <cell r="M690">
            <v>0</v>
          </cell>
          <cell r="N690">
            <v>0</v>
          </cell>
          <cell r="O690">
            <v>11.03</v>
          </cell>
          <cell r="P690">
            <v>12.3</v>
          </cell>
        </row>
        <row r="691">
          <cell r="D691" t="str">
            <v>ACOJ</v>
          </cell>
          <cell r="E691" t="str">
            <v>ACT.OLIVA VIDRIO JARRITA 260ML X36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 t="str">
            <v>AGC</v>
          </cell>
          <cell r="K691" t="str">
            <v>ACT</v>
          </cell>
          <cell r="L691" t="str">
            <v>OLI</v>
          </cell>
          <cell r="M691">
            <v>0</v>
          </cell>
          <cell r="N691">
            <v>0</v>
          </cell>
          <cell r="O691">
            <v>15.22</v>
          </cell>
          <cell r="P691">
            <v>17</v>
          </cell>
        </row>
        <row r="692">
          <cell r="D692" t="str">
            <v>ACO2</v>
          </cell>
          <cell r="E692" t="str">
            <v>ACT.OLIVA VIDRIO 500ML X36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 t="str">
            <v>AGC</v>
          </cell>
          <cell r="K692" t="str">
            <v>ACT</v>
          </cell>
          <cell r="L692" t="str">
            <v>OLI</v>
          </cell>
          <cell r="M692">
            <v>0</v>
          </cell>
          <cell r="N692">
            <v>0</v>
          </cell>
          <cell r="O692">
            <v>24.15</v>
          </cell>
          <cell r="P692">
            <v>28.15</v>
          </cell>
        </row>
        <row r="693">
          <cell r="D693" t="str">
            <v>ACO3</v>
          </cell>
          <cell r="E693" t="str">
            <v>ACT.OLIVA VIDRIO 250ML X36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 t="str">
            <v>AGC</v>
          </cell>
          <cell r="K693" t="str">
            <v>ACT</v>
          </cell>
          <cell r="L693" t="str">
            <v>OLI</v>
          </cell>
          <cell r="M693">
            <v>0</v>
          </cell>
          <cell r="N693">
            <v>0</v>
          </cell>
          <cell r="O693">
            <v>16.28</v>
          </cell>
          <cell r="P693">
            <v>16.2</v>
          </cell>
        </row>
        <row r="694">
          <cell r="D694" t="str">
            <v>ACOOJ</v>
          </cell>
          <cell r="E694" t="str">
            <v>ACT.OLIVA VIDRIO GARRAFA 200ML X36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 t="str">
            <v>AGC</v>
          </cell>
          <cell r="K694" t="str">
            <v>ACT</v>
          </cell>
          <cell r="L694" t="str">
            <v>OLI</v>
          </cell>
          <cell r="M694">
            <v>0</v>
          </cell>
          <cell r="N694">
            <v>0</v>
          </cell>
          <cell r="O694">
            <v>11.55</v>
          </cell>
          <cell r="P694">
            <v>13</v>
          </cell>
        </row>
        <row r="695">
          <cell r="D695" t="str">
            <v>45801</v>
          </cell>
          <cell r="E695" t="str">
            <v>PRINGLESS ORIGINAL 124GR X14</v>
          </cell>
          <cell r="F695">
            <v>8.85</v>
          </cell>
          <cell r="G695">
            <v>8.85</v>
          </cell>
          <cell r="H695">
            <v>8.85</v>
          </cell>
          <cell r="I695">
            <v>8.85</v>
          </cell>
          <cell r="J695" t="str">
            <v>YIC</v>
          </cell>
          <cell r="K695" t="str">
            <v>PRI</v>
          </cell>
          <cell r="L695" t="str">
            <v>PRI</v>
          </cell>
          <cell r="M695">
            <v>0</v>
          </cell>
          <cell r="N695">
            <v>0</v>
          </cell>
          <cell r="O695">
            <v>7.1</v>
          </cell>
          <cell r="P695">
            <v>10.95</v>
          </cell>
        </row>
        <row r="696">
          <cell r="D696" t="str">
            <v>45802</v>
          </cell>
          <cell r="E696" t="str">
            <v>PRINGLESS QUESO 124GR X14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 t="str">
            <v>YIC</v>
          </cell>
          <cell r="K696" t="str">
            <v>PRI</v>
          </cell>
          <cell r="L696" t="str">
            <v>PRI</v>
          </cell>
          <cell r="M696">
            <v>0</v>
          </cell>
          <cell r="N696">
            <v>0</v>
          </cell>
          <cell r="O696">
            <v>0</v>
          </cell>
          <cell r="P696">
            <v>10.95</v>
          </cell>
        </row>
        <row r="697">
          <cell r="D697" t="str">
            <v>42396</v>
          </cell>
          <cell r="E697" t="str">
            <v>PRINGLESS CREM&amp;CEBOLL 40GR X12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 t="str">
            <v>YIC</v>
          </cell>
          <cell r="K697" t="str">
            <v>PRI</v>
          </cell>
          <cell r="L697" t="str">
            <v>PRI</v>
          </cell>
          <cell r="M697">
            <v>0</v>
          </cell>
          <cell r="N697">
            <v>0</v>
          </cell>
          <cell r="O697">
            <v>0</v>
          </cell>
          <cell r="P697">
            <v>3.3</v>
          </cell>
        </row>
        <row r="698">
          <cell r="D698" t="str">
            <v>42390</v>
          </cell>
          <cell r="E698" t="str">
            <v>PRINGLESS ORIGINAL 37GR X12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 t="str">
            <v>YIC</v>
          </cell>
          <cell r="K698" t="str">
            <v>PRI</v>
          </cell>
          <cell r="L698" t="str">
            <v>PRI</v>
          </cell>
          <cell r="M698">
            <v>0</v>
          </cell>
          <cell r="N698">
            <v>0</v>
          </cell>
          <cell r="O698">
            <v>4.12</v>
          </cell>
          <cell r="P698">
            <v>4.8499999999999996</v>
          </cell>
        </row>
        <row r="699">
          <cell r="D699" t="str">
            <v>45803</v>
          </cell>
          <cell r="E699" t="str">
            <v>PRINGLES CREM&amp;CEBOLL X124GR X14</v>
          </cell>
          <cell r="F699">
            <v>7.45</v>
          </cell>
          <cell r="G699">
            <v>7.45</v>
          </cell>
          <cell r="H699">
            <v>7.45</v>
          </cell>
          <cell r="I699">
            <v>7.45</v>
          </cell>
          <cell r="J699" t="str">
            <v>YIC</v>
          </cell>
          <cell r="K699" t="str">
            <v>PRI</v>
          </cell>
          <cell r="L699" t="str">
            <v>PRI</v>
          </cell>
          <cell r="M699">
            <v>0</v>
          </cell>
          <cell r="N699">
            <v>0</v>
          </cell>
          <cell r="O699">
            <v>0</v>
          </cell>
          <cell r="P699">
            <v>10.95</v>
          </cell>
        </row>
        <row r="700">
          <cell r="D700" t="str">
            <v>672</v>
          </cell>
          <cell r="E700" t="str">
            <v>C&amp;C VAINILLA CREAM 355ML X 24</v>
          </cell>
          <cell r="F700">
            <v>2.99</v>
          </cell>
          <cell r="G700">
            <v>2.99</v>
          </cell>
          <cell r="H700">
            <v>2.99</v>
          </cell>
          <cell r="I700">
            <v>2.99</v>
          </cell>
          <cell r="J700" t="str">
            <v>C&amp;C</v>
          </cell>
          <cell r="K700" t="str">
            <v>OTR</v>
          </cell>
          <cell r="L700" t="str">
            <v>OTR</v>
          </cell>
          <cell r="M700">
            <v>0</v>
          </cell>
          <cell r="N700">
            <v>0</v>
          </cell>
          <cell r="O700">
            <v>0</v>
          </cell>
          <cell r="P700">
            <v>2.99</v>
          </cell>
        </row>
        <row r="701">
          <cell r="D701" t="str">
            <v>674</v>
          </cell>
          <cell r="E701" t="str">
            <v>C&amp;C GINGER ALE LATA 355ML X 24</v>
          </cell>
          <cell r="F701">
            <v>2.99</v>
          </cell>
          <cell r="G701">
            <v>2.99</v>
          </cell>
          <cell r="H701">
            <v>2.99</v>
          </cell>
          <cell r="I701">
            <v>2.99</v>
          </cell>
          <cell r="J701" t="str">
            <v>C&amp;C</v>
          </cell>
          <cell r="K701" t="str">
            <v>OTR</v>
          </cell>
          <cell r="L701" t="str">
            <v>OTR</v>
          </cell>
          <cell r="M701">
            <v>0</v>
          </cell>
          <cell r="N701">
            <v>0</v>
          </cell>
          <cell r="O701">
            <v>0</v>
          </cell>
          <cell r="P701">
            <v>2.99</v>
          </cell>
        </row>
        <row r="702">
          <cell r="D702" t="str">
            <v>687</v>
          </cell>
          <cell r="E702" t="str">
            <v>C&amp;C ORANGE PINEAPPLE LATA 355ML X 24</v>
          </cell>
          <cell r="F702">
            <v>2.99</v>
          </cell>
          <cell r="G702">
            <v>2.99</v>
          </cell>
          <cell r="H702">
            <v>2.99</v>
          </cell>
          <cell r="I702">
            <v>2.99</v>
          </cell>
          <cell r="J702" t="str">
            <v>C&amp;C</v>
          </cell>
          <cell r="K702" t="str">
            <v>OTR</v>
          </cell>
          <cell r="L702" t="str">
            <v>OTR</v>
          </cell>
          <cell r="M702">
            <v>0</v>
          </cell>
          <cell r="N702">
            <v>0</v>
          </cell>
          <cell r="O702">
            <v>0</v>
          </cell>
          <cell r="P702">
            <v>2.99</v>
          </cell>
        </row>
        <row r="703">
          <cell r="D703" t="str">
            <v>688</v>
          </cell>
          <cell r="E703" t="str">
            <v>C&amp;C STRAWBERRY LATA 355ML X 24</v>
          </cell>
          <cell r="F703">
            <v>2.99</v>
          </cell>
          <cell r="G703">
            <v>2.99</v>
          </cell>
          <cell r="H703">
            <v>2.99</v>
          </cell>
          <cell r="I703">
            <v>2.99</v>
          </cell>
          <cell r="J703" t="str">
            <v>C&amp;C</v>
          </cell>
          <cell r="K703" t="str">
            <v>OTR</v>
          </cell>
          <cell r="L703" t="str">
            <v>OTR</v>
          </cell>
          <cell r="M703">
            <v>0</v>
          </cell>
          <cell r="N703">
            <v>0</v>
          </cell>
          <cell r="O703">
            <v>0</v>
          </cell>
          <cell r="P703">
            <v>2.99</v>
          </cell>
        </row>
        <row r="704">
          <cell r="D704" t="str">
            <v>677</v>
          </cell>
          <cell r="E704" t="str">
            <v>C&amp;C ORANGE LATA 355ML X 24</v>
          </cell>
          <cell r="F704">
            <v>2.99</v>
          </cell>
          <cell r="G704">
            <v>2.99</v>
          </cell>
          <cell r="H704">
            <v>2.99</v>
          </cell>
          <cell r="I704">
            <v>2.99</v>
          </cell>
          <cell r="J704" t="str">
            <v>C&amp;C</v>
          </cell>
          <cell r="K704" t="str">
            <v>OTR</v>
          </cell>
          <cell r="L704" t="str">
            <v>OTR</v>
          </cell>
          <cell r="M704">
            <v>0</v>
          </cell>
          <cell r="N704">
            <v>0</v>
          </cell>
          <cell r="O704">
            <v>0</v>
          </cell>
          <cell r="P704">
            <v>2.99</v>
          </cell>
        </row>
        <row r="705">
          <cell r="D705" t="str">
            <v>676M</v>
          </cell>
          <cell r="E705" t="str">
            <v>C&amp;C LEMON 355ML X 24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 t="str">
            <v>C&amp;C</v>
          </cell>
          <cell r="K705" t="str">
            <v>OTR</v>
          </cell>
          <cell r="L705" t="str">
            <v>OTR</v>
          </cell>
          <cell r="M705">
            <v>0</v>
          </cell>
          <cell r="N705">
            <v>0</v>
          </cell>
          <cell r="O705">
            <v>0</v>
          </cell>
          <cell r="P705">
            <v>2.99</v>
          </cell>
        </row>
        <row r="706">
          <cell r="D706" t="str">
            <v>682</v>
          </cell>
          <cell r="E706" t="str">
            <v>C&amp;C DIET GINGER ALE 355ML X 24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 t="str">
            <v>C&amp;C</v>
          </cell>
          <cell r="K706" t="str">
            <v>OTR</v>
          </cell>
          <cell r="L706" t="str">
            <v>OTR</v>
          </cell>
          <cell r="M706">
            <v>0</v>
          </cell>
          <cell r="N706">
            <v>0</v>
          </cell>
          <cell r="O706">
            <v>0</v>
          </cell>
          <cell r="P706">
            <v>2.99</v>
          </cell>
        </row>
        <row r="707">
          <cell r="D707" t="str">
            <v>683M</v>
          </cell>
          <cell r="E707" t="str">
            <v xml:space="preserve">C&amp;C SELTZER 355ML X 24 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 t="str">
            <v>C&amp;C</v>
          </cell>
          <cell r="K707" t="str">
            <v>OTR</v>
          </cell>
          <cell r="L707" t="str">
            <v>OTR</v>
          </cell>
          <cell r="M707">
            <v>0</v>
          </cell>
          <cell r="N707">
            <v>0</v>
          </cell>
          <cell r="O707">
            <v>0</v>
          </cell>
          <cell r="P707">
            <v>2.99</v>
          </cell>
        </row>
        <row r="708">
          <cell r="D708" t="str">
            <v>673</v>
          </cell>
          <cell r="E708" t="str">
            <v>C&amp;C FRUIT PUNCH 355ML X 24</v>
          </cell>
          <cell r="F708">
            <v>2.99</v>
          </cell>
          <cell r="G708">
            <v>2.99</v>
          </cell>
          <cell r="H708">
            <v>2.99</v>
          </cell>
          <cell r="I708">
            <v>2.99</v>
          </cell>
          <cell r="J708" t="str">
            <v>C&amp;C</v>
          </cell>
          <cell r="K708" t="str">
            <v>OTR</v>
          </cell>
          <cell r="L708" t="str">
            <v>OTR</v>
          </cell>
          <cell r="M708">
            <v>0</v>
          </cell>
          <cell r="N708">
            <v>0</v>
          </cell>
          <cell r="O708">
            <v>2.5</v>
          </cell>
          <cell r="P708">
            <v>2.99</v>
          </cell>
        </row>
        <row r="709">
          <cell r="D709" t="str">
            <v>0670</v>
          </cell>
          <cell r="E709" t="str">
            <v>C&amp;C BLACK CHERRY LATA 355ML X 24</v>
          </cell>
          <cell r="F709">
            <v>2.99</v>
          </cell>
          <cell r="G709">
            <v>2.99</v>
          </cell>
          <cell r="H709">
            <v>2.99</v>
          </cell>
          <cell r="I709">
            <v>2.99</v>
          </cell>
          <cell r="J709" t="str">
            <v>C&amp;C</v>
          </cell>
          <cell r="K709" t="str">
            <v>OTR</v>
          </cell>
          <cell r="L709" t="str">
            <v>OTR</v>
          </cell>
          <cell r="M709">
            <v>0</v>
          </cell>
          <cell r="N709">
            <v>0</v>
          </cell>
          <cell r="O709">
            <v>0</v>
          </cell>
          <cell r="P709">
            <v>2.99</v>
          </cell>
        </row>
        <row r="710">
          <cell r="D710" t="str">
            <v>676</v>
          </cell>
          <cell r="E710" t="str">
            <v>C&amp;C LEMON  LATA 355ML X 24</v>
          </cell>
          <cell r="F710">
            <v>2.99</v>
          </cell>
          <cell r="G710">
            <v>2.99</v>
          </cell>
          <cell r="H710">
            <v>2.99</v>
          </cell>
          <cell r="I710">
            <v>2.99</v>
          </cell>
          <cell r="J710" t="str">
            <v>C&amp;C</v>
          </cell>
          <cell r="K710" t="str">
            <v>OTR</v>
          </cell>
          <cell r="L710" t="str">
            <v>OTR</v>
          </cell>
          <cell r="M710">
            <v>0</v>
          </cell>
          <cell r="N710">
            <v>0</v>
          </cell>
          <cell r="O710">
            <v>0</v>
          </cell>
          <cell r="P710">
            <v>2.99</v>
          </cell>
        </row>
        <row r="711">
          <cell r="D711" t="str">
            <v>683</v>
          </cell>
          <cell r="E711" t="str">
            <v>C&amp;C SELTZER 355ML X 24</v>
          </cell>
          <cell r="F711">
            <v>2.99</v>
          </cell>
          <cell r="G711">
            <v>2.99</v>
          </cell>
          <cell r="H711">
            <v>2.99</v>
          </cell>
          <cell r="I711">
            <v>2.99</v>
          </cell>
          <cell r="J711" t="str">
            <v>C&amp;C</v>
          </cell>
          <cell r="K711" t="str">
            <v>OTR</v>
          </cell>
          <cell r="L711" t="str">
            <v>OTR</v>
          </cell>
          <cell r="M711">
            <v>0</v>
          </cell>
          <cell r="N711">
            <v>0</v>
          </cell>
          <cell r="O711">
            <v>0</v>
          </cell>
          <cell r="P711">
            <v>2.99</v>
          </cell>
        </row>
        <row r="712">
          <cell r="D712" t="str">
            <v>680</v>
          </cell>
          <cell r="E712" t="str">
            <v>C&amp;C WATERMELON LATA 355ML X 24</v>
          </cell>
          <cell r="F712">
            <v>2.99</v>
          </cell>
          <cell r="G712">
            <v>2.99</v>
          </cell>
          <cell r="H712">
            <v>2.99</v>
          </cell>
          <cell r="I712">
            <v>2.99</v>
          </cell>
          <cell r="J712" t="str">
            <v>C&amp;C</v>
          </cell>
          <cell r="K712" t="str">
            <v>OTR</v>
          </cell>
          <cell r="L712" t="str">
            <v>OTR</v>
          </cell>
          <cell r="M712">
            <v>0</v>
          </cell>
          <cell r="N712">
            <v>0</v>
          </cell>
          <cell r="O712">
            <v>0</v>
          </cell>
          <cell r="P712">
            <v>2.99</v>
          </cell>
        </row>
        <row r="713">
          <cell r="D713" t="str">
            <v>687M</v>
          </cell>
          <cell r="E713" t="str">
            <v>C&amp;C ORANGE PINEAPPLE LATA 355ML X 24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 t="str">
            <v>C&amp;C</v>
          </cell>
          <cell r="K713" t="str">
            <v>OTR</v>
          </cell>
          <cell r="L713" t="str">
            <v>OTR</v>
          </cell>
          <cell r="M713">
            <v>0</v>
          </cell>
          <cell r="N713">
            <v>0</v>
          </cell>
          <cell r="O713">
            <v>0</v>
          </cell>
          <cell r="P713">
            <v>2.99</v>
          </cell>
        </row>
        <row r="714">
          <cell r="D714" t="str">
            <v>671</v>
          </cell>
          <cell r="E714" t="str">
            <v>C&amp;C CLASSIC COLA LATA 355ML X 24</v>
          </cell>
          <cell r="F714">
            <v>2.99</v>
          </cell>
          <cell r="G714">
            <v>2.99</v>
          </cell>
          <cell r="H714">
            <v>2.99</v>
          </cell>
          <cell r="I714">
            <v>2.99</v>
          </cell>
          <cell r="J714" t="str">
            <v>C&amp;C</v>
          </cell>
          <cell r="K714" t="str">
            <v>OTR</v>
          </cell>
          <cell r="L714" t="str">
            <v>OTR</v>
          </cell>
          <cell r="M714">
            <v>0</v>
          </cell>
          <cell r="N714">
            <v>0</v>
          </cell>
          <cell r="O714">
            <v>0</v>
          </cell>
          <cell r="P714">
            <v>2.99</v>
          </cell>
        </row>
        <row r="715">
          <cell r="D715" t="str">
            <v>678</v>
          </cell>
          <cell r="E715" t="str">
            <v>C&amp;C PINEAPPLE LATA 355ML X 24</v>
          </cell>
          <cell r="F715">
            <v>2.99</v>
          </cell>
          <cell r="G715">
            <v>2.99</v>
          </cell>
          <cell r="H715">
            <v>2.99</v>
          </cell>
          <cell r="I715">
            <v>2.99</v>
          </cell>
          <cell r="J715" t="str">
            <v>C&amp;C</v>
          </cell>
          <cell r="K715" t="str">
            <v>OTR</v>
          </cell>
          <cell r="L715" t="str">
            <v>OTR</v>
          </cell>
          <cell r="M715">
            <v>0</v>
          </cell>
          <cell r="N715">
            <v>0</v>
          </cell>
          <cell r="O715">
            <v>0</v>
          </cell>
          <cell r="P715">
            <v>2.99</v>
          </cell>
        </row>
        <row r="716">
          <cell r="D716" t="str">
            <v>675</v>
          </cell>
          <cell r="E716" t="str">
            <v>C&amp;C GRAPE LATA 355ML X 24</v>
          </cell>
          <cell r="F716">
            <v>2.99</v>
          </cell>
          <cell r="G716">
            <v>2.99</v>
          </cell>
          <cell r="H716">
            <v>2.99</v>
          </cell>
          <cell r="I716">
            <v>2.99</v>
          </cell>
          <cell r="J716" t="str">
            <v>C&amp;C</v>
          </cell>
          <cell r="K716" t="str">
            <v>OTR</v>
          </cell>
          <cell r="L716" t="str">
            <v>OTR</v>
          </cell>
          <cell r="M716">
            <v>0</v>
          </cell>
          <cell r="N716">
            <v>0</v>
          </cell>
          <cell r="O716">
            <v>2.5</v>
          </cell>
          <cell r="P716">
            <v>2.99</v>
          </cell>
        </row>
        <row r="717">
          <cell r="D717" t="str">
            <v>682M</v>
          </cell>
          <cell r="E717" t="str">
            <v>C&amp;C DIET GINGER ALE 355ML X 24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 t="str">
            <v>C&amp;C</v>
          </cell>
          <cell r="K717" t="str">
            <v>OTR</v>
          </cell>
          <cell r="L717" t="str">
            <v>OTR</v>
          </cell>
          <cell r="M717">
            <v>0</v>
          </cell>
          <cell r="N717">
            <v>0</v>
          </cell>
          <cell r="O717">
            <v>0</v>
          </cell>
          <cell r="P717">
            <v>2.99</v>
          </cell>
        </row>
        <row r="718">
          <cell r="D718" t="str">
            <v>681</v>
          </cell>
          <cell r="E718" t="str">
            <v>C&amp;C DIET COLA LATA 355ML X 24</v>
          </cell>
          <cell r="F718">
            <v>2.99</v>
          </cell>
          <cell r="G718">
            <v>2.99</v>
          </cell>
          <cell r="H718">
            <v>2.99</v>
          </cell>
          <cell r="I718">
            <v>2.99</v>
          </cell>
          <cell r="J718" t="str">
            <v>C&amp;C</v>
          </cell>
          <cell r="K718" t="str">
            <v>OTR</v>
          </cell>
          <cell r="L718" t="str">
            <v>OTR</v>
          </cell>
          <cell r="M718">
            <v>0</v>
          </cell>
          <cell r="N718">
            <v>0</v>
          </cell>
          <cell r="O718">
            <v>0</v>
          </cell>
          <cell r="P718">
            <v>2.99</v>
          </cell>
        </row>
        <row r="719">
          <cell r="D719" t="str">
            <v>212011</v>
          </cell>
          <cell r="E719" t="str">
            <v xml:space="preserve">M&amp;M'S .PF.MILK MINI TUBOS 30.6GX24 </v>
          </cell>
          <cell r="F719">
            <v>3.6</v>
          </cell>
          <cell r="G719">
            <v>3.6</v>
          </cell>
          <cell r="H719">
            <v>3.67</v>
          </cell>
          <cell r="I719">
            <v>3.67</v>
          </cell>
          <cell r="J719" t="str">
            <v>PFA</v>
          </cell>
          <cell r="K719" t="str">
            <v>MRS</v>
          </cell>
          <cell r="L719" t="str">
            <v>M&amp;M</v>
          </cell>
          <cell r="M719">
            <v>0</v>
          </cell>
          <cell r="N719">
            <v>0</v>
          </cell>
          <cell r="O719">
            <v>2.6</v>
          </cell>
          <cell r="P719">
            <v>4</v>
          </cell>
        </row>
        <row r="720">
          <cell r="D720" t="str">
            <v>212384</v>
          </cell>
          <cell r="E720" t="str">
            <v>M&amp;M'S PEANUT BUTTER 49GX 24</v>
          </cell>
          <cell r="F720">
            <v>2.99</v>
          </cell>
          <cell r="G720">
            <v>2.99</v>
          </cell>
          <cell r="H720">
            <v>3.05</v>
          </cell>
          <cell r="I720">
            <v>3.05</v>
          </cell>
          <cell r="J720" t="str">
            <v>PFA</v>
          </cell>
          <cell r="K720" t="str">
            <v>MRS</v>
          </cell>
          <cell r="L720" t="str">
            <v>M&amp;M</v>
          </cell>
          <cell r="M720">
            <v>0</v>
          </cell>
          <cell r="N720">
            <v>0</v>
          </cell>
          <cell r="O720">
            <v>0</v>
          </cell>
          <cell r="P720">
            <v>3.05</v>
          </cell>
        </row>
        <row r="721">
          <cell r="D721" t="str">
            <v>212008</v>
          </cell>
          <cell r="E721" t="str">
            <v>M&amp;M'S PRETZEL CHOCO.32.3GR X24</v>
          </cell>
          <cell r="F721">
            <v>3.6</v>
          </cell>
          <cell r="G721">
            <v>3.6</v>
          </cell>
          <cell r="H721">
            <v>3.67</v>
          </cell>
          <cell r="I721">
            <v>3.67</v>
          </cell>
          <cell r="J721" t="str">
            <v>PFA</v>
          </cell>
          <cell r="K721" t="str">
            <v>MRS</v>
          </cell>
          <cell r="L721" t="str">
            <v>M&amp;M</v>
          </cell>
          <cell r="M721">
            <v>0</v>
          </cell>
          <cell r="N721">
            <v>0</v>
          </cell>
          <cell r="O721">
            <v>0</v>
          </cell>
          <cell r="P721">
            <v>3.67</v>
          </cell>
        </row>
        <row r="722">
          <cell r="D722" t="str">
            <v>212302</v>
          </cell>
          <cell r="E722" t="str">
            <v>M&amp;M'S MILK CHOCOLATE 45 GR X18</v>
          </cell>
          <cell r="F722">
            <v>4.0599999999999996</v>
          </cell>
          <cell r="G722">
            <v>4.0599999999999996</v>
          </cell>
          <cell r="H722">
            <v>4.1399999999999997</v>
          </cell>
          <cell r="I722">
            <v>4.1399999999999997</v>
          </cell>
          <cell r="J722" t="str">
            <v>PFA</v>
          </cell>
          <cell r="K722" t="str">
            <v>MRS</v>
          </cell>
          <cell r="L722" t="str">
            <v>M&amp;M</v>
          </cell>
          <cell r="M722">
            <v>0</v>
          </cell>
          <cell r="N722">
            <v>0</v>
          </cell>
          <cell r="O722">
            <v>3.13</v>
          </cell>
          <cell r="P722">
            <v>3.79</v>
          </cell>
        </row>
        <row r="723">
          <cell r="D723" t="str">
            <v>212085</v>
          </cell>
          <cell r="E723" t="str">
            <v>M&amp;M MILK CHOCOLATE BOLSA 150.3 GR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 t="str">
            <v>PFA</v>
          </cell>
          <cell r="K723" t="str">
            <v>MRS</v>
          </cell>
          <cell r="L723" t="str">
            <v>M&amp;M</v>
          </cell>
          <cell r="M723">
            <v>0</v>
          </cell>
          <cell r="N723">
            <v>0</v>
          </cell>
          <cell r="O723">
            <v>0</v>
          </cell>
          <cell r="P723">
            <v>10.77</v>
          </cell>
        </row>
        <row r="724">
          <cell r="D724" t="str">
            <v>212303</v>
          </cell>
          <cell r="E724" t="str">
            <v>M&amp;M'S PEANUT 45GR X18</v>
          </cell>
          <cell r="F724">
            <v>3.6</v>
          </cell>
          <cell r="G724">
            <v>3.6</v>
          </cell>
          <cell r="H724">
            <v>3.67</v>
          </cell>
          <cell r="I724">
            <v>3.67</v>
          </cell>
          <cell r="J724" t="str">
            <v>PFA</v>
          </cell>
          <cell r="K724" t="str">
            <v>MRS</v>
          </cell>
          <cell r="L724" t="str">
            <v>M&amp;M</v>
          </cell>
          <cell r="M724">
            <v>0</v>
          </cell>
          <cell r="N724">
            <v>0</v>
          </cell>
          <cell r="O724">
            <v>3.23</v>
          </cell>
          <cell r="P724">
            <v>3.79</v>
          </cell>
        </row>
        <row r="725">
          <cell r="D725" t="str">
            <v>000383</v>
          </cell>
          <cell r="E725" t="str">
            <v>PALITOS BROCHETAX30CMX100</v>
          </cell>
          <cell r="F725">
            <v>1.88</v>
          </cell>
          <cell r="G725">
            <v>1.88</v>
          </cell>
          <cell r="H725">
            <v>1.92</v>
          </cell>
          <cell r="I725">
            <v>1.92</v>
          </cell>
          <cell r="J725" t="str">
            <v>FPE</v>
          </cell>
          <cell r="K725" t="str">
            <v>INT</v>
          </cell>
          <cell r="L725" t="str">
            <v>BRO</v>
          </cell>
          <cell r="M725">
            <v>0</v>
          </cell>
          <cell r="N725">
            <v>0</v>
          </cell>
          <cell r="O725">
            <v>1.64</v>
          </cell>
          <cell r="P725">
            <v>1.99</v>
          </cell>
        </row>
        <row r="726">
          <cell r="D726" t="str">
            <v>705605</v>
          </cell>
          <cell r="E726" t="str">
            <v>RON BAHIA BLACK STAR 750ML X12</v>
          </cell>
          <cell r="F726">
            <v>15.11</v>
          </cell>
          <cell r="G726">
            <v>15.11</v>
          </cell>
          <cell r="H726">
            <v>15.72</v>
          </cell>
          <cell r="I726">
            <v>15.72</v>
          </cell>
          <cell r="J726" t="str">
            <v>AVV</v>
          </cell>
          <cell r="K726" t="str">
            <v>RON</v>
          </cell>
          <cell r="L726" t="str">
            <v>BHI</v>
          </cell>
          <cell r="M726">
            <v>0</v>
          </cell>
          <cell r="N726">
            <v>0</v>
          </cell>
          <cell r="O726">
            <v>13.3</v>
          </cell>
          <cell r="P726">
            <v>16.510000000000002</v>
          </cell>
        </row>
        <row r="727">
          <cell r="D727" t="str">
            <v>705606</v>
          </cell>
          <cell r="E727" t="str">
            <v>RON BAHIA GOLD 750ML X12</v>
          </cell>
          <cell r="F727">
            <v>15.11</v>
          </cell>
          <cell r="G727">
            <v>15.11</v>
          </cell>
          <cell r="H727">
            <v>15.72</v>
          </cell>
          <cell r="I727">
            <v>15.72</v>
          </cell>
          <cell r="J727" t="str">
            <v>AVV</v>
          </cell>
          <cell r="K727" t="str">
            <v>RON</v>
          </cell>
          <cell r="L727" t="str">
            <v>BHI</v>
          </cell>
          <cell r="M727">
            <v>0</v>
          </cell>
          <cell r="N727">
            <v>0</v>
          </cell>
          <cell r="O727">
            <v>13.3</v>
          </cell>
          <cell r="P727">
            <v>16.510000000000002</v>
          </cell>
        </row>
        <row r="728">
          <cell r="D728" t="str">
            <v>0504030</v>
          </cell>
          <cell r="E728" t="str">
            <v>CAS/ DIABLO MERLOT 750ML X12</v>
          </cell>
          <cell r="F728">
            <v>28.83</v>
          </cell>
          <cell r="G728">
            <v>28.83</v>
          </cell>
          <cell r="H728">
            <v>29.32</v>
          </cell>
          <cell r="I728">
            <v>29.32</v>
          </cell>
          <cell r="J728" t="str">
            <v>YIC</v>
          </cell>
          <cell r="K728" t="str">
            <v>LIC</v>
          </cell>
          <cell r="L728" t="str">
            <v>DIB</v>
          </cell>
          <cell r="M728">
            <v>0</v>
          </cell>
          <cell r="N728">
            <v>0</v>
          </cell>
          <cell r="O728">
            <v>0</v>
          </cell>
          <cell r="P728">
            <v>32.25</v>
          </cell>
        </row>
        <row r="729">
          <cell r="D729" t="str">
            <v>47181</v>
          </cell>
          <cell r="E729" t="str">
            <v>DIABLO DARK RED 750ML X12</v>
          </cell>
          <cell r="F729">
            <v>53.63</v>
          </cell>
          <cell r="G729">
            <v>53.63</v>
          </cell>
          <cell r="H729">
            <v>53.63</v>
          </cell>
          <cell r="I729">
            <v>53.63</v>
          </cell>
          <cell r="J729" t="str">
            <v>YIC</v>
          </cell>
          <cell r="K729" t="str">
            <v>LIC</v>
          </cell>
          <cell r="L729" t="str">
            <v>DIB</v>
          </cell>
          <cell r="M729">
            <v>0</v>
          </cell>
          <cell r="N729">
            <v>0</v>
          </cell>
          <cell r="O729">
            <v>47.7</v>
          </cell>
          <cell r="P729">
            <v>61.67</v>
          </cell>
        </row>
        <row r="730">
          <cell r="D730" t="str">
            <v>51811</v>
          </cell>
          <cell r="E730" t="str">
            <v>DIABLO BLACK 750ML X12</v>
          </cell>
          <cell r="F730">
            <v>52.57</v>
          </cell>
          <cell r="G730">
            <v>52.57</v>
          </cell>
          <cell r="H730">
            <v>53.63</v>
          </cell>
          <cell r="I730">
            <v>53.63</v>
          </cell>
          <cell r="J730" t="str">
            <v>YIC</v>
          </cell>
          <cell r="K730" t="str">
            <v>LIC</v>
          </cell>
          <cell r="L730" t="str">
            <v>DIB</v>
          </cell>
          <cell r="M730">
            <v>0</v>
          </cell>
          <cell r="N730">
            <v>0</v>
          </cell>
          <cell r="O730">
            <v>45.43</v>
          </cell>
          <cell r="P730">
            <v>61.67</v>
          </cell>
        </row>
        <row r="731">
          <cell r="D731" t="str">
            <v>0504025</v>
          </cell>
          <cell r="E731" t="str">
            <v>CAS/ DIABLO MALBEC 750ML X12</v>
          </cell>
          <cell r="F731">
            <v>28.09</v>
          </cell>
          <cell r="G731">
            <v>28.09</v>
          </cell>
          <cell r="H731">
            <v>28.57</v>
          </cell>
          <cell r="I731">
            <v>28.57</v>
          </cell>
          <cell r="J731" t="str">
            <v>YIC</v>
          </cell>
          <cell r="K731" t="str">
            <v>LIC</v>
          </cell>
          <cell r="L731" t="str">
            <v>DIB</v>
          </cell>
          <cell r="M731">
            <v>0</v>
          </cell>
          <cell r="N731">
            <v>0</v>
          </cell>
          <cell r="O731">
            <v>0</v>
          </cell>
          <cell r="P731">
            <v>29.14</v>
          </cell>
        </row>
        <row r="732">
          <cell r="D732" t="str">
            <v>48507</v>
          </cell>
          <cell r="E732" t="str">
            <v>WHIS.MACALLAN 12AÑ 700ML X12</v>
          </cell>
          <cell r="F732">
            <v>416.44</v>
          </cell>
          <cell r="G732">
            <v>416.44</v>
          </cell>
          <cell r="H732">
            <v>425.48</v>
          </cell>
          <cell r="I732">
            <v>425.48</v>
          </cell>
          <cell r="J732" t="str">
            <v>YIC</v>
          </cell>
          <cell r="K732" t="str">
            <v>LIC</v>
          </cell>
          <cell r="L732" t="str">
            <v>WHI</v>
          </cell>
          <cell r="M732">
            <v>0</v>
          </cell>
          <cell r="N732">
            <v>0</v>
          </cell>
          <cell r="O732">
            <v>359.05</v>
          </cell>
          <cell r="P732">
            <v>468.02</v>
          </cell>
        </row>
        <row r="733">
          <cell r="D733" t="str">
            <v>ABU022</v>
          </cell>
          <cell r="E733" t="str">
            <v>RON ABU AÑEJO750ML+ RON ABU AÑEJO 200ML</v>
          </cell>
          <cell r="F733">
            <v>41.58</v>
          </cell>
          <cell r="G733">
            <v>41.58</v>
          </cell>
          <cell r="H733">
            <v>42.41</v>
          </cell>
          <cell r="I733">
            <v>42.41</v>
          </cell>
          <cell r="J733" t="str">
            <v>KLS</v>
          </cell>
          <cell r="K733" t="str">
            <v>LIC</v>
          </cell>
          <cell r="L733" t="str">
            <v>RON</v>
          </cell>
          <cell r="M733">
            <v>0</v>
          </cell>
          <cell r="N733">
            <v>0</v>
          </cell>
          <cell r="O733">
            <v>37.5</v>
          </cell>
          <cell r="P733">
            <v>42.41</v>
          </cell>
        </row>
        <row r="734">
          <cell r="D734" t="str">
            <v>ABU003</v>
          </cell>
          <cell r="E734" t="str">
            <v>RON ABUELO 12 AÑ 750ML X12</v>
          </cell>
          <cell r="F734">
            <v>122.8</v>
          </cell>
          <cell r="G734">
            <v>122.8</v>
          </cell>
          <cell r="H734">
            <v>125.26</v>
          </cell>
          <cell r="I734">
            <v>125.26</v>
          </cell>
          <cell r="J734" t="str">
            <v>KLS</v>
          </cell>
          <cell r="K734" t="str">
            <v>LIC</v>
          </cell>
          <cell r="L734" t="str">
            <v>RON</v>
          </cell>
          <cell r="M734">
            <v>0</v>
          </cell>
          <cell r="N734">
            <v>0</v>
          </cell>
          <cell r="O734">
            <v>105.05</v>
          </cell>
          <cell r="P734">
            <v>131.52000000000001</v>
          </cell>
        </row>
        <row r="735">
          <cell r="D735" t="str">
            <v>ABU001</v>
          </cell>
          <cell r="E735" t="str">
            <v>RON ABUELO AÑEJO 750ML X12</v>
          </cell>
          <cell r="F735">
            <v>39.49</v>
          </cell>
          <cell r="G735">
            <v>39.49</v>
          </cell>
          <cell r="H735">
            <v>40.28</v>
          </cell>
          <cell r="I735">
            <v>40.28</v>
          </cell>
          <cell r="J735" t="str">
            <v>KLS</v>
          </cell>
          <cell r="K735" t="str">
            <v>LIC</v>
          </cell>
          <cell r="L735" t="str">
            <v>RON</v>
          </cell>
          <cell r="M735">
            <v>0</v>
          </cell>
          <cell r="N735">
            <v>0</v>
          </cell>
          <cell r="O735">
            <v>34.200000000000003</v>
          </cell>
          <cell r="P735">
            <v>42.29</v>
          </cell>
        </row>
        <row r="736">
          <cell r="D736" t="str">
            <v>ABU002</v>
          </cell>
          <cell r="E736" t="str">
            <v>RON ABUELO 7 AÑ 750ML X12</v>
          </cell>
          <cell r="F736">
            <v>84.37</v>
          </cell>
          <cell r="G736">
            <v>84.37</v>
          </cell>
          <cell r="H736">
            <v>84.37</v>
          </cell>
          <cell r="I736">
            <v>84.37</v>
          </cell>
          <cell r="J736" t="str">
            <v>KLS</v>
          </cell>
          <cell r="K736" t="str">
            <v>LIC</v>
          </cell>
          <cell r="L736" t="str">
            <v>RON</v>
          </cell>
          <cell r="M736">
            <v>0</v>
          </cell>
          <cell r="N736">
            <v>0</v>
          </cell>
          <cell r="O736">
            <v>71.900000000000006</v>
          </cell>
          <cell r="P736">
            <v>88.58</v>
          </cell>
        </row>
        <row r="737">
          <cell r="D737" t="str">
            <v>ABU023</v>
          </cell>
          <cell r="E737" t="str">
            <v>RON ABUELO 7 AÑOS 750ML+ 3MINI 12AÑ X 50ML</v>
          </cell>
          <cell r="F737">
            <v>80.819999999999993</v>
          </cell>
          <cell r="G737">
            <v>80.819999999999993</v>
          </cell>
          <cell r="H737">
            <v>82.44</v>
          </cell>
          <cell r="I737">
            <v>82.44</v>
          </cell>
          <cell r="J737" t="str">
            <v>KLS</v>
          </cell>
          <cell r="K737" t="str">
            <v>LIC</v>
          </cell>
          <cell r="L737" t="str">
            <v>RON</v>
          </cell>
          <cell r="M737">
            <v>0</v>
          </cell>
          <cell r="N737">
            <v>0</v>
          </cell>
          <cell r="O737">
            <v>71.91</v>
          </cell>
          <cell r="P737">
            <v>86.56</v>
          </cell>
        </row>
        <row r="738">
          <cell r="D738" t="str">
            <v>ABU024</v>
          </cell>
          <cell r="E738" t="str">
            <v>RON ABUELO AÑEJO 7 AÑOS 1TL</v>
          </cell>
          <cell r="F738">
            <v>98.64</v>
          </cell>
          <cell r="G738">
            <v>98.64</v>
          </cell>
          <cell r="H738">
            <v>100.61</v>
          </cell>
          <cell r="I738">
            <v>100.61</v>
          </cell>
          <cell r="J738" t="str">
            <v>KLS</v>
          </cell>
          <cell r="K738" t="str">
            <v>LIC</v>
          </cell>
          <cell r="L738" t="str">
            <v>RON</v>
          </cell>
          <cell r="M738">
            <v>0</v>
          </cell>
          <cell r="N738">
            <v>0</v>
          </cell>
          <cell r="O738">
            <v>0</v>
          </cell>
          <cell r="P738">
            <v>105.65</v>
          </cell>
        </row>
        <row r="739">
          <cell r="D739" t="str">
            <v>ABU004</v>
          </cell>
          <cell r="E739" t="str">
            <v>RON ABUELO CENTURIA 750ML X12</v>
          </cell>
          <cell r="F739">
            <v>681.18</v>
          </cell>
          <cell r="G739">
            <v>681.18</v>
          </cell>
          <cell r="H739">
            <v>694.8</v>
          </cell>
          <cell r="I739">
            <v>694.8</v>
          </cell>
          <cell r="J739" t="str">
            <v>KLS</v>
          </cell>
          <cell r="K739" t="str">
            <v>LIC</v>
          </cell>
          <cell r="L739" t="str">
            <v>RON</v>
          </cell>
          <cell r="M739">
            <v>0</v>
          </cell>
          <cell r="N739">
            <v>0</v>
          </cell>
          <cell r="O739">
            <v>619</v>
          </cell>
          <cell r="P739">
            <v>729.54</v>
          </cell>
        </row>
        <row r="740">
          <cell r="D740" t="str">
            <v>ABU015</v>
          </cell>
          <cell r="E740" t="str">
            <v>RON ABUELO XII AÑOS TWO OAKS 750ML X12</v>
          </cell>
          <cell r="F740">
            <v>264.17</v>
          </cell>
          <cell r="G740">
            <v>264.17</v>
          </cell>
          <cell r="H740">
            <v>269.45</v>
          </cell>
          <cell r="I740">
            <v>269.45</v>
          </cell>
          <cell r="J740" t="str">
            <v>KLS</v>
          </cell>
          <cell r="K740" t="str">
            <v>LIC</v>
          </cell>
          <cell r="L740" t="str">
            <v>RON</v>
          </cell>
          <cell r="M740">
            <v>0</v>
          </cell>
          <cell r="N740">
            <v>0</v>
          </cell>
          <cell r="O740">
            <v>239.9</v>
          </cell>
          <cell r="P740">
            <v>282.92</v>
          </cell>
        </row>
        <row r="741">
          <cell r="D741" t="str">
            <v>ABU014</v>
          </cell>
          <cell r="E741" t="str">
            <v>RON ABUELO AÑEJO 1.75 LT X 6</v>
          </cell>
          <cell r="F741">
            <v>80.09</v>
          </cell>
          <cell r="G741">
            <v>80.09</v>
          </cell>
          <cell r="H741">
            <v>81.69</v>
          </cell>
          <cell r="I741">
            <v>81.69</v>
          </cell>
          <cell r="J741" t="str">
            <v>KLS</v>
          </cell>
          <cell r="K741" t="str">
            <v>LIC</v>
          </cell>
          <cell r="L741" t="str">
            <v>RON</v>
          </cell>
          <cell r="M741">
            <v>0</v>
          </cell>
          <cell r="N741">
            <v>0</v>
          </cell>
          <cell r="O741">
            <v>74.95</v>
          </cell>
          <cell r="P741">
            <v>85.77</v>
          </cell>
        </row>
        <row r="742">
          <cell r="D742" t="str">
            <v>RON0180</v>
          </cell>
          <cell r="E742" t="str">
            <v>RON ABUELO ANEJO 1LT X 12</v>
          </cell>
          <cell r="F742">
            <v>41.54</v>
          </cell>
          <cell r="G742">
            <v>41.54</v>
          </cell>
          <cell r="H742">
            <v>42.44</v>
          </cell>
          <cell r="I742">
            <v>42.44</v>
          </cell>
          <cell r="J742" t="str">
            <v>KLS</v>
          </cell>
          <cell r="K742" t="str">
            <v>LIC</v>
          </cell>
          <cell r="L742" t="str">
            <v>RON</v>
          </cell>
          <cell r="M742">
            <v>0</v>
          </cell>
          <cell r="N742">
            <v>0</v>
          </cell>
          <cell r="O742">
            <v>0</v>
          </cell>
          <cell r="P742">
            <v>44.56</v>
          </cell>
        </row>
        <row r="743">
          <cell r="D743" t="str">
            <v>404045</v>
          </cell>
          <cell r="E743" t="str">
            <v>PARMESANO TROZADO 250GR AP SIGMA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 t="str">
            <v>SIG</v>
          </cell>
          <cell r="K743" t="str">
            <v>SEG</v>
          </cell>
          <cell r="L743" t="str">
            <v>PIZ</v>
          </cell>
          <cell r="M743">
            <v>0</v>
          </cell>
          <cell r="N743">
            <v>0</v>
          </cell>
          <cell r="O743">
            <v>13.31</v>
          </cell>
          <cell r="P743">
            <v>15.85</v>
          </cell>
        </row>
        <row r="744">
          <cell r="D744" t="str">
            <v>403754</v>
          </cell>
          <cell r="E744" t="str">
            <v>PIZZERO 3KG SEGO REG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 t="str">
            <v>SIG</v>
          </cell>
          <cell r="K744" t="str">
            <v>SEG</v>
          </cell>
          <cell r="L744" t="str">
            <v>PIZ</v>
          </cell>
          <cell r="M744">
            <v>0</v>
          </cell>
          <cell r="N744">
            <v>0</v>
          </cell>
          <cell r="O744">
            <v>0</v>
          </cell>
          <cell r="P744">
            <v>49.26</v>
          </cell>
        </row>
        <row r="745">
          <cell r="D745" t="str">
            <v>4001450</v>
          </cell>
          <cell r="E745" t="str">
            <v>RON CARTAVIO PACK (BLACK 1L+ SUPERIOR 1L)</v>
          </cell>
          <cell r="F745">
            <v>40.33</v>
          </cell>
          <cell r="G745">
            <v>40.33</v>
          </cell>
          <cell r="H745">
            <v>41.04</v>
          </cell>
          <cell r="I745">
            <v>41.04</v>
          </cell>
          <cell r="J745" t="str">
            <v>CAR</v>
          </cell>
          <cell r="K745" t="str">
            <v>LIC</v>
          </cell>
          <cell r="L745" t="str">
            <v>RON</v>
          </cell>
          <cell r="M745">
            <v>0</v>
          </cell>
          <cell r="N745">
            <v>0</v>
          </cell>
          <cell r="O745">
            <v>0</v>
          </cell>
          <cell r="P745">
            <v>42.06</v>
          </cell>
        </row>
        <row r="746">
          <cell r="D746" t="str">
            <v>40001003</v>
          </cell>
          <cell r="E746" t="str">
            <v>R.CARTAVIO COCO 750ML X12</v>
          </cell>
          <cell r="F746">
            <v>19.52</v>
          </cell>
          <cell r="G746">
            <v>19.52</v>
          </cell>
          <cell r="H746">
            <v>19.84</v>
          </cell>
          <cell r="I746">
            <v>19.84</v>
          </cell>
          <cell r="J746" t="str">
            <v>CAR</v>
          </cell>
          <cell r="K746" t="str">
            <v>LIC</v>
          </cell>
          <cell r="L746" t="str">
            <v>RON</v>
          </cell>
          <cell r="M746">
            <v>0</v>
          </cell>
          <cell r="N746">
            <v>0</v>
          </cell>
          <cell r="O746">
            <v>0</v>
          </cell>
          <cell r="P746">
            <v>18.5</v>
          </cell>
        </row>
        <row r="747">
          <cell r="D747" t="str">
            <v>40000628</v>
          </cell>
          <cell r="E747" t="str">
            <v>R.CABO BLANCO BLACK 750ML X12</v>
          </cell>
          <cell r="F747">
            <v>15.13</v>
          </cell>
          <cell r="G747">
            <v>15.13</v>
          </cell>
          <cell r="H747">
            <v>15.13</v>
          </cell>
          <cell r="I747">
            <v>15.13</v>
          </cell>
          <cell r="J747" t="str">
            <v>CAR</v>
          </cell>
          <cell r="K747" t="str">
            <v>LIC</v>
          </cell>
          <cell r="L747" t="str">
            <v>RON</v>
          </cell>
          <cell r="M747">
            <v>0</v>
          </cell>
          <cell r="N747">
            <v>0</v>
          </cell>
          <cell r="O747">
            <v>12.87</v>
          </cell>
          <cell r="P747">
            <v>16.64</v>
          </cell>
        </row>
        <row r="748">
          <cell r="D748" t="str">
            <v>40000779</v>
          </cell>
          <cell r="E748" t="str">
            <v xml:space="preserve">R.CARTAVIO BLACK 250ML X36 </v>
          </cell>
          <cell r="F748">
            <v>9.11</v>
          </cell>
          <cell r="G748">
            <v>9.11</v>
          </cell>
          <cell r="H748">
            <v>9.11</v>
          </cell>
          <cell r="I748">
            <v>9.11</v>
          </cell>
          <cell r="J748" t="str">
            <v>CAR</v>
          </cell>
          <cell r="K748" t="str">
            <v>LIC</v>
          </cell>
          <cell r="L748" t="str">
            <v>RON</v>
          </cell>
          <cell r="M748">
            <v>0</v>
          </cell>
          <cell r="N748">
            <v>0</v>
          </cell>
          <cell r="O748">
            <v>0</v>
          </cell>
          <cell r="P748">
            <v>9.65</v>
          </cell>
        </row>
        <row r="749">
          <cell r="D749" t="str">
            <v>40001062</v>
          </cell>
          <cell r="E749" t="str">
            <v>R.CART.ALTARIUM 3AÑ 750ML X12</v>
          </cell>
          <cell r="F749">
            <v>19.52</v>
          </cell>
          <cell r="G749">
            <v>19.52</v>
          </cell>
          <cell r="H749">
            <v>19.86</v>
          </cell>
          <cell r="I749">
            <v>19.86</v>
          </cell>
          <cell r="J749" t="str">
            <v>CAR</v>
          </cell>
          <cell r="K749" t="str">
            <v>LIC</v>
          </cell>
          <cell r="L749" t="str">
            <v>RON</v>
          </cell>
          <cell r="M749">
            <v>0</v>
          </cell>
          <cell r="N749">
            <v>0</v>
          </cell>
          <cell r="O749">
            <v>0</v>
          </cell>
          <cell r="P749">
            <v>18.5</v>
          </cell>
        </row>
        <row r="750">
          <cell r="D750" t="str">
            <v>40001001</v>
          </cell>
          <cell r="E750" t="str">
            <v>R.CARTAVIO DURAZNO 750ML X12</v>
          </cell>
          <cell r="F750">
            <v>19.52</v>
          </cell>
          <cell r="G750">
            <v>19.52</v>
          </cell>
          <cell r="H750">
            <v>19.84</v>
          </cell>
          <cell r="I750">
            <v>19.84</v>
          </cell>
          <cell r="J750" t="str">
            <v>CAR</v>
          </cell>
          <cell r="K750" t="str">
            <v>LIC</v>
          </cell>
          <cell r="L750" t="str">
            <v>RON</v>
          </cell>
          <cell r="M750">
            <v>0</v>
          </cell>
          <cell r="N750">
            <v>0</v>
          </cell>
          <cell r="O750">
            <v>0</v>
          </cell>
          <cell r="P750">
            <v>18.5</v>
          </cell>
        </row>
        <row r="751">
          <cell r="D751" t="str">
            <v xml:space="preserve">40001221 </v>
          </cell>
          <cell r="E751" t="str">
            <v>R.CARTAVIO SOLERA AÑEJADO 750ML X12</v>
          </cell>
          <cell r="F751">
            <v>73.38</v>
          </cell>
          <cell r="G751">
            <v>73.38</v>
          </cell>
          <cell r="H751">
            <v>73.38</v>
          </cell>
          <cell r="I751">
            <v>73.38</v>
          </cell>
          <cell r="J751" t="str">
            <v>CAR</v>
          </cell>
          <cell r="K751" t="str">
            <v>LIC</v>
          </cell>
          <cell r="L751" t="str">
            <v>RON</v>
          </cell>
          <cell r="M751">
            <v>0</v>
          </cell>
          <cell r="N751">
            <v>0</v>
          </cell>
          <cell r="O751">
            <v>63.42</v>
          </cell>
          <cell r="P751">
            <v>80.72</v>
          </cell>
        </row>
        <row r="752">
          <cell r="D752" t="str">
            <v>500593</v>
          </cell>
          <cell r="E752" t="str">
            <v>PACK.CABO BLANCO BLACK 900ML+ BIG COLA 1.7L</v>
          </cell>
          <cell r="F752">
            <v>17.559999999999999</v>
          </cell>
          <cell r="G752">
            <v>17.559999999999999</v>
          </cell>
          <cell r="H752">
            <v>17.559999999999999</v>
          </cell>
          <cell r="I752">
            <v>17.559999999999999</v>
          </cell>
          <cell r="J752" t="str">
            <v>CAR</v>
          </cell>
          <cell r="K752" t="str">
            <v>LIC</v>
          </cell>
          <cell r="L752" t="str">
            <v>RON</v>
          </cell>
          <cell r="M752">
            <v>0</v>
          </cell>
          <cell r="N752">
            <v>0</v>
          </cell>
          <cell r="O752">
            <v>0</v>
          </cell>
          <cell r="P752">
            <v>19.32</v>
          </cell>
        </row>
        <row r="753">
          <cell r="D753" t="str">
            <v>40001153</v>
          </cell>
          <cell r="E753" t="str">
            <v>R.CARTAVIO GRAN SOLERA 750M6 X 6</v>
          </cell>
          <cell r="F753">
            <v>119.4</v>
          </cell>
          <cell r="G753">
            <v>119.4</v>
          </cell>
          <cell r="H753">
            <v>119.4</v>
          </cell>
          <cell r="I753">
            <v>119.4</v>
          </cell>
          <cell r="J753" t="str">
            <v>CAR</v>
          </cell>
          <cell r="K753" t="str">
            <v>LIC</v>
          </cell>
          <cell r="L753" t="str">
            <v>RON</v>
          </cell>
          <cell r="M753">
            <v>0</v>
          </cell>
          <cell r="N753">
            <v>0</v>
          </cell>
          <cell r="O753">
            <v>106.8</v>
          </cell>
          <cell r="P753">
            <v>131.34</v>
          </cell>
        </row>
        <row r="754">
          <cell r="D754" t="str">
            <v>40001038</v>
          </cell>
          <cell r="E754" t="str">
            <v>R.CARTAVIO BLACK 1.75 LT X6</v>
          </cell>
          <cell r="F754">
            <v>41.15</v>
          </cell>
          <cell r="G754">
            <v>41.15</v>
          </cell>
          <cell r="H754">
            <v>41.15</v>
          </cell>
          <cell r="I754">
            <v>41.15</v>
          </cell>
          <cell r="J754" t="str">
            <v>CAR</v>
          </cell>
          <cell r="K754" t="str">
            <v>LIC</v>
          </cell>
          <cell r="L754" t="str">
            <v>RON</v>
          </cell>
          <cell r="M754">
            <v>0</v>
          </cell>
          <cell r="N754">
            <v>0</v>
          </cell>
          <cell r="O754">
            <v>0</v>
          </cell>
          <cell r="P754">
            <v>45.27</v>
          </cell>
        </row>
        <row r="755">
          <cell r="D755" t="str">
            <v>40000693</v>
          </cell>
          <cell r="E755" t="str">
            <v>R.CABO BLANCO BLACK 1 LT X12</v>
          </cell>
          <cell r="F755">
            <v>16.73</v>
          </cell>
          <cell r="G755">
            <v>16.73</v>
          </cell>
          <cell r="H755">
            <v>16.73</v>
          </cell>
          <cell r="I755">
            <v>16.73</v>
          </cell>
          <cell r="J755" t="str">
            <v>CAR</v>
          </cell>
          <cell r="K755" t="str">
            <v>LIC</v>
          </cell>
          <cell r="L755" t="str">
            <v>RON</v>
          </cell>
          <cell r="M755">
            <v>0</v>
          </cell>
          <cell r="N755">
            <v>0</v>
          </cell>
          <cell r="O755">
            <v>0</v>
          </cell>
          <cell r="P755">
            <v>18.399999999999999</v>
          </cell>
        </row>
        <row r="756">
          <cell r="D756" t="str">
            <v>40000894</v>
          </cell>
          <cell r="E756" t="str">
            <v>RON CARTAVIO SUPERIOR 500ML X24</v>
          </cell>
          <cell r="F756">
            <v>14.04</v>
          </cell>
          <cell r="G756">
            <v>14.04</v>
          </cell>
          <cell r="H756">
            <v>14.29</v>
          </cell>
          <cell r="I756">
            <v>14.29</v>
          </cell>
          <cell r="J756" t="str">
            <v>CAR</v>
          </cell>
          <cell r="K756" t="str">
            <v>LIC</v>
          </cell>
          <cell r="L756" t="str">
            <v>RON</v>
          </cell>
          <cell r="M756">
            <v>0</v>
          </cell>
          <cell r="N756">
            <v>0</v>
          </cell>
          <cell r="O756">
            <v>0</v>
          </cell>
          <cell r="P756">
            <v>14.29</v>
          </cell>
        </row>
        <row r="757">
          <cell r="D757" t="str">
            <v>40000778</v>
          </cell>
          <cell r="E757" t="str">
            <v>R.CARTAVIO SUPERIOR 250ML X36</v>
          </cell>
          <cell r="F757">
            <v>9.11</v>
          </cell>
          <cell r="G757">
            <v>9.11</v>
          </cell>
          <cell r="H757">
            <v>9.11</v>
          </cell>
          <cell r="I757">
            <v>9.11</v>
          </cell>
          <cell r="J757" t="str">
            <v>CAR</v>
          </cell>
          <cell r="K757" t="str">
            <v>LIC</v>
          </cell>
          <cell r="L757" t="str">
            <v>RON</v>
          </cell>
          <cell r="M757">
            <v>0</v>
          </cell>
          <cell r="N757">
            <v>0</v>
          </cell>
          <cell r="O757">
            <v>0</v>
          </cell>
          <cell r="P757">
            <v>9.65</v>
          </cell>
        </row>
        <row r="758">
          <cell r="D758" t="str">
            <v>40000044</v>
          </cell>
          <cell r="E758" t="str">
            <v>R.CARTAVIO BLACK 125ML X36</v>
          </cell>
          <cell r="F758">
            <v>5.79</v>
          </cell>
          <cell r="G758">
            <v>5.79</v>
          </cell>
          <cell r="H758">
            <v>5.79</v>
          </cell>
          <cell r="I758">
            <v>5.79</v>
          </cell>
          <cell r="J758" t="str">
            <v>CAR</v>
          </cell>
          <cell r="K758" t="str">
            <v>LIC</v>
          </cell>
          <cell r="L758" t="str">
            <v>RON</v>
          </cell>
          <cell r="M758">
            <v>0</v>
          </cell>
          <cell r="N758">
            <v>0</v>
          </cell>
          <cell r="O758">
            <v>0</v>
          </cell>
          <cell r="P758">
            <v>5.97</v>
          </cell>
        </row>
        <row r="759">
          <cell r="D759" t="str">
            <v>40000041</v>
          </cell>
          <cell r="E759" t="str">
            <v>R.CARTAVIO SUPERIOR 750ML X12</v>
          </cell>
          <cell r="F759">
            <v>22.93</v>
          </cell>
          <cell r="G759">
            <v>22.93</v>
          </cell>
          <cell r="H759">
            <v>22.93</v>
          </cell>
          <cell r="I759">
            <v>22.93</v>
          </cell>
          <cell r="J759" t="str">
            <v>CAR</v>
          </cell>
          <cell r="K759" t="str">
            <v>LIC</v>
          </cell>
          <cell r="L759" t="str">
            <v>RON</v>
          </cell>
          <cell r="M759">
            <v>0</v>
          </cell>
          <cell r="N759">
            <v>0</v>
          </cell>
          <cell r="O759">
            <v>17.68</v>
          </cell>
          <cell r="P759">
            <v>24.51</v>
          </cell>
        </row>
        <row r="760">
          <cell r="D760" t="str">
            <v>40000780</v>
          </cell>
          <cell r="E760" t="str">
            <v>R.CARTAVIO BLANCO 250ML X36</v>
          </cell>
          <cell r="F760">
            <v>9.11</v>
          </cell>
          <cell r="G760">
            <v>9.11</v>
          </cell>
          <cell r="H760">
            <v>9.11</v>
          </cell>
          <cell r="I760">
            <v>9.11</v>
          </cell>
          <cell r="J760" t="str">
            <v>CAR</v>
          </cell>
          <cell r="K760" t="str">
            <v>LIC</v>
          </cell>
          <cell r="L760" t="str">
            <v>RON</v>
          </cell>
          <cell r="M760">
            <v>0</v>
          </cell>
          <cell r="N760">
            <v>0</v>
          </cell>
          <cell r="O760">
            <v>0</v>
          </cell>
          <cell r="P760">
            <v>9.65</v>
          </cell>
        </row>
        <row r="761">
          <cell r="D761" t="str">
            <v>40001008</v>
          </cell>
          <cell r="E761" t="str">
            <v>R.HIT CUBA LIBRE 355ML X24</v>
          </cell>
          <cell r="F761">
            <v>4.3</v>
          </cell>
          <cell r="G761">
            <v>4.3</v>
          </cell>
          <cell r="H761">
            <v>4.37</v>
          </cell>
          <cell r="I761">
            <v>4.37</v>
          </cell>
          <cell r="J761" t="str">
            <v>CAR</v>
          </cell>
          <cell r="K761" t="str">
            <v>LIC</v>
          </cell>
          <cell r="L761" t="str">
            <v>RON</v>
          </cell>
          <cell r="M761">
            <v>0</v>
          </cell>
          <cell r="N761">
            <v>0</v>
          </cell>
          <cell r="O761">
            <v>0</v>
          </cell>
          <cell r="P761">
            <v>4.07</v>
          </cell>
        </row>
        <row r="762">
          <cell r="D762" t="str">
            <v>4001451</v>
          </cell>
          <cell r="E762" t="str">
            <v>RON CARTAVIO PACK (BLACK 1L+ BLANCO 1L)</v>
          </cell>
          <cell r="F762">
            <v>40.33</v>
          </cell>
          <cell r="G762">
            <v>40.33</v>
          </cell>
          <cell r="H762">
            <v>41.04</v>
          </cell>
          <cell r="I762">
            <v>41.04</v>
          </cell>
          <cell r="J762" t="str">
            <v>CAR</v>
          </cell>
          <cell r="K762" t="str">
            <v>LIC</v>
          </cell>
          <cell r="L762" t="str">
            <v>RON</v>
          </cell>
          <cell r="M762">
            <v>0</v>
          </cell>
          <cell r="N762">
            <v>0</v>
          </cell>
          <cell r="O762">
            <v>0</v>
          </cell>
          <cell r="P762">
            <v>42.06</v>
          </cell>
        </row>
        <row r="763">
          <cell r="D763" t="str">
            <v>5000448</v>
          </cell>
          <cell r="E763" t="str">
            <v>R.KRAKEN BLACK SPICED 750ML X12</v>
          </cell>
          <cell r="F763">
            <v>85.92</v>
          </cell>
          <cell r="G763">
            <v>85.92</v>
          </cell>
          <cell r="H763">
            <v>85.92</v>
          </cell>
          <cell r="I763">
            <v>85.92</v>
          </cell>
          <cell r="J763" t="str">
            <v>CAR</v>
          </cell>
          <cell r="K763" t="str">
            <v>LIC</v>
          </cell>
          <cell r="L763" t="str">
            <v>RON</v>
          </cell>
          <cell r="M763">
            <v>0</v>
          </cell>
          <cell r="N763">
            <v>0</v>
          </cell>
          <cell r="O763">
            <v>73.63</v>
          </cell>
          <cell r="P763">
            <v>94.52</v>
          </cell>
        </row>
        <row r="764">
          <cell r="D764" t="str">
            <v>40001010</v>
          </cell>
          <cell r="E764" t="str">
            <v>R.HIT MOJITO 355ML X24</v>
          </cell>
          <cell r="F764">
            <v>4.3</v>
          </cell>
          <cell r="G764">
            <v>4.3</v>
          </cell>
          <cell r="H764">
            <v>4.37</v>
          </cell>
          <cell r="I764">
            <v>4.37</v>
          </cell>
          <cell r="J764" t="str">
            <v>CAR</v>
          </cell>
          <cell r="K764" t="str">
            <v>LIC</v>
          </cell>
          <cell r="L764" t="str">
            <v>RON</v>
          </cell>
          <cell r="M764">
            <v>0</v>
          </cell>
          <cell r="N764">
            <v>0</v>
          </cell>
          <cell r="O764">
            <v>0</v>
          </cell>
          <cell r="P764">
            <v>4.07</v>
          </cell>
        </row>
        <row r="765">
          <cell r="D765" t="str">
            <v>40000038</v>
          </cell>
          <cell r="E765" t="str">
            <v>R.CARTAVIO BLANCO 125ML X36</v>
          </cell>
          <cell r="F765">
            <v>5.43</v>
          </cell>
          <cell r="G765">
            <v>5.43</v>
          </cell>
          <cell r="H765">
            <v>5.43</v>
          </cell>
          <cell r="I765">
            <v>5.43</v>
          </cell>
          <cell r="J765" t="str">
            <v>CAR</v>
          </cell>
          <cell r="K765" t="str">
            <v>LIC</v>
          </cell>
          <cell r="L765" t="str">
            <v>RON</v>
          </cell>
          <cell r="M765">
            <v>0</v>
          </cell>
          <cell r="N765">
            <v>0</v>
          </cell>
          <cell r="O765">
            <v>0</v>
          </cell>
          <cell r="P765">
            <v>5.97</v>
          </cell>
        </row>
        <row r="766">
          <cell r="D766" t="str">
            <v>500523</v>
          </cell>
          <cell r="E766" t="str">
            <v>R.CARTAVIO SIGNAT 700ML X 12</v>
          </cell>
          <cell r="F766">
            <v>418.2</v>
          </cell>
          <cell r="G766">
            <v>418.2</v>
          </cell>
          <cell r="H766">
            <v>418.2</v>
          </cell>
          <cell r="I766">
            <v>418.2</v>
          </cell>
          <cell r="J766" t="str">
            <v>CAR</v>
          </cell>
          <cell r="K766" t="str">
            <v>LIC</v>
          </cell>
          <cell r="L766" t="str">
            <v>RON</v>
          </cell>
          <cell r="M766">
            <v>0</v>
          </cell>
          <cell r="N766">
            <v>0</v>
          </cell>
          <cell r="O766">
            <v>0</v>
          </cell>
          <cell r="P766">
            <v>460.02</v>
          </cell>
        </row>
        <row r="767">
          <cell r="D767" t="str">
            <v>4000102</v>
          </cell>
          <cell r="E767" t="str">
            <v>PROM GRAN SOLERA PV 15 AÑOS S/CAJA 750ML X 12</v>
          </cell>
          <cell r="F767">
            <v>96.83</v>
          </cell>
          <cell r="G767">
            <v>96.83</v>
          </cell>
          <cell r="H767">
            <v>96.83</v>
          </cell>
          <cell r="I767">
            <v>96.83</v>
          </cell>
          <cell r="J767" t="str">
            <v>CAR</v>
          </cell>
          <cell r="K767" t="str">
            <v>LIC</v>
          </cell>
          <cell r="L767" t="str">
            <v>RON</v>
          </cell>
          <cell r="M767">
            <v>0</v>
          </cell>
          <cell r="N767">
            <v>0</v>
          </cell>
          <cell r="O767">
            <v>0</v>
          </cell>
          <cell r="P767">
            <v>106.51</v>
          </cell>
        </row>
        <row r="768">
          <cell r="D768" t="str">
            <v>40000042</v>
          </cell>
          <cell r="E768" t="str">
            <v>R.CARTAVIO BLACK 750ML X12</v>
          </cell>
          <cell r="F768">
            <v>22.93</v>
          </cell>
          <cell r="G768">
            <v>22.93</v>
          </cell>
          <cell r="H768">
            <v>22.93</v>
          </cell>
          <cell r="I768">
            <v>22.93</v>
          </cell>
          <cell r="J768" t="str">
            <v>CAR</v>
          </cell>
          <cell r="K768" t="str">
            <v>LIC</v>
          </cell>
          <cell r="L768" t="str">
            <v>RON</v>
          </cell>
          <cell r="M768">
            <v>0</v>
          </cell>
          <cell r="N768">
            <v>0</v>
          </cell>
          <cell r="O768">
            <v>19.649999999999999</v>
          </cell>
          <cell r="P768">
            <v>24.52</v>
          </cell>
        </row>
        <row r="769">
          <cell r="D769" t="str">
            <v>40000934</v>
          </cell>
          <cell r="E769" t="str">
            <v>R.CART.SELECTO 5AÑ BLANCO 750ML X12</v>
          </cell>
          <cell r="F769">
            <v>25.55</v>
          </cell>
          <cell r="G769">
            <v>25.55</v>
          </cell>
          <cell r="H769">
            <v>25.55</v>
          </cell>
          <cell r="I769">
            <v>25.55</v>
          </cell>
          <cell r="J769" t="str">
            <v>CAR</v>
          </cell>
          <cell r="K769" t="str">
            <v>LIC</v>
          </cell>
          <cell r="L769" t="str">
            <v>RON</v>
          </cell>
          <cell r="M769">
            <v>0</v>
          </cell>
          <cell r="N769">
            <v>0</v>
          </cell>
          <cell r="O769">
            <v>23.34</v>
          </cell>
          <cell r="P769">
            <v>28.11</v>
          </cell>
        </row>
        <row r="770">
          <cell r="D770" t="str">
            <v>40000785</v>
          </cell>
          <cell r="E770" t="str">
            <v>R.CARTAVIO RESERVA 750ML X12</v>
          </cell>
          <cell r="F770">
            <v>41.79</v>
          </cell>
          <cell r="G770">
            <v>41.79</v>
          </cell>
          <cell r="H770">
            <v>41.79</v>
          </cell>
          <cell r="I770">
            <v>41.79</v>
          </cell>
          <cell r="J770" t="str">
            <v>CAR</v>
          </cell>
          <cell r="K770" t="str">
            <v>LIC</v>
          </cell>
          <cell r="L770" t="str">
            <v>RON</v>
          </cell>
          <cell r="M770">
            <v>0</v>
          </cell>
          <cell r="N770">
            <v>0</v>
          </cell>
          <cell r="O770">
            <v>30.94</v>
          </cell>
          <cell r="P770">
            <v>45.97</v>
          </cell>
        </row>
        <row r="771">
          <cell r="D771" t="str">
            <v>401037</v>
          </cell>
          <cell r="E771" t="str">
            <v>RON CARTAVIO BLANCO 1.75 LT X 6</v>
          </cell>
          <cell r="F771">
            <v>41.15</v>
          </cell>
          <cell r="G771">
            <v>41.15</v>
          </cell>
          <cell r="H771">
            <v>41.15</v>
          </cell>
          <cell r="I771">
            <v>41.15</v>
          </cell>
          <cell r="J771" t="str">
            <v>CAR</v>
          </cell>
          <cell r="K771" t="str">
            <v>LIC</v>
          </cell>
          <cell r="L771" t="str">
            <v>RON</v>
          </cell>
          <cell r="M771">
            <v>0</v>
          </cell>
          <cell r="N771">
            <v>0</v>
          </cell>
          <cell r="O771">
            <v>0</v>
          </cell>
          <cell r="P771">
            <v>45.27</v>
          </cell>
        </row>
        <row r="772">
          <cell r="D772" t="str">
            <v>40000046</v>
          </cell>
          <cell r="E772" t="str">
            <v>R.CARTAVIO SUPERIOR 1LT X12</v>
          </cell>
          <cell r="F772">
            <v>25.93</v>
          </cell>
          <cell r="G772">
            <v>25.93</v>
          </cell>
          <cell r="H772">
            <v>25.93</v>
          </cell>
          <cell r="I772">
            <v>25.93</v>
          </cell>
          <cell r="J772" t="str">
            <v>CAR</v>
          </cell>
          <cell r="K772" t="str">
            <v>LIC</v>
          </cell>
          <cell r="L772" t="str">
            <v>RON</v>
          </cell>
          <cell r="M772">
            <v>0</v>
          </cell>
          <cell r="N772">
            <v>0</v>
          </cell>
          <cell r="O772">
            <v>0</v>
          </cell>
          <cell r="P772">
            <v>27.62</v>
          </cell>
        </row>
        <row r="773">
          <cell r="D773" t="str">
            <v>40001188</v>
          </cell>
          <cell r="E773" t="str">
            <v>CTV HIT MOJITO 700ML S/GAS</v>
          </cell>
          <cell r="F773">
            <v>10.15</v>
          </cell>
          <cell r="G773">
            <v>10.15</v>
          </cell>
          <cell r="H773">
            <v>10.32</v>
          </cell>
          <cell r="I773">
            <v>10.32</v>
          </cell>
          <cell r="J773" t="str">
            <v>CAR</v>
          </cell>
          <cell r="K773" t="str">
            <v>LIC</v>
          </cell>
          <cell r="L773" t="str">
            <v>RON</v>
          </cell>
          <cell r="M773">
            <v>0</v>
          </cell>
          <cell r="N773">
            <v>0</v>
          </cell>
          <cell r="O773">
            <v>8.74</v>
          </cell>
          <cell r="P773">
            <v>9.61</v>
          </cell>
        </row>
        <row r="774">
          <cell r="D774" t="str">
            <v>40000695</v>
          </cell>
          <cell r="E774" t="str">
            <v>R.CABO BLANCO DURAZNO 1LT X12</v>
          </cell>
          <cell r="F774">
            <v>14.83</v>
          </cell>
          <cell r="G774">
            <v>14.83</v>
          </cell>
          <cell r="H774">
            <v>15.08</v>
          </cell>
          <cell r="I774">
            <v>15.08</v>
          </cell>
          <cell r="J774" t="str">
            <v>CAR</v>
          </cell>
          <cell r="K774" t="str">
            <v>LIC</v>
          </cell>
          <cell r="L774" t="str">
            <v>RON</v>
          </cell>
          <cell r="M774">
            <v>0</v>
          </cell>
          <cell r="N774">
            <v>0</v>
          </cell>
          <cell r="O774">
            <v>0</v>
          </cell>
          <cell r="P774">
            <v>15.08</v>
          </cell>
        </row>
        <row r="775">
          <cell r="D775" t="str">
            <v>40000157</v>
          </cell>
          <cell r="E775" t="str">
            <v>R.CARTAVIO XO 750ML X6</v>
          </cell>
          <cell r="F775">
            <v>178.83</v>
          </cell>
          <cell r="G775">
            <v>178.83</v>
          </cell>
          <cell r="H775">
            <v>178.83</v>
          </cell>
          <cell r="I775">
            <v>178.83</v>
          </cell>
          <cell r="J775" t="str">
            <v>CAR</v>
          </cell>
          <cell r="K775" t="str">
            <v>LIC</v>
          </cell>
          <cell r="L775" t="str">
            <v>RON</v>
          </cell>
          <cell r="M775">
            <v>0</v>
          </cell>
          <cell r="N775">
            <v>0</v>
          </cell>
          <cell r="O775">
            <v>163.86</v>
          </cell>
          <cell r="P775">
            <v>196.71</v>
          </cell>
        </row>
        <row r="776">
          <cell r="D776" t="str">
            <v>40000040</v>
          </cell>
          <cell r="E776" t="str">
            <v>R.CARTAVIO SUPERIOR 125ML X36</v>
          </cell>
          <cell r="F776">
            <v>5.79</v>
          </cell>
          <cell r="G776">
            <v>5.79</v>
          </cell>
          <cell r="H776">
            <v>5.79</v>
          </cell>
          <cell r="I776">
            <v>5.79</v>
          </cell>
          <cell r="J776" t="str">
            <v>CAR</v>
          </cell>
          <cell r="K776" t="str">
            <v>LIC</v>
          </cell>
          <cell r="L776" t="str">
            <v>RON</v>
          </cell>
          <cell r="M776">
            <v>0</v>
          </cell>
          <cell r="N776">
            <v>0</v>
          </cell>
          <cell r="O776">
            <v>0</v>
          </cell>
          <cell r="P776">
            <v>5.97</v>
          </cell>
        </row>
        <row r="777">
          <cell r="D777" t="str">
            <v>40001024</v>
          </cell>
          <cell r="E777" t="str">
            <v>CTV HIT PIÑA COLADA 700ML X12</v>
          </cell>
          <cell r="F777">
            <v>10.15</v>
          </cell>
          <cell r="G777">
            <v>10.15</v>
          </cell>
          <cell r="H777">
            <v>10.32</v>
          </cell>
          <cell r="I777">
            <v>10.32</v>
          </cell>
          <cell r="J777" t="str">
            <v>CAR</v>
          </cell>
          <cell r="K777" t="str">
            <v>LIC</v>
          </cell>
          <cell r="L777" t="str">
            <v>RON</v>
          </cell>
          <cell r="M777">
            <v>0</v>
          </cell>
          <cell r="N777">
            <v>0</v>
          </cell>
          <cell r="O777">
            <v>8.74</v>
          </cell>
          <cell r="P777">
            <v>9.61</v>
          </cell>
        </row>
        <row r="778">
          <cell r="D778" t="str">
            <v>40000045</v>
          </cell>
          <cell r="E778" t="str">
            <v>R.CARTAVIO BLANCO 1LT X12</v>
          </cell>
          <cell r="F778">
            <v>25.93</v>
          </cell>
          <cell r="G778">
            <v>25.93</v>
          </cell>
          <cell r="H778">
            <v>25.93</v>
          </cell>
          <cell r="I778">
            <v>25.93</v>
          </cell>
          <cell r="J778" t="str">
            <v>CAR</v>
          </cell>
          <cell r="K778" t="str">
            <v>LIC</v>
          </cell>
          <cell r="L778" t="str">
            <v>RON</v>
          </cell>
          <cell r="M778">
            <v>0</v>
          </cell>
          <cell r="N778">
            <v>0</v>
          </cell>
          <cell r="O778">
            <v>0</v>
          </cell>
          <cell r="P778">
            <v>27.62</v>
          </cell>
        </row>
        <row r="779">
          <cell r="D779" t="str">
            <v>40001440</v>
          </cell>
          <cell r="E779" t="str">
            <v>PK DTO ITALIA + SCHW+ CTV BLACK 1LT</v>
          </cell>
          <cell r="F779">
            <v>36.979999999999997</v>
          </cell>
          <cell r="G779">
            <v>36.979999999999997</v>
          </cell>
          <cell r="H779">
            <v>37.6</v>
          </cell>
          <cell r="I779">
            <v>37.6</v>
          </cell>
          <cell r="J779" t="str">
            <v>CAR</v>
          </cell>
          <cell r="K779" t="str">
            <v>LIC</v>
          </cell>
          <cell r="L779" t="str">
            <v>RON</v>
          </cell>
          <cell r="M779">
            <v>0</v>
          </cell>
          <cell r="N779">
            <v>0</v>
          </cell>
          <cell r="O779">
            <v>31.86</v>
          </cell>
          <cell r="P779">
            <v>35.049999999999997</v>
          </cell>
        </row>
        <row r="780">
          <cell r="D780" t="str">
            <v>40000698</v>
          </cell>
          <cell r="E780" t="str">
            <v>R.CABO BLANCO BLACK 900ML X12</v>
          </cell>
          <cell r="F780">
            <v>17.55</v>
          </cell>
          <cell r="G780">
            <v>17.55</v>
          </cell>
          <cell r="H780">
            <v>17.55</v>
          </cell>
          <cell r="I780">
            <v>17.55</v>
          </cell>
          <cell r="J780" t="str">
            <v>CAR</v>
          </cell>
          <cell r="K780" t="str">
            <v>LIC</v>
          </cell>
          <cell r="L780" t="str">
            <v>RON</v>
          </cell>
          <cell r="M780">
            <v>0</v>
          </cell>
          <cell r="N780">
            <v>0</v>
          </cell>
          <cell r="O780">
            <v>0</v>
          </cell>
          <cell r="P780">
            <v>18.399999999999999</v>
          </cell>
        </row>
        <row r="781">
          <cell r="D781" t="str">
            <v>40000037</v>
          </cell>
          <cell r="E781" t="str">
            <v>R.CARTAVIO BLACK 1LT X12</v>
          </cell>
          <cell r="F781">
            <v>25.93</v>
          </cell>
          <cell r="G781">
            <v>25.93</v>
          </cell>
          <cell r="H781">
            <v>25.93</v>
          </cell>
          <cell r="I781">
            <v>25.93</v>
          </cell>
          <cell r="J781" t="str">
            <v>CAR</v>
          </cell>
          <cell r="K781" t="str">
            <v>LIC</v>
          </cell>
          <cell r="L781" t="str">
            <v>RON</v>
          </cell>
          <cell r="M781">
            <v>0</v>
          </cell>
          <cell r="N781">
            <v>0</v>
          </cell>
          <cell r="O781">
            <v>0</v>
          </cell>
          <cell r="P781">
            <v>27.62</v>
          </cell>
        </row>
        <row r="782">
          <cell r="D782" t="str">
            <v>40000039</v>
          </cell>
          <cell r="E782" t="str">
            <v>R.CARTAVIO BLANCO 750ML X12</v>
          </cell>
          <cell r="F782">
            <v>20.5</v>
          </cell>
          <cell r="G782">
            <v>20.5</v>
          </cell>
          <cell r="H782">
            <v>20.86</v>
          </cell>
          <cell r="I782">
            <v>20.86</v>
          </cell>
          <cell r="J782" t="str">
            <v>CAR</v>
          </cell>
          <cell r="K782" t="str">
            <v>LIC</v>
          </cell>
          <cell r="L782" t="str">
            <v>RON</v>
          </cell>
          <cell r="M782">
            <v>0</v>
          </cell>
          <cell r="N782">
            <v>0</v>
          </cell>
          <cell r="O782">
            <v>0</v>
          </cell>
          <cell r="P782">
            <v>19.45</v>
          </cell>
        </row>
        <row r="783">
          <cell r="D783" t="str">
            <v>40001000</v>
          </cell>
          <cell r="E783" t="str">
            <v>R.CARTAVIO LIMON 750ML X12</v>
          </cell>
          <cell r="F783">
            <v>19.52</v>
          </cell>
          <cell r="G783">
            <v>19.52</v>
          </cell>
          <cell r="H783">
            <v>19.84</v>
          </cell>
          <cell r="I783">
            <v>19.84</v>
          </cell>
          <cell r="J783" t="str">
            <v>CAR</v>
          </cell>
          <cell r="K783" t="str">
            <v>LIC</v>
          </cell>
          <cell r="L783" t="str">
            <v>RON</v>
          </cell>
          <cell r="M783">
            <v>0</v>
          </cell>
          <cell r="N783">
            <v>0</v>
          </cell>
          <cell r="O783">
            <v>0</v>
          </cell>
          <cell r="P783">
            <v>18.5</v>
          </cell>
        </row>
        <row r="784">
          <cell r="D784" t="str">
            <v>40000235</v>
          </cell>
          <cell r="E784" t="str">
            <v>R.CART.SELECTO 750ML X12</v>
          </cell>
          <cell r="F784">
            <v>26.75</v>
          </cell>
          <cell r="G784">
            <v>26.75</v>
          </cell>
          <cell r="H784">
            <v>26.75</v>
          </cell>
          <cell r="I784">
            <v>26.75</v>
          </cell>
          <cell r="J784" t="str">
            <v>CAR</v>
          </cell>
          <cell r="K784" t="str">
            <v>LIC</v>
          </cell>
          <cell r="L784" t="str">
            <v>RON</v>
          </cell>
          <cell r="M784">
            <v>0</v>
          </cell>
          <cell r="N784">
            <v>0</v>
          </cell>
          <cell r="O784">
            <v>0</v>
          </cell>
          <cell r="P784">
            <v>29.42</v>
          </cell>
        </row>
        <row r="785">
          <cell r="D785" t="str">
            <v>40000806</v>
          </cell>
          <cell r="E785" t="str">
            <v>R.CARTAVIO SOLERA 750ML X12</v>
          </cell>
          <cell r="F785">
            <v>63.63</v>
          </cell>
          <cell r="G785">
            <v>63.63</v>
          </cell>
          <cell r="H785">
            <v>64.69</v>
          </cell>
          <cell r="I785">
            <v>64.69</v>
          </cell>
          <cell r="J785" t="str">
            <v>CAR</v>
          </cell>
          <cell r="K785" t="str">
            <v>LIC</v>
          </cell>
          <cell r="L785" t="str">
            <v>RON</v>
          </cell>
          <cell r="M785">
            <v>0</v>
          </cell>
          <cell r="N785">
            <v>0</v>
          </cell>
          <cell r="O785">
            <v>54.82</v>
          </cell>
          <cell r="P785">
            <v>64.69</v>
          </cell>
        </row>
        <row r="786">
          <cell r="D786" t="str">
            <v>40000055</v>
          </cell>
          <cell r="E786" t="str">
            <v>R.CARTAVIO XO 50ML X120</v>
          </cell>
          <cell r="F786">
            <v>15.73</v>
          </cell>
          <cell r="G786">
            <v>15.73</v>
          </cell>
          <cell r="H786">
            <v>15.73</v>
          </cell>
          <cell r="I786">
            <v>15.73</v>
          </cell>
          <cell r="J786" t="str">
            <v>CAR</v>
          </cell>
          <cell r="K786" t="str">
            <v>LIC</v>
          </cell>
          <cell r="L786" t="str">
            <v>RON</v>
          </cell>
          <cell r="M786">
            <v>0</v>
          </cell>
          <cell r="N786">
            <v>0</v>
          </cell>
          <cell r="O786">
            <v>13.78</v>
          </cell>
          <cell r="P786">
            <v>17.3</v>
          </cell>
        </row>
        <row r="787">
          <cell r="D787" t="str">
            <v>40001060</v>
          </cell>
          <cell r="E787" t="str">
            <v>R.CART.ALTARIUM 5AÑ 750ML X12</v>
          </cell>
          <cell r="F787">
            <v>22.65</v>
          </cell>
          <cell r="G787">
            <v>22.65</v>
          </cell>
          <cell r="H787">
            <v>23.05</v>
          </cell>
          <cell r="I787">
            <v>23.05</v>
          </cell>
          <cell r="J787" t="str">
            <v>CAR</v>
          </cell>
          <cell r="K787" t="str">
            <v>LIC</v>
          </cell>
          <cell r="L787" t="str">
            <v>RON</v>
          </cell>
          <cell r="M787">
            <v>0</v>
          </cell>
          <cell r="N787">
            <v>0</v>
          </cell>
          <cell r="O787">
            <v>0</v>
          </cell>
          <cell r="P787">
            <v>21.46</v>
          </cell>
        </row>
        <row r="788">
          <cell r="D788" t="str">
            <v>40001441</v>
          </cell>
          <cell r="E788" t="str">
            <v>PK DTOQUEBRANTA + SCHW+ CTV BLACK 1LT</v>
          </cell>
          <cell r="F788">
            <v>36.979999999999997</v>
          </cell>
          <cell r="G788">
            <v>36.979999999999997</v>
          </cell>
          <cell r="H788">
            <v>37.6</v>
          </cell>
          <cell r="I788">
            <v>37.6</v>
          </cell>
          <cell r="J788" t="str">
            <v>CAR</v>
          </cell>
          <cell r="K788" t="str">
            <v>LIC</v>
          </cell>
          <cell r="L788" t="str">
            <v>RON</v>
          </cell>
          <cell r="M788">
            <v>0</v>
          </cell>
          <cell r="N788">
            <v>0</v>
          </cell>
          <cell r="O788">
            <v>0</v>
          </cell>
          <cell r="P788">
            <v>35.049999999999997</v>
          </cell>
        </row>
        <row r="789">
          <cell r="D789" t="str">
            <v>T200052</v>
          </cell>
          <cell r="E789" t="str">
            <v xml:space="preserve">VINO DON MANUEL P.V 12 X 750ML 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 t="str">
            <v>TCM</v>
          </cell>
          <cell r="K789" t="str">
            <v>TCM</v>
          </cell>
          <cell r="L789" t="str">
            <v>VIN</v>
          </cell>
          <cell r="M789">
            <v>0</v>
          </cell>
          <cell r="N789">
            <v>0</v>
          </cell>
          <cell r="O789">
            <v>80.75</v>
          </cell>
          <cell r="P789">
            <v>86.9</v>
          </cell>
        </row>
        <row r="790">
          <cell r="D790" t="str">
            <v>T200097</v>
          </cell>
          <cell r="E790" t="str">
            <v xml:space="preserve">VINO ORIGEN MALBEC 12 X 750ML 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 t="str">
            <v>TCM</v>
          </cell>
          <cell r="K790" t="str">
            <v>TCM</v>
          </cell>
          <cell r="L790" t="str">
            <v>VIN</v>
          </cell>
          <cell r="M790">
            <v>0</v>
          </cell>
          <cell r="N790">
            <v>0</v>
          </cell>
          <cell r="O790">
            <v>64.260000000000005</v>
          </cell>
          <cell r="P790">
            <v>68.75</v>
          </cell>
        </row>
        <row r="791">
          <cell r="D791" t="str">
            <v>T200055</v>
          </cell>
          <cell r="E791" t="str">
            <v>VINO GRAN TINTO MALBEC CRIANZA 12X750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 t="str">
            <v>TCM</v>
          </cell>
          <cell r="K791" t="str">
            <v>TCM</v>
          </cell>
          <cell r="L791" t="str">
            <v>VIN</v>
          </cell>
          <cell r="M791">
            <v>0</v>
          </cell>
          <cell r="N791">
            <v>0</v>
          </cell>
          <cell r="O791">
            <v>23.94</v>
          </cell>
          <cell r="P791">
            <v>26.98</v>
          </cell>
        </row>
        <row r="792">
          <cell r="D792" t="str">
            <v>T200058</v>
          </cell>
          <cell r="E792" t="str">
            <v xml:space="preserve">VINO SELECCION ESPECIAL CARMENERE 12X750ML 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 t="str">
            <v>TCM</v>
          </cell>
          <cell r="K792" t="str">
            <v>TCM</v>
          </cell>
          <cell r="L792" t="str">
            <v>VIN</v>
          </cell>
          <cell r="M792">
            <v>0</v>
          </cell>
          <cell r="N792">
            <v>0</v>
          </cell>
          <cell r="O792">
            <v>43.36</v>
          </cell>
          <cell r="P792">
            <v>47.21</v>
          </cell>
        </row>
        <row r="793">
          <cell r="D793" t="str">
            <v>T10030</v>
          </cell>
          <cell r="E793" t="str">
            <v>VINO.ROSE.SEMI.SECO TACAMA 12X750ML</v>
          </cell>
          <cell r="F793">
            <v>14.26</v>
          </cell>
          <cell r="G793">
            <v>14.26</v>
          </cell>
          <cell r="H793">
            <v>14.26</v>
          </cell>
          <cell r="I793">
            <v>14.26</v>
          </cell>
          <cell r="J793" t="str">
            <v>TCM</v>
          </cell>
          <cell r="K793" t="str">
            <v>TCM</v>
          </cell>
          <cell r="L793" t="str">
            <v>VIN</v>
          </cell>
          <cell r="M793">
            <v>0</v>
          </cell>
          <cell r="N793">
            <v>0</v>
          </cell>
          <cell r="O793">
            <v>14.81</v>
          </cell>
          <cell r="P793">
            <v>15.69</v>
          </cell>
        </row>
        <row r="794">
          <cell r="D794" t="str">
            <v>T10020</v>
          </cell>
          <cell r="E794" t="str">
            <v>VINO.TINTO.SEMI.SECO TACAMA 12X750ML</v>
          </cell>
          <cell r="F794">
            <v>19.5</v>
          </cell>
          <cell r="G794">
            <v>19.5</v>
          </cell>
          <cell r="H794">
            <v>19.5</v>
          </cell>
          <cell r="I794">
            <v>19.5</v>
          </cell>
          <cell r="J794" t="str">
            <v>TCM</v>
          </cell>
          <cell r="K794" t="str">
            <v>TCM</v>
          </cell>
          <cell r="L794" t="str">
            <v>VIN</v>
          </cell>
          <cell r="M794">
            <v>0</v>
          </cell>
          <cell r="N794">
            <v>0</v>
          </cell>
          <cell r="O794">
            <v>14.81</v>
          </cell>
          <cell r="P794">
            <v>15.69</v>
          </cell>
        </row>
        <row r="795">
          <cell r="D795" t="str">
            <v>T10034</v>
          </cell>
          <cell r="E795" t="str">
            <v>VINO.AMORE DE ICA 12X750ML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 t="str">
            <v>TCM</v>
          </cell>
          <cell r="K795" t="str">
            <v>TCM</v>
          </cell>
          <cell r="L795" t="str">
            <v>VIN</v>
          </cell>
          <cell r="M795">
            <v>0</v>
          </cell>
          <cell r="N795">
            <v>0</v>
          </cell>
          <cell r="O795">
            <v>0</v>
          </cell>
          <cell r="P795">
            <v>31.67</v>
          </cell>
        </row>
        <row r="796">
          <cell r="D796" t="str">
            <v>T100011</v>
          </cell>
          <cell r="E796" t="str">
            <v xml:space="preserve">ESPUMOSO ROSA SALVAJE 12X750 ML 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 t="str">
            <v>TCM</v>
          </cell>
          <cell r="K796" t="str">
            <v>TCM</v>
          </cell>
          <cell r="L796" t="str">
            <v>VIN</v>
          </cell>
          <cell r="M796">
            <v>0</v>
          </cell>
          <cell r="N796">
            <v>0</v>
          </cell>
          <cell r="O796">
            <v>43.68</v>
          </cell>
          <cell r="P796">
            <v>46.46</v>
          </cell>
        </row>
        <row r="797">
          <cell r="D797" t="str">
            <v>T200013</v>
          </cell>
          <cell r="E797" t="str">
            <v xml:space="preserve">VINO DON MNUEL TANNAT 12 X750ML 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 t="str">
            <v>TCM</v>
          </cell>
          <cell r="K797" t="str">
            <v>TCM</v>
          </cell>
          <cell r="L797" t="str">
            <v>VIN</v>
          </cell>
          <cell r="M797">
            <v>0</v>
          </cell>
          <cell r="N797">
            <v>0</v>
          </cell>
          <cell r="O797">
            <v>74.66</v>
          </cell>
          <cell r="P797">
            <v>86.9</v>
          </cell>
        </row>
        <row r="798">
          <cell r="D798" t="str">
            <v>T100030</v>
          </cell>
          <cell r="E798" t="str">
            <v xml:space="preserve">VINO BLANCO DE BLANCOS 12X750ML 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 t="str">
            <v>TCM</v>
          </cell>
          <cell r="K798" t="str">
            <v>TCM</v>
          </cell>
          <cell r="L798" t="str">
            <v>VIN</v>
          </cell>
          <cell r="M798">
            <v>0</v>
          </cell>
          <cell r="N798">
            <v>0</v>
          </cell>
          <cell r="O798">
            <v>43.37</v>
          </cell>
          <cell r="P798">
            <v>47.21</v>
          </cell>
        </row>
        <row r="799">
          <cell r="D799" t="str">
            <v>T10027</v>
          </cell>
          <cell r="E799" t="str">
            <v>VINO TOÑUZ 12X750ML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 t="str">
            <v>TCM</v>
          </cell>
          <cell r="K799" t="str">
            <v>TCM</v>
          </cell>
          <cell r="L799" t="str">
            <v>VIN</v>
          </cell>
          <cell r="M799">
            <v>0</v>
          </cell>
          <cell r="N799">
            <v>0</v>
          </cell>
          <cell r="O799">
            <v>31.5</v>
          </cell>
          <cell r="P799">
            <v>36.21</v>
          </cell>
        </row>
        <row r="800">
          <cell r="D800" t="str">
            <v>T200006</v>
          </cell>
          <cell r="E800" t="str">
            <v xml:space="preserve">VINO SELECCION ESPECIAL 12X750ML 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 t="str">
            <v>TCM</v>
          </cell>
          <cell r="K800" t="str">
            <v>TCM</v>
          </cell>
          <cell r="L800" t="str">
            <v>VIN</v>
          </cell>
          <cell r="M800">
            <v>0</v>
          </cell>
          <cell r="N800">
            <v>0</v>
          </cell>
          <cell r="O800">
            <v>43.36</v>
          </cell>
          <cell r="P800">
            <v>47.21</v>
          </cell>
        </row>
        <row r="801">
          <cell r="D801" t="str">
            <v>T100029</v>
          </cell>
          <cell r="E801" t="str">
            <v>VINO GRAN BLANCO 12X750ML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 t="str">
            <v>TCM</v>
          </cell>
          <cell r="K801" t="str">
            <v>TCM</v>
          </cell>
          <cell r="L801" t="str">
            <v>VIN</v>
          </cell>
          <cell r="M801">
            <v>0</v>
          </cell>
          <cell r="N801">
            <v>0</v>
          </cell>
          <cell r="O801">
            <v>23.94</v>
          </cell>
          <cell r="P801">
            <v>26.98</v>
          </cell>
        </row>
        <row r="802">
          <cell r="D802" t="str">
            <v>T200051</v>
          </cell>
          <cell r="E802" t="str">
            <v>VINO SELECCION ESPECIAL MELBEC 12X750ML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 t="str">
            <v>TCM</v>
          </cell>
          <cell r="K802" t="str">
            <v>TCM</v>
          </cell>
          <cell r="L802" t="str">
            <v>VIN</v>
          </cell>
          <cell r="M802">
            <v>0</v>
          </cell>
          <cell r="N802">
            <v>0</v>
          </cell>
          <cell r="O802">
            <v>45.15</v>
          </cell>
          <cell r="P802">
            <v>42.58</v>
          </cell>
        </row>
        <row r="803">
          <cell r="D803" t="str">
            <v>T200001</v>
          </cell>
          <cell r="E803" t="str">
            <v xml:space="preserve">VINO GRAN TINTO 12X750ML 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 t="str">
            <v>TCM</v>
          </cell>
          <cell r="K803" t="str">
            <v>TCM</v>
          </cell>
          <cell r="L803" t="str">
            <v>VIN</v>
          </cell>
          <cell r="M803">
            <v>0</v>
          </cell>
          <cell r="N803">
            <v>0</v>
          </cell>
          <cell r="O803">
            <v>19.79</v>
          </cell>
          <cell r="P803">
            <v>24.96</v>
          </cell>
        </row>
        <row r="804">
          <cell r="D804" t="str">
            <v>AC0482</v>
          </cell>
          <cell r="E804" t="str">
            <v>PIS.4GAL.MOSTO V.QUEBRANTA 700ML X12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 t="str">
            <v>COP</v>
          </cell>
          <cell r="K804" t="str">
            <v>BDL</v>
          </cell>
          <cell r="L804" t="str">
            <v>PIS</v>
          </cell>
          <cell r="M804">
            <v>0</v>
          </cell>
          <cell r="N804">
            <v>0</v>
          </cell>
          <cell r="O804">
            <v>30.98</v>
          </cell>
          <cell r="P804">
            <v>65.23</v>
          </cell>
        </row>
        <row r="805">
          <cell r="D805" t="str">
            <v>AC0488</v>
          </cell>
          <cell r="E805" t="str">
            <v>PIS.4GAL.MOSTO V.ITALIA 700ML X12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 t="str">
            <v>COP</v>
          </cell>
          <cell r="K805" t="str">
            <v>BDL</v>
          </cell>
          <cell r="L805" t="str">
            <v>PIS</v>
          </cell>
          <cell r="M805">
            <v>0</v>
          </cell>
          <cell r="N805">
            <v>0</v>
          </cell>
          <cell r="O805">
            <v>56.16</v>
          </cell>
          <cell r="P805">
            <v>65.23</v>
          </cell>
        </row>
        <row r="806">
          <cell r="D806" t="str">
            <v>AC0468</v>
          </cell>
          <cell r="E806" t="str">
            <v>PIS.P.4GAL.ACHOLADO 2LT X6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 t="str">
            <v>COP</v>
          </cell>
          <cell r="K806" t="str">
            <v>BDL</v>
          </cell>
          <cell r="L806" t="str">
            <v>PIS</v>
          </cell>
          <cell r="M806">
            <v>0</v>
          </cell>
          <cell r="N806">
            <v>0</v>
          </cell>
          <cell r="O806">
            <v>54.6</v>
          </cell>
          <cell r="P806">
            <v>60.73</v>
          </cell>
        </row>
        <row r="807">
          <cell r="D807" t="str">
            <v>AC0462</v>
          </cell>
          <cell r="E807" t="str">
            <v>PIS.MOSTO V.ITALIA C/ART.750ML X6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 t="str">
            <v>COP</v>
          </cell>
          <cell r="K807" t="str">
            <v>BDL</v>
          </cell>
          <cell r="L807" t="str">
            <v>PIS</v>
          </cell>
          <cell r="M807">
            <v>0</v>
          </cell>
          <cell r="N807">
            <v>0</v>
          </cell>
          <cell r="O807">
            <v>77.59</v>
          </cell>
          <cell r="P807">
            <v>78.52</v>
          </cell>
        </row>
        <row r="808">
          <cell r="D808" t="str">
            <v>40010099</v>
          </cell>
          <cell r="E808" t="str">
            <v>PIS.P.4GAL.QUEBRANTA 1.750ML X 6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 t="str">
            <v>COP</v>
          </cell>
          <cell r="K808" t="str">
            <v>BDL</v>
          </cell>
          <cell r="L808" t="str">
            <v>PIS</v>
          </cell>
          <cell r="M808">
            <v>0</v>
          </cell>
          <cell r="N808">
            <v>0</v>
          </cell>
          <cell r="O808">
            <v>48.2</v>
          </cell>
          <cell r="P808">
            <v>78.67</v>
          </cell>
        </row>
        <row r="809">
          <cell r="D809" t="str">
            <v>AC0485</v>
          </cell>
          <cell r="E809" t="str">
            <v>PIS.P.4GAL.QUEBRANTA 700ML X12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 t="str">
            <v>COP</v>
          </cell>
          <cell r="K809" t="str">
            <v>BDL</v>
          </cell>
          <cell r="L809" t="str">
            <v>PIS</v>
          </cell>
          <cell r="M809">
            <v>0</v>
          </cell>
          <cell r="N809">
            <v>0</v>
          </cell>
          <cell r="O809">
            <v>31.56</v>
          </cell>
          <cell r="P809">
            <v>36.79</v>
          </cell>
        </row>
        <row r="810">
          <cell r="D810" t="str">
            <v>AC0483</v>
          </cell>
          <cell r="E810" t="str">
            <v>PIS.P.4GAL.ACHOLADO 700ML X12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 t="str">
            <v>COP</v>
          </cell>
          <cell r="K810" t="str">
            <v>BDL</v>
          </cell>
          <cell r="L810" t="str">
            <v>PIS</v>
          </cell>
          <cell r="M810">
            <v>0</v>
          </cell>
          <cell r="N810">
            <v>0</v>
          </cell>
          <cell r="O810">
            <v>0</v>
          </cell>
          <cell r="P810">
            <v>36.79</v>
          </cell>
        </row>
        <row r="811">
          <cell r="D811" t="str">
            <v>AC0459</v>
          </cell>
          <cell r="E811" t="str">
            <v>PIS.MOSTO V.TORONTO C/ART.750ML X6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 t="str">
            <v>COP</v>
          </cell>
          <cell r="K811" t="str">
            <v>BDL</v>
          </cell>
          <cell r="L811" t="str">
            <v>PIS</v>
          </cell>
          <cell r="M811">
            <v>0</v>
          </cell>
          <cell r="N811">
            <v>0</v>
          </cell>
          <cell r="O811">
            <v>77.59</v>
          </cell>
          <cell r="P811">
            <v>78.52</v>
          </cell>
        </row>
        <row r="812">
          <cell r="D812" t="str">
            <v>AC0460</v>
          </cell>
          <cell r="E812" t="str">
            <v>PIS.MOSTO.V.ACHOLADO C/ART.750ML X6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 t="str">
            <v>COP</v>
          </cell>
          <cell r="K812" t="str">
            <v>BDL</v>
          </cell>
          <cell r="L812" t="str">
            <v>PIS</v>
          </cell>
          <cell r="M812">
            <v>0</v>
          </cell>
          <cell r="N812">
            <v>0</v>
          </cell>
          <cell r="O812">
            <v>77.599999999999994</v>
          </cell>
          <cell r="P812">
            <v>78.52</v>
          </cell>
        </row>
        <row r="813">
          <cell r="D813" t="str">
            <v>1500100</v>
          </cell>
          <cell r="E813" t="str">
            <v>RON MANDATARIO SOLERA 700ML X12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 t="str">
            <v>COP</v>
          </cell>
          <cell r="K813" t="str">
            <v>BDL</v>
          </cell>
          <cell r="L813" t="str">
            <v>PIS</v>
          </cell>
          <cell r="M813">
            <v>0</v>
          </cell>
          <cell r="N813">
            <v>0</v>
          </cell>
          <cell r="O813">
            <v>57.06</v>
          </cell>
          <cell r="P813">
            <v>66.349999999999994</v>
          </cell>
        </row>
        <row r="814">
          <cell r="D814" t="str">
            <v>AC0461</v>
          </cell>
          <cell r="E814" t="str">
            <v>PIS.MOSTO V.QUEBRANTA C/ART.750ML X6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 t="str">
            <v>COP</v>
          </cell>
          <cell r="K814" t="str">
            <v>BDL</v>
          </cell>
          <cell r="L814" t="str">
            <v>PIS</v>
          </cell>
          <cell r="M814">
            <v>0</v>
          </cell>
          <cell r="N814">
            <v>0</v>
          </cell>
          <cell r="O814">
            <v>75.5</v>
          </cell>
          <cell r="P814">
            <v>78.52</v>
          </cell>
        </row>
        <row r="815">
          <cell r="D815" t="str">
            <v>AC0499</v>
          </cell>
          <cell r="E815" t="str">
            <v>PIS PURO ACHOLADO X700 4GALLOS +2JARR-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 t="str">
            <v>COP</v>
          </cell>
          <cell r="K815" t="str">
            <v>BDL</v>
          </cell>
          <cell r="L815" t="str">
            <v>PIS</v>
          </cell>
          <cell r="M815">
            <v>0</v>
          </cell>
          <cell r="N815">
            <v>0</v>
          </cell>
          <cell r="O815">
            <v>0</v>
          </cell>
          <cell r="P815">
            <v>41.5</v>
          </cell>
        </row>
        <row r="816">
          <cell r="D816" t="str">
            <v>AC0484</v>
          </cell>
          <cell r="E816" t="str">
            <v>PIS.P.4GAL.ITALIA 700ML X12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 t="str">
            <v>COP</v>
          </cell>
          <cell r="K816" t="str">
            <v>BDL</v>
          </cell>
          <cell r="L816" t="str">
            <v>PIS</v>
          </cell>
          <cell r="M816">
            <v>0</v>
          </cell>
          <cell r="N816">
            <v>0</v>
          </cell>
          <cell r="O816">
            <v>31.56</v>
          </cell>
          <cell r="P816">
            <v>36.79</v>
          </cell>
        </row>
        <row r="817">
          <cell r="D817" t="str">
            <v>AC0487</v>
          </cell>
          <cell r="E817" t="str">
            <v>PIS.4GAL.MOSTO V.ACHOLADO 700ML X12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 t="str">
            <v>COP</v>
          </cell>
          <cell r="K817" t="str">
            <v>BDL</v>
          </cell>
          <cell r="L817" t="str">
            <v>PIS</v>
          </cell>
          <cell r="M817">
            <v>0</v>
          </cell>
          <cell r="N817">
            <v>0</v>
          </cell>
          <cell r="O817">
            <v>30.98</v>
          </cell>
          <cell r="P817">
            <v>65.23</v>
          </cell>
        </row>
        <row r="818">
          <cell r="D818" t="str">
            <v>IMP00054</v>
          </cell>
          <cell r="E818" t="str">
            <v>TAPA DE CUADRIL USA (PICANHA)</v>
          </cell>
          <cell r="F818">
            <v>136.9</v>
          </cell>
          <cell r="G818">
            <v>136.9</v>
          </cell>
          <cell r="H818">
            <v>136.9</v>
          </cell>
          <cell r="I818">
            <v>136.9</v>
          </cell>
          <cell r="J818" t="str">
            <v>QBF</v>
          </cell>
          <cell r="K818" t="str">
            <v>CRN</v>
          </cell>
          <cell r="L818" t="str">
            <v>OTR</v>
          </cell>
          <cell r="M818">
            <v>0</v>
          </cell>
          <cell r="N818">
            <v>0</v>
          </cell>
          <cell r="O818">
            <v>0</v>
          </cell>
          <cell r="P818">
            <v>136.9</v>
          </cell>
        </row>
        <row r="819">
          <cell r="D819" t="str">
            <v>8001</v>
          </cell>
          <cell r="E819" t="str">
            <v>HEINEKEN CERVEZA LATA 330GR X24</v>
          </cell>
          <cell r="F819">
            <v>4.71</v>
          </cell>
          <cell r="G819">
            <v>4.71</v>
          </cell>
          <cell r="H819">
            <v>4.71</v>
          </cell>
          <cell r="I819">
            <v>4.71</v>
          </cell>
          <cell r="J819" t="str">
            <v>YIC</v>
          </cell>
          <cell r="K819" t="str">
            <v>HEI</v>
          </cell>
          <cell r="L819" t="str">
            <v>CER</v>
          </cell>
          <cell r="M819">
            <v>0</v>
          </cell>
          <cell r="N819">
            <v>0</v>
          </cell>
          <cell r="O819">
            <v>0</v>
          </cell>
          <cell r="P819">
            <v>3.87</v>
          </cell>
        </row>
        <row r="820">
          <cell r="D820" t="str">
            <v>CERV05</v>
          </cell>
          <cell r="E820" t="str">
            <v>CERVEZA SAMUEL ADAMS BOT ML X 24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 t="str">
            <v>ESM</v>
          </cell>
          <cell r="K820" t="str">
            <v>NUT</v>
          </cell>
          <cell r="L820" t="str">
            <v>CHO</v>
          </cell>
          <cell r="M820">
            <v>0</v>
          </cell>
          <cell r="N820">
            <v>0</v>
          </cell>
          <cell r="O820">
            <v>13</v>
          </cell>
          <cell r="P820">
            <v>16.03</v>
          </cell>
        </row>
        <row r="821">
          <cell r="D821" t="str">
            <v>PRIN02</v>
          </cell>
          <cell r="E821" t="str">
            <v>PRINGLES SABOR A PIZZA 158GR X 14</v>
          </cell>
          <cell r="F821">
            <v>10.28</v>
          </cell>
          <cell r="G821">
            <v>10.28</v>
          </cell>
          <cell r="H821">
            <v>11</v>
          </cell>
          <cell r="I821">
            <v>11</v>
          </cell>
          <cell r="J821" t="str">
            <v>ESM</v>
          </cell>
          <cell r="K821" t="str">
            <v>NUT</v>
          </cell>
          <cell r="L821" t="str">
            <v>CHO</v>
          </cell>
          <cell r="M821">
            <v>0</v>
          </cell>
          <cell r="N821">
            <v>0</v>
          </cell>
          <cell r="O821">
            <v>0</v>
          </cell>
          <cell r="P821">
            <v>11</v>
          </cell>
        </row>
        <row r="822">
          <cell r="D822" t="str">
            <v>628892</v>
          </cell>
          <cell r="E822" t="str">
            <v xml:space="preserve">NUTELLA I GO BREADSTICK WITH X 16 UND </v>
          </cell>
          <cell r="F822">
            <v>8.27</v>
          </cell>
          <cell r="G822">
            <v>8.27</v>
          </cell>
          <cell r="H822">
            <v>8.68</v>
          </cell>
          <cell r="I822">
            <v>8.68</v>
          </cell>
          <cell r="J822" t="str">
            <v>ESM</v>
          </cell>
          <cell r="K822" t="str">
            <v>NUT</v>
          </cell>
          <cell r="L822" t="str">
            <v>CHO</v>
          </cell>
          <cell r="M822">
            <v>0</v>
          </cell>
          <cell r="N822">
            <v>0</v>
          </cell>
          <cell r="O822">
            <v>6.56</v>
          </cell>
          <cell r="P822">
            <v>8.68</v>
          </cell>
        </row>
        <row r="823">
          <cell r="D823" t="str">
            <v>251652</v>
          </cell>
          <cell r="E823" t="str">
            <v>NUTELLA B READY X 36 UNID</v>
          </cell>
          <cell r="F823">
            <v>3.87</v>
          </cell>
          <cell r="G823">
            <v>3.87</v>
          </cell>
          <cell r="H823">
            <v>4.0599999999999996</v>
          </cell>
          <cell r="I823">
            <v>4.0599999999999996</v>
          </cell>
          <cell r="J823" t="str">
            <v>ESM</v>
          </cell>
          <cell r="K823" t="str">
            <v>NUT</v>
          </cell>
          <cell r="L823" t="str">
            <v>CHO</v>
          </cell>
          <cell r="M823">
            <v>0</v>
          </cell>
          <cell r="N823">
            <v>0</v>
          </cell>
          <cell r="O823">
            <v>2.94</v>
          </cell>
          <cell r="P823">
            <v>4.0599999999999996</v>
          </cell>
        </row>
        <row r="824">
          <cell r="D824" t="str">
            <v>11078</v>
          </cell>
          <cell r="E824" t="str">
            <v>LAGUNITAS IPA BOTELLA 354 ML X 12 UN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 t="str">
            <v>ESM</v>
          </cell>
          <cell r="K824" t="str">
            <v>NUT</v>
          </cell>
          <cell r="L824" t="str">
            <v>CHO</v>
          </cell>
          <cell r="M824">
            <v>0</v>
          </cell>
          <cell r="N824">
            <v>0</v>
          </cell>
          <cell r="O824">
            <v>13</v>
          </cell>
          <cell r="P824">
            <v>16.03</v>
          </cell>
        </row>
        <row r="825">
          <cell r="D825" t="str">
            <v>403770</v>
          </cell>
          <cell r="E825" t="str">
            <v>TOCINO ESP AHUMADO REBANADO 500GR SEGO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 t="str">
            <v>SIG</v>
          </cell>
          <cell r="K825" t="str">
            <v>SEG</v>
          </cell>
          <cell r="L825" t="str">
            <v>TCN</v>
          </cell>
          <cell r="M825">
            <v>0</v>
          </cell>
          <cell r="N825">
            <v>0</v>
          </cell>
          <cell r="O825">
            <v>0</v>
          </cell>
          <cell r="P825">
            <v>20.55</v>
          </cell>
        </row>
        <row r="826">
          <cell r="D826" t="str">
            <v>404905</v>
          </cell>
          <cell r="E826" t="str">
            <v>TOCINO AHUMADO 100GR SEGO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 t="str">
            <v>SIG</v>
          </cell>
          <cell r="K826" t="str">
            <v>SEG</v>
          </cell>
          <cell r="L826" t="str">
            <v>TCN</v>
          </cell>
          <cell r="M826">
            <v>0</v>
          </cell>
          <cell r="N826">
            <v>0</v>
          </cell>
          <cell r="O826">
            <v>0</v>
          </cell>
          <cell r="P826">
            <v>5.59</v>
          </cell>
        </row>
        <row r="827">
          <cell r="D827" t="str">
            <v>404304</v>
          </cell>
          <cell r="E827" t="str">
            <v>TOCINO AHUMADO 100GR OK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 t="str">
            <v>SIG</v>
          </cell>
          <cell r="K827" t="str">
            <v>SEG</v>
          </cell>
          <cell r="L827" t="str">
            <v>TCN</v>
          </cell>
          <cell r="M827">
            <v>0</v>
          </cell>
          <cell r="N827">
            <v>0</v>
          </cell>
          <cell r="O827">
            <v>0</v>
          </cell>
          <cell r="P827">
            <v>6.94</v>
          </cell>
        </row>
        <row r="828">
          <cell r="D828" t="str">
            <v>5000395</v>
          </cell>
          <cell r="E828" t="str">
            <v>CAR.MARGARITA MIX 1000ML X 6</v>
          </cell>
          <cell r="F828">
            <v>24.19</v>
          </cell>
          <cell r="G828">
            <v>24.19</v>
          </cell>
          <cell r="H828">
            <v>24.59</v>
          </cell>
          <cell r="I828">
            <v>24.59</v>
          </cell>
          <cell r="J828" t="str">
            <v>CAR</v>
          </cell>
          <cell r="K828" t="str">
            <v>LIC</v>
          </cell>
          <cell r="L828" t="str">
            <v>OTR</v>
          </cell>
          <cell r="M828">
            <v>0</v>
          </cell>
          <cell r="N828">
            <v>0</v>
          </cell>
          <cell r="O828">
            <v>0</v>
          </cell>
          <cell r="P828">
            <v>22.94</v>
          </cell>
        </row>
        <row r="829">
          <cell r="D829" t="str">
            <v>40001230</v>
          </cell>
          <cell r="E829" t="str">
            <v>PK.C.SELECTO 750ML + DUNAS ACHOLADO</v>
          </cell>
          <cell r="F829">
            <v>46.79</v>
          </cell>
          <cell r="G829">
            <v>46.79</v>
          </cell>
          <cell r="H829">
            <v>47.57</v>
          </cell>
          <cell r="I829">
            <v>47.57</v>
          </cell>
          <cell r="J829" t="str">
            <v>CAR</v>
          </cell>
          <cell r="K829" t="str">
            <v>LIC</v>
          </cell>
          <cell r="L829" t="str">
            <v>OTR</v>
          </cell>
          <cell r="M829">
            <v>0</v>
          </cell>
          <cell r="N829">
            <v>0</v>
          </cell>
          <cell r="O829">
            <v>0</v>
          </cell>
          <cell r="P829">
            <v>44.39</v>
          </cell>
        </row>
        <row r="830">
          <cell r="D830" t="str">
            <v>40001232</v>
          </cell>
          <cell r="E830" t="str">
            <v>PK.C.SELECTO 750ML + DUNAS QUEBRANTA</v>
          </cell>
          <cell r="F830">
            <v>46.79</v>
          </cell>
          <cell r="G830">
            <v>46.79</v>
          </cell>
          <cell r="H830">
            <v>47.57</v>
          </cell>
          <cell r="I830">
            <v>47.57</v>
          </cell>
          <cell r="J830" t="str">
            <v>CAR</v>
          </cell>
          <cell r="K830" t="str">
            <v>LIC</v>
          </cell>
          <cell r="L830" t="str">
            <v>OTR</v>
          </cell>
          <cell r="M830">
            <v>0</v>
          </cell>
          <cell r="N830">
            <v>0</v>
          </cell>
          <cell r="O830">
            <v>0</v>
          </cell>
          <cell r="P830">
            <v>44.39</v>
          </cell>
        </row>
        <row r="831">
          <cell r="D831" t="str">
            <v>40000616</v>
          </cell>
          <cell r="E831" t="str">
            <v>CART.JARABE DE GOMA VIÑA SNT.750ML X12</v>
          </cell>
          <cell r="F831">
            <v>10.15</v>
          </cell>
          <cell r="G831">
            <v>10.15</v>
          </cell>
          <cell r="H831">
            <v>10.32</v>
          </cell>
          <cell r="I831">
            <v>10.32</v>
          </cell>
          <cell r="J831" t="str">
            <v>CAR</v>
          </cell>
          <cell r="K831" t="str">
            <v>LIC</v>
          </cell>
          <cell r="L831" t="str">
            <v>OTR</v>
          </cell>
          <cell r="M831">
            <v>0</v>
          </cell>
          <cell r="N831">
            <v>0</v>
          </cell>
          <cell r="O831">
            <v>0</v>
          </cell>
          <cell r="P831">
            <v>8.73</v>
          </cell>
        </row>
        <row r="832">
          <cell r="D832" t="str">
            <v>MAYK26968</v>
          </cell>
          <cell r="E832" t="str">
            <v>MAYONESA REA MAYO KRAFT 443ML X 12</v>
          </cell>
          <cell r="F832">
            <v>11.99</v>
          </cell>
          <cell r="G832">
            <v>11.99</v>
          </cell>
          <cell r="H832">
            <v>12.59</v>
          </cell>
          <cell r="I832">
            <v>12.59</v>
          </cell>
          <cell r="J832" t="str">
            <v>ITN</v>
          </cell>
          <cell r="K832" t="str">
            <v>OTR</v>
          </cell>
          <cell r="L832" t="str">
            <v>OTR</v>
          </cell>
          <cell r="M832">
            <v>0</v>
          </cell>
          <cell r="N832">
            <v>0</v>
          </cell>
          <cell r="O832">
            <v>10.02</v>
          </cell>
          <cell r="P832">
            <v>13.21</v>
          </cell>
        </row>
        <row r="833">
          <cell r="D833" t="str">
            <v>CH140105502</v>
          </cell>
          <cell r="E833" t="str">
            <v>MILKA LECHE DE ALPES  X 100GR</v>
          </cell>
          <cell r="F833">
            <v>10.32</v>
          </cell>
          <cell r="G833">
            <v>10.32</v>
          </cell>
          <cell r="H833">
            <v>10.53</v>
          </cell>
          <cell r="I833">
            <v>10.53</v>
          </cell>
          <cell r="J833" t="str">
            <v>ITN</v>
          </cell>
          <cell r="K833" t="str">
            <v>OTR</v>
          </cell>
          <cell r="L833" t="str">
            <v>OTR</v>
          </cell>
          <cell r="M833">
            <v>0</v>
          </cell>
          <cell r="N833">
            <v>0</v>
          </cell>
          <cell r="O833">
            <v>8.61</v>
          </cell>
          <cell r="P833">
            <v>10.53</v>
          </cell>
        </row>
        <row r="834">
          <cell r="D834" t="str">
            <v>JD010112</v>
          </cell>
          <cell r="E834" t="str">
            <v>JD GALLETAS DE CANELA Y CHOCOLATE CJ 100GR</v>
          </cell>
          <cell r="F834">
            <v>12.9</v>
          </cell>
          <cell r="G834">
            <v>12.9</v>
          </cell>
          <cell r="H834">
            <v>13.15</v>
          </cell>
          <cell r="I834">
            <v>13.15</v>
          </cell>
          <cell r="J834" t="str">
            <v>ITN</v>
          </cell>
          <cell r="K834" t="str">
            <v>OTR</v>
          </cell>
          <cell r="L834" t="str">
            <v>OTR</v>
          </cell>
          <cell r="M834">
            <v>0</v>
          </cell>
          <cell r="N834">
            <v>0</v>
          </cell>
          <cell r="O834">
            <v>10.76</v>
          </cell>
          <cell r="P834">
            <v>13.15</v>
          </cell>
        </row>
        <row r="835">
          <cell r="D835" t="str">
            <v>HEINZ322</v>
          </cell>
          <cell r="E835" t="str">
            <v>MOSTAZA HEINZ PET 255GR  X 16</v>
          </cell>
          <cell r="F835">
            <v>8.73</v>
          </cell>
          <cell r="G835">
            <v>8.73</v>
          </cell>
          <cell r="H835">
            <v>9.16</v>
          </cell>
          <cell r="I835">
            <v>9.16</v>
          </cell>
          <cell r="J835" t="str">
            <v>ITN</v>
          </cell>
          <cell r="K835" t="str">
            <v>OTR</v>
          </cell>
          <cell r="L835" t="str">
            <v>OTR</v>
          </cell>
          <cell r="M835">
            <v>0</v>
          </cell>
          <cell r="N835">
            <v>0</v>
          </cell>
          <cell r="O835">
            <v>7.28</v>
          </cell>
          <cell r="P835">
            <v>9.6199999999999992</v>
          </cell>
        </row>
        <row r="836">
          <cell r="D836" t="str">
            <v>QU006153</v>
          </cell>
          <cell r="E836" t="str">
            <v>QUESO PARMESANO RALLADO KRAFT 227GR</v>
          </cell>
          <cell r="F836">
            <v>25.45</v>
          </cell>
          <cell r="G836">
            <v>25.45</v>
          </cell>
          <cell r="H836">
            <v>26.72</v>
          </cell>
          <cell r="I836">
            <v>26.72</v>
          </cell>
          <cell r="J836" t="str">
            <v>ITN</v>
          </cell>
          <cell r="K836" t="str">
            <v>OTR</v>
          </cell>
          <cell r="L836" t="str">
            <v>OTR</v>
          </cell>
          <cell r="M836">
            <v>0</v>
          </cell>
          <cell r="N836">
            <v>0</v>
          </cell>
          <cell r="O836">
            <v>21.23</v>
          </cell>
          <cell r="P836">
            <v>28.05</v>
          </cell>
        </row>
        <row r="837">
          <cell r="D837" t="str">
            <v>PASTA067060</v>
          </cell>
          <cell r="E837" t="str">
            <v>MACARONI CHEESE ORIGINAL KRAFT CAJA X 206GR</v>
          </cell>
          <cell r="F837">
            <v>5.67</v>
          </cell>
          <cell r="G837">
            <v>5.67</v>
          </cell>
          <cell r="H837">
            <v>5.95</v>
          </cell>
          <cell r="I837">
            <v>5.95</v>
          </cell>
          <cell r="J837" t="str">
            <v>ITN</v>
          </cell>
          <cell r="K837" t="str">
            <v>OTR</v>
          </cell>
          <cell r="L837" t="str">
            <v>OTR</v>
          </cell>
          <cell r="M837">
            <v>0</v>
          </cell>
          <cell r="N837">
            <v>0</v>
          </cell>
          <cell r="O837">
            <v>4.7300000000000004</v>
          </cell>
          <cell r="P837">
            <v>6.25</v>
          </cell>
        </row>
        <row r="838">
          <cell r="D838" t="str">
            <v>CH700001023</v>
          </cell>
          <cell r="E838" t="str">
            <v>MILKA BROKEN HAZELNUTS X 100GR</v>
          </cell>
          <cell r="F838">
            <v>10.32</v>
          </cell>
          <cell r="G838">
            <v>10.32</v>
          </cell>
          <cell r="H838">
            <v>10.53</v>
          </cell>
          <cell r="I838">
            <v>10.53</v>
          </cell>
          <cell r="J838" t="str">
            <v>ITN</v>
          </cell>
          <cell r="K838" t="str">
            <v>OTR</v>
          </cell>
          <cell r="L838" t="str">
            <v>OTR</v>
          </cell>
          <cell r="M838">
            <v>0</v>
          </cell>
          <cell r="N838">
            <v>0</v>
          </cell>
          <cell r="O838">
            <v>8.61</v>
          </cell>
          <cell r="P838">
            <v>10.53</v>
          </cell>
        </row>
        <row r="839">
          <cell r="D839" t="str">
            <v>HEINZ312403</v>
          </cell>
          <cell r="E839" t="str">
            <v>KETCHUP HEINZ PET 397 GR</v>
          </cell>
          <cell r="F839">
            <v>10.76</v>
          </cell>
          <cell r="G839">
            <v>10.76</v>
          </cell>
          <cell r="H839">
            <v>11.3</v>
          </cell>
          <cell r="I839">
            <v>11.3</v>
          </cell>
          <cell r="J839" t="str">
            <v>ITN</v>
          </cell>
          <cell r="K839" t="str">
            <v>OTR</v>
          </cell>
          <cell r="L839" t="str">
            <v>OTR</v>
          </cell>
          <cell r="M839">
            <v>0</v>
          </cell>
          <cell r="N839">
            <v>0</v>
          </cell>
          <cell r="O839">
            <v>0</v>
          </cell>
          <cell r="P839">
            <v>11.87</v>
          </cell>
        </row>
        <row r="840">
          <cell r="D840" t="str">
            <v>GULLO37</v>
          </cell>
          <cell r="E840" t="str">
            <v>GULLON CHIP CHOCO SIN GLUTEN 130GR X12</v>
          </cell>
          <cell r="F840">
            <v>8.6999999999999993</v>
          </cell>
          <cell r="G840">
            <v>8.6999999999999993</v>
          </cell>
          <cell r="H840">
            <v>8.8800000000000008</v>
          </cell>
          <cell r="I840">
            <v>8.8800000000000008</v>
          </cell>
          <cell r="J840" t="str">
            <v>ITN</v>
          </cell>
          <cell r="K840" t="str">
            <v>OTR</v>
          </cell>
          <cell r="L840" t="str">
            <v>OTR</v>
          </cell>
          <cell r="M840">
            <v>0</v>
          </cell>
          <cell r="N840">
            <v>0</v>
          </cell>
          <cell r="O840">
            <v>7.26</v>
          </cell>
          <cell r="P840">
            <v>8.8800000000000008</v>
          </cell>
        </row>
        <row r="841">
          <cell r="D841" t="str">
            <v>HEINZ237</v>
          </cell>
          <cell r="E841" t="str">
            <v>MOSTAZA HEINZ DOYPACK 368 X 12</v>
          </cell>
          <cell r="F841">
            <v>6.14</v>
          </cell>
          <cell r="G841">
            <v>6.14</v>
          </cell>
          <cell r="H841">
            <v>6.44</v>
          </cell>
          <cell r="I841">
            <v>6.44</v>
          </cell>
          <cell r="J841" t="str">
            <v>ITN</v>
          </cell>
          <cell r="K841" t="str">
            <v>OTR</v>
          </cell>
          <cell r="L841" t="str">
            <v>OTR</v>
          </cell>
          <cell r="M841">
            <v>0</v>
          </cell>
          <cell r="N841">
            <v>0</v>
          </cell>
          <cell r="O841">
            <v>5.12</v>
          </cell>
          <cell r="P841">
            <v>6.77</v>
          </cell>
        </row>
        <row r="842">
          <cell r="D842" t="str">
            <v>HEINZ008</v>
          </cell>
          <cell r="E842" t="str">
            <v>KETCHUP HEINZ DOYPACK 190GR X 24</v>
          </cell>
          <cell r="F842">
            <v>3.58</v>
          </cell>
          <cell r="G842">
            <v>3.58</v>
          </cell>
          <cell r="H842">
            <v>3.76</v>
          </cell>
          <cell r="I842">
            <v>3.76</v>
          </cell>
          <cell r="J842" t="str">
            <v>ITN</v>
          </cell>
          <cell r="K842" t="str">
            <v>OTR</v>
          </cell>
          <cell r="L842" t="str">
            <v>OTR</v>
          </cell>
          <cell r="M842">
            <v>0</v>
          </cell>
          <cell r="N842">
            <v>0</v>
          </cell>
          <cell r="O842">
            <v>2.99</v>
          </cell>
          <cell r="P842">
            <v>3.95</v>
          </cell>
        </row>
        <row r="843">
          <cell r="D843" t="str">
            <v>GULLO17</v>
          </cell>
          <cell r="E843" t="str">
            <v>GULLON MINI CHIPS CAC S/GLUTEN 200GRX12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 t="str">
            <v>ITN</v>
          </cell>
          <cell r="K843" t="str">
            <v>OTR</v>
          </cell>
          <cell r="L843" t="str">
            <v>OTR</v>
          </cell>
          <cell r="M843">
            <v>0</v>
          </cell>
          <cell r="N843">
            <v>0</v>
          </cell>
          <cell r="O843">
            <v>10.43</v>
          </cell>
          <cell r="P843">
            <v>12.75</v>
          </cell>
        </row>
        <row r="844">
          <cell r="D844" t="str">
            <v>000143</v>
          </cell>
          <cell r="E844" t="str">
            <v>AQUAFRESH 620ML X15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 t="str">
            <v>MAJ</v>
          </cell>
          <cell r="K844" t="str">
            <v>BEB</v>
          </cell>
          <cell r="L844" t="str">
            <v>BEB</v>
          </cell>
          <cell r="M844">
            <v>0</v>
          </cell>
          <cell r="N844">
            <v>0</v>
          </cell>
          <cell r="O844">
            <v>0</v>
          </cell>
          <cell r="P844">
            <v>12.54</v>
          </cell>
        </row>
        <row r="845">
          <cell r="D845" t="str">
            <v>FXN687</v>
          </cell>
          <cell r="E845" t="str">
            <v>E/ FREIXT MIA MOSCATO (NARANJA) 750ML X12</v>
          </cell>
          <cell r="F845">
            <v>47.42</v>
          </cell>
          <cell r="G845">
            <v>47.42</v>
          </cell>
          <cell r="H845">
            <v>48.37</v>
          </cell>
          <cell r="I845">
            <v>48.37</v>
          </cell>
          <cell r="J845" t="str">
            <v>KLS</v>
          </cell>
          <cell r="K845" t="str">
            <v>LIC</v>
          </cell>
          <cell r="L845" t="str">
            <v>ESP</v>
          </cell>
          <cell r="M845">
            <v>0</v>
          </cell>
          <cell r="N845">
            <v>0</v>
          </cell>
          <cell r="O845">
            <v>42.11</v>
          </cell>
          <cell r="P845">
            <v>50.79</v>
          </cell>
        </row>
        <row r="846">
          <cell r="D846" t="str">
            <v>FXN064</v>
          </cell>
          <cell r="E846" t="str">
            <v>E/ FREIXT MIA MOSCATO ROSADO 750ML X12</v>
          </cell>
          <cell r="F846">
            <v>47.42</v>
          </cell>
          <cell r="G846">
            <v>47.42</v>
          </cell>
          <cell r="H846">
            <v>48.37</v>
          </cell>
          <cell r="I846">
            <v>48.37</v>
          </cell>
          <cell r="J846" t="str">
            <v>KLS</v>
          </cell>
          <cell r="K846" t="str">
            <v>LIC</v>
          </cell>
          <cell r="L846" t="str">
            <v>ESP</v>
          </cell>
          <cell r="M846">
            <v>0</v>
          </cell>
          <cell r="N846">
            <v>0</v>
          </cell>
          <cell r="O846">
            <v>42.11</v>
          </cell>
          <cell r="P846">
            <v>50.79</v>
          </cell>
        </row>
        <row r="847">
          <cell r="D847" t="str">
            <v>FXN046</v>
          </cell>
          <cell r="E847" t="str">
            <v>E/FREIXT C.NEGRO BRUT 750ML+COPA X6</v>
          </cell>
          <cell r="F847">
            <v>47.42</v>
          </cell>
          <cell r="G847">
            <v>47.42</v>
          </cell>
          <cell r="H847">
            <v>48.37</v>
          </cell>
          <cell r="I847">
            <v>48.37</v>
          </cell>
          <cell r="J847" t="str">
            <v>KLS</v>
          </cell>
          <cell r="K847" t="str">
            <v>LIC</v>
          </cell>
          <cell r="L847" t="str">
            <v>ESP</v>
          </cell>
          <cell r="M847">
            <v>0</v>
          </cell>
          <cell r="N847">
            <v>0</v>
          </cell>
          <cell r="O847">
            <v>42.42</v>
          </cell>
          <cell r="P847">
            <v>50.79</v>
          </cell>
        </row>
        <row r="848">
          <cell r="D848" t="str">
            <v>ISMG0277</v>
          </cell>
          <cell r="E848" t="str">
            <v xml:space="preserve">1 UND AGUA CIELO SIN/G 625MLX15 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 t="str">
            <v>ISM</v>
          </cell>
          <cell r="K848" t="str">
            <v>KER</v>
          </cell>
          <cell r="L848" t="str">
            <v>CIE</v>
          </cell>
          <cell r="M848">
            <v>0</v>
          </cell>
          <cell r="N848">
            <v>0</v>
          </cell>
          <cell r="O848">
            <v>0</v>
          </cell>
          <cell r="P848">
            <v>1</v>
          </cell>
        </row>
        <row r="849">
          <cell r="D849" t="str">
            <v>ISMG0276</v>
          </cell>
          <cell r="E849" t="str">
            <v>AGUA CIELO SIN/G 625MLX15</v>
          </cell>
          <cell r="F849">
            <v>11.86</v>
          </cell>
          <cell r="G849">
            <v>11.86</v>
          </cell>
          <cell r="H849">
            <v>12.25</v>
          </cell>
          <cell r="I849">
            <v>12.25</v>
          </cell>
          <cell r="J849" t="str">
            <v>ISM</v>
          </cell>
          <cell r="K849" t="str">
            <v>KER</v>
          </cell>
          <cell r="L849" t="str">
            <v>CIE</v>
          </cell>
          <cell r="M849">
            <v>0</v>
          </cell>
          <cell r="N849">
            <v>0</v>
          </cell>
          <cell r="O849">
            <v>8.9700000000000006</v>
          </cell>
          <cell r="P849">
            <v>1</v>
          </cell>
        </row>
        <row r="850">
          <cell r="D850" t="str">
            <v>GUIN01</v>
          </cell>
          <cell r="E850" t="str">
            <v>CERVEZA GUINNESS LATA 440 ML X24 UN</v>
          </cell>
          <cell r="F850">
            <v>14.42</v>
          </cell>
          <cell r="G850">
            <v>14.42</v>
          </cell>
          <cell r="H850">
            <v>16.03</v>
          </cell>
          <cell r="I850">
            <v>16.03</v>
          </cell>
          <cell r="J850" t="str">
            <v>JYA</v>
          </cell>
          <cell r="K850" t="str">
            <v>LIC</v>
          </cell>
          <cell r="L850" t="str">
            <v>OTR</v>
          </cell>
          <cell r="M850">
            <v>0</v>
          </cell>
          <cell r="N850">
            <v>0</v>
          </cell>
          <cell r="O850">
            <v>13</v>
          </cell>
          <cell r="P850">
            <v>16.03</v>
          </cell>
        </row>
        <row r="851">
          <cell r="D851" t="str">
            <v>NMP12</v>
          </cell>
          <cell r="E851" t="str">
            <v>SMIRNOFF ICE PINK LEMONADE BOT X 332ML</v>
          </cell>
          <cell r="F851">
            <v>11.32</v>
          </cell>
          <cell r="G851">
            <v>11.32</v>
          </cell>
          <cell r="H851">
            <v>12.84</v>
          </cell>
          <cell r="I851">
            <v>12.84</v>
          </cell>
          <cell r="J851" t="str">
            <v>JYA</v>
          </cell>
          <cell r="K851" t="str">
            <v>LIC</v>
          </cell>
          <cell r="L851" t="str">
            <v>OTR</v>
          </cell>
          <cell r="M851">
            <v>0</v>
          </cell>
          <cell r="N851">
            <v>0</v>
          </cell>
          <cell r="O851">
            <v>10</v>
          </cell>
          <cell r="P851">
            <v>12.93</v>
          </cell>
        </row>
        <row r="852">
          <cell r="D852" t="str">
            <v>NMP01</v>
          </cell>
          <cell r="E852" t="str">
            <v>JACK DANIEL´S STRAWBERRY PUNCH LATA X 355ML</v>
          </cell>
          <cell r="F852">
            <v>11.63</v>
          </cell>
          <cell r="G852">
            <v>11.63</v>
          </cell>
          <cell r="H852">
            <v>12.93</v>
          </cell>
          <cell r="I852">
            <v>12.93</v>
          </cell>
          <cell r="J852" t="str">
            <v>JYA</v>
          </cell>
          <cell r="K852" t="str">
            <v>LIC</v>
          </cell>
          <cell r="L852" t="str">
            <v>OTR</v>
          </cell>
          <cell r="M852">
            <v>0</v>
          </cell>
          <cell r="N852">
            <v>0</v>
          </cell>
          <cell r="O852">
            <v>10</v>
          </cell>
          <cell r="P852">
            <v>12.93</v>
          </cell>
        </row>
        <row r="853">
          <cell r="D853" t="str">
            <v>CH300617820</v>
          </cell>
          <cell r="E853" t="str">
            <v>MILKA OREO  100G</v>
          </cell>
          <cell r="F853">
            <v>10.32</v>
          </cell>
          <cell r="G853">
            <v>10.32</v>
          </cell>
          <cell r="H853">
            <v>10.53</v>
          </cell>
          <cell r="I853">
            <v>10.53</v>
          </cell>
          <cell r="J853" t="str">
            <v>JYA</v>
          </cell>
          <cell r="K853" t="str">
            <v>LIC</v>
          </cell>
          <cell r="L853" t="str">
            <v>OTR</v>
          </cell>
          <cell r="M853">
            <v>0</v>
          </cell>
          <cell r="N853">
            <v>0</v>
          </cell>
          <cell r="O853">
            <v>10</v>
          </cell>
          <cell r="P853">
            <v>10.27</v>
          </cell>
        </row>
        <row r="854">
          <cell r="D854" t="str">
            <v>CH210262530</v>
          </cell>
          <cell r="E854" t="str">
            <v>MILKA CHIPS AHOY  100G</v>
          </cell>
          <cell r="F854">
            <v>10.32</v>
          </cell>
          <cell r="G854">
            <v>10.32</v>
          </cell>
          <cell r="H854">
            <v>10.53</v>
          </cell>
          <cell r="I854">
            <v>10.53</v>
          </cell>
          <cell r="J854" t="str">
            <v>JYA</v>
          </cell>
          <cell r="K854" t="str">
            <v>LIC</v>
          </cell>
          <cell r="L854" t="str">
            <v>OTR</v>
          </cell>
          <cell r="M854">
            <v>0</v>
          </cell>
          <cell r="N854">
            <v>0</v>
          </cell>
          <cell r="O854">
            <v>10</v>
          </cell>
          <cell r="P854">
            <v>11.9</v>
          </cell>
        </row>
        <row r="855">
          <cell r="D855" t="str">
            <v>NMP16</v>
          </cell>
          <cell r="E855" t="str">
            <v>CERVEZA MODELO ESPECIAL BT 355ML X 12</v>
          </cell>
          <cell r="F855">
            <v>13.65</v>
          </cell>
          <cell r="G855">
            <v>13.65</v>
          </cell>
          <cell r="H855">
            <v>13.65</v>
          </cell>
          <cell r="I855">
            <v>13.65</v>
          </cell>
          <cell r="J855" t="str">
            <v>JYA</v>
          </cell>
          <cell r="K855" t="str">
            <v>LIC</v>
          </cell>
          <cell r="L855" t="str">
            <v>OTR</v>
          </cell>
          <cell r="M855">
            <v>0</v>
          </cell>
          <cell r="N855">
            <v>0</v>
          </cell>
          <cell r="O855">
            <v>12</v>
          </cell>
          <cell r="P855">
            <v>16.03</v>
          </cell>
        </row>
        <row r="856">
          <cell r="D856" t="str">
            <v>CAR001</v>
          </cell>
          <cell r="E856" t="str">
            <v>CARBON FENIX BOLSA X 5 KG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 t="str">
            <v>OTR</v>
          </cell>
          <cell r="K856" t="str">
            <v>OTR</v>
          </cell>
          <cell r="L856" t="str">
            <v>OTR</v>
          </cell>
          <cell r="M856">
            <v>0</v>
          </cell>
          <cell r="N856">
            <v>0</v>
          </cell>
          <cell r="O856">
            <v>17.989999999999998</v>
          </cell>
          <cell r="P856">
            <v>26</v>
          </cell>
        </row>
        <row r="857">
          <cell r="D857" t="str">
            <v>CAR002</v>
          </cell>
          <cell r="E857" t="str">
            <v>CARBON FENIX BOLSA X 3 KG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 t="str">
            <v>OTR</v>
          </cell>
          <cell r="K857" t="str">
            <v>OTR</v>
          </cell>
          <cell r="L857" t="str">
            <v>OTR</v>
          </cell>
          <cell r="M857">
            <v>0</v>
          </cell>
          <cell r="N857">
            <v>0</v>
          </cell>
          <cell r="O857">
            <v>13</v>
          </cell>
          <cell r="P857">
            <v>19</v>
          </cell>
        </row>
        <row r="858">
          <cell r="D858" t="str">
            <v>C2022</v>
          </cell>
          <cell r="E858" t="str">
            <v>CANASTA NAVIDEÑA A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 t="str">
            <v>OTR</v>
          </cell>
          <cell r="K858" t="str">
            <v>OTR</v>
          </cell>
          <cell r="L858" t="str">
            <v>OTR</v>
          </cell>
          <cell r="M858">
            <v>0</v>
          </cell>
          <cell r="N858">
            <v>0</v>
          </cell>
          <cell r="O858">
            <v>0</v>
          </cell>
          <cell r="P858">
            <v>250</v>
          </cell>
        </row>
        <row r="859">
          <cell r="D859" t="str">
            <v>CSV03</v>
          </cell>
          <cell r="E859" t="str">
            <v>CANASTA SAN VALENTIN N03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 t="str">
            <v>OTR</v>
          </cell>
          <cell r="K859" t="str">
            <v>OTR</v>
          </cell>
          <cell r="L859" t="str">
            <v>OTR</v>
          </cell>
          <cell r="M859">
            <v>0</v>
          </cell>
          <cell r="N859">
            <v>0</v>
          </cell>
          <cell r="O859">
            <v>0</v>
          </cell>
          <cell r="P859">
            <v>140.19999999999999</v>
          </cell>
        </row>
        <row r="860">
          <cell r="D860" t="str">
            <v>SIERR01</v>
          </cell>
          <cell r="E860" t="str">
            <v>SIERRA NEVEDA PALEALE 12BOT X 12OZ</v>
          </cell>
          <cell r="F860">
            <v>14.42</v>
          </cell>
          <cell r="G860">
            <v>14.42</v>
          </cell>
          <cell r="H860">
            <v>16.03</v>
          </cell>
          <cell r="I860">
            <v>16.03</v>
          </cell>
          <cell r="J860" t="str">
            <v>OTR</v>
          </cell>
          <cell r="K860" t="str">
            <v>OTR</v>
          </cell>
          <cell r="L860" t="str">
            <v>OTR</v>
          </cell>
          <cell r="M860">
            <v>0</v>
          </cell>
          <cell r="N860">
            <v>0</v>
          </cell>
          <cell r="O860">
            <v>13</v>
          </cell>
          <cell r="P860">
            <v>16.03</v>
          </cell>
        </row>
        <row r="861">
          <cell r="D861" t="str">
            <v>CSV01</v>
          </cell>
          <cell r="E861" t="str">
            <v>CANASTA SAN VALETÍN N01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 t="str">
            <v>OTR</v>
          </cell>
          <cell r="K861" t="str">
            <v>OTR</v>
          </cell>
          <cell r="L861" t="str">
            <v>OTR</v>
          </cell>
          <cell r="M861">
            <v>0</v>
          </cell>
          <cell r="N861">
            <v>0</v>
          </cell>
          <cell r="O861">
            <v>0</v>
          </cell>
          <cell r="P861">
            <v>49.5</v>
          </cell>
        </row>
        <row r="862">
          <cell r="D862" t="str">
            <v>CSV02</v>
          </cell>
          <cell r="E862" t="str">
            <v>CANASTA SAN VALENTIN N02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 t="str">
            <v>OTR</v>
          </cell>
          <cell r="K862" t="str">
            <v>OTR</v>
          </cell>
          <cell r="L862" t="str">
            <v>OTR</v>
          </cell>
          <cell r="M862">
            <v>0</v>
          </cell>
          <cell r="N862">
            <v>0</v>
          </cell>
          <cell r="O862">
            <v>0</v>
          </cell>
          <cell r="P862">
            <v>123.8</v>
          </cell>
        </row>
        <row r="863">
          <cell r="D863" t="str">
            <v>8987</v>
          </cell>
          <cell r="E863" t="str">
            <v>WELCH S FRUIT SNACKS MIXED/ F. 64GR X 24</v>
          </cell>
          <cell r="F863">
            <v>9.9700000000000006</v>
          </cell>
          <cell r="G863">
            <v>9.9700000000000006</v>
          </cell>
          <cell r="H863">
            <v>10.32</v>
          </cell>
          <cell r="I863">
            <v>10.32</v>
          </cell>
          <cell r="J863" t="str">
            <v>IAJ</v>
          </cell>
          <cell r="K863" t="str">
            <v>OTR</v>
          </cell>
          <cell r="L863" t="str">
            <v>OTR</v>
          </cell>
          <cell r="M863">
            <v>0</v>
          </cell>
          <cell r="N863">
            <v>0</v>
          </cell>
          <cell r="O863">
            <v>6.43</v>
          </cell>
          <cell r="P863">
            <v>8.6300000000000008</v>
          </cell>
        </row>
        <row r="864">
          <cell r="D864" t="str">
            <v>CSV06</v>
          </cell>
          <cell r="E864" t="str">
            <v>CANASTA SAN VALENTIN N06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 t="str">
            <v>OTR</v>
          </cell>
          <cell r="K864" t="str">
            <v>OTR</v>
          </cell>
          <cell r="L864" t="str">
            <v>OTR</v>
          </cell>
          <cell r="M864">
            <v>0</v>
          </cell>
          <cell r="N864">
            <v>0</v>
          </cell>
          <cell r="O864">
            <v>0</v>
          </cell>
          <cell r="P864">
            <v>115.2</v>
          </cell>
        </row>
        <row r="865">
          <cell r="D865" t="str">
            <v>CSV05</v>
          </cell>
          <cell r="E865" t="str">
            <v>CANASTA SAN VALENTIN N05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 t="str">
            <v>OTR</v>
          </cell>
          <cell r="K865" t="str">
            <v>OTR</v>
          </cell>
          <cell r="L865" t="str">
            <v>OTR</v>
          </cell>
          <cell r="M865">
            <v>0</v>
          </cell>
          <cell r="N865">
            <v>0</v>
          </cell>
          <cell r="O865">
            <v>0</v>
          </cell>
          <cell r="P865">
            <v>83.9</v>
          </cell>
        </row>
        <row r="866">
          <cell r="D866" t="str">
            <v>H100</v>
          </cell>
          <cell r="E866" t="str">
            <v>HIELO 3K AGUA CERO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 t="str">
            <v>OTR</v>
          </cell>
          <cell r="K866" t="str">
            <v>OTR</v>
          </cell>
          <cell r="L866" t="str">
            <v>OTR</v>
          </cell>
          <cell r="M866">
            <v>3.75</v>
          </cell>
          <cell r="N866">
            <v>0</v>
          </cell>
          <cell r="O866">
            <v>3.75</v>
          </cell>
          <cell r="P866">
            <v>5</v>
          </cell>
        </row>
        <row r="867">
          <cell r="D867" t="str">
            <v>CERV01</v>
          </cell>
          <cell r="E867" t="str">
            <v>CERVEZAS ARTESANALES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 t="str">
            <v>OTR</v>
          </cell>
          <cell r="K867" t="str">
            <v>OTR</v>
          </cell>
          <cell r="L867" t="str">
            <v>OTR</v>
          </cell>
          <cell r="M867">
            <v>0</v>
          </cell>
          <cell r="N867">
            <v>0</v>
          </cell>
          <cell r="O867">
            <v>8.75</v>
          </cell>
          <cell r="P867">
            <v>16</v>
          </cell>
        </row>
        <row r="868">
          <cell r="D868" t="str">
            <v>CSV04</v>
          </cell>
          <cell r="E868" t="str">
            <v>CANASTA SAN VALENTIN N04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 t="str">
            <v>OTR</v>
          </cell>
          <cell r="K868" t="str">
            <v>OTR</v>
          </cell>
          <cell r="L868" t="str">
            <v>OTR</v>
          </cell>
          <cell r="M868">
            <v>0</v>
          </cell>
          <cell r="N868">
            <v>0</v>
          </cell>
          <cell r="O868">
            <v>0</v>
          </cell>
          <cell r="P868">
            <v>124.75</v>
          </cell>
        </row>
        <row r="869">
          <cell r="D869" t="str">
            <v>404856</v>
          </cell>
          <cell r="E869" t="str">
            <v>JAMONADA POLLO PZ 2KG SEGO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 t="str">
            <v>SIG</v>
          </cell>
          <cell r="K869" t="str">
            <v>SEG</v>
          </cell>
          <cell r="L869" t="str">
            <v>JMN</v>
          </cell>
          <cell r="M869">
            <v>0</v>
          </cell>
          <cell r="N869">
            <v>0</v>
          </cell>
          <cell r="O869">
            <v>0</v>
          </cell>
          <cell r="P869">
            <v>29.98</v>
          </cell>
        </row>
        <row r="870">
          <cell r="D870" t="str">
            <v>404846</v>
          </cell>
          <cell r="E870" t="str">
            <v>JAMONADA ESPECIAL 2KG SEGO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 t="str">
            <v>SIG</v>
          </cell>
          <cell r="K870" t="str">
            <v>SEG</v>
          </cell>
          <cell r="L870" t="str">
            <v>JMN</v>
          </cell>
          <cell r="M870">
            <v>0</v>
          </cell>
          <cell r="N870">
            <v>0</v>
          </cell>
          <cell r="O870">
            <v>30.21</v>
          </cell>
          <cell r="P870">
            <v>33.729999999999997</v>
          </cell>
        </row>
        <row r="871">
          <cell r="D871" t="str">
            <v>403675</v>
          </cell>
          <cell r="E871" t="str">
            <v>SUPER JAMONADA 2KG SEGO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 t="str">
            <v>SIG</v>
          </cell>
          <cell r="K871" t="str">
            <v>SEG</v>
          </cell>
          <cell r="L871" t="str">
            <v>JMN</v>
          </cell>
          <cell r="M871">
            <v>0</v>
          </cell>
          <cell r="N871">
            <v>0</v>
          </cell>
          <cell r="O871">
            <v>0</v>
          </cell>
          <cell r="P871">
            <v>23.98</v>
          </cell>
        </row>
        <row r="872">
          <cell r="D872" t="str">
            <v>404820</v>
          </cell>
          <cell r="E872" t="str">
            <v>MOLIDA CASERA CG UN 0.5KG SEGO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 t="str">
            <v>SIG</v>
          </cell>
          <cell r="K872" t="str">
            <v>SEG</v>
          </cell>
          <cell r="L872" t="str">
            <v>JMN</v>
          </cell>
          <cell r="M872">
            <v>0</v>
          </cell>
          <cell r="N872">
            <v>0</v>
          </cell>
          <cell r="O872">
            <v>8.15</v>
          </cell>
          <cell r="P872">
            <v>8.92</v>
          </cell>
        </row>
        <row r="873">
          <cell r="D873" t="str">
            <v>RUT008</v>
          </cell>
          <cell r="E873" t="str">
            <v xml:space="preserve">V/RUTINI  COLECC. MALBEC 750ML X12 </v>
          </cell>
          <cell r="F873">
            <v>157.13999999999999</v>
          </cell>
          <cell r="G873">
            <v>157.13999999999999</v>
          </cell>
          <cell r="H873">
            <v>160.28</v>
          </cell>
          <cell r="I873">
            <v>160.28</v>
          </cell>
          <cell r="J873" t="str">
            <v>KLS</v>
          </cell>
          <cell r="K873" t="str">
            <v>LIC</v>
          </cell>
          <cell r="L873" t="str">
            <v>VIN</v>
          </cell>
          <cell r="M873">
            <v>0</v>
          </cell>
          <cell r="N873">
            <v>0</v>
          </cell>
          <cell r="O873">
            <v>142.6</v>
          </cell>
          <cell r="P873">
            <v>168.29</v>
          </cell>
        </row>
        <row r="874">
          <cell r="D874" t="str">
            <v>COU200</v>
          </cell>
          <cell r="E874" t="str">
            <v>V/COUSIÑO MACUL A.RESERV  MERLOT 750ML X12</v>
          </cell>
          <cell r="F874">
            <v>61.41</v>
          </cell>
          <cell r="G874">
            <v>61.41</v>
          </cell>
          <cell r="H874">
            <v>62.64</v>
          </cell>
          <cell r="I874">
            <v>62.64</v>
          </cell>
          <cell r="J874" t="str">
            <v>KLS</v>
          </cell>
          <cell r="K874" t="str">
            <v>LIC</v>
          </cell>
          <cell r="L874" t="str">
            <v>VIN</v>
          </cell>
          <cell r="M874">
            <v>0</v>
          </cell>
          <cell r="N874">
            <v>0</v>
          </cell>
          <cell r="O874">
            <v>55.64</v>
          </cell>
          <cell r="P874">
            <v>65.77</v>
          </cell>
        </row>
        <row r="875">
          <cell r="D875" t="str">
            <v>NIE797</v>
          </cell>
          <cell r="E875" t="str">
            <v>V.SENETINER CAMILA ROSE DULCE X750ML</v>
          </cell>
          <cell r="F875">
            <v>34.17</v>
          </cell>
          <cell r="G875">
            <v>34.17</v>
          </cell>
          <cell r="H875">
            <v>34.85</v>
          </cell>
          <cell r="I875">
            <v>34.85</v>
          </cell>
          <cell r="J875" t="str">
            <v>KLS</v>
          </cell>
          <cell r="K875" t="str">
            <v>LIC</v>
          </cell>
          <cell r="L875" t="str">
            <v>VIN</v>
          </cell>
          <cell r="M875">
            <v>0</v>
          </cell>
          <cell r="N875">
            <v>0</v>
          </cell>
          <cell r="O875">
            <v>30.81</v>
          </cell>
          <cell r="P875">
            <v>36.590000000000003</v>
          </cell>
        </row>
        <row r="876">
          <cell r="D876" t="str">
            <v>AUG290</v>
          </cell>
          <cell r="E876" t="str">
            <v>V/ AUGUSTUS LIEBLICH  750ML X6</v>
          </cell>
          <cell r="F876">
            <v>21.59</v>
          </cell>
          <cell r="G876">
            <v>21.59</v>
          </cell>
          <cell r="H876">
            <v>22.02</v>
          </cell>
          <cell r="I876">
            <v>22.02</v>
          </cell>
          <cell r="J876" t="str">
            <v>KLS</v>
          </cell>
          <cell r="K876" t="str">
            <v>LIC</v>
          </cell>
          <cell r="L876" t="str">
            <v>VIN</v>
          </cell>
          <cell r="M876">
            <v>0</v>
          </cell>
          <cell r="N876">
            <v>0</v>
          </cell>
          <cell r="O876">
            <v>19.38</v>
          </cell>
          <cell r="P876">
            <v>23.12</v>
          </cell>
        </row>
        <row r="877">
          <cell r="D877" t="str">
            <v>NIE715</v>
          </cell>
          <cell r="E877" t="str">
            <v>V/SENETR DN NICANOR MALBEC 750ML X12</v>
          </cell>
          <cell r="F877">
            <v>72.53</v>
          </cell>
          <cell r="G877">
            <v>72.53</v>
          </cell>
          <cell r="H877">
            <v>73.98</v>
          </cell>
          <cell r="I877">
            <v>73.98</v>
          </cell>
          <cell r="J877" t="str">
            <v>KLS</v>
          </cell>
          <cell r="K877" t="str">
            <v>LIC</v>
          </cell>
          <cell r="L877" t="str">
            <v>VIN</v>
          </cell>
          <cell r="M877">
            <v>0</v>
          </cell>
          <cell r="N877">
            <v>0</v>
          </cell>
          <cell r="O877">
            <v>62.5</v>
          </cell>
          <cell r="P877">
            <v>77.680000000000007</v>
          </cell>
        </row>
        <row r="878">
          <cell r="D878" t="str">
            <v>NIE745</v>
          </cell>
          <cell r="E878" t="str">
            <v>V/SENETR EMILIA MALBEC 750ML X12</v>
          </cell>
          <cell r="F878">
            <v>37.75</v>
          </cell>
          <cell r="G878">
            <v>37.75</v>
          </cell>
          <cell r="H878">
            <v>38.51</v>
          </cell>
          <cell r="I878">
            <v>38.51</v>
          </cell>
          <cell r="J878" t="str">
            <v>KLS</v>
          </cell>
          <cell r="K878" t="str">
            <v>LIC</v>
          </cell>
          <cell r="L878" t="str">
            <v>VIN</v>
          </cell>
          <cell r="M878">
            <v>0</v>
          </cell>
          <cell r="N878">
            <v>0</v>
          </cell>
          <cell r="O878">
            <v>34.07</v>
          </cell>
          <cell r="P878">
            <v>38.51</v>
          </cell>
        </row>
        <row r="879">
          <cell r="D879" t="str">
            <v>COU196</v>
          </cell>
          <cell r="E879" t="str">
            <v>V/COUSINO MACUL RESERV.CAB.SAUV 750ML X12</v>
          </cell>
          <cell r="F879">
            <v>61.41</v>
          </cell>
          <cell r="G879">
            <v>61.41</v>
          </cell>
          <cell r="H879">
            <v>62.64</v>
          </cell>
          <cell r="I879">
            <v>62.64</v>
          </cell>
          <cell r="J879" t="str">
            <v>KLS</v>
          </cell>
          <cell r="K879" t="str">
            <v>LIC</v>
          </cell>
          <cell r="L879" t="str">
            <v>VIN</v>
          </cell>
          <cell r="M879">
            <v>0</v>
          </cell>
          <cell r="N879">
            <v>0</v>
          </cell>
          <cell r="O879">
            <v>55.58</v>
          </cell>
          <cell r="P879">
            <v>65.77</v>
          </cell>
        </row>
        <row r="880">
          <cell r="D880" t="str">
            <v>WIN007</v>
          </cell>
          <cell r="E880" t="str">
            <v>VNO DEMUERTE ONE TINTO 750ML X6</v>
          </cell>
          <cell r="F880">
            <v>59.74</v>
          </cell>
          <cell r="G880">
            <v>59.74</v>
          </cell>
          <cell r="H880">
            <v>60.94</v>
          </cell>
          <cell r="I880">
            <v>60.94</v>
          </cell>
          <cell r="J880" t="str">
            <v>KLS</v>
          </cell>
          <cell r="K880" t="str">
            <v>LIC</v>
          </cell>
          <cell r="L880" t="str">
            <v>VIN</v>
          </cell>
          <cell r="M880">
            <v>0</v>
          </cell>
          <cell r="N880">
            <v>0</v>
          </cell>
          <cell r="O880">
            <v>47.25</v>
          </cell>
          <cell r="P880">
            <v>56.02</v>
          </cell>
        </row>
        <row r="881">
          <cell r="D881" t="str">
            <v>COU223</v>
          </cell>
          <cell r="E881" t="str">
            <v>V./ COUSIÑO MACUL CAB. SAUVIGN 750ML+ 1 COPA</v>
          </cell>
          <cell r="F881">
            <v>61.41</v>
          </cell>
          <cell r="G881">
            <v>61.41</v>
          </cell>
          <cell r="H881">
            <v>62.64</v>
          </cell>
          <cell r="I881">
            <v>62.64</v>
          </cell>
          <cell r="J881" t="str">
            <v>KLS</v>
          </cell>
          <cell r="K881" t="str">
            <v>LIC</v>
          </cell>
          <cell r="L881" t="str">
            <v>VIN</v>
          </cell>
          <cell r="M881">
            <v>0</v>
          </cell>
          <cell r="N881">
            <v>0</v>
          </cell>
          <cell r="O881">
            <v>55.64</v>
          </cell>
          <cell r="P881">
            <v>65.77</v>
          </cell>
        </row>
        <row r="882">
          <cell r="D882" t="str">
            <v>NIE766</v>
          </cell>
          <cell r="E882" t="str">
            <v>V/S. D.NICANOR BARREL SELCT MALBC 750ML X12</v>
          </cell>
          <cell r="F882">
            <v>91.16</v>
          </cell>
          <cell r="G882">
            <v>91.16</v>
          </cell>
          <cell r="H882">
            <v>92.98</v>
          </cell>
          <cell r="I882">
            <v>92.98</v>
          </cell>
          <cell r="J882" t="str">
            <v>KLS</v>
          </cell>
          <cell r="K882" t="str">
            <v>LIC</v>
          </cell>
          <cell r="L882" t="str">
            <v>VIN</v>
          </cell>
          <cell r="M882">
            <v>0</v>
          </cell>
          <cell r="N882">
            <v>0</v>
          </cell>
          <cell r="O882">
            <v>82.62</v>
          </cell>
          <cell r="P882">
            <v>97.63</v>
          </cell>
        </row>
        <row r="883">
          <cell r="D883" t="str">
            <v>COU674</v>
          </cell>
          <cell r="E883" t="str">
            <v>V/COUSIÑO MACUL D.LUIS CARMENERE 750ML X12</v>
          </cell>
          <cell r="F883">
            <v>35.32</v>
          </cell>
          <cell r="G883">
            <v>35.32</v>
          </cell>
          <cell r="H883">
            <v>36.03</v>
          </cell>
          <cell r="I883">
            <v>36.03</v>
          </cell>
          <cell r="J883" t="str">
            <v>KLS</v>
          </cell>
          <cell r="K883" t="str">
            <v>LIC</v>
          </cell>
          <cell r="L883" t="str">
            <v>VIN</v>
          </cell>
          <cell r="M883">
            <v>0</v>
          </cell>
          <cell r="N883">
            <v>0</v>
          </cell>
          <cell r="O883">
            <v>31.86</v>
          </cell>
          <cell r="P883">
            <v>37.83</v>
          </cell>
        </row>
        <row r="884">
          <cell r="D884" t="str">
            <v>TRU010</v>
          </cell>
          <cell r="E884" t="str">
            <v>VINO TRUMPETER MALBEC PACK 750ML X 6</v>
          </cell>
          <cell r="F884">
            <v>77.84</v>
          </cell>
          <cell r="G884">
            <v>77.84</v>
          </cell>
          <cell r="H884">
            <v>79.400000000000006</v>
          </cell>
          <cell r="I884">
            <v>79.400000000000006</v>
          </cell>
          <cell r="J884" t="str">
            <v>KLS</v>
          </cell>
          <cell r="K884" t="str">
            <v>LIC</v>
          </cell>
          <cell r="L884" t="str">
            <v>VIN</v>
          </cell>
          <cell r="M884">
            <v>0</v>
          </cell>
          <cell r="N884">
            <v>0</v>
          </cell>
          <cell r="O884">
            <v>0</v>
          </cell>
          <cell r="P884">
            <v>83.37</v>
          </cell>
        </row>
        <row r="885">
          <cell r="D885" t="str">
            <v>COU201</v>
          </cell>
          <cell r="E885" t="str">
            <v>V/COUSIÑO MACUL D.LUIS CAB.SAUV 750ML X12</v>
          </cell>
          <cell r="F885">
            <v>35.32</v>
          </cell>
          <cell r="G885">
            <v>35.32</v>
          </cell>
          <cell r="H885">
            <v>36.03</v>
          </cell>
          <cell r="I885">
            <v>36.03</v>
          </cell>
          <cell r="J885" t="str">
            <v>KLS</v>
          </cell>
          <cell r="K885" t="str">
            <v>LIC</v>
          </cell>
          <cell r="L885" t="str">
            <v>VIN</v>
          </cell>
          <cell r="M885">
            <v>0</v>
          </cell>
          <cell r="N885">
            <v>0</v>
          </cell>
          <cell r="O885">
            <v>31.86</v>
          </cell>
          <cell r="P885">
            <v>37.83</v>
          </cell>
        </row>
        <row r="886">
          <cell r="D886" t="str">
            <v>NIE743</v>
          </cell>
          <cell r="E886" t="str">
            <v>V/SENETR  EMILIA ROSE DLC.750ML X12</v>
          </cell>
          <cell r="F886">
            <v>36.31</v>
          </cell>
          <cell r="G886">
            <v>36.31</v>
          </cell>
          <cell r="H886">
            <v>37.04</v>
          </cell>
          <cell r="I886">
            <v>37.04</v>
          </cell>
          <cell r="J886" t="str">
            <v>KLS</v>
          </cell>
          <cell r="K886" t="str">
            <v>LIC</v>
          </cell>
          <cell r="L886" t="str">
            <v>VIN</v>
          </cell>
          <cell r="M886">
            <v>0</v>
          </cell>
          <cell r="N886">
            <v>0</v>
          </cell>
          <cell r="O886">
            <v>32.76</v>
          </cell>
          <cell r="P886">
            <v>37.04</v>
          </cell>
        </row>
        <row r="887">
          <cell r="D887" t="str">
            <v>NIE799</v>
          </cell>
          <cell r="E887" t="str">
            <v>V/SENETR CAMILA MALBEC 750ML X12</v>
          </cell>
          <cell r="F887">
            <v>34.17</v>
          </cell>
          <cell r="G887">
            <v>34.17</v>
          </cell>
          <cell r="H887">
            <v>34.85</v>
          </cell>
          <cell r="I887">
            <v>34.85</v>
          </cell>
          <cell r="J887" t="str">
            <v>KLS</v>
          </cell>
          <cell r="K887" t="str">
            <v>LIC</v>
          </cell>
          <cell r="L887" t="str">
            <v>VIN</v>
          </cell>
          <cell r="M887">
            <v>0</v>
          </cell>
          <cell r="N887">
            <v>0</v>
          </cell>
          <cell r="O887">
            <v>30.8</v>
          </cell>
          <cell r="P887">
            <v>36.590000000000003</v>
          </cell>
        </row>
        <row r="888">
          <cell r="D888" t="str">
            <v>WIN011</v>
          </cell>
          <cell r="E888" t="str">
            <v>ESTUCHE VINO DEMUERTE ONE 750ML+COPA</v>
          </cell>
          <cell r="F888">
            <v>43.35</v>
          </cell>
          <cell r="G888">
            <v>43.35</v>
          </cell>
          <cell r="H888">
            <v>44.21</v>
          </cell>
          <cell r="I888">
            <v>44.21</v>
          </cell>
          <cell r="J888" t="str">
            <v>KLS</v>
          </cell>
          <cell r="K888" t="str">
            <v>LIC</v>
          </cell>
          <cell r="L888" t="str">
            <v>VIN</v>
          </cell>
          <cell r="M888">
            <v>0</v>
          </cell>
          <cell r="N888">
            <v>0</v>
          </cell>
          <cell r="O888">
            <v>0</v>
          </cell>
          <cell r="P888">
            <v>44.21</v>
          </cell>
        </row>
        <row r="889">
          <cell r="D889" t="str">
            <v>NIE712</v>
          </cell>
          <cell r="E889" t="str">
            <v>V/SENETR DN NICANOR BLEND 750ML X12</v>
          </cell>
          <cell r="F889">
            <v>72.53</v>
          </cell>
          <cell r="G889">
            <v>72.53</v>
          </cell>
          <cell r="H889">
            <v>73.98</v>
          </cell>
          <cell r="I889">
            <v>73.98</v>
          </cell>
          <cell r="J889" t="str">
            <v>KLS</v>
          </cell>
          <cell r="K889" t="str">
            <v>LIC</v>
          </cell>
          <cell r="L889" t="str">
            <v>VIN</v>
          </cell>
          <cell r="M889">
            <v>0</v>
          </cell>
          <cell r="N889">
            <v>0</v>
          </cell>
          <cell r="O889">
            <v>65.900000000000006</v>
          </cell>
          <cell r="P889">
            <v>77.680000000000007</v>
          </cell>
        </row>
        <row r="890">
          <cell r="D890" t="str">
            <v>RUT012</v>
          </cell>
          <cell r="E890" t="str">
            <v>V/RUTINI COLECC.CABERNT SAUVIGN 750ML X12</v>
          </cell>
          <cell r="F890">
            <v>157.13999999999999</v>
          </cell>
          <cell r="G890">
            <v>157.13999999999999</v>
          </cell>
          <cell r="H890">
            <v>160.28</v>
          </cell>
          <cell r="I890">
            <v>160.28</v>
          </cell>
          <cell r="J890" t="str">
            <v>KLS</v>
          </cell>
          <cell r="K890" t="str">
            <v>LIC</v>
          </cell>
          <cell r="L890" t="str">
            <v>VIN</v>
          </cell>
          <cell r="M890">
            <v>0</v>
          </cell>
          <cell r="N890">
            <v>0</v>
          </cell>
          <cell r="O890">
            <v>142.6</v>
          </cell>
          <cell r="P890">
            <v>168.29</v>
          </cell>
        </row>
        <row r="891">
          <cell r="D891" t="str">
            <v>40000682</v>
          </cell>
          <cell r="E891" t="str">
            <v>WHIS.OLD TIMES 250ML X36</v>
          </cell>
          <cell r="F891">
            <v>6.99</v>
          </cell>
          <cell r="G891">
            <v>6.99</v>
          </cell>
          <cell r="H891">
            <v>7.11</v>
          </cell>
          <cell r="I891">
            <v>7.11</v>
          </cell>
          <cell r="J891" t="str">
            <v>CAR</v>
          </cell>
          <cell r="K891" t="str">
            <v>LIC</v>
          </cell>
          <cell r="L891" t="str">
            <v>WHI</v>
          </cell>
          <cell r="M891">
            <v>0</v>
          </cell>
          <cell r="N891">
            <v>0</v>
          </cell>
          <cell r="O891">
            <v>0</v>
          </cell>
          <cell r="P891">
            <v>7.29</v>
          </cell>
        </row>
        <row r="892">
          <cell r="D892" t="str">
            <v>40001310</v>
          </cell>
          <cell r="E892" t="str">
            <v>WHISKY OLD TIMES GOLD 750ML X 12</v>
          </cell>
          <cell r="F892">
            <v>23.42</v>
          </cell>
          <cell r="G892">
            <v>23.42</v>
          </cell>
          <cell r="H892">
            <v>23.81</v>
          </cell>
          <cell r="I892">
            <v>23.81</v>
          </cell>
          <cell r="J892" t="str">
            <v>CAR</v>
          </cell>
          <cell r="K892" t="str">
            <v>LIC</v>
          </cell>
          <cell r="L892" t="str">
            <v>WHI</v>
          </cell>
          <cell r="M892">
            <v>0</v>
          </cell>
          <cell r="N892">
            <v>0</v>
          </cell>
          <cell r="O892">
            <v>20.18</v>
          </cell>
          <cell r="P892">
            <v>23.81</v>
          </cell>
        </row>
        <row r="893">
          <cell r="D893" t="str">
            <v>40000106</v>
          </cell>
          <cell r="E893" t="str">
            <v>WHIS.OLD TIMES BLACK 750ML X12</v>
          </cell>
          <cell r="F893">
            <v>23.75</v>
          </cell>
          <cell r="G893">
            <v>23.75</v>
          </cell>
          <cell r="H893">
            <v>23.75</v>
          </cell>
          <cell r="I893">
            <v>23.75</v>
          </cell>
          <cell r="J893" t="str">
            <v>CAR</v>
          </cell>
          <cell r="K893" t="str">
            <v>LIC</v>
          </cell>
          <cell r="L893" t="str">
            <v>WHI</v>
          </cell>
          <cell r="M893">
            <v>0</v>
          </cell>
          <cell r="N893">
            <v>0</v>
          </cell>
          <cell r="O893">
            <v>22.2</v>
          </cell>
          <cell r="P893">
            <v>25.24</v>
          </cell>
        </row>
        <row r="894">
          <cell r="D894" t="str">
            <v>40001005</v>
          </cell>
          <cell r="E894" t="str">
            <v>WHISKY LEXINGTON 750ML X12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 t="str">
            <v>CAR</v>
          </cell>
          <cell r="K894" t="str">
            <v>LIC</v>
          </cell>
          <cell r="L894" t="str">
            <v>WHI</v>
          </cell>
          <cell r="M894">
            <v>0</v>
          </cell>
          <cell r="N894">
            <v>0</v>
          </cell>
          <cell r="O894">
            <v>0</v>
          </cell>
          <cell r="P894">
            <v>16.55</v>
          </cell>
        </row>
        <row r="895">
          <cell r="D895" t="str">
            <v>40000929</v>
          </cell>
          <cell r="E895" t="str">
            <v>WHIS.OLD TIMES RED 1LT X12</v>
          </cell>
          <cell r="F895">
            <v>24.15</v>
          </cell>
          <cell r="G895">
            <v>24.15</v>
          </cell>
          <cell r="H895">
            <v>24.15</v>
          </cell>
          <cell r="I895">
            <v>24.15</v>
          </cell>
          <cell r="J895" t="str">
            <v>CAR</v>
          </cell>
          <cell r="K895" t="str">
            <v>LIC</v>
          </cell>
          <cell r="L895" t="str">
            <v>WHI</v>
          </cell>
          <cell r="M895">
            <v>0</v>
          </cell>
          <cell r="N895">
            <v>0</v>
          </cell>
          <cell r="O895">
            <v>0</v>
          </cell>
          <cell r="P895">
            <v>26.57</v>
          </cell>
        </row>
        <row r="896">
          <cell r="D896" t="str">
            <v>40000107</v>
          </cell>
          <cell r="E896" t="str">
            <v>WHIS.OLD TIMES RED 750ML X12</v>
          </cell>
          <cell r="F896">
            <v>21.29</v>
          </cell>
          <cell r="G896">
            <v>21.29</v>
          </cell>
          <cell r="H896">
            <v>21.29</v>
          </cell>
          <cell r="I896">
            <v>21.29</v>
          </cell>
          <cell r="J896" t="str">
            <v>CAR</v>
          </cell>
          <cell r="K896" t="str">
            <v>LIC</v>
          </cell>
          <cell r="L896" t="str">
            <v>WHI</v>
          </cell>
          <cell r="M896">
            <v>0</v>
          </cell>
          <cell r="N896">
            <v>0</v>
          </cell>
          <cell r="O896">
            <v>19.829999999999998</v>
          </cell>
          <cell r="P896">
            <v>22.53</v>
          </cell>
        </row>
        <row r="897">
          <cell r="D897" t="str">
            <v>00013</v>
          </cell>
          <cell r="E897" t="str">
            <v xml:space="preserve">PACK OLD TIME RED + OLD TIMES APPLE 750ML X6 </v>
          </cell>
          <cell r="F897">
            <v>36.869999999999997</v>
          </cell>
          <cell r="G897">
            <v>36.869999999999997</v>
          </cell>
          <cell r="H897">
            <v>36.869999999999997</v>
          </cell>
          <cell r="I897">
            <v>36.869999999999997</v>
          </cell>
          <cell r="J897" t="str">
            <v>CAR</v>
          </cell>
          <cell r="K897" t="str">
            <v>LIC</v>
          </cell>
          <cell r="L897" t="str">
            <v>WHI</v>
          </cell>
          <cell r="M897">
            <v>0</v>
          </cell>
          <cell r="N897">
            <v>0</v>
          </cell>
          <cell r="O897">
            <v>0</v>
          </cell>
          <cell r="P897">
            <v>40.56</v>
          </cell>
        </row>
        <row r="898">
          <cell r="D898" t="str">
            <v>40001200</v>
          </cell>
          <cell r="E898" t="str">
            <v xml:space="preserve"> OLD TIMES DARK VANILLA 750ML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 t="str">
            <v>CAR</v>
          </cell>
          <cell r="K898" t="str">
            <v>LIC</v>
          </cell>
          <cell r="L898" t="str">
            <v>WHI</v>
          </cell>
          <cell r="M898">
            <v>0</v>
          </cell>
          <cell r="N898">
            <v>0</v>
          </cell>
          <cell r="O898">
            <v>0</v>
          </cell>
          <cell r="P898">
            <v>16.28</v>
          </cell>
        </row>
        <row r="899">
          <cell r="D899" t="str">
            <v>400682</v>
          </cell>
          <cell r="E899" t="str">
            <v>WHISKY OLD TIMES RED 250ML X 36</v>
          </cell>
          <cell r="F899">
            <v>7.08</v>
          </cell>
          <cell r="G899">
            <v>7.08</v>
          </cell>
          <cell r="H899">
            <v>7.08</v>
          </cell>
          <cell r="I899">
            <v>7.08</v>
          </cell>
          <cell r="J899" t="str">
            <v>CAR</v>
          </cell>
          <cell r="K899" t="str">
            <v>LIC</v>
          </cell>
          <cell r="L899" t="str">
            <v>WHI</v>
          </cell>
          <cell r="M899">
            <v>0</v>
          </cell>
          <cell r="N899">
            <v>0</v>
          </cell>
          <cell r="O899">
            <v>0</v>
          </cell>
          <cell r="P899">
            <v>7.79</v>
          </cell>
        </row>
        <row r="900">
          <cell r="D900" t="str">
            <v>000225</v>
          </cell>
          <cell r="E900" t="str">
            <v>PISCANO NARANJA 275MLX24</v>
          </cell>
          <cell r="F900">
            <v>5.2</v>
          </cell>
          <cell r="G900">
            <v>5.2</v>
          </cell>
          <cell r="H900">
            <v>5.2</v>
          </cell>
          <cell r="I900">
            <v>5.2</v>
          </cell>
          <cell r="J900" t="str">
            <v>RTD</v>
          </cell>
          <cell r="K900" t="str">
            <v>PIS</v>
          </cell>
          <cell r="L900" t="str">
            <v>PIS</v>
          </cell>
          <cell r="M900">
            <v>0</v>
          </cell>
          <cell r="N900">
            <v>0</v>
          </cell>
          <cell r="O900">
            <v>4.5199999999999996</v>
          </cell>
          <cell r="P900">
            <v>6.02</v>
          </cell>
        </row>
        <row r="901">
          <cell r="D901" t="str">
            <v>000230</v>
          </cell>
          <cell r="E901" t="str">
            <v>PISCANO ZERO NARANJA 275MLX24</v>
          </cell>
          <cell r="F901">
            <v>5.04</v>
          </cell>
          <cell r="G901">
            <v>5.04</v>
          </cell>
          <cell r="H901">
            <v>5.0999999999999996</v>
          </cell>
          <cell r="I901">
            <v>5.0999999999999996</v>
          </cell>
          <cell r="J901" t="str">
            <v>RTD</v>
          </cell>
          <cell r="K901" t="str">
            <v>PIS</v>
          </cell>
          <cell r="L901" t="str">
            <v>PIS</v>
          </cell>
          <cell r="M901">
            <v>0</v>
          </cell>
          <cell r="N901">
            <v>0</v>
          </cell>
          <cell r="O901">
            <v>4.42</v>
          </cell>
          <cell r="P901">
            <v>6.02</v>
          </cell>
        </row>
        <row r="902">
          <cell r="D902" t="str">
            <v>000229</v>
          </cell>
          <cell r="E902" t="str">
            <v>PISCANO ZERO MARACUYA 275MLX24</v>
          </cell>
          <cell r="F902">
            <v>5.04</v>
          </cell>
          <cell r="G902">
            <v>5.04</v>
          </cell>
          <cell r="H902">
            <v>5.0999999999999996</v>
          </cell>
          <cell r="I902">
            <v>5.0999999999999996</v>
          </cell>
          <cell r="J902" t="str">
            <v>RTD</v>
          </cell>
          <cell r="K902" t="str">
            <v>PIS</v>
          </cell>
          <cell r="L902" t="str">
            <v>PIS</v>
          </cell>
          <cell r="M902">
            <v>0</v>
          </cell>
          <cell r="N902">
            <v>0</v>
          </cell>
          <cell r="O902">
            <v>4.5199999999999996</v>
          </cell>
          <cell r="P902">
            <v>6.02</v>
          </cell>
        </row>
        <row r="903">
          <cell r="D903" t="str">
            <v>000123</v>
          </cell>
          <cell r="E903" t="str">
            <v>PISCANO SOUR LIMON 700MLX12</v>
          </cell>
          <cell r="F903">
            <v>15.65</v>
          </cell>
          <cell r="G903">
            <v>15.65</v>
          </cell>
          <cell r="H903">
            <v>15.8</v>
          </cell>
          <cell r="I903">
            <v>15.8</v>
          </cell>
          <cell r="J903" t="str">
            <v>RTD</v>
          </cell>
          <cell r="K903" t="str">
            <v>PIS</v>
          </cell>
          <cell r="L903" t="str">
            <v>PIS</v>
          </cell>
          <cell r="M903">
            <v>0</v>
          </cell>
          <cell r="N903">
            <v>0</v>
          </cell>
          <cell r="O903">
            <v>13.34</v>
          </cell>
          <cell r="P903">
            <v>18.64</v>
          </cell>
        </row>
        <row r="904">
          <cell r="D904" t="str">
            <v>000226</v>
          </cell>
          <cell r="E904" t="str">
            <v>PISCANO CRANBERRY 275MLX24</v>
          </cell>
          <cell r="F904">
            <v>4.87</v>
          </cell>
          <cell r="G904">
            <v>4.87</v>
          </cell>
          <cell r="H904">
            <v>5.0999999999999996</v>
          </cell>
          <cell r="I904">
            <v>5.0999999999999996</v>
          </cell>
          <cell r="J904" t="str">
            <v>RTD</v>
          </cell>
          <cell r="K904" t="str">
            <v>PIS</v>
          </cell>
          <cell r="L904" t="str">
            <v>PIS</v>
          </cell>
          <cell r="M904">
            <v>0</v>
          </cell>
          <cell r="N904">
            <v>0</v>
          </cell>
          <cell r="O904">
            <v>4.5199999999999996</v>
          </cell>
          <cell r="P904">
            <v>6.02</v>
          </cell>
        </row>
        <row r="905">
          <cell r="D905" t="str">
            <v>000227</v>
          </cell>
          <cell r="E905" t="str">
            <v>PISCANO MANZANA 275MLX24</v>
          </cell>
          <cell r="F905">
            <v>5.04</v>
          </cell>
          <cell r="G905">
            <v>5.04</v>
          </cell>
          <cell r="H905">
            <v>5.0999999999999996</v>
          </cell>
          <cell r="I905">
            <v>5.0999999999999996</v>
          </cell>
          <cell r="J905" t="str">
            <v>RTD</v>
          </cell>
          <cell r="K905" t="str">
            <v>PIS</v>
          </cell>
          <cell r="L905" t="str">
            <v>PIS</v>
          </cell>
          <cell r="M905">
            <v>0</v>
          </cell>
          <cell r="N905">
            <v>0</v>
          </cell>
          <cell r="O905">
            <v>4.24</v>
          </cell>
          <cell r="P905">
            <v>6.02</v>
          </cell>
        </row>
        <row r="906">
          <cell r="D906" t="str">
            <v>000150</v>
          </cell>
          <cell r="E906" t="str">
            <v>PISCANO SOUR MANGO 700MLX12</v>
          </cell>
          <cell r="F906">
            <v>15.65</v>
          </cell>
          <cell r="G906">
            <v>15.65</v>
          </cell>
          <cell r="H906">
            <v>15.8</v>
          </cell>
          <cell r="I906">
            <v>15.8</v>
          </cell>
          <cell r="J906" t="str">
            <v>RTD</v>
          </cell>
          <cell r="K906" t="str">
            <v>PIS</v>
          </cell>
          <cell r="L906" t="str">
            <v>PIS</v>
          </cell>
          <cell r="M906">
            <v>0</v>
          </cell>
          <cell r="N906">
            <v>0</v>
          </cell>
          <cell r="O906">
            <v>12.62</v>
          </cell>
          <cell r="P906">
            <v>18.64</v>
          </cell>
        </row>
        <row r="907">
          <cell r="D907" t="str">
            <v>000154</v>
          </cell>
          <cell r="E907" t="str">
            <v>PISCANO SOUR PIÑA COLADA 700MLX12</v>
          </cell>
          <cell r="F907">
            <v>15.65</v>
          </cell>
          <cell r="G907">
            <v>15.65</v>
          </cell>
          <cell r="H907">
            <v>15.8</v>
          </cell>
          <cell r="I907">
            <v>15.8</v>
          </cell>
          <cell r="J907" t="str">
            <v>RTD</v>
          </cell>
          <cell r="K907" t="str">
            <v>PIS</v>
          </cell>
          <cell r="L907" t="str">
            <v>PIS</v>
          </cell>
          <cell r="M907">
            <v>0</v>
          </cell>
          <cell r="N907">
            <v>0</v>
          </cell>
          <cell r="O907">
            <v>12.62</v>
          </cell>
          <cell r="P907">
            <v>18.64</v>
          </cell>
        </row>
        <row r="908">
          <cell r="D908" t="str">
            <v>000228</v>
          </cell>
          <cell r="E908" t="str">
            <v>PISCANO ZERO LIMON 275MLX24</v>
          </cell>
          <cell r="F908">
            <v>5.04</v>
          </cell>
          <cell r="G908">
            <v>5.04</v>
          </cell>
          <cell r="H908">
            <v>5.0999999999999996</v>
          </cell>
          <cell r="I908">
            <v>5.0999999999999996</v>
          </cell>
          <cell r="J908" t="str">
            <v>RTD</v>
          </cell>
          <cell r="K908" t="str">
            <v>PIS</v>
          </cell>
          <cell r="L908" t="str">
            <v>PIS</v>
          </cell>
          <cell r="M908">
            <v>0</v>
          </cell>
          <cell r="N908">
            <v>0</v>
          </cell>
          <cell r="O908">
            <v>4.42</v>
          </cell>
          <cell r="P908">
            <v>6.02</v>
          </cell>
        </row>
        <row r="909">
          <cell r="D909" t="str">
            <v>000124</v>
          </cell>
          <cell r="E909" t="str">
            <v>PISCANO SOUR MARACUYA 700MLX12</v>
          </cell>
          <cell r="F909">
            <v>15.65</v>
          </cell>
          <cell r="G909">
            <v>15.65</v>
          </cell>
          <cell r="H909">
            <v>15.8</v>
          </cell>
          <cell r="I909">
            <v>15.8</v>
          </cell>
          <cell r="J909" t="str">
            <v>RTD</v>
          </cell>
          <cell r="K909" t="str">
            <v>PIS</v>
          </cell>
          <cell r="L909" t="str">
            <v>PIS</v>
          </cell>
          <cell r="M909">
            <v>0</v>
          </cell>
          <cell r="N909">
            <v>0</v>
          </cell>
          <cell r="O909">
            <v>12.84</v>
          </cell>
          <cell r="P909">
            <v>18.64</v>
          </cell>
        </row>
        <row r="910">
          <cell r="D910" t="str">
            <v>V0013</v>
          </cell>
          <cell r="E910" t="str">
            <v>WHIS.GIN HENDRICKS DIV.700ML X6</v>
          </cell>
          <cell r="F910">
            <v>120.81</v>
          </cell>
          <cell r="G910">
            <v>120.81</v>
          </cell>
          <cell r="H910">
            <v>123.22</v>
          </cell>
          <cell r="I910">
            <v>123.22</v>
          </cell>
          <cell r="J910" t="str">
            <v>PRE</v>
          </cell>
          <cell r="K910" t="str">
            <v>HED</v>
          </cell>
          <cell r="L910" t="str">
            <v>WHI</v>
          </cell>
          <cell r="M910">
            <v>0</v>
          </cell>
          <cell r="N910">
            <v>0</v>
          </cell>
          <cell r="O910">
            <v>117.01</v>
          </cell>
          <cell r="P910">
            <v>135.54</v>
          </cell>
        </row>
        <row r="911">
          <cell r="D911" t="str">
            <v>VIN0114</v>
          </cell>
          <cell r="E911" t="str">
            <v>VINO LUIGI BOSCA MALBEC X 750ML</v>
          </cell>
          <cell r="F911">
            <v>81.849999999999994</v>
          </cell>
          <cell r="G911">
            <v>81.849999999999994</v>
          </cell>
          <cell r="H911">
            <v>81.849999999999994</v>
          </cell>
          <cell r="I911">
            <v>81.849999999999994</v>
          </cell>
          <cell r="J911" t="str">
            <v>IWA</v>
          </cell>
          <cell r="K911" t="str">
            <v>LIC</v>
          </cell>
          <cell r="L911" t="str">
            <v>VIN</v>
          </cell>
          <cell r="M911">
            <v>0</v>
          </cell>
          <cell r="N911">
            <v>0</v>
          </cell>
          <cell r="O911">
            <v>73.989999999999995</v>
          </cell>
          <cell r="P911">
            <v>106.14</v>
          </cell>
        </row>
        <row r="912">
          <cell r="D912" t="str">
            <v>VCH0019</v>
          </cell>
          <cell r="E912" t="str">
            <v>CABALLO LOCO GRAN CRU MAIPO ROJO X 750ML</v>
          </cell>
          <cell r="F912">
            <v>189.46</v>
          </cell>
          <cell r="G912">
            <v>189.46</v>
          </cell>
          <cell r="H912">
            <v>189.46</v>
          </cell>
          <cell r="I912">
            <v>189.46</v>
          </cell>
          <cell r="J912" t="str">
            <v>YIC</v>
          </cell>
          <cell r="K912" t="str">
            <v>LIC</v>
          </cell>
          <cell r="L912" t="str">
            <v>VIN</v>
          </cell>
          <cell r="M912">
            <v>0</v>
          </cell>
          <cell r="N912">
            <v>0</v>
          </cell>
          <cell r="O912">
            <v>171.68</v>
          </cell>
          <cell r="P912">
            <v>208.41</v>
          </cell>
        </row>
        <row r="913">
          <cell r="D913" t="str">
            <v>VCH0018</v>
          </cell>
          <cell r="E913" t="str">
            <v>CABALLO LOCO GRAN CRU SAGRADA FAM. VERDE X 750ML</v>
          </cell>
          <cell r="F913">
            <v>189.46</v>
          </cell>
          <cell r="G913">
            <v>189.46</v>
          </cell>
          <cell r="H913">
            <v>189.46</v>
          </cell>
          <cell r="I913">
            <v>189.46</v>
          </cell>
          <cell r="J913" t="str">
            <v>YIC</v>
          </cell>
          <cell r="K913" t="str">
            <v>LIC</v>
          </cell>
          <cell r="L913" t="str">
            <v>VIN</v>
          </cell>
          <cell r="M913">
            <v>0</v>
          </cell>
          <cell r="N913">
            <v>0</v>
          </cell>
          <cell r="O913">
            <v>171.68</v>
          </cell>
          <cell r="P913">
            <v>208.41</v>
          </cell>
        </row>
        <row r="914">
          <cell r="D914" t="str">
            <v>VIN0108</v>
          </cell>
          <cell r="E914" t="str">
            <v>VINO LUIGI BOSCA CABERNET SAUVIGNON X 750ML</v>
          </cell>
          <cell r="F914">
            <v>81.849999999999994</v>
          </cell>
          <cell r="G914">
            <v>81.849999999999994</v>
          </cell>
          <cell r="H914">
            <v>81.849999999999994</v>
          </cell>
          <cell r="I914">
            <v>81.849999999999994</v>
          </cell>
          <cell r="J914" t="str">
            <v>IWA</v>
          </cell>
          <cell r="K914" t="str">
            <v>LIC</v>
          </cell>
          <cell r="L914" t="str">
            <v>VIN</v>
          </cell>
          <cell r="M914">
            <v>0</v>
          </cell>
          <cell r="N914">
            <v>0</v>
          </cell>
          <cell r="O914">
            <v>73.75</v>
          </cell>
          <cell r="P914">
            <v>105.8</v>
          </cell>
        </row>
        <row r="915">
          <cell r="D915" t="str">
            <v>VCH0017</v>
          </cell>
          <cell r="E915" t="str">
            <v>CABALLO LOCO GRAN CRU APALTA AZULX 750ML</v>
          </cell>
          <cell r="F915">
            <v>189.46</v>
          </cell>
          <cell r="G915">
            <v>189.46</v>
          </cell>
          <cell r="H915">
            <v>189.46</v>
          </cell>
          <cell r="I915">
            <v>189.46</v>
          </cell>
          <cell r="J915" t="str">
            <v>YIC</v>
          </cell>
          <cell r="K915" t="str">
            <v>LIC</v>
          </cell>
          <cell r="L915" t="str">
            <v>VIN</v>
          </cell>
          <cell r="M915">
            <v>0</v>
          </cell>
          <cell r="N915">
            <v>0</v>
          </cell>
          <cell r="O915">
            <v>171.68</v>
          </cell>
          <cell r="P915">
            <v>208.41</v>
          </cell>
        </row>
        <row r="916">
          <cell r="D916" t="str">
            <v>LAN001</v>
          </cell>
          <cell r="E916" t="str">
            <v>VINO LAN RESERVA X 750ML</v>
          </cell>
          <cell r="F916">
            <v>85.65</v>
          </cell>
          <cell r="G916">
            <v>85.65</v>
          </cell>
          <cell r="H916">
            <v>87.37</v>
          </cell>
          <cell r="I916">
            <v>87.37</v>
          </cell>
          <cell r="J916" t="str">
            <v>IWA</v>
          </cell>
          <cell r="K916" t="str">
            <v>LIC</v>
          </cell>
          <cell r="L916" t="str">
            <v>VIN</v>
          </cell>
          <cell r="M916">
            <v>0</v>
          </cell>
          <cell r="N916">
            <v>0</v>
          </cell>
          <cell r="O916">
            <v>79</v>
          </cell>
          <cell r="P916">
            <v>113.3</v>
          </cell>
        </row>
        <row r="917">
          <cell r="D917" t="str">
            <v>VIN2536</v>
          </cell>
          <cell r="E917" t="str">
            <v>VINO CABALLO LOCO N19 X 750ML</v>
          </cell>
          <cell r="F917">
            <v>285.02</v>
          </cell>
          <cell r="G917">
            <v>285.02</v>
          </cell>
          <cell r="H917">
            <v>259.11</v>
          </cell>
          <cell r="I917">
            <v>259.11</v>
          </cell>
          <cell r="J917" t="str">
            <v>YIC</v>
          </cell>
          <cell r="K917" t="str">
            <v>LIC</v>
          </cell>
          <cell r="L917" t="str">
            <v>VIN</v>
          </cell>
          <cell r="M917">
            <v>0</v>
          </cell>
          <cell r="N917">
            <v>0</v>
          </cell>
          <cell r="O917">
            <v>234.9</v>
          </cell>
          <cell r="P917">
            <v>285.02</v>
          </cell>
        </row>
        <row r="918">
          <cell r="D918" t="str">
            <v>VIN2534</v>
          </cell>
          <cell r="E918" t="str">
            <v xml:space="preserve">VINO LUIGI BOSCA DE SANGRE MALBEC X 750ML </v>
          </cell>
          <cell r="F918">
            <v>112.22</v>
          </cell>
          <cell r="G918">
            <v>112.22</v>
          </cell>
          <cell r="H918">
            <v>114.47</v>
          </cell>
          <cell r="I918">
            <v>114.47</v>
          </cell>
          <cell r="J918" t="str">
            <v>IWA</v>
          </cell>
          <cell r="K918" t="str">
            <v>LIC</v>
          </cell>
          <cell r="L918" t="str">
            <v>VIN</v>
          </cell>
          <cell r="M918">
            <v>0</v>
          </cell>
          <cell r="N918">
            <v>0</v>
          </cell>
          <cell r="O918">
            <v>103.6</v>
          </cell>
          <cell r="P918">
            <v>148.44</v>
          </cell>
        </row>
        <row r="919">
          <cell r="D919" t="str">
            <v>102034</v>
          </cell>
          <cell r="E919" t="str">
            <v>CERV. MODELO LATA 237ML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 t="str">
            <v>PBA</v>
          </cell>
          <cell r="K919" t="str">
            <v>CER</v>
          </cell>
          <cell r="L919" t="str">
            <v>LAT</v>
          </cell>
          <cell r="M919">
            <v>0</v>
          </cell>
          <cell r="N919">
            <v>0</v>
          </cell>
          <cell r="O919">
            <v>6.31</v>
          </cell>
          <cell r="P919">
            <v>10.71</v>
          </cell>
        </row>
        <row r="920">
          <cell r="D920" t="str">
            <v>102031</v>
          </cell>
          <cell r="E920" t="str">
            <v>CERV. PRESIDENTE BOTELLA 355 ML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 t="str">
            <v>PBA</v>
          </cell>
          <cell r="K920" t="str">
            <v>CER</v>
          </cell>
          <cell r="L920" t="str">
            <v>LAT</v>
          </cell>
          <cell r="M920">
            <v>0</v>
          </cell>
          <cell r="N920">
            <v>0</v>
          </cell>
          <cell r="O920">
            <v>9.42</v>
          </cell>
          <cell r="P920">
            <v>16.8</v>
          </cell>
        </row>
        <row r="921">
          <cell r="D921" t="str">
            <v>102033</v>
          </cell>
          <cell r="E921" t="str">
            <v>CERV. MILLER BOTELLA 330 ML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 t="str">
            <v>PBA</v>
          </cell>
          <cell r="K921" t="str">
            <v>CER</v>
          </cell>
          <cell r="L921" t="str">
            <v>LAT</v>
          </cell>
          <cell r="M921">
            <v>0</v>
          </cell>
          <cell r="N921">
            <v>0</v>
          </cell>
          <cell r="O921">
            <v>10.1</v>
          </cell>
          <cell r="P921">
            <v>12.71</v>
          </cell>
        </row>
        <row r="922">
          <cell r="D922" t="str">
            <v>102025</v>
          </cell>
          <cell r="E922" t="str">
            <v>BENEDIKTINER FESTBIER LATA 500 ML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 t="str">
            <v>PBA</v>
          </cell>
          <cell r="K922" t="str">
            <v>CER</v>
          </cell>
          <cell r="L922" t="str">
            <v>LAT</v>
          </cell>
          <cell r="M922">
            <v>0</v>
          </cell>
          <cell r="N922">
            <v>0</v>
          </cell>
          <cell r="O922">
            <v>12.62</v>
          </cell>
          <cell r="P922">
            <v>15.85</v>
          </cell>
        </row>
        <row r="923">
          <cell r="D923" t="str">
            <v>G0428</v>
          </cell>
          <cell r="E923" t="str">
            <v>KERO ALOE UVA 300ML X12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 t="str">
            <v>ISM</v>
          </cell>
          <cell r="K923" t="str">
            <v>KER</v>
          </cell>
          <cell r="L923" t="str">
            <v>KER</v>
          </cell>
          <cell r="M923">
            <v>0</v>
          </cell>
          <cell r="N923">
            <v>0</v>
          </cell>
          <cell r="O923">
            <v>0</v>
          </cell>
          <cell r="P923">
            <v>3</v>
          </cell>
        </row>
        <row r="924">
          <cell r="D924" t="str">
            <v>ISM1456</v>
          </cell>
          <cell r="E924" t="str">
            <v>KERO ALOE UVA 300ML X12</v>
          </cell>
          <cell r="F924">
            <v>28.43</v>
          </cell>
          <cell r="G924">
            <v>28.43</v>
          </cell>
          <cell r="H924">
            <v>29.17</v>
          </cell>
          <cell r="I924">
            <v>29.17</v>
          </cell>
          <cell r="J924" t="str">
            <v>ISM</v>
          </cell>
          <cell r="K924" t="str">
            <v>KER</v>
          </cell>
          <cell r="L924" t="str">
            <v>KER</v>
          </cell>
          <cell r="M924">
            <v>0</v>
          </cell>
          <cell r="N924">
            <v>0</v>
          </cell>
          <cell r="O924">
            <v>26.12</v>
          </cell>
          <cell r="P924">
            <v>3</v>
          </cell>
        </row>
        <row r="925">
          <cell r="D925" t="str">
            <v>G0430</v>
          </cell>
          <cell r="E925" t="str">
            <v>KERO ALOE PIÑA 300ML X12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 t="str">
            <v>ISM</v>
          </cell>
          <cell r="K925" t="str">
            <v>KER</v>
          </cell>
          <cell r="L925" t="str">
            <v>KER</v>
          </cell>
          <cell r="M925">
            <v>0</v>
          </cell>
          <cell r="N925">
            <v>0</v>
          </cell>
          <cell r="O925">
            <v>0</v>
          </cell>
          <cell r="P925">
            <v>3</v>
          </cell>
        </row>
        <row r="926">
          <cell r="D926" t="str">
            <v>CHA1902</v>
          </cell>
          <cell r="E926" t="str">
            <v>RICCADONNA ESP.MOSCATO 200ML X24</v>
          </cell>
          <cell r="F926">
            <v>17.91</v>
          </cell>
          <cell r="G926">
            <v>17.91</v>
          </cell>
          <cell r="H926">
            <v>17.91</v>
          </cell>
          <cell r="I926">
            <v>17.91</v>
          </cell>
          <cell r="J926" t="str">
            <v>IWA</v>
          </cell>
          <cell r="K926" t="str">
            <v>RIC</v>
          </cell>
          <cell r="L926" t="str">
            <v>PRO</v>
          </cell>
          <cell r="M926">
            <v>0</v>
          </cell>
          <cell r="N926">
            <v>0</v>
          </cell>
          <cell r="O926">
            <v>0</v>
          </cell>
          <cell r="P926">
            <v>22.01</v>
          </cell>
        </row>
        <row r="927">
          <cell r="D927" t="str">
            <v>CHA1901</v>
          </cell>
          <cell r="E927" t="str">
            <v>RICCADONNA ESP.PROSECCO 200ML X24</v>
          </cell>
          <cell r="F927">
            <v>17.91</v>
          </cell>
          <cell r="G927">
            <v>17.91</v>
          </cell>
          <cell r="H927">
            <v>17.91</v>
          </cell>
          <cell r="I927">
            <v>17.91</v>
          </cell>
          <cell r="J927" t="str">
            <v>IWA</v>
          </cell>
          <cell r="K927" t="str">
            <v>RIC</v>
          </cell>
          <cell r="L927" t="str">
            <v>PRO</v>
          </cell>
          <cell r="M927">
            <v>0</v>
          </cell>
          <cell r="N927">
            <v>0</v>
          </cell>
          <cell r="O927">
            <v>15.2</v>
          </cell>
          <cell r="P927">
            <v>22.01</v>
          </cell>
        </row>
        <row r="928">
          <cell r="D928" t="str">
            <v>0617015</v>
          </cell>
          <cell r="E928" t="str">
            <v>RICCADONNA ESP.PROSECCO 750ML X6</v>
          </cell>
          <cell r="F928">
            <v>47.06</v>
          </cell>
          <cell r="G928">
            <v>47.06</v>
          </cell>
          <cell r="H928">
            <v>48.01</v>
          </cell>
          <cell r="I928">
            <v>48.01</v>
          </cell>
          <cell r="J928" t="str">
            <v>IWA</v>
          </cell>
          <cell r="K928" t="str">
            <v>RIC</v>
          </cell>
          <cell r="L928" t="str">
            <v>PRO</v>
          </cell>
          <cell r="M928">
            <v>0</v>
          </cell>
          <cell r="N928">
            <v>0</v>
          </cell>
          <cell r="O928">
            <v>44.8</v>
          </cell>
          <cell r="P928">
            <v>63.29</v>
          </cell>
        </row>
        <row r="929">
          <cell r="D929" t="str">
            <v>204001</v>
          </cell>
          <cell r="E929" t="str">
            <v xml:space="preserve">VINO VIÑA VIEJA ROSE 750ML </v>
          </cell>
          <cell r="F929">
            <v>11.44</v>
          </cell>
          <cell r="G929">
            <v>11.44</v>
          </cell>
          <cell r="H929">
            <v>11.67</v>
          </cell>
          <cell r="I929">
            <v>11.67</v>
          </cell>
          <cell r="J929" t="str">
            <v>AVV</v>
          </cell>
          <cell r="K929" t="str">
            <v>VIN</v>
          </cell>
          <cell r="L929" t="str">
            <v>VIN</v>
          </cell>
          <cell r="M929">
            <v>0</v>
          </cell>
          <cell r="N929">
            <v>0</v>
          </cell>
          <cell r="O929">
            <v>0</v>
          </cell>
          <cell r="P929">
            <v>12.26</v>
          </cell>
        </row>
        <row r="930">
          <cell r="D930" t="str">
            <v>704656</v>
          </cell>
          <cell r="E930" t="str">
            <v>ESPUMANTE V.VIEJA NAPOLEON MOSCATO ROSE X 750ML</v>
          </cell>
          <cell r="F930">
            <v>9.65</v>
          </cell>
          <cell r="G930">
            <v>9.65</v>
          </cell>
          <cell r="H930">
            <v>9.84</v>
          </cell>
          <cell r="I930">
            <v>9.84</v>
          </cell>
          <cell r="J930" t="str">
            <v>AVV</v>
          </cell>
          <cell r="K930" t="str">
            <v>VIN</v>
          </cell>
          <cell r="L930" t="str">
            <v>VIN</v>
          </cell>
          <cell r="M930">
            <v>0</v>
          </cell>
          <cell r="N930">
            <v>0</v>
          </cell>
          <cell r="O930">
            <v>8.31</v>
          </cell>
          <cell r="P930">
            <v>10.33</v>
          </cell>
        </row>
        <row r="931">
          <cell r="D931" t="str">
            <v>703445</v>
          </cell>
          <cell r="E931" t="str">
            <v>PACK VIÑA VIEJA MALBEC 750ML+ PISCO VARGAS 125ML</v>
          </cell>
          <cell r="F931">
            <v>12.01</v>
          </cell>
          <cell r="G931">
            <v>12.01</v>
          </cell>
          <cell r="H931">
            <v>12.25</v>
          </cell>
          <cell r="I931">
            <v>12.25</v>
          </cell>
          <cell r="J931" t="str">
            <v>AVV</v>
          </cell>
          <cell r="K931" t="str">
            <v>VIN</v>
          </cell>
          <cell r="L931" t="str">
            <v>VIN</v>
          </cell>
          <cell r="M931">
            <v>0</v>
          </cell>
          <cell r="N931">
            <v>0</v>
          </cell>
          <cell r="O931">
            <v>0</v>
          </cell>
          <cell r="P931">
            <v>12.86</v>
          </cell>
        </row>
        <row r="932">
          <cell r="D932" t="str">
            <v>704422</v>
          </cell>
          <cell r="E932" t="str">
            <v xml:space="preserve">VINO VIÑA VIEJA MALBEC LATA 473ML </v>
          </cell>
          <cell r="F932">
            <v>5.38</v>
          </cell>
          <cell r="G932">
            <v>5.38</v>
          </cell>
          <cell r="H932">
            <v>5.6</v>
          </cell>
          <cell r="I932">
            <v>5.6</v>
          </cell>
          <cell r="J932" t="str">
            <v>AVV</v>
          </cell>
          <cell r="K932" t="str">
            <v>VIN</v>
          </cell>
          <cell r="L932" t="str">
            <v>VIN</v>
          </cell>
          <cell r="M932">
            <v>0</v>
          </cell>
          <cell r="N932">
            <v>0</v>
          </cell>
          <cell r="O932">
            <v>6.08</v>
          </cell>
          <cell r="P932">
            <v>5.88</v>
          </cell>
        </row>
        <row r="933">
          <cell r="D933" t="str">
            <v>704237</v>
          </cell>
          <cell r="E933" t="str">
            <v xml:space="preserve">VINO VIÑA VIEJA ROSE LATA 473ML </v>
          </cell>
          <cell r="F933">
            <v>5.38</v>
          </cell>
          <cell r="G933">
            <v>5.38</v>
          </cell>
          <cell r="H933">
            <v>5.6</v>
          </cell>
          <cell r="I933">
            <v>5.6</v>
          </cell>
          <cell r="J933" t="str">
            <v>AVV</v>
          </cell>
          <cell r="K933" t="str">
            <v>VIN</v>
          </cell>
          <cell r="L933" t="str">
            <v>VIN</v>
          </cell>
          <cell r="M933">
            <v>0</v>
          </cell>
          <cell r="N933">
            <v>0</v>
          </cell>
          <cell r="O933">
            <v>6.08</v>
          </cell>
          <cell r="P933">
            <v>5.88</v>
          </cell>
        </row>
        <row r="934">
          <cell r="D934" t="str">
            <v>216001</v>
          </cell>
          <cell r="E934" t="str">
            <v>ESPUMANTE V.VIEJA NAPOLEON MOSCATO BLANCO 750ML</v>
          </cell>
          <cell r="F934">
            <v>9.4600000000000009</v>
          </cell>
          <cell r="G934">
            <v>9.4600000000000009</v>
          </cell>
          <cell r="H934">
            <v>9.84</v>
          </cell>
          <cell r="I934">
            <v>9.84</v>
          </cell>
          <cell r="J934" t="str">
            <v>AVV</v>
          </cell>
          <cell r="K934" t="str">
            <v>VIN</v>
          </cell>
          <cell r="L934" t="str">
            <v>VIN</v>
          </cell>
          <cell r="M934">
            <v>0</v>
          </cell>
          <cell r="N934">
            <v>0</v>
          </cell>
          <cell r="O934">
            <v>8.31</v>
          </cell>
          <cell r="P934">
            <v>10.33</v>
          </cell>
        </row>
        <row r="935">
          <cell r="D935" t="str">
            <v>707963</v>
          </cell>
          <cell r="E935" t="str">
            <v>PACK 02 ESPUMANTE MONTESIERPE 750ML+ COPA</v>
          </cell>
          <cell r="F935">
            <v>37.729999999999997</v>
          </cell>
          <cell r="G935">
            <v>37.729999999999997</v>
          </cell>
          <cell r="H935">
            <v>39.25</v>
          </cell>
          <cell r="I935">
            <v>39.25</v>
          </cell>
          <cell r="J935" t="str">
            <v>AVV</v>
          </cell>
          <cell r="K935" t="str">
            <v>VIN</v>
          </cell>
          <cell r="L935" t="str">
            <v>VIN</v>
          </cell>
          <cell r="M935">
            <v>0</v>
          </cell>
          <cell r="N935">
            <v>0</v>
          </cell>
          <cell r="O935">
            <v>0</v>
          </cell>
          <cell r="P935">
            <v>41.22</v>
          </cell>
        </row>
        <row r="936">
          <cell r="D936" t="str">
            <v>703443</v>
          </cell>
          <cell r="E936" t="str">
            <v>PACK VIÑA VIEJA BORG 750ML+ PISCO VARGAS 125ML</v>
          </cell>
          <cell r="F936">
            <v>12.01</v>
          </cell>
          <cell r="G936">
            <v>12.01</v>
          </cell>
          <cell r="H936">
            <v>12.25</v>
          </cell>
          <cell r="I936">
            <v>12.25</v>
          </cell>
          <cell r="J936" t="str">
            <v>AVV</v>
          </cell>
          <cell r="K936" t="str">
            <v>VIN</v>
          </cell>
          <cell r="L936" t="str">
            <v>VIN</v>
          </cell>
          <cell r="M936">
            <v>0</v>
          </cell>
          <cell r="N936">
            <v>0</v>
          </cell>
          <cell r="O936">
            <v>0</v>
          </cell>
          <cell r="P936">
            <v>12.86</v>
          </cell>
        </row>
        <row r="937">
          <cell r="D937" t="str">
            <v>704421</v>
          </cell>
          <cell r="E937" t="str">
            <v xml:space="preserve">VINO VIÑA VIEJA CHENIN S/SECO LATA 473ML </v>
          </cell>
          <cell r="F937">
            <v>5.38</v>
          </cell>
          <cell r="G937">
            <v>5.38</v>
          </cell>
          <cell r="H937">
            <v>5.6</v>
          </cell>
          <cell r="I937">
            <v>5.6</v>
          </cell>
          <cell r="J937" t="str">
            <v>AVV</v>
          </cell>
          <cell r="K937" t="str">
            <v>VIN</v>
          </cell>
          <cell r="L937" t="str">
            <v>VIN</v>
          </cell>
          <cell r="M937">
            <v>0</v>
          </cell>
          <cell r="N937">
            <v>0</v>
          </cell>
          <cell r="O937">
            <v>0</v>
          </cell>
          <cell r="P937">
            <v>5.88</v>
          </cell>
        </row>
        <row r="938">
          <cell r="D938" t="str">
            <v>707543</v>
          </cell>
          <cell r="E938" t="str">
            <v>PACK 2 VINOS VIÑA VIEJA BORGOÑA X 750 ML + SANGRÍA</v>
          </cell>
          <cell r="F938">
            <v>22.55</v>
          </cell>
          <cell r="G938">
            <v>22.55</v>
          </cell>
          <cell r="H938">
            <v>23</v>
          </cell>
          <cell r="I938">
            <v>23</v>
          </cell>
          <cell r="J938" t="str">
            <v>AVV</v>
          </cell>
          <cell r="K938" t="str">
            <v>VIN</v>
          </cell>
          <cell r="L938" t="str">
            <v>VIN</v>
          </cell>
          <cell r="M938">
            <v>0</v>
          </cell>
          <cell r="N938">
            <v>0</v>
          </cell>
          <cell r="O938">
            <v>0</v>
          </cell>
          <cell r="P938">
            <v>24.15</v>
          </cell>
        </row>
        <row r="939">
          <cell r="D939" t="str">
            <v>704655</v>
          </cell>
          <cell r="E939" t="str">
            <v xml:space="preserve">PK VIÑA VIEJA CHENIN S/S 750ML + PISC VARGAS 125ML </v>
          </cell>
          <cell r="F939">
            <v>12.01</v>
          </cell>
          <cell r="G939">
            <v>12.01</v>
          </cell>
          <cell r="H939">
            <v>12.25</v>
          </cell>
          <cell r="I939">
            <v>12.25</v>
          </cell>
          <cell r="J939" t="str">
            <v>AVV</v>
          </cell>
          <cell r="K939" t="str">
            <v>VIN</v>
          </cell>
          <cell r="L939" t="str">
            <v>VIN</v>
          </cell>
          <cell r="M939">
            <v>0</v>
          </cell>
          <cell r="N939">
            <v>0</v>
          </cell>
          <cell r="O939">
            <v>0</v>
          </cell>
          <cell r="P939">
            <v>12.86</v>
          </cell>
        </row>
        <row r="940">
          <cell r="D940" t="str">
            <v>703444</v>
          </cell>
          <cell r="E940" t="str">
            <v>PACK VIÑA VIEJA ROSE 750ML+ PISCO VARGAS 125ML</v>
          </cell>
          <cell r="F940">
            <v>12.01</v>
          </cell>
          <cell r="G940">
            <v>12.01</v>
          </cell>
          <cell r="H940">
            <v>12.25</v>
          </cell>
          <cell r="I940">
            <v>12.25</v>
          </cell>
          <cell r="J940" t="str">
            <v>AVV</v>
          </cell>
          <cell r="K940" t="str">
            <v>VIN</v>
          </cell>
          <cell r="L940" t="str">
            <v>VIN</v>
          </cell>
          <cell r="M940">
            <v>0</v>
          </cell>
          <cell r="N940">
            <v>0</v>
          </cell>
          <cell r="O940">
            <v>10.56</v>
          </cell>
          <cell r="P940">
            <v>12.86</v>
          </cell>
        </row>
        <row r="941">
          <cell r="D941" t="str">
            <v>0201001</v>
          </cell>
          <cell r="E941" t="str">
            <v>VINO VIÑA VIEJA BORGOÑA TINTO 750ML</v>
          </cell>
          <cell r="F941">
            <v>11.44</v>
          </cell>
          <cell r="G941">
            <v>11.44</v>
          </cell>
          <cell r="H941">
            <v>11.67</v>
          </cell>
          <cell r="I941">
            <v>11.67</v>
          </cell>
          <cell r="J941" t="str">
            <v>AVV</v>
          </cell>
          <cell r="K941" t="str">
            <v>VIN</v>
          </cell>
          <cell r="L941" t="str">
            <v>VIN</v>
          </cell>
          <cell r="M941">
            <v>0</v>
          </cell>
          <cell r="N941">
            <v>0</v>
          </cell>
          <cell r="O941">
            <v>0</v>
          </cell>
          <cell r="P941">
            <v>12.26</v>
          </cell>
        </row>
        <row r="942">
          <cell r="D942" t="str">
            <v>701347</v>
          </cell>
          <cell r="E942" t="str">
            <v>PACK PISCO VARGAS 750ML+ PISCO VARGAS 125ML</v>
          </cell>
          <cell r="F942">
            <v>21.99</v>
          </cell>
          <cell r="G942">
            <v>21.99</v>
          </cell>
          <cell r="H942">
            <v>22.43</v>
          </cell>
          <cell r="I942">
            <v>22.43</v>
          </cell>
          <cell r="J942" t="str">
            <v>AVV</v>
          </cell>
          <cell r="K942" t="str">
            <v>VIN</v>
          </cell>
          <cell r="L942" t="str">
            <v>VIN</v>
          </cell>
          <cell r="M942">
            <v>0</v>
          </cell>
          <cell r="N942">
            <v>0</v>
          </cell>
          <cell r="O942">
            <v>19.3</v>
          </cell>
          <cell r="P942">
            <v>23.55</v>
          </cell>
        </row>
        <row r="943">
          <cell r="D943" t="str">
            <v>704236</v>
          </cell>
          <cell r="E943" t="str">
            <v>VINO VIÑA VIEJA BORGOÑA LATA 473ML X24</v>
          </cell>
          <cell r="F943">
            <v>5.38</v>
          </cell>
          <cell r="G943">
            <v>5.38</v>
          </cell>
          <cell r="H943">
            <v>5.6</v>
          </cell>
          <cell r="I943">
            <v>5.6</v>
          </cell>
          <cell r="J943" t="str">
            <v>AVV</v>
          </cell>
          <cell r="K943" t="str">
            <v>VIN</v>
          </cell>
          <cell r="L943" t="str">
            <v>VIN</v>
          </cell>
          <cell r="M943">
            <v>0</v>
          </cell>
          <cell r="N943">
            <v>0</v>
          </cell>
          <cell r="O943">
            <v>6.08</v>
          </cell>
          <cell r="P943">
            <v>5.88</v>
          </cell>
        </row>
        <row r="944">
          <cell r="D944" t="str">
            <v>18577</v>
          </cell>
          <cell r="E944" t="str">
            <v>CABANOSSI 25GR BDT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 t="str">
            <v>SIG</v>
          </cell>
          <cell r="K944" t="str">
            <v>BRT</v>
          </cell>
          <cell r="L944" t="str">
            <v>CAB</v>
          </cell>
          <cell r="M944">
            <v>0</v>
          </cell>
          <cell r="N944">
            <v>0</v>
          </cell>
          <cell r="O944">
            <v>0</v>
          </cell>
          <cell r="P944">
            <v>2.11</v>
          </cell>
        </row>
        <row r="945">
          <cell r="D945" t="str">
            <v>80744</v>
          </cell>
          <cell r="E945" t="str">
            <v>ENTRAÑA FINA CHO USA 1.4- 1.6KG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 t="str">
            <v>PRR</v>
          </cell>
          <cell r="K945" t="str">
            <v>SUP</v>
          </cell>
          <cell r="L945" t="str">
            <v>RES</v>
          </cell>
          <cell r="M945">
            <v>0</v>
          </cell>
          <cell r="N945">
            <v>0</v>
          </cell>
          <cell r="O945">
            <v>222.5</v>
          </cell>
          <cell r="P945">
            <v>269.89999999999998</v>
          </cell>
        </row>
        <row r="946">
          <cell r="D946" t="str">
            <v>ENT104</v>
          </cell>
          <cell r="E946" t="str">
            <v>ENTRAÑA FINA ANGUS 0.75KG - 1KG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 t="str">
            <v>PRR</v>
          </cell>
          <cell r="K946" t="str">
            <v>SUP</v>
          </cell>
          <cell r="L946" t="str">
            <v>RES</v>
          </cell>
          <cell r="M946">
            <v>0</v>
          </cell>
          <cell r="N946">
            <v>0</v>
          </cell>
          <cell r="O946">
            <v>82.28</v>
          </cell>
          <cell r="P946">
            <v>115</v>
          </cell>
        </row>
        <row r="947">
          <cell r="D947" t="str">
            <v>403859</v>
          </cell>
          <cell r="E947" t="str">
            <v>BIFE ANGOSTO CHOICE 2U X 300GR</v>
          </cell>
          <cell r="F947">
            <v>99.9</v>
          </cell>
          <cell r="G947">
            <v>99.9</v>
          </cell>
          <cell r="H947">
            <v>99.9</v>
          </cell>
          <cell r="I947">
            <v>99.9</v>
          </cell>
          <cell r="J947" t="str">
            <v>PRR</v>
          </cell>
          <cell r="K947" t="str">
            <v>SUP</v>
          </cell>
          <cell r="L947" t="str">
            <v>RES</v>
          </cell>
          <cell r="M947">
            <v>0</v>
          </cell>
          <cell r="N947">
            <v>0</v>
          </cell>
          <cell r="O947">
            <v>83.84</v>
          </cell>
          <cell r="P947">
            <v>110</v>
          </cell>
        </row>
        <row r="948">
          <cell r="D948" t="str">
            <v>70743P</v>
          </cell>
          <cell r="E948" t="str">
            <v>ENTRAÑA FINA CHO USA X 1KG</v>
          </cell>
          <cell r="F948">
            <v>140</v>
          </cell>
          <cell r="G948">
            <v>140</v>
          </cell>
          <cell r="H948">
            <v>140</v>
          </cell>
          <cell r="I948">
            <v>140</v>
          </cell>
          <cell r="J948" t="str">
            <v>PRR</v>
          </cell>
          <cell r="K948" t="str">
            <v>SUP</v>
          </cell>
          <cell r="L948" t="str">
            <v>RES</v>
          </cell>
          <cell r="M948">
            <v>0</v>
          </cell>
          <cell r="N948">
            <v>0</v>
          </cell>
          <cell r="O948">
            <v>109.77</v>
          </cell>
          <cell r="P948">
            <v>181</v>
          </cell>
        </row>
        <row r="949">
          <cell r="D949" t="str">
            <v>SUP744</v>
          </cell>
          <cell r="E949" t="str">
            <v xml:space="preserve">TAPA CUADRILCHO AG US 1.9KG 2KG </v>
          </cell>
          <cell r="F949">
            <v>249</v>
          </cell>
          <cell r="G949">
            <v>249</v>
          </cell>
          <cell r="H949">
            <v>249</v>
          </cell>
          <cell r="I949">
            <v>249</v>
          </cell>
          <cell r="J949" t="str">
            <v>PRR</v>
          </cell>
          <cell r="K949" t="str">
            <v>SUP</v>
          </cell>
          <cell r="L949" t="str">
            <v>RES</v>
          </cell>
          <cell r="M949">
            <v>0</v>
          </cell>
          <cell r="N949">
            <v>0</v>
          </cell>
          <cell r="O949">
            <v>197.96</v>
          </cell>
          <cell r="P949">
            <v>285</v>
          </cell>
        </row>
        <row r="950">
          <cell r="D950" t="str">
            <v>COL78</v>
          </cell>
          <cell r="E950" t="str">
            <v>COLITA DE CUADRIL AG US 2.1KG - 2.3KG</v>
          </cell>
          <cell r="F950">
            <v>195</v>
          </cell>
          <cell r="G950">
            <v>195</v>
          </cell>
          <cell r="H950">
            <v>195</v>
          </cell>
          <cell r="I950">
            <v>195</v>
          </cell>
          <cell r="J950" t="str">
            <v>PRR</v>
          </cell>
          <cell r="K950" t="str">
            <v>SUP</v>
          </cell>
          <cell r="L950" t="str">
            <v>RES</v>
          </cell>
          <cell r="M950">
            <v>0</v>
          </cell>
          <cell r="N950">
            <v>0</v>
          </cell>
          <cell r="O950">
            <v>157.24</v>
          </cell>
          <cell r="P950">
            <v>207</v>
          </cell>
        </row>
        <row r="951">
          <cell r="D951" t="str">
            <v>COL76</v>
          </cell>
          <cell r="E951" t="str">
            <v>COLITA DE CUADRIL AG US 1.6KG - 1.8KG</v>
          </cell>
          <cell r="F951">
            <v>159</v>
          </cell>
          <cell r="G951">
            <v>159</v>
          </cell>
          <cell r="H951">
            <v>159</v>
          </cell>
          <cell r="I951">
            <v>159</v>
          </cell>
          <cell r="J951" t="str">
            <v>PRR</v>
          </cell>
          <cell r="K951" t="str">
            <v>SUP</v>
          </cell>
          <cell r="L951" t="str">
            <v>RES</v>
          </cell>
          <cell r="M951">
            <v>0</v>
          </cell>
          <cell r="N951">
            <v>0</v>
          </cell>
          <cell r="O951">
            <v>121.46</v>
          </cell>
          <cell r="P951">
            <v>159</v>
          </cell>
        </row>
        <row r="952">
          <cell r="D952" t="str">
            <v>SUP745</v>
          </cell>
          <cell r="E952" t="str">
            <v>TAPA CUADRILCHO  AG US 2KG - 2.5KG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 t="str">
            <v>PRR</v>
          </cell>
          <cell r="K952" t="str">
            <v>SUP</v>
          </cell>
          <cell r="L952" t="str">
            <v>RES</v>
          </cell>
          <cell r="M952">
            <v>0</v>
          </cell>
          <cell r="N952">
            <v>0</v>
          </cell>
          <cell r="O952">
            <v>248.81</v>
          </cell>
          <cell r="P952">
            <v>305</v>
          </cell>
        </row>
        <row r="953">
          <cell r="D953" t="str">
            <v>80745</v>
          </cell>
          <cell r="E953" t="str">
            <v>ENTRAÑA FINA CHO USA 0.5 - 0.6 KG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 t="str">
            <v>PRR</v>
          </cell>
          <cell r="K953" t="str">
            <v>SUP</v>
          </cell>
          <cell r="L953" t="str">
            <v>RES</v>
          </cell>
          <cell r="M953">
            <v>0</v>
          </cell>
          <cell r="N953">
            <v>0</v>
          </cell>
          <cell r="O953">
            <v>81.569999999999993</v>
          </cell>
          <cell r="P953">
            <v>99.9</v>
          </cell>
        </row>
        <row r="954">
          <cell r="D954" t="str">
            <v>COL77</v>
          </cell>
          <cell r="E954" t="str">
            <v>COLITA DE CUADRIL AG US 1.9KG - 2KG</v>
          </cell>
          <cell r="F954">
            <v>176</v>
          </cell>
          <cell r="G954">
            <v>176</v>
          </cell>
          <cell r="H954">
            <v>176</v>
          </cell>
          <cell r="I954">
            <v>176</v>
          </cell>
          <cell r="J954" t="str">
            <v>PRR</v>
          </cell>
          <cell r="K954" t="str">
            <v>SUP</v>
          </cell>
          <cell r="L954" t="str">
            <v>RES</v>
          </cell>
          <cell r="M954">
            <v>0</v>
          </cell>
          <cell r="N954">
            <v>0</v>
          </cell>
          <cell r="O954">
            <v>142.85</v>
          </cell>
          <cell r="P954">
            <v>181</v>
          </cell>
        </row>
        <row r="955">
          <cell r="D955" t="str">
            <v>SUP741</v>
          </cell>
          <cell r="E955" t="str">
            <v xml:space="preserve">TAPA CUADRILCHO AG US 1KG 1.2KG </v>
          </cell>
          <cell r="F955">
            <v>164</v>
          </cell>
          <cell r="G955">
            <v>164</v>
          </cell>
          <cell r="H955">
            <v>164</v>
          </cell>
          <cell r="I955">
            <v>164</v>
          </cell>
          <cell r="J955" t="str">
            <v>PRR</v>
          </cell>
          <cell r="K955" t="str">
            <v>SUP</v>
          </cell>
          <cell r="L955" t="str">
            <v>RES</v>
          </cell>
          <cell r="M955">
            <v>0</v>
          </cell>
          <cell r="N955">
            <v>0</v>
          </cell>
          <cell r="O955">
            <v>124.14</v>
          </cell>
          <cell r="P955">
            <v>169</v>
          </cell>
        </row>
        <row r="956">
          <cell r="D956" t="str">
            <v>SUP743</v>
          </cell>
          <cell r="E956" t="str">
            <v xml:space="preserve">TAPA CUADRILCHO AG US 1.3KG 1.6KG </v>
          </cell>
          <cell r="F956">
            <v>184</v>
          </cell>
          <cell r="G956">
            <v>184</v>
          </cell>
          <cell r="H956">
            <v>184</v>
          </cell>
          <cell r="I956">
            <v>184</v>
          </cell>
          <cell r="J956" t="str">
            <v>PRR</v>
          </cell>
          <cell r="K956" t="str">
            <v>SUP</v>
          </cell>
          <cell r="L956" t="str">
            <v>RES</v>
          </cell>
          <cell r="M956">
            <v>0</v>
          </cell>
          <cell r="N956">
            <v>0</v>
          </cell>
          <cell r="O956">
            <v>137.62</v>
          </cell>
          <cell r="P956">
            <v>215</v>
          </cell>
        </row>
        <row r="957">
          <cell r="D957" t="str">
            <v>80743</v>
          </cell>
          <cell r="E957" t="str">
            <v>ENTRAÑA FINA CHO USA 1.1 - 1.3KG</v>
          </cell>
          <cell r="F957">
            <v>195</v>
          </cell>
          <cell r="G957">
            <v>195</v>
          </cell>
          <cell r="H957">
            <v>195</v>
          </cell>
          <cell r="I957">
            <v>195</v>
          </cell>
          <cell r="J957" t="str">
            <v>PRR</v>
          </cell>
          <cell r="K957" t="str">
            <v>SUP</v>
          </cell>
          <cell r="L957" t="str">
            <v>RES</v>
          </cell>
          <cell r="M957">
            <v>0</v>
          </cell>
          <cell r="N957">
            <v>0</v>
          </cell>
          <cell r="O957">
            <v>178</v>
          </cell>
          <cell r="P957">
            <v>219</v>
          </cell>
        </row>
        <row r="958">
          <cell r="D958" t="str">
            <v>404135</v>
          </cell>
          <cell r="E958" t="str">
            <v>ASADO TIRA CHO USA 3U X 750 GR</v>
          </cell>
          <cell r="F958">
            <v>139</v>
          </cell>
          <cell r="G958">
            <v>139</v>
          </cell>
          <cell r="H958">
            <v>139</v>
          </cell>
          <cell r="I958">
            <v>139</v>
          </cell>
          <cell r="J958" t="str">
            <v>PRR</v>
          </cell>
          <cell r="K958" t="str">
            <v>SUP</v>
          </cell>
          <cell r="L958" t="str">
            <v>RES</v>
          </cell>
          <cell r="M958">
            <v>0</v>
          </cell>
          <cell r="N958">
            <v>0</v>
          </cell>
          <cell r="O958">
            <v>99.27</v>
          </cell>
          <cell r="P958">
            <v>158</v>
          </cell>
        </row>
        <row r="959">
          <cell r="D959" t="str">
            <v>COL75</v>
          </cell>
          <cell r="E959" t="str">
            <v>COLITA DE CUADRIL AG US 1.4KG - 1.5KG</v>
          </cell>
          <cell r="F959">
            <v>130</v>
          </cell>
          <cell r="G959">
            <v>130</v>
          </cell>
          <cell r="H959">
            <v>130</v>
          </cell>
          <cell r="I959">
            <v>130</v>
          </cell>
          <cell r="J959" t="str">
            <v>PRR</v>
          </cell>
          <cell r="K959" t="str">
            <v>SUP</v>
          </cell>
          <cell r="L959" t="str">
            <v>RES</v>
          </cell>
          <cell r="M959">
            <v>0</v>
          </cell>
          <cell r="N959">
            <v>0</v>
          </cell>
          <cell r="O959">
            <v>99.07</v>
          </cell>
          <cell r="P959">
            <v>135</v>
          </cell>
        </row>
        <row r="960">
          <cell r="D960" t="str">
            <v>SUP742</v>
          </cell>
          <cell r="E960" t="str">
            <v xml:space="preserve">TAPA CUADRILCHO AG US 1.6KG 1.9KG </v>
          </cell>
          <cell r="F960">
            <v>224</v>
          </cell>
          <cell r="G960">
            <v>224</v>
          </cell>
          <cell r="H960">
            <v>224</v>
          </cell>
          <cell r="I960">
            <v>224</v>
          </cell>
          <cell r="J960" t="str">
            <v>PRR</v>
          </cell>
          <cell r="K960" t="str">
            <v>SUP</v>
          </cell>
          <cell r="L960" t="str">
            <v>RES</v>
          </cell>
          <cell r="M960">
            <v>0</v>
          </cell>
          <cell r="N960">
            <v>0</v>
          </cell>
          <cell r="O960">
            <v>175.41</v>
          </cell>
          <cell r="P960">
            <v>245</v>
          </cell>
        </row>
        <row r="961">
          <cell r="D961" t="str">
            <v>404490P</v>
          </cell>
          <cell r="E961" t="str">
            <v>BIFE ANGOSTO USA CHOICE X900GR 1KG</v>
          </cell>
          <cell r="F961">
            <v>150.5</v>
          </cell>
          <cell r="G961">
            <v>150.5</v>
          </cell>
          <cell r="H961">
            <v>150.5</v>
          </cell>
          <cell r="I961">
            <v>150.5</v>
          </cell>
          <cell r="J961" t="str">
            <v>PRR</v>
          </cell>
          <cell r="K961" t="str">
            <v>SUP</v>
          </cell>
          <cell r="L961" t="str">
            <v>RES</v>
          </cell>
          <cell r="M961">
            <v>0</v>
          </cell>
          <cell r="N961">
            <v>0</v>
          </cell>
          <cell r="O961">
            <v>127.42</v>
          </cell>
          <cell r="P961">
            <v>175</v>
          </cell>
        </row>
        <row r="962">
          <cell r="D962" t="str">
            <v>PACK08</v>
          </cell>
          <cell r="E962" t="str">
            <v>PACK ENTRÑA F. ANG+CHORIZ MERM RCT+FRONT SWEET SEL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 t="str">
            <v>PRR</v>
          </cell>
          <cell r="K962" t="str">
            <v>SUP</v>
          </cell>
          <cell r="L962" t="str">
            <v>RES</v>
          </cell>
          <cell r="M962">
            <v>0</v>
          </cell>
          <cell r="N962">
            <v>0</v>
          </cell>
          <cell r="O962">
            <v>0</v>
          </cell>
          <cell r="P962">
            <v>199.9</v>
          </cell>
        </row>
        <row r="963">
          <cell r="D963" t="str">
            <v>CP003</v>
          </cell>
          <cell r="E963" t="str">
            <v>COCKTAIL DE CACAO PICCOLI 12X750ML</v>
          </cell>
          <cell r="F963">
            <v>21.51</v>
          </cell>
          <cell r="G963">
            <v>21.51</v>
          </cell>
          <cell r="H963">
            <v>22.49</v>
          </cell>
          <cell r="I963">
            <v>22.49</v>
          </cell>
          <cell r="J963" t="str">
            <v>PIC</v>
          </cell>
          <cell r="K963" t="str">
            <v>PIC</v>
          </cell>
          <cell r="L963" t="str">
            <v>CCK</v>
          </cell>
          <cell r="M963">
            <v>0</v>
          </cell>
          <cell r="N963">
            <v>0</v>
          </cell>
          <cell r="O963">
            <v>18.3</v>
          </cell>
          <cell r="P963">
            <v>24.74</v>
          </cell>
        </row>
        <row r="964">
          <cell r="D964" t="str">
            <v>CP004</v>
          </cell>
          <cell r="E964" t="str">
            <v>COCKTAIL SELECTO PICCOLI 12X750ML</v>
          </cell>
          <cell r="F964">
            <v>35.200000000000003</v>
          </cell>
          <cell r="G964">
            <v>35.200000000000003</v>
          </cell>
          <cell r="H964">
            <v>36.799999999999997</v>
          </cell>
          <cell r="I964">
            <v>36.799999999999997</v>
          </cell>
          <cell r="J964" t="str">
            <v>PIC</v>
          </cell>
          <cell r="K964" t="str">
            <v>PIC</v>
          </cell>
          <cell r="L964" t="str">
            <v>CCK</v>
          </cell>
          <cell r="M964">
            <v>0</v>
          </cell>
          <cell r="N964">
            <v>0</v>
          </cell>
          <cell r="O964">
            <v>30</v>
          </cell>
          <cell r="P964">
            <v>40.479999999999997</v>
          </cell>
        </row>
        <row r="965">
          <cell r="D965" t="str">
            <v>CP005</v>
          </cell>
          <cell r="E965" t="str">
            <v>COCKTAIL DE COCO PICCOLI 12X750ML</v>
          </cell>
          <cell r="F965">
            <v>21.51</v>
          </cell>
          <cell r="G965">
            <v>21.51</v>
          </cell>
          <cell r="H965">
            <v>22.49</v>
          </cell>
          <cell r="I965">
            <v>22.49</v>
          </cell>
          <cell r="J965" t="str">
            <v>PIC</v>
          </cell>
          <cell r="K965" t="str">
            <v>PIC</v>
          </cell>
          <cell r="L965" t="str">
            <v>CCK</v>
          </cell>
          <cell r="M965">
            <v>0</v>
          </cell>
          <cell r="N965">
            <v>0</v>
          </cell>
          <cell r="O965">
            <v>18.3</v>
          </cell>
          <cell r="P965">
            <v>24.74</v>
          </cell>
        </row>
        <row r="966">
          <cell r="D966" t="str">
            <v>CP001</v>
          </cell>
          <cell r="E966" t="str">
            <v>COCKTAIL DE ALGARROBINA  PICCOLI 12X750ML</v>
          </cell>
          <cell r="F966">
            <v>21.51</v>
          </cell>
          <cell r="G966">
            <v>21.51</v>
          </cell>
          <cell r="H966">
            <v>22.49</v>
          </cell>
          <cell r="I966">
            <v>22.49</v>
          </cell>
          <cell r="J966" t="str">
            <v>PIC</v>
          </cell>
          <cell r="K966" t="str">
            <v>PIC</v>
          </cell>
          <cell r="L966" t="str">
            <v>CCK</v>
          </cell>
          <cell r="M966">
            <v>0</v>
          </cell>
          <cell r="N966">
            <v>0</v>
          </cell>
          <cell r="O966">
            <v>18.3</v>
          </cell>
          <cell r="P966">
            <v>24.74</v>
          </cell>
        </row>
        <row r="967">
          <cell r="D967" t="str">
            <v>CP002</v>
          </cell>
          <cell r="E967" t="str">
            <v>COCKTAIL DE CAFE PICCOLI 12X750ML</v>
          </cell>
          <cell r="F967">
            <v>21.51</v>
          </cell>
          <cell r="G967">
            <v>21.51</v>
          </cell>
          <cell r="H967">
            <v>22.49</v>
          </cell>
          <cell r="I967">
            <v>22.49</v>
          </cell>
          <cell r="J967" t="str">
            <v>PIC</v>
          </cell>
          <cell r="K967" t="str">
            <v>PIC</v>
          </cell>
          <cell r="L967" t="str">
            <v>CCK</v>
          </cell>
          <cell r="M967">
            <v>0</v>
          </cell>
          <cell r="N967">
            <v>0</v>
          </cell>
          <cell r="O967">
            <v>18.5</v>
          </cell>
          <cell r="P967">
            <v>24.74</v>
          </cell>
        </row>
        <row r="968">
          <cell r="D968" t="str">
            <v>148004</v>
          </cell>
          <cell r="E968" t="str">
            <v xml:space="preserve">P. CHIPS PAPAS NATURALES C/TOCINO BBQ 140GRX10 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 t="str">
            <v>FDL</v>
          </cell>
          <cell r="K968" t="str">
            <v>SNK</v>
          </cell>
          <cell r="L968" t="str">
            <v>SNK</v>
          </cell>
          <cell r="M968">
            <v>0</v>
          </cell>
          <cell r="N968">
            <v>0</v>
          </cell>
          <cell r="O968">
            <v>0</v>
          </cell>
          <cell r="P968">
            <v>6.13</v>
          </cell>
        </row>
        <row r="969">
          <cell r="D969" t="str">
            <v>148001</v>
          </cell>
          <cell r="E969" t="str">
            <v>PARTNERS CHIPS PAPAS NATIVAS C/SAL 140GRX10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 t="str">
            <v>FDL</v>
          </cell>
          <cell r="K969" t="str">
            <v>SNK</v>
          </cell>
          <cell r="L969" t="str">
            <v>SNK</v>
          </cell>
          <cell r="M969">
            <v>0</v>
          </cell>
          <cell r="N969">
            <v>0</v>
          </cell>
          <cell r="O969">
            <v>0</v>
          </cell>
          <cell r="P969">
            <v>6.45</v>
          </cell>
        </row>
        <row r="970">
          <cell r="D970" t="str">
            <v>148003</v>
          </cell>
          <cell r="E970" t="str">
            <v>P. CHIPS PAPAS NATURALES C/AJI LIMO 140GRX10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 t="str">
            <v>FDL</v>
          </cell>
          <cell r="K970" t="str">
            <v>SNK</v>
          </cell>
          <cell r="L970" t="str">
            <v>SNK</v>
          </cell>
          <cell r="M970">
            <v>0</v>
          </cell>
          <cell r="N970">
            <v>0</v>
          </cell>
          <cell r="O970">
            <v>0</v>
          </cell>
          <cell r="P970">
            <v>6.13</v>
          </cell>
        </row>
        <row r="971">
          <cell r="D971" t="str">
            <v>148002</v>
          </cell>
          <cell r="E971" t="str">
            <v>P. CHIPS PAPAS NATURALES C/SAL 140GRX10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 t="str">
            <v>FDL</v>
          </cell>
          <cell r="K971" t="str">
            <v>SNK</v>
          </cell>
          <cell r="L971" t="str">
            <v>SNK</v>
          </cell>
          <cell r="M971">
            <v>0</v>
          </cell>
          <cell r="N971">
            <v>0</v>
          </cell>
          <cell r="O971">
            <v>5.5</v>
          </cell>
          <cell r="P971">
            <v>6.13</v>
          </cell>
        </row>
        <row r="972">
          <cell r="D972" t="str">
            <v>24950</v>
          </cell>
          <cell r="E972" t="str">
            <v>PINGUINOS 1P 40G MLA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 t="str">
            <v>BIM</v>
          </cell>
          <cell r="K972" t="str">
            <v>CNF</v>
          </cell>
          <cell r="L972" t="str">
            <v>KEK</v>
          </cell>
          <cell r="M972">
            <v>0</v>
          </cell>
          <cell r="N972">
            <v>0</v>
          </cell>
          <cell r="O972">
            <v>0</v>
          </cell>
          <cell r="P972">
            <v>1.6</v>
          </cell>
        </row>
        <row r="973">
          <cell r="D973" t="str">
            <v>504348</v>
          </cell>
          <cell r="E973" t="str">
            <v>PINGUINOS COOKIES CREAM 2P 80G BOLSA</v>
          </cell>
          <cell r="F973">
            <v>2.2789999999999999</v>
          </cell>
          <cell r="G973">
            <v>2.2789999999999999</v>
          </cell>
          <cell r="H973">
            <v>2.2789999999999999</v>
          </cell>
          <cell r="I973">
            <v>2.2789999999999999</v>
          </cell>
          <cell r="J973" t="str">
            <v>BIM</v>
          </cell>
          <cell r="K973" t="str">
            <v>CNF</v>
          </cell>
          <cell r="L973" t="str">
            <v>KEK</v>
          </cell>
          <cell r="M973">
            <v>0</v>
          </cell>
          <cell r="N973">
            <v>0</v>
          </cell>
          <cell r="O973">
            <v>0</v>
          </cell>
          <cell r="P973">
            <v>3</v>
          </cell>
        </row>
        <row r="974">
          <cell r="D974" t="str">
            <v>504373</v>
          </cell>
          <cell r="E974" t="str">
            <v xml:space="preserve">KEKITOS FAMILIA 8P 720G 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 t="str">
            <v>BIM</v>
          </cell>
          <cell r="K974" t="str">
            <v>CNF</v>
          </cell>
          <cell r="L974" t="str">
            <v>KEK</v>
          </cell>
          <cell r="M974">
            <v>0</v>
          </cell>
          <cell r="N974">
            <v>0</v>
          </cell>
          <cell r="O974">
            <v>0</v>
          </cell>
          <cell r="P974">
            <v>2.5</v>
          </cell>
        </row>
        <row r="975">
          <cell r="D975" t="str">
            <v>2281</v>
          </cell>
          <cell r="E975" t="str">
            <v xml:space="preserve">TORTILLAS RAPIDITAS 12P 310G </v>
          </cell>
          <cell r="F975">
            <v>6.625</v>
          </cell>
          <cell r="G975">
            <v>6.625</v>
          </cell>
          <cell r="H975">
            <v>6.625</v>
          </cell>
          <cell r="I975">
            <v>6.625</v>
          </cell>
          <cell r="J975" t="str">
            <v>BIM</v>
          </cell>
          <cell r="K975" t="str">
            <v>PAN</v>
          </cell>
          <cell r="L975" t="str">
            <v>RAP</v>
          </cell>
          <cell r="M975">
            <v>0</v>
          </cell>
          <cell r="N975">
            <v>0</v>
          </cell>
          <cell r="O975">
            <v>0</v>
          </cell>
          <cell r="P975">
            <v>8.5</v>
          </cell>
        </row>
        <row r="976">
          <cell r="D976" t="str">
            <v>505882</v>
          </cell>
          <cell r="E976" t="str">
            <v xml:space="preserve">TORTILLAS RAPIDITAS 6P 155G </v>
          </cell>
          <cell r="F976">
            <v>3.85</v>
          </cell>
          <cell r="G976">
            <v>3.85</v>
          </cell>
          <cell r="H976">
            <v>3.85</v>
          </cell>
          <cell r="I976">
            <v>3.85</v>
          </cell>
          <cell r="J976" t="str">
            <v>BIM</v>
          </cell>
          <cell r="K976" t="str">
            <v>PAN</v>
          </cell>
          <cell r="L976" t="str">
            <v>RAP</v>
          </cell>
          <cell r="M976">
            <v>0</v>
          </cell>
          <cell r="N976">
            <v>0</v>
          </cell>
          <cell r="O976">
            <v>0</v>
          </cell>
          <cell r="P976">
            <v>5</v>
          </cell>
        </row>
        <row r="977">
          <cell r="D977" t="str">
            <v>1203</v>
          </cell>
          <cell r="E977" t="str">
            <v>SAL SALINA PARRILLERA DOYPACK 750GR</v>
          </cell>
          <cell r="F977">
            <v>4.2699999999999996</v>
          </cell>
          <cell r="G977">
            <v>4.2699999999999996</v>
          </cell>
          <cell r="H977">
            <v>4.41</v>
          </cell>
          <cell r="I977">
            <v>4.41</v>
          </cell>
          <cell r="J977" t="str">
            <v>K&amp;M</v>
          </cell>
          <cell r="K977" t="str">
            <v>SAL</v>
          </cell>
          <cell r="L977" t="str">
            <v>SAL</v>
          </cell>
          <cell r="M977">
            <v>0</v>
          </cell>
          <cell r="N977">
            <v>0</v>
          </cell>
          <cell r="O977">
            <v>3.5</v>
          </cell>
          <cell r="P977">
            <v>4.3499999999999996</v>
          </cell>
        </row>
        <row r="978">
          <cell r="D978" t="str">
            <v>26722</v>
          </cell>
          <cell r="E978" t="str">
            <v>RON MEDELLIN 12AÑ 750ML X6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 t="str">
            <v>YIC</v>
          </cell>
          <cell r="K978" t="str">
            <v>LIC</v>
          </cell>
          <cell r="L978" t="str">
            <v>MED</v>
          </cell>
          <cell r="M978">
            <v>0</v>
          </cell>
          <cell r="N978">
            <v>0</v>
          </cell>
          <cell r="O978">
            <v>67.5</v>
          </cell>
          <cell r="P978">
            <v>90.01</v>
          </cell>
        </row>
        <row r="979">
          <cell r="D979" t="str">
            <v>61302</v>
          </cell>
          <cell r="E979" t="str">
            <v>ANTIOQUEÑO AGUARDIENTE VERDE S/A 24° 750ML X 12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 t="str">
            <v>YIC</v>
          </cell>
          <cell r="K979" t="str">
            <v>LIC</v>
          </cell>
          <cell r="L979" t="str">
            <v>MED</v>
          </cell>
          <cell r="M979">
            <v>0</v>
          </cell>
          <cell r="N979">
            <v>0</v>
          </cell>
          <cell r="O979">
            <v>0</v>
          </cell>
          <cell r="P979">
            <v>28.86</v>
          </cell>
        </row>
        <row r="980">
          <cell r="D980" t="str">
            <v>23443</v>
          </cell>
          <cell r="E980" t="str">
            <v>RON MEDELLIN 3AÑ 750ML X12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 t="str">
            <v>YIC</v>
          </cell>
          <cell r="K980" t="str">
            <v>LIC</v>
          </cell>
          <cell r="L980" t="str">
            <v>MED</v>
          </cell>
          <cell r="M980">
            <v>0</v>
          </cell>
          <cell r="N980">
            <v>0</v>
          </cell>
          <cell r="O980">
            <v>23</v>
          </cell>
          <cell r="P980">
            <v>29.44</v>
          </cell>
        </row>
        <row r="981">
          <cell r="D981" t="str">
            <v>26723</v>
          </cell>
          <cell r="E981" t="str">
            <v>RON MEDELLIN 8AÑ 750ML X6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 t="str">
            <v>YIC</v>
          </cell>
          <cell r="K981" t="str">
            <v>LIC</v>
          </cell>
          <cell r="L981" t="str">
            <v>MED</v>
          </cell>
          <cell r="M981">
            <v>0</v>
          </cell>
          <cell r="N981">
            <v>0</v>
          </cell>
          <cell r="O981">
            <v>0</v>
          </cell>
          <cell r="P981">
            <v>67.760000000000005</v>
          </cell>
        </row>
        <row r="982">
          <cell r="D982" t="str">
            <v>CHAR16</v>
          </cell>
          <cell r="E982" t="str">
            <v>CHIMICHURRI ARTESANAL  X160GR( V.N)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 t="str">
            <v>PRR</v>
          </cell>
          <cell r="K982" t="str">
            <v>CDL</v>
          </cell>
          <cell r="L982" t="str">
            <v>OTR</v>
          </cell>
          <cell r="M982">
            <v>0</v>
          </cell>
          <cell r="N982">
            <v>0</v>
          </cell>
          <cell r="O982">
            <v>0</v>
          </cell>
          <cell r="P982">
            <v>11.9</v>
          </cell>
        </row>
        <row r="983">
          <cell r="D983" t="str">
            <v>CHAR04</v>
          </cell>
          <cell r="E983" t="str">
            <v>CHIMICHURRI CLASICO</v>
          </cell>
          <cell r="F983">
            <v>27.75</v>
          </cell>
          <cell r="G983">
            <v>27.75</v>
          </cell>
          <cell r="H983">
            <v>27.75</v>
          </cell>
          <cell r="I983">
            <v>27.75</v>
          </cell>
          <cell r="J983" t="str">
            <v>PRR</v>
          </cell>
          <cell r="K983" t="str">
            <v>CDL</v>
          </cell>
          <cell r="L983" t="str">
            <v>OTR</v>
          </cell>
          <cell r="M983">
            <v>18.95</v>
          </cell>
          <cell r="N983">
            <v>0</v>
          </cell>
          <cell r="O983">
            <v>18.95</v>
          </cell>
          <cell r="P983">
            <v>26.9</v>
          </cell>
        </row>
        <row r="984">
          <cell r="D984" t="str">
            <v>CHAR12</v>
          </cell>
          <cell r="E984" t="str">
            <v>HAMBURGUESA DE RES</v>
          </cell>
          <cell r="F984">
            <v>48</v>
          </cell>
          <cell r="G984">
            <v>48</v>
          </cell>
          <cell r="H984">
            <v>48</v>
          </cell>
          <cell r="I984">
            <v>48</v>
          </cell>
          <cell r="J984" t="str">
            <v>PRR</v>
          </cell>
          <cell r="K984" t="str">
            <v>CDL</v>
          </cell>
          <cell r="L984" t="str">
            <v>OTR</v>
          </cell>
          <cell r="M984">
            <v>0</v>
          </cell>
          <cell r="N984">
            <v>0</v>
          </cell>
          <cell r="O984">
            <v>33.340000000000003</v>
          </cell>
          <cell r="P984">
            <v>48</v>
          </cell>
        </row>
        <row r="985">
          <cell r="D985" t="str">
            <v>CHAR05</v>
          </cell>
          <cell r="E985" t="str">
            <v>FRASCO CHIMICHURRI VACA NOSTRA  PICANTE 250 ML</v>
          </cell>
          <cell r="F985">
            <v>27.75</v>
          </cell>
          <cell r="G985">
            <v>27.75</v>
          </cell>
          <cell r="H985">
            <v>27.75</v>
          </cell>
          <cell r="I985">
            <v>27.75</v>
          </cell>
          <cell r="J985" t="str">
            <v>PRR</v>
          </cell>
          <cell r="K985" t="str">
            <v>CDL</v>
          </cell>
          <cell r="L985" t="str">
            <v>OTR</v>
          </cell>
          <cell r="M985">
            <v>0</v>
          </cell>
          <cell r="N985">
            <v>0</v>
          </cell>
          <cell r="O985">
            <v>11.5</v>
          </cell>
          <cell r="P985">
            <v>19.899999999999999</v>
          </cell>
        </row>
        <row r="986">
          <cell r="D986" t="str">
            <v>CHAR08</v>
          </cell>
          <cell r="E986" t="str">
            <v xml:space="preserve">CH.CERVEZA ARTESANAL </v>
          </cell>
          <cell r="F986">
            <v>39.270000000000003</v>
          </cell>
          <cell r="G986">
            <v>39.270000000000003</v>
          </cell>
          <cell r="H986">
            <v>39.270000000000003</v>
          </cell>
          <cell r="I986">
            <v>39.270000000000003</v>
          </cell>
          <cell r="J986" t="str">
            <v>PRR</v>
          </cell>
          <cell r="K986" t="str">
            <v>CDL</v>
          </cell>
          <cell r="L986" t="str">
            <v>OTR</v>
          </cell>
          <cell r="M986">
            <v>0</v>
          </cell>
          <cell r="N986">
            <v>0</v>
          </cell>
          <cell r="O986">
            <v>22.92</v>
          </cell>
          <cell r="P986">
            <v>42.9</v>
          </cell>
        </row>
        <row r="987">
          <cell r="D987" t="str">
            <v>CHAR03</v>
          </cell>
          <cell r="E987" t="str">
            <v xml:space="preserve">PASTRAMI </v>
          </cell>
          <cell r="F987">
            <v>41</v>
          </cell>
          <cell r="G987">
            <v>41</v>
          </cell>
          <cell r="H987">
            <v>41</v>
          </cell>
          <cell r="I987">
            <v>41</v>
          </cell>
          <cell r="J987" t="str">
            <v>PRR</v>
          </cell>
          <cell r="K987" t="str">
            <v>CDL</v>
          </cell>
          <cell r="L987" t="str">
            <v>OTR</v>
          </cell>
          <cell r="M987">
            <v>0</v>
          </cell>
          <cell r="N987">
            <v>0</v>
          </cell>
          <cell r="O987">
            <v>28.47</v>
          </cell>
          <cell r="P987">
            <v>41</v>
          </cell>
        </row>
        <row r="988">
          <cell r="D988" t="str">
            <v>CHAR07</v>
          </cell>
          <cell r="E988" t="str">
            <v xml:space="preserve">CH. FINAS HIERBAS </v>
          </cell>
          <cell r="F988">
            <v>39.270000000000003</v>
          </cell>
          <cell r="G988">
            <v>39.270000000000003</v>
          </cell>
          <cell r="H988">
            <v>39.270000000000003</v>
          </cell>
          <cell r="I988">
            <v>39.270000000000003</v>
          </cell>
          <cell r="J988" t="str">
            <v>PRR</v>
          </cell>
          <cell r="K988" t="str">
            <v>CDL</v>
          </cell>
          <cell r="L988" t="str">
            <v>OTR</v>
          </cell>
          <cell r="M988">
            <v>0</v>
          </cell>
          <cell r="N988">
            <v>0</v>
          </cell>
          <cell r="O988">
            <v>27.64</v>
          </cell>
          <cell r="P988">
            <v>42.9</v>
          </cell>
        </row>
        <row r="989">
          <cell r="D989" t="str">
            <v>CHAR02</v>
          </cell>
          <cell r="E989" t="str">
            <v xml:space="preserve">JAMON DEL HORNO </v>
          </cell>
          <cell r="F989">
            <v>20</v>
          </cell>
          <cell r="G989">
            <v>20</v>
          </cell>
          <cell r="H989">
            <v>20</v>
          </cell>
          <cell r="I989">
            <v>20</v>
          </cell>
          <cell r="J989" t="str">
            <v>PRR</v>
          </cell>
          <cell r="K989" t="str">
            <v>CDL</v>
          </cell>
          <cell r="L989" t="str">
            <v>OTR</v>
          </cell>
          <cell r="M989">
            <v>0</v>
          </cell>
          <cell r="N989">
            <v>0</v>
          </cell>
          <cell r="O989">
            <v>12.5</v>
          </cell>
          <cell r="P989">
            <v>20</v>
          </cell>
        </row>
        <row r="990">
          <cell r="D990" t="str">
            <v>CHAR09</v>
          </cell>
          <cell r="E990" t="str">
            <v>CH.ORIENTAL</v>
          </cell>
          <cell r="F990">
            <v>39.270000000000003</v>
          </cell>
          <cell r="G990">
            <v>39.270000000000003</v>
          </cell>
          <cell r="H990">
            <v>39.270000000000003</v>
          </cell>
          <cell r="I990">
            <v>39.270000000000003</v>
          </cell>
          <cell r="J990" t="str">
            <v>PRR</v>
          </cell>
          <cell r="K990" t="str">
            <v>CDL</v>
          </cell>
          <cell r="L990" t="str">
            <v>OTR</v>
          </cell>
          <cell r="M990">
            <v>0</v>
          </cell>
          <cell r="N990">
            <v>0</v>
          </cell>
          <cell r="O990">
            <v>30.17</v>
          </cell>
          <cell r="P990">
            <v>42.9</v>
          </cell>
        </row>
        <row r="991">
          <cell r="D991" t="str">
            <v>CHAR15</v>
          </cell>
          <cell r="E991" t="str">
            <v>CHORIZO MIEL DE MAPLE</v>
          </cell>
          <cell r="F991">
            <v>39.270000000000003</v>
          </cell>
          <cell r="G991">
            <v>39.270000000000003</v>
          </cell>
          <cell r="H991">
            <v>39.270000000000003</v>
          </cell>
          <cell r="I991">
            <v>39.270000000000003</v>
          </cell>
          <cell r="J991" t="str">
            <v>PRR</v>
          </cell>
          <cell r="K991" t="str">
            <v>CDL</v>
          </cell>
          <cell r="L991" t="str">
            <v>OTR</v>
          </cell>
          <cell r="M991">
            <v>0</v>
          </cell>
          <cell r="N991">
            <v>0</v>
          </cell>
          <cell r="O991">
            <v>27.64</v>
          </cell>
          <cell r="P991">
            <v>42.9</v>
          </cell>
        </row>
        <row r="992">
          <cell r="D992" t="str">
            <v>CHAR01</v>
          </cell>
          <cell r="E992" t="str">
            <v xml:space="preserve">MIX CHARCUTERO </v>
          </cell>
          <cell r="F992">
            <v>52.02</v>
          </cell>
          <cell r="G992">
            <v>52.02</v>
          </cell>
          <cell r="H992">
            <v>52.02</v>
          </cell>
          <cell r="I992">
            <v>52.02</v>
          </cell>
          <cell r="J992" t="str">
            <v>PRR</v>
          </cell>
          <cell r="K992" t="str">
            <v>CDL</v>
          </cell>
          <cell r="L992" t="str">
            <v>OTR</v>
          </cell>
          <cell r="M992">
            <v>0</v>
          </cell>
          <cell r="N992">
            <v>0</v>
          </cell>
          <cell r="O992">
            <v>40.64</v>
          </cell>
          <cell r="P992">
            <v>58</v>
          </cell>
        </row>
        <row r="993">
          <cell r="D993" t="str">
            <v>CHAR10</v>
          </cell>
          <cell r="E993" t="str">
            <v>CH.ARTESANAL PARRILLERO</v>
          </cell>
          <cell r="F993">
            <v>39.270000000000003</v>
          </cell>
          <cell r="G993">
            <v>39.270000000000003</v>
          </cell>
          <cell r="H993">
            <v>39.270000000000003</v>
          </cell>
          <cell r="I993">
            <v>39.270000000000003</v>
          </cell>
          <cell r="J993" t="str">
            <v>PRR</v>
          </cell>
          <cell r="K993" t="str">
            <v>CDL</v>
          </cell>
          <cell r="L993" t="str">
            <v>OTR</v>
          </cell>
          <cell r="M993">
            <v>0</v>
          </cell>
          <cell r="N993">
            <v>0</v>
          </cell>
          <cell r="O993">
            <v>27.64</v>
          </cell>
          <cell r="P993">
            <v>42.9</v>
          </cell>
        </row>
        <row r="994">
          <cell r="D994" t="str">
            <v>HAMB07</v>
          </cell>
          <cell r="E994" t="str">
            <v>MINI HAMBURGUESA DE RES 600GR X 12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 t="str">
            <v>PRR</v>
          </cell>
          <cell r="K994" t="str">
            <v>CDL</v>
          </cell>
          <cell r="L994" t="str">
            <v>OTR</v>
          </cell>
          <cell r="M994">
            <v>0</v>
          </cell>
          <cell r="N994">
            <v>0</v>
          </cell>
          <cell r="O994">
            <v>0</v>
          </cell>
          <cell r="P994">
            <v>49.9</v>
          </cell>
        </row>
        <row r="995">
          <cell r="D995" t="str">
            <v>CHAR14</v>
          </cell>
          <cell r="E995" t="str">
            <v>JAMON DE PAIS</v>
          </cell>
          <cell r="F995">
            <v>20</v>
          </cell>
          <cell r="G995">
            <v>20</v>
          </cell>
          <cell r="H995">
            <v>20</v>
          </cell>
          <cell r="I995">
            <v>20</v>
          </cell>
          <cell r="J995" t="str">
            <v>PRR</v>
          </cell>
          <cell r="K995" t="str">
            <v>CDL</v>
          </cell>
          <cell r="L995" t="str">
            <v>OTR</v>
          </cell>
          <cell r="M995">
            <v>0</v>
          </cell>
          <cell r="N995">
            <v>0</v>
          </cell>
          <cell r="O995">
            <v>13.89</v>
          </cell>
          <cell r="P995">
            <v>20</v>
          </cell>
        </row>
        <row r="996">
          <cell r="D996" t="str">
            <v>CHAR17</v>
          </cell>
          <cell r="E996" t="str">
            <v xml:space="preserve">CHIMICHUMRRI X 475 GR 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 t="str">
            <v>PRR</v>
          </cell>
          <cell r="K996" t="str">
            <v>CDL</v>
          </cell>
          <cell r="L996" t="str">
            <v>OTR</v>
          </cell>
          <cell r="M996">
            <v>0</v>
          </cell>
          <cell r="N996">
            <v>0</v>
          </cell>
          <cell r="O996">
            <v>0</v>
          </cell>
          <cell r="P996">
            <v>34.9</v>
          </cell>
        </row>
        <row r="997">
          <cell r="D997" t="str">
            <v>CHAR13</v>
          </cell>
          <cell r="E997" t="str">
            <v xml:space="preserve">TOCINO AHUMADO </v>
          </cell>
          <cell r="F997">
            <v>21.9</v>
          </cell>
          <cell r="G997">
            <v>21.9</v>
          </cell>
          <cell r="H997">
            <v>21.9</v>
          </cell>
          <cell r="I997">
            <v>21.9</v>
          </cell>
          <cell r="J997" t="str">
            <v>PRR</v>
          </cell>
          <cell r="K997" t="str">
            <v>CDL</v>
          </cell>
          <cell r="L997" t="str">
            <v>OTR</v>
          </cell>
          <cell r="M997">
            <v>0</v>
          </cell>
          <cell r="N997">
            <v>0</v>
          </cell>
          <cell r="O997">
            <v>13.89</v>
          </cell>
          <cell r="P997">
            <v>21.9</v>
          </cell>
        </row>
        <row r="998">
          <cell r="D998" t="str">
            <v>CHAR06</v>
          </cell>
          <cell r="E998" t="str">
            <v>MILANESA</v>
          </cell>
          <cell r="F998">
            <v>33</v>
          </cell>
          <cell r="G998">
            <v>33</v>
          </cell>
          <cell r="H998">
            <v>33</v>
          </cell>
          <cell r="I998">
            <v>33</v>
          </cell>
          <cell r="J998" t="str">
            <v>PRR</v>
          </cell>
          <cell r="K998" t="str">
            <v>CDL</v>
          </cell>
          <cell r="L998" t="str">
            <v>OTR</v>
          </cell>
          <cell r="M998">
            <v>0</v>
          </cell>
          <cell r="N998">
            <v>0</v>
          </cell>
          <cell r="O998">
            <v>9.99</v>
          </cell>
          <cell r="P998">
            <v>33</v>
          </cell>
        </row>
        <row r="999">
          <cell r="D999" t="str">
            <v>CHAR11</v>
          </cell>
          <cell r="E999" t="str">
            <v>HAMBURGUESA DE POLLO</v>
          </cell>
          <cell r="F999">
            <v>27</v>
          </cell>
          <cell r="G999">
            <v>27</v>
          </cell>
          <cell r="H999">
            <v>27</v>
          </cell>
          <cell r="I999">
            <v>27</v>
          </cell>
          <cell r="J999" t="str">
            <v>PRR</v>
          </cell>
          <cell r="K999" t="str">
            <v>CDL</v>
          </cell>
          <cell r="L999" t="str">
            <v>OTR</v>
          </cell>
          <cell r="M999">
            <v>0</v>
          </cell>
          <cell r="N999">
            <v>0</v>
          </cell>
          <cell r="O999">
            <v>18.75</v>
          </cell>
          <cell r="P999">
            <v>27</v>
          </cell>
        </row>
        <row r="1000">
          <cell r="D1000" t="str">
            <v>404260</v>
          </cell>
          <cell r="E1000" t="str">
            <v>HAMBURG DE RES PQ 4UN 85GR OK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 t="str">
            <v>SIG</v>
          </cell>
          <cell r="K1000" t="str">
            <v>OTK</v>
          </cell>
          <cell r="L1000" t="str">
            <v>SCH</v>
          </cell>
          <cell r="M1000">
            <v>0</v>
          </cell>
          <cell r="N1000">
            <v>0</v>
          </cell>
          <cell r="O1000">
            <v>0</v>
          </cell>
          <cell r="P1000">
            <v>10.41</v>
          </cell>
        </row>
        <row r="1001">
          <cell r="D1001" t="str">
            <v>404222</v>
          </cell>
          <cell r="E1001" t="str">
            <v>VIENESA 12CM PQ 5UN 175GR OK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 t="str">
            <v>SIG</v>
          </cell>
          <cell r="K1001" t="str">
            <v>OTK</v>
          </cell>
          <cell r="L1001" t="str">
            <v>SCH</v>
          </cell>
          <cell r="M1001">
            <v>0</v>
          </cell>
          <cell r="N1001">
            <v>0</v>
          </cell>
          <cell r="O1001">
            <v>0</v>
          </cell>
          <cell r="P1001">
            <v>4.28</v>
          </cell>
        </row>
        <row r="1002">
          <cell r="D1002" t="str">
            <v>404860</v>
          </cell>
          <cell r="E1002" t="str">
            <v>MORTADELA PZ 2KG SEGO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 t="str">
            <v>SIG</v>
          </cell>
          <cell r="K1002" t="str">
            <v>SEG</v>
          </cell>
          <cell r="L1002" t="str">
            <v>MTL</v>
          </cell>
          <cell r="M1002">
            <v>0</v>
          </cell>
          <cell r="N1002">
            <v>0</v>
          </cell>
          <cell r="O1002">
            <v>0</v>
          </cell>
          <cell r="P1002">
            <v>32.22</v>
          </cell>
        </row>
        <row r="1003">
          <cell r="D1003" t="str">
            <v>404858</v>
          </cell>
          <cell r="E1003" t="str">
            <v>MORTADELA LONCHERA 100GR SEGO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 t="str">
            <v>SIG</v>
          </cell>
          <cell r="K1003" t="str">
            <v>SEG</v>
          </cell>
          <cell r="L1003" t="str">
            <v>MTL</v>
          </cell>
          <cell r="M1003">
            <v>0</v>
          </cell>
          <cell r="N1003">
            <v>0</v>
          </cell>
          <cell r="O1003">
            <v>0</v>
          </cell>
          <cell r="P1003">
            <v>2.08</v>
          </cell>
        </row>
        <row r="1004">
          <cell r="D1004" t="str">
            <v>1515</v>
          </cell>
          <cell r="E1004" t="str">
            <v>PISCO SOL/T ACHOLADO 750ML X 12</v>
          </cell>
          <cell r="F1004">
            <v>16.350000000000001</v>
          </cell>
          <cell r="G1004">
            <v>16.350000000000001</v>
          </cell>
          <cell r="H1004">
            <v>19.59</v>
          </cell>
          <cell r="I1004">
            <v>19.59</v>
          </cell>
          <cell r="J1004" t="str">
            <v>EXC</v>
          </cell>
          <cell r="K1004" t="str">
            <v>LIC</v>
          </cell>
          <cell r="L1004" t="str">
            <v>PIS</v>
          </cell>
          <cell r="M1004">
            <v>0</v>
          </cell>
          <cell r="N1004">
            <v>0</v>
          </cell>
          <cell r="O1004">
            <v>0</v>
          </cell>
          <cell r="P1004">
            <v>17.690000000000001</v>
          </cell>
        </row>
        <row r="1005">
          <cell r="D1005" t="str">
            <v>1530</v>
          </cell>
          <cell r="E1005" t="str">
            <v>PACK CHILCANERO ACHOLADO 750ML X 6</v>
          </cell>
          <cell r="F1005">
            <v>20.91</v>
          </cell>
          <cell r="G1005">
            <v>20.91</v>
          </cell>
          <cell r="H1005">
            <v>21.53</v>
          </cell>
          <cell r="I1005">
            <v>21.53</v>
          </cell>
          <cell r="J1005" t="str">
            <v>EXC</v>
          </cell>
          <cell r="K1005" t="str">
            <v>LIC</v>
          </cell>
          <cell r="L1005" t="str">
            <v>PIS</v>
          </cell>
          <cell r="M1005">
            <v>0</v>
          </cell>
          <cell r="N1005">
            <v>0</v>
          </cell>
          <cell r="O1005">
            <v>0</v>
          </cell>
          <cell r="P1005">
            <v>22.61</v>
          </cell>
        </row>
        <row r="1006">
          <cell r="D1006" t="str">
            <v>669</v>
          </cell>
          <cell r="E1006" t="str">
            <v>PISCO SOL/T QUEBRANTA 4L X 4</v>
          </cell>
          <cell r="F1006">
            <v>67.13</v>
          </cell>
          <cell r="G1006">
            <v>67.13</v>
          </cell>
          <cell r="H1006">
            <v>69.14</v>
          </cell>
          <cell r="I1006">
            <v>69.14</v>
          </cell>
          <cell r="J1006" t="str">
            <v>EXC</v>
          </cell>
          <cell r="K1006" t="str">
            <v>LIC</v>
          </cell>
          <cell r="L1006" t="str">
            <v>PIS</v>
          </cell>
          <cell r="M1006">
            <v>0</v>
          </cell>
          <cell r="N1006">
            <v>0</v>
          </cell>
          <cell r="O1006">
            <v>61.25</v>
          </cell>
          <cell r="P1006">
            <v>72.599999999999994</v>
          </cell>
        </row>
        <row r="1007">
          <cell r="D1007" t="str">
            <v>6701</v>
          </cell>
          <cell r="E1007" t="str">
            <v>PISCO SOL/T  QUEBRANTA 750MLX12</v>
          </cell>
          <cell r="F1007">
            <v>16.350000000000001</v>
          </cell>
          <cell r="G1007">
            <v>16.350000000000001</v>
          </cell>
          <cell r="H1007">
            <v>16.850000000000001</v>
          </cell>
          <cell r="I1007">
            <v>16.850000000000001</v>
          </cell>
          <cell r="J1007" t="str">
            <v>EXC</v>
          </cell>
          <cell r="K1007" t="str">
            <v>LIC</v>
          </cell>
          <cell r="L1007" t="str">
            <v>PIS</v>
          </cell>
          <cell r="M1007">
            <v>0</v>
          </cell>
          <cell r="N1007">
            <v>0</v>
          </cell>
          <cell r="O1007">
            <v>0</v>
          </cell>
          <cell r="P1007">
            <v>17.690000000000001</v>
          </cell>
        </row>
        <row r="1008">
          <cell r="D1008" t="str">
            <v>404276</v>
          </cell>
          <cell r="E1008" t="str">
            <v>CHICHARRON DE PRENSA PZ 2.2 A 2.6KG OK</v>
          </cell>
          <cell r="F1008">
            <v>0</v>
          </cell>
          <cell r="G1008">
            <v>0</v>
          </cell>
          <cell r="H1008">
            <v>0</v>
          </cell>
          <cell r="I1008">
            <v>0</v>
          </cell>
          <cell r="J1008" t="str">
            <v>SIG</v>
          </cell>
          <cell r="K1008" t="str">
            <v>OTK</v>
          </cell>
          <cell r="L1008" t="str">
            <v>CHI</v>
          </cell>
          <cell r="M1008">
            <v>0</v>
          </cell>
          <cell r="N1008">
            <v>0</v>
          </cell>
          <cell r="O1008">
            <v>0</v>
          </cell>
          <cell r="P1008">
            <v>93.95</v>
          </cell>
        </row>
        <row r="1009">
          <cell r="D1009" t="str">
            <v>404426</v>
          </cell>
          <cell r="E1009" t="str">
            <v>CHORIZO CAMPESTRE PQ 4UN 400GR OK</v>
          </cell>
          <cell r="F1009">
            <v>0</v>
          </cell>
          <cell r="G1009">
            <v>0</v>
          </cell>
          <cell r="H1009">
            <v>0</v>
          </cell>
          <cell r="I1009">
            <v>0</v>
          </cell>
          <cell r="J1009" t="str">
            <v>SIG</v>
          </cell>
          <cell r="K1009" t="str">
            <v>OTK</v>
          </cell>
          <cell r="L1009" t="str">
            <v>CHI</v>
          </cell>
          <cell r="M1009">
            <v>0</v>
          </cell>
          <cell r="N1009">
            <v>0</v>
          </cell>
          <cell r="O1009">
            <v>13.99</v>
          </cell>
          <cell r="P1009">
            <v>16.989999999999998</v>
          </cell>
        </row>
        <row r="1010">
          <cell r="D1010" t="str">
            <v>404277</v>
          </cell>
          <cell r="E1010" t="str">
            <v>CHICHARRON DE PRENSA PQ 100GR 7LJ OK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 t="str">
            <v>SIG</v>
          </cell>
          <cell r="K1010" t="str">
            <v>OTK</v>
          </cell>
          <cell r="L1010" t="str">
            <v>CHI</v>
          </cell>
          <cell r="M1010">
            <v>0</v>
          </cell>
          <cell r="N1010">
            <v>0</v>
          </cell>
          <cell r="O1010">
            <v>0</v>
          </cell>
          <cell r="P1010">
            <v>3.52</v>
          </cell>
        </row>
        <row r="1011">
          <cell r="D1011" t="str">
            <v>47111</v>
          </cell>
          <cell r="E1011" t="str">
            <v>BOMBOM ROCHER FERRERO 3X16UN X6</v>
          </cell>
          <cell r="F1011">
            <v>5.5620000000000003</v>
          </cell>
          <cell r="G1011">
            <v>5.5620000000000003</v>
          </cell>
          <cell r="H1011">
            <v>5.79</v>
          </cell>
          <cell r="I1011">
            <v>5.79</v>
          </cell>
          <cell r="J1011" t="str">
            <v>YIC</v>
          </cell>
          <cell r="K1011" t="str">
            <v>OTR</v>
          </cell>
          <cell r="L1011" t="str">
            <v>OTR</v>
          </cell>
          <cell r="M1011">
            <v>0</v>
          </cell>
          <cell r="N1011">
            <v>0</v>
          </cell>
          <cell r="O1011">
            <v>4.9400000000000004</v>
          </cell>
          <cell r="P1011">
            <v>6.22</v>
          </cell>
        </row>
        <row r="1012">
          <cell r="D1012" t="str">
            <v>58526U</v>
          </cell>
          <cell r="E1012" t="str">
            <v>1UN.TIC TAC PASTILLAS MENTA 192GR X 1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 t="str">
            <v>YIC</v>
          </cell>
          <cell r="K1012" t="str">
            <v>OTR</v>
          </cell>
          <cell r="L1012" t="str">
            <v>OTR</v>
          </cell>
          <cell r="M1012">
            <v>0</v>
          </cell>
          <cell r="N1012">
            <v>0</v>
          </cell>
          <cell r="O1012">
            <v>0</v>
          </cell>
          <cell r="P1012">
            <v>1.78</v>
          </cell>
        </row>
        <row r="1013">
          <cell r="D1013" t="str">
            <v>47112</v>
          </cell>
          <cell r="E1013" t="str">
            <v>BOMBOM ROCHER FERRERO CJ.DORADA X10 X8</v>
          </cell>
          <cell r="F1013">
            <v>21.42</v>
          </cell>
          <cell r="G1013">
            <v>21.42</v>
          </cell>
          <cell r="H1013">
            <v>23.64</v>
          </cell>
          <cell r="I1013">
            <v>23.64</v>
          </cell>
          <cell r="J1013" t="str">
            <v>YIC</v>
          </cell>
          <cell r="K1013" t="str">
            <v>OTR</v>
          </cell>
          <cell r="L1013" t="str">
            <v>OTR</v>
          </cell>
          <cell r="M1013">
            <v>0</v>
          </cell>
          <cell r="N1013">
            <v>0</v>
          </cell>
          <cell r="O1013">
            <v>16.96</v>
          </cell>
          <cell r="P1013">
            <v>21.54</v>
          </cell>
        </row>
        <row r="1014">
          <cell r="D1014" t="str">
            <v>58525U</v>
          </cell>
          <cell r="E1014" t="str">
            <v>1UN.TIC TAC PASTILLAS NARANJA 192GR X1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  <cell r="J1014" t="str">
            <v>YIC</v>
          </cell>
          <cell r="K1014" t="str">
            <v>OTR</v>
          </cell>
          <cell r="L1014" t="str">
            <v>OTR</v>
          </cell>
          <cell r="M1014">
            <v>0</v>
          </cell>
          <cell r="N1014">
            <v>0</v>
          </cell>
          <cell r="O1014">
            <v>0</v>
          </cell>
          <cell r="P1014">
            <v>1.78</v>
          </cell>
        </row>
        <row r="1015">
          <cell r="D1015" t="str">
            <v>58526</v>
          </cell>
          <cell r="E1015" t="str">
            <v>TIC TAC PASTILLAS MENTA 12 X 24</v>
          </cell>
          <cell r="F1015">
            <v>21.07</v>
          </cell>
          <cell r="G1015">
            <v>21.07</v>
          </cell>
          <cell r="H1015">
            <v>21.38</v>
          </cell>
          <cell r="I1015">
            <v>21.38</v>
          </cell>
          <cell r="J1015" t="str">
            <v>YIC</v>
          </cell>
          <cell r="K1015" t="str">
            <v>OTR</v>
          </cell>
          <cell r="L1015" t="str">
            <v>OTR</v>
          </cell>
          <cell r="M1015">
            <v>0</v>
          </cell>
          <cell r="N1015">
            <v>0</v>
          </cell>
          <cell r="O1015">
            <v>17.59</v>
          </cell>
          <cell r="P1015">
            <v>1.78</v>
          </cell>
        </row>
        <row r="1016">
          <cell r="D1016" t="str">
            <v>49845</v>
          </cell>
          <cell r="E1016" t="str">
            <v>KISSES CJ ROJA COOKIESNCREME 204GR X 14 DS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 t="str">
            <v>YIC</v>
          </cell>
          <cell r="K1016" t="str">
            <v>OTR</v>
          </cell>
          <cell r="L1016" t="str">
            <v>OTR</v>
          </cell>
          <cell r="M1016">
            <v>0</v>
          </cell>
          <cell r="N1016">
            <v>0</v>
          </cell>
          <cell r="O1016">
            <v>15.2</v>
          </cell>
          <cell r="P1016">
            <v>17.739999999999998</v>
          </cell>
        </row>
        <row r="1017">
          <cell r="D1017" t="str">
            <v>48639</v>
          </cell>
          <cell r="E1017" t="str">
            <v>FERRERO ROCHER 12UN X9 DIS</v>
          </cell>
          <cell r="F1017">
            <v>32.590000000000003</v>
          </cell>
          <cell r="G1017">
            <v>32.590000000000003</v>
          </cell>
          <cell r="H1017">
            <v>34.47</v>
          </cell>
          <cell r="I1017">
            <v>34.47</v>
          </cell>
          <cell r="J1017" t="str">
            <v>YIC</v>
          </cell>
          <cell r="K1017" t="str">
            <v>OTR</v>
          </cell>
          <cell r="L1017" t="str">
            <v>OTR</v>
          </cell>
          <cell r="M1017">
            <v>0</v>
          </cell>
          <cell r="N1017">
            <v>0</v>
          </cell>
          <cell r="O1017">
            <v>26.9</v>
          </cell>
          <cell r="P1017">
            <v>33.630000000000003</v>
          </cell>
        </row>
        <row r="1018">
          <cell r="D1018" t="str">
            <v>58068</v>
          </cell>
          <cell r="E1018" t="str">
            <v>BOMBOM ROCHER FERRERO T4 X 10</v>
          </cell>
          <cell r="F1018">
            <v>10.75</v>
          </cell>
          <cell r="G1018">
            <v>10.75</v>
          </cell>
          <cell r="H1018">
            <v>11.37</v>
          </cell>
          <cell r="I1018">
            <v>11.37</v>
          </cell>
          <cell r="J1018" t="str">
            <v>YIC</v>
          </cell>
          <cell r="K1018" t="str">
            <v>OTR</v>
          </cell>
          <cell r="L1018" t="str">
            <v>OTR</v>
          </cell>
          <cell r="M1018">
            <v>0</v>
          </cell>
          <cell r="N1018">
            <v>0</v>
          </cell>
          <cell r="O1018">
            <v>8.19</v>
          </cell>
          <cell r="P1018">
            <v>11.15</v>
          </cell>
        </row>
        <row r="1019">
          <cell r="D1019" t="str">
            <v>58527</v>
          </cell>
          <cell r="E1019" t="str">
            <v>TIC TAC PASTILLAS SANDIA/ MENTA 12 X24</v>
          </cell>
          <cell r="F1019">
            <v>21.07</v>
          </cell>
          <cell r="G1019">
            <v>21.07</v>
          </cell>
          <cell r="H1019">
            <v>21.38</v>
          </cell>
          <cell r="I1019">
            <v>21.38</v>
          </cell>
          <cell r="J1019" t="str">
            <v>YIC</v>
          </cell>
          <cell r="K1019" t="str">
            <v>OTR</v>
          </cell>
          <cell r="L1019" t="str">
            <v>OTR</v>
          </cell>
          <cell r="M1019">
            <v>0</v>
          </cell>
          <cell r="N1019">
            <v>0</v>
          </cell>
          <cell r="O1019">
            <v>18.32</v>
          </cell>
          <cell r="P1019">
            <v>2.08</v>
          </cell>
        </row>
        <row r="1020">
          <cell r="D1020" t="str">
            <v>58527U</v>
          </cell>
          <cell r="E1020" t="str">
            <v>1UN.TIC TAC PASTILLAS SANDIA/ MENTA 192GR X1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  <cell r="J1020" t="str">
            <v>YIC</v>
          </cell>
          <cell r="K1020" t="str">
            <v>OTR</v>
          </cell>
          <cell r="L1020" t="str">
            <v>OTR</v>
          </cell>
          <cell r="M1020">
            <v>0</v>
          </cell>
          <cell r="N1020">
            <v>0</v>
          </cell>
          <cell r="O1020">
            <v>0</v>
          </cell>
          <cell r="P1020">
            <v>2.08</v>
          </cell>
        </row>
        <row r="1021">
          <cell r="D1021" t="str">
            <v>49846</v>
          </cell>
          <cell r="E1021" t="str">
            <v>KISSES CJ DORADA CHO C / LEC 204GR X 14 DS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 t="str">
            <v>YIC</v>
          </cell>
          <cell r="K1021" t="str">
            <v>OTR</v>
          </cell>
          <cell r="L1021" t="str">
            <v>OTR</v>
          </cell>
          <cell r="M1021">
            <v>0</v>
          </cell>
          <cell r="N1021">
            <v>0</v>
          </cell>
          <cell r="O1021">
            <v>15.2</v>
          </cell>
          <cell r="P1021">
            <v>17.739999999999998</v>
          </cell>
        </row>
        <row r="1022">
          <cell r="D1022" t="str">
            <v>MIL021</v>
          </cell>
          <cell r="E1022" t="str">
            <v>PAPA HOJ SAB.JALAPEÑO 30GR 6UN X 15TIR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 t="str">
            <v>MIL</v>
          </cell>
          <cell r="K1022" t="str">
            <v>SNK</v>
          </cell>
          <cell r="L1022" t="str">
            <v>PAP</v>
          </cell>
          <cell r="M1022">
            <v>0</v>
          </cell>
          <cell r="N1022">
            <v>0</v>
          </cell>
          <cell r="O1022">
            <v>0</v>
          </cell>
          <cell r="P1022">
            <v>1.25</v>
          </cell>
        </row>
        <row r="1023">
          <cell r="D1023" t="str">
            <v>MIL022</v>
          </cell>
          <cell r="E1023" t="str">
            <v>PAPA HOJ SAB CARNE AGRILLADA 30GR 6UN X 15TIR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 t="str">
            <v>MIL</v>
          </cell>
          <cell r="K1023" t="str">
            <v>SNK</v>
          </cell>
          <cell r="L1023" t="str">
            <v>PAP</v>
          </cell>
          <cell r="M1023">
            <v>0</v>
          </cell>
          <cell r="N1023">
            <v>0</v>
          </cell>
          <cell r="O1023">
            <v>0</v>
          </cell>
          <cell r="P1023">
            <v>1.25</v>
          </cell>
        </row>
        <row r="1024">
          <cell r="D1024" t="str">
            <v>MIL018U</v>
          </cell>
          <cell r="E1024" t="str">
            <v>PAPA HOJ SAB.JALAPEÑO 30GR - UNIDAD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 t="str">
            <v>MIL</v>
          </cell>
          <cell r="K1024" t="str">
            <v>SNK</v>
          </cell>
          <cell r="L1024" t="str">
            <v>PAP</v>
          </cell>
          <cell r="M1024">
            <v>0</v>
          </cell>
          <cell r="N1024">
            <v>0</v>
          </cell>
          <cell r="O1024">
            <v>0</v>
          </cell>
          <cell r="P1024">
            <v>1.25</v>
          </cell>
        </row>
        <row r="1025">
          <cell r="D1025" t="str">
            <v>MIL017U</v>
          </cell>
          <cell r="E1025" t="str">
            <v>PAPA HOJ SAB. BBQ 30GR -UNIDAD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 t="str">
            <v>MIL</v>
          </cell>
          <cell r="K1025" t="str">
            <v>SNK</v>
          </cell>
          <cell r="L1025" t="str">
            <v>PAP</v>
          </cell>
          <cell r="M1025">
            <v>0</v>
          </cell>
          <cell r="N1025">
            <v>0</v>
          </cell>
          <cell r="O1025">
            <v>0</v>
          </cell>
          <cell r="P1025">
            <v>1.25</v>
          </cell>
        </row>
        <row r="1026">
          <cell r="D1026" t="str">
            <v>MIL019</v>
          </cell>
          <cell r="E1026" t="str">
            <v>PAPA HOJ SAB CARNE AGRILLADA 30GR 12UN X 10TIR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 t="str">
            <v>MIL</v>
          </cell>
          <cell r="K1026" t="str">
            <v>SNK</v>
          </cell>
          <cell r="L1026" t="str">
            <v>PAP</v>
          </cell>
          <cell r="M1026">
            <v>0</v>
          </cell>
          <cell r="N1026">
            <v>0</v>
          </cell>
          <cell r="O1026">
            <v>0</v>
          </cell>
          <cell r="P1026">
            <v>1.2</v>
          </cell>
        </row>
        <row r="1027">
          <cell r="D1027" t="str">
            <v>SUP0743</v>
          </cell>
          <cell r="E1027" t="str">
            <v>BIFE ANGOSTO SUP 700GR-800GR</v>
          </cell>
          <cell r="F1027">
            <v>130.5</v>
          </cell>
          <cell r="G1027">
            <v>130.5</v>
          </cell>
          <cell r="H1027">
            <v>130.5</v>
          </cell>
          <cell r="I1027">
            <v>130.5</v>
          </cell>
          <cell r="J1027" t="str">
            <v>SUP</v>
          </cell>
          <cell r="K1027" t="str">
            <v>OTR</v>
          </cell>
          <cell r="L1027" t="str">
            <v>OTR</v>
          </cell>
          <cell r="M1027">
            <v>0</v>
          </cell>
          <cell r="N1027">
            <v>0</v>
          </cell>
          <cell r="O1027">
            <v>104.77</v>
          </cell>
          <cell r="P1027">
            <v>175</v>
          </cell>
        </row>
        <row r="1028">
          <cell r="D1028" t="str">
            <v>10033150</v>
          </cell>
          <cell r="E1028" t="str">
            <v>GIN GREENALLS BLOOD ORANGE GIN 700ML X 6</v>
          </cell>
          <cell r="F1028">
            <v>63.57</v>
          </cell>
          <cell r="G1028">
            <v>63.57</v>
          </cell>
          <cell r="H1028">
            <v>63.57</v>
          </cell>
          <cell r="I1028">
            <v>63.57</v>
          </cell>
          <cell r="J1028" t="str">
            <v>RPD</v>
          </cell>
          <cell r="K1028" t="str">
            <v>OTR</v>
          </cell>
          <cell r="L1028" t="str">
            <v>WHI</v>
          </cell>
          <cell r="M1028">
            <v>0</v>
          </cell>
          <cell r="N1028">
            <v>0</v>
          </cell>
          <cell r="O1028">
            <v>54.86</v>
          </cell>
          <cell r="P1028">
            <v>69.930000000000007</v>
          </cell>
        </row>
        <row r="1029">
          <cell r="D1029" t="str">
            <v>10060003</v>
          </cell>
          <cell r="E1029" t="str">
            <v>CREMA DE WHISKY MOLLYS 700ML X 6</v>
          </cell>
          <cell r="F1029">
            <v>39.450000000000003</v>
          </cell>
          <cell r="G1029">
            <v>39.450000000000003</v>
          </cell>
          <cell r="H1029">
            <v>39.450000000000003</v>
          </cell>
          <cell r="I1029">
            <v>39.450000000000003</v>
          </cell>
          <cell r="J1029" t="str">
            <v>RPD</v>
          </cell>
          <cell r="K1029" t="str">
            <v>OTR</v>
          </cell>
          <cell r="L1029" t="str">
            <v>WHI</v>
          </cell>
          <cell r="M1029">
            <v>0</v>
          </cell>
          <cell r="N1029">
            <v>0</v>
          </cell>
          <cell r="O1029">
            <v>0</v>
          </cell>
          <cell r="P1029">
            <v>39.450000000000003</v>
          </cell>
        </row>
        <row r="1030">
          <cell r="D1030" t="str">
            <v>10039840</v>
          </cell>
          <cell r="E1030" t="str">
            <v>PACK GREENALLS LONDON DRY GIN + WILD BERRY GIN</v>
          </cell>
          <cell r="F1030">
            <v>143.16999999999999</v>
          </cell>
          <cell r="G1030">
            <v>143.16999999999999</v>
          </cell>
          <cell r="H1030">
            <v>143.16999999999999</v>
          </cell>
          <cell r="I1030">
            <v>143.16999999999999</v>
          </cell>
          <cell r="J1030" t="str">
            <v>RPD</v>
          </cell>
          <cell r="K1030" t="str">
            <v>OTR</v>
          </cell>
          <cell r="L1030" t="str">
            <v>WHI</v>
          </cell>
          <cell r="M1030">
            <v>0</v>
          </cell>
          <cell r="N1030">
            <v>0</v>
          </cell>
          <cell r="O1030">
            <v>132.13</v>
          </cell>
          <cell r="P1030">
            <v>143.16999999999999</v>
          </cell>
        </row>
        <row r="1031">
          <cell r="D1031" t="str">
            <v>10033510</v>
          </cell>
          <cell r="E1031" t="str">
            <v>GREENALLS RTD GIN &amp; SICILIAN LEMON 250ML X 12</v>
          </cell>
          <cell r="F1031">
            <v>5.51</v>
          </cell>
          <cell r="G1031">
            <v>5.51</v>
          </cell>
          <cell r="H1031">
            <v>5.51</v>
          </cell>
          <cell r="I1031">
            <v>5.51</v>
          </cell>
          <cell r="J1031" t="str">
            <v>RPD</v>
          </cell>
          <cell r="K1031" t="str">
            <v>OTR</v>
          </cell>
          <cell r="L1031" t="str">
            <v>WHI</v>
          </cell>
          <cell r="M1031">
            <v>0</v>
          </cell>
          <cell r="N1031">
            <v>0</v>
          </cell>
          <cell r="O1031">
            <v>0</v>
          </cell>
          <cell r="P1031">
            <v>5.78</v>
          </cell>
        </row>
        <row r="1032">
          <cell r="D1032" t="str">
            <v>L7001</v>
          </cell>
          <cell r="E1032" t="str">
            <v>CAFE QUALITA ORO X 10CAPS -LAVAZZA</v>
          </cell>
          <cell r="F1032">
            <v>32.520000000000003</v>
          </cell>
          <cell r="G1032">
            <v>32.520000000000003</v>
          </cell>
          <cell r="H1032">
            <v>32.520000000000003</v>
          </cell>
          <cell r="I1032">
            <v>32.520000000000003</v>
          </cell>
          <cell r="J1032" t="str">
            <v>PAN</v>
          </cell>
          <cell r="K1032" t="str">
            <v>PAN</v>
          </cell>
          <cell r="L1032" t="str">
            <v>CAF</v>
          </cell>
          <cell r="M1032">
            <v>0</v>
          </cell>
          <cell r="N1032">
            <v>0</v>
          </cell>
          <cell r="O1032">
            <v>26.9</v>
          </cell>
          <cell r="P1032">
            <v>32.520000000000003</v>
          </cell>
        </row>
        <row r="1033">
          <cell r="D1033" t="str">
            <v>LB300</v>
          </cell>
          <cell r="E1033" t="str">
            <v xml:space="preserve">CAFETERA CLASSY MINI LB 300 LAVAZZA </v>
          </cell>
          <cell r="F1033">
            <v>659.45</v>
          </cell>
          <cell r="G1033">
            <v>659.45</v>
          </cell>
          <cell r="H1033">
            <v>659.45</v>
          </cell>
          <cell r="I1033">
            <v>659.45</v>
          </cell>
          <cell r="J1033" t="str">
            <v>PAN</v>
          </cell>
          <cell r="K1033" t="str">
            <v>PAN</v>
          </cell>
          <cell r="L1033" t="str">
            <v>CAF</v>
          </cell>
          <cell r="M1033">
            <v>0</v>
          </cell>
          <cell r="N1033">
            <v>0</v>
          </cell>
          <cell r="O1033">
            <v>599</v>
          </cell>
          <cell r="P1033">
            <v>659.45</v>
          </cell>
        </row>
        <row r="1034">
          <cell r="D1034" t="str">
            <v>L8112</v>
          </cell>
          <cell r="E1034" t="str">
            <v>CAFE ESPRESSO LUNGO X 10 CAPS -LAVAZZA</v>
          </cell>
          <cell r="F1034">
            <v>32.520000000000003</v>
          </cell>
          <cell r="G1034">
            <v>32.520000000000003</v>
          </cell>
          <cell r="H1034">
            <v>32.520000000000003</v>
          </cell>
          <cell r="I1034">
            <v>32.520000000000003</v>
          </cell>
          <cell r="J1034" t="str">
            <v>PAN</v>
          </cell>
          <cell r="K1034" t="str">
            <v>PAN</v>
          </cell>
          <cell r="L1034" t="str">
            <v>CAF</v>
          </cell>
          <cell r="M1034">
            <v>0</v>
          </cell>
          <cell r="N1034">
            <v>0</v>
          </cell>
          <cell r="O1034">
            <v>26.9</v>
          </cell>
          <cell r="P1034">
            <v>32.520000000000003</v>
          </cell>
        </row>
        <row r="1035">
          <cell r="D1035" t="str">
            <v>L1336</v>
          </cell>
          <cell r="E1035" t="str">
            <v>CAFE ORO MOUNT GROWN 250GR LAVAZZA</v>
          </cell>
          <cell r="F1035">
            <v>48.12</v>
          </cell>
          <cell r="G1035">
            <v>48.12</v>
          </cell>
          <cell r="H1035">
            <v>48.12</v>
          </cell>
          <cell r="I1035">
            <v>48.12</v>
          </cell>
          <cell r="J1035" t="str">
            <v>PAN</v>
          </cell>
          <cell r="K1035" t="str">
            <v>PAN</v>
          </cell>
          <cell r="L1035" t="str">
            <v>CAF</v>
          </cell>
          <cell r="M1035">
            <v>0</v>
          </cell>
          <cell r="N1035">
            <v>0</v>
          </cell>
          <cell r="O1035">
            <v>39.9</v>
          </cell>
          <cell r="P1035">
            <v>48.12</v>
          </cell>
        </row>
        <row r="1036">
          <cell r="D1036" t="str">
            <v>L171</v>
          </cell>
          <cell r="E1036" t="str">
            <v xml:space="preserve">CAFETERA MOKA ITAL CARMENCITA POP LAVAZZA </v>
          </cell>
          <cell r="F1036">
            <v>252.18</v>
          </cell>
          <cell r="G1036">
            <v>252.18</v>
          </cell>
          <cell r="H1036">
            <v>252.18</v>
          </cell>
          <cell r="I1036">
            <v>252.18</v>
          </cell>
          <cell r="J1036" t="str">
            <v>PAN</v>
          </cell>
          <cell r="K1036" t="str">
            <v>PAN</v>
          </cell>
          <cell r="L1036" t="str">
            <v>CAF</v>
          </cell>
          <cell r="M1036">
            <v>0</v>
          </cell>
          <cell r="N1036">
            <v>0</v>
          </cell>
          <cell r="O1036">
            <v>229</v>
          </cell>
          <cell r="P1036">
            <v>252.18</v>
          </cell>
        </row>
        <row r="1037">
          <cell r="D1037" t="str">
            <v>L3178</v>
          </cell>
          <cell r="E1037" t="str">
            <v>CAFE ESPRESSO BARISTA INTENSO 250GR MOLIDO</v>
          </cell>
          <cell r="F1037">
            <v>36.119999999999997</v>
          </cell>
          <cell r="G1037">
            <v>36.119999999999997</v>
          </cell>
          <cell r="H1037">
            <v>36.119999999999997</v>
          </cell>
          <cell r="I1037">
            <v>36.119999999999997</v>
          </cell>
          <cell r="J1037" t="str">
            <v>PAN</v>
          </cell>
          <cell r="K1037" t="str">
            <v>PAN</v>
          </cell>
          <cell r="L1037" t="str">
            <v>CAF</v>
          </cell>
          <cell r="M1037">
            <v>0</v>
          </cell>
          <cell r="N1037">
            <v>0</v>
          </cell>
          <cell r="O1037">
            <v>29.9</v>
          </cell>
          <cell r="P1037">
            <v>36.119999999999997</v>
          </cell>
        </row>
        <row r="1038">
          <cell r="D1038" t="str">
            <v>L1903</v>
          </cell>
          <cell r="E1038" t="str">
            <v>CAFE QUALITA ORO PERFECT SYMP 250GR MOLIDO</v>
          </cell>
          <cell r="F1038">
            <v>48.12</v>
          </cell>
          <cell r="G1038">
            <v>48.12</v>
          </cell>
          <cell r="H1038">
            <v>48.12</v>
          </cell>
          <cell r="I1038">
            <v>48.12</v>
          </cell>
          <cell r="J1038" t="str">
            <v>PAN</v>
          </cell>
          <cell r="K1038" t="str">
            <v>PAN</v>
          </cell>
          <cell r="L1038" t="str">
            <v>CAF</v>
          </cell>
          <cell r="M1038">
            <v>0</v>
          </cell>
          <cell r="N1038">
            <v>0</v>
          </cell>
          <cell r="O1038">
            <v>39.9</v>
          </cell>
          <cell r="P1038">
            <v>48.12</v>
          </cell>
        </row>
        <row r="1039">
          <cell r="D1039" t="str">
            <v>L7006</v>
          </cell>
          <cell r="E1039" t="str">
            <v>CAFE ESPRESSO MAESTRO RISTRETO X 10CAPS -LAVAZZA</v>
          </cell>
          <cell r="F1039">
            <v>32.520000000000003</v>
          </cell>
          <cell r="G1039">
            <v>32.520000000000003</v>
          </cell>
          <cell r="H1039">
            <v>32.520000000000003</v>
          </cell>
          <cell r="I1039">
            <v>32.520000000000003</v>
          </cell>
          <cell r="J1039" t="str">
            <v>PAN</v>
          </cell>
          <cell r="K1039" t="str">
            <v>PAN</v>
          </cell>
          <cell r="L1039" t="str">
            <v>CAF</v>
          </cell>
          <cell r="M1039">
            <v>0</v>
          </cell>
          <cell r="N1039">
            <v>0</v>
          </cell>
          <cell r="O1039">
            <v>26.9</v>
          </cell>
          <cell r="P1039">
            <v>32.520000000000003</v>
          </cell>
        </row>
        <row r="1040">
          <cell r="D1040" t="str">
            <v>L8102</v>
          </cell>
          <cell r="E1040" t="str">
            <v xml:space="preserve">CAFE ESPRESSO MAESTRO CLASS X 10CAPS - LAVAZZA </v>
          </cell>
          <cell r="F1040">
            <v>32.520000000000003</v>
          </cell>
          <cell r="G1040">
            <v>32.520000000000003</v>
          </cell>
          <cell r="H1040">
            <v>32.520000000000003</v>
          </cell>
          <cell r="I1040">
            <v>32.520000000000003</v>
          </cell>
          <cell r="J1040" t="str">
            <v>PAN</v>
          </cell>
          <cell r="K1040" t="str">
            <v>PAN</v>
          </cell>
          <cell r="L1040" t="str">
            <v>CAF</v>
          </cell>
          <cell r="M1040">
            <v>0</v>
          </cell>
          <cell r="N1040">
            <v>0</v>
          </cell>
          <cell r="O1040">
            <v>26.9</v>
          </cell>
          <cell r="P1040">
            <v>32.520000000000003</v>
          </cell>
        </row>
        <row r="1041">
          <cell r="D1041" t="str">
            <v>L2931</v>
          </cell>
          <cell r="E1041" t="str">
            <v>CAFE INTENSO MOLIDO 340GR LAVAZZA</v>
          </cell>
          <cell r="F1041">
            <v>39.840000000000003</v>
          </cell>
          <cell r="G1041">
            <v>39.840000000000003</v>
          </cell>
          <cell r="H1041">
            <v>39.840000000000003</v>
          </cell>
          <cell r="I1041">
            <v>39.840000000000003</v>
          </cell>
          <cell r="J1041" t="str">
            <v>PAN</v>
          </cell>
          <cell r="K1041" t="str">
            <v>PAN</v>
          </cell>
          <cell r="L1041" t="str">
            <v>CAF</v>
          </cell>
          <cell r="M1041">
            <v>0</v>
          </cell>
          <cell r="N1041">
            <v>0</v>
          </cell>
          <cell r="O1041">
            <v>33</v>
          </cell>
          <cell r="P1041">
            <v>39.840000000000003</v>
          </cell>
        </row>
        <row r="1042">
          <cell r="D1042" t="str">
            <v>T5011</v>
          </cell>
          <cell r="E1042" t="str">
            <v>TEQ.DON JULIO REPOSADO 750ML X 6</v>
          </cell>
          <cell r="F1042">
            <v>328.55</v>
          </cell>
          <cell r="G1042">
            <v>328.55</v>
          </cell>
          <cell r="H1042">
            <v>335.12</v>
          </cell>
          <cell r="I1042">
            <v>335.12</v>
          </cell>
          <cell r="J1042" t="str">
            <v>IWA</v>
          </cell>
          <cell r="K1042" t="str">
            <v>TEQ</v>
          </cell>
          <cell r="L1042" t="str">
            <v>RUB</v>
          </cell>
          <cell r="M1042">
            <v>0</v>
          </cell>
          <cell r="N1042">
            <v>0</v>
          </cell>
          <cell r="O1042">
            <v>325</v>
          </cell>
          <cell r="P1042">
            <v>464.71</v>
          </cell>
        </row>
        <row r="1043">
          <cell r="D1043" t="str">
            <v>4058T</v>
          </cell>
          <cell r="E1043" t="str">
            <v>TIGO.YOG.GRANOLA ARAND C/CHIA 155G X12</v>
          </cell>
          <cell r="F1043">
            <v>4.5</v>
          </cell>
          <cell r="G1043">
            <v>4.5</v>
          </cell>
          <cell r="H1043">
            <v>4.63</v>
          </cell>
          <cell r="I1043">
            <v>4.63</v>
          </cell>
          <cell r="J1043" t="str">
            <v>TIG</v>
          </cell>
          <cell r="K1043" t="str">
            <v>LAC</v>
          </cell>
          <cell r="L1043" t="str">
            <v>YOU</v>
          </cell>
          <cell r="M1043">
            <v>0</v>
          </cell>
          <cell r="N1043">
            <v>0</v>
          </cell>
          <cell r="O1043">
            <v>3.36</v>
          </cell>
          <cell r="P1043">
            <v>5.04</v>
          </cell>
        </row>
        <row r="1044">
          <cell r="D1044" t="str">
            <v>4057T</v>
          </cell>
          <cell r="E1044" t="str">
            <v>TIGO.YOG.ARANDANO C/CHIA 1K X6</v>
          </cell>
          <cell r="F1044">
            <v>14.02</v>
          </cell>
          <cell r="G1044">
            <v>14.02</v>
          </cell>
          <cell r="H1044">
            <v>14.44</v>
          </cell>
          <cell r="I1044">
            <v>14.44</v>
          </cell>
          <cell r="J1044" t="str">
            <v>TIG</v>
          </cell>
          <cell r="K1044" t="str">
            <v>LAC</v>
          </cell>
          <cell r="L1044" t="str">
            <v>YOU</v>
          </cell>
          <cell r="M1044">
            <v>0</v>
          </cell>
          <cell r="N1044">
            <v>0</v>
          </cell>
          <cell r="O1044">
            <v>9.6300000000000008</v>
          </cell>
          <cell r="P1044">
            <v>15.25</v>
          </cell>
        </row>
        <row r="1045">
          <cell r="D1045" t="str">
            <v>4053T</v>
          </cell>
          <cell r="E1045" t="str">
            <v>TIGO YOG NATURAL.  S/AZUCAR TAPER 1K X6</v>
          </cell>
          <cell r="F1045">
            <v>14.02</v>
          </cell>
          <cell r="G1045">
            <v>14.02</v>
          </cell>
          <cell r="H1045">
            <v>14.44</v>
          </cell>
          <cell r="I1045">
            <v>14.44</v>
          </cell>
          <cell r="J1045" t="str">
            <v>TIG</v>
          </cell>
          <cell r="K1045" t="str">
            <v>LAC</v>
          </cell>
          <cell r="L1045" t="str">
            <v>YOU</v>
          </cell>
          <cell r="M1045">
            <v>0</v>
          </cell>
          <cell r="N1045">
            <v>0</v>
          </cell>
          <cell r="O1045">
            <v>9.6300000000000008</v>
          </cell>
          <cell r="P1045">
            <v>15.25</v>
          </cell>
        </row>
        <row r="1046">
          <cell r="D1046" t="str">
            <v>4021T</v>
          </cell>
          <cell r="E1046" t="str">
            <v>TIGO YOG. PARFAIT  ALBARI/DURAZNO  155G X20</v>
          </cell>
          <cell r="F1046">
            <v>4.5</v>
          </cell>
          <cell r="G1046">
            <v>4.5</v>
          </cell>
          <cell r="H1046">
            <v>4.63</v>
          </cell>
          <cell r="I1046">
            <v>4.63</v>
          </cell>
          <cell r="J1046" t="str">
            <v>TIG</v>
          </cell>
          <cell r="K1046" t="str">
            <v>LAC</v>
          </cell>
          <cell r="L1046" t="str">
            <v>YOU</v>
          </cell>
          <cell r="M1046">
            <v>0</v>
          </cell>
          <cell r="N1046">
            <v>0</v>
          </cell>
          <cell r="O1046">
            <v>3.62</v>
          </cell>
          <cell r="P1046">
            <v>5.04</v>
          </cell>
        </row>
        <row r="1047">
          <cell r="D1047" t="str">
            <v>4059T</v>
          </cell>
          <cell r="E1047" t="str">
            <v>TIGO YOG PRE LIGHT FRUTOS.ROJOS 1K X6</v>
          </cell>
          <cell r="F1047">
            <v>14.02</v>
          </cell>
          <cell r="G1047">
            <v>14.02</v>
          </cell>
          <cell r="H1047">
            <v>14.44</v>
          </cell>
          <cell r="I1047">
            <v>14.44</v>
          </cell>
          <cell r="J1047" t="str">
            <v>TIG</v>
          </cell>
          <cell r="K1047" t="str">
            <v>LAC</v>
          </cell>
          <cell r="L1047" t="str">
            <v>YOU</v>
          </cell>
          <cell r="M1047">
            <v>0</v>
          </cell>
          <cell r="N1047">
            <v>0</v>
          </cell>
          <cell r="O1047">
            <v>11.33</v>
          </cell>
          <cell r="P1047">
            <v>14.44</v>
          </cell>
        </row>
        <row r="1048">
          <cell r="D1048" t="str">
            <v>4020T</v>
          </cell>
          <cell r="E1048" t="str">
            <v>TIGO YOG. PARFAIT  FRESAS 155G X12</v>
          </cell>
          <cell r="F1048">
            <v>4.5</v>
          </cell>
          <cell r="G1048">
            <v>4.5</v>
          </cell>
          <cell r="H1048">
            <v>4.63</v>
          </cell>
          <cell r="I1048">
            <v>4.63</v>
          </cell>
          <cell r="J1048" t="str">
            <v>TIG</v>
          </cell>
          <cell r="K1048" t="str">
            <v>LAC</v>
          </cell>
          <cell r="L1048" t="str">
            <v>YOU</v>
          </cell>
          <cell r="M1048">
            <v>0</v>
          </cell>
          <cell r="N1048">
            <v>0</v>
          </cell>
          <cell r="O1048">
            <v>3.62</v>
          </cell>
          <cell r="P1048">
            <v>5.04</v>
          </cell>
        </row>
        <row r="1049">
          <cell r="D1049" t="str">
            <v>V0012</v>
          </cell>
          <cell r="E1049" t="str">
            <v>WHIS.GRANTS FAMILY RESERVE 750ML X12</v>
          </cell>
          <cell r="F1049">
            <v>28.54</v>
          </cell>
          <cell r="G1049">
            <v>28.54</v>
          </cell>
          <cell r="H1049">
            <v>29.11</v>
          </cell>
          <cell r="I1049">
            <v>29.11</v>
          </cell>
          <cell r="J1049" t="str">
            <v>PRE</v>
          </cell>
          <cell r="K1049" t="str">
            <v>GRN</v>
          </cell>
          <cell r="L1049" t="str">
            <v>WHI</v>
          </cell>
          <cell r="M1049">
            <v>0</v>
          </cell>
          <cell r="N1049">
            <v>0</v>
          </cell>
          <cell r="O1049">
            <v>0</v>
          </cell>
          <cell r="P1049">
            <v>31.59</v>
          </cell>
        </row>
        <row r="1050">
          <cell r="D1050" t="str">
            <v>V12203</v>
          </cell>
          <cell r="E1050" t="str">
            <v>JE.BOTRAN.RON.AÑEJO.12.AX750M X12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 t="str">
            <v>JEI</v>
          </cell>
          <cell r="K1050" t="str">
            <v>JEI</v>
          </cell>
          <cell r="L1050" t="str">
            <v>LIC</v>
          </cell>
          <cell r="M1050">
            <v>0</v>
          </cell>
          <cell r="N1050">
            <v>0</v>
          </cell>
          <cell r="O1050">
            <v>0</v>
          </cell>
          <cell r="P1050">
            <v>50</v>
          </cell>
        </row>
        <row r="1051">
          <cell r="D1051" t="str">
            <v>500518</v>
          </cell>
          <cell r="E1051" t="str">
            <v xml:space="preserve">PK.CTV BLACK 750ML + VR GREEN </v>
          </cell>
          <cell r="F1051">
            <v>33.78</v>
          </cell>
          <cell r="G1051">
            <v>33.78</v>
          </cell>
          <cell r="H1051">
            <v>33.78</v>
          </cell>
          <cell r="I1051">
            <v>33.78</v>
          </cell>
          <cell r="J1051" t="str">
            <v>CAR</v>
          </cell>
          <cell r="K1051" t="str">
            <v>LIC</v>
          </cell>
          <cell r="L1051" t="str">
            <v>BON</v>
          </cell>
          <cell r="M1051">
            <v>0</v>
          </cell>
          <cell r="N1051">
            <v>0</v>
          </cell>
          <cell r="O1051">
            <v>0</v>
          </cell>
          <cell r="P1051">
            <v>37.15</v>
          </cell>
        </row>
        <row r="1052">
          <cell r="D1052" t="str">
            <v>35216</v>
          </cell>
          <cell r="E1052" t="str">
            <v xml:space="preserve">MANTEQUILLA S/SAL 200GR X20 PRESIDENT 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 t="str">
            <v>LCP</v>
          </cell>
          <cell r="K1052" t="str">
            <v>PRE</v>
          </cell>
          <cell r="L1052" t="str">
            <v>MAN</v>
          </cell>
          <cell r="M1052">
            <v>0</v>
          </cell>
          <cell r="N1052">
            <v>0</v>
          </cell>
          <cell r="O1052">
            <v>10.16</v>
          </cell>
          <cell r="P1052">
            <v>10.84</v>
          </cell>
        </row>
        <row r="1053">
          <cell r="D1053" t="str">
            <v>35229</v>
          </cell>
          <cell r="E1053" t="str">
            <v xml:space="preserve">MANTEQUILLA C/SAL 200GR X20 PRESIDENT 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  <cell r="J1053" t="str">
            <v>LCP</v>
          </cell>
          <cell r="K1053" t="str">
            <v>PRE</v>
          </cell>
          <cell r="L1053" t="str">
            <v>MAN</v>
          </cell>
          <cell r="M1053">
            <v>0</v>
          </cell>
          <cell r="N1053">
            <v>0</v>
          </cell>
          <cell r="O1053">
            <v>10.16</v>
          </cell>
          <cell r="P1053">
            <v>10.84</v>
          </cell>
        </row>
        <row r="1054">
          <cell r="D1054" t="str">
            <v>AC20038</v>
          </cell>
          <cell r="E1054" t="str">
            <v>VINO ROSE 2VASOS SEMI SECO 750ML X6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  <cell r="J1054" t="str">
            <v>COP</v>
          </cell>
          <cell r="K1054" t="str">
            <v>COP</v>
          </cell>
          <cell r="L1054" t="str">
            <v>VIN</v>
          </cell>
          <cell r="M1054">
            <v>0</v>
          </cell>
          <cell r="N1054">
            <v>0</v>
          </cell>
          <cell r="O1054">
            <v>26.04</v>
          </cell>
          <cell r="P1054">
            <v>30.47</v>
          </cell>
        </row>
        <row r="1055">
          <cell r="D1055" t="str">
            <v>AC20036</v>
          </cell>
          <cell r="E1055" t="str">
            <v>VINO BORGOÑA PACK 750ML+2V X6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 t="str">
            <v>COP</v>
          </cell>
          <cell r="K1055" t="str">
            <v>COP</v>
          </cell>
          <cell r="L1055" t="str">
            <v>VIN</v>
          </cell>
          <cell r="M1055">
            <v>0</v>
          </cell>
          <cell r="N1055">
            <v>0</v>
          </cell>
          <cell r="O1055">
            <v>26.04</v>
          </cell>
          <cell r="P1055">
            <v>30.48</v>
          </cell>
        </row>
        <row r="1056">
          <cell r="D1056" t="str">
            <v>AC20033</v>
          </cell>
          <cell r="E1056" t="str">
            <v>VINO BORGOÑA PACK 750ML X6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  <cell r="J1056" t="str">
            <v>COP</v>
          </cell>
          <cell r="K1056" t="str">
            <v>COP</v>
          </cell>
          <cell r="L1056" t="str">
            <v>VIN</v>
          </cell>
          <cell r="M1056">
            <v>0</v>
          </cell>
          <cell r="N1056">
            <v>0</v>
          </cell>
          <cell r="O1056">
            <v>22.26</v>
          </cell>
          <cell r="P1056">
            <v>22.36</v>
          </cell>
        </row>
        <row r="1057">
          <cell r="D1057" t="str">
            <v>AC20035</v>
          </cell>
          <cell r="E1057" t="str">
            <v>VINO ROSE PACK SEMI SECO 750ML X6</v>
          </cell>
          <cell r="F1057">
            <v>19.57</v>
          </cell>
          <cell r="G1057">
            <v>19.57</v>
          </cell>
          <cell r="H1057">
            <v>20.010000000000002</v>
          </cell>
          <cell r="I1057">
            <v>20.010000000000002</v>
          </cell>
          <cell r="J1057" t="str">
            <v>COP</v>
          </cell>
          <cell r="K1057" t="str">
            <v>COP</v>
          </cell>
          <cell r="L1057" t="str">
            <v>VIN</v>
          </cell>
          <cell r="M1057">
            <v>0</v>
          </cell>
          <cell r="N1057">
            <v>0</v>
          </cell>
          <cell r="O1057">
            <v>22.26</v>
          </cell>
          <cell r="P1057">
            <v>22.36</v>
          </cell>
        </row>
        <row r="1058">
          <cell r="D1058" t="str">
            <v>AC20034</v>
          </cell>
          <cell r="E1058" t="str">
            <v>VINO TINTO PACK SEMI SECO 750ML X6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 t="str">
            <v>COP</v>
          </cell>
          <cell r="K1058" t="str">
            <v>COP</v>
          </cell>
          <cell r="L1058" t="str">
            <v>VIN</v>
          </cell>
          <cell r="M1058">
            <v>0</v>
          </cell>
          <cell r="N1058">
            <v>0</v>
          </cell>
          <cell r="O1058">
            <v>22.26</v>
          </cell>
          <cell r="P1058">
            <v>22.36</v>
          </cell>
        </row>
        <row r="1059">
          <cell r="D1059" t="str">
            <v>AC0353</v>
          </cell>
          <cell r="E1059" t="str">
            <v>VINO BORGOÑA ABOCADO 750ML X12</v>
          </cell>
          <cell r="F1059">
            <v>10.02</v>
          </cell>
          <cell r="G1059">
            <v>10.02</v>
          </cell>
          <cell r="H1059">
            <v>10.02</v>
          </cell>
          <cell r="I1059">
            <v>10.02</v>
          </cell>
          <cell r="J1059" t="str">
            <v>COP</v>
          </cell>
          <cell r="K1059" t="str">
            <v>COP</v>
          </cell>
          <cell r="L1059" t="str">
            <v>VIN</v>
          </cell>
          <cell r="M1059">
            <v>0</v>
          </cell>
          <cell r="N1059">
            <v>0</v>
          </cell>
          <cell r="O1059">
            <v>10.35</v>
          </cell>
          <cell r="P1059">
            <v>12.06</v>
          </cell>
        </row>
        <row r="1060">
          <cell r="D1060" t="str">
            <v>010023</v>
          </cell>
          <cell r="E1060" t="str">
            <v>VINO PATRONAL CARMENERE X750ML X6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 t="str">
            <v>COP</v>
          </cell>
          <cell r="K1060" t="str">
            <v>COP</v>
          </cell>
          <cell r="L1060" t="str">
            <v>VIN</v>
          </cell>
          <cell r="M1060">
            <v>0</v>
          </cell>
          <cell r="N1060">
            <v>0</v>
          </cell>
          <cell r="O1060">
            <v>46.2</v>
          </cell>
          <cell r="P1060">
            <v>70.19</v>
          </cell>
        </row>
        <row r="1061">
          <cell r="D1061" t="str">
            <v>AC0354</v>
          </cell>
          <cell r="E1061" t="str">
            <v>VINO ROSE SEMI SECO 750ML X12</v>
          </cell>
          <cell r="F1061">
            <v>11.17</v>
          </cell>
          <cell r="G1061">
            <v>11.17</v>
          </cell>
          <cell r="H1061">
            <v>10.75</v>
          </cell>
          <cell r="I1061">
            <v>10.75</v>
          </cell>
          <cell r="J1061" t="str">
            <v>COP</v>
          </cell>
          <cell r="K1061" t="str">
            <v>COP</v>
          </cell>
          <cell r="L1061" t="str">
            <v>VIN</v>
          </cell>
          <cell r="M1061">
            <v>0</v>
          </cell>
          <cell r="N1061">
            <v>0</v>
          </cell>
          <cell r="O1061">
            <v>10.35</v>
          </cell>
          <cell r="P1061">
            <v>12.06</v>
          </cell>
        </row>
        <row r="1062">
          <cell r="D1062" t="str">
            <v>AC20037</v>
          </cell>
          <cell r="E1062" t="str">
            <v>VINO TINTO 2VASOS SEMI SECO 750ML X6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 t="str">
            <v>COP</v>
          </cell>
          <cell r="K1062" t="str">
            <v>COP</v>
          </cell>
          <cell r="L1062" t="str">
            <v>VIN</v>
          </cell>
          <cell r="M1062">
            <v>0</v>
          </cell>
          <cell r="N1062">
            <v>0</v>
          </cell>
          <cell r="O1062">
            <v>0</v>
          </cell>
          <cell r="P1062">
            <v>30.48</v>
          </cell>
        </row>
        <row r="1063">
          <cell r="D1063" t="str">
            <v>2008T</v>
          </cell>
          <cell r="E1063" t="str">
            <v>TIGO QUESO CREMA PASTELERO 1KG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 t="str">
            <v>TIG</v>
          </cell>
          <cell r="K1063" t="str">
            <v>LAC</v>
          </cell>
          <cell r="L1063" t="str">
            <v>OTR</v>
          </cell>
          <cell r="M1063">
            <v>0</v>
          </cell>
          <cell r="N1063">
            <v>0</v>
          </cell>
          <cell r="O1063">
            <v>17.72</v>
          </cell>
          <cell r="P1063">
            <v>26.3</v>
          </cell>
        </row>
        <row r="1064">
          <cell r="D1064" t="str">
            <v>197314</v>
          </cell>
          <cell r="E1064" t="str">
            <v>RON VIEJO DE CALDAS 8 AÑOS X750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 t="str">
            <v>PFA</v>
          </cell>
          <cell r="K1064" t="str">
            <v>LIC</v>
          </cell>
          <cell r="L1064" t="str">
            <v>RON</v>
          </cell>
          <cell r="M1064">
            <v>0</v>
          </cell>
          <cell r="N1064">
            <v>0</v>
          </cell>
          <cell r="O1064">
            <v>41.84</v>
          </cell>
          <cell r="P1064">
            <v>46.02</v>
          </cell>
        </row>
        <row r="1065">
          <cell r="D1065" t="str">
            <v>0617013</v>
          </cell>
          <cell r="E1065" t="str">
            <v>RICCADONNA ESP.ASTI 750ML X6</v>
          </cell>
          <cell r="F1065">
            <v>47.06</v>
          </cell>
          <cell r="G1065">
            <v>47.06</v>
          </cell>
          <cell r="H1065">
            <v>48.01</v>
          </cell>
          <cell r="I1065">
            <v>48.01</v>
          </cell>
          <cell r="J1065" t="str">
            <v>IWA</v>
          </cell>
          <cell r="K1065" t="str">
            <v>RIC</v>
          </cell>
          <cell r="L1065" t="str">
            <v>AST</v>
          </cell>
          <cell r="M1065">
            <v>0</v>
          </cell>
          <cell r="N1065">
            <v>0</v>
          </cell>
          <cell r="O1065">
            <v>43.8</v>
          </cell>
          <cell r="P1065">
            <v>63.29</v>
          </cell>
        </row>
        <row r="1066">
          <cell r="D1066" t="str">
            <v>ST001</v>
          </cell>
          <cell r="E1066" t="str">
            <v>STANGEN LAGER BIER 500ML X24</v>
          </cell>
          <cell r="F1066">
            <v>6.5</v>
          </cell>
          <cell r="G1066">
            <v>6.5</v>
          </cell>
          <cell r="H1066">
            <v>6.9</v>
          </cell>
          <cell r="I1066">
            <v>6.9</v>
          </cell>
          <cell r="J1066" t="str">
            <v>PFB</v>
          </cell>
          <cell r="K1066" t="str">
            <v>LIC</v>
          </cell>
          <cell r="L1066" t="str">
            <v>STA</v>
          </cell>
          <cell r="M1066">
            <v>0</v>
          </cell>
          <cell r="N1066">
            <v>0</v>
          </cell>
          <cell r="O1066">
            <v>6.05</v>
          </cell>
          <cell r="P1066">
            <v>6.9</v>
          </cell>
        </row>
        <row r="1067">
          <cell r="D1067" t="str">
            <v>T100020</v>
          </cell>
          <cell r="E1067" t="str">
            <v xml:space="preserve">ESPUMOSO SEMI SECO TACAMA 2019 / 12X750ML </v>
          </cell>
          <cell r="F1067">
            <v>32</v>
          </cell>
          <cell r="G1067">
            <v>32</v>
          </cell>
          <cell r="H1067">
            <v>32</v>
          </cell>
          <cell r="I1067">
            <v>32</v>
          </cell>
          <cell r="J1067" t="str">
            <v>TCM</v>
          </cell>
          <cell r="K1067" t="str">
            <v>TCM</v>
          </cell>
          <cell r="L1067" t="str">
            <v>VIN</v>
          </cell>
          <cell r="M1067">
            <v>0</v>
          </cell>
          <cell r="N1067">
            <v>0</v>
          </cell>
          <cell r="O1067">
            <v>32.03</v>
          </cell>
          <cell r="P1067">
            <v>36.299999999999997</v>
          </cell>
        </row>
        <row r="1068">
          <cell r="D1068" t="str">
            <v>T30013</v>
          </cell>
          <cell r="E1068" t="str">
            <v xml:space="preserve">GRAN DEMONIO QUEBRANTA  6X500ML 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 t="str">
            <v>TCM</v>
          </cell>
          <cell r="K1068" t="str">
            <v>TCM</v>
          </cell>
          <cell r="L1068" t="str">
            <v>VIN</v>
          </cell>
          <cell r="M1068">
            <v>0</v>
          </cell>
          <cell r="N1068">
            <v>0</v>
          </cell>
          <cell r="O1068">
            <v>0</v>
          </cell>
          <cell r="P1068">
            <v>60.27</v>
          </cell>
        </row>
        <row r="1069">
          <cell r="D1069" t="str">
            <v>102026</v>
          </cell>
          <cell r="E1069" t="str">
            <v>BENEDIKTINER FESTBIER BARRIL 5 L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 t="str">
            <v>PBA</v>
          </cell>
          <cell r="K1069" t="str">
            <v>CER</v>
          </cell>
          <cell r="L1069" t="str">
            <v>BAR</v>
          </cell>
          <cell r="M1069">
            <v>0</v>
          </cell>
          <cell r="N1069">
            <v>0</v>
          </cell>
          <cell r="O1069">
            <v>137.33000000000001</v>
          </cell>
          <cell r="P1069">
            <v>166.54</v>
          </cell>
        </row>
        <row r="1070">
          <cell r="D1070" t="str">
            <v>102028</v>
          </cell>
          <cell r="E1070" t="str">
            <v>CERV. BITBURGER BARRIL 5 L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 t="str">
            <v>PBA</v>
          </cell>
          <cell r="K1070" t="str">
            <v>CER</v>
          </cell>
          <cell r="L1070" t="str">
            <v>BAR</v>
          </cell>
          <cell r="M1070">
            <v>0</v>
          </cell>
          <cell r="N1070">
            <v>0</v>
          </cell>
          <cell r="O1070">
            <v>133.29</v>
          </cell>
          <cell r="P1070">
            <v>166.54</v>
          </cell>
        </row>
        <row r="1071">
          <cell r="D1071" t="str">
            <v>403634</v>
          </cell>
          <cell r="E1071" t="str">
            <v>QUESO CREMA PHILADELP BRICK 180GR KRAFT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 t="str">
            <v>SIG</v>
          </cell>
          <cell r="K1071" t="str">
            <v>KFT</v>
          </cell>
          <cell r="L1071" t="str">
            <v>QSO</v>
          </cell>
          <cell r="M1071">
            <v>0</v>
          </cell>
          <cell r="N1071">
            <v>0</v>
          </cell>
          <cell r="O1071">
            <v>0</v>
          </cell>
          <cell r="P1071">
            <v>11.71</v>
          </cell>
        </row>
        <row r="1072">
          <cell r="D1072" t="str">
            <v>404001</v>
          </cell>
          <cell r="E1072" t="str">
            <v>PHILADELPHIA ORIG TUB 150GR KRAFT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 t="str">
            <v>SIG</v>
          </cell>
          <cell r="K1072" t="str">
            <v>KFT</v>
          </cell>
          <cell r="L1072" t="str">
            <v>QSO</v>
          </cell>
          <cell r="M1072">
            <v>0</v>
          </cell>
          <cell r="N1072">
            <v>0</v>
          </cell>
          <cell r="O1072">
            <v>0</v>
          </cell>
          <cell r="P1072">
            <v>10.95</v>
          </cell>
        </row>
        <row r="1073">
          <cell r="D1073" t="str">
            <v>40001199</v>
          </cell>
          <cell r="E1073" t="str">
            <v xml:space="preserve">RUSSKAYA PINK 1000ML 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 t="str">
            <v>CAR</v>
          </cell>
          <cell r="K1073" t="str">
            <v>LIC</v>
          </cell>
          <cell r="L1073" t="str">
            <v>VDK</v>
          </cell>
          <cell r="M1073">
            <v>0</v>
          </cell>
          <cell r="N1073">
            <v>0</v>
          </cell>
          <cell r="O1073">
            <v>0</v>
          </cell>
          <cell r="P1073">
            <v>21.46</v>
          </cell>
        </row>
        <row r="1074">
          <cell r="D1074" t="str">
            <v>40001094</v>
          </cell>
          <cell r="E1074" t="str">
            <v>VODKA RUSSKAYA GREEN APPLE 750ML X12</v>
          </cell>
          <cell r="F1074">
            <v>19.96</v>
          </cell>
          <cell r="G1074">
            <v>19.96</v>
          </cell>
          <cell r="H1074">
            <v>19.96</v>
          </cell>
          <cell r="I1074">
            <v>19.96</v>
          </cell>
          <cell r="J1074" t="str">
            <v>CAR</v>
          </cell>
          <cell r="K1074" t="str">
            <v>LIC</v>
          </cell>
          <cell r="L1074" t="str">
            <v>VDK</v>
          </cell>
          <cell r="M1074">
            <v>0</v>
          </cell>
          <cell r="N1074">
            <v>0</v>
          </cell>
          <cell r="O1074">
            <v>0</v>
          </cell>
          <cell r="P1074">
            <v>21.95</v>
          </cell>
        </row>
        <row r="1075">
          <cell r="D1075" t="str">
            <v>40000967</v>
          </cell>
          <cell r="E1075" t="str">
            <v>VODKA VOLJOV 900 ML X12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 t="str">
            <v>CAR</v>
          </cell>
          <cell r="K1075" t="str">
            <v>LIC</v>
          </cell>
          <cell r="L1075" t="str">
            <v>VDK</v>
          </cell>
          <cell r="M1075">
            <v>0</v>
          </cell>
          <cell r="N1075">
            <v>0</v>
          </cell>
          <cell r="O1075">
            <v>0</v>
          </cell>
          <cell r="P1075">
            <v>17.5</v>
          </cell>
        </row>
        <row r="1076">
          <cell r="D1076" t="str">
            <v>40000607</v>
          </cell>
          <cell r="E1076" t="str">
            <v>VODKA RUSSKAYA 1LT X12</v>
          </cell>
          <cell r="F1076">
            <v>23.39</v>
          </cell>
          <cell r="G1076">
            <v>23.39</v>
          </cell>
          <cell r="H1076">
            <v>23.39</v>
          </cell>
          <cell r="I1076">
            <v>23.39</v>
          </cell>
          <cell r="J1076" t="str">
            <v>CAR</v>
          </cell>
          <cell r="K1076" t="str">
            <v>LIC</v>
          </cell>
          <cell r="L1076" t="str">
            <v>VDK</v>
          </cell>
          <cell r="M1076">
            <v>0</v>
          </cell>
          <cell r="N1076">
            <v>0</v>
          </cell>
          <cell r="O1076">
            <v>18.16</v>
          </cell>
          <cell r="P1076">
            <v>26.53</v>
          </cell>
        </row>
        <row r="1077">
          <cell r="D1077" t="str">
            <v>40001380</v>
          </cell>
          <cell r="E1077" t="str">
            <v>RUSSKAYA WILD TROPICAL ORANGE 700ML X 12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 t="str">
            <v>CAR</v>
          </cell>
          <cell r="K1077" t="str">
            <v>LIC</v>
          </cell>
          <cell r="L1077" t="str">
            <v>VDK</v>
          </cell>
          <cell r="M1077">
            <v>0</v>
          </cell>
          <cell r="N1077">
            <v>0</v>
          </cell>
          <cell r="O1077">
            <v>0</v>
          </cell>
          <cell r="P1077">
            <v>9.61</v>
          </cell>
        </row>
        <row r="1078">
          <cell r="D1078" t="str">
            <v>500348</v>
          </cell>
          <cell r="E1078" t="str">
            <v>PACK VR NEUTRO 750ML+ WOT RED 750ML X 6</v>
          </cell>
          <cell r="F1078">
            <v>33.799999999999997</v>
          </cell>
          <cell r="G1078">
            <v>33.799999999999997</v>
          </cell>
          <cell r="H1078">
            <v>33.799999999999997</v>
          </cell>
          <cell r="I1078">
            <v>33.799999999999997</v>
          </cell>
          <cell r="J1078" t="str">
            <v>CAR</v>
          </cell>
          <cell r="K1078" t="str">
            <v>LIC</v>
          </cell>
          <cell r="L1078" t="str">
            <v>VDK</v>
          </cell>
          <cell r="M1078">
            <v>0</v>
          </cell>
          <cell r="N1078">
            <v>0</v>
          </cell>
          <cell r="O1078">
            <v>0</v>
          </cell>
          <cell r="P1078">
            <v>37.18</v>
          </cell>
        </row>
        <row r="1079">
          <cell r="D1079" t="str">
            <v>40001076</v>
          </cell>
          <cell r="E1079" t="str">
            <v>VODKA RUS WILD XTREME WATERMELON 355ML X24</v>
          </cell>
          <cell r="F1079">
            <v>5.04</v>
          </cell>
          <cell r="G1079">
            <v>5.04</v>
          </cell>
          <cell r="H1079">
            <v>5.13</v>
          </cell>
          <cell r="I1079">
            <v>5.13</v>
          </cell>
          <cell r="J1079" t="str">
            <v>CAR</v>
          </cell>
          <cell r="K1079" t="str">
            <v>LIC</v>
          </cell>
          <cell r="L1079" t="str">
            <v>VDK</v>
          </cell>
          <cell r="M1079">
            <v>0</v>
          </cell>
          <cell r="N1079">
            <v>0</v>
          </cell>
          <cell r="O1079">
            <v>0</v>
          </cell>
          <cell r="P1079">
            <v>4.83</v>
          </cell>
        </row>
        <row r="1080">
          <cell r="D1080" t="str">
            <v>40000681</v>
          </cell>
          <cell r="E1080" t="str">
            <v>VODKA RUSSKAYA CLASICO 250ML X36</v>
          </cell>
          <cell r="F1080">
            <v>7.06</v>
          </cell>
          <cell r="G1080">
            <v>7.06</v>
          </cell>
          <cell r="H1080">
            <v>7.06</v>
          </cell>
          <cell r="I1080">
            <v>7.06</v>
          </cell>
          <cell r="J1080" t="str">
            <v>CAR</v>
          </cell>
          <cell r="K1080" t="str">
            <v>LIC</v>
          </cell>
          <cell r="L1080" t="str">
            <v>VDK</v>
          </cell>
          <cell r="M1080">
            <v>0</v>
          </cell>
          <cell r="N1080">
            <v>0</v>
          </cell>
          <cell r="O1080">
            <v>0</v>
          </cell>
          <cell r="P1080">
            <v>7.77</v>
          </cell>
        </row>
        <row r="1081">
          <cell r="D1081" t="str">
            <v>40001027</v>
          </cell>
          <cell r="E1081" t="str">
            <v>VODKA RUSSKAYA PINK 750ML X12</v>
          </cell>
          <cell r="F1081">
            <v>21.63</v>
          </cell>
          <cell r="G1081">
            <v>21.63</v>
          </cell>
          <cell r="H1081">
            <v>21.63</v>
          </cell>
          <cell r="I1081">
            <v>21.63</v>
          </cell>
          <cell r="J1081" t="str">
            <v>CAR</v>
          </cell>
          <cell r="K1081" t="str">
            <v>LIC</v>
          </cell>
          <cell r="L1081" t="str">
            <v>VDK</v>
          </cell>
          <cell r="M1081">
            <v>0</v>
          </cell>
          <cell r="N1081">
            <v>0</v>
          </cell>
          <cell r="O1081">
            <v>0</v>
          </cell>
          <cell r="P1081">
            <v>23.8</v>
          </cell>
        </row>
        <row r="1082">
          <cell r="D1082" t="str">
            <v>40001115</v>
          </cell>
          <cell r="E1082" t="str">
            <v>VODKA RUSSKAYA YELLOW 750ML X12</v>
          </cell>
          <cell r="F1082">
            <v>20.3</v>
          </cell>
          <cell r="G1082">
            <v>20.3</v>
          </cell>
          <cell r="H1082">
            <v>20.64</v>
          </cell>
          <cell r="I1082">
            <v>20.64</v>
          </cell>
          <cell r="J1082" t="str">
            <v>CAR</v>
          </cell>
          <cell r="K1082" t="str">
            <v>LIC</v>
          </cell>
          <cell r="L1082" t="str">
            <v>VDK</v>
          </cell>
          <cell r="M1082">
            <v>0</v>
          </cell>
          <cell r="N1082">
            <v>0</v>
          </cell>
          <cell r="O1082">
            <v>0</v>
          </cell>
          <cell r="P1082">
            <v>19.239999999999998</v>
          </cell>
        </row>
        <row r="1083">
          <cell r="D1083" t="str">
            <v>40000108</v>
          </cell>
          <cell r="E1083" t="str">
            <v>VODKA RUSSKAYA 750ML X12</v>
          </cell>
          <cell r="F1083">
            <v>20.8</v>
          </cell>
          <cell r="G1083">
            <v>20.8</v>
          </cell>
          <cell r="H1083">
            <v>20.8</v>
          </cell>
          <cell r="I1083">
            <v>20.8</v>
          </cell>
          <cell r="J1083" t="str">
            <v>CAR</v>
          </cell>
          <cell r="K1083" t="str">
            <v>LIC</v>
          </cell>
          <cell r="L1083" t="str">
            <v>VDK</v>
          </cell>
          <cell r="M1083">
            <v>0</v>
          </cell>
          <cell r="N1083">
            <v>0</v>
          </cell>
          <cell r="O1083">
            <v>19.600000000000001</v>
          </cell>
          <cell r="P1083">
            <v>22.88</v>
          </cell>
        </row>
        <row r="1084">
          <cell r="D1084" t="str">
            <v>40000600</v>
          </cell>
          <cell r="E1084" t="str">
            <v>VODKA RUSSKAYA CITRUS 750ML X12</v>
          </cell>
          <cell r="F1084">
            <v>20.3</v>
          </cell>
          <cell r="G1084">
            <v>20.3</v>
          </cell>
          <cell r="H1084">
            <v>20.64</v>
          </cell>
          <cell r="I1084">
            <v>20.64</v>
          </cell>
          <cell r="J1084" t="str">
            <v>CAR</v>
          </cell>
          <cell r="K1084" t="str">
            <v>LIC</v>
          </cell>
          <cell r="L1084" t="str">
            <v>VDK</v>
          </cell>
          <cell r="M1084">
            <v>0</v>
          </cell>
          <cell r="N1084">
            <v>0</v>
          </cell>
          <cell r="O1084">
            <v>0</v>
          </cell>
          <cell r="P1084">
            <v>19.239999999999998</v>
          </cell>
        </row>
        <row r="1085">
          <cell r="D1085" t="str">
            <v>40000633</v>
          </cell>
          <cell r="E1085" t="str">
            <v>VODKA RUSSKAYA CRANBERRY 750ML X12</v>
          </cell>
          <cell r="F1085">
            <v>20.3</v>
          </cell>
          <cell r="G1085">
            <v>20.3</v>
          </cell>
          <cell r="H1085">
            <v>20.64</v>
          </cell>
          <cell r="I1085">
            <v>20.64</v>
          </cell>
          <cell r="J1085" t="str">
            <v>CAR</v>
          </cell>
          <cell r="K1085" t="str">
            <v>LIC</v>
          </cell>
          <cell r="L1085" t="str">
            <v>VDK</v>
          </cell>
          <cell r="M1085">
            <v>0</v>
          </cell>
          <cell r="N1085">
            <v>0</v>
          </cell>
          <cell r="O1085">
            <v>0</v>
          </cell>
          <cell r="P1085">
            <v>19.239999999999998</v>
          </cell>
        </row>
        <row r="1086">
          <cell r="D1086" t="str">
            <v>40000737</v>
          </cell>
          <cell r="E1086" t="str">
            <v>VODKA RUSSKAYA BLACK 750ML X12</v>
          </cell>
          <cell r="F1086">
            <v>21.08</v>
          </cell>
          <cell r="G1086">
            <v>21.08</v>
          </cell>
          <cell r="H1086">
            <v>21.43</v>
          </cell>
          <cell r="I1086">
            <v>21.43</v>
          </cell>
          <cell r="J1086" t="str">
            <v>CAR</v>
          </cell>
          <cell r="K1086" t="str">
            <v>LIC</v>
          </cell>
          <cell r="L1086" t="str">
            <v>VDK</v>
          </cell>
          <cell r="M1086">
            <v>0</v>
          </cell>
          <cell r="N1086">
            <v>0</v>
          </cell>
          <cell r="O1086">
            <v>0</v>
          </cell>
          <cell r="P1086">
            <v>21.43</v>
          </cell>
        </row>
        <row r="1087">
          <cell r="D1087" t="str">
            <v>40001014</v>
          </cell>
          <cell r="E1087" t="str">
            <v>VODKA RUS WILD PASSION FRUIT 355ML X24</v>
          </cell>
          <cell r="F1087">
            <v>4.3</v>
          </cell>
          <cell r="G1087">
            <v>4.3</v>
          </cell>
          <cell r="H1087">
            <v>4.37</v>
          </cell>
          <cell r="I1087">
            <v>4.37</v>
          </cell>
          <cell r="J1087" t="str">
            <v>CAR</v>
          </cell>
          <cell r="K1087" t="str">
            <v>LIC</v>
          </cell>
          <cell r="L1087" t="str">
            <v>VDK</v>
          </cell>
          <cell r="M1087">
            <v>0</v>
          </cell>
          <cell r="N1087">
            <v>0</v>
          </cell>
          <cell r="O1087">
            <v>0</v>
          </cell>
          <cell r="P1087">
            <v>4.07</v>
          </cell>
        </row>
        <row r="1088">
          <cell r="D1088" t="str">
            <v>DIS0276</v>
          </cell>
          <cell r="E1088" t="str">
            <v>PALMITOS ENTEROS 280GR X12 FCO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 t="str">
            <v>GCP</v>
          </cell>
          <cell r="K1088" t="str">
            <v>OTR</v>
          </cell>
          <cell r="L1088" t="str">
            <v>OTR</v>
          </cell>
          <cell r="M1088">
            <v>0</v>
          </cell>
          <cell r="N1088">
            <v>0</v>
          </cell>
          <cell r="O1088">
            <v>11.65</v>
          </cell>
          <cell r="P1088">
            <v>15.28</v>
          </cell>
        </row>
        <row r="1089">
          <cell r="D1089" t="str">
            <v>700001</v>
          </cell>
          <cell r="E1089" t="str">
            <v>PACK PISCO VARGAS QEBRT 750ML+JAR DE GOMA</v>
          </cell>
          <cell r="F1089">
            <v>30.25</v>
          </cell>
          <cell r="G1089">
            <v>30.25</v>
          </cell>
          <cell r="H1089">
            <v>31.47</v>
          </cell>
          <cell r="I1089">
            <v>31.47</v>
          </cell>
          <cell r="J1089" t="str">
            <v>AVV</v>
          </cell>
          <cell r="K1089" t="str">
            <v>PIS</v>
          </cell>
          <cell r="L1089" t="str">
            <v>VRG</v>
          </cell>
          <cell r="M1089">
            <v>0</v>
          </cell>
          <cell r="N1089">
            <v>0</v>
          </cell>
          <cell r="O1089">
            <v>31.6</v>
          </cell>
          <cell r="P1089">
            <v>33.04</v>
          </cell>
        </row>
        <row r="1090">
          <cell r="D1090" t="str">
            <v>101004</v>
          </cell>
          <cell r="E1090" t="str">
            <v>PISCO VARGAS 750ML X 12</v>
          </cell>
          <cell r="F1090">
            <v>16.39</v>
          </cell>
          <cell r="G1090">
            <v>16.39</v>
          </cell>
          <cell r="H1090">
            <v>17.05</v>
          </cell>
          <cell r="I1090">
            <v>17.05</v>
          </cell>
          <cell r="J1090" t="str">
            <v>AVV</v>
          </cell>
          <cell r="K1090" t="str">
            <v>PIS</v>
          </cell>
          <cell r="L1090" t="str">
            <v>VRG</v>
          </cell>
          <cell r="M1090">
            <v>0</v>
          </cell>
          <cell r="N1090">
            <v>0</v>
          </cell>
          <cell r="O1090">
            <v>0</v>
          </cell>
          <cell r="P1090">
            <v>17.899999999999999</v>
          </cell>
        </row>
        <row r="1091">
          <cell r="D1091" t="str">
            <v>101010</v>
          </cell>
          <cell r="E1091" t="str">
            <v>PISCO VARGAS 4L X4</v>
          </cell>
          <cell r="F1091">
            <v>73.83</v>
          </cell>
          <cell r="G1091">
            <v>73.83</v>
          </cell>
          <cell r="H1091">
            <v>75.3</v>
          </cell>
          <cell r="I1091">
            <v>75.3</v>
          </cell>
          <cell r="J1091" t="str">
            <v>AVV</v>
          </cell>
          <cell r="K1091" t="str">
            <v>PIS</v>
          </cell>
          <cell r="L1091" t="str">
            <v>VRG</v>
          </cell>
          <cell r="M1091">
            <v>0</v>
          </cell>
          <cell r="N1091">
            <v>0</v>
          </cell>
          <cell r="O1091">
            <v>0</v>
          </cell>
          <cell r="P1091">
            <v>79.069999999999993</v>
          </cell>
        </row>
        <row r="1092">
          <cell r="D1092" t="str">
            <v>PAR0000095</v>
          </cell>
          <cell r="E1092" t="str">
            <v>LA LEÑITA LEÑA AROMATICO X 1.5KG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 t="str">
            <v>GCC</v>
          </cell>
          <cell r="K1092" t="str">
            <v>GCC</v>
          </cell>
          <cell r="L1092" t="str">
            <v>GCC</v>
          </cell>
          <cell r="M1092">
            <v>5.9</v>
          </cell>
          <cell r="N1092">
            <v>0</v>
          </cell>
          <cell r="O1092">
            <v>5.9</v>
          </cell>
          <cell r="P1092">
            <v>7.79</v>
          </cell>
        </row>
        <row r="1093">
          <cell r="D1093" t="str">
            <v>PAR0000047</v>
          </cell>
          <cell r="E1093" t="str">
            <v>BRAZA BRIQUETON X 4 UND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 t="str">
            <v>GCC</v>
          </cell>
          <cell r="K1093" t="str">
            <v>GCC</v>
          </cell>
          <cell r="L1093" t="str">
            <v>GCC</v>
          </cell>
          <cell r="M1093">
            <v>0</v>
          </cell>
          <cell r="N1093">
            <v>0</v>
          </cell>
          <cell r="O1093">
            <v>8.6300000000000008</v>
          </cell>
          <cell r="P1093">
            <v>10.49</v>
          </cell>
        </row>
        <row r="1094">
          <cell r="D1094" t="str">
            <v xml:space="preserve">PAR0000021 </v>
          </cell>
          <cell r="E1094" t="str">
            <v>LA LEÑITA - C/EMPAQUE Y MECHERO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 t="str">
            <v>GCC</v>
          </cell>
          <cell r="K1094" t="str">
            <v>GCC</v>
          </cell>
          <cell r="L1094" t="str">
            <v>GCC</v>
          </cell>
          <cell r="M1094">
            <v>0</v>
          </cell>
          <cell r="N1094">
            <v>0</v>
          </cell>
          <cell r="O1094">
            <v>9.6300000000000008</v>
          </cell>
          <cell r="P1094">
            <v>12.63</v>
          </cell>
        </row>
        <row r="1095">
          <cell r="D1095" t="str">
            <v>DIS0000175</v>
          </cell>
          <cell r="E1095" t="str">
            <v>PAS ROBERTO CROCCHINI MIGNON SEMI DI SESAMO X 150GR</v>
          </cell>
          <cell r="F1095">
            <v>11.38</v>
          </cell>
          <cell r="G1095">
            <v>11.38</v>
          </cell>
          <cell r="H1095">
            <v>11.61</v>
          </cell>
          <cell r="I1095">
            <v>11.61</v>
          </cell>
          <cell r="J1095" t="str">
            <v>GCC</v>
          </cell>
          <cell r="K1095" t="str">
            <v>GCC</v>
          </cell>
          <cell r="L1095" t="str">
            <v>GCC</v>
          </cell>
          <cell r="M1095">
            <v>9.74</v>
          </cell>
          <cell r="N1095">
            <v>0</v>
          </cell>
          <cell r="O1095">
            <v>9.74</v>
          </cell>
          <cell r="P1095">
            <v>12.77</v>
          </cell>
        </row>
        <row r="1096">
          <cell r="D1096" t="str">
            <v>DIS0096</v>
          </cell>
          <cell r="E1096" t="str">
            <v>ACT II POP CORN NATURAL 80GR X 16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 t="str">
            <v>GCC</v>
          </cell>
          <cell r="K1096" t="str">
            <v>GCC</v>
          </cell>
          <cell r="L1096" t="str">
            <v>GCC</v>
          </cell>
          <cell r="M1096">
            <v>0</v>
          </cell>
          <cell r="N1096">
            <v>0</v>
          </cell>
          <cell r="O1096">
            <v>3.73</v>
          </cell>
          <cell r="P1096">
            <v>4.8899999999999997</v>
          </cell>
        </row>
        <row r="1097">
          <cell r="D1097" t="str">
            <v>DIS0000172</v>
          </cell>
          <cell r="E1097" t="str">
            <v>PAS ROBERTO CROCCHINI MIGNON GUSTO PIZZA X 150GR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 t="str">
            <v>GCC</v>
          </cell>
          <cell r="K1097" t="str">
            <v>GCC</v>
          </cell>
          <cell r="L1097" t="str">
            <v>GCC</v>
          </cell>
          <cell r="M1097">
            <v>9.74</v>
          </cell>
          <cell r="N1097">
            <v>0</v>
          </cell>
          <cell r="O1097">
            <v>9.74</v>
          </cell>
          <cell r="P1097">
            <v>12.77</v>
          </cell>
        </row>
        <row r="1098">
          <cell r="D1098" t="str">
            <v>PAR0000019</v>
          </cell>
          <cell r="E1098" t="str">
            <v>FOGON CARBON X 3 KG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 t="str">
            <v>GCC</v>
          </cell>
          <cell r="K1098" t="str">
            <v>GCC</v>
          </cell>
          <cell r="L1098" t="str">
            <v>GCC</v>
          </cell>
          <cell r="M1098">
            <v>13.28</v>
          </cell>
          <cell r="N1098">
            <v>0</v>
          </cell>
          <cell r="O1098">
            <v>13.54</v>
          </cell>
          <cell r="P1098">
            <v>16.48</v>
          </cell>
        </row>
        <row r="1099">
          <cell r="D1099" t="str">
            <v>DIS0000113</v>
          </cell>
          <cell r="E1099" t="str">
            <v>KMC SNYDER S PRETZEL MINI 9 OZ</v>
          </cell>
          <cell r="F1099">
            <v>14.5</v>
          </cell>
          <cell r="G1099">
            <v>14.5</v>
          </cell>
          <cell r="H1099">
            <v>14.79</v>
          </cell>
          <cell r="I1099">
            <v>14.79</v>
          </cell>
          <cell r="J1099" t="str">
            <v>GCC</v>
          </cell>
          <cell r="K1099" t="str">
            <v>GCC</v>
          </cell>
          <cell r="L1099" t="str">
            <v>GCC</v>
          </cell>
          <cell r="M1099">
            <v>0</v>
          </cell>
          <cell r="N1099">
            <v>0</v>
          </cell>
          <cell r="O1099">
            <v>12.41</v>
          </cell>
          <cell r="P1099">
            <v>16.27</v>
          </cell>
        </row>
        <row r="1100">
          <cell r="D1100" t="str">
            <v xml:space="preserve">PAR0000020 </v>
          </cell>
          <cell r="E1100" t="str">
            <v>FOGON CARBON X 5 KG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 t="str">
            <v>GCC</v>
          </cell>
          <cell r="K1100" t="str">
            <v>GCC</v>
          </cell>
          <cell r="L1100" t="str">
            <v>GCC</v>
          </cell>
          <cell r="M1100">
            <v>24.82</v>
          </cell>
          <cell r="N1100">
            <v>0</v>
          </cell>
          <cell r="O1100">
            <v>24.82</v>
          </cell>
          <cell r="P1100">
            <v>30.09</v>
          </cell>
        </row>
        <row r="1101">
          <cell r="D1101" t="str">
            <v>DIS0000493</v>
          </cell>
          <cell r="E1101" t="str">
            <v>INT WRIGLEY DOUBLEMINT 15 STK SLIM PACK</v>
          </cell>
          <cell r="F1101">
            <v>4.5</v>
          </cell>
          <cell r="G1101">
            <v>4.5</v>
          </cell>
          <cell r="H1101">
            <v>4.59</v>
          </cell>
          <cell r="I1101">
            <v>4.59</v>
          </cell>
          <cell r="J1101" t="str">
            <v>GCC</v>
          </cell>
          <cell r="K1101" t="str">
            <v>GCC</v>
          </cell>
          <cell r="L1101" t="str">
            <v>GCC</v>
          </cell>
          <cell r="M1101">
            <v>0</v>
          </cell>
          <cell r="N1101">
            <v>0</v>
          </cell>
          <cell r="O1101">
            <v>4.41</v>
          </cell>
          <cell r="P1101">
            <v>5.05</v>
          </cell>
        </row>
        <row r="1102">
          <cell r="D1102" t="str">
            <v>DIS0000494</v>
          </cell>
          <cell r="E1102" t="str">
            <v>INT WRIGLEY SPEARMINT 15 STK SLIM PACK</v>
          </cell>
          <cell r="F1102">
            <v>4.5</v>
          </cell>
          <cell r="G1102">
            <v>4.5</v>
          </cell>
          <cell r="H1102">
            <v>4.59</v>
          </cell>
          <cell r="I1102">
            <v>4.59</v>
          </cell>
          <cell r="J1102" t="str">
            <v>GCC</v>
          </cell>
          <cell r="K1102" t="str">
            <v>GCC</v>
          </cell>
          <cell r="L1102" t="str">
            <v>GCC</v>
          </cell>
          <cell r="M1102">
            <v>0</v>
          </cell>
          <cell r="N1102">
            <v>0</v>
          </cell>
          <cell r="O1102">
            <v>4.41</v>
          </cell>
          <cell r="P1102">
            <v>5.05</v>
          </cell>
        </row>
        <row r="1103">
          <cell r="D1103" t="str">
            <v>DIS0000646</v>
          </cell>
          <cell r="E1103" t="str">
            <v>VF PALMITOS ENTEROS X 190GR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 t="str">
            <v>GCC</v>
          </cell>
          <cell r="K1103" t="str">
            <v>GCC</v>
          </cell>
          <cell r="L1103" t="str">
            <v>GCC</v>
          </cell>
          <cell r="M1103">
            <v>0</v>
          </cell>
          <cell r="N1103">
            <v>0</v>
          </cell>
          <cell r="O1103">
            <v>5.92</v>
          </cell>
          <cell r="P1103">
            <v>7.76</v>
          </cell>
        </row>
        <row r="1104">
          <cell r="D1104" t="str">
            <v>DIS0000282</v>
          </cell>
          <cell r="E1104" t="str">
            <v>VF PIMIENTO DEL PIQUILLO X 290GR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 t="str">
            <v>GCC</v>
          </cell>
          <cell r="K1104" t="str">
            <v>GCC</v>
          </cell>
          <cell r="L1104" t="str">
            <v>GCC</v>
          </cell>
          <cell r="M1104">
            <v>0</v>
          </cell>
          <cell r="N1104">
            <v>0</v>
          </cell>
          <cell r="O1104">
            <v>6.59</v>
          </cell>
          <cell r="P1104">
            <v>8.64</v>
          </cell>
        </row>
        <row r="1105">
          <cell r="D1105" t="str">
            <v>DIS0000173</v>
          </cell>
          <cell r="E1105" t="str">
            <v>PAS ROBERTO CROCCHINI MIGNON ROSMARINO X 150GR</v>
          </cell>
          <cell r="F1105">
            <v>11.38</v>
          </cell>
          <cell r="G1105">
            <v>11.38</v>
          </cell>
          <cell r="H1105">
            <v>11.61</v>
          </cell>
          <cell r="I1105">
            <v>11.61</v>
          </cell>
          <cell r="J1105" t="str">
            <v>GCC</v>
          </cell>
          <cell r="K1105" t="str">
            <v>GCC</v>
          </cell>
          <cell r="L1105" t="str">
            <v>GCC</v>
          </cell>
          <cell r="M1105">
            <v>9.74</v>
          </cell>
          <cell r="N1105">
            <v>0</v>
          </cell>
          <cell r="O1105">
            <v>9.74</v>
          </cell>
          <cell r="P1105">
            <v>12.77</v>
          </cell>
        </row>
        <row r="1106">
          <cell r="D1106" t="str">
            <v>DIS0000277</v>
          </cell>
          <cell r="E1106" t="str">
            <v>VF ESPARRAGOS BLANCOS X 360GR</v>
          </cell>
          <cell r="F1106">
            <v>12.31</v>
          </cell>
          <cell r="G1106">
            <v>12.31</v>
          </cell>
          <cell r="H1106">
            <v>12.55</v>
          </cell>
          <cell r="I1106">
            <v>12.55</v>
          </cell>
          <cell r="J1106" t="str">
            <v>GCC</v>
          </cell>
          <cell r="K1106" t="str">
            <v>GCC</v>
          </cell>
          <cell r="L1106" t="str">
            <v>GCC</v>
          </cell>
          <cell r="M1106">
            <v>0</v>
          </cell>
          <cell r="N1106">
            <v>0</v>
          </cell>
          <cell r="O1106">
            <v>10.54</v>
          </cell>
          <cell r="P1106">
            <v>13.81</v>
          </cell>
        </row>
        <row r="1107">
          <cell r="D1107" t="str">
            <v>DIS0000262</v>
          </cell>
          <cell r="E1107" t="str">
            <v>VF ALCACHOFAS MARINADAS X 340 GR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 t="str">
            <v>GCC</v>
          </cell>
          <cell r="K1107" t="str">
            <v>GCC</v>
          </cell>
          <cell r="L1107" t="str">
            <v>GCC</v>
          </cell>
          <cell r="M1107">
            <v>0</v>
          </cell>
          <cell r="N1107">
            <v>0</v>
          </cell>
          <cell r="O1107">
            <v>10.07</v>
          </cell>
          <cell r="P1107">
            <v>13.2</v>
          </cell>
        </row>
        <row r="1108">
          <cell r="D1108" t="str">
            <v>DIS0000263</v>
          </cell>
          <cell r="E1108" t="str">
            <v>VF ALCAPARRAS X 100GR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 t="str">
            <v>GCC</v>
          </cell>
          <cell r="K1108" t="str">
            <v>GCC</v>
          </cell>
          <cell r="L1108" t="str">
            <v>GCC</v>
          </cell>
          <cell r="M1108">
            <v>6.99</v>
          </cell>
          <cell r="N1108">
            <v>0</v>
          </cell>
          <cell r="O1108">
            <v>8.27</v>
          </cell>
          <cell r="P1108">
            <v>9.17</v>
          </cell>
        </row>
        <row r="1109">
          <cell r="D1109" t="str">
            <v>DIS0000638</v>
          </cell>
          <cell r="E1109" t="str">
            <v>KMC PAM. ACEITE EN SPRAY ORIGINAL 6 OZ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 t="str">
            <v>GCC</v>
          </cell>
          <cell r="K1109" t="str">
            <v>GCC</v>
          </cell>
          <cell r="L1109" t="str">
            <v>GCC</v>
          </cell>
          <cell r="M1109">
            <v>0</v>
          </cell>
          <cell r="N1109">
            <v>0</v>
          </cell>
          <cell r="O1109">
            <v>20.55</v>
          </cell>
          <cell r="P1109">
            <v>26.94</v>
          </cell>
        </row>
        <row r="1110">
          <cell r="D1110" t="str">
            <v>PAR0000014</v>
          </cell>
          <cell r="E1110" t="str">
            <v>BRAZA MECHEROS X UND.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 t="str">
            <v>GCC</v>
          </cell>
          <cell r="K1110" t="str">
            <v>GCC</v>
          </cell>
          <cell r="L1110" t="str">
            <v>GCC</v>
          </cell>
          <cell r="M1110">
            <v>0</v>
          </cell>
          <cell r="N1110">
            <v>0</v>
          </cell>
          <cell r="O1110">
            <v>0.8</v>
          </cell>
          <cell r="P1110">
            <v>1.05</v>
          </cell>
        </row>
        <row r="1111">
          <cell r="D1111" t="str">
            <v>DIS0093</v>
          </cell>
          <cell r="E1111" t="str">
            <v>ACT II POP CORN SABOR MANTEQUILLA 80GR X16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 t="str">
            <v>GCC</v>
          </cell>
          <cell r="K1111" t="str">
            <v>GCC</v>
          </cell>
          <cell r="L1111" t="str">
            <v>GCC</v>
          </cell>
          <cell r="M1111">
            <v>0</v>
          </cell>
          <cell r="N1111">
            <v>0</v>
          </cell>
          <cell r="O1111">
            <v>3.73</v>
          </cell>
          <cell r="P1111">
            <v>4.8899999999999997</v>
          </cell>
        </row>
        <row r="1112">
          <cell r="D1112" t="str">
            <v>DIS0000273</v>
          </cell>
          <cell r="E1112" t="str">
            <v>VF CHAMPIÑONES X 310GR</v>
          </cell>
          <cell r="F1112">
            <v>15.03</v>
          </cell>
          <cell r="G1112">
            <v>15.03</v>
          </cell>
          <cell r="H1112">
            <v>15.33</v>
          </cell>
          <cell r="I1112">
            <v>15.33</v>
          </cell>
          <cell r="J1112" t="str">
            <v>GCC</v>
          </cell>
          <cell r="K1112" t="str">
            <v>GCC</v>
          </cell>
          <cell r="L1112" t="str">
            <v>GCC</v>
          </cell>
          <cell r="M1112">
            <v>0</v>
          </cell>
          <cell r="N1112">
            <v>0</v>
          </cell>
          <cell r="O1112">
            <v>12.86</v>
          </cell>
          <cell r="P1112">
            <v>16.86</v>
          </cell>
        </row>
        <row r="1113">
          <cell r="D1113" t="str">
            <v>DIS0000278</v>
          </cell>
          <cell r="E1113" t="str">
            <v>VF ESPARRAGOS VERDES X 360GR</v>
          </cell>
          <cell r="F1113">
            <v>12.82</v>
          </cell>
          <cell r="G1113">
            <v>12.82</v>
          </cell>
          <cell r="H1113">
            <v>13.08</v>
          </cell>
          <cell r="I1113">
            <v>13.08</v>
          </cell>
          <cell r="J1113" t="str">
            <v>GCC</v>
          </cell>
          <cell r="K1113" t="str">
            <v>GCC</v>
          </cell>
          <cell r="L1113" t="str">
            <v>GCC</v>
          </cell>
          <cell r="M1113">
            <v>0</v>
          </cell>
          <cell r="N1113">
            <v>0</v>
          </cell>
          <cell r="O1113">
            <v>10.97</v>
          </cell>
          <cell r="P1113">
            <v>14.38</v>
          </cell>
        </row>
        <row r="1114">
          <cell r="D1114" t="str">
            <v>DIS0000274</v>
          </cell>
          <cell r="E1114" t="str">
            <v>VF CHOCLITO BEBE X 340GR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 t="str">
            <v>GCC</v>
          </cell>
          <cell r="K1114" t="str">
            <v>GCC</v>
          </cell>
          <cell r="L1114" t="str">
            <v>GCC</v>
          </cell>
          <cell r="M1114">
            <v>0</v>
          </cell>
          <cell r="N1114">
            <v>0</v>
          </cell>
          <cell r="O1114">
            <v>10.94</v>
          </cell>
          <cell r="P1114">
            <v>14.34</v>
          </cell>
        </row>
        <row r="1115">
          <cell r="D1115" t="str">
            <v>DIS0000174</v>
          </cell>
          <cell r="E1115" t="str">
            <v>PAS ROBERTO CROCCHINI MIGNON SALATI X 150GR</v>
          </cell>
          <cell r="F1115">
            <v>11.38</v>
          </cell>
          <cell r="G1115">
            <v>11.38</v>
          </cell>
          <cell r="H1115">
            <v>11.61</v>
          </cell>
          <cell r="I1115">
            <v>11.61</v>
          </cell>
          <cell r="J1115" t="str">
            <v>GCC</v>
          </cell>
          <cell r="K1115" t="str">
            <v>GCC</v>
          </cell>
          <cell r="L1115" t="str">
            <v>GCC</v>
          </cell>
          <cell r="M1115">
            <v>9.74</v>
          </cell>
          <cell r="N1115">
            <v>0</v>
          </cell>
          <cell r="O1115">
            <v>9.74</v>
          </cell>
          <cell r="P1115">
            <v>12.77</v>
          </cell>
        </row>
        <row r="1116">
          <cell r="D1116" t="str">
            <v>MOZZ001</v>
          </cell>
          <cell r="E1116" t="str">
            <v>MOZZARELLA BARRA 2.722KG X8</v>
          </cell>
          <cell r="F1116">
            <v>99.9</v>
          </cell>
          <cell r="G1116">
            <v>99.9</v>
          </cell>
          <cell r="H1116">
            <v>99.9</v>
          </cell>
          <cell r="I1116">
            <v>99.9</v>
          </cell>
          <cell r="J1116" t="str">
            <v>PRR</v>
          </cell>
          <cell r="K1116" t="str">
            <v>OFD</v>
          </cell>
          <cell r="L1116" t="str">
            <v>OTR</v>
          </cell>
          <cell r="M1116">
            <v>0</v>
          </cell>
          <cell r="N1116">
            <v>0</v>
          </cell>
          <cell r="O1116">
            <v>91.13</v>
          </cell>
          <cell r="P1116">
            <v>99.99</v>
          </cell>
        </row>
        <row r="1117">
          <cell r="D1117" t="str">
            <v>CONG032</v>
          </cell>
          <cell r="E1117" t="str">
            <v>F77.PAPA - CRINKLE LW</v>
          </cell>
          <cell r="F1117">
            <v>22.5</v>
          </cell>
          <cell r="G1117">
            <v>22.5</v>
          </cell>
          <cell r="H1117">
            <v>22.5</v>
          </cell>
          <cell r="I1117">
            <v>22.5</v>
          </cell>
          <cell r="J1117" t="str">
            <v>PRR</v>
          </cell>
          <cell r="K1117" t="str">
            <v>OFD</v>
          </cell>
          <cell r="L1117" t="str">
            <v>OTR</v>
          </cell>
          <cell r="M1117">
            <v>0</v>
          </cell>
          <cell r="N1117">
            <v>0</v>
          </cell>
          <cell r="O1117">
            <v>17.27</v>
          </cell>
          <cell r="P1117">
            <v>22.5</v>
          </cell>
        </row>
        <row r="1118">
          <cell r="D1118" t="str">
            <v>MOZZ002</v>
          </cell>
          <cell r="E1118" t="str">
            <v>MOZZARELLA STICKS 960GR X6 LBS LW</v>
          </cell>
          <cell r="F1118">
            <v>49.8</v>
          </cell>
          <cell r="G1118">
            <v>49.8</v>
          </cell>
          <cell r="H1118">
            <v>49.8</v>
          </cell>
          <cell r="I1118">
            <v>49.8</v>
          </cell>
          <cell r="J1118" t="str">
            <v>PRR</v>
          </cell>
          <cell r="K1118" t="str">
            <v>OFD</v>
          </cell>
          <cell r="L1118" t="str">
            <v>OTR</v>
          </cell>
          <cell r="M1118">
            <v>0</v>
          </cell>
          <cell r="N1118">
            <v>0</v>
          </cell>
          <cell r="O1118">
            <v>43.81</v>
          </cell>
          <cell r="P1118">
            <v>49.8</v>
          </cell>
        </row>
        <row r="1119">
          <cell r="D1119" t="str">
            <v>HAMB70</v>
          </cell>
          <cell r="E1119" t="str">
            <v>MINI HAMBURGUESA DE RES 600GR X 12</v>
          </cell>
          <cell r="F1119">
            <v>34.9</v>
          </cell>
          <cell r="G1119">
            <v>34.9</v>
          </cell>
          <cell r="H1119">
            <v>34.9</v>
          </cell>
          <cell r="I1119">
            <v>34.9</v>
          </cell>
          <cell r="J1119" t="str">
            <v>PRR</v>
          </cell>
          <cell r="K1119" t="str">
            <v>OFD</v>
          </cell>
          <cell r="L1119" t="str">
            <v>OTR</v>
          </cell>
          <cell r="M1119">
            <v>0</v>
          </cell>
          <cell r="N1119">
            <v>0</v>
          </cell>
          <cell r="O1119">
            <v>19.670000000000002</v>
          </cell>
          <cell r="P1119">
            <v>34.9</v>
          </cell>
        </row>
        <row r="1120">
          <cell r="D1120" t="str">
            <v>SQ005</v>
          </cell>
          <cell r="E1120" t="str">
            <v>S.Q. CHAMP.PRIMADONNA X750MLX12</v>
          </cell>
          <cell r="F1120">
            <v>18.149999999999999</v>
          </cell>
          <cell r="G1120">
            <v>18.149999999999999</v>
          </cell>
          <cell r="H1120">
            <v>18.510000000000002</v>
          </cell>
          <cell r="I1120">
            <v>18.510000000000002</v>
          </cell>
          <cell r="J1120" t="str">
            <v>SQL</v>
          </cell>
          <cell r="K1120" t="str">
            <v>SQL</v>
          </cell>
          <cell r="L1120" t="str">
            <v>ESP</v>
          </cell>
          <cell r="M1120">
            <v>0</v>
          </cell>
          <cell r="N1120">
            <v>0</v>
          </cell>
          <cell r="O1120">
            <v>16.5</v>
          </cell>
          <cell r="P1120">
            <v>19.16</v>
          </cell>
        </row>
        <row r="1121">
          <cell r="D1121" t="str">
            <v>2022040</v>
          </cell>
          <cell r="E1121" t="str">
            <v>ESPUMANTE ROSE SQ 750ML X 12</v>
          </cell>
          <cell r="F1121">
            <v>14.89</v>
          </cell>
          <cell r="G1121">
            <v>14.89</v>
          </cell>
          <cell r="H1121">
            <v>15.18</v>
          </cell>
          <cell r="I1121">
            <v>15.18</v>
          </cell>
          <cell r="J1121" t="str">
            <v>SQL</v>
          </cell>
          <cell r="K1121" t="str">
            <v>SQL</v>
          </cell>
          <cell r="L1121" t="str">
            <v>ESP</v>
          </cell>
          <cell r="M1121">
            <v>0</v>
          </cell>
          <cell r="N1121">
            <v>0</v>
          </cell>
          <cell r="O1121">
            <v>0</v>
          </cell>
          <cell r="P1121">
            <v>15.72</v>
          </cell>
        </row>
        <row r="1122">
          <cell r="D1122" t="str">
            <v>2024040</v>
          </cell>
          <cell r="E1122" t="str">
            <v>ESPUMANTE BORGOÑA 750ML X 12</v>
          </cell>
          <cell r="F1122">
            <v>17.850000000000001</v>
          </cell>
          <cell r="G1122">
            <v>17.850000000000001</v>
          </cell>
          <cell r="H1122">
            <v>18.21</v>
          </cell>
          <cell r="I1122">
            <v>18.21</v>
          </cell>
          <cell r="J1122" t="str">
            <v>SQL</v>
          </cell>
          <cell r="K1122" t="str">
            <v>SQL</v>
          </cell>
          <cell r="L1122" t="str">
            <v>ESP</v>
          </cell>
          <cell r="M1122">
            <v>0</v>
          </cell>
          <cell r="N1122">
            <v>0</v>
          </cell>
          <cell r="O1122">
            <v>0</v>
          </cell>
          <cell r="P1122">
            <v>18.84</v>
          </cell>
        </row>
        <row r="1123">
          <cell r="D1123" t="str">
            <v>403739</v>
          </cell>
          <cell r="E1123" t="str">
            <v>CHORIZO FINAS HIERBAS 400GR BDT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 t="str">
            <v>SIG</v>
          </cell>
          <cell r="K1123" t="str">
            <v>BRT</v>
          </cell>
          <cell r="L1123" t="str">
            <v>CHO</v>
          </cell>
          <cell r="M1123">
            <v>0</v>
          </cell>
          <cell r="N1123">
            <v>0</v>
          </cell>
          <cell r="O1123">
            <v>13.6</v>
          </cell>
          <cell r="P1123">
            <v>36.49</v>
          </cell>
        </row>
        <row r="1124">
          <cell r="D1124" t="str">
            <v>403683</v>
          </cell>
          <cell r="E1124" t="str">
            <v>HOT DOG TRADICIONAL 200GR BDT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 t="str">
            <v>SIG</v>
          </cell>
          <cell r="K1124" t="str">
            <v>BRT</v>
          </cell>
          <cell r="L1124" t="str">
            <v>CHO</v>
          </cell>
          <cell r="M1124">
            <v>0</v>
          </cell>
          <cell r="N1124">
            <v>0</v>
          </cell>
          <cell r="O1124">
            <v>0</v>
          </cell>
          <cell r="P1124">
            <v>3.77</v>
          </cell>
        </row>
        <row r="1125">
          <cell r="D1125" t="str">
            <v>404959</v>
          </cell>
          <cell r="E1125" t="str">
            <v>CHORIZO PARRI PREC 2U 140GR BDT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 t="str">
            <v>SIG</v>
          </cell>
          <cell r="K1125" t="str">
            <v>BRT</v>
          </cell>
          <cell r="L1125" t="str">
            <v>CHO</v>
          </cell>
          <cell r="M1125">
            <v>0</v>
          </cell>
          <cell r="N1125">
            <v>0</v>
          </cell>
          <cell r="O1125">
            <v>0</v>
          </cell>
          <cell r="P1125">
            <v>3.38</v>
          </cell>
        </row>
        <row r="1126">
          <cell r="D1126" t="str">
            <v>404042</v>
          </cell>
          <cell r="E1126" t="str">
            <v>PACK JAMONADA Y EDAM 180GR BDT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 t="str">
            <v>SIG</v>
          </cell>
          <cell r="K1126" t="str">
            <v>BRT</v>
          </cell>
          <cell r="L1126" t="str">
            <v>CHO</v>
          </cell>
          <cell r="M1126">
            <v>0</v>
          </cell>
          <cell r="N1126">
            <v>0</v>
          </cell>
          <cell r="O1126">
            <v>0</v>
          </cell>
          <cell r="P1126">
            <v>6.75</v>
          </cell>
        </row>
        <row r="1127">
          <cell r="D1127" t="str">
            <v>403605</v>
          </cell>
          <cell r="E1127" t="str">
            <v>SALCHICHA HUACHO 150GR BDT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 t="str">
            <v>SIG</v>
          </cell>
          <cell r="K1127" t="str">
            <v>BRT</v>
          </cell>
          <cell r="L1127" t="str">
            <v>CHO</v>
          </cell>
          <cell r="M1127">
            <v>0</v>
          </cell>
          <cell r="N1127">
            <v>0</v>
          </cell>
          <cell r="O1127">
            <v>0</v>
          </cell>
          <cell r="P1127">
            <v>4.5199999999999996</v>
          </cell>
        </row>
        <row r="1128">
          <cell r="D1128" t="str">
            <v>04039</v>
          </cell>
          <cell r="E1128" t="str">
            <v>RON PLANTATION ORIGINAL DARK 1LT X6</v>
          </cell>
          <cell r="F1128">
            <v>89.02</v>
          </cell>
          <cell r="G1128">
            <v>89.02</v>
          </cell>
          <cell r="H1128">
            <v>92.58</v>
          </cell>
          <cell r="I1128">
            <v>92.58</v>
          </cell>
          <cell r="J1128" t="str">
            <v>PAN</v>
          </cell>
          <cell r="K1128" t="str">
            <v>PAN</v>
          </cell>
          <cell r="L1128" t="str">
            <v>RON</v>
          </cell>
          <cell r="M1128">
            <v>0</v>
          </cell>
          <cell r="N1128">
            <v>0</v>
          </cell>
          <cell r="O1128">
            <v>79.900000000000006</v>
          </cell>
          <cell r="P1128">
            <v>97.21</v>
          </cell>
        </row>
        <row r="1129">
          <cell r="D1129" t="str">
            <v>04019</v>
          </cell>
          <cell r="E1129" t="str">
            <v>RON PLANTATION OVERPROOF 69% 1LT X 6</v>
          </cell>
          <cell r="F1129">
            <v>159</v>
          </cell>
          <cell r="G1129">
            <v>159</v>
          </cell>
          <cell r="H1129">
            <v>165.36</v>
          </cell>
          <cell r="I1129">
            <v>165.36</v>
          </cell>
          <cell r="J1129" t="str">
            <v>PAN</v>
          </cell>
          <cell r="K1129" t="str">
            <v>PAN</v>
          </cell>
          <cell r="L1129" t="str">
            <v>RON</v>
          </cell>
          <cell r="M1129">
            <v>0</v>
          </cell>
          <cell r="N1129">
            <v>0</v>
          </cell>
          <cell r="O1129">
            <v>149</v>
          </cell>
          <cell r="P1129">
            <v>173.63</v>
          </cell>
        </row>
        <row r="1130">
          <cell r="D1130" t="str">
            <v>04003</v>
          </cell>
          <cell r="E1130" t="str">
            <v>RON PLANTATION 20 ANNIVERSARY XO 750ML X 6</v>
          </cell>
          <cell r="F1130">
            <v>211.26</v>
          </cell>
          <cell r="G1130">
            <v>211.26</v>
          </cell>
          <cell r="H1130">
            <v>219.71</v>
          </cell>
          <cell r="I1130">
            <v>219.71</v>
          </cell>
          <cell r="J1130" t="str">
            <v>PAN</v>
          </cell>
          <cell r="K1130" t="str">
            <v>PAN</v>
          </cell>
          <cell r="L1130" t="str">
            <v>RON</v>
          </cell>
          <cell r="M1130">
            <v>0</v>
          </cell>
          <cell r="N1130">
            <v>0</v>
          </cell>
          <cell r="O1130">
            <v>0</v>
          </cell>
          <cell r="P1130">
            <v>230.69</v>
          </cell>
        </row>
        <row r="1131">
          <cell r="D1131" t="str">
            <v>20006</v>
          </cell>
          <cell r="E1131" t="str">
            <v>RON MYERS ORIGINAL DARK 750MLX 6</v>
          </cell>
          <cell r="F1131">
            <v>46.4</v>
          </cell>
          <cell r="G1131">
            <v>46.4</v>
          </cell>
          <cell r="H1131">
            <v>48.25</v>
          </cell>
          <cell r="I1131">
            <v>48.25</v>
          </cell>
          <cell r="J1131" t="str">
            <v>PAN</v>
          </cell>
          <cell r="K1131" t="str">
            <v>PAN</v>
          </cell>
          <cell r="L1131" t="str">
            <v>RON</v>
          </cell>
          <cell r="M1131">
            <v>0</v>
          </cell>
          <cell r="N1131">
            <v>0</v>
          </cell>
          <cell r="O1131">
            <v>41.5</v>
          </cell>
          <cell r="P1131">
            <v>50.67</v>
          </cell>
        </row>
        <row r="1132">
          <cell r="D1132" t="str">
            <v>269747</v>
          </cell>
          <cell r="E1132" t="str">
            <v xml:space="preserve">JR. FOUR LOKO MANGO LATA 473ML X24 </v>
          </cell>
          <cell r="F1132">
            <v>9.1</v>
          </cell>
          <cell r="G1132">
            <v>9.1</v>
          </cell>
          <cell r="H1132">
            <v>9.1</v>
          </cell>
          <cell r="I1132">
            <v>9.1</v>
          </cell>
          <cell r="J1132" t="str">
            <v>4LO</v>
          </cell>
          <cell r="K1132" t="str">
            <v>FOU</v>
          </cell>
          <cell r="L1132" t="str">
            <v>FOU</v>
          </cell>
          <cell r="M1132">
            <v>0</v>
          </cell>
          <cell r="N1132">
            <v>0</v>
          </cell>
          <cell r="O1132">
            <v>0</v>
          </cell>
          <cell r="P1132">
            <v>9.1</v>
          </cell>
        </row>
        <row r="1133">
          <cell r="D1133" t="str">
            <v>209048</v>
          </cell>
          <cell r="E1133" t="str">
            <v xml:space="preserve">JR. FOUR LOKO GOLD LATA 473ML X24 </v>
          </cell>
          <cell r="F1133">
            <v>9.1</v>
          </cell>
          <cell r="G1133">
            <v>9.1</v>
          </cell>
          <cell r="H1133">
            <v>9.1</v>
          </cell>
          <cell r="I1133">
            <v>9.1</v>
          </cell>
          <cell r="J1133" t="str">
            <v>4LO</v>
          </cell>
          <cell r="K1133" t="str">
            <v>FOU</v>
          </cell>
          <cell r="L1133" t="str">
            <v>FOU</v>
          </cell>
          <cell r="M1133">
            <v>0</v>
          </cell>
          <cell r="N1133">
            <v>0</v>
          </cell>
          <cell r="O1133">
            <v>7.92</v>
          </cell>
          <cell r="P1133">
            <v>9.1</v>
          </cell>
        </row>
        <row r="1134">
          <cell r="D1134" t="str">
            <v>269051</v>
          </cell>
          <cell r="E1134" t="str">
            <v xml:space="preserve">JR. FOUR LOKO PONCHE DE FRUTAS LATA 473ML X24 </v>
          </cell>
          <cell r="F1134">
            <v>9.1</v>
          </cell>
          <cell r="G1134">
            <v>9.1</v>
          </cell>
          <cell r="H1134">
            <v>9.1</v>
          </cell>
          <cell r="I1134">
            <v>9.1</v>
          </cell>
          <cell r="J1134" t="str">
            <v>4LO</v>
          </cell>
          <cell r="K1134" t="str">
            <v>FOU</v>
          </cell>
          <cell r="L1134" t="str">
            <v>FOU</v>
          </cell>
          <cell r="M1134">
            <v>0</v>
          </cell>
          <cell r="N1134">
            <v>0</v>
          </cell>
          <cell r="O1134">
            <v>7.92</v>
          </cell>
          <cell r="P1134">
            <v>9.1</v>
          </cell>
        </row>
        <row r="1135">
          <cell r="D1135" t="str">
            <v>007428</v>
          </cell>
          <cell r="E1135" t="str">
            <v xml:space="preserve">JR. FOUR LOKO GOLD LATA 355ML X24 </v>
          </cell>
          <cell r="F1135">
            <v>6.59</v>
          </cell>
          <cell r="G1135">
            <v>6.59</v>
          </cell>
          <cell r="H1135">
            <v>6.59</v>
          </cell>
          <cell r="I1135">
            <v>6.59</v>
          </cell>
          <cell r="J1135" t="str">
            <v>4LO</v>
          </cell>
          <cell r="K1135" t="str">
            <v>FOU</v>
          </cell>
          <cell r="L1135" t="str">
            <v>FOU</v>
          </cell>
          <cell r="M1135">
            <v>0</v>
          </cell>
          <cell r="N1135">
            <v>0</v>
          </cell>
          <cell r="O1135">
            <v>0</v>
          </cell>
          <cell r="P1135">
            <v>6.59</v>
          </cell>
        </row>
        <row r="1136">
          <cell r="D1136" t="str">
            <v>269049</v>
          </cell>
          <cell r="E1136" t="str">
            <v>JR. FOUR LOKO BLUE LATA 473ML X24</v>
          </cell>
          <cell r="F1136">
            <v>9.1</v>
          </cell>
          <cell r="G1136">
            <v>9.1</v>
          </cell>
          <cell r="H1136">
            <v>9.1</v>
          </cell>
          <cell r="I1136">
            <v>9.1</v>
          </cell>
          <cell r="J1136" t="str">
            <v>4LO</v>
          </cell>
          <cell r="K1136" t="str">
            <v>FOU</v>
          </cell>
          <cell r="L1136" t="str">
            <v>FOU</v>
          </cell>
          <cell r="M1136">
            <v>0</v>
          </cell>
          <cell r="N1136">
            <v>0</v>
          </cell>
          <cell r="O1136">
            <v>8.32</v>
          </cell>
          <cell r="P1136">
            <v>9.1</v>
          </cell>
        </row>
        <row r="1137">
          <cell r="D1137" t="str">
            <v>007430</v>
          </cell>
          <cell r="E1137" t="str">
            <v>JR. FOUR LOKO SANDIA LATA 355ML X24</v>
          </cell>
          <cell r="F1137">
            <v>6.59</v>
          </cell>
          <cell r="G1137">
            <v>6.59</v>
          </cell>
          <cell r="H1137">
            <v>6.59</v>
          </cell>
          <cell r="I1137">
            <v>6.59</v>
          </cell>
          <cell r="J1137" t="str">
            <v>4LO</v>
          </cell>
          <cell r="K1137" t="str">
            <v>FOU</v>
          </cell>
          <cell r="L1137" t="str">
            <v>FOU</v>
          </cell>
          <cell r="M1137">
            <v>0</v>
          </cell>
          <cell r="N1137">
            <v>0</v>
          </cell>
          <cell r="O1137">
            <v>0</v>
          </cell>
          <cell r="P1137">
            <v>6.59</v>
          </cell>
        </row>
        <row r="1138">
          <cell r="D1138" t="str">
            <v>4981612</v>
          </cell>
          <cell r="E1138" t="str">
            <v xml:space="preserve">JR. FOUR LOKO WHITE 473ML X24 </v>
          </cell>
          <cell r="F1138">
            <v>9.1</v>
          </cell>
          <cell r="G1138">
            <v>9.1</v>
          </cell>
          <cell r="H1138">
            <v>9.1</v>
          </cell>
          <cell r="I1138">
            <v>9.1</v>
          </cell>
          <cell r="J1138" t="str">
            <v>4LO</v>
          </cell>
          <cell r="K1138" t="str">
            <v>FOU</v>
          </cell>
          <cell r="L1138" t="str">
            <v>FOU</v>
          </cell>
          <cell r="M1138">
            <v>0</v>
          </cell>
          <cell r="N1138">
            <v>0</v>
          </cell>
          <cell r="O1138">
            <v>8.36</v>
          </cell>
          <cell r="P1138">
            <v>9.1</v>
          </cell>
        </row>
        <row r="1139">
          <cell r="D1139" t="str">
            <v>269002</v>
          </cell>
          <cell r="E1139" t="str">
            <v>JR. FOUR LOKO SANDIA LATA 473ML X24</v>
          </cell>
          <cell r="F1139">
            <v>9.1</v>
          </cell>
          <cell r="G1139">
            <v>9.1</v>
          </cell>
          <cell r="H1139">
            <v>9.1</v>
          </cell>
          <cell r="I1139">
            <v>9.1</v>
          </cell>
          <cell r="J1139" t="str">
            <v>4LO</v>
          </cell>
          <cell r="K1139" t="str">
            <v>FOU</v>
          </cell>
          <cell r="L1139" t="str">
            <v>FOU</v>
          </cell>
          <cell r="M1139">
            <v>0</v>
          </cell>
          <cell r="N1139">
            <v>0</v>
          </cell>
          <cell r="O1139">
            <v>8.74</v>
          </cell>
          <cell r="P1139">
            <v>9.1</v>
          </cell>
        </row>
        <row r="1140">
          <cell r="D1140" t="str">
            <v>269050</v>
          </cell>
          <cell r="E1140" t="str">
            <v>JR. FOUR LOKO GREEN LATA 473ML X24</v>
          </cell>
          <cell r="F1140">
            <v>9.1</v>
          </cell>
          <cell r="G1140">
            <v>9.1</v>
          </cell>
          <cell r="H1140">
            <v>9.1</v>
          </cell>
          <cell r="I1140">
            <v>9.1</v>
          </cell>
          <cell r="J1140" t="str">
            <v>4LO</v>
          </cell>
          <cell r="K1140" t="str">
            <v>FOU</v>
          </cell>
          <cell r="L1140" t="str">
            <v>FOU</v>
          </cell>
          <cell r="M1140">
            <v>0</v>
          </cell>
          <cell r="N1140">
            <v>0</v>
          </cell>
          <cell r="O1140">
            <v>8.32</v>
          </cell>
          <cell r="P1140">
            <v>9.1</v>
          </cell>
        </row>
        <row r="1141">
          <cell r="D1141" t="str">
            <v>007427</v>
          </cell>
          <cell r="E1141" t="str">
            <v>JR. FOUR LOKO BLUE LATA 355ML X24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 t="str">
            <v>4LO</v>
          </cell>
          <cell r="K1141" t="str">
            <v>FOU</v>
          </cell>
          <cell r="L1141" t="str">
            <v>FOU</v>
          </cell>
          <cell r="M1141">
            <v>0</v>
          </cell>
          <cell r="N1141">
            <v>0</v>
          </cell>
          <cell r="O1141">
            <v>0</v>
          </cell>
          <cell r="P1141">
            <v>6.59</v>
          </cell>
        </row>
        <row r="1142">
          <cell r="D1142" t="str">
            <v>4980600</v>
          </cell>
          <cell r="E1142" t="str">
            <v>JR. FOUR LOKO MARACUYA LATA 473ML X24</v>
          </cell>
          <cell r="F1142">
            <v>9.1</v>
          </cell>
          <cell r="G1142">
            <v>9.1</v>
          </cell>
          <cell r="H1142">
            <v>9.1</v>
          </cell>
          <cell r="I1142">
            <v>9.1</v>
          </cell>
          <cell r="J1142" t="str">
            <v>4LO</v>
          </cell>
          <cell r="K1142" t="str">
            <v>FOU</v>
          </cell>
          <cell r="L1142" t="str">
            <v>FOU</v>
          </cell>
          <cell r="M1142">
            <v>0</v>
          </cell>
          <cell r="N1142">
            <v>0</v>
          </cell>
          <cell r="O1142">
            <v>8.74</v>
          </cell>
          <cell r="P1142">
            <v>9.1</v>
          </cell>
        </row>
        <row r="1143">
          <cell r="D1143" t="str">
            <v>269026</v>
          </cell>
          <cell r="E1143" t="str">
            <v>JR. FOUR LOKO PURPLE LATA 473ML X24</v>
          </cell>
          <cell r="F1143">
            <v>9.1</v>
          </cell>
          <cell r="G1143">
            <v>9.1</v>
          </cell>
          <cell r="H1143">
            <v>9.1</v>
          </cell>
          <cell r="I1143">
            <v>9.1</v>
          </cell>
          <cell r="J1143" t="str">
            <v>4LO</v>
          </cell>
          <cell r="K1143" t="str">
            <v>FOU</v>
          </cell>
          <cell r="L1143" t="str">
            <v>FOU</v>
          </cell>
          <cell r="M1143">
            <v>0</v>
          </cell>
          <cell r="N1143">
            <v>0</v>
          </cell>
          <cell r="O1143">
            <v>8.32</v>
          </cell>
          <cell r="P1143">
            <v>9.1</v>
          </cell>
        </row>
        <row r="1144">
          <cell r="D1144" t="str">
            <v>007429</v>
          </cell>
          <cell r="E1144" t="str">
            <v>JR. FOUR LOKO PURPLE LATA 355ML X24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 t="str">
            <v>4LO</v>
          </cell>
          <cell r="K1144" t="str">
            <v>FOU</v>
          </cell>
          <cell r="L1144" t="str">
            <v>FOU</v>
          </cell>
          <cell r="M1144">
            <v>0</v>
          </cell>
          <cell r="N1144">
            <v>0</v>
          </cell>
          <cell r="O1144">
            <v>0</v>
          </cell>
          <cell r="P1144">
            <v>6.59</v>
          </cell>
        </row>
        <row r="1145">
          <cell r="D1145" t="str">
            <v>198584</v>
          </cell>
          <cell r="E1145" t="str">
            <v>PF.NC EXTRA BRUT ESPUMANTE 750ML X6</v>
          </cell>
          <cell r="F1145">
            <v>41.5</v>
          </cell>
          <cell r="G1145">
            <v>41.5</v>
          </cell>
          <cell r="H1145">
            <v>42.33</v>
          </cell>
          <cell r="I1145">
            <v>42.33</v>
          </cell>
          <cell r="J1145" t="str">
            <v>PFA</v>
          </cell>
          <cell r="K1145" t="str">
            <v>LIC</v>
          </cell>
          <cell r="L1145" t="str">
            <v>NCO</v>
          </cell>
          <cell r="M1145">
            <v>0</v>
          </cell>
          <cell r="N1145">
            <v>0</v>
          </cell>
          <cell r="O1145">
            <v>36.6</v>
          </cell>
          <cell r="P1145">
            <v>46.56</v>
          </cell>
        </row>
        <row r="1146">
          <cell r="D1146" t="str">
            <v>184359</v>
          </cell>
          <cell r="E1146" t="str">
            <v>TRAPICHE BROQUEL MALBEC 750ML X 6</v>
          </cell>
          <cell r="F1146">
            <v>52.4</v>
          </cell>
          <cell r="G1146">
            <v>52.4</v>
          </cell>
          <cell r="H1146">
            <v>53.45</v>
          </cell>
          <cell r="I1146">
            <v>53.45</v>
          </cell>
          <cell r="J1146" t="str">
            <v>PFA</v>
          </cell>
          <cell r="K1146" t="str">
            <v>LIC</v>
          </cell>
          <cell r="L1146" t="str">
            <v>NCO</v>
          </cell>
          <cell r="M1146">
            <v>0</v>
          </cell>
          <cell r="N1146">
            <v>0</v>
          </cell>
          <cell r="O1146">
            <v>47</v>
          </cell>
          <cell r="P1146">
            <v>58.8</v>
          </cell>
        </row>
        <row r="1147">
          <cell r="D1147" t="str">
            <v>198910</v>
          </cell>
          <cell r="E1147" t="str">
            <v>PF.NC CP CHARDONNAY 750ML X6</v>
          </cell>
          <cell r="F1147">
            <v>39.4</v>
          </cell>
          <cell r="G1147">
            <v>39.4</v>
          </cell>
          <cell r="H1147">
            <v>43.3</v>
          </cell>
          <cell r="I1147">
            <v>43.3</v>
          </cell>
          <cell r="J1147" t="str">
            <v>PFA</v>
          </cell>
          <cell r="K1147" t="str">
            <v>LIC</v>
          </cell>
          <cell r="L1147" t="str">
            <v>NCO</v>
          </cell>
          <cell r="M1147">
            <v>0</v>
          </cell>
          <cell r="N1147">
            <v>0</v>
          </cell>
          <cell r="O1147">
            <v>38.299999999999997</v>
          </cell>
          <cell r="P1147">
            <v>47.63</v>
          </cell>
        </row>
        <row r="1148">
          <cell r="D1148" t="str">
            <v>140610</v>
          </cell>
          <cell r="E1148" t="str">
            <v>HERED.D.MARQ/RISCAL RESERVA 750ML X12</v>
          </cell>
          <cell r="F1148">
            <v>96.14</v>
          </cell>
          <cell r="G1148">
            <v>96.14</v>
          </cell>
          <cell r="H1148">
            <v>98.06</v>
          </cell>
          <cell r="I1148">
            <v>98.06</v>
          </cell>
          <cell r="J1148" t="str">
            <v>PFA</v>
          </cell>
          <cell r="K1148" t="str">
            <v>LIC</v>
          </cell>
          <cell r="L1148" t="str">
            <v>NCO</v>
          </cell>
          <cell r="M1148">
            <v>0</v>
          </cell>
          <cell r="N1148">
            <v>0</v>
          </cell>
          <cell r="O1148">
            <v>85.84</v>
          </cell>
          <cell r="P1148">
            <v>102.97</v>
          </cell>
        </row>
        <row r="1149">
          <cell r="D1149" t="str">
            <v>177352</v>
          </cell>
          <cell r="E1149" t="str">
            <v>PF.NC DULCET SPARKLING 750ML X6</v>
          </cell>
          <cell r="F1149">
            <v>41.5</v>
          </cell>
          <cell r="G1149">
            <v>41.5</v>
          </cell>
          <cell r="H1149">
            <v>42.33</v>
          </cell>
          <cell r="I1149">
            <v>42.33</v>
          </cell>
          <cell r="J1149" t="str">
            <v>PFA</v>
          </cell>
          <cell r="K1149" t="str">
            <v>LIC</v>
          </cell>
          <cell r="L1149" t="str">
            <v>NCO</v>
          </cell>
          <cell r="M1149">
            <v>0</v>
          </cell>
          <cell r="N1149">
            <v>0</v>
          </cell>
          <cell r="O1149">
            <v>36</v>
          </cell>
          <cell r="P1149">
            <v>46.56</v>
          </cell>
        </row>
        <row r="1150">
          <cell r="D1150" t="str">
            <v>198860</v>
          </cell>
          <cell r="E1150" t="str">
            <v>PF.NC CP SYRAH 750ML X6</v>
          </cell>
          <cell r="F1150">
            <v>39.4</v>
          </cell>
          <cell r="G1150">
            <v>39.4</v>
          </cell>
          <cell r="H1150">
            <v>43.3</v>
          </cell>
          <cell r="I1150">
            <v>43.3</v>
          </cell>
          <cell r="J1150" t="str">
            <v>PFA</v>
          </cell>
          <cell r="K1150" t="str">
            <v>LIC</v>
          </cell>
          <cell r="L1150" t="str">
            <v>NCO</v>
          </cell>
          <cell r="M1150">
            <v>0</v>
          </cell>
          <cell r="N1150">
            <v>0</v>
          </cell>
          <cell r="O1150">
            <v>38.299999999999997</v>
          </cell>
          <cell r="P1150">
            <v>47.63</v>
          </cell>
        </row>
        <row r="1151">
          <cell r="D1151" t="str">
            <v>238501</v>
          </cell>
          <cell r="E1151" t="str">
            <v>EVIAN AGUA 330ML S/GAS VIDRIO T/PLOMA</v>
          </cell>
          <cell r="F1151">
            <v>6.29</v>
          </cell>
          <cell r="G1151">
            <v>6.29</v>
          </cell>
          <cell r="H1151">
            <v>6.61</v>
          </cell>
          <cell r="I1151">
            <v>6.61</v>
          </cell>
          <cell r="J1151" t="str">
            <v>PFA</v>
          </cell>
          <cell r="K1151" t="str">
            <v>LIC</v>
          </cell>
          <cell r="L1151" t="str">
            <v>NCO</v>
          </cell>
          <cell r="M1151">
            <v>0</v>
          </cell>
          <cell r="N1151">
            <v>0</v>
          </cell>
          <cell r="O1151">
            <v>5.26</v>
          </cell>
          <cell r="P1151">
            <v>6.94</v>
          </cell>
        </row>
        <row r="1152">
          <cell r="D1152" t="str">
            <v>177303</v>
          </cell>
          <cell r="E1152" t="str">
            <v>PF.NC LOS ARBOLES RED BLEND 750ML X6</v>
          </cell>
          <cell r="F1152">
            <v>23.23</v>
          </cell>
          <cell r="G1152">
            <v>23.23</v>
          </cell>
          <cell r="H1152">
            <v>24.31</v>
          </cell>
          <cell r="I1152">
            <v>24.31</v>
          </cell>
          <cell r="J1152" t="str">
            <v>PFA</v>
          </cell>
          <cell r="K1152" t="str">
            <v>LIC</v>
          </cell>
          <cell r="L1152" t="str">
            <v>NCO</v>
          </cell>
          <cell r="M1152">
            <v>0</v>
          </cell>
          <cell r="N1152">
            <v>0</v>
          </cell>
          <cell r="O1152">
            <v>21.63</v>
          </cell>
          <cell r="P1152">
            <v>24.9</v>
          </cell>
        </row>
        <row r="1153">
          <cell r="D1153" t="str">
            <v>184352</v>
          </cell>
          <cell r="E1153" t="str">
            <v>TRAP.ASTICA CABERNET SAUV.750ML X12</v>
          </cell>
          <cell r="F1153">
            <v>17.329999999999998</v>
          </cell>
          <cell r="G1153">
            <v>17.329999999999998</v>
          </cell>
          <cell r="H1153">
            <v>17.670000000000002</v>
          </cell>
          <cell r="I1153">
            <v>17.670000000000002</v>
          </cell>
          <cell r="J1153" t="str">
            <v>PFA</v>
          </cell>
          <cell r="K1153" t="str">
            <v>LIC</v>
          </cell>
          <cell r="L1153" t="str">
            <v>NCO</v>
          </cell>
          <cell r="M1153">
            <v>0</v>
          </cell>
          <cell r="N1153">
            <v>0</v>
          </cell>
          <cell r="O1153">
            <v>0</v>
          </cell>
          <cell r="P1153">
            <v>19.440000000000001</v>
          </cell>
        </row>
        <row r="1154">
          <cell r="D1154" t="str">
            <v>140635</v>
          </cell>
          <cell r="E1154" t="str">
            <v>HERED.D.MARQ/TEMPRANILLO 750ML X12</v>
          </cell>
          <cell r="F1154">
            <v>46.07</v>
          </cell>
          <cell r="G1154">
            <v>46.07</v>
          </cell>
          <cell r="H1154">
            <v>47.38</v>
          </cell>
          <cell r="I1154">
            <v>47.38</v>
          </cell>
          <cell r="J1154" t="str">
            <v>PFA</v>
          </cell>
          <cell r="K1154" t="str">
            <v>LIC</v>
          </cell>
          <cell r="L1154" t="str">
            <v>NCO</v>
          </cell>
          <cell r="M1154">
            <v>0</v>
          </cell>
          <cell r="N1154">
            <v>0</v>
          </cell>
          <cell r="O1154">
            <v>38.909999999999997</v>
          </cell>
          <cell r="P1154">
            <v>49.56</v>
          </cell>
        </row>
        <row r="1155">
          <cell r="D1155" t="str">
            <v>198570</v>
          </cell>
          <cell r="E1155" t="str">
            <v>PF.NC BRUT MALBECK ROSE 750ML X6</v>
          </cell>
          <cell r="F1155">
            <v>41.5</v>
          </cell>
          <cell r="G1155">
            <v>41.5</v>
          </cell>
          <cell r="H1155">
            <v>42.33</v>
          </cell>
          <cell r="I1155">
            <v>42.33</v>
          </cell>
          <cell r="J1155" t="str">
            <v>PFA</v>
          </cell>
          <cell r="K1155" t="str">
            <v>LIC</v>
          </cell>
          <cell r="L1155" t="str">
            <v>NCO</v>
          </cell>
          <cell r="M1155">
            <v>0</v>
          </cell>
          <cell r="N1155">
            <v>0</v>
          </cell>
          <cell r="O1155">
            <v>36.6</v>
          </cell>
          <cell r="P1155">
            <v>46.56</v>
          </cell>
        </row>
        <row r="1156">
          <cell r="D1156" t="str">
            <v>184556</v>
          </cell>
          <cell r="E1156" t="str">
            <v>TRAPICHE RVA MALBEC 750ML X 6</v>
          </cell>
          <cell r="F1156">
            <v>46.51</v>
          </cell>
          <cell r="G1156">
            <v>46.51</v>
          </cell>
          <cell r="H1156">
            <v>47.44</v>
          </cell>
          <cell r="I1156">
            <v>47.44</v>
          </cell>
          <cell r="J1156" t="str">
            <v>PFA</v>
          </cell>
          <cell r="K1156" t="str">
            <v>LIC</v>
          </cell>
          <cell r="L1156" t="str">
            <v>NCO</v>
          </cell>
          <cell r="M1156">
            <v>0</v>
          </cell>
          <cell r="N1156">
            <v>0</v>
          </cell>
          <cell r="O1156">
            <v>33.01</v>
          </cell>
          <cell r="P1156">
            <v>52.18</v>
          </cell>
        </row>
        <row r="1157">
          <cell r="D1157" t="str">
            <v>238502</v>
          </cell>
          <cell r="E1157" t="str">
            <v>EVIAN AGUA C/GAS 330ML VIDRIO T/AZUL</v>
          </cell>
          <cell r="F1157">
            <v>6.29</v>
          </cell>
          <cell r="G1157">
            <v>6.29</v>
          </cell>
          <cell r="H1157">
            <v>6.61</v>
          </cell>
          <cell r="I1157">
            <v>6.61</v>
          </cell>
          <cell r="J1157" t="str">
            <v>PFA</v>
          </cell>
          <cell r="K1157" t="str">
            <v>LIC</v>
          </cell>
          <cell r="L1157" t="str">
            <v>NCO</v>
          </cell>
          <cell r="M1157">
            <v>0</v>
          </cell>
          <cell r="N1157">
            <v>0</v>
          </cell>
          <cell r="O1157">
            <v>0</v>
          </cell>
          <cell r="P1157">
            <v>6.94</v>
          </cell>
        </row>
        <row r="1158">
          <cell r="D1158" t="str">
            <v>184350</v>
          </cell>
          <cell r="E1158" t="str">
            <v>TRAP.ASTICA MERLOT-MALBEC 750ML X12</v>
          </cell>
          <cell r="F1158">
            <v>17.329999999999998</v>
          </cell>
          <cell r="G1158">
            <v>17.329999999999998</v>
          </cell>
          <cell r="H1158">
            <v>17.670000000000002</v>
          </cell>
          <cell r="I1158">
            <v>17.670000000000002</v>
          </cell>
          <cell r="J1158" t="str">
            <v>PFA</v>
          </cell>
          <cell r="K1158" t="str">
            <v>LIC</v>
          </cell>
          <cell r="L1158" t="str">
            <v>NCO</v>
          </cell>
          <cell r="M1158">
            <v>0</v>
          </cell>
          <cell r="N1158">
            <v>0</v>
          </cell>
          <cell r="O1158">
            <v>0</v>
          </cell>
          <cell r="P1158">
            <v>19.440000000000001</v>
          </cell>
        </row>
        <row r="1159">
          <cell r="D1159" t="str">
            <v>177325</v>
          </cell>
          <cell r="E1159" t="str">
            <v>NC LOS ARBOLES CABERN SUAVIGNON 750ML X6</v>
          </cell>
          <cell r="F1159">
            <v>23.23</v>
          </cell>
          <cell r="G1159">
            <v>23.23</v>
          </cell>
          <cell r="H1159">
            <v>24.31</v>
          </cell>
          <cell r="I1159">
            <v>24.31</v>
          </cell>
          <cell r="J1159" t="str">
            <v>PFA</v>
          </cell>
          <cell r="K1159" t="str">
            <v>LIC</v>
          </cell>
          <cell r="L1159" t="str">
            <v>NCO</v>
          </cell>
          <cell r="M1159">
            <v>0</v>
          </cell>
          <cell r="N1159">
            <v>0</v>
          </cell>
          <cell r="O1159">
            <v>18.96</v>
          </cell>
          <cell r="P1159">
            <v>26.74</v>
          </cell>
        </row>
        <row r="1160">
          <cell r="D1160" t="str">
            <v>198870</v>
          </cell>
          <cell r="E1160" t="str">
            <v>PF.NC CP MALBEC 750ML X6</v>
          </cell>
          <cell r="F1160">
            <v>39.4</v>
          </cell>
          <cell r="G1160">
            <v>39.4</v>
          </cell>
          <cell r="H1160">
            <v>43.3</v>
          </cell>
          <cell r="I1160">
            <v>43.3</v>
          </cell>
          <cell r="J1160" t="str">
            <v>PFA</v>
          </cell>
          <cell r="K1160" t="str">
            <v>LIC</v>
          </cell>
          <cell r="L1160" t="str">
            <v>NCO</v>
          </cell>
          <cell r="M1160">
            <v>0</v>
          </cell>
          <cell r="N1160">
            <v>0</v>
          </cell>
          <cell r="O1160">
            <v>34.11</v>
          </cell>
          <cell r="P1160">
            <v>47.63</v>
          </cell>
        </row>
        <row r="1161">
          <cell r="D1161" t="str">
            <v>198950</v>
          </cell>
          <cell r="E1161" t="str">
            <v>PF.NC CP CABER.SAUVIG 750ML X6</v>
          </cell>
          <cell r="F1161">
            <v>39.4</v>
          </cell>
          <cell r="G1161">
            <v>39.4</v>
          </cell>
          <cell r="H1161">
            <v>43.3</v>
          </cell>
          <cell r="I1161">
            <v>43.3</v>
          </cell>
          <cell r="J1161" t="str">
            <v>PFA</v>
          </cell>
          <cell r="K1161" t="str">
            <v>LIC</v>
          </cell>
          <cell r="L1161" t="str">
            <v>NCO</v>
          </cell>
          <cell r="M1161">
            <v>0</v>
          </cell>
          <cell r="N1161">
            <v>0</v>
          </cell>
          <cell r="O1161">
            <v>32.880000000000003</v>
          </cell>
          <cell r="P1161">
            <v>47.63</v>
          </cell>
        </row>
        <row r="1162">
          <cell r="D1162" t="str">
            <v>198960</v>
          </cell>
          <cell r="E1162" t="str">
            <v>PF.NC CP MERLOT 750ML X6</v>
          </cell>
          <cell r="F1162">
            <v>39.4</v>
          </cell>
          <cell r="G1162">
            <v>39.4</v>
          </cell>
          <cell r="H1162">
            <v>43.31</v>
          </cell>
          <cell r="I1162">
            <v>43.31</v>
          </cell>
          <cell r="J1162" t="str">
            <v>PFA</v>
          </cell>
          <cell r="K1162" t="str">
            <v>LIC</v>
          </cell>
          <cell r="L1162" t="str">
            <v>NCO</v>
          </cell>
          <cell r="M1162">
            <v>0</v>
          </cell>
          <cell r="N1162">
            <v>0</v>
          </cell>
          <cell r="O1162">
            <v>36.9</v>
          </cell>
          <cell r="P1162">
            <v>47.63</v>
          </cell>
        </row>
        <row r="1163">
          <cell r="D1163" t="str">
            <v>184351</v>
          </cell>
          <cell r="E1163" t="str">
            <v>TRAP.ASTICA SAUV(BLAN) SEMILLON 750ML X12</v>
          </cell>
          <cell r="F1163">
            <v>17.329999999999998</v>
          </cell>
          <cell r="G1163">
            <v>17.329999999999998</v>
          </cell>
          <cell r="H1163">
            <v>17.670000000000002</v>
          </cell>
          <cell r="I1163">
            <v>17.670000000000002</v>
          </cell>
          <cell r="J1163" t="str">
            <v>PFA</v>
          </cell>
          <cell r="K1163" t="str">
            <v>LIC</v>
          </cell>
          <cell r="L1163" t="str">
            <v>NCO</v>
          </cell>
          <cell r="M1163">
            <v>0</v>
          </cell>
          <cell r="N1163">
            <v>0</v>
          </cell>
          <cell r="O1163">
            <v>0</v>
          </cell>
          <cell r="P1163">
            <v>19.440000000000001</v>
          </cell>
        </row>
        <row r="1164">
          <cell r="D1164" t="str">
            <v>198850</v>
          </cell>
          <cell r="E1164" t="str">
            <v>PF.NC CP BLEND 750ML X6</v>
          </cell>
          <cell r="F1164">
            <v>39.4</v>
          </cell>
          <cell r="G1164">
            <v>39.4</v>
          </cell>
          <cell r="H1164">
            <v>43.3</v>
          </cell>
          <cell r="I1164">
            <v>43.3</v>
          </cell>
          <cell r="J1164" t="str">
            <v>PFA</v>
          </cell>
          <cell r="K1164" t="str">
            <v>LIC</v>
          </cell>
          <cell r="L1164" t="str">
            <v>NCO</v>
          </cell>
          <cell r="M1164">
            <v>0</v>
          </cell>
          <cell r="N1164">
            <v>0</v>
          </cell>
          <cell r="O1164">
            <v>36.9</v>
          </cell>
          <cell r="P1164">
            <v>47.63</v>
          </cell>
        </row>
        <row r="1165">
          <cell r="D1165" t="str">
            <v>177305</v>
          </cell>
          <cell r="E1165" t="str">
            <v>NC LOS ARBOLES CABERN  MALBEC 750ML X6</v>
          </cell>
          <cell r="F1165">
            <v>25.05</v>
          </cell>
          <cell r="G1165">
            <v>25.05</v>
          </cell>
          <cell r="H1165">
            <v>26.21</v>
          </cell>
          <cell r="I1165">
            <v>26.21</v>
          </cell>
          <cell r="J1165" t="str">
            <v>PFA</v>
          </cell>
          <cell r="K1165" t="str">
            <v>LIC</v>
          </cell>
          <cell r="L1165" t="str">
            <v>NCO</v>
          </cell>
          <cell r="M1165">
            <v>0</v>
          </cell>
          <cell r="N1165">
            <v>0</v>
          </cell>
          <cell r="O1165">
            <v>26.4</v>
          </cell>
          <cell r="P1165">
            <v>26.74</v>
          </cell>
        </row>
        <row r="1166">
          <cell r="D1166" t="str">
            <v>199185</v>
          </cell>
          <cell r="E1166" t="str">
            <v>PF.NC CP ROSADO 750ML X6</v>
          </cell>
          <cell r="F1166">
            <v>39.4</v>
          </cell>
          <cell r="G1166">
            <v>39.4</v>
          </cell>
          <cell r="H1166">
            <v>43.3</v>
          </cell>
          <cell r="I1166">
            <v>43.3</v>
          </cell>
          <cell r="J1166" t="str">
            <v>PFA</v>
          </cell>
          <cell r="K1166" t="str">
            <v>LIC</v>
          </cell>
          <cell r="L1166" t="str">
            <v>NCO</v>
          </cell>
          <cell r="M1166">
            <v>0</v>
          </cell>
          <cell r="N1166">
            <v>0</v>
          </cell>
          <cell r="O1166">
            <v>35.93</v>
          </cell>
          <cell r="P1166">
            <v>47.63</v>
          </cell>
        </row>
        <row r="1167">
          <cell r="D1167" t="str">
            <v>198720</v>
          </cell>
          <cell r="E1167" t="str">
            <v>PF.NC ALEG.CABERNET SAUVIG.750ML X6</v>
          </cell>
          <cell r="F1167">
            <v>83.15</v>
          </cell>
          <cell r="G1167">
            <v>83.15</v>
          </cell>
          <cell r="H1167">
            <v>91.1</v>
          </cell>
          <cell r="I1167">
            <v>91.1</v>
          </cell>
          <cell r="J1167" t="str">
            <v>PFA</v>
          </cell>
          <cell r="K1167" t="str">
            <v>LIC</v>
          </cell>
          <cell r="L1167" t="str">
            <v>NCO</v>
          </cell>
          <cell r="M1167">
            <v>0</v>
          </cell>
          <cell r="N1167">
            <v>0</v>
          </cell>
          <cell r="O1167">
            <v>64.86</v>
          </cell>
          <cell r="P1167">
            <v>99.3</v>
          </cell>
        </row>
        <row r="1168">
          <cell r="D1168" t="str">
            <v>184360</v>
          </cell>
          <cell r="E1168" t="str">
            <v>TRAPICHE BROQUEL CAB.SAUV 750ML X 6</v>
          </cell>
          <cell r="F1168">
            <v>52.4</v>
          </cell>
          <cell r="G1168">
            <v>52.4</v>
          </cell>
          <cell r="H1168">
            <v>53.45</v>
          </cell>
          <cell r="I1168">
            <v>53.45</v>
          </cell>
          <cell r="J1168" t="str">
            <v>PFA</v>
          </cell>
          <cell r="K1168" t="str">
            <v>LIC</v>
          </cell>
          <cell r="L1168" t="str">
            <v>NCO</v>
          </cell>
          <cell r="M1168">
            <v>0</v>
          </cell>
          <cell r="N1168">
            <v>0</v>
          </cell>
          <cell r="O1168">
            <v>47</v>
          </cell>
          <cell r="P1168">
            <v>58.8</v>
          </cell>
        </row>
        <row r="1169">
          <cell r="D1169" t="str">
            <v>184361</v>
          </cell>
          <cell r="E1169" t="str">
            <v>TRAPICHE BROQUEL CAB.FRANC 750ML X 6</v>
          </cell>
          <cell r="F1169">
            <v>52.4</v>
          </cell>
          <cell r="G1169">
            <v>52.4</v>
          </cell>
          <cell r="H1169">
            <v>53.45</v>
          </cell>
          <cell r="I1169">
            <v>53.45</v>
          </cell>
          <cell r="J1169" t="str">
            <v>PFA</v>
          </cell>
          <cell r="K1169" t="str">
            <v>LIC</v>
          </cell>
          <cell r="L1169" t="str">
            <v>NCO</v>
          </cell>
          <cell r="M1169">
            <v>0</v>
          </cell>
          <cell r="N1169">
            <v>0</v>
          </cell>
          <cell r="O1169">
            <v>47</v>
          </cell>
          <cell r="P1169">
            <v>58.8</v>
          </cell>
        </row>
        <row r="1170">
          <cell r="D1170" t="str">
            <v>196840</v>
          </cell>
          <cell r="E1170" t="str">
            <v>NC CP PINOT NOIR 750 ML X6</v>
          </cell>
          <cell r="F1170">
            <v>39.4</v>
          </cell>
          <cell r="G1170">
            <v>39.4</v>
          </cell>
          <cell r="H1170">
            <v>43.3</v>
          </cell>
          <cell r="I1170">
            <v>43.3</v>
          </cell>
          <cell r="J1170" t="str">
            <v>PFA</v>
          </cell>
          <cell r="K1170" t="str">
            <v>LIC</v>
          </cell>
          <cell r="L1170" t="str">
            <v>NCO</v>
          </cell>
          <cell r="M1170">
            <v>0</v>
          </cell>
          <cell r="N1170">
            <v>0</v>
          </cell>
          <cell r="O1170">
            <v>38.299999999999997</v>
          </cell>
          <cell r="P1170">
            <v>47.63</v>
          </cell>
        </row>
        <row r="1171">
          <cell r="D1171" t="str">
            <v>140620</v>
          </cell>
          <cell r="E1171" t="str">
            <v>HERED.D.MARQ/ROSADO 750ML X12</v>
          </cell>
          <cell r="F1171">
            <v>46.07</v>
          </cell>
          <cell r="G1171">
            <v>46.07</v>
          </cell>
          <cell r="H1171">
            <v>47.38</v>
          </cell>
          <cell r="I1171">
            <v>47.38</v>
          </cell>
          <cell r="J1171" t="str">
            <v>PFA</v>
          </cell>
          <cell r="K1171" t="str">
            <v>LIC</v>
          </cell>
          <cell r="L1171" t="str">
            <v>NCO</v>
          </cell>
          <cell r="M1171">
            <v>0</v>
          </cell>
          <cell r="N1171">
            <v>0</v>
          </cell>
          <cell r="O1171">
            <v>38.590000000000003</v>
          </cell>
          <cell r="P1171">
            <v>49.56</v>
          </cell>
        </row>
        <row r="1172">
          <cell r="D1172" t="str">
            <v>177335</v>
          </cell>
          <cell r="E1172" t="str">
            <v>PF.NC LOS ARBOLES MALBEC 750ML X6</v>
          </cell>
          <cell r="F1172">
            <v>23.23</v>
          </cell>
          <cell r="G1172">
            <v>23.23</v>
          </cell>
          <cell r="H1172">
            <v>24.31</v>
          </cell>
          <cell r="I1172">
            <v>24.31</v>
          </cell>
          <cell r="J1172" t="str">
            <v>PFA</v>
          </cell>
          <cell r="K1172" t="str">
            <v>LIC</v>
          </cell>
          <cell r="L1172" t="str">
            <v>NCO</v>
          </cell>
          <cell r="M1172">
            <v>0</v>
          </cell>
          <cell r="N1172">
            <v>0</v>
          </cell>
          <cell r="O1172">
            <v>24.51</v>
          </cell>
          <cell r="P1172">
            <v>26.74</v>
          </cell>
        </row>
        <row r="1173">
          <cell r="D1173" t="str">
            <v>184376</v>
          </cell>
          <cell r="E1173" t="str">
            <v>TRAP.MALBECK 187ML 4PACK X6</v>
          </cell>
          <cell r="F1173">
            <v>34</v>
          </cell>
          <cell r="G1173">
            <v>34</v>
          </cell>
          <cell r="H1173">
            <v>34.68</v>
          </cell>
          <cell r="I1173">
            <v>34.68</v>
          </cell>
          <cell r="J1173" t="str">
            <v>PFA</v>
          </cell>
          <cell r="K1173" t="str">
            <v>LIC</v>
          </cell>
          <cell r="L1173" t="str">
            <v>NCO</v>
          </cell>
          <cell r="M1173">
            <v>0</v>
          </cell>
          <cell r="N1173">
            <v>0</v>
          </cell>
          <cell r="O1173">
            <v>0</v>
          </cell>
          <cell r="P1173">
            <v>38.15</v>
          </cell>
        </row>
        <row r="1174">
          <cell r="D1174" t="str">
            <v>198940</v>
          </cell>
          <cell r="E1174" t="str">
            <v>PF.NC ALEG.MALBEC 750ML X6</v>
          </cell>
          <cell r="F1174">
            <v>91.1</v>
          </cell>
          <cell r="G1174">
            <v>91.1</v>
          </cell>
          <cell r="H1174">
            <v>91.1</v>
          </cell>
          <cell r="I1174">
            <v>91.1</v>
          </cell>
          <cell r="J1174" t="str">
            <v>PFA</v>
          </cell>
          <cell r="K1174" t="str">
            <v>LIC</v>
          </cell>
          <cell r="L1174" t="str">
            <v>NCO</v>
          </cell>
          <cell r="M1174">
            <v>0</v>
          </cell>
          <cell r="N1174">
            <v>0</v>
          </cell>
          <cell r="O1174">
            <v>80.89</v>
          </cell>
          <cell r="P1174">
            <v>99.3</v>
          </cell>
        </row>
        <row r="1175">
          <cell r="D1175" t="str">
            <v>140600</v>
          </cell>
          <cell r="E1175" t="str">
            <v>HERED.D.MARQ/RUEDA 750ML X6</v>
          </cell>
          <cell r="F1175">
            <v>46.07</v>
          </cell>
          <cell r="G1175">
            <v>46.07</v>
          </cell>
          <cell r="H1175">
            <v>47.38</v>
          </cell>
          <cell r="I1175">
            <v>47.38</v>
          </cell>
          <cell r="J1175" t="str">
            <v>PFA</v>
          </cell>
          <cell r="K1175" t="str">
            <v>LIC</v>
          </cell>
          <cell r="L1175" t="str">
            <v>NCO</v>
          </cell>
          <cell r="M1175">
            <v>0</v>
          </cell>
          <cell r="N1175">
            <v>0</v>
          </cell>
          <cell r="O1175">
            <v>38.909999999999997</v>
          </cell>
          <cell r="P1175">
            <v>49.56</v>
          </cell>
        </row>
        <row r="1176">
          <cell r="D1176" t="str">
            <v>0184557</v>
          </cell>
          <cell r="E1176" t="str">
            <v>TRAPICHE RVA CABERNET SAUV 750ML X 6</v>
          </cell>
          <cell r="F1176">
            <v>46.51</v>
          </cell>
          <cell r="G1176">
            <v>46.51</v>
          </cell>
          <cell r="H1176">
            <v>47.44</v>
          </cell>
          <cell r="I1176">
            <v>47.44</v>
          </cell>
          <cell r="J1176" t="str">
            <v>PFA</v>
          </cell>
          <cell r="K1176" t="str">
            <v>LIC</v>
          </cell>
          <cell r="L1176" t="str">
            <v>NCO</v>
          </cell>
          <cell r="M1176">
            <v>0</v>
          </cell>
          <cell r="N1176">
            <v>0</v>
          </cell>
          <cell r="O1176">
            <v>33.01</v>
          </cell>
          <cell r="P1176">
            <v>52.18</v>
          </cell>
        </row>
        <row r="1177">
          <cell r="D1177" t="str">
            <v>140612</v>
          </cell>
          <cell r="E1177" t="str">
            <v>HERED.D.MARQ/GRAN RESERVA 750ML X12</v>
          </cell>
          <cell r="F1177">
            <v>211.82</v>
          </cell>
          <cell r="G1177">
            <v>211.82</v>
          </cell>
          <cell r="H1177">
            <v>230.53</v>
          </cell>
          <cell r="I1177">
            <v>230.53</v>
          </cell>
          <cell r="J1177" t="str">
            <v>PFA</v>
          </cell>
          <cell r="K1177" t="str">
            <v>LIC</v>
          </cell>
          <cell r="L1177" t="str">
            <v>NCO</v>
          </cell>
          <cell r="M1177">
            <v>0</v>
          </cell>
          <cell r="N1177">
            <v>0</v>
          </cell>
          <cell r="O1177">
            <v>191.77</v>
          </cell>
          <cell r="P1177">
            <v>242.06</v>
          </cell>
        </row>
        <row r="1178">
          <cell r="D1178" t="str">
            <v>404836</v>
          </cell>
          <cell r="E1178" t="str">
            <v>MTO JAMON REDONDO AHUMADO PQ 0.5KG SEGO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 t="str">
            <v>SIG</v>
          </cell>
          <cell r="K1178" t="str">
            <v>SEG</v>
          </cell>
          <cell r="L1178" t="str">
            <v>JAM</v>
          </cell>
          <cell r="M1178">
            <v>0</v>
          </cell>
          <cell r="N1178">
            <v>0</v>
          </cell>
          <cell r="O1178">
            <v>0</v>
          </cell>
          <cell r="P1178">
            <v>14.19</v>
          </cell>
        </row>
        <row r="1179">
          <cell r="D1179" t="str">
            <v>404844</v>
          </cell>
          <cell r="E1179" t="str">
            <v>JAMÓN LONCHERA 100GR SEGO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 t="str">
            <v>SIG</v>
          </cell>
          <cell r="K1179" t="str">
            <v>SEG</v>
          </cell>
          <cell r="L1179" t="str">
            <v>JAM</v>
          </cell>
          <cell r="M1179">
            <v>0</v>
          </cell>
          <cell r="N1179">
            <v>0</v>
          </cell>
          <cell r="O1179">
            <v>0</v>
          </cell>
          <cell r="P1179">
            <v>2.0499999999999998</v>
          </cell>
        </row>
        <row r="1180">
          <cell r="D1180" t="str">
            <v>404829</v>
          </cell>
          <cell r="E1180" t="str">
            <v>JAMÓN AMERICANO 500GR SEGO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 t="str">
            <v>SIG</v>
          </cell>
          <cell r="K1180" t="str">
            <v>SEG</v>
          </cell>
          <cell r="L1180" t="str">
            <v>JAM</v>
          </cell>
          <cell r="M1180">
            <v>0</v>
          </cell>
          <cell r="N1180">
            <v>0</v>
          </cell>
          <cell r="O1180">
            <v>0</v>
          </cell>
          <cell r="P1180">
            <v>10.39</v>
          </cell>
        </row>
        <row r="1181">
          <cell r="D1181" t="str">
            <v>403509</v>
          </cell>
          <cell r="E1181" t="str">
            <v>JAMONADA DE POLLO 80GR HIERRO SEGO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 t="str">
            <v>SIG</v>
          </cell>
          <cell r="K1181" t="str">
            <v>SEG</v>
          </cell>
          <cell r="L1181" t="str">
            <v>JAM</v>
          </cell>
          <cell r="M1181">
            <v>0</v>
          </cell>
          <cell r="N1181">
            <v>0</v>
          </cell>
          <cell r="O1181">
            <v>0</v>
          </cell>
          <cell r="P1181">
            <v>1.41</v>
          </cell>
        </row>
        <row r="1182">
          <cell r="D1182" t="str">
            <v>53276</v>
          </cell>
          <cell r="E1182" t="str">
            <v>V/T CATENA MALBEC 750ML X 12</v>
          </cell>
          <cell r="F1182">
            <v>75.180000000000007</v>
          </cell>
          <cell r="G1182">
            <v>75.180000000000007</v>
          </cell>
          <cell r="H1182">
            <v>76.459999999999994</v>
          </cell>
          <cell r="I1182">
            <v>76.459999999999994</v>
          </cell>
          <cell r="J1182" t="str">
            <v>YIC</v>
          </cell>
          <cell r="K1182" t="str">
            <v>LIC</v>
          </cell>
          <cell r="L1182" t="str">
            <v>CAT</v>
          </cell>
          <cell r="M1182">
            <v>0</v>
          </cell>
          <cell r="N1182">
            <v>0</v>
          </cell>
          <cell r="O1182">
            <v>66.17</v>
          </cell>
          <cell r="P1182">
            <v>82.57</v>
          </cell>
        </row>
        <row r="1183">
          <cell r="D1183" t="str">
            <v>53271</v>
          </cell>
          <cell r="E1183" t="str">
            <v>CATENA ZAPATA NICASIA MALBEC  6 X 750ML</v>
          </cell>
          <cell r="F1183">
            <v>407.4</v>
          </cell>
          <cell r="G1183">
            <v>407.4</v>
          </cell>
          <cell r="H1183">
            <v>415.55</v>
          </cell>
          <cell r="I1183">
            <v>415.55</v>
          </cell>
          <cell r="J1183" t="str">
            <v>YIC</v>
          </cell>
          <cell r="K1183" t="str">
            <v>LIC</v>
          </cell>
          <cell r="L1183" t="str">
            <v>CAT</v>
          </cell>
          <cell r="M1183">
            <v>0</v>
          </cell>
          <cell r="N1183">
            <v>0</v>
          </cell>
          <cell r="O1183">
            <v>0</v>
          </cell>
          <cell r="P1183">
            <v>457.1</v>
          </cell>
        </row>
        <row r="1184">
          <cell r="D1184" t="str">
            <v>53274</v>
          </cell>
          <cell r="E1184" t="str">
            <v>V/T CATENA.CABERNET SAUVIGNON 750ML X12</v>
          </cell>
          <cell r="F1184">
            <v>75.180000000000007</v>
          </cell>
          <cell r="G1184">
            <v>75.180000000000007</v>
          </cell>
          <cell r="H1184">
            <v>76.459999999999994</v>
          </cell>
          <cell r="I1184">
            <v>76.459999999999994</v>
          </cell>
          <cell r="J1184" t="str">
            <v>YIC</v>
          </cell>
          <cell r="K1184" t="str">
            <v>LIC</v>
          </cell>
          <cell r="L1184" t="str">
            <v>CAT</v>
          </cell>
          <cell r="M1184">
            <v>0</v>
          </cell>
          <cell r="N1184">
            <v>0</v>
          </cell>
          <cell r="O1184">
            <v>76.42</v>
          </cell>
          <cell r="P1184">
            <v>82.57</v>
          </cell>
        </row>
        <row r="1185">
          <cell r="D1185" t="str">
            <v>53292</v>
          </cell>
          <cell r="E1185" t="str">
            <v>CATENA ZAPATA MALBEC ARGENTINO 6 X 750ML</v>
          </cell>
          <cell r="F1185">
            <v>383.29</v>
          </cell>
          <cell r="G1185">
            <v>383.29</v>
          </cell>
          <cell r="H1185">
            <v>390.96</v>
          </cell>
          <cell r="I1185">
            <v>390.96</v>
          </cell>
          <cell r="J1185" t="str">
            <v>YIC</v>
          </cell>
          <cell r="K1185" t="str">
            <v>LIC</v>
          </cell>
          <cell r="L1185" t="str">
            <v>CAT</v>
          </cell>
          <cell r="M1185">
            <v>0</v>
          </cell>
          <cell r="N1185">
            <v>0</v>
          </cell>
          <cell r="O1185">
            <v>416.84</v>
          </cell>
          <cell r="P1185">
            <v>430.05</v>
          </cell>
        </row>
        <row r="1186">
          <cell r="D1186" t="str">
            <v>50682</v>
          </cell>
          <cell r="E1186" t="str">
            <v>HERSHEYS KISSES COOKIES N CREME 102GR</v>
          </cell>
          <cell r="F1186">
            <v>11.53</v>
          </cell>
          <cell r="G1186">
            <v>11.53</v>
          </cell>
          <cell r="H1186">
            <v>11.71</v>
          </cell>
          <cell r="I1186">
            <v>11.71</v>
          </cell>
          <cell r="J1186" t="str">
            <v>YIC</v>
          </cell>
          <cell r="K1186" t="str">
            <v>CAR</v>
          </cell>
          <cell r="L1186" t="str">
            <v>CAR</v>
          </cell>
          <cell r="M1186">
            <v>0</v>
          </cell>
          <cell r="N1186">
            <v>0</v>
          </cell>
          <cell r="O1186">
            <v>10.029999999999999</v>
          </cell>
          <cell r="P1186">
            <v>11.71</v>
          </cell>
        </row>
        <row r="1187">
          <cell r="D1187" t="str">
            <v>51452</v>
          </cell>
          <cell r="E1187" t="str">
            <v>HERSHEYS CORAZ. ROSADO COOKIES N CREME 102GR</v>
          </cell>
          <cell r="F1187">
            <v>14.2</v>
          </cell>
          <cell r="G1187">
            <v>14.2</v>
          </cell>
          <cell r="H1187">
            <v>14.41</v>
          </cell>
          <cell r="I1187">
            <v>14.41</v>
          </cell>
          <cell r="J1187" t="str">
            <v>YIC</v>
          </cell>
          <cell r="K1187" t="str">
            <v>CAR</v>
          </cell>
          <cell r="L1187" t="str">
            <v>CAR</v>
          </cell>
          <cell r="M1187">
            <v>0</v>
          </cell>
          <cell r="N1187">
            <v>0</v>
          </cell>
          <cell r="O1187">
            <v>10.58</v>
          </cell>
          <cell r="P1187">
            <v>13.88</v>
          </cell>
        </row>
        <row r="1188">
          <cell r="D1188" t="str">
            <v>44310</v>
          </cell>
          <cell r="E1188" t="str">
            <v>HERSHEYS KISSES COOKIES N CREME 74GR</v>
          </cell>
          <cell r="F1188">
            <v>8.86</v>
          </cell>
          <cell r="G1188">
            <v>8.86</v>
          </cell>
          <cell r="H1188">
            <v>8.99</v>
          </cell>
          <cell r="I1188">
            <v>8.99</v>
          </cell>
          <cell r="J1188" t="str">
            <v>YIC</v>
          </cell>
          <cell r="K1188" t="str">
            <v>CAR</v>
          </cell>
          <cell r="L1188" t="str">
            <v>CAR</v>
          </cell>
          <cell r="M1188">
            <v>0</v>
          </cell>
          <cell r="N1188">
            <v>0</v>
          </cell>
          <cell r="O1188">
            <v>5.83</v>
          </cell>
          <cell r="P1188">
            <v>6.75</v>
          </cell>
        </row>
        <row r="1189">
          <cell r="D1189" t="str">
            <v>50681</v>
          </cell>
          <cell r="E1189" t="str">
            <v>HERSHEYS KISSES MILK CHOCOLATE 102GR</v>
          </cell>
          <cell r="F1189">
            <v>11.53</v>
          </cell>
          <cell r="G1189">
            <v>11.53</v>
          </cell>
          <cell r="H1189">
            <v>11.71</v>
          </cell>
          <cell r="I1189">
            <v>11.71</v>
          </cell>
          <cell r="J1189" t="str">
            <v>YIC</v>
          </cell>
          <cell r="K1189" t="str">
            <v>CAR</v>
          </cell>
          <cell r="L1189" t="str">
            <v>CAR</v>
          </cell>
          <cell r="M1189">
            <v>0</v>
          </cell>
          <cell r="N1189">
            <v>0</v>
          </cell>
          <cell r="O1189">
            <v>10.029999999999999</v>
          </cell>
          <cell r="P1189">
            <v>11.71</v>
          </cell>
        </row>
        <row r="1190">
          <cell r="D1190" t="str">
            <v>49209</v>
          </cell>
          <cell r="E1190" t="str">
            <v>HERSHEYS KISSES MILK CHOCOLATE 74GR</v>
          </cell>
          <cell r="F1190">
            <v>8.86</v>
          </cell>
          <cell r="G1190">
            <v>8.86</v>
          </cell>
          <cell r="H1190">
            <v>8.99</v>
          </cell>
          <cell r="I1190">
            <v>8.99</v>
          </cell>
          <cell r="J1190" t="str">
            <v>YIC</v>
          </cell>
          <cell r="K1190" t="str">
            <v>CAR</v>
          </cell>
          <cell r="L1190" t="str">
            <v>CAR</v>
          </cell>
          <cell r="M1190">
            <v>0</v>
          </cell>
          <cell r="N1190">
            <v>0</v>
          </cell>
          <cell r="O1190">
            <v>5.83</v>
          </cell>
          <cell r="P1190">
            <v>6.75</v>
          </cell>
        </row>
        <row r="1191">
          <cell r="D1191" t="str">
            <v>53103</v>
          </cell>
          <cell r="E1191" t="str">
            <v>DOYBAG HERSHEYS MINIAT 120GR X 9 DS</v>
          </cell>
          <cell r="F1191">
            <v>9.83</v>
          </cell>
          <cell r="G1191">
            <v>9.83</v>
          </cell>
          <cell r="H1191">
            <v>9.98</v>
          </cell>
          <cell r="I1191">
            <v>9.98</v>
          </cell>
          <cell r="J1191" t="str">
            <v>YIC</v>
          </cell>
          <cell r="K1191" t="str">
            <v>CAR</v>
          </cell>
          <cell r="L1191" t="str">
            <v>CAR</v>
          </cell>
          <cell r="M1191">
            <v>0</v>
          </cell>
          <cell r="N1191">
            <v>0</v>
          </cell>
          <cell r="O1191">
            <v>8.99</v>
          </cell>
          <cell r="P1191">
            <v>10.49</v>
          </cell>
        </row>
        <row r="1192">
          <cell r="D1192" t="str">
            <v>49701</v>
          </cell>
          <cell r="E1192" t="str">
            <v>HERSHEYS KISSES CHOC.C/ LECHE Y ALMENDRAS 74GR</v>
          </cell>
          <cell r="F1192">
            <v>8.86</v>
          </cell>
          <cell r="G1192">
            <v>8.86</v>
          </cell>
          <cell r="H1192">
            <v>8.99</v>
          </cell>
          <cell r="I1192">
            <v>8.99</v>
          </cell>
          <cell r="J1192" t="str">
            <v>YIC</v>
          </cell>
          <cell r="K1192" t="str">
            <v>CAR</v>
          </cell>
          <cell r="L1192" t="str">
            <v>CAR</v>
          </cell>
          <cell r="M1192">
            <v>0</v>
          </cell>
          <cell r="N1192">
            <v>0</v>
          </cell>
          <cell r="O1192">
            <v>6.4</v>
          </cell>
          <cell r="P1192">
            <v>8.99</v>
          </cell>
        </row>
        <row r="1193">
          <cell r="D1193" t="str">
            <v>53104</v>
          </cell>
          <cell r="E1193" t="str">
            <v xml:space="preserve">DOYBAG HERSHEYS NUGG CHOC 120GR </v>
          </cell>
          <cell r="F1193">
            <v>9.83</v>
          </cell>
          <cell r="G1193">
            <v>9.83</v>
          </cell>
          <cell r="H1193">
            <v>9.98</v>
          </cell>
          <cell r="I1193">
            <v>9.98</v>
          </cell>
          <cell r="J1193" t="str">
            <v>YIC</v>
          </cell>
          <cell r="K1193" t="str">
            <v>CAR</v>
          </cell>
          <cell r="L1193" t="str">
            <v>CAR</v>
          </cell>
          <cell r="M1193">
            <v>0</v>
          </cell>
          <cell r="N1193">
            <v>0</v>
          </cell>
          <cell r="O1193">
            <v>0</v>
          </cell>
          <cell r="P1193">
            <v>9.98</v>
          </cell>
        </row>
        <row r="1194">
          <cell r="D1194" t="str">
            <v>47111</v>
          </cell>
          <cell r="E1194" t="str">
            <v>BOMBOM ROCHER FERRERO 3X16UN X6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 t="str">
            <v>YIC</v>
          </cell>
          <cell r="K1194" t="str">
            <v>YIC</v>
          </cell>
          <cell r="L1194" t="str">
            <v>YIC</v>
          </cell>
          <cell r="M1194">
            <v>0</v>
          </cell>
          <cell r="N1194">
            <v>0</v>
          </cell>
          <cell r="O1194">
            <v>0</v>
          </cell>
          <cell r="P1194">
            <v>6.22</v>
          </cell>
        </row>
        <row r="1195">
          <cell r="D1195" t="str">
            <v>403743</v>
          </cell>
          <cell r="E1195" t="str">
            <v>BOLA TIPO MOZZARELLA 200GR BDT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 t="str">
            <v>SIG</v>
          </cell>
          <cell r="K1195" t="str">
            <v>BRT</v>
          </cell>
          <cell r="L1195" t="str">
            <v>MOZ</v>
          </cell>
          <cell r="M1195">
            <v>0</v>
          </cell>
          <cell r="N1195">
            <v>0</v>
          </cell>
          <cell r="O1195">
            <v>0</v>
          </cell>
          <cell r="P1195">
            <v>9.65</v>
          </cell>
        </row>
        <row r="1196">
          <cell r="D1196" t="str">
            <v>403526</v>
          </cell>
          <cell r="E1196" t="str">
            <v>QUESO MOZZARELLA 90GR BDT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 t="str">
            <v>SIG</v>
          </cell>
          <cell r="K1196" t="str">
            <v>BRT</v>
          </cell>
          <cell r="L1196" t="str">
            <v>MOZ</v>
          </cell>
          <cell r="M1196">
            <v>0</v>
          </cell>
          <cell r="N1196">
            <v>0</v>
          </cell>
          <cell r="O1196">
            <v>0</v>
          </cell>
          <cell r="P1196">
            <v>5.09</v>
          </cell>
        </row>
        <row r="1197">
          <cell r="D1197" t="str">
            <v>404092</v>
          </cell>
          <cell r="E1197" t="str">
            <v>QUESO EDAM 90GR BDT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 t="str">
            <v>SIG</v>
          </cell>
          <cell r="K1197" t="str">
            <v>BRT</v>
          </cell>
          <cell r="L1197" t="str">
            <v>MOZ</v>
          </cell>
          <cell r="M1197">
            <v>0</v>
          </cell>
          <cell r="N1197">
            <v>0</v>
          </cell>
          <cell r="O1197">
            <v>3.98</v>
          </cell>
          <cell r="P1197">
            <v>4.8</v>
          </cell>
        </row>
        <row r="1198">
          <cell r="D1198" t="str">
            <v>HAMB02</v>
          </cell>
          <cell r="E1198" t="str">
            <v>HAMBUR.D-CERDO 190G OSSO X 4</v>
          </cell>
          <cell r="F1198">
            <v>43.5</v>
          </cell>
          <cell r="G1198">
            <v>43.5</v>
          </cell>
          <cell r="H1198">
            <v>43.5</v>
          </cell>
          <cell r="I1198">
            <v>43.5</v>
          </cell>
          <cell r="J1198" t="str">
            <v>PRR</v>
          </cell>
          <cell r="K1198" t="str">
            <v>OFD</v>
          </cell>
          <cell r="L1198" t="str">
            <v>HAMB</v>
          </cell>
          <cell r="M1198">
            <v>0</v>
          </cell>
          <cell r="N1198">
            <v>0</v>
          </cell>
          <cell r="O1198">
            <v>33.9</v>
          </cell>
          <cell r="P1198">
            <v>43.5</v>
          </cell>
        </row>
        <row r="1199">
          <cell r="D1199" t="str">
            <v>HAMB05</v>
          </cell>
          <cell r="E1199" t="str">
            <v>HAMBURGUESA RES 190GR OSSO</v>
          </cell>
          <cell r="F1199">
            <v>49.9</v>
          </cell>
          <cell r="G1199">
            <v>49.9</v>
          </cell>
          <cell r="H1199">
            <v>49.9</v>
          </cell>
          <cell r="I1199">
            <v>49.9</v>
          </cell>
          <cell r="J1199" t="str">
            <v>PRR</v>
          </cell>
          <cell r="K1199" t="str">
            <v>OFD</v>
          </cell>
          <cell r="L1199" t="str">
            <v>HAMB</v>
          </cell>
          <cell r="M1199">
            <v>0</v>
          </cell>
          <cell r="N1199">
            <v>0</v>
          </cell>
          <cell r="O1199">
            <v>34.83</v>
          </cell>
          <cell r="P1199">
            <v>49.9</v>
          </cell>
        </row>
        <row r="1200">
          <cell r="D1200" t="str">
            <v>HAMB68</v>
          </cell>
          <cell r="E1200" t="str">
            <v>HAMBUR.MNIBURGUER 50GR X12 BEST MEATS</v>
          </cell>
          <cell r="F1200">
            <v>49.9</v>
          </cell>
          <cell r="G1200">
            <v>49.9</v>
          </cell>
          <cell r="H1200">
            <v>49.9</v>
          </cell>
          <cell r="I1200">
            <v>49.9</v>
          </cell>
          <cell r="J1200" t="str">
            <v>PRR</v>
          </cell>
          <cell r="K1200" t="str">
            <v>OFD</v>
          </cell>
          <cell r="L1200" t="str">
            <v>HAMB</v>
          </cell>
          <cell r="M1200">
            <v>0</v>
          </cell>
          <cell r="N1200">
            <v>0</v>
          </cell>
          <cell r="O1200">
            <v>39.83</v>
          </cell>
          <cell r="P1200">
            <v>56.9</v>
          </cell>
        </row>
        <row r="1201">
          <cell r="D1201" t="str">
            <v>HAMB03</v>
          </cell>
          <cell r="E1201" t="str">
            <v>HAMBUR.D-BIFE 200GR X4 BEST MEATS</v>
          </cell>
          <cell r="F1201">
            <v>56</v>
          </cell>
          <cell r="G1201">
            <v>56</v>
          </cell>
          <cell r="H1201">
            <v>56</v>
          </cell>
          <cell r="I1201">
            <v>56</v>
          </cell>
          <cell r="J1201" t="str">
            <v>PRR</v>
          </cell>
          <cell r="K1201" t="str">
            <v>OFD</v>
          </cell>
          <cell r="L1201" t="str">
            <v>HAMB</v>
          </cell>
          <cell r="M1201">
            <v>0</v>
          </cell>
          <cell r="N1201">
            <v>0</v>
          </cell>
          <cell r="O1201">
            <v>44.67</v>
          </cell>
          <cell r="P1201">
            <v>63.9</v>
          </cell>
        </row>
        <row r="1202">
          <cell r="D1202" t="str">
            <v>HAMB01</v>
          </cell>
          <cell r="E1202" t="str">
            <v>HAMBUR.ANGUS 200GR X4 BEST MEATS</v>
          </cell>
          <cell r="F1202">
            <v>59.9</v>
          </cell>
          <cell r="G1202">
            <v>59.9</v>
          </cell>
          <cell r="H1202">
            <v>59.9</v>
          </cell>
          <cell r="I1202">
            <v>59.9</v>
          </cell>
          <cell r="J1202" t="str">
            <v>PRR</v>
          </cell>
          <cell r="K1202" t="str">
            <v>OFD</v>
          </cell>
          <cell r="L1202" t="str">
            <v>HAMB</v>
          </cell>
          <cell r="M1202">
            <v>0</v>
          </cell>
          <cell r="N1202">
            <v>0</v>
          </cell>
          <cell r="O1202">
            <v>46.9</v>
          </cell>
          <cell r="P1202">
            <v>66.900000000000006</v>
          </cell>
        </row>
        <row r="1203">
          <cell r="D1203" t="str">
            <v>9806</v>
          </cell>
          <cell r="E1203" t="str">
            <v>BUBLE TAPE AWESOME ORIG.56.7GR X 6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 t="str">
            <v>PFA</v>
          </cell>
          <cell r="K1203" t="str">
            <v>MRS</v>
          </cell>
          <cell r="L1203" t="str">
            <v>MRS</v>
          </cell>
          <cell r="M1203">
            <v>0</v>
          </cell>
          <cell r="N1203">
            <v>0</v>
          </cell>
          <cell r="O1203">
            <v>6.5</v>
          </cell>
          <cell r="P1203">
            <v>10.1</v>
          </cell>
        </row>
        <row r="1204">
          <cell r="D1204" t="str">
            <v>212439</v>
          </cell>
          <cell r="E1204" t="str">
            <v>SNICKERS SNACK 21.5G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  <cell r="J1204" t="str">
            <v>PFA</v>
          </cell>
          <cell r="K1204" t="str">
            <v>MRS</v>
          </cell>
          <cell r="L1204" t="str">
            <v>MRS</v>
          </cell>
          <cell r="M1204">
            <v>0</v>
          </cell>
          <cell r="N1204">
            <v>0</v>
          </cell>
          <cell r="O1204">
            <v>1.35</v>
          </cell>
          <cell r="P1204">
            <v>1.26</v>
          </cell>
        </row>
        <row r="1205">
          <cell r="D1205" t="str">
            <v>212470</v>
          </cell>
          <cell r="E1205" t="str">
            <v>PF.SNICKERS FUN SIZE 6 PACK 96</v>
          </cell>
          <cell r="F1205">
            <v>0</v>
          </cell>
          <cell r="G1205">
            <v>0</v>
          </cell>
          <cell r="H1205">
            <v>0</v>
          </cell>
          <cell r="I1205">
            <v>0</v>
          </cell>
          <cell r="J1205" t="str">
            <v>PFA</v>
          </cell>
          <cell r="K1205" t="str">
            <v>MRS</v>
          </cell>
          <cell r="L1205" t="str">
            <v>MRS</v>
          </cell>
          <cell r="M1205">
            <v>0</v>
          </cell>
          <cell r="N1205">
            <v>0</v>
          </cell>
          <cell r="O1205">
            <v>5.62</v>
          </cell>
          <cell r="P1205">
            <v>6.4</v>
          </cell>
        </row>
        <row r="1206">
          <cell r="D1206" t="str">
            <v>212304</v>
          </cell>
          <cell r="E1206" t="str">
            <v>M&amp;M'S PEANUT 49.3GR X 48</v>
          </cell>
          <cell r="F1206">
            <v>4.1100000000000003</v>
          </cell>
          <cell r="G1206">
            <v>4.1100000000000003</v>
          </cell>
          <cell r="H1206">
            <v>4.1900000000000004</v>
          </cell>
          <cell r="I1206">
            <v>4.1900000000000004</v>
          </cell>
          <cell r="J1206" t="str">
            <v>PFA</v>
          </cell>
          <cell r="K1206" t="str">
            <v>MRS</v>
          </cell>
          <cell r="L1206" t="str">
            <v>MRS</v>
          </cell>
          <cell r="M1206">
            <v>0</v>
          </cell>
          <cell r="N1206">
            <v>0</v>
          </cell>
          <cell r="O1206">
            <v>3.13</v>
          </cell>
          <cell r="P1206">
            <v>3.86</v>
          </cell>
        </row>
        <row r="1207">
          <cell r="D1207" t="str">
            <v>214506</v>
          </cell>
          <cell r="E1207" t="str">
            <v>1 UND WRIGLEY´S JUICY FRUIT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  <cell r="J1207" t="str">
            <v>PFA</v>
          </cell>
          <cell r="K1207" t="str">
            <v>MRS</v>
          </cell>
          <cell r="L1207" t="str">
            <v>MRS</v>
          </cell>
          <cell r="M1207">
            <v>0</v>
          </cell>
          <cell r="N1207">
            <v>0</v>
          </cell>
          <cell r="O1207">
            <v>0</v>
          </cell>
          <cell r="P1207">
            <v>5.05</v>
          </cell>
        </row>
        <row r="1208">
          <cell r="D1208" t="str">
            <v>212165</v>
          </cell>
          <cell r="E1208" t="str">
            <v>PF.MILKY WAY MIDNIHGT 49.9 GR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 t="str">
            <v>PFA</v>
          </cell>
          <cell r="K1208" t="str">
            <v>MRS</v>
          </cell>
          <cell r="L1208" t="str">
            <v>MRS</v>
          </cell>
          <cell r="M1208">
            <v>0</v>
          </cell>
          <cell r="N1208">
            <v>0</v>
          </cell>
          <cell r="O1208">
            <v>3.51</v>
          </cell>
          <cell r="P1208">
            <v>3.86</v>
          </cell>
        </row>
        <row r="1209">
          <cell r="D1209" t="str">
            <v>212425</v>
          </cell>
          <cell r="E1209" t="str">
            <v>SNICKERS FUN SIZE CHOC.BAR 300.2GR X</v>
          </cell>
          <cell r="F1209">
            <v>15.51</v>
          </cell>
          <cell r="G1209">
            <v>15.51</v>
          </cell>
          <cell r="H1209">
            <v>15.82</v>
          </cell>
          <cell r="I1209">
            <v>15.82</v>
          </cell>
          <cell r="J1209" t="str">
            <v>PFA</v>
          </cell>
          <cell r="K1209" t="str">
            <v>MRS</v>
          </cell>
          <cell r="L1209" t="str">
            <v>MRS</v>
          </cell>
          <cell r="M1209">
            <v>0</v>
          </cell>
          <cell r="N1209">
            <v>0</v>
          </cell>
          <cell r="O1209">
            <v>13.69</v>
          </cell>
          <cell r="P1209">
            <v>17.149999999999999</v>
          </cell>
        </row>
        <row r="1210">
          <cell r="D1210" t="str">
            <v>214513</v>
          </cell>
          <cell r="E1210" t="str">
            <v>SKITTLES SOURS SINGLES SINGLES 51GR X24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 t="str">
            <v>PFA</v>
          </cell>
          <cell r="K1210" t="str">
            <v>MRS</v>
          </cell>
          <cell r="L1210" t="str">
            <v>MRS</v>
          </cell>
          <cell r="M1210">
            <v>0</v>
          </cell>
          <cell r="N1210">
            <v>0</v>
          </cell>
          <cell r="O1210">
            <v>0</v>
          </cell>
          <cell r="P1210">
            <v>4.04</v>
          </cell>
        </row>
        <row r="1211">
          <cell r="D1211" t="str">
            <v>DIS0000145</v>
          </cell>
          <cell r="E1211" t="str">
            <v>SKITTLES ORIGINAL SINGLES CANDY X 61.52GR</v>
          </cell>
          <cell r="F1211">
            <v>3.79</v>
          </cell>
          <cell r="G1211">
            <v>3.79</v>
          </cell>
          <cell r="H1211">
            <v>3.87</v>
          </cell>
          <cell r="I1211">
            <v>3.87</v>
          </cell>
          <cell r="J1211" t="str">
            <v>PFA</v>
          </cell>
          <cell r="K1211" t="str">
            <v>MRS</v>
          </cell>
          <cell r="L1211" t="str">
            <v>MRS</v>
          </cell>
          <cell r="M1211">
            <v>0</v>
          </cell>
          <cell r="N1211">
            <v>0</v>
          </cell>
          <cell r="O1211">
            <v>2.37</v>
          </cell>
          <cell r="P1211">
            <v>4.04</v>
          </cell>
        </row>
        <row r="1212">
          <cell r="D1212" t="str">
            <v>DIS0000147</v>
          </cell>
          <cell r="E1212" t="str">
            <v>SKITTLES WILD BERRY SINGLES CANDY X 61.52GR</v>
          </cell>
          <cell r="F1212">
            <v>3.79</v>
          </cell>
          <cell r="G1212">
            <v>3.79</v>
          </cell>
          <cell r="H1212">
            <v>3.87</v>
          </cell>
          <cell r="I1212">
            <v>3.87</v>
          </cell>
          <cell r="J1212" t="str">
            <v>PFA</v>
          </cell>
          <cell r="K1212" t="str">
            <v>MRS</v>
          </cell>
          <cell r="L1212" t="str">
            <v>MRS</v>
          </cell>
          <cell r="M1212">
            <v>0</v>
          </cell>
          <cell r="N1212">
            <v>0</v>
          </cell>
          <cell r="O1212">
            <v>2.96</v>
          </cell>
          <cell r="P1212">
            <v>4.04</v>
          </cell>
        </row>
        <row r="1213">
          <cell r="D1213" t="str">
            <v>212301</v>
          </cell>
          <cell r="E1213" t="str">
            <v>SNICKERS BARS 52.7GR X48</v>
          </cell>
          <cell r="F1213">
            <v>2.88</v>
          </cell>
          <cell r="G1213">
            <v>2.88</v>
          </cell>
          <cell r="H1213">
            <v>2.93</v>
          </cell>
          <cell r="I1213">
            <v>2.93</v>
          </cell>
          <cell r="J1213" t="str">
            <v>PFA</v>
          </cell>
          <cell r="K1213" t="str">
            <v>MRS</v>
          </cell>
          <cell r="L1213" t="str">
            <v>MRS</v>
          </cell>
          <cell r="M1213">
            <v>0</v>
          </cell>
          <cell r="N1213">
            <v>0</v>
          </cell>
          <cell r="O1213">
            <v>2.5</v>
          </cell>
          <cell r="P1213">
            <v>3.18</v>
          </cell>
        </row>
        <row r="1214">
          <cell r="D1214" t="str">
            <v>212170</v>
          </cell>
          <cell r="E1214" t="str">
            <v>PF.MILKY WAY BAR 52.2G</v>
          </cell>
          <cell r="F1214">
            <v>3.6</v>
          </cell>
          <cell r="G1214">
            <v>3.6</v>
          </cell>
          <cell r="H1214">
            <v>3.67</v>
          </cell>
          <cell r="I1214">
            <v>3.67</v>
          </cell>
          <cell r="J1214" t="str">
            <v>PFA</v>
          </cell>
          <cell r="K1214" t="str">
            <v>MRS</v>
          </cell>
          <cell r="L1214" t="str">
            <v>MRS</v>
          </cell>
          <cell r="M1214">
            <v>0</v>
          </cell>
          <cell r="N1214">
            <v>0</v>
          </cell>
          <cell r="O1214">
            <v>3.13</v>
          </cell>
          <cell r="P1214">
            <v>3.86</v>
          </cell>
        </row>
        <row r="1215">
          <cell r="D1215" t="str">
            <v>1217</v>
          </cell>
          <cell r="E1215" t="str">
            <v>WRIGLEY ORBIT SPEARMINT 14UN X 12</v>
          </cell>
          <cell r="F1215">
            <v>3.87</v>
          </cell>
          <cell r="G1215">
            <v>3.87</v>
          </cell>
          <cell r="H1215">
            <v>4</v>
          </cell>
          <cell r="I1215">
            <v>4</v>
          </cell>
          <cell r="J1215" t="str">
            <v>PFA</v>
          </cell>
          <cell r="K1215" t="str">
            <v>MRS</v>
          </cell>
          <cell r="L1215" t="str">
            <v>MRS</v>
          </cell>
          <cell r="M1215">
            <v>0</v>
          </cell>
          <cell r="N1215">
            <v>0</v>
          </cell>
          <cell r="O1215">
            <v>0</v>
          </cell>
          <cell r="P1215">
            <v>4.96</v>
          </cell>
        </row>
        <row r="1216">
          <cell r="D1216" t="str">
            <v>212386</v>
          </cell>
          <cell r="E1216" t="str">
            <v>SNICKERS ALMOND 49.9GR X24</v>
          </cell>
          <cell r="F1216">
            <v>3.6</v>
          </cell>
          <cell r="G1216">
            <v>3.6</v>
          </cell>
          <cell r="H1216">
            <v>3.67</v>
          </cell>
          <cell r="I1216">
            <v>3.67</v>
          </cell>
          <cell r="J1216" t="str">
            <v>PFA</v>
          </cell>
          <cell r="K1216" t="str">
            <v>MRS</v>
          </cell>
          <cell r="L1216" t="str">
            <v>MRS</v>
          </cell>
          <cell r="M1216">
            <v>0</v>
          </cell>
          <cell r="N1216">
            <v>0</v>
          </cell>
          <cell r="O1216">
            <v>3.34</v>
          </cell>
          <cell r="P1216">
            <v>3.86</v>
          </cell>
        </row>
        <row r="1217">
          <cell r="D1217" t="str">
            <v>212431</v>
          </cell>
          <cell r="E1217" t="str">
            <v>TWIX COOKIE BARRA 40 GR</v>
          </cell>
          <cell r="F1217">
            <v>3.6</v>
          </cell>
          <cell r="G1217">
            <v>3.6</v>
          </cell>
          <cell r="H1217">
            <v>3.67</v>
          </cell>
          <cell r="I1217">
            <v>3.67</v>
          </cell>
          <cell r="J1217" t="str">
            <v>PFA</v>
          </cell>
          <cell r="K1217" t="str">
            <v>MRS</v>
          </cell>
          <cell r="L1217" t="str">
            <v>MRS</v>
          </cell>
          <cell r="M1217">
            <v>0</v>
          </cell>
          <cell r="N1217">
            <v>0</v>
          </cell>
          <cell r="O1217">
            <v>3.39</v>
          </cell>
          <cell r="P1217">
            <v>3.86</v>
          </cell>
        </row>
        <row r="1218">
          <cell r="D1218" t="str">
            <v>40001242</v>
          </cell>
          <cell r="E1218" t="str">
            <v>PISCO DECANTO ACHOLADO 750ML X 12</v>
          </cell>
          <cell r="F1218">
            <v>24.6</v>
          </cell>
          <cell r="G1218">
            <v>24.6</v>
          </cell>
          <cell r="H1218">
            <v>25.01</v>
          </cell>
          <cell r="I1218">
            <v>25.01</v>
          </cell>
          <cell r="J1218" t="str">
            <v>CAR</v>
          </cell>
          <cell r="K1218" t="str">
            <v>LIC</v>
          </cell>
          <cell r="L1218" t="str">
            <v>PIS</v>
          </cell>
          <cell r="M1218">
            <v>0</v>
          </cell>
          <cell r="N1218">
            <v>0</v>
          </cell>
          <cell r="O1218">
            <v>21.26</v>
          </cell>
          <cell r="P1218">
            <v>23.39</v>
          </cell>
        </row>
        <row r="1219">
          <cell r="D1219" t="str">
            <v>40001241</v>
          </cell>
          <cell r="E1219" t="str">
            <v>PISCO DECANTO QUEBRANTA 750ML X 12</v>
          </cell>
          <cell r="F1219">
            <v>24.6</v>
          </cell>
          <cell r="G1219">
            <v>24.6</v>
          </cell>
          <cell r="H1219">
            <v>25.01</v>
          </cell>
          <cell r="I1219">
            <v>25.01</v>
          </cell>
          <cell r="J1219" t="str">
            <v>CAR</v>
          </cell>
          <cell r="K1219" t="str">
            <v>LIC</v>
          </cell>
          <cell r="L1219" t="str">
            <v>PIS</v>
          </cell>
          <cell r="M1219">
            <v>0</v>
          </cell>
          <cell r="N1219">
            <v>0</v>
          </cell>
          <cell r="O1219">
            <v>21.26</v>
          </cell>
          <cell r="P1219">
            <v>23.38</v>
          </cell>
        </row>
        <row r="1220">
          <cell r="D1220" t="str">
            <v>40001393</v>
          </cell>
          <cell r="E1220" t="str">
            <v>PK PISCO ITALIA 750ML + SCHW 1.5L</v>
          </cell>
          <cell r="F1220">
            <v>24.66</v>
          </cell>
          <cell r="G1220">
            <v>24.66</v>
          </cell>
          <cell r="H1220">
            <v>25.07</v>
          </cell>
          <cell r="I1220">
            <v>25.07</v>
          </cell>
          <cell r="J1220" t="str">
            <v>CAR</v>
          </cell>
          <cell r="K1220" t="str">
            <v>LIC</v>
          </cell>
          <cell r="L1220" t="str">
            <v>PIS</v>
          </cell>
          <cell r="M1220">
            <v>0</v>
          </cell>
          <cell r="N1220">
            <v>0</v>
          </cell>
          <cell r="O1220">
            <v>0</v>
          </cell>
          <cell r="P1220">
            <v>23.39</v>
          </cell>
        </row>
        <row r="1221">
          <cell r="D1221" t="str">
            <v>40001391</v>
          </cell>
          <cell r="E1221" t="str">
            <v>PK PISCO QUEBRANTA 750ML + SCHW 1.5L</v>
          </cell>
          <cell r="F1221">
            <v>24.66</v>
          </cell>
          <cell r="G1221">
            <v>24.66</v>
          </cell>
          <cell r="H1221">
            <v>25.07</v>
          </cell>
          <cell r="I1221">
            <v>25.07</v>
          </cell>
          <cell r="J1221" t="str">
            <v>CAR</v>
          </cell>
          <cell r="K1221" t="str">
            <v>LIC</v>
          </cell>
          <cell r="L1221" t="str">
            <v>PIS</v>
          </cell>
          <cell r="M1221">
            <v>0</v>
          </cell>
          <cell r="N1221">
            <v>0</v>
          </cell>
          <cell r="O1221">
            <v>0</v>
          </cell>
          <cell r="P1221">
            <v>23.39</v>
          </cell>
        </row>
        <row r="1222">
          <cell r="D1222" t="str">
            <v>40001243</v>
          </cell>
          <cell r="E1222" t="str">
            <v>PISCO DECANTO ITALIA 750ML X 12</v>
          </cell>
          <cell r="F1222">
            <v>24.6</v>
          </cell>
          <cell r="G1222">
            <v>24.6</v>
          </cell>
          <cell r="H1222">
            <v>25.01</v>
          </cell>
          <cell r="I1222">
            <v>25.01</v>
          </cell>
          <cell r="J1222" t="str">
            <v>CAR</v>
          </cell>
          <cell r="K1222" t="str">
            <v>LIC</v>
          </cell>
          <cell r="L1222" t="str">
            <v>PIS</v>
          </cell>
          <cell r="M1222">
            <v>0</v>
          </cell>
          <cell r="N1222">
            <v>0</v>
          </cell>
          <cell r="O1222">
            <v>21.26</v>
          </cell>
          <cell r="P1222">
            <v>23.38</v>
          </cell>
        </row>
        <row r="1223">
          <cell r="D1223" t="str">
            <v>500445</v>
          </cell>
          <cell r="E1223" t="str">
            <v>PK.BLANCO 750ML+JARABE GRANADINA 750ML</v>
          </cell>
          <cell r="F1223">
            <v>23.2</v>
          </cell>
          <cell r="G1223">
            <v>23.2</v>
          </cell>
          <cell r="H1223">
            <v>23.2</v>
          </cell>
          <cell r="I1223">
            <v>23.2</v>
          </cell>
          <cell r="J1223" t="str">
            <v>CAR</v>
          </cell>
          <cell r="K1223" t="str">
            <v>LIC</v>
          </cell>
          <cell r="L1223" t="str">
            <v>PIS</v>
          </cell>
          <cell r="M1223">
            <v>0</v>
          </cell>
          <cell r="N1223">
            <v>0</v>
          </cell>
          <cell r="O1223">
            <v>0</v>
          </cell>
          <cell r="P1223">
            <v>25.52</v>
          </cell>
        </row>
        <row r="1224">
          <cell r="D1224" t="str">
            <v>V0018</v>
          </cell>
          <cell r="E1224" t="str">
            <v>JAGERMEISTER 700ML X6</v>
          </cell>
          <cell r="F1224">
            <v>54.24</v>
          </cell>
          <cell r="G1224">
            <v>54.24</v>
          </cell>
          <cell r="H1224">
            <v>55.33</v>
          </cell>
          <cell r="I1224">
            <v>55.33</v>
          </cell>
          <cell r="J1224" t="str">
            <v>PRE</v>
          </cell>
          <cell r="K1224" t="str">
            <v>JAG</v>
          </cell>
          <cell r="L1224" t="str">
            <v>LIC</v>
          </cell>
          <cell r="M1224">
            <v>0</v>
          </cell>
          <cell r="N1224">
            <v>0</v>
          </cell>
          <cell r="O1224">
            <v>62.34</v>
          </cell>
          <cell r="P1224">
            <v>69.84</v>
          </cell>
        </row>
        <row r="1225">
          <cell r="D1225" t="str">
            <v>MC000214</v>
          </cell>
          <cell r="E1225" t="str">
            <v>JAGERMEISTER 1LT X6</v>
          </cell>
          <cell r="F1225">
            <v>73.83</v>
          </cell>
          <cell r="G1225">
            <v>73.83</v>
          </cell>
          <cell r="H1225">
            <v>75.3</v>
          </cell>
          <cell r="I1225">
            <v>75.3</v>
          </cell>
          <cell r="J1225" t="str">
            <v>PRE</v>
          </cell>
          <cell r="K1225" t="str">
            <v>JAG</v>
          </cell>
          <cell r="L1225" t="str">
            <v>LIC</v>
          </cell>
          <cell r="M1225">
            <v>0</v>
          </cell>
          <cell r="N1225">
            <v>0</v>
          </cell>
          <cell r="O1225">
            <v>72.209999999999994</v>
          </cell>
          <cell r="P1225">
            <v>82.83</v>
          </cell>
        </row>
        <row r="1226">
          <cell r="D1226" t="str">
            <v>MC000014</v>
          </cell>
          <cell r="E1226" t="str">
            <v>JAGERMEISTER 1.75LT X6</v>
          </cell>
          <cell r="F1226">
            <v>139.22</v>
          </cell>
          <cell r="G1226">
            <v>139.22</v>
          </cell>
          <cell r="H1226">
            <v>142</v>
          </cell>
          <cell r="I1226">
            <v>142</v>
          </cell>
          <cell r="J1226" t="str">
            <v>PRE</v>
          </cell>
          <cell r="K1226" t="str">
            <v>JAG</v>
          </cell>
          <cell r="L1226" t="str">
            <v>LIC</v>
          </cell>
          <cell r="M1226">
            <v>0</v>
          </cell>
          <cell r="N1226">
            <v>0</v>
          </cell>
          <cell r="O1226">
            <v>0</v>
          </cell>
          <cell r="P1226">
            <v>156.21</v>
          </cell>
        </row>
        <row r="1227">
          <cell r="D1227" t="str">
            <v>V0017</v>
          </cell>
          <cell r="E1227" t="str">
            <v>MINI.JAGERMEISTER 40ML</v>
          </cell>
          <cell r="F1227">
            <v>6.32</v>
          </cell>
          <cell r="G1227">
            <v>6.32</v>
          </cell>
          <cell r="H1227">
            <v>6.45</v>
          </cell>
          <cell r="I1227">
            <v>6.45</v>
          </cell>
          <cell r="J1227" t="str">
            <v>PRE</v>
          </cell>
          <cell r="K1227" t="str">
            <v>JAG</v>
          </cell>
          <cell r="L1227" t="str">
            <v>LIC</v>
          </cell>
          <cell r="M1227">
            <v>0</v>
          </cell>
          <cell r="N1227">
            <v>0</v>
          </cell>
          <cell r="O1227">
            <v>0</v>
          </cell>
          <cell r="P1227">
            <v>7.21</v>
          </cell>
        </row>
        <row r="1228">
          <cell r="D1228" t="str">
            <v>2689U</v>
          </cell>
          <cell r="E1228" t="str">
            <v>1UND.CH.SUBLIME CLASICO 24X28GR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 t="str">
            <v>NES</v>
          </cell>
          <cell r="K1228" t="str">
            <v>GOL</v>
          </cell>
          <cell r="L1228" t="str">
            <v>CHO</v>
          </cell>
          <cell r="M1228">
            <v>0</v>
          </cell>
          <cell r="N1228">
            <v>0</v>
          </cell>
          <cell r="O1228">
            <v>0</v>
          </cell>
          <cell r="P1228">
            <v>2</v>
          </cell>
        </row>
        <row r="1229">
          <cell r="D1229" t="str">
            <v>628U</v>
          </cell>
          <cell r="E1229" t="str">
            <v>IUND. CH.TRIANGULO CLASICO 22X30GR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 t="str">
            <v>NES</v>
          </cell>
          <cell r="K1229" t="str">
            <v>GOL</v>
          </cell>
          <cell r="L1229" t="str">
            <v>CHO</v>
          </cell>
          <cell r="M1229">
            <v>0</v>
          </cell>
          <cell r="N1229">
            <v>0</v>
          </cell>
          <cell r="O1229">
            <v>0</v>
          </cell>
          <cell r="P1229">
            <v>1.2</v>
          </cell>
        </row>
        <row r="1230">
          <cell r="D1230" t="str">
            <v>300708U</v>
          </cell>
          <cell r="E1230" t="str">
            <v>1UND.KIT KAT 4FINGER 24X41.5GR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 t="str">
            <v>NES</v>
          </cell>
          <cell r="K1230" t="str">
            <v>GOL</v>
          </cell>
          <cell r="L1230" t="str">
            <v>CHO</v>
          </cell>
          <cell r="M1230">
            <v>0</v>
          </cell>
          <cell r="N1230">
            <v>0</v>
          </cell>
          <cell r="O1230">
            <v>0</v>
          </cell>
          <cell r="P1230">
            <v>2.77</v>
          </cell>
        </row>
        <row r="1231">
          <cell r="D1231" t="str">
            <v>179949</v>
          </cell>
          <cell r="E1231" t="str">
            <v>ANIS NAJAR SEMI DULCE X125ML X24</v>
          </cell>
          <cell r="F1231">
            <v>10.9</v>
          </cell>
          <cell r="G1231">
            <v>10.9</v>
          </cell>
          <cell r="H1231">
            <v>11.12</v>
          </cell>
          <cell r="I1231">
            <v>11.12</v>
          </cell>
          <cell r="J1231" t="str">
            <v>PFA</v>
          </cell>
          <cell r="K1231" t="str">
            <v>LIC</v>
          </cell>
          <cell r="L1231" t="str">
            <v>NAJ</v>
          </cell>
          <cell r="M1231">
            <v>0</v>
          </cell>
          <cell r="N1231">
            <v>0</v>
          </cell>
          <cell r="O1231">
            <v>0</v>
          </cell>
          <cell r="P1231">
            <v>12.23</v>
          </cell>
        </row>
        <row r="1232">
          <cell r="D1232" t="str">
            <v>179900</v>
          </cell>
          <cell r="E1232" t="str">
            <v>ANIS NAJAR SECO 750ML X12</v>
          </cell>
          <cell r="F1232">
            <v>32.5</v>
          </cell>
          <cell r="G1232">
            <v>32.5</v>
          </cell>
          <cell r="H1232">
            <v>32.5</v>
          </cell>
          <cell r="I1232">
            <v>32.5</v>
          </cell>
          <cell r="J1232" t="str">
            <v>PFA</v>
          </cell>
          <cell r="K1232" t="str">
            <v>LIC</v>
          </cell>
          <cell r="L1232" t="str">
            <v>NAJ</v>
          </cell>
          <cell r="M1232">
            <v>0</v>
          </cell>
          <cell r="N1232">
            <v>0</v>
          </cell>
          <cell r="O1232">
            <v>28.88</v>
          </cell>
          <cell r="P1232">
            <v>35.94</v>
          </cell>
        </row>
        <row r="1233">
          <cell r="D1233" t="str">
            <v>179942</v>
          </cell>
          <cell r="E1233" t="str">
            <v>ANIS NAJAR SECO 125ML X24</v>
          </cell>
          <cell r="F1233">
            <v>12</v>
          </cell>
          <cell r="G1233">
            <v>12</v>
          </cell>
          <cell r="H1233">
            <v>12</v>
          </cell>
          <cell r="I1233">
            <v>12</v>
          </cell>
          <cell r="J1233" t="str">
            <v>PFA</v>
          </cell>
          <cell r="K1233" t="str">
            <v>LIC</v>
          </cell>
          <cell r="L1233" t="str">
            <v>NAJ</v>
          </cell>
          <cell r="M1233">
            <v>0</v>
          </cell>
          <cell r="N1233">
            <v>0</v>
          </cell>
          <cell r="O1233">
            <v>8.32</v>
          </cell>
          <cell r="P1233">
            <v>12.23</v>
          </cell>
        </row>
        <row r="1234">
          <cell r="D1234" t="str">
            <v>179914</v>
          </cell>
          <cell r="E1234" t="str">
            <v>ANIS NAJAR CREMA 750ML X12</v>
          </cell>
          <cell r="F1234">
            <v>35.5</v>
          </cell>
          <cell r="G1234">
            <v>35.5</v>
          </cell>
          <cell r="H1234">
            <v>35.5</v>
          </cell>
          <cell r="I1234">
            <v>35.5</v>
          </cell>
          <cell r="J1234" t="str">
            <v>PFA</v>
          </cell>
          <cell r="K1234" t="str">
            <v>LIC</v>
          </cell>
          <cell r="L1234" t="str">
            <v>NAJ</v>
          </cell>
          <cell r="M1234">
            <v>0</v>
          </cell>
          <cell r="N1234">
            <v>0</v>
          </cell>
          <cell r="O1234">
            <v>30.89</v>
          </cell>
          <cell r="P1234">
            <v>39.270000000000003</v>
          </cell>
        </row>
        <row r="1235">
          <cell r="D1235" t="str">
            <v>179907</v>
          </cell>
          <cell r="E1235" t="str">
            <v>ANIS NAJAR SEMI DULCE 750ML X12</v>
          </cell>
          <cell r="F1235">
            <v>32.5</v>
          </cell>
          <cell r="G1235">
            <v>32.5</v>
          </cell>
          <cell r="H1235">
            <v>32.5</v>
          </cell>
          <cell r="I1235">
            <v>32.5</v>
          </cell>
          <cell r="J1235" t="str">
            <v>PFA</v>
          </cell>
          <cell r="K1235" t="str">
            <v>LIC</v>
          </cell>
          <cell r="L1235" t="str">
            <v>NAJ</v>
          </cell>
          <cell r="M1235">
            <v>0</v>
          </cell>
          <cell r="N1235">
            <v>0</v>
          </cell>
          <cell r="O1235">
            <v>29.53</v>
          </cell>
          <cell r="P1235">
            <v>35.94</v>
          </cell>
        </row>
        <row r="1236">
          <cell r="D1236" t="str">
            <v>179936</v>
          </cell>
          <cell r="E1236" t="str">
            <v>ANIS NAJAR FRUTOS ROJOS 750ML X12</v>
          </cell>
          <cell r="F1236">
            <v>42.61</v>
          </cell>
          <cell r="G1236">
            <v>42.61</v>
          </cell>
          <cell r="H1236">
            <v>43.47</v>
          </cell>
          <cell r="I1236">
            <v>43.47</v>
          </cell>
          <cell r="J1236" t="str">
            <v>PFA</v>
          </cell>
          <cell r="K1236" t="str">
            <v>LIC</v>
          </cell>
          <cell r="L1236" t="str">
            <v>NAJ</v>
          </cell>
          <cell r="M1236">
            <v>0</v>
          </cell>
          <cell r="N1236">
            <v>0</v>
          </cell>
          <cell r="O1236">
            <v>0</v>
          </cell>
          <cell r="P1236">
            <v>47.81</v>
          </cell>
        </row>
        <row r="1237">
          <cell r="D1237" t="str">
            <v>179901</v>
          </cell>
          <cell r="E1237" t="str">
            <v>ANIS NAJAR CON CAFE 750ML X12</v>
          </cell>
          <cell r="F1237">
            <v>42.61</v>
          </cell>
          <cell r="G1237">
            <v>42.61</v>
          </cell>
          <cell r="H1237">
            <v>43.42</v>
          </cell>
          <cell r="I1237">
            <v>43.42</v>
          </cell>
          <cell r="J1237" t="str">
            <v>PFA</v>
          </cell>
          <cell r="K1237" t="str">
            <v>LIC</v>
          </cell>
          <cell r="L1237" t="str">
            <v>NAJ</v>
          </cell>
          <cell r="M1237">
            <v>0</v>
          </cell>
          <cell r="N1237">
            <v>0</v>
          </cell>
          <cell r="O1237">
            <v>0</v>
          </cell>
          <cell r="P1237">
            <v>47.81</v>
          </cell>
        </row>
        <row r="1238">
          <cell r="D1238" t="str">
            <v>180105</v>
          </cell>
          <cell r="E1238" t="str">
            <v>PF.CHAMP.ESP.SEÑ.NAJAR 750ML X12</v>
          </cell>
          <cell r="F1238">
            <v>19.61</v>
          </cell>
          <cell r="G1238">
            <v>19.61</v>
          </cell>
          <cell r="H1238">
            <v>19.989999999999998</v>
          </cell>
          <cell r="I1238">
            <v>19.989999999999998</v>
          </cell>
          <cell r="J1238" t="str">
            <v>PFA</v>
          </cell>
          <cell r="K1238" t="str">
            <v>LIC</v>
          </cell>
          <cell r="L1238" t="str">
            <v>NAJ</v>
          </cell>
          <cell r="M1238">
            <v>0</v>
          </cell>
          <cell r="N1238">
            <v>0</v>
          </cell>
          <cell r="O1238">
            <v>13.66</v>
          </cell>
          <cell r="P1238">
            <v>20.98</v>
          </cell>
        </row>
        <row r="1239">
          <cell r="D1239" t="str">
            <v>179956</v>
          </cell>
          <cell r="E1239" t="str">
            <v>ANIS NAJAR CREMA 125ML X24</v>
          </cell>
          <cell r="F1239">
            <v>11.87</v>
          </cell>
          <cell r="G1239">
            <v>11.87</v>
          </cell>
          <cell r="H1239">
            <v>12.11</v>
          </cell>
          <cell r="I1239">
            <v>12.11</v>
          </cell>
          <cell r="J1239" t="str">
            <v>PFA</v>
          </cell>
          <cell r="K1239" t="str">
            <v>LIC</v>
          </cell>
          <cell r="L1239" t="str">
            <v>NAJ</v>
          </cell>
          <cell r="M1239">
            <v>0</v>
          </cell>
          <cell r="N1239">
            <v>0</v>
          </cell>
          <cell r="O1239">
            <v>0</v>
          </cell>
          <cell r="P1239">
            <v>13.32</v>
          </cell>
        </row>
        <row r="1240">
          <cell r="D1240" t="str">
            <v>0504009</v>
          </cell>
          <cell r="E1240" t="str">
            <v>C/T CAS.DIAB.CABERNET SAUVIG.750MLX12</v>
          </cell>
          <cell r="F1240">
            <v>28.83</v>
          </cell>
          <cell r="G1240">
            <v>28.83</v>
          </cell>
          <cell r="H1240">
            <v>29.32</v>
          </cell>
          <cell r="I1240">
            <v>29.32</v>
          </cell>
          <cell r="J1240" t="str">
            <v>YIC</v>
          </cell>
          <cell r="K1240" t="str">
            <v>LIC</v>
          </cell>
          <cell r="L1240" t="str">
            <v>CAS</v>
          </cell>
          <cell r="M1240">
            <v>0</v>
          </cell>
          <cell r="N1240">
            <v>0</v>
          </cell>
          <cell r="O1240">
            <v>26.21</v>
          </cell>
          <cell r="P1240">
            <v>33.72</v>
          </cell>
        </row>
        <row r="1241">
          <cell r="D1241" t="str">
            <v>60944</v>
          </cell>
          <cell r="E1241" t="str">
            <v>DIABLO PURPLE MALBEC 750ML X 6</v>
          </cell>
          <cell r="F1241">
            <v>52.57</v>
          </cell>
          <cell r="G1241">
            <v>52.57</v>
          </cell>
          <cell r="H1241">
            <v>53.63</v>
          </cell>
          <cell r="I1241">
            <v>53.63</v>
          </cell>
          <cell r="J1241" t="str">
            <v>YIC</v>
          </cell>
          <cell r="K1241" t="str">
            <v>LIC</v>
          </cell>
          <cell r="L1241" t="str">
            <v>CAS</v>
          </cell>
          <cell r="M1241">
            <v>0</v>
          </cell>
          <cell r="N1241">
            <v>0</v>
          </cell>
          <cell r="O1241">
            <v>0</v>
          </cell>
          <cell r="P1241">
            <v>61.67</v>
          </cell>
        </row>
        <row r="1242">
          <cell r="D1242" t="str">
            <v>390062</v>
          </cell>
          <cell r="E1242" t="str">
            <v>C/T CAS.DIAB.MALBEC 750ML X12</v>
          </cell>
          <cell r="F1242">
            <v>28.83</v>
          </cell>
          <cell r="G1242">
            <v>28.83</v>
          </cell>
          <cell r="H1242">
            <v>29.32</v>
          </cell>
          <cell r="I1242">
            <v>29.32</v>
          </cell>
          <cell r="J1242" t="str">
            <v>YIC</v>
          </cell>
          <cell r="K1242" t="str">
            <v>LIC</v>
          </cell>
          <cell r="L1242" t="str">
            <v>CAS</v>
          </cell>
          <cell r="M1242">
            <v>0</v>
          </cell>
          <cell r="N1242">
            <v>0</v>
          </cell>
          <cell r="O1242">
            <v>26.21</v>
          </cell>
          <cell r="P1242">
            <v>33.72</v>
          </cell>
        </row>
        <row r="1243">
          <cell r="D1243" t="str">
            <v>67289</v>
          </cell>
          <cell r="E1243" t="str">
            <v>DIABLO VELVET MERLOT 750ML X 6</v>
          </cell>
          <cell r="F1243">
            <v>52.57</v>
          </cell>
          <cell r="G1243">
            <v>52.57</v>
          </cell>
          <cell r="H1243">
            <v>53.63</v>
          </cell>
          <cell r="I1243">
            <v>53.63</v>
          </cell>
          <cell r="J1243" t="str">
            <v>YIC</v>
          </cell>
          <cell r="K1243" t="str">
            <v>LIC</v>
          </cell>
          <cell r="L1243" t="str">
            <v>CAS</v>
          </cell>
          <cell r="M1243">
            <v>0</v>
          </cell>
          <cell r="N1243">
            <v>0</v>
          </cell>
          <cell r="O1243">
            <v>0</v>
          </cell>
          <cell r="P1243">
            <v>61.67</v>
          </cell>
        </row>
        <row r="1244">
          <cell r="D1244" t="str">
            <v>47182</v>
          </cell>
          <cell r="E1244" t="str">
            <v xml:space="preserve">C/T CAS.DIAB.RED BLEND 750ML X12 </v>
          </cell>
          <cell r="F1244">
            <v>28.83</v>
          </cell>
          <cell r="G1244">
            <v>28.83</v>
          </cell>
          <cell r="H1244">
            <v>29.32</v>
          </cell>
          <cell r="I1244">
            <v>29.32</v>
          </cell>
          <cell r="J1244" t="str">
            <v>YIC</v>
          </cell>
          <cell r="K1244" t="str">
            <v>LIC</v>
          </cell>
          <cell r="L1244" t="str">
            <v>CAS</v>
          </cell>
          <cell r="M1244">
            <v>0</v>
          </cell>
          <cell r="N1244">
            <v>0</v>
          </cell>
          <cell r="O1244">
            <v>25.81</v>
          </cell>
          <cell r="P1244">
            <v>33.72</v>
          </cell>
        </row>
        <row r="1245">
          <cell r="D1245" t="str">
            <v>0504010</v>
          </cell>
          <cell r="E1245" t="str">
            <v>V.C/T CS DIAB SAU.BLAN 750MLX12</v>
          </cell>
          <cell r="F1245">
            <v>29.34</v>
          </cell>
          <cell r="G1245">
            <v>29.34</v>
          </cell>
          <cell r="H1245">
            <v>29.84</v>
          </cell>
          <cell r="I1245">
            <v>29.84</v>
          </cell>
          <cell r="J1245" t="str">
            <v>YIC</v>
          </cell>
          <cell r="K1245" t="str">
            <v>LIC</v>
          </cell>
          <cell r="L1245" t="str">
            <v>CAS</v>
          </cell>
          <cell r="M1245">
            <v>0</v>
          </cell>
          <cell r="N1245">
            <v>0</v>
          </cell>
          <cell r="O1245">
            <v>0</v>
          </cell>
          <cell r="P1245">
            <v>34.31</v>
          </cell>
        </row>
        <row r="1246">
          <cell r="D1246" t="str">
            <v>390045</v>
          </cell>
          <cell r="E1246" t="str">
            <v>C/T CAS.DIAB.SAUVIGNON BLAN.750ML X12</v>
          </cell>
          <cell r="F1246">
            <v>31.9</v>
          </cell>
          <cell r="G1246">
            <v>31.9</v>
          </cell>
          <cell r="H1246">
            <v>32.44</v>
          </cell>
          <cell r="I1246">
            <v>32.44</v>
          </cell>
          <cell r="J1246" t="str">
            <v>YIC</v>
          </cell>
          <cell r="K1246" t="str">
            <v>LIC</v>
          </cell>
          <cell r="L1246" t="str">
            <v>CAS</v>
          </cell>
          <cell r="M1246">
            <v>0</v>
          </cell>
          <cell r="N1246">
            <v>0</v>
          </cell>
          <cell r="O1246">
            <v>30.29</v>
          </cell>
          <cell r="P1246">
            <v>31.66</v>
          </cell>
        </row>
        <row r="1247">
          <cell r="D1247" t="str">
            <v>390060</v>
          </cell>
          <cell r="E1247" t="str">
            <v>C/T CAS.DIAB.MERLOT 750ML X12</v>
          </cell>
          <cell r="F1247">
            <v>29.98</v>
          </cell>
          <cell r="G1247">
            <v>29.98</v>
          </cell>
          <cell r="H1247">
            <v>30.49</v>
          </cell>
          <cell r="I1247">
            <v>30.49</v>
          </cell>
          <cell r="J1247" t="str">
            <v>YIC</v>
          </cell>
          <cell r="K1247" t="str">
            <v>LIC</v>
          </cell>
          <cell r="L1247" t="str">
            <v>CAS</v>
          </cell>
          <cell r="M1247">
            <v>0</v>
          </cell>
          <cell r="N1247">
            <v>0</v>
          </cell>
          <cell r="O1247">
            <v>26.21</v>
          </cell>
          <cell r="P1247">
            <v>33.72</v>
          </cell>
        </row>
        <row r="1248">
          <cell r="D1248" t="str">
            <v>62232</v>
          </cell>
          <cell r="E1248" t="str">
            <v xml:space="preserve">C/T CAS.DIAB. FANTASTIC SWEET 750ML X 6 </v>
          </cell>
          <cell r="F1248">
            <v>28.83</v>
          </cell>
          <cell r="G1248">
            <v>28.83</v>
          </cell>
          <cell r="H1248">
            <v>29.32</v>
          </cell>
          <cell r="I1248">
            <v>29.32</v>
          </cell>
          <cell r="J1248" t="str">
            <v>YIC</v>
          </cell>
          <cell r="K1248" t="str">
            <v>LIC</v>
          </cell>
          <cell r="L1248" t="str">
            <v>CAS</v>
          </cell>
          <cell r="M1248">
            <v>0</v>
          </cell>
          <cell r="N1248">
            <v>0</v>
          </cell>
          <cell r="O1248">
            <v>0</v>
          </cell>
          <cell r="P1248">
            <v>33.72</v>
          </cell>
        </row>
        <row r="1249">
          <cell r="D1249" t="str">
            <v>390064</v>
          </cell>
          <cell r="E1249" t="str">
            <v>C/T CAS.DIAB.CARMENERE 750ML X12</v>
          </cell>
          <cell r="F1249">
            <v>28.83</v>
          </cell>
          <cell r="G1249">
            <v>28.83</v>
          </cell>
          <cell r="H1249">
            <v>29.32</v>
          </cell>
          <cell r="I1249">
            <v>29.32</v>
          </cell>
          <cell r="J1249" t="str">
            <v>YIC</v>
          </cell>
          <cell r="K1249" t="str">
            <v>LIC</v>
          </cell>
          <cell r="L1249" t="str">
            <v>CAS</v>
          </cell>
          <cell r="M1249">
            <v>0</v>
          </cell>
          <cell r="N1249">
            <v>0</v>
          </cell>
          <cell r="O1249">
            <v>27.65</v>
          </cell>
          <cell r="P1249">
            <v>33.72</v>
          </cell>
        </row>
        <row r="1250">
          <cell r="D1250" t="str">
            <v>62231</v>
          </cell>
          <cell r="E1250" t="str">
            <v>CAS DIAB FABULOUS RED 750ML X 6</v>
          </cell>
          <cell r="F1250">
            <v>28.83</v>
          </cell>
          <cell r="G1250">
            <v>28.83</v>
          </cell>
          <cell r="H1250">
            <v>29.32</v>
          </cell>
          <cell r="I1250">
            <v>29.32</v>
          </cell>
          <cell r="J1250" t="str">
            <v>YIC</v>
          </cell>
          <cell r="K1250" t="str">
            <v>LIC</v>
          </cell>
          <cell r="L1250" t="str">
            <v>CAS</v>
          </cell>
          <cell r="M1250">
            <v>0</v>
          </cell>
          <cell r="N1250">
            <v>0</v>
          </cell>
          <cell r="O1250">
            <v>0</v>
          </cell>
          <cell r="P1250">
            <v>33.72</v>
          </cell>
        </row>
        <row r="1251">
          <cell r="D1251" t="str">
            <v>26038</v>
          </cell>
          <cell r="E1251" t="str">
            <v>PAN INTEGRAL 100 PREBIO 1P 480G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  <cell r="J1251" t="str">
            <v>BIM</v>
          </cell>
          <cell r="K1251" t="str">
            <v>PAN</v>
          </cell>
          <cell r="L1251" t="str">
            <v>PAN</v>
          </cell>
          <cell r="M1251">
            <v>0</v>
          </cell>
          <cell r="N1251">
            <v>0</v>
          </cell>
          <cell r="O1251">
            <v>0</v>
          </cell>
          <cell r="P1251">
            <v>11.5</v>
          </cell>
        </row>
        <row r="1252">
          <cell r="D1252" t="str">
            <v>2527</v>
          </cell>
          <cell r="E1252" t="str">
            <v>PAN BLANCO DEL HOGAR REND CP 420G BIM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  <cell r="J1252" t="str">
            <v>BIM</v>
          </cell>
          <cell r="K1252" t="str">
            <v>PAN</v>
          </cell>
          <cell r="L1252" t="str">
            <v>PAN</v>
          </cell>
          <cell r="M1252">
            <v>0</v>
          </cell>
          <cell r="N1252">
            <v>0</v>
          </cell>
          <cell r="O1252">
            <v>0</v>
          </cell>
          <cell r="P1252">
            <v>7.5</v>
          </cell>
        </row>
        <row r="1253">
          <cell r="D1253" t="str">
            <v>500895</v>
          </cell>
          <cell r="E1253" t="str">
            <v>TURRON DE DOÑA PEPA PYC 250GR X30UN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 t="str">
            <v>BIM</v>
          </cell>
          <cell r="K1253" t="str">
            <v>PAN</v>
          </cell>
          <cell r="L1253" t="str">
            <v>PAN</v>
          </cell>
          <cell r="M1253">
            <v>0</v>
          </cell>
          <cell r="N1253">
            <v>0</v>
          </cell>
          <cell r="O1253">
            <v>0</v>
          </cell>
          <cell r="P1253">
            <v>7</v>
          </cell>
        </row>
        <row r="1254">
          <cell r="D1254" t="str">
            <v>705330</v>
          </cell>
          <cell r="E1254" t="str">
            <v xml:space="preserve">VINO FINCA ROTONDO MALBEC ORGANICO 750ML </v>
          </cell>
          <cell r="F1254">
            <v>38.24</v>
          </cell>
          <cell r="G1254">
            <v>38.24</v>
          </cell>
          <cell r="H1254">
            <v>39.78</v>
          </cell>
          <cell r="I1254">
            <v>39.78</v>
          </cell>
          <cell r="J1254" t="str">
            <v>AVV</v>
          </cell>
          <cell r="K1254" t="str">
            <v>VIN</v>
          </cell>
          <cell r="L1254" t="str">
            <v>ROT</v>
          </cell>
          <cell r="M1254">
            <v>0</v>
          </cell>
          <cell r="N1254">
            <v>0</v>
          </cell>
          <cell r="O1254">
            <v>0</v>
          </cell>
          <cell r="P1254">
            <v>41.77</v>
          </cell>
        </row>
        <row r="1255">
          <cell r="D1255" t="str">
            <v>205001</v>
          </cell>
          <cell r="E1255" t="str">
            <v>VINO FINCA ROTONDO MALBEC 750ML X12</v>
          </cell>
          <cell r="F1255">
            <v>25.54</v>
          </cell>
          <cell r="G1255">
            <v>25.54</v>
          </cell>
          <cell r="H1255">
            <v>26.05</v>
          </cell>
          <cell r="I1255">
            <v>26.05</v>
          </cell>
          <cell r="J1255" t="str">
            <v>AVV</v>
          </cell>
          <cell r="K1255" t="str">
            <v>VIN</v>
          </cell>
          <cell r="L1255" t="str">
            <v>ROT</v>
          </cell>
          <cell r="M1255">
            <v>0</v>
          </cell>
          <cell r="N1255">
            <v>0</v>
          </cell>
          <cell r="O1255">
            <v>22.46</v>
          </cell>
          <cell r="P1255">
            <v>27.35</v>
          </cell>
        </row>
        <row r="1256">
          <cell r="D1256" t="str">
            <v>404895</v>
          </cell>
          <cell r="E1256" t="str">
            <v>SALAME PQ 500GR SEGO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 t="str">
            <v>SIG</v>
          </cell>
          <cell r="K1256" t="str">
            <v>SEG</v>
          </cell>
          <cell r="L1256" t="str">
            <v>SLM</v>
          </cell>
          <cell r="M1256">
            <v>0</v>
          </cell>
          <cell r="N1256">
            <v>0</v>
          </cell>
          <cell r="O1256">
            <v>0</v>
          </cell>
          <cell r="P1256">
            <v>16.29</v>
          </cell>
        </row>
        <row r="1257">
          <cell r="D1257" t="str">
            <v>763</v>
          </cell>
          <cell r="E1257" t="str">
            <v>LECHE IDEAL CREMOSITA 390GR X24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 t="str">
            <v>NES</v>
          </cell>
          <cell r="K1257" t="str">
            <v>NEP</v>
          </cell>
          <cell r="L1257" t="str">
            <v>LAC</v>
          </cell>
          <cell r="M1257">
            <v>0</v>
          </cell>
          <cell r="N1257">
            <v>0</v>
          </cell>
          <cell r="O1257">
            <v>0</v>
          </cell>
          <cell r="P1257">
            <v>58.2</v>
          </cell>
        </row>
        <row r="1258">
          <cell r="D1258" t="str">
            <v>CRNCO20</v>
          </cell>
          <cell r="E1258" t="str">
            <v>COSTILLA DE CERDO OREGON CHILENA X 600GR</v>
          </cell>
          <cell r="F1258">
            <v>39.9</v>
          </cell>
          <cell r="G1258">
            <v>39.9</v>
          </cell>
          <cell r="H1258">
            <v>39.9</v>
          </cell>
          <cell r="I1258">
            <v>39.9</v>
          </cell>
          <cell r="J1258" t="str">
            <v>PRR</v>
          </cell>
          <cell r="K1258" t="str">
            <v>OFD</v>
          </cell>
          <cell r="L1258" t="str">
            <v>CER</v>
          </cell>
          <cell r="M1258">
            <v>0</v>
          </cell>
          <cell r="N1258">
            <v>0</v>
          </cell>
          <cell r="O1258">
            <v>28.42</v>
          </cell>
          <cell r="P1258">
            <v>39.9</v>
          </cell>
        </row>
        <row r="1259">
          <cell r="D1259" t="str">
            <v>109700</v>
          </cell>
          <cell r="E1259" t="str">
            <v>RON COLONIAL ARTESANAL 700ML X 6</v>
          </cell>
          <cell r="F1259">
            <v>122.23</v>
          </cell>
          <cell r="G1259">
            <v>122.23</v>
          </cell>
          <cell r="H1259">
            <v>122.23</v>
          </cell>
          <cell r="I1259">
            <v>122.23</v>
          </cell>
          <cell r="J1259" t="str">
            <v>RPD</v>
          </cell>
          <cell r="K1259" t="str">
            <v>OTR</v>
          </cell>
          <cell r="L1259" t="str">
            <v>RON</v>
          </cell>
          <cell r="M1259">
            <v>0</v>
          </cell>
          <cell r="N1259">
            <v>0</v>
          </cell>
          <cell r="O1259">
            <v>97.56</v>
          </cell>
          <cell r="P1259">
            <v>134.44999999999999</v>
          </cell>
        </row>
        <row r="1260">
          <cell r="D1260" t="str">
            <v>JON383</v>
          </cell>
          <cell r="E1260" t="str">
            <v>WHISKY JOHN BARR RED 750ML X12</v>
          </cell>
          <cell r="F1260">
            <v>22.83</v>
          </cell>
          <cell r="G1260">
            <v>22.83</v>
          </cell>
          <cell r="H1260">
            <v>23.28</v>
          </cell>
          <cell r="I1260">
            <v>23.28</v>
          </cell>
          <cell r="J1260" t="str">
            <v>KLS</v>
          </cell>
          <cell r="K1260" t="str">
            <v>LIC</v>
          </cell>
          <cell r="L1260" t="str">
            <v>WHI</v>
          </cell>
          <cell r="M1260">
            <v>0</v>
          </cell>
          <cell r="N1260">
            <v>0</v>
          </cell>
          <cell r="O1260">
            <v>0</v>
          </cell>
          <cell r="P1260">
            <v>23.28</v>
          </cell>
        </row>
        <row r="1261">
          <cell r="D1261" t="str">
            <v>JON384</v>
          </cell>
          <cell r="E1261" t="str">
            <v>WHISKY JOHN BARR  BLACK 750ML X12</v>
          </cell>
          <cell r="F1261">
            <v>22.83</v>
          </cell>
          <cell r="G1261">
            <v>22.83</v>
          </cell>
          <cell r="H1261">
            <v>23.28</v>
          </cell>
          <cell r="I1261">
            <v>23.28</v>
          </cell>
          <cell r="J1261" t="str">
            <v>KLS</v>
          </cell>
          <cell r="K1261" t="str">
            <v>LIC</v>
          </cell>
          <cell r="L1261" t="str">
            <v>WHI</v>
          </cell>
          <cell r="M1261">
            <v>0</v>
          </cell>
          <cell r="N1261">
            <v>0</v>
          </cell>
          <cell r="O1261">
            <v>20.5</v>
          </cell>
          <cell r="P1261">
            <v>24.45</v>
          </cell>
        </row>
        <row r="1262">
          <cell r="D1262" t="str">
            <v>SQ029</v>
          </cell>
          <cell r="E1262" t="str">
            <v>S.Q. PISCO QUEBRANTA 2LT X 6</v>
          </cell>
          <cell r="F1262">
            <v>57.38</v>
          </cell>
          <cell r="G1262">
            <v>57.38</v>
          </cell>
          <cell r="H1262">
            <v>58.53</v>
          </cell>
          <cell r="I1262">
            <v>58.53</v>
          </cell>
          <cell r="J1262" t="str">
            <v>SQL</v>
          </cell>
          <cell r="K1262" t="str">
            <v>SQL</v>
          </cell>
          <cell r="L1262" t="str">
            <v>PIS</v>
          </cell>
          <cell r="M1262">
            <v>0</v>
          </cell>
          <cell r="N1262">
            <v>0</v>
          </cell>
          <cell r="O1262">
            <v>56.08</v>
          </cell>
          <cell r="P1262">
            <v>60.58</v>
          </cell>
        </row>
        <row r="1263">
          <cell r="D1263" t="str">
            <v>SQ041</v>
          </cell>
          <cell r="E1263" t="str">
            <v>S.Q. PISCO QUEBRANTA 4LT X4</v>
          </cell>
          <cell r="F1263">
            <v>109.31</v>
          </cell>
          <cell r="G1263">
            <v>109.31</v>
          </cell>
          <cell r="H1263">
            <v>111.5</v>
          </cell>
          <cell r="I1263">
            <v>111.5</v>
          </cell>
          <cell r="J1263" t="str">
            <v>SQL</v>
          </cell>
          <cell r="K1263" t="str">
            <v>SQL</v>
          </cell>
          <cell r="L1263" t="str">
            <v>PIS</v>
          </cell>
          <cell r="M1263">
            <v>0</v>
          </cell>
          <cell r="N1263">
            <v>0</v>
          </cell>
          <cell r="O1263">
            <v>107.62</v>
          </cell>
          <cell r="P1263">
            <v>115.41</v>
          </cell>
        </row>
        <row r="1264">
          <cell r="D1264" t="str">
            <v>MC000370</v>
          </cell>
          <cell r="E1264" t="str">
            <v>ESPUMOSO NUVO 700ML</v>
          </cell>
          <cell r="F1264">
            <v>99.24</v>
          </cell>
          <cell r="G1264">
            <v>99.24</v>
          </cell>
          <cell r="H1264">
            <v>101.23</v>
          </cell>
          <cell r="I1264">
            <v>101.23</v>
          </cell>
          <cell r="J1264" t="str">
            <v>PRE</v>
          </cell>
          <cell r="K1264" t="str">
            <v>OTR</v>
          </cell>
          <cell r="L1264" t="str">
            <v>OTR</v>
          </cell>
          <cell r="M1264">
            <v>0</v>
          </cell>
          <cell r="N1264">
            <v>0</v>
          </cell>
          <cell r="O1264">
            <v>95.35</v>
          </cell>
          <cell r="P1264">
            <v>111.35</v>
          </cell>
        </row>
        <row r="1265">
          <cell r="D1265" t="str">
            <v>MC0547</v>
          </cell>
          <cell r="E1265" t="str">
            <v>PARTY BOX UVA DANGER 355ML X 24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  <cell r="J1265" t="str">
            <v>PRE</v>
          </cell>
          <cell r="K1265" t="str">
            <v>OTR</v>
          </cell>
          <cell r="L1265" t="str">
            <v>OTR</v>
          </cell>
          <cell r="M1265">
            <v>0</v>
          </cell>
          <cell r="N1265">
            <v>0</v>
          </cell>
          <cell r="O1265">
            <v>0</v>
          </cell>
          <cell r="P1265">
            <v>6.39</v>
          </cell>
        </row>
        <row r="1266">
          <cell r="D1266" t="str">
            <v>C000384</v>
          </cell>
          <cell r="E1266" t="str">
            <v>PARTY BOX MARACUYA X 3L X 6</v>
          </cell>
          <cell r="F1266">
            <v>29.22</v>
          </cell>
          <cell r="G1266">
            <v>29.22</v>
          </cell>
          <cell r="H1266">
            <v>29.8</v>
          </cell>
          <cell r="I1266">
            <v>29.8</v>
          </cell>
          <cell r="J1266" t="str">
            <v>PRE</v>
          </cell>
          <cell r="K1266" t="str">
            <v>OTR</v>
          </cell>
          <cell r="L1266" t="str">
            <v>OTR</v>
          </cell>
          <cell r="M1266">
            <v>0</v>
          </cell>
          <cell r="N1266">
            <v>0</v>
          </cell>
          <cell r="O1266">
            <v>0</v>
          </cell>
          <cell r="P1266">
            <v>30.58</v>
          </cell>
        </row>
        <row r="1267">
          <cell r="D1267" t="str">
            <v>299183</v>
          </cell>
          <cell r="E1267" t="str">
            <v xml:space="preserve">BRITVIC RASBERRY TONIC WATER150ML X 24 </v>
          </cell>
          <cell r="F1267">
            <v>3.99</v>
          </cell>
          <cell r="G1267">
            <v>3.99</v>
          </cell>
          <cell r="H1267">
            <v>4.07</v>
          </cell>
          <cell r="I1267">
            <v>4.07</v>
          </cell>
          <cell r="J1267" t="str">
            <v>PFA</v>
          </cell>
          <cell r="K1267" t="str">
            <v>LIC</v>
          </cell>
          <cell r="L1267" t="str">
            <v>BRI</v>
          </cell>
          <cell r="M1267">
            <v>0</v>
          </cell>
          <cell r="N1267">
            <v>0</v>
          </cell>
          <cell r="O1267">
            <v>0</v>
          </cell>
          <cell r="P1267">
            <v>4.28</v>
          </cell>
        </row>
        <row r="1268">
          <cell r="D1268" t="str">
            <v>299129</v>
          </cell>
          <cell r="E1268" t="str">
            <v>NP-BRIT-AGUA TONICA LAT 150ML X24</v>
          </cell>
          <cell r="F1268">
            <v>3.99</v>
          </cell>
          <cell r="G1268">
            <v>3.99</v>
          </cell>
          <cell r="H1268">
            <v>4.07</v>
          </cell>
          <cell r="I1268">
            <v>4.07</v>
          </cell>
          <cell r="J1268" t="str">
            <v>PFA</v>
          </cell>
          <cell r="K1268" t="str">
            <v>LIC</v>
          </cell>
          <cell r="L1268" t="str">
            <v>BRI</v>
          </cell>
          <cell r="M1268">
            <v>0</v>
          </cell>
          <cell r="N1268">
            <v>0</v>
          </cell>
          <cell r="O1268">
            <v>3.65</v>
          </cell>
          <cell r="P1268">
            <v>4.28</v>
          </cell>
        </row>
        <row r="1269">
          <cell r="D1269" t="str">
            <v>299133</v>
          </cell>
          <cell r="E1269" t="str">
            <v xml:space="preserve">BRITVIC GINGER BEER LATA 150ML X 24 </v>
          </cell>
          <cell r="F1269">
            <v>3.99</v>
          </cell>
          <cell r="G1269">
            <v>3.99</v>
          </cell>
          <cell r="H1269">
            <v>4.07</v>
          </cell>
          <cell r="I1269">
            <v>4.07</v>
          </cell>
          <cell r="J1269" t="str">
            <v>PFA</v>
          </cell>
          <cell r="K1269" t="str">
            <v>LIC</v>
          </cell>
          <cell r="L1269" t="str">
            <v>BRI</v>
          </cell>
          <cell r="M1269">
            <v>0</v>
          </cell>
          <cell r="N1269">
            <v>0</v>
          </cell>
          <cell r="O1269">
            <v>0</v>
          </cell>
          <cell r="P1269">
            <v>4.28</v>
          </cell>
        </row>
        <row r="1270">
          <cell r="D1270" t="str">
            <v>404880</v>
          </cell>
          <cell r="E1270" t="str">
            <v>CHORIZO PREC PQ 0.5KG SEGO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  <cell r="J1270" t="str">
            <v>SIG</v>
          </cell>
          <cell r="K1270" t="str">
            <v>SEG</v>
          </cell>
          <cell r="L1270" t="str">
            <v>CHO</v>
          </cell>
          <cell r="M1270">
            <v>0</v>
          </cell>
          <cell r="N1270">
            <v>0</v>
          </cell>
          <cell r="O1270">
            <v>0</v>
          </cell>
          <cell r="P1270">
            <v>11.6</v>
          </cell>
        </row>
        <row r="1271">
          <cell r="D1271" t="str">
            <v>403947</v>
          </cell>
          <cell r="E1271" t="str">
            <v>BIFE ANGOS CONG 2U BLS 500G AP SEGO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  <cell r="J1271" t="str">
            <v>SIG</v>
          </cell>
          <cell r="K1271" t="str">
            <v>SEG</v>
          </cell>
          <cell r="L1271" t="str">
            <v>CHO</v>
          </cell>
          <cell r="M1271">
            <v>0</v>
          </cell>
          <cell r="N1271">
            <v>0</v>
          </cell>
          <cell r="O1271">
            <v>0</v>
          </cell>
          <cell r="P1271">
            <v>36</v>
          </cell>
        </row>
        <row r="1272">
          <cell r="D1272" t="str">
            <v>403508</v>
          </cell>
          <cell r="E1272" t="str">
            <v>SUPER CHORIZO 80GR HIERRO SEGO</v>
          </cell>
          <cell r="F1272">
            <v>0</v>
          </cell>
          <cell r="G1272">
            <v>0</v>
          </cell>
          <cell r="H1272">
            <v>0</v>
          </cell>
          <cell r="I1272">
            <v>0</v>
          </cell>
          <cell r="J1272" t="str">
            <v>SIG</v>
          </cell>
          <cell r="K1272" t="str">
            <v>SEG</v>
          </cell>
          <cell r="L1272" t="str">
            <v>CHO</v>
          </cell>
          <cell r="M1272">
            <v>0</v>
          </cell>
          <cell r="N1272">
            <v>0</v>
          </cell>
          <cell r="O1272">
            <v>0</v>
          </cell>
          <cell r="P1272">
            <v>1.43</v>
          </cell>
        </row>
        <row r="1273">
          <cell r="D1273" t="str">
            <v>404882</v>
          </cell>
          <cell r="E1273" t="str">
            <v>SUP CHORIZO PREC PQ 10U 800GR SEGO</v>
          </cell>
          <cell r="F1273">
            <v>0</v>
          </cell>
          <cell r="G1273">
            <v>0</v>
          </cell>
          <cell r="H1273">
            <v>0</v>
          </cell>
          <cell r="I1273">
            <v>0</v>
          </cell>
          <cell r="J1273" t="str">
            <v>SIG</v>
          </cell>
          <cell r="K1273" t="str">
            <v>SEG</v>
          </cell>
          <cell r="L1273" t="str">
            <v>CHO</v>
          </cell>
          <cell r="M1273">
            <v>0</v>
          </cell>
          <cell r="N1273">
            <v>0</v>
          </cell>
          <cell r="O1273">
            <v>0</v>
          </cell>
          <cell r="P1273">
            <v>13.39</v>
          </cell>
        </row>
        <row r="1274">
          <cell r="D1274" t="str">
            <v>0105006</v>
          </cell>
          <cell r="E1274" t="str">
            <v>MINI.WHIS.JOHNNIE W.BLACK LABEL 50ML</v>
          </cell>
          <cell r="F1274">
            <v>10.67</v>
          </cell>
          <cell r="G1274">
            <v>10.67</v>
          </cell>
          <cell r="H1274">
            <v>10.88</v>
          </cell>
          <cell r="I1274">
            <v>10.88</v>
          </cell>
          <cell r="J1274" t="str">
            <v>IWA</v>
          </cell>
          <cell r="K1274" t="str">
            <v>LIC</v>
          </cell>
          <cell r="L1274" t="str">
            <v>MIN</v>
          </cell>
          <cell r="M1274">
            <v>0</v>
          </cell>
          <cell r="N1274">
            <v>0</v>
          </cell>
          <cell r="O1274">
            <v>0</v>
          </cell>
          <cell r="P1274">
            <v>11.1</v>
          </cell>
        </row>
        <row r="1275">
          <cell r="D1275" t="str">
            <v>VOD0384</v>
          </cell>
          <cell r="E1275" t="str">
            <v>MINI.VODKA SKY 50ML</v>
          </cell>
          <cell r="F1275">
            <v>4.9000000000000004</v>
          </cell>
          <cell r="G1275">
            <v>4.9000000000000004</v>
          </cell>
          <cell r="H1275">
            <v>4.99</v>
          </cell>
          <cell r="I1275">
            <v>4.99</v>
          </cell>
          <cell r="J1275" t="str">
            <v>IWA</v>
          </cell>
          <cell r="K1275" t="str">
            <v>LIC</v>
          </cell>
          <cell r="L1275" t="str">
            <v>MIN</v>
          </cell>
          <cell r="M1275">
            <v>0</v>
          </cell>
          <cell r="N1275">
            <v>0</v>
          </cell>
          <cell r="O1275">
            <v>0</v>
          </cell>
          <cell r="P1275">
            <v>4.99</v>
          </cell>
        </row>
        <row r="1276">
          <cell r="D1276" t="str">
            <v>APE0131</v>
          </cell>
          <cell r="E1276" t="str">
            <v>MINI.ANGOSTURA ORANGE BITTER 3.7ML</v>
          </cell>
          <cell r="F1276">
            <v>3.2</v>
          </cell>
          <cell r="G1276">
            <v>3.2</v>
          </cell>
          <cell r="H1276">
            <v>3.27</v>
          </cell>
          <cell r="I1276">
            <v>3.27</v>
          </cell>
          <cell r="J1276" t="str">
            <v>IWA</v>
          </cell>
          <cell r="K1276" t="str">
            <v>LIC</v>
          </cell>
          <cell r="L1276" t="str">
            <v>MIN</v>
          </cell>
          <cell r="M1276">
            <v>0</v>
          </cell>
          <cell r="N1276">
            <v>0</v>
          </cell>
          <cell r="O1276">
            <v>0</v>
          </cell>
          <cell r="P1276">
            <v>3.93</v>
          </cell>
        </row>
        <row r="1277">
          <cell r="D1277" t="str">
            <v>MIN013</v>
          </cell>
          <cell r="E1277" t="str">
            <v>MINI.PISCO INCA HUACO 50ML</v>
          </cell>
          <cell r="F1277">
            <v>16.73</v>
          </cell>
          <cell r="G1277">
            <v>16.73</v>
          </cell>
          <cell r="H1277">
            <v>17.100000000000001</v>
          </cell>
          <cell r="I1277">
            <v>17.100000000000001</v>
          </cell>
          <cell r="J1277" t="str">
            <v>IWA</v>
          </cell>
          <cell r="K1277" t="str">
            <v>LIC</v>
          </cell>
          <cell r="L1277" t="str">
            <v>MIN</v>
          </cell>
          <cell r="M1277">
            <v>0</v>
          </cell>
          <cell r="N1277">
            <v>0</v>
          </cell>
          <cell r="O1277">
            <v>0</v>
          </cell>
          <cell r="P1277">
            <v>20.79</v>
          </cell>
        </row>
        <row r="1278">
          <cell r="D1278" t="str">
            <v>0104004</v>
          </cell>
          <cell r="E1278" t="str">
            <v xml:space="preserve">MINI.WHIS.CHIVAS REGAL 12 AÑOS X 50ML </v>
          </cell>
          <cell r="F1278">
            <v>13.86</v>
          </cell>
          <cell r="G1278">
            <v>13.86</v>
          </cell>
          <cell r="H1278">
            <v>14.14</v>
          </cell>
          <cell r="I1278">
            <v>14.14</v>
          </cell>
          <cell r="J1278" t="str">
            <v>IWA</v>
          </cell>
          <cell r="K1278" t="str">
            <v>LIC</v>
          </cell>
          <cell r="L1278" t="str">
            <v>MIN</v>
          </cell>
          <cell r="M1278">
            <v>0</v>
          </cell>
          <cell r="N1278">
            <v>0</v>
          </cell>
          <cell r="O1278">
            <v>12.06</v>
          </cell>
          <cell r="P1278">
            <v>16.600000000000001</v>
          </cell>
        </row>
        <row r="1279">
          <cell r="D1279" t="str">
            <v>MIN011</v>
          </cell>
          <cell r="E1279" t="str">
            <v>MINI.PISCO VIÑAS DE ORO PURO 50ML</v>
          </cell>
          <cell r="F1279">
            <v>6.8</v>
          </cell>
          <cell r="G1279">
            <v>6.8</v>
          </cell>
          <cell r="H1279">
            <v>6.94</v>
          </cell>
          <cell r="I1279">
            <v>6.94</v>
          </cell>
          <cell r="J1279" t="str">
            <v>IWA</v>
          </cell>
          <cell r="K1279" t="str">
            <v>LIC</v>
          </cell>
          <cell r="L1279" t="str">
            <v>MIN</v>
          </cell>
          <cell r="M1279">
            <v>0</v>
          </cell>
          <cell r="N1279">
            <v>0</v>
          </cell>
          <cell r="O1279">
            <v>0</v>
          </cell>
          <cell r="P1279">
            <v>8.69</v>
          </cell>
        </row>
        <row r="1280">
          <cell r="D1280" t="str">
            <v>MIN003</v>
          </cell>
          <cell r="E1280" t="str">
            <v>MINI.WHIS.JOHNNIE W.RED LABEL 50ML</v>
          </cell>
          <cell r="F1280">
            <v>7.05</v>
          </cell>
          <cell r="G1280">
            <v>7.05</v>
          </cell>
          <cell r="H1280">
            <v>7.19</v>
          </cell>
          <cell r="I1280">
            <v>7.19</v>
          </cell>
          <cell r="J1280" t="str">
            <v>IWA</v>
          </cell>
          <cell r="K1280" t="str">
            <v>LIC</v>
          </cell>
          <cell r="L1280" t="str">
            <v>MIN</v>
          </cell>
          <cell r="M1280">
            <v>0</v>
          </cell>
          <cell r="N1280">
            <v>0</v>
          </cell>
          <cell r="O1280">
            <v>0</v>
          </cell>
          <cell r="P1280">
            <v>7.19</v>
          </cell>
        </row>
        <row r="1281">
          <cell r="D1281" t="str">
            <v>VOD0147</v>
          </cell>
          <cell r="E1281" t="str">
            <v>MINI.VODKA ABSOLUT BLUE 50ML</v>
          </cell>
          <cell r="F1281">
            <v>5.9</v>
          </cell>
          <cell r="G1281">
            <v>5.9</v>
          </cell>
          <cell r="H1281">
            <v>6.02</v>
          </cell>
          <cell r="I1281">
            <v>6.02</v>
          </cell>
          <cell r="J1281" t="str">
            <v>IWA</v>
          </cell>
          <cell r="K1281" t="str">
            <v>LIC</v>
          </cell>
          <cell r="L1281" t="str">
            <v>MIN</v>
          </cell>
          <cell r="M1281">
            <v>0</v>
          </cell>
          <cell r="N1281">
            <v>0</v>
          </cell>
          <cell r="O1281">
            <v>0</v>
          </cell>
          <cell r="P1281">
            <v>5.86</v>
          </cell>
        </row>
      </sheetData>
      <sheetData sheetId="2">
        <row r="1">
          <cell r="A1" t="str">
            <v>CodigoInternoAux</v>
          </cell>
          <cell r="B1" t="str">
            <v>Descripcion</v>
          </cell>
          <cell r="C1" t="str">
            <v>Proveedor</v>
          </cell>
          <cell r="D1" t="str">
            <v>Linea</v>
          </cell>
          <cell r="E1" t="str">
            <v>SubLinea</v>
          </cell>
          <cell r="F1" t="str">
            <v>PrecioTPV</v>
          </cell>
        </row>
        <row r="2">
          <cell r="A2" t="str">
            <v>EMGR016</v>
          </cell>
          <cell r="B2" t="str">
            <v>CHORIZO MERME-ROCOTO 140G OSSO</v>
          </cell>
          <cell r="C2" t="str">
            <v>PRR</v>
          </cell>
          <cell r="D2" t="str">
            <v>OFD</v>
          </cell>
          <cell r="E2" t="str">
            <v>CHO</v>
          </cell>
          <cell r="F2">
            <v>42.9</v>
          </cell>
        </row>
        <row r="3">
          <cell r="A3" t="str">
            <v>EMGR014</v>
          </cell>
          <cell r="B3" t="str">
            <v>CHORIZO MIEL MAPPLE 140G- OSSO</v>
          </cell>
          <cell r="C3" t="str">
            <v>PRR</v>
          </cell>
          <cell r="D3" t="str">
            <v>OFD</v>
          </cell>
          <cell r="E3" t="str">
            <v>CHO</v>
          </cell>
          <cell r="F3">
            <v>42.9</v>
          </cell>
        </row>
        <row r="4">
          <cell r="A4" t="str">
            <v>EMGR018</v>
          </cell>
          <cell r="B4" t="str">
            <v>CHORIZO ANGUS CJA X500 OREGON FOODS</v>
          </cell>
          <cell r="C4" t="str">
            <v>PRR</v>
          </cell>
          <cell r="D4" t="str">
            <v>OFD</v>
          </cell>
          <cell r="E4" t="str">
            <v>CHO</v>
          </cell>
          <cell r="F4">
            <v>52.9</v>
          </cell>
        </row>
        <row r="5">
          <cell r="A5" t="str">
            <v>53295</v>
          </cell>
          <cell r="B5" t="str">
            <v xml:space="preserve">EL ENEMIGO MALBEC 12 X 750ML </v>
          </cell>
          <cell r="C5" t="str">
            <v>YIC</v>
          </cell>
          <cell r="D5" t="str">
            <v>LIC</v>
          </cell>
          <cell r="E5" t="str">
            <v>VIN</v>
          </cell>
          <cell r="F5">
            <v>103.37</v>
          </cell>
        </row>
        <row r="6">
          <cell r="A6" t="str">
            <v>53294</v>
          </cell>
          <cell r="B6" t="str">
            <v>EL ENEMIGO  CABERNET FRANC 12 X 750ML</v>
          </cell>
          <cell r="C6" t="str">
            <v>YIC</v>
          </cell>
          <cell r="D6" t="str">
            <v>LIC</v>
          </cell>
          <cell r="E6" t="str">
            <v>VIN</v>
          </cell>
          <cell r="F6">
            <v>103.37</v>
          </cell>
        </row>
        <row r="7">
          <cell r="A7" t="str">
            <v>55004</v>
          </cell>
          <cell r="B7" t="str">
            <v>TRIVENTO MERRY MALBEC 750ML X12</v>
          </cell>
          <cell r="C7" t="str">
            <v>YIC</v>
          </cell>
          <cell r="D7" t="str">
            <v>LIC</v>
          </cell>
          <cell r="E7" t="str">
            <v>VIN</v>
          </cell>
          <cell r="F7">
            <v>36.32</v>
          </cell>
        </row>
        <row r="8">
          <cell r="A8" t="str">
            <v>53381</v>
          </cell>
          <cell r="B8" t="str">
            <v>PACK CAS.DIAB.CAB. SAUVI+ TRIV. MALB 750ML X6</v>
          </cell>
          <cell r="C8" t="str">
            <v>YIC</v>
          </cell>
          <cell r="D8" t="str">
            <v>LIC</v>
          </cell>
          <cell r="E8" t="str">
            <v>VIN</v>
          </cell>
          <cell r="F8">
            <v>64.34</v>
          </cell>
        </row>
        <row r="9">
          <cell r="A9" t="str">
            <v>53297</v>
          </cell>
          <cell r="B9" t="str">
            <v>V.TINTO GRAN ENEMIGO 6 X 750ML</v>
          </cell>
          <cell r="C9" t="str">
            <v>YIC</v>
          </cell>
          <cell r="D9" t="str">
            <v>LIC</v>
          </cell>
          <cell r="E9" t="str">
            <v>VIN</v>
          </cell>
          <cell r="F9">
            <v>335.92</v>
          </cell>
        </row>
        <row r="10">
          <cell r="A10" t="str">
            <v>53255</v>
          </cell>
          <cell r="B10" t="str">
            <v>V/T ALAMOS.CABERNET SAUVIGNON 750ML X12</v>
          </cell>
          <cell r="C10" t="str">
            <v>YIC</v>
          </cell>
          <cell r="D10" t="str">
            <v>LIC</v>
          </cell>
          <cell r="E10" t="str">
            <v>VIN</v>
          </cell>
          <cell r="F10">
            <v>47.16</v>
          </cell>
        </row>
        <row r="11">
          <cell r="A11" t="str">
            <v>53254</v>
          </cell>
          <cell r="B11" t="str">
            <v>V/T ALAMOS MALBEC 750ML X 12</v>
          </cell>
          <cell r="C11" t="str">
            <v>YIC</v>
          </cell>
          <cell r="D11" t="str">
            <v>LIC</v>
          </cell>
          <cell r="E11" t="str">
            <v>VIN</v>
          </cell>
          <cell r="F11">
            <v>47.16</v>
          </cell>
        </row>
        <row r="12">
          <cell r="A12" t="str">
            <v>0210025</v>
          </cell>
          <cell r="B12" t="str">
            <v>R.HAVANA CLUB 7AÑ 700ML X12</v>
          </cell>
          <cell r="C12" t="str">
            <v>IWA</v>
          </cell>
          <cell r="D12" t="str">
            <v>HAC</v>
          </cell>
          <cell r="E12" t="str">
            <v>RON</v>
          </cell>
          <cell r="F12">
            <v>78.989999999999995</v>
          </cell>
        </row>
        <row r="13">
          <cell r="A13" t="str">
            <v>0210003</v>
          </cell>
          <cell r="B13" t="str">
            <v>R.HAVANA CLUB AÑEJO RES.750ML X12</v>
          </cell>
          <cell r="C13" t="str">
            <v>IWA</v>
          </cell>
          <cell r="D13" t="str">
            <v>HAC</v>
          </cell>
          <cell r="E13" t="str">
            <v>RON</v>
          </cell>
          <cell r="F13">
            <v>45.49</v>
          </cell>
        </row>
        <row r="14">
          <cell r="A14" t="str">
            <v>RON0875</v>
          </cell>
          <cell r="B14" t="str">
            <v>RON HAVANA CLUB BLANCO 3AÑ 700ML X12</v>
          </cell>
          <cell r="C14" t="str">
            <v>IWA</v>
          </cell>
          <cell r="D14" t="str">
            <v>HAC</v>
          </cell>
          <cell r="E14" t="str">
            <v>RON</v>
          </cell>
          <cell r="F14">
            <v>37.5</v>
          </cell>
        </row>
        <row r="15">
          <cell r="A15" t="str">
            <v>197312</v>
          </cell>
          <cell r="B15" t="str">
            <v>RON VIEJO DE CALDAS 5 AÑOS X750</v>
          </cell>
          <cell r="C15" t="str">
            <v>PFA</v>
          </cell>
          <cell r="D15" t="str">
            <v>LIC</v>
          </cell>
          <cell r="E15" t="str">
            <v>CDL</v>
          </cell>
          <cell r="F15">
            <v>29.69</v>
          </cell>
        </row>
        <row r="16">
          <cell r="A16" t="str">
            <v>197322</v>
          </cell>
          <cell r="B16" t="str">
            <v>R.V CALDAS  ROBLE BLANCO 750ML X 12</v>
          </cell>
          <cell r="C16" t="str">
            <v>PFA</v>
          </cell>
          <cell r="D16" t="str">
            <v>LIC</v>
          </cell>
          <cell r="E16" t="str">
            <v>CDL</v>
          </cell>
          <cell r="F16">
            <v>24.03</v>
          </cell>
        </row>
        <row r="17">
          <cell r="A17" t="str">
            <v>197310</v>
          </cell>
          <cell r="B17" t="str">
            <v>RON VIEJO DE CALDAS 3 AÑOS 750MLX12</v>
          </cell>
          <cell r="C17" t="str">
            <v>PFA</v>
          </cell>
          <cell r="D17" t="str">
            <v>LIC</v>
          </cell>
          <cell r="E17" t="str">
            <v>CDL</v>
          </cell>
          <cell r="F17">
            <v>24.03</v>
          </cell>
        </row>
        <row r="18">
          <cell r="A18" t="str">
            <v>V0040</v>
          </cell>
          <cell r="B18" t="str">
            <v>R.FLOR DE CAÑA 25AÑ 750ML X6</v>
          </cell>
          <cell r="C18" t="str">
            <v>PFA</v>
          </cell>
          <cell r="D18" t="str">
            <v>FDC</v>
          </cell>
          <cell r="E18" t="str">
            <v>RON</v>
          </cell>
          <cell r="F18">
            <v>659.98</v>
          </cell>
        </row>
        <row r="19">
          <cell r="A19" t="str">
            <v>V0036</v>
          </cell>
          <cell r="B19" t="str">
            <v>R.FLOR DE CAÑA 12AÑ CENT 750ML X12</v>
          </cell>
          <cell r="C19" t="str">
            <v>PFA</v>
          </cell>
          <cell r="D19" t="str">
            <v>FDC</v>
          </cell>
          <cell r="E19" t="str">
            <v>RON</v>
          </cell>
          <cell r="F19">
            <v>102.2</v>
          </cell>
        </row>
        <row r="20">
          <cell r="A20" t="str">
            <v>V0058</v>
          </cell>
          <cell r="B20" t="str">
            <v>R.FLOR DE CAÑA 18AÑ 750ML X6</v>
          </cell>
          <cell r="C20" t="str">
            <v>PFA</v>
          </cell>
          <cell r="D20" t="str">
            <v>FDC</v>
          </cell>
          <cell r="E20" t="str">
            <v>RON</v>
          </cell>
          <cell r="F20">
            <v>182.54</v>
          </cell>
        </row>
        <row r="21">
          <cell r="A21" t="str">
            <v>V0051</v>
          </cell>
          <cell r="B21" t="str">
            <v>R.FLOR DE CAÑA 4AÑ EX.SECO 750ML X12</v>
          </cell>
          <cell r="C21" t="str">
            <v>PFA</v>
          </cell>
          <cell r="D21" t="str">
            <v>FDC</v>
          </cell>
          <cell r="E21" t="str">
            <v>RON</v>
          </cell>
          <cell r="F21">
            <v>38.82</v>
          </cell>
        </row>
        <row r="22">
          <cell r="A22" t="str">
            <v>V0057</v>
          </cell>
          <cell r="B22" t="str">
            <v>R.FLOR DE CAÑA 7AÑ G.RES.750ML X12</v>
          </cell>
          <cell r="C22" t="str">
            <v>PFA</v>
          </cell>
          <cell r="D22" t="str">
            <v>FDC</v>
          </cell>
          <cell r="E22" t="str">
            <v>RON</v>
          </cell>
          <cell r="F22">
            <v>70.33</v>
          </cell>
        </row>
        <row r="23">
          <cell r="A23" t="str">
            <v>V0249</v>
          </cell>
          <cell r="B23" t="str">
            <v>R.FLOR DE CAÑA 12AÑ 375ML X24</v>
          </cell>
          <cell r="C23" t="str">
            <v>PFA</v>
          </cell>
          <cell r="D23" t="str">
            <v>FDC</v>
          </cell>
          <cell r="E23" t="str">
            <v>RON</v>
          </cell>
          <cell r="F23">
            <v>57.68</v>
          </cell>
        </row>
        <row r="24">
          <cell r="A24" t="str">
            <v>V0060</v>
          </cell>
          <cell r="B24" t="str">
            <v>R.FLOR DE CAÑA 7AÑ G.RES.1LT X12</v>
          </cell>
          <cell r="C24" t="str">
            <v>PFA</v>
          </cell>
          <cell r="D24" t="str">
            <v>FDC</v>
          </cell>
          <cell r="E24" t="str">
            <v>RON</v>
          </cell>
          <cell r="F24">
            <v>86.09</v>
          </cell>
        </row>
        <row r="25">
          <cell r="A25" t="str">
            <v>V0037</v>
          </cell>
          <cell r="B25" t="str">
            <v>R.FLOR DE CAÑA 5AÑ CLAS 750ML X12</v>
          </cell>
          <cell r="C25" t="str">
            <v>PFA</v>
          </cell>
          <cell r="D25" t="str">
            <v>FDC</v>
          </cell>
          <cell r="E25" t="str">
            <v>RON</v>
          </cell>
          <cell r="F25">
            <v>48.13</v>
          </cell>
        </row>
        <row r="26">
          <cell r="A26" t="str">
            <v>MC000273</v>
          </cell>
          <cell r="B26" t="str">
            <v>R.FLOR DE CAÑA LICOR DE CAFE 750ML X12</v>
          </cell>
          <cell r="C26" t="str">
            <v>PFA</v>
          </cell>
          <cell r="D26" t="str">
            <v>FDC</v>
          </cell>
          <cell r="E26" t="str">
            <v>RON</v>
          </cell>
          <cell r="F26">
            <v>60.34</v>
          </cell>
        </row>
        <row r="27">
          <cell r="A27" t="str">
            <v>V0039</v>
          </cell>
          <cell r="B27" t="str">
            <v>R.FLOR DE CAÑA 4AÑ 1LT X12</v>
          </cell>
          <cell r="C27" t="str">
            <v>PFA</v>
          </cell>
          <cell r="D27" t="str">
            <v>FDC</v>
          </cell>
          <cell r="E27" t="str">
            <v>RON</v>
          </cell>
          <cell r="F27">
            <v>52.65</v>
          </cell>
        </row>
        <row r="28">
          <cell r="A28" t="str">
            <v>V0038</v>
          </cell>
          <cell r="B28" t="str">
            <v>R.FLOR DE CAÑA 4AÑ 750ML X12</v>
          </cell>
          <cell r="C28" t="str">
            <v>PFA</v>
          </cell>
          <cell r="D28" t="str">
            <v>FDC</v>
          </cell>
          <cell r="E28" t="str">
            <v>RON</v>
          </cell>
          <cell r="F28">
            <v>38.82</v>
          </cell>
        </row>
        <row r="29">
          <cell r="A29" t="str">
            <v>V0058C</v>
          </cell>
          <cell r="B29" t="str">
            <v>R.FLOR DE CAÑA 18AÑ 750ML X6 C/CAJA</v>
          </cell>
          <cell r="C29" t="str">
            <v>PFA</v>
          </cell>
          <cell r="D29" t="str">
            <v>FDC</v>
          </cell>
          <cell r="E29" t="str">
            <v>RON</v>
          </cell>
          <cell r="F29">
            <v>200.31</v>
          </cell>
        </row>
        <row r="30">
          <cell r="A30" t="str">
            <v>V0052</v>
          </cell>
          <cell r="B30" t="str">
            <v>R.FLOR DE CAÑA 4AÑ 1.750 LT X6</v>
          </cell>
          <cell r="C30" t="str">
            <v>PFA</v>
          </cell>
          <cell r="D30" t="str">
            <v>FDC</v>
          </cell>
          <cell r="E30" t="str">
            <v>RON</v>
          </cell>
          <cell r="F30">
            <v>76.69</v>
          </cell>
        </row>
        <row r="31">
          <cell r="A31" t="str">
            <v>V0041</v>
          </cell>
          <cell r="B31" t="str">
            <v>R.FLOR DE CAÑA 5AÑ CLAS 1LT X12</v>
          </cell>
          <cell r="C31" t="str">
            <v>PFA</v>
          </cell>
          <cell r="D31" t="str">
            <v>FDC</v>
          </cell>
          <cell r="E31" t="str">
            <v>RON</v>
          </cell>
          <cell r="F31">
            <v>60.14</v>
          </cell>
        </row>
        <row r="32">
          <cell r="A32" t="str">
            <v>MC000165</v>
          </cell>
          <cell r="B32" t="str">
            <v>WHIS.GLENFIDDICH 18AÑ 750ML X3</v>
          </cell>
          <cell r="C32" t="str">
            <v>PRE</v>
          </cell>
          <cell r="D32" t="str">
            <v>WHI</v>
          </cell>
          <cell r="E32" t="str">
            <v>GLE</v>
          </cell>
          <cell r="F32">
            <v>574.16</v>
          </cell>
        </row>
        <row r="33">
          <cell r="A33" t="str">
            <v>MC000164</v>
          </cell>
          <cell r="B33" t="str">
            <v>WHIS.GLENFIDDICH 15AÑOS 750ML</v>
          </cell>
          <cell r="C33" t="str">
            <v>PRE</v>
          </cell>
          <cell r="D33" t="str">
            <v>WHI</v>
          </cell>
          <cell r="E33" t="str">
            <v>GLE</v>
          </cell>
          <cell r="F33">
            <v>277.82</v>
          </cell>
        </row>
        <row r="34">
          <cell r="A34" t="str">
            <v>MC000182</v>
          </cell>
          <cell r="B34" t="str">
            <v>WHIS.GLENFIDDICH 21AÑ 750ML</v>
          </cell>
          <cell r="C34" t="str">
            <v>PRE</v>
          </cell>
          <cell r="D34" t="str">
            <v>WHI</v>
          </cell>
          <cell r="E34" t="str">
            <v>GLE</v>
          </cell>
          <cell r="F34">
            <v>905.01</v>
          </cell>
        </row>
        <row r="35">
          <cell r="A35" t="str">
            <v>MC000163</v>
          </cell>
          <cell r="B35" t="str">
            <v>WHIS.GLENFIDDICH 12AÑ 750ML X12</v>
          </cell>
          <cell r="C35" t="str">
            <v>PRE</v>
          </cell>
          <cell r="D35" t="str">
            <v>WHI</v>
          </cell>
          <cell r="E35" t="str">
            <v>GLE</v>
          </cell>
          <cell r="F35">
            <v>147.83000000000001</v>
          </cell>
        </row>
        <row r="36">
          <cell r="A36" t="str">
            <v>80010001</v>
          </cell>
          <cell r="B36" t="str">
            <v>RON MANDATARIO XO 700ML X6</v>
          </cell>
          <cell r="C36" t="str">
            <v>COP</v>
          </cell>
          <cell r="D36" t="str">
            <v>COP</v>
          </cell>
          <cell r="E36" t="str">
            <v>COP</v>
          </cell>
          <cell r="F36">
            <v>145.77000000000001</v>
          </cell>
        </row>
        <row r="37">
          <cell r="A37" t="str">
            <v>199275</v>
          </cell>
          <cell r="B37" t="str">
            <v>SPIRIT GIN LEMON 275ML X 24</v>
          </cell>
          <cell r="C37" t="str">
            <v>PFA</v>
          </cell>
          <cell r="D37" t="str">
            <v>LIC</v>
          </cell>
          <cell r="E37" t="str">
            <v>GIN</v>
          </cell>
          <cell r="F37">
            <v>6.73</v>
          </cell>
        </row>
        <row r="38">
          <cell r="A38" t="str">
            <v>199274</v>
          </cell>
          <cell r="B38" t="str">
            <v>SPIRIT GIN TONIC 275ML X 24</v>
          </cell>
          <cell r="C38" t="str">
            <v>PFA</v>
          </cell>
          <cell r="D38" t="str">
            <v>LIC</v>
          </cell>
          <cell r="E38" t="str">
            <v>GIN</v>
          </cell>
          <cell r="F38">
            <v>6.73</v>
          </cell>
        </row>
        <row r="39">
          <cell r="A39" t="str">
            <v>5000205</v>
          </cell>
          <cell r="B39" t="str">
            <v>TEQUILA 1800 REPOSADO 750 ML X12</v>
          </cell>
          <cell r="C39" t="str">
            <v>CAR</v>
          </cell>
          <cell r="D39" t="str">
            <v>LIC</v>
          </cell>
          <cell r="E39" t="str">
            <v>TEQ</v>
          </cell>
          <cell r="F39">
            <v>125.79</v>
          </cell>
        </row>
        <row r="40">
          <cell r="A40" t="str">
            <v xml:space="preserve">5000519  </v>
          </cell>
          <cell r="B40" t="str">
            <v>TEQ. JC ESP SILVER CALAVERA X 750 ML</v>
          </cell>
          <cell r="C40" t="str">
            <v>CAR</v>
          </cell>
          <cell r="D40" t="str">
            <v>LIC</v>
          </cell>
          <cell r="E40" t="str">
            <v>TEQ</v>
          </cell>
          <cell r="F40">
            <v>62.9</v>
          </cell>
        </row>
        <row r="41">
          <cell r="A41" t="str">
            <v>5000434</v>
          </cell>
          <cell r="B41" t="str">
            <v>TEQUILA 1800 CRISTALINO 700 ML X6</v>
          </cell>
          <cell r="C41" t="str">
            <v>CAR</v>
          </cell>
          <cell r="D41" t="str">
            <v>LIC</v>
          </cell>
          <cell r="E41" t="str">
            <v>TEQ</v>
          </cell>
          <cell r="F41">
            <v>210.92</v>
          </cell>
        </row>
        <row r="42">
          <cell r="A42" t="str">
            <v>1003002</v>
          </cell>
          <cell r="B42" t="str">
            <v>TEQUILA JOSE C BLANCO(ESP) 750ML X12</v>
          </cell>
          <cell r="C42" t="str">
            <v>CAR</v>
          </cell>
          <cell r="D42" t="str">
            <v>LIC</v>
          </cell>
          <cell r="E42" t="str">
            <v>TEQ</v>
          </cell>
          <cell r="F42">
            <v>59.76</v>
          </cell>
        </row>
        <row r="43">
          <cell r="A43" t="str">
            <v>5000252</v>
          </cell>
          <cell r="B43" t="str">
            <v>2014 TEQUILA 1800 SILVER 750ML</v>
          </cell>
          <cell r="C43" t="str">
            <v>CAR</v>
          </cell>
          <cell r="D43" t="str">
            <v>LIC</v>
          </cell>
          <cell r="E43" t="str">
            <v>TEQ</v>
          </cell>
          <cell r="F43">
            <v>105.07</v>
          </cell>
        </row>
        <row r="44">
          <cell r="A44" t="str">
            <v>DUFF01</v>
          </cell>
          <cell r="B44" t="str">
            <v>DUFF LATA 330ML X 4</v>
          </cell>
          <cell r="C44" t="str">
            <v>IWA</v>
          </cell>
          <cell r="D44" t="str">
            <v>DUF</v>
          </cell>
          <cell r="E44" t="str">
            <v>CER</v>
          </cell>
          <cell r="F44">
            <v>3.54</v>
          </cell>
        </row>
        <row r="45">
          <cell r="A45" t="str">
            <v>1040095</v>
          </cell>
          <cell r="B45" t="str">
            <v>WHIS.CHIVAS REGAL 15AÑ 700ML X6</v>
          </cell>
          <cell r="C45" t="str">
            <v>IWA</v>
          </cell>
          <cell r="D45" t="str">
            <v>CHI</v>
          </cell>
          <cell r="E45" t="str">
            <v>WHI</v>
          </cell>
          <cell r="F45">
            <v>144.33000000000001</v>
          </cell>
        </row>
        <row r="46">
          <cell r="A46" t="str">
            <v>104003</v>
          </cell>
          <cell r="B46" t="str">
            <v>WHIS.CHIVAS REGAL 18AÑ 700ML X6</v>
          </cell>
          <cell r="C46" t="str">
            <v>IWA</v>
          </cell>
          <cell r="D46" t="str">
            <v>CHI</v>
          </cell>
          <cell r="E46" t="str">
            <v>WHI</v>
          </cell>
          <cell r="F46">
            <v>214.01</v>
          </cell>
        </row>
        <row r="47">
          <cell r="A47" t="str">
            <v>WHI0034</v>
          </cell>
          <cell r="B47" t="str">
            <v>CHIVAS.REGAL EX 13AÑ( BOURBON MORAD)700MLX6</v>
          </cell>
          <cell r="C47" t="str">
            <v>IWA</v>
          </cell>
          <cell r="D47" t="str">
            <v>CHI</v>
          </cell>
          <cell r="E47" t="str">
            <v>WHI</v>
          </cell>
          <cell r="F47">
            <v>114.68</v>
          </cell>
        </row>
        <row r="48">
          <cell r="A48" t="str">
            <v>LIC0024</v>
          </cell>
          <cell r="B48" t="str">
            <v>LICOR CAMPARI BITTER 750ML X 12</v>
          </cell>
          <cell r="C48" t="str">
            <v>IWA</v>
          </cell>
          <cell r="D48" t="str">
            <v>CHI</v>
          </cell>
          <cell r="E48" t="str">
            <v>WHI</v>
          </cell>
          <cell r="F48">
            <v>76.06</v>
          </cell>
        </row>
        <row r="49">
          <cell r="A49" t="str">
            <v>WHI1071</v>
          </cell>
          <cell r="B49" t="str">
            <v>PK WHI CHI REGAL EX 13AÑ 700ML+GIN BEEF PINK 700ML</v>
          </cell>
          <cell r="C49" t="str">
            <v>IWA</v>
          </cell>
          <cell r="D49" t="str">
            <v>CHI</v>
          </cell>
          <cell r="E49" t="str">
            <v>WHI</v>
          </cell>
          <cell r="F49">
            <v>150.04</v>
          </cell>
        </row>
        <row r="50">
          <cell r="A50" t="str">
            <v>0104001</v>
          </cell>
          <cell r="B50" t="str">
            <v>WHIS.CHIVAS REGAL 12AÑ 700ML X12</v>
          </cell>
          <cell r="C50" t="str">
            <v>IWA</v>
          </cell>
          <cell r="D50" t="str">
            <v>CHI</v>
          </cell>
          <cell r="E50" t="str">
            <v>WHI</v>
          </cell>
          <cell r="F50">
            <v>90.39</v>
          </cell>
        </row>
        <row r="51">
          <cell r="A51" t="str">
            <v>0104002</v>
          </cell>
          <cell r="B51" t="str">
            <v>CHIVAS REGAL EX 13AÑ( SHERRY ROJO)700MLX6</v>
          </cell>
          <cell r="C51" t="str">
            <v>IWA</v>
          </cell>
          <cell r="D51" t="str">
            <v>CHI</v>
          </cell>
          <cell r="E51" t="str">
            <v>WHI</v>
          </cell>
          <cell r="F51">
            <v>111</v>
          </cell>
        </row>
        <row r="52">
          <cell r="A52" t="str">
            <v>WHI0991</v>
          </cell>
          <cell r="B52" t="str">
            <v xml:space="preserve">PCK WHIS CHIVAS 12AÑ X700ML+ CHIVAS 12AÑ  X200ML </v>
          </cell>
          <cell r="C52" t="str">
            <v>IWA</v>
          </cell>
          <cell r="D52" t="str">
            <v>CHI</v>
          </cell>
          <cell r="E52" t="str">
            <v>WHI</v>
          </cell>
          <cell r="F52">
            <v>94.32</v>
          </cell>
        </row>
        <row r="53">
          <cell r="A53" t="str">
            <v>1040060</v>
          </cell>
          <cell r="B53" t="str">
            <v>WHIS.CHIVAS REGAL EXTRA 750ML X 6</v>
          </cell>
          <cell r="C53" t="str">
            <v>IWA</v>
          </cell>
          <cell r="D53" t="str">
            <v>CHI</v>
          </cell>
          <cell r="E53" t="str">
            <v>WHI</v>
          </cell>
          <cell r="F53">
            <v>91.72</v>
          </cell>
        </row>
        <row r="54">
          <cell r="A54" t="str">
            <v>1040061</v>
          </cell>
          <cell r="B54" t="str">
            <v>WHIS.CHIVAS REGAL ULTIS(BLUE) 750ML X3</v>
          </cell>
          <cell r="C54" t="str">
            <v>IWA</v>
          </cell>
          <cell r="D54" t="str">
            <v>CHI</v>
          </cell>
          <cell r="E54" t="str">
            <v>WHI</v>
          </cell>
          <cell r="F54">
            <v>848.25</v>
          </cell>
        </row>
        <row r="55">
          <cell r="A55" t="str">
            <v>PAC0095</v>
          </cell>
          <cell r="B55" t="str">
            <v>PACK BALLANTINES FINEST 700ML+VASO X6</v>
          </cell>
          <cell r="C55" t="str">
            <v>IWA</v>
          </cell>
          <cell r="D55" t="str">
            <v>CHI</v>
          </cell>
          <cell r="E55" t="str">
            <v>WHI</v>
          </cell>
          <cell r="F55">
            <v>49.08</v>
          </cell>
        </row>
        <row r="56">
          <cell r="A56" t="str">
            <v>WHI1072</v>
          </cell>
          <cell r="B56" t="str">
            <v>PK WHI CHIV REGAL 12AÑ 700ML+RON HAVANA 7AÑ 700ML</v>
          </cell>
          <cell r="C56" t="str">
            <v>IWA</v>
          </cell>
          <cell r="D56" t="str">
            <v>CHI</v>
          </cell>
          <cell r="E56" t="str">
            <v>WHI</v>
          </cell>
          <cell r="F56">
            <v>164.32</v>
          </cell>
        </row>
        <row r="57">
          <cell r="A57" t="str">
            <v>228004</v>
          </cell>
          <cell r="B57" t="str">
            <v>RON ZACAPA AMBAR 12 AÑOS X750ML</v>
          </cell>
          <cell r="C57" t="str">
            <v>IWA</v>
          </cell>
          <cell r="D57" t="str">
            <v>OTR</v>
          </cell>
          <cell r="E57" t="str">
            <v>OTR</v>
          </cell>
          <cell r="F57">
            <v>122.71</v>
          </cell>
        </row>
        <row r="58">
          <cell r="A58" t="str">
            <v>ESP0257</v>
          </cell>
          <cell r="B58" t="str">
            <v>ESPUM. CINZANO PROSECCO 750MLX6</v>
          </cell>
          <cell r="C58" t="str">
            <v>IWA</v>
          </cell>
          <cell r="D58" t="str">
            <v>OTR</v>
          </cell>
          <cell r="E58" t="str">
            <v>OTR</v>
          </cell>
          <cell r="F58">
            <v>46.14</v>
          </cell>
        </row>
        <row r="59">
          <cell r="A59" t="str">
            <v>VER0003</v>
          </cell>
          <cell r="B59" t="str">
            <v>VERMOUTH CINZANO ROSSO 750ML X 12</v>
          </cell>
          <cell r="C59" t="str">
            <v>IWA</v>
          </cell>
          <cell r="D59" t="str">
            <v>OTR</v>
          </cell>
          <cell r="E59" t="str">
            <v>OTR</v>
          </cell>
          <cell r="F59">
            <v>59.91</v>
          </cell>
        </row>
        <row r="60">
          <cell r="A60" t="str">
            <v>LIC0012</v>
          </cell>
          <cell r="B60" t="str">
            <v>LICOR APEROL 750ML X6</v>
          </cell>
          <cell r="C60" t="str">
            <v>IWA</v>
          </cell>
          <cell r="D60" t="str">
            <v>OTR</v>
          </cell>
          <cell r="E60" t="str">
            <v>OTR</v>
          </cell>
          <cell r="F60">
            <v>68.41</v>
          </cell>
        </row>
        <row r="61">
          <cell r="A61" t="str">
            <v>WHI0349</v>
          </cell>
          <cell r="B61" t="str">
            <v>WHIS.JOHNNIE W.BLACK LABEL 750ML X12</v>
          </cell>
          <cell r="C61" t="str">
            <v>IWA</v>
          </cell>
          <cell r="D61" t="str">
            <v>OTR</v>
          </cell>
          <cell r="E61" t="str">
            <v>OTR</v>
          </cell>
          <cell r="F61">
            <v>116.43</v>
          </cell>
        </row>
        <row r="62">
          <cell r="A62" t="str">
            <v>WHI0353</v>
          </cell>
          <cell r="B62" t="str">
            <v>WHIS.JOHNNIE W. GOLD RESERVE  750ML X6</v>
          </cell>
          <cell r="C62" t="str">
            <v>IWA</v>
          </cell>
          <cell r="D62" t="str">
            <v>OTR</v>
          </cell>
          <cell r="E62" t="str">
            <v>OTR</v>
          </cell>
          <cell r="F62">
            <v>233.29</v>
          </cell>
        </row>
        <row r="63">
          <cell r="A63" t="str">
            <v>WHI0352</v>
          </cell>
          <cell r="B63" t="str">
            <v>WHIS.JOHNNIE W. DOUBLE BLACK  750ML X6</v>
          </cell>
          <cell r="C63" t="str">
            <v>IWA</v>
          </cell>
          <cell r="D63" t="str">
            <v>OTR</v>
          </cell>
          <cell r="E63" t="str">
            <v>OTR</v>
          </cell>
          <cell r="F63">
            <v>149.29</v>
          </cell>
        </row>
        <row r="64">
          <cell r="A64" t="str">
            <v>LIC002</v>
          </cell>
          <cell r="B64" t="str">
            <v>DU BOUCHETT CURACAO (AZUL) 1LT X 12</v>
          </cell>
          <cell r="C64" t="str">
            <v>IWA</v>
          </cell>
          <cell r="D64" t="str">
            <v>OTR</v>
          </cell>
          <cell r="E64" t="str">
            <v>OTR</v>
          </cell>
          <cell r="F64">
            <v>53</v>
          </cell>
        </row>
        <row r="65">
          <cell r="A65" t="str">
            <v>APE0156</v>
          </cell>
          <cell r="B65" t="str">
            <v>ANGOSTURA AROMATIC BITTER 100M X 12</v>
          </cell>
          <cell r="C65" t="str">
            <v>IWA</v>
          </cell>
          <cell r="D65" t="str">
            <v>OTR</v>
          </cell>
          <cell r="E65" t="str">
            <v>OTR</v>
          </cell>
          <cell r="F65">
            <v>59.2</v>
          </cell>
        </row>
        <row r="66">
          <cell r="A66" t="str">
            <v>228003</v>
          </cell>
          <cell r="B66" t="str">
            <v>RON ZACAPA 23 AÑOS X750ML</v>
          </cell>
          <cell r="C66" t="str">
            <v>IWA</v>
          </cell>
          <cell r="D66" t="str">
            <v>OTR</v>
          </cell>
          <cell r="E66" t="str">
            <v>OTR</v>
          </cell>
          <cell r="F66">
            <v>229.29</v>
          </cell>
        </row>
        <row r="67">
          <cell r="A67" t="str">
            <v>ESP0096</v>
          </cell>
          <cell r="B67" t="str">
            <v>ESPUMANTE CINZANO TO SPRITS 750MLX6</v>
          </cell>
          <cell r="C67" t="str">
            <v>IWA</v>
          </cell>
          <cell r="D67" t="str">
            <v>OTR</v>
          </cell>
          <cell r="E67" t="str">
            <v>OTR</v>
          </cell>
          <cell r="F67">
            <v>67.86</v>
          </cell>
        </row>
        <row r="68">
          <cell r="A68" t="str">
            <v>WHI0348</v>
          </cell>
          <cell r="B68" t="str">
            <v>WHIS.JOHNNIE W.RED LABEL 750ML X12</v>
          </cell>
          <cell r="C68" t="str">
            <v>IWA</v>
          </cell>
          <cell r="D68" t="str">
            <v>OTR</v>
          </cell>
          <cell r="E68" t="str">
            <v>OTR</v>
          </cell>
          <cell r="F68">
            <v>50</v>
          </cell>
        </row>
        <row r="69">
          <cell r="A69" t="str">
            <v>WHI0029</v>
          </cell>
          <cell r="B69" t="str">
            <v>WHIS.JOHN. W.GOLD LABEL RESERV 200ML X24</v>
          </cell>
          <cell r="C69" t="str">
            <v>IWA</v>
          </cell>
          <cell r="D69" t="str">
            <v>OTR</v>
          </cell>
          <cell r="E69" t="str">
            <v>OTR</v>
          </cell>
          <cell r="F69">
            <v>84.2</v>
          </cell>
        </row>
        <row r="70">
          <cell r="A70" t="str">
            <v>WHI0759</v>
          </cell>
          <cell r="B70" t="str">
            <v>WHISKY SWING 750ML X 12</v>
          </cell>
          <cell r="C70" t="str">
            <v>IWA</v>
          </cell>
          <cell r="D70" t="str">
            <v>OTR</v>
          </cell>
          <cell r="E70" t="str">
            <v>OTR</v>
          </cell>
          <cell r="F70">
            <v>227.59</v>
          </cell>
        </row>
        <row r="71">
          <cell r="A71" t="str">
            <v>APE0155</v>
          </cell>
          <cell r="B71" t="str">
            <v>ANGOSTURA ORANGE BITTER 100ML X 24</v>
          </cell>
          <cell r="C71" t="str">
            <v>IWA</v>
          </cell>
          <cell r="D71" t="str">
            <v>OTR</v>
          </cell>
          <cell r="E71" t="str">
            <v>OTR</v>
          </cell>
          <cell r="F71">
            <v>61.71</v>
          </cell>
        </row>
        <row r="72">
          <cell r="A72" t="str">
            <v>WHI1014</v>
          </cell>
          <cell r="B72" t="str">
            <v>WHIS.OLD PARR 12AÑ 750ML</v>
          </cell>
          <cell r="C72" t="str">
            <v>IWA</v>
          </cell>
          <cell r="D72" t="str">
            <v>OTR</v>
          </cell>
          <cell r="E72" t="str">
            <v>OTR</v>
          </cell>
          <cell r="F72">
            <v>83.99</v>
          </cell>
        </row>
        <row r="73">
          <cell r="A73" t="str">
            <v>JAR0016</v>
          </cell>
          <cell r="B73" t="str">
            <v>JARABE DE GRANADINA VARGAS 750MLX12</v>
          </cell>
          <cell r="C73" t="str">
            <v>IWA</v>
          </cell>
          <cell r="D73" t="str">
            <v>OTR</v>
          </cell>
          <cell r="E73" t="str">
            <v>OTR</v>
          </cell>
          <cell r="F73">
            <v>11.38</v>
          </cell>
        </row>
        <row r="74">
          <cell r="A74" t="str">
            <v>WHI1068</v>
          </cell>
          <cell r="B74" t="str">
            <v>WHISKY JHONIE WALKER BLONDE 750MLX12</v>
          </cell>
          <cell r="C74" t="str">
            <v>IWA</v>
          </cell>
          <cell r="D74" t="str">
            <v>OTR</v>
          </cell>
          <cell r="E74" t="str">
            <v>OTR</v>
          </cell>
          <cell r="F74">
            <v>75.94</v>
          </cell>
        </row>
        <row r="75">
          <cell r="A75" t="str">
            <v>GIN0007</v>
          </cell>
          <cell r="B75" t="str">
            <v>GIN BULLDOG 750ML X6</v>
          </cell>
          <cell r="C75" t="str">
            <v>IWA</v>
          </cell>
          <cell r="D75" t="str">
            <v>OTR</v>
          </cell>
          <cell r="E75" t="str">
            <v>OTR</v>
          </cell>
          <cell r="F75">
            <v>142.61000000000001</v>
          </cell>
        </row>
        <row r="76">
          <cell r="A76" t="str">
            <v>19528</v>
          </cell>
          <cell r="B76" t="str">
            <v>EVERVESS X 1.50LX6</v>
          </cell>
          <cell r="C76" t="str">
            <v>IWA</v>
          </cell>
          <cell r="D76" t="str">
            <v>OTR</v>
          </cell>
          <cell r="E76" t="str">
            <v>OTR</v>
          </cell>
          <cell r="F76">
            <v>4.4800000000000004</v>
          </cell>
        </row>
        <row r="77">
          <cell r="A77" t="str">
            <v>APE0109</v>
          </cell>
          <cell r="B77" t="str">
            <v>ANGOSTURA AROMATIC BITTER 200ML X24</v>
          </cell>
          <cell r="C77" t="str">
            <v>IWA</v>
          </cell>
          <cell r="D77" t="str">
            <v>OTR</v>
          </cell>
          <cell r="E77" t="str">
            <v>OTR</v>
          </cell>
          <cell r="F77">
            <v>95.07</v>
          </cell>
        </row>
        <row r="78">
          <cell r="A78" t="str">
            <v>APE0154</v>
          </cell>
          <cell r="B78" t="str">
            <v>ANGOSTURA COCOA BITTERS 100ML X 24</v>
          </cell>
          <cell r="C78" t="str">
            <v>IWA</v>
          </cell>
          <cell r="D78" t="str">
            <v>OTR</v>
          </cell>
          <cell r="E78" t="str">
            <v>OTR</v>
          </cell>
          <cell r="F78">
            <v>65.73</v>
          </cell>
        </row>
        <row r="79">
          <cell r="A79" t="str">
            <v>223312</v>
          </cell>
          <cell r="B79" t="str">
            <v xml:space="preserve">JW BLACK 75CL+ TUMBLER NEGRO </v>
          </cell>
          <cell r="C79" t="str">
            <v>IWA</v>
          </cell>
          <cell r="D79" t="str">
            <v>OTR</v>
          </cell>
          <cell r="E79" t="str">
            <v>OTR</v>
          </cell>
          <cell r="F79">
            <v>109.24</v>
          </cell>
        </row>
        <row r="80">
          <cell r="A80" t="str">
            <v>WHI0998</v>
          </cell>
          <cell r="B80" t="str">
            <v>WHIS.JOHNNIE W.GREEN LABEL 750ML X 6</v>
          </cell>
          <cell r="C80" t="str">
            <v>IWA</v>
          </cell>
          <cell r="D80" t="str">
            <v>OTR</v>
          </cell>
          <cell r="E80" t="str">
            <v>OTR</v>
          </cell>
          <cell r="F80">
            <v>323.29000000000002</v>
          </cell>
        </row>
        <row r="81">
          <cell r="A81" t="str">
            <v>WHI0347</v>
          </cell>
          <cell r="B81" t="str">
            <v>WHIS.JOHNNIE W.BLUE LABEL 750ML X6</v>
          </cell>
          <cell r="C81" t="str">
            <v>IWA</v>
          </cell>
          <cell r="D81" t="str">
            <v>OTR</v>
          </cell>
          <cell r="E81" t="str">
            <v>OTR</v>
          </cell>
          <cell r="F81">
            <v>1000.64</v>
          </cell>
        </row>
        <row r="82">
          <cell r="A82" t="str">
            <v>V0070</v>
          </cell>
          <cell r="B82" t="str">
            <v>LICOR DE CREMA BAILEYS ORIGINALX750</v>
          </cell>
          <cell r="C82" t="str">
            <v>IWA</v>
          </cell>
          <cell r="D82" t="str">
            <v>OTR</v>
          </cell>
          <cell r="E82" t="str">
            <v>OTR</v>
          </cell>
          <cell r="F82">
            <v>71.709999999999994</v>
          </cell>
        </row>
        <row r="83">
          <cell r="A83" t="str">
            <v>10030240</v>
          </cell>
          <cell r="B83" t="str">
            <v>GREENALLS WILL BERRY 700ML X 6</v>
          </cell>
          <cell r="C83" t="str">
            <v>RPD</v>
          </cell>
          <cell r="D83" t="str">
            <v>OTR</v>
          </cell>
          <cell r="E83" t="str">
            <v>OTR</v>
          </cell>
          <cell r="F83">
            <v>69.930000000000007</v>
          </cell>
        </row>
        <row r="84">
          <cell r="A84" t="str">
            <v>1003025</v>
          </cell>
          <cell r="B84" t="str">
            <v>GREENALLS LONDON DRY 750ML X 12</v>
          </cell>
          <cell r="C84" t="str">
            <v>RPD</v>
          </cell>
          <cell r="D84" t="str">
            <v>OTR</v>
          </cell>
          <cell r="E84" t="str">
            <v>OTR</v>
          </cell>
          <cell r="F84">
            <v>62.19</v>
          </cell>
        </row>
        <row r="85">
          <cell r="A85" t="str">
            <v>10030250</v>
          </cell>
          <cell r="B85" t="str">
            <v>PACK GREENALLS LONDON DRY GIN + COPA</v>
          </cell>
          <cell r="C85" t="str">
            <v>RPD</v>
          </cell>
          <cell r="D85" t="str">
            <v>OTR</v>
          </cell>
          <cell r="E85" t="str">
            <v>OTR</v>
          </cell>
          <cell r="F85">
            <v>75.89</v>
          </cell>
        </row>
        <row r="86">
          <cell r="A86" t="str">
            <v>GF0008</v>
          </cell>
          <cell r="B86" t="str">
            <v>GOLD FUSION INFINITY  X750ML X6</v>
          </cell>
          <cell r="C86" t="str">
            <v>EXC</v>
          </cell>
          <cell r="D86" t="str">
            <v>FUS</v>
          </cell>
          <cell r="E86" t="str">
            <v>FOR</v>
          </cell>
          <cell r="F86">
            <v>46.52</v>
          </cell>
        </row>
        <row r="87">
          <cell r="A87" t="str">
            <v>2022</v>
          </cell>
          <cell r="B87" t="str">
            <v>MEX CREAM MANGO CON TEQUILA 750ML X 6</v>
          </cell>
          <cell r="C87" t="str">
            <v>EXC</v>
          </cell>
          <cell r="D87" t="str">
            <v>FUS</v>
          </cell>
          <cell r="E87" t="str">
            <v>FOR</v>
          </cell>
          <cell r="F87">
            <v>61.53</v>
          </cell>
        </row>
        <row r="88">
          <cell r="A88" t="str">
            <v>2023</v>
          </cell>
          <cell r="B88" t="str">
            <v>MEX CREAM FRESA CON TEQUILA 750ML X 6</v>
          </cell>
          <cell r="C88" t="str">
            <v>EXC</v>
          </cell>
          <cell r="D88" t="str">
            <v>FUS</v>
          </cell>
          <cell r="E88" t="str">
            <v>FOR</v>
          </cell>
          <cell r="F88">
            <v>61.53</v>
          </cell>
        </row>
        <row r="89">
          <cell r="A89" t="str">
            <v>GF0005</v>
          </cell>
          <cell r="B89" t="str">
            <v>GOLD PREMIUM ROMANTIC X750ML X6</v>
          </cell>
          <cell r="C89" t="str">
            <v>EXC</v>
          </cell>
          <cell r="D89" t="str">
            <v>FUS</v>
          </cell>
          <cell r="E89" t="str">
            <v>FOR</v>
          </cell>
          <cell r="F89">
            <v>46.52</v>
          </cell>
        </row>
        <row r="90">
          <cell r="A90" t="str">
            <v>GF0007</v>
          </cell>
          <cell r="B90" t="str">
            <v>GOLD PREMIUM ENIGMA X750ML X6</v>
          </cell>
          <cell r="C90" t="str">
            <v>EXC</v>
          </cell>
          <cell r="D90" t="str">
            <v>FUS</v>
          </cell>
          <cell r="E90" t="str">
            <v>FOR</v>
          </cell>
          <cell r="F90">
            <v>46.52</v>
          </cell>
        </row>
        <row r="91">
          <cell r="A91" t="str">
            <v>GF0001</v>
          </cell>
          <cell r="B91" t="str">
            <v>GOLD  PREMIUM  FORTUNE X750ML X6</v>
          </cell>
          <cell r="C91" t="str">
            <v>EXC</v>
          </cell>
          <cell r="D91" t="str">
            <v>FUS</v>
          </cell>
          <cell r="E91" t="str">
            <v>FOR</v>
          </cell>
          <cell r="F91">
            <v>46.52</v>
          </cell>
        </row>
        <row r="92">
          <cell r="A92" t="str">
            <v>GF0006</v>
          </cell>
          <cell r="B92" t="str">
            <v>GOLD  PREMIUM  WILD X750ML X6</v>
          </cell>
          <cell r="C92" t="str">
            <v>EXC</v>
          </cell>
          <cell r="D92" t="str">
            <v>FUS</v>
          </cell>
          <cell r="E92" t="str">
            <v>FOR</v>
          </cell>
          <cell r="F92">
            <v>46.52</v>
          </cell>
        </row>
        <row r="93">
          <cell r="A93" t="str">
            <v>T30011</v>
          </cell>
          <cell r="B93" t="str">
            <v>PISCO MULITA QUEBRANTA 2000ML X 9</v>
          </cell>
          <cell r="C93" t="str">
            <v>TCM</v>
          </cell>
          <cell r="D93" t="str">
            <v>TCM</v>
          </cell>
          <cell r="E93" t="str">
            <v>PIS</v>
          </cell>
          <cell r="F93">
            <v>58.75</v>
          </cell>
        </row>
        <row r="94">
          <cell r="A94" t="str">
            <v>CHAR019</v>
          </cell>
          <cell r="B94" t="str">
            <v>FRASCOS CHIMICHURRI PICANTE 190 GR</v>
          </cell>
          <cell r="C94" t="str">
            <v>PRR</v>
          </cell>
          <cell r="D94" t="str">
            <v>OTR</v>
          </cell>
          <cell r="E94" t="str">
            <v>OTR</v>
          </cell>
          <cell r="F94">
            <v>9.9</v>
          </cell>
        </row>
        <row r="95">
          <cell r="A95" t="str">
            <v>0617014</v>
          </cell>
          <cell r="B95" t="str">
            <v>RICCADONNA ESP.MOSCATO ROSE 750ML X6</v>
          </cell>
          <cell r="C95" t="str">
            <v>IWA</v>
          </cell>
          <cell r="D95" t="str">
            <v>RIC</v>
          </cell>
          <cell r="E95" t="str">
            <v>MOS</v>
          </cell>
          <cell r="F95">
            <v>63.29</v>
          </cell>
        </row>
        <row r="96">
          <cell r="A96" t="str">
            <v>V0844</v>
          </cell>
          <cell r="B96" t="str">
            <v>CRIMINAL COLECCION PRIVADA ROBLE MALBEC 750ML X 6</v>
          </cell>
          <cell r="C96" t="str">
            <v>GKP</v>
          </cell>
          <cell r="D96" t="str">
            <v>LIC</v>
          </cell>
          <cell r="E96" t="str">
            <v>LIC</v>
          </cell>
          <cell r="F96">
            <v>65.73</v>
          </cell>
        </row>
        <row r="97">
          <cell r="A97" t="str">
            <v>V0843</v>
          </cell>
          <cell r="B97" t="str">
            <v>VINO CRIMINAL VARIETAL MALBEC 750ML X 6</v>
          </cell>
          <cell r="C97" t="str">
            <v>GKP</v>
          </cell>
          <cell r="D97" t="str">
            <v>LIC</v>
          </cell>
          <cell r="E97" t="str">
            <v>LIC</v>
          </cell>
          <cell r="F97">
            <v>45.63</v>
          </cell>
        </row>
        <row r="98">
          <cell r="A98" t="str">
            <v>45833</v>
          </cell>
          <cell r="B98" t="str">
            <v>RED BULL.ENERGY.DRINK 250ML X24</v>
          </cell>
          <cell r="C98" t="str">
            <v>PFA</v>
          </cell>
          <cell r="D98" t="str">
            <v>RED</v>
          </cell>
          <cell r="E98" t="str">
            <v>BEB</v>
          </cell>
          <cell r="F98">
            <v>7.61</v>
          </cell>
        </row>
        <row r="99">
          <cell r="A99" t="str">
            <v>142730</v>
          </cell>
          <cell r="B99" t="str">
            <v>V.TINTO LA GRAN MASCO.MALBEC 750ML X6</v>
          </cell>
          <cell r="C99" t="str">
            <v>PFA</v>
          </cell>
          <cell r="D99" t="str">
            <v>LIC</v>
          </cell>
          <cell r="E99" t="str">
            <v>VIN</v>
          </cell>
          <cell r="F99">
            <v>81.95</v>
          </cell>
        </row>
        <row r="100">
          <cell r="A100" t="str">
            <v>177789</v>
          </cell>
          <cell r="B100" t="str">
            <v>V.TINTO SEP.OBRA MALBEC 750ML X6</v>
          </cell>
          <cell r="C100" t="str">
            <v>PFA</v>
          </cell>
          <cell r="D100" t="str">
            <v>LIC</v>
          </cell>
          <cell r="E100" t="str">
            <v>VIN</v>
          </cell>
          <cell r="F100">
            <v>77.67</v>
          </cell>
        </row>
        <row r="101">
          <cell r="A101" t="str">
            <v>142761</v>
          </cell>
          <cell r="B101" t="str">
            <v>V.TINTO LA MASC.CABERNET SAUV.750ML X12</v>
          </cell>
          <cell r="C101" t="str">
            <v>PFA</v>
          </cell>
          <cell r="D101" t="str">
            <v>LIC</v>
          </cell>
          <cell r="E101" t="str">
            <v>VIN</v>
          </cell>
          <cell r="F101">
            <v>74.83</v>
          </cell>
        </row>
        <row r="102">
          <cell r="A102" t="str">
            <v>177445</v>
          </cell>
          <cell r="B102" t="str">
            <v>V.TINTO SEP.LOTE ESPECIAL  MALBEC 750ML X6</v>
          </cell>
          <cell r="C102" t="str">
            <v>PFA</v>
          </cell>
          <cell r="D102" t="str">
            <v>LIC</v>
          </cell>
          <cell r="E102" t="str">
            <v>VIN</v>
          </cell>
          <cell r="F102">
            <v>130.27000000000001</v>
          </cell>
        </row>
        <row r="103">
          <cell r="A103" t="str">
            <v>177788</v>
          </cell>
          <cell r="B103" t="str">
            <v>V.TINTO SEP.OBRA CABERNET 750ML X6</v>
          </cell>
          <cell r="C103" t="str">
            <v>PFA</v>
          </cell>
          <cell r="D103" t="str">
            <v>LIC</v>
          </cell>
          <cell r="E103" t="str">
            <v>VIN</v>
          </cell>
          <cell r="F103">
            <v>77.67</v>
          </cell>
        </row>
        <row r="104">
          <cell r="A104" t="str">
            <v>142760</v>
          </cell>
          <cell r="B104" t="str">
            <v>V.TINTO LA MASCOTA .MALBEC 750ML X12</v>
          </cell>
          <cell r="C104" t="str">
            <v>PFA</v>
          </cell>
          <cell r="D104" t="str">
            <v>LIC</v>
          </cell>
          <cell r="E104" t="str">
            <v>VIN</v>
          </cell>
          <cell r="F104">
            <v>74.83</v>
          </cell>
        </row>
        <row r="105">
          <cell r="A105" t="str">
            <v>140296</v>
          </cell>
          <cell r="B105" t="str">
            <v>VINO GATO DULCE TINTO 750MLX 12</v>
          </cell>
          <cell r="C105" t="str">
            <v>PFA</v>
          </cell>
          <cell r="D105" t="str">
            <v>LIC</v>
          </cell>
          <cell r="E105" t="str">
            <v>VIN</v>
          </cell>
          <cell r="F105">
            <v>13.24</v>
          </cell>
        </row>
        <row r="106">
          <cell r="A106" t="str">
            <v>180101</v>
          </cell>
          <cell r="B106" t="str">
            <v>V.TINTO BORGOÑA.SEÑ.NAJ.750ML X12</v>
          </cell>
          <cell r="C106" t="str">
            <v>PFA</v>
          </cell>
          <cell r="D106" t="str">
            <v>LIC</v>
          </cell>
          <cell r="E106" t="str">
            <v>VIN</v>
          </cell>
          <cell r="F106">
            <v>17.45</v>
          </cell>
        </row>
        <row r="107">
          <cell r="A107" t="str">
            <v>177450</v>
          </cell>
          <cell r="B107" t="str">
            <v>V.TINTO SEP.GRAN RESERVA 750ML X6</v>
          </cell>
          <cell r="C107" t="str">
            <v>PFA</v>
          </cell>
          <cell r="D107" t="str">
            <v>LIC</v>
          </cell>
          <cell r="E107" t="str">
            <v>VIN</v>
          </cell>
          <cell r="F107">
            <v>101.04</v>
          </cell>
        </row>
        <row r="108">
          <cell r="A108" t="str">
            <v>140351</v>
          </cell>
          <cell r="B108" t="str">
            <v>V.TINTO SAN PEDRO SIDERAL 750ML X12</v>
          </cell>
          <cell r="C108" t="str">
            <v>PFA</v>
          </cell>
          <cell r="D108" t="str">
            <v>LIC</v>
          </cell>
          <cell r="E108" t="str">
            <v>VIN</v>
          </cell>
          <cell r="F108">
            <v>107.44</v>
          </cell>
        </row>
        <row r="109">
          <cell r="A109" t="str">
            <v>140217</v>
          </cell>
          <cell r="B109" t="str">
            <v>NP GATO TETRA BLANCO 1L X 12</v>
          </cell>
          <cell r="C109" t="str">
            <v>PFA</v>
          </cell>
          <cell r="D109" t="str">
            <v>LIC</v>
          </cell>
          <cell r="E109" t="str">
            <v>VIN</v>
          </cell>
          <cell r="F109">
            <v>12.95</v>
          </cell>
        </row>
        <row r="110">
          <cell r="A110" t="str">
            <v>142700</v>
          </cell>
          <cell r="B110" t="str">
            <v>V.TINTO ICONO UNANIME 750ML X6</v>
          </cell>
          <cell r="C110" t="str">
            <v>PFA</v>
          </cell>
          <cell r="D110" t="str">
            <v>LIC</v>
          </cell>
          <cell r="E110" t="str">
            <v>VIN</v>
          </cell>
          <cell r="F110">
            <v>146.69999999999999</v>
          </cell>
        </row>
        <row r="111">
          <cell r="A111" t="str">
            <v>142764</v>
          </cell>
          <cell r="B111" t="str">
            <v xml:space="preserve"> LA MASCOTA CABERNET FRANC 750ML X 12</v>
          </cell>
          <cell r="C111" t="str">
            <v>PFA</v>
          </cell>
          <cell r="D111" t="str">
            <v>LIC</v>
          </cell>
          <cell r="E111" t="str">
            <v>VIN</v>
          </cell>
          <cell r="F111">
            <v>74.83</v>
          </cell>
        </row>
        <row r="112">
          <cell r="A112" t="str">
            <v>60193115</v>
          </cell>
          <cell r="B112" t="str">
            <v>V/T LORCA CABERNET SAUVIGNON 750ML X6</v>
          </cell>
          <cell r="C112" t="str">
            <v>RPD</v>
          </cell>
          <cell r="D112" t="str">
            <v>OTR</v>
          </cell>
          <cell r="E112" t="str">
            <v>VIN</v>
          </cell>
          <cell r="F112">
            <v>29.39</v>
          </cell>
        </row>
        <row r="113">
          <cell r="A113" t="str">
            <v>40281585</v>
          </cell>
          <cell r="B113" t="str">
            <v>ESPUMANTE TOSTI PINK MOSCATO  750ML X6</v>
          </cell>
          <cell r="C113" t="str">
            <v>RPD</v>
          </cell>
          <cell r="D113" t="str">
            <v>OTR</v>
          </cell>
          <cell r="E113" t="str">
            <v>VIN</v>
          </cell>
          <cell r="F113">
            <v>45.2</v>
          </cell>
        </row>
        <row r="114">
          <cell r="A114" t="str">
            <v>60191215</v>
          </cell>
          <cell r="B114" t="str">
            <v>V/T LORCA MALBEC 750ML X 6</v>
          </cell>
          <cell r="C114" t="str">
            <v>RPD</v>
          </cell>
          <cell r="D114" t="str">
            <v>OTR</v>
          </cell>
          <cell r="E114" t="str">
            <v>VIN</v>
          </cell>
          <cell r="F114">
            <v>29.39</v>
          </cell>
        </row>
        <row r="115">
          <cell r="A115" t="str">
            <v>61013605</v>
          </cell>
          <cell r="B115" t="str">
            <v>V/T TRIBUTO SYRAH 750ML X 6</v>
          </cell>
          <cell r="C115" t="str">
            <v>RPD</v>
          </cell>
          <cell r="D115" t="str">
            <v>OTR</v>
          </cell>
          <cell r="E115" t="str">
            <v>VIN</v>
          </cell>
          <cell r="F115">
            <v>93.15</v>
          </cell>
        </row>
        <row r="116">
          <cell r="A116" t="str">
            <v>40281575</v>
          </cell>
          <cell r="B116" t="str">
            <v>ESPUMANTE TOSTI ASTI DOCG 750ML X6</v>
          </cell>
          <cell r="C116" t="str">
            <v>RPD</v>
          </cell>
          <cell r="D116" t="str">
            <v>OTR</v>
          </cell>
          <cell r="E116" t="str">
            <v>VIN</v>
          </cell>
          <cell r="F116">
            <v>45.2</v>
          </cell>
        </row>
        <row r="117">
          <cell r="A117" t="str">
            <v>61013615</v>
          </cell>
          <cell r="B117" t="str">
            <v>V/T TRIBUTO CENCIBEL 750ML X 6</v>
          </cell>
          <cell r="C117" t="str">
            <v>RPD</v>
          </cell>
          <cell r="D117" t="str">
            <v>OTR</v>
          </cell>
          <cell r="E117" t="str">
            <v>VIN</v>
          </cell>
          <cell r="F117">
            <v>93.15</v>
          </cell>
        </row>
        <row r="118">
          <cell r="A118" t="str">
            <v>60191275</v>
          </cell>
          <cell r="B118" t="str">
            <v>V/T LORCA CABERNET FRANC 750ML X 6</v>
          </cell>
          <cell r="C118" t="str">
            <v>RPD</v>
          </cell>
          <cell r="D118" t="str">
            <v>OTR</v>
          </cell>
          <cell r="E118" t="str">
            <v>VIN</v>
          </cell>
          <cell r="F118">
            <v>29.39</v>
          </cell>
        </row>
        <row r="119">
          <cell r="A119" t="str">
            <v>402899</v>
          </cell>
          <cell r="B119" t="str">
            <v>TOSTI ASTI DOCG + TOSTI PINK MOSCT X750ML</v>
          </cell>
          <cell r="C119" t="str">
            <v>RPD</v>
          </cell>
          <cell r="D119" t="str">
            <v>OTR</v>
          </cell>
          <cell r="E119" t="str">
            <v>VIN</v>
          </cell>
          <cell r="F119">
            <v>89.14</v>
          </cell>
        </row>
        <row r="120">
          <cell r="A120" t="str">
            <v>CRN0219</v>
          </cell>
          <cell r="B120" t="str">
            <v>PORTER HOUSE PORC - STERLING SILVER X 1.1KG</v>
          </cell>
          <cell r="C120" t="str">
            <v>PRR</v>
          </cell>
          <cell r="D120" t="str">
            <v>OFD</v>
          </cell>
          <cell r="E120" t="str">
            <v>RES</v>
          </cell>
          <cell r="F120">
            <v>239.9</v>
          </cell>
        </row>
        <row r="121">
          <cell r="A121" t="str">
            <v>CRN0945</v>
          </cell>
          <cell r="B121" t="str">
            <v>LOMO FINO FRIGOR (1.3-1.6 KG)-BOL</v>
          </cell>
          <cell r="C121" t="str">
            <v>PRR</v>
          </cell>
          <cell r="D121" t="str">
            <v>OFD</v>
          </cell>
          <cell r="E121" t="str">
            <v>RES</v>
          </cell>
          <cell r="F121">
            <v>155</v>
          </cell>
        </row>
        <row r="122">
          <cell r="A122" t="str">
            <v>CRN0947</v>
          </cell>
          <cell r="B122" t="str">
            <v>LOMO FINO FRIGOR (1.9-2 KG)-BOL</v>
          </cell>
          <cell r="C122" t="str">
            <v>PRR</v>
          </cell>
          <cell r="D122" t="str">
            <v>OFD</v>
          </cell>
          <cell r="E122" t="str">
            <v>RES</v>
          </cell>
          <cell r="F122">
            <v>223</v>
          </cell>
        </row>
        <row r="123">
          <cell r="A123" t="str">
            <v>CRN1108</v>
          </cell>
          <cell r="B123" t="str">
            <v>PICAÑA ARGENTINA 1.4KG - 1.6KG ANGUS GRAIN FED</v>
          </cell>
          <cell r="C123" t="str">
            <v>PRR</v>
          </cell>
          <cell r="D123" t="str">
            <v>OFD</v>
          </cell>
          <cell r="E123" t="str">
            <v>RES</v>
          </cell>
          <cell r="F123">
            <v>209</v>
          </cell>
        </row>
        <row r="124">
          <cell r="A124" t="str">
            <v>ENT102</v>
          </cell>
          <cell r="B124" t="str">
            <v>ENTRAÑA FINA CONG. ANGUS ARG 1KG - 1.5KG</v>
          </cell>
          <cell r="C124" t="str">
            <v>PRR</v>
          </cell>
          <cell r="D124" t="str">
            <v>OFD</v>
          </cell>
          <cell r="E124" t="str">
            <v>RES</v>
          </cell>
          <cell r="F124">
            <v>239.9</v>
          </cell>
        </row>
        <row r="125">
          <cell r="A125" t="str">
            <v>CRN1197</v>
          </cell>
          <cell r="B125" t="str">
            <v>BIFE ANCHO MADURADO DEVESA 800- 1.1KG</v>
          </cell>
          <cell r="C125" t="str">
            <v>PRR</v>
          </cell>
          <cell r="D125" t="str">
            <v>OFD</v>
          </cell>
          <cell r="E125" t="str">
            <v>RES</v>
          </cell>
          <cell r="F125">
            <v>229</v>
          </cell>
        </row>
        <row r="126">
          <cell r="A126" t="str">
            <v>CRN1194</v>
          </cell>
          <cell r="B126" t="str">
            <v>BIFE ANCHO BEEF MASTER ORG.USA 1-1.2KG</v>
          </cell>
          <cell r="C126" t="str">
            <v>PRR</v>
          </cell>
          <cell r="D126" t="str">
            <v>OFD</v>
          </cell>
          <cell r="E126" t="str">
            <v>RES</v>
          </cell>
          <cell r="F126">
            <v>245</v>
          </cell>
        </row>
        <row r="127">
          <cell r="A127" t="str">
            <v>ENT103</v>
          </cell>
          <cell r="B127" t="str">
            <v>ENTRAÑA FINA ANGUS 0.45KG - 0.75KG</v>
          </cell>
          <cell r="C127" t="str">
            <v>PRR</v>
          </cell>
          <cell r="D127" t="str">
            <v>OFD</v>
          </cell>
          <cell r="E127" t="str">
            <v>RES</v>
          </cell>
          <cell r="F127">
            <v>78</v>
          </cell>
        </row>
        <row r="128">
          <cell r="A128" t="str">
            <v>CRN1107</v>
          </cell>
          <cell r="B128" t="str">
            <v>PICAÑA ARGENTINA (DEVESA) 1.7KG - 1.9KG</v>
          </cell>
          <cell r="C128" t="str">
            <v>PRR</v>
          </cell>
          <cell r="D128" t="str">
            <v>OFD</v>
          </cell>
          <cell r="E128" t="str">
            <v>RES</v>
          </cell>
          <cell r="F128">
            <v>239</v>
          </cell>
        </row>
        <row r="129">
          <cell r="A129" t="str">
            <v>IMP00006</v>
          </cell>
          <cell r="B129" t="str">
            <v>ASADO DE TIRA C/H  250 X 4UND</v>
          </cell>
          <cell r="C129" t="str">
            <v>PRR</v>
          </cell>
          <cell r="D129" t="str">
            <v>OFD</v>
          </cell>
          <cell r="E129" t="str">
            <v>RES</v>
          </cell>
          <cell r="F129">
            <v>179.9</v>
          </cell>
        </row>
        <row r="130">
          <cell r="A130" t="str">
            <v>BFA001</v>
          </cell>
          <cell r="B130" t="str">
            <v>BIFE ANGOSTO MADURADO GRAIN FED ANGUS 800GR-1.2KG</v>
          </cell>
          <cell r="C130" t="str">
            <v>PRR</v>
          </cell>
          <cell r="D130" t="str">
            <v>OFD</v>
          </cell>
          <cell r="E130" t="str">
            <v>RES</v>
          </cell>
          <cell r="F130">
            <v>164</v>
          </cell>
        </row>
        <row r="131">
          <cell r="A131" t="str">
            <v>CRN1088</v>
          </cell>
          <cell r="B131" t="str">
            <v>T-BONE 900-1KG CONG STERLING SILVER</v>
          </cell>
          <cell r="C131" t="str">
            <v>PRR</v>
          </cell>
          <cell r="D131" t="str">
            <v>OFD</v>
          </cell>
          <cell r="E131" t="str">
            <v>RES</v>
          </cell>
          <cell r="F131">
            <v>219.9</v>
          </cell>
        </row>
        <row r="132">
          <cell r="A132" t="str">
            <v>CRN0946</v>
          </cell>
          <cell r="B132" t="str">
            <v>LOMO FINO FRIGOR (1.6-1.9 KG)-BOL</v>
          </cell>
          <cell r="C132" t="str">
            <v>PRR</v>
          </cell>
          <cell r="D132" t="str">
            <v>OFD</v>
          </cell>
          <cell r="E132" t="str">
            <v>RES</v>
          </cell>
          <cell r="F132">
            <v>179.9</v>
          </cell>
        </row>
        <row r="133">
          <cell r="A133" t="str">
            <v>ASAH01</v>
          </cell>
          <cell r="B133" t="str">
            <v>ASADO DE TIRA CON HUESO X 1250GR (PACK X 5  PIEZAS 200GR - 250GR)</v>
          </cell>
          <cell r="C133" t="str">
            <v>PRR</v>
          </cell>
          <cell r="D133" t="str">
            <v>OFD</v>
          </cell>
          <cell r="E133" t="str">
            <v>RES</v>
          </cell>
          <cell r="F133">
            <v>225.9</v>
          </cell>
        </row>
        <row r="134">
          <cell r="A134" t="str">
            <v>0617016</v>
          </cell>
          <cell r="B134" t="str">
            <v>RICCADONNA ESP.ASTI 200ML X24</v>
          </cell>
          <cell r="C134" t="str">
            <v>IWA</v>
          </cell>
          <cell r="D134" t="str">
            <v>RIC</v>
          </cell>
          <cell r="E134" t="str">
            <v>RUB</v>
          </cell>
          <cell r="F134">
            <v>22.01</v>
          </cell>
        </row>
        <row r="135">
          <cell r="A135" t="str">
            <v>0617017</v>
          </cell>
          <cell r="B135" t="str">
            <v>RICCADONNA ESP.RUBY 200ML X24</v>
          </cell>
          <cell r="C135" t="str">
            <v>IWA</v>
          </cell>
          <cell r="D135" t="str">
            <v>RIC</v>
          </cell>
          <cell r="E135" t="str">
            <v>RUB</v>
          </cell>
          <cell r="F135">
            <v>22.01</v>
          </cell>
        </row>
        <row r="136">
          <cell r="A136" t="str">
            <v>0420</v>
          </cell>
          <cell r="B136" t="str">
            <v>VINO CLOS/PIRQUE TINTO 1LT X12</v>
          </cell>
          <cell r="C136" t="str">
            <v>YIC</v>
          </cell>
          <cell r="D136" t="str">
            <v>LIC</v>
          </cell>
          <cell r="E136" t="str">
            <v>CLO</v>
          </cell>
          <cell r="F136">
            <v>13.75</v>
          </cell>
        </row>
        <row r="137">
          <cell r="A137" t="str">
            <v>GF0002</v>
          </cell>
          <cell r="B137" t="str">
            <v>GOLD PREMIUM (FUSION) GLACIAR 750ML X6</v>
          </cell>
          <cell r="C137" t="str">
            <v>EXC</v>
          </cell>
          <cell r="D137" t="str">
            <v>FUS</v>
          </cell>
          <cell r="E137" t="str">
            <v>GLA</v>
          </cell>
          <cell r="F137">
            <v>46.52</v>
          </cell>
        </row>
        <row r="138">
          <cell r="A138" t="str">
            <v>59214</v>
          </cell>
          <cell r="B138" t="str">
            <v>CHEETOS QUESO PIC 90 GR X32 X1</v>
          </cell>
          <cell r="C138" t="str">
            <v>SAL</v>
          </cell>
          <cell r="D138" t="str">
            <v>SNK</v>
          </cell>
          <cell r="E138" t="str">
            <v>SNK</v>
          </cell>
          <cell r="F138">
            <v>2.54</v>
          </cell>
        </row>
        <row r="139">
          <cell r="A139" t="str">
            <v>59213</v>
          </cell>
          <cell r="B139" t="str">
            <v>CHEETOS HORNEADOS QUESO 90 GR X32 X1</v>
          </cell>
          <cell r="C139" t="str">
            <v>SAL</v>
          </cell>
          <cell r="D139" t="str">
            <v>SNK</v>
          </cell>
          <cell r="E139" t="str">
            <v>SNK</v>
          </cell>
          <cell r="F139">
            <v>2.54</v>
          </cell>
        </row>
        <row r="140">
          <cell r="A140" t="str">
            <v>00809</v>
          </cell>
          <cell r="B140" t="str">
            <v>VINO SANTA JULIA MALBEC CLASS 750MLX12</v>
          </cell>
          <cell r="C140" t="str">
            <v>PAN</v>
          </cell>
          <cell r="D140" t="str">
            <v>PAN</v>
          </cell>
          <cell r="E140" t="str">
            <v>VIN</v>
          </cell>
          <cell r="F140">
            <v>36.61</v>
          </cell>
        </row>
        <row r="141">
          <cell r="A141" t="str">
            <v>01502</v>
          </cell>
          <cell r="B141" t="str">
            <v>VINO DOMAINES OTT (ROSADO) 750ML X 12</v>
          </cell>
          <cell r="C141" t="str">
            <v>PAN</v>
          </cell>
          <cell r="D141" t="str">
            <v>PAN</v>
          </cell>
          <cell r="E141" t="str">
            <v>VIN</v>
          </cell>
          <cell r="F141">
            <v>202.79</v>
          </cell>
        </row>
        <row r="142">
          <cell r="A142" t="str">
            <v>00804</v>
          </cell>
          <cell r="B142" t="str">
            <v>VINO ZUCCARDI Q MALBEC 750ML X 12</v>
          </cell>
          <cell r="C142" t="str">
            <v>PAN</v>
          </cell>
          <cell r="D142" t="str">
            <v>PAN</v>
          </cell>
          <cell r="E142" t="str">
            <v>VIN</v>
          </cell>
          <cell r="F142">
            <v>102.18</v>
          </cell>
        </row>
        <row r="143">
          <cell r="A143" t="str">
            <v>RON0163</v>
          </cell>
          <cell r="B143" t="str">
            <v>RON BARCELO ANEJO 750ML X 12</v>
          </cell>
          <cell r="C143" t="str">
            <v>IWA</v>
          </cell>
          <cell r="D143" t="str">
            <v>LIC</v>
          </cell>
          <cell r="E143" t="str">
            <v>RON</v>
          </cell>
          <cell r="F143">
            <v>43.3</v>
          </cell>
        </row>
        <row r="144">
          <cell r="A144" t="str">
            <v>RON0150</v>
          </cell>
          <cell r="B144" t="str">
            <v>RON BARCELO IMPERIAL 750ML X 6</v>
          </cell>
          <cell r="C144" t="str">
            <v>IWA</v>
          </cell>
          <cell r="D144" t="str">
            <v>LIC</v>
          </cell>
          <cell r="E144" t="str">
            <v>RON</v>
          </cell>
          <cell r="F144">
            <v>117.44</v>
          </cell>
        </row>
        <row r="145">
          <cell r="A145" t="str">
            <v>RON1056</v>
          </cell>
          <cell r="B145" t="str">
            <v>RON ANGOSTURA TAMBOO SPICED 750ML X 12</v>
          </cell>
          <cell r="C145" t="str">
            <v>IWA</v>
          </cell>
          <cell r="D145" t="str">
            <v>LIC</v>
          </cell>
          <cell r="E145" t="str">
            <v>RON</v>
          </cell>
          <cell r="F145">
            <v>122.73</v>
          </cell>
        </row>
        <row r="146">
          <cell r="A146" t="str">
            <v>RON0053</v>
          </cell>
          <cell r="B146" t="str">
            <v>RON ZACAPA XO 750ML X 6</v>
          </cell>
          <cell r="C146" t="str">
            <v>IWA</v>
          </cell>
          <cell r="D146" t="str">
            <v>LIC</v>
          </cell>
          <cell r="E146" t="str">
            <v>RON</v>
          </cell>
          <cell r="F146">
            <v>636.09</v>
          </cell>
        </row>
        <row r="147">
          <cell r="A147" t="str">
            <v>RON0997</v>
          </cell>
          <cell r="B147" t="str">
            <v>RON ANGOSTURA 1824 750ML X 6</v>
          </cell>
          <cell r="C147" t="str">
            <v>IWA</v>
          </cell>
          <cell r="D147" t="str">
            <v>LIC</v>
          </cell>
          <cell r="E147" t="str">
            <v>RON</v>
          </cell>
          <cell r="F147">
            <v>297.87</v>
          </cell>
        </row>
        <row r="148">
          <cell r="A148" t="str">
            <v>RON0179</v>
          </cell>
          <cell r="B148" t="str">
            <v>RON LA HECHICERA 700ML X6</v>
          </cell>
          <cell r="C148" t="str">
            <v>IWA</v>
          </cell>
          <cell r="D148" t="str">
            <v>LIC</v>
          </cell>
          <cell r="E148" t="str">
            <v>RON</v>
          </cell>
          <cell r="F148">
            <v>263.25</v>
          </cell>
        </row>
        <row r="149">
          <cell r="A149" t="str">
            <v>RON0578</v>
          </cell>
          <cell r="B149" t="str">
            <v>RON ANGOSTURA 1919 750ML X 6</v>
          </cell>
          <cell r="C149" t="str">
            <v>IWA</v>
          </cell>
          <cell r="D149" t="str">
            <v>LIC</v>
          </cell>
          <cell r="E149" t="str">
            <v>RON</v>
          </cell>
          <cell r="F149">
            <v>182.3</v>
          </cell>
        </row>
        <row r="150">
          <cell r="A150" t="str">
            <v>RON0160</v>
          </cell>
          <cell r="B150" t="str">
            <v>RON BARCELO GRAN ANEJO 750ML X 12</v>
          </cell>
          <cell r="C150" t="str">
            <v>IWA</v>
          </cell>
          <cell r="D150" t="str">
            <v>LIC</v>
          </cell>
          <cell r="E150" t="str">
            <v>RON</v>
          </cell>
          <cell r="F150">
            <v>48.87</v>
          </cell>
        </row>
        <row r="151">
          <cell r="A151" t="str">
            <v>RON0026</v>
          </cell>
          <cell r="B151" t="str">
            <v xml:space="preserve">RON ZACAPA ROYAL 750ML </v>
          </cell>
          <cell r="C151" t="str">
            <v>IWA</v>
          </cell>
          <cell r="D151" t="str">
            <v>LIC</v>
          </cell>
          <cell r="E151" t="str">
            <v>RON</v>
          </cell>
          <cell r="F151">
            <v>2500.37</v>
          </cell>
        </row>
        <row r="152">
          <cell r="A152" t="str">
            <v>RON0170</v>
          </cell>
          <cell r="B152" t="str">
            <v>RON BARCELO DORADO ANEJO 750ML X 12</v>
          </cell>
          <cell r="C152" t="str">
            <v>IWA</v>
          </cell>
          <cell r="D152" t="str">
            <v>LIC</v>
          </cell>
          <cell r="E152" t="str">
            <v>RON</v>
          </cell>
          <cell r="F152">
            <v>41.16</v>
          </cell>
        </row>
        <row r="153">
          <cell r="A153" t="str">
            <v>APE0166</v>
          </cell>
          <cell r="B153" t="str">
            <v>AMARGO CHUNPI 75ML</v>
          </cell>
          <cell r="C153" t="str">
            <v>IWA</v>
          </cell>
          <cell r="D153" t="str">
            <v>LIC</v>
          </cell>
          <cell r="E153" t="str">
            <v>RON</v>
          </cell>
          <cell r="F153">
            <v>12.77</v>
          </cell>
        </row>
        <row r="154">
          <cell r="A154" t="str">
            <v>RON0162</v>
          </cell>
          <cell r="B154" t="str">
            <v>RON BARCELO GRAN ANEJO 1.750 LT X 6</v>
          </cell>
          <cell r="C154" t="str">
            <v>IWA</v>
          </cell>
          <cell r="D154" t="str">
            <v>LIC</v>
          </cell>
          <cell r="E154" t="str">
            <v>RON</v>
          </cell>
          <cell r="F154">
            <v>92.94</v>
          </cell>
        </row>
        <row r="155">
          <cell r="A155" t="str">
            <v>RON0575</v>
          </cell>
          <cell r="B155" t="str">
            <v>RON ANGOSTURA 7AÑ 750ML X 6</v>
          </cell>
          <cell r="C155" t="str">
            <v>IWA</v>
          </cell>
          <cell r="D155" t="str">
            <v>LIC</v>
          </cell>
          <cell r="E155" t="str">
            <v>RON</v>
          </cell>
          <cell r="F155">
            <v>88.7</v>
          </cell>
        </row>
        <row r="156">
          <cell r="A156" t="str">
            <v>RON0171</v>
          </cell>
          <cell r="B156" t="str">
            <v>RON BARCELO DORADO  1LT X 12</v>
          </cell>
          <cell r="C156" t="str">
            <v>IWA</v>
          </cell>
          <cell r="D156" t="str">
            <v>LIC</v>
          </cell>
          <cell r="E156" t="str">
            <v>RON</v>
          </cell>
          <cell r="F156">
            <v>43.87</v>
          </cell>
        </row>
        <row r="157">
          <cell r="A157" t="str">
            <v>RON0164</v>
          </cell>
          <cell r="B157" t="str">
            <v>RON BARCELO ANEJO 1LT X 12</v>
          </cell>
          <cell r="C157" t="str">
            <v>IWA</v>
          </cell>
          <cell r="D157" t="str">
            <v>LIC</v>
          </cell>
          <cell r="E157" t="str">
            <v>RON</v>
          </cell>
          <cell r="F157">
            <v>61.01</v>
          </cell>
        </row>
        <row r="158">
          <cell r="A158" t="str">
            <v>RON0151</v>
          </cell>
          <cell r="B158" t="str">
            <v xml:space="preserve">RON BARCELO IMPERIAL ONYX 750ML </v>
          </cell>
          <cell r="C158" t="str">
            <v>IWA</v>
          </cell>
          <cell r="D158" t="str">
            <v>LIC</v>
          </cell>
          <cell r="E158" t="str">
            <v>RON</v>
          </cell>
          <cell r="F158">
            <v>140.43</v>
          </cell>
        </row>
        <row r="159">
          <cell r="A159" t="str">
            <v>RON1057</v>
          </cell>
          <cell r="B159" t="str">
            <v>RON BARCELO IMPERIAL 40 ANIVERSARIO X750ML</v>
          </cell>
          <cell r="C159" t="str">
            <v>IWA</v>
          </cell>
          <cell r="D159" t="str">
            <v>LIC</v>
          </cell>
          <cell r="E159" t="str">
            <v>RON</v>
          </cell>
          <cell r="F159">
            <v>841.57</v>
          </cell>
        </row>
        <row r="160">
          <cell r="A160" t="str">
            <v>RON0172</v>
          </cell>
          <cell r="B160" t="str">
            <v xml:space="preserve">RON BARCELO AÑEJO (6 A) 1.750ML </v>
          </cell>
          <cell r="C160" t="str">
            <v>IWA</v>
          </cell>
          <cell r="D160" t="str">
            <v>LIC</v>
          </cell>
          <cell r="E160" t="str">
            <v>RON</v>
          </cell>
          <cell r="F160">
            <v>91.21</v>
          </cell>
        </row>
        <row r="161">
          <cell r="A161" t="str">
            <v>RON0080</v>
          </cell>
          <cell r="B161" t="str">
            <v>RON DIPLOMATICO RESV EXC 700ML</v>
          </cell>
          <cell r="C161" t="str">
            <v>IWA</v>
          </cell>
          <cell r="D161" t="str">
            <v>LIC</v>
          </cell>
          <cell r="E161" t="str">
            <v>RON</v>
          </cell>
          <cell r="F161">
            <v>212.34</v>
          </cell>
        </row>
        <row r="162">
          <cell r="A162" t="str">
            <v>0102001</v>
          </cell>
          <cell r="B162" t="str">
            <v>WHIS.BALLANTINES FINEST 700ML X12</v>
          </cell>
          <cell r="C162" t="str">
            <v>IWA</v>
          </cell>
          <cell r="D162" t="str">
            <v>BAL</v>
          </cell>
          <cell r="E162" t="str">
            <v>WHI</v>
          </cell>
          <cell r="F162">
            <v>46.11</v>
          </cell>
        </row>
        <row r="163">
          <cell r="A163" t="str">
            <v>WHI1069</v>
          </cell>
          <cell r="B163" t="str">
            <v>PK WHIS BALLANT FINEST+BALLANT FINEST 200ML</v>
          </cell>
          <cell r="C163" t="str">
            <v>IWA</v>
          </cell>
          <cell r="D163" t="str">
            <v>BAL</v>
          </cell>
          <cell r="E163" t="str">
            <v>WHI</v>
          </cell>
          <cell r="F163">
            <v>49.32</v>
          </cell>
        </row>
        <row r="164">
          <cell r="A164" t="str">
            <v>WHI0334</v>
          </cell>
          <cell r="B164" t="str">
            <v xml:space="preserve">MINI WHIS.BALLANTINES FINEST 50ML </v>
          </cell>
          <cell r="C164" t="str">
            <v>IWA</v>
          </cell>
          <cell r="D164" t="str">
            <v>BAL</v>
          </cell>
          <cell r="E164" t="str">
            <v>WHI</v>
          </cell>
          <cell r="F164">
            <v>9.68</v>
          </cell>
        </row>
        <row r="165">
          <cell r="A165" t="str">
            <v>199281</v>
          </cell>
          <cell r="B165" t="str">
            <v>SPIRIT PASSION FRUIT 275ML X 24</v>
          </cell>
          <cell r="C165" t="str">
            <v>PFA</v>
          </cell>
          <cell r="D165" t="str">
            <v>LIC</v>
          </cell>
          <cell r="E165" t="str">
            <v>VOD</v>
          </cell>
          <cell r="F165">
            <v>6.73</v>
          </cell>
        </row>
        <row r="166">
          <cell r="A166" t="str">
            <v>199277</v>
          </cell>
          <cell r="B166" t="str">
            <v>SPIRIT MOJITO 275ML X 24</v>
          </cell>
          <cell r="C166" t="str">
            <v>PFA</v>
          </cell>
          <cell r="D166" t="str">
            <v>LIC</v>
          </cell>
          <cell r="E166" t="str">
            <v>VOD</v>
          </cell>
          <cell r="F166">
            <v>6.73</v>
          </cell>
        </row>
        <row r="167">
          <cell r="A167" t="str">
            <v>199280</v>
          </cell>
          <cell r="B167" t="str">
            <v>SPIRIT MANZANA 275ML X 24</v>
          </cell>
          <cell r="C167" t="str">
            <v>PFA</v>
          </cell>
          <cell r="D167" t="str">
            <v>LIC</v>
          </cell>
          <cell r="E167" t="str">
            <v>VOD</v>
          </cell>
          <cell r="F167">
            <v>6.73</v>
          </cell>
        </row>
        <row r="168">
          <cell r="A168" t="str">
            <v>199276</v>
          </cell>
          <cell r="B168" t="str">
            <v>SPIRIT VODKA BLUEBERRY  275ML X 24</v>
          </cell>
          <cell r="C168" t="str">
            <v>PFA</v>
          </cell>
          <cell r="D168" t="str">
            <v>LIC</v>
          </cell>
          <cell r="E168" t="str">
            <v>VOD</v>
          </cell>
          <cell r="F168">
            <v>6.73</v>
          </cell>
        </row>
        <row r="169">
          <cell r="A169" t="str">
            <v>IMP00129</v>
          </cell>
          <cell r="B169" t="str">
            <v>COWBOY USA OREGON BEEF MASTER 800GR-1.2KG</v>
          </cell>
          <cell r="C169" t="str">
            <v>PRR</v>
          </cell>
          <cell r="D169" t="str">
            <v>QBF</v>
          </cell>
          <cell r="E169" t="str">
            <v>RES</v>
          </cell>
          <cell r="F169">
            <v>229</v>
          </cell>
        </row>
        <row r="170">
          <cell r="A170" t="str">
            <v>IMP00057</v>
          </cell>
          <cell r="B170" t="str">
            <v>TOMAHAWH STERLING 1.3 - 1.5 KG</v>
          </cell>
          <cell r="C170" t="str">
            <v>PRR</v>
          </cell>
          <cell r="D170" t="str">
            <v>QBF</v>
          </cell>
          <cell r="E170" t="str">
            <v>RES</v>
          </cell>
          <cell r="F170">
            <v>275</v>
          </cell>
        </row>
        <row r="171">
          <cell r="A171" t="str">
            <v>0303001</v>
          </cell>
          <cell r="B171" t="str">
            <v>VODKA ABSOLUT 700ML X12</v>
          </cell>
          <cell r="C171" t="str">
            <v>IWA</v>
          </cell>
          <cell r="D171" t="str">
            <v>ABS</v>
          </cell>
          <cell r="E171" t="str">
            <v>VOD</v>
          </cell>
          <cell r="F171">
            <v>50.71</v>
          </cell>
        </row>
        <row r="172">
          <cell r="A172" t="str">
            <v>S0010</v>
          </cell>
          <cell r="B172" t="str">
            <v>VODKA SMIRNOFF APPLE 700ML X 6</v>
          </cell>
          <cell r="C172" t="str">
            <v>IWA</v>
          </cell>
          <cell r="D172" t="str">
            <v>ABS</v>
          </cell>
          <cell r="E172" t="str">
            <v>VOD</v>
          </cell>
          <cell r="F172">
            <v>35.71</v>
          </cell>
        </row>
        <row r="173">
          <cell r="A173" t="str">
            <v>S0011</v>
          </cell>
          <cell r="B173" t="str">
            <v>VODKA SMIRNOFF RED 700ML X 12</v>
          </cell>
          <cell r="C173" t="str">
            <v>IWA</v>
          </cell>
          <cell r="D173" t="str">
            <v>ABS</v>
          </cell>
          <cell r="E173" t="str">
            <v>VOD</v>
          </cell>
          <cell r="F173">
            <v>32.86</v>
          </cell>
        </row>
        <row r="174">
          <cell r="A174" t="str">
            <v>40001142</v>
          </cell>
          <cell r="B174" t="str">
            <v>VODKA SKYY  BLUE 750ML X12</v>
          </cell>
          <cell r="C174" t="str">
            <v>IWA</v>
          </cell>
          <cell r="D174" t="str">
            <v>ABS</v>
          </cell>
          <cell r="E174" t="str">
            <v>VOD</v>
          </cell>
          <cell r="F174">
            <v>49.33</v>
          </cell>
        </row>
        <row r="175">
          <cell r="A175" t="str">
            <v>10964510</v>
          </cell>
          <cell r="B175" t="str">
            <v>RON BOTRAN 5 AÑOS 750ML X 6</v>
          </cell>
          <cell r="C175" t="str">
            <v>RPD</v>
          </cell>
          <cell r="D175" t="str">
            <v>LIC</v>
          </cell>
          <cell r="E175" t="str">
            <v>RON</v>
          </cell>
          <cell r="F175">
            <v>40.1</v>
          </cell>
        </row>
        <row r="176">
          <cell r="A176" t="str">
            <v>700407</v>
          </cell>
          <cell r="B176" t="str">
            <v>RON BOTRAN ROAJÚ 700ML X 6</v>
          </cell>
          <cell r="C176" t="str">
            <v>RPD</v>
          </cell>
          <cell r="D176" t="str">
            <v>LIC</v>
          </cell>
          <cell r="E176" t="str">
            <v>RON</v>
          </cell>
          <cell r="F176">
            <v>184.26</v>
          </cell>
        </row>
        <row r="177">
          <cell r="A177" t="str">
            <v>10964530</v>
          </cell>
          <cell r="B177" t="str">
            <v>RON BOTRAN  12 AÑOS 750ML X 12</v>
          </cell>
          <cell r="C177" t="str">
            <v>RPD</v>
          </cell>
          <cell r="D177" t="str">
            <v>LIC</v>
          </cell>
          <cell r="E177" t="str">
            <v>RON</v>
          </cell>
          <cell r="F177">
            <v>72.349999999999994</v>
          </cell>
        </row>
        <row r="178">
          <cell r="A178" t="str">
            <v>10964540</v>
          </cell>
          <cell r="B178" t="str">
            <v>RON BOTRAN 15 AÑOS 750ML X 6</v>
          </cell>
          <cell r="C178" t="str">
            <v>RPD</v>
          </cell>
          <cell r="D178" t="str">
            <v>LIC</v>
          </cell>
          <cell r="E178" t="str">
            <v>RON</v>
          </cell>
          <cell r="F178">
            <v>112.32</v>
          </cell>
        </row>
        <row r="179">
          <cell r="A179" t="str">
            <v>109610</v>
          </cell>
          <cell r="B179" t="str">
            <v>RON BOTRAN COBRE 700ML X 6</v>
          </cell>
          <cell r="C179" t="str">
            <v>RPD</v>
          </cell>
          <cell r="D179" t="str">
            <v>LIC</v>
          </cell>
          <cell r="E179" t="str">
            <v>RON</v>
          </cell>
          <cell r="F179">
            <v>197.92</v>
          </cell>
        </row>
        <row r="180">
          <cell r="A180" t="str">
            <v>10964550</v>
          </cell>
          <cell r="B180" t="str">
            <v>RON BOTRAN 18 AÑOS 750ML X 6</v>
          </cell>
          <cell r="C180" t="str">
            <v>RPD</v>
          </cell>
          <cell r="D180" t="str">
            <v>LIC</v>
          </cell>
          <cell r="E180" t="str">
            <v>RON</v>
          </cell>
          <cell r="F180">
            <v>164.07</v>
          </cell>
        </row>
        <row r="181">
          <cell r="A181" t="str">
            <v>7012983</v>
          </cell>
          <cell r="B181" t="str">
            <v>RON BOTRAN RARE BLEND GUATEMALAN 700ML</v>
          </cell>
          <cell r="C181" t="str">
            <v>RPD</v>
          </cell>
          <cell r="D181" t="str">
            <v>LIC</v>
          </cell>
          <cell r="E181" t="str">
            <v>RON</v>
          </cell>
          <cell r="F181">
            <v>215.23</v>
          </cell>
        </row>
        <row r="182">
          <cell r="A182" t="str">
            <v>10964520</v>
          </cell>
          <cell r="B182" t="str">
            <v>RON BOTRAN 8 AÑOS X 750ML X12</v>
          </cell>
          <cell r="C182" t="str">
            <v>RPD</v>
          </cell>
          <cell r="D182" t="str">
            <v>LIC</v>
          </cell>
          <cell r="E182" t="str">
            <v>RON</v>
          </cell>
          <cell r="F182">
            <v>60.81</v>
          </cell>
        </row>
        <row r="183">
          <cell r="A183" t="str">
            <v>BIO138</v>
          </cell>
          <cell r="B183" t="str">
            <v>PIS. BIONDI ITALIA 500ML X12</v>
          </cell>
          <cell r="C183" t="str">
            <v>KLS</v>
          </cell>
          <cell r="D183" t="str">
            <v>LIC</v>
          </cell>
          <cell r="E183" t="str">
            <v>PIS</v>
          </cell>
          <cell r="F183">
            <v>66.739999999999995</v>
          </cell>
        </row>
        <row r="184">
          <cell r="A184" t="str">
            <v>BIO175</v>
          </cell>
          <cell r="B184" t="str">
            <v>P/ BIONDI GRAN COSECHA ACHOL.500ML X12</v>
          </cell>
          <cell r="C184" t="str">
            <v>KLS</v>
          </cell>
          <cell r="D184" t="str">
            <v>LIC</v>
          </cell>
          <cell r="E184" t="str">
            <v>PIS</v>
          </cell>
          <cell r="F184">
            <v>78.28</v>
          </cell>
        </row>
        <row r="185">
          <cell r="A185" t="str">
            <v>BIO172</v>
          </cell>
          <cell r="B185" t="str">
            <v>PIS.BIONDI ACHOLADO 12MESES 700ML X12</v>
          </cell>
          <cell r="C185" t="str">
            <v>KLS</v>
          </cell>
          <cell r="D185" t="str">
            <v>LIC</v>
          </cell>
          <cell r="E185" t="str">
            <v>PIS</v>
          </cell>
          <cell r="F185">
            <v>51.48</v>
          </cell>
        </row>
        <row r="186">
          <cell r="A186" t="str">
            <v>177915</v>
          </cell>
          <cell r="B186" t="str">
            <v>PIS.FERREYROS PUR.QUEBRANTA 750ML X12</v>
          </cell>
          <cell r="C186" t="str">
            <v>PFA</v>
          </cell>
          <cell r="D186" t="str">
            <v>LIC</v>
          </cell>
          <cell r="E186" t="str">
            <v>PIS</v>
          </cell>
          <cell r="F186">
            <v>84.77</v>
          </cell>
        </row>
        <row r="187">
          <cell r="A187" t="str">
            <v>177904</v>
          </cell>
          <cell r="B187" t="str">
            <v>PIS.FERREYROS ACHOLADO 750ML X12</v>
          </cell>
          <cell r="C187" t="str">
            <v>PFA</v>
          </cell>
          <cell r="D187" t="str">
            <v>LIC</v>
          </cell>
          <cell r="E187" t="str">
            <v>PIS</v>
          </cell>
          <cell r="F187">
            <v>84.77</v>
          </cell>
        </row>
        <row r="188">
          <cell r="A188" t="str">
            <v>61111</v>
          </cell>
          <cell r="B188" t="str">
            <v xml:space="preserve">C/T FRONT.SWEET SELECTION 750ML X 12  </v>
          </cell>
          <cell r="C188" t="str">
            <v>YIC</v>
          </cell>
          <cell r="D188" t="str">
            <v>LIC</v>
          </cell>
          <cell r="E188" t="str">
            <v>FRO</v>
          </cell>
          <cell r="F188">
            <v>20.77</v>
          </cell>
        </row>
        <row r="189">
          <cell r="A189" t="str">
            <v>67456</v>
          </cell>
          <cell r="B189" t="str">
            <v>FRONTERA FRUTAL TROPICAL 12X750ML</v>
          </cell>
          <cell r="C189" t="str">
            <v>YIC</v>
          </cell>
          <cell r="D189" t="str">
            <v>LIC</v>
          </cell>
          <cell r="E189" t="str">
            <v>FRO</v>
          </cell>
          <cell r="F189">
            <v>19.75</v>
          </cell>
        </row>
        <row r="190">
          <cell r="A190" t="str">
            <v>67457</v>
          </cell>
          <cell r="B190" t="str">
            <v xml:space="preserve">FRONTERA FRUTAL TINTO DE VERANO 12 X 750ML </v>
          </cell>
          <cell r="C190" t="str">
            <v>YIC</v>
          </cell>
          <cell r="D190" t="str">
            <v>LIC</v>
          </cell>
          <cell r="E190" t="str">
            <v>FRO</v>
          </cell>
          <cell r="F190">
            <v>19.75</v>
          </cell>
        </row>
        <row r="191">
          <cell r="A191" t="str">
            <v>0504001</v>
          </cell>
          <cell r="B191" t="str">
            <v>C/T FRONT.CABERNET SAUVIGNON 750ML X12</v>
          </cell>
          <cell r="C191" t="str">
            <v>YIC</v>
          </cell>
          <cell r="D191" t="str">
            <v>LIC</v>
          </cell>
          <cell r="E191" t="str">
            <v>FRO</v>
          </cell>
          <cell r="F191">
            <v>20.77</v>
          </cell>
        </row>
        <row r="192">
          <cell r="A192" t="str">
            <v>67458</v>
          </cell>
          <cell r="B192" t="str">
            <v>FRONTERA FRUTAL PINK  PARADISE 12X750ML</v>
          </cell>
          <cell r="C192" t="str">
            <v>YIC</v>
          </cell>
          <cell r="D192" t="str">
            <v>LIC</v>
          </cell>
          <cell r="E192" t="str">
            <v>FRO</v>
          </cell>
          <cell r="F192">
            <v>19.75</v>
          </cell>
        </row>
        <row r="193">
          <cell r="A193" t="str">
            <v>51813</v>
          </cell>
          <cell r="B193" t="str">
            <v>C/T FRONT.MALBEC 750ML X12</v>
          </cell>
          <cell r="C193" t="str">
            <v>YIC</v>
          </cell>
          <cell r="D193" t="str">
            <v>LIC</v>
          </cell>
          <cell r="E193" t="str">
            <v>FRO</v>
          </cell>
          <cell r="F193">
            <v>20.77</v>
          </cell>
        </row>
        <row r="194">
          <cell r="A194" t="str">
            <v>GIN0462</v>
          </cell>
          <cell r="B194" t="str">
            <v>PK GIN BEEFEATER DRY 700ML+ABSOLUT 375ML</v>
          </cell>
          <cell r="C194" t="str">
            <v>IWA</v>
          </cell>
          <cell r="D194" t="str">
            <v>BEE</v>
          </cell>
          <cell r="E194" t="str">
            <v>GIN</v>
          </cell>
          <cell r="F194">
            <v>85.75</v>
          </cell>
        </row>
        <row r="195">
          <cell r="A195" t="str">
            <v>GIN0463</v>
          </cell>
          <cell r="B195" t="str">
            <v>PK GIN BEEFEATER PINK 700ML+ABSOLUT 375ML</v>
          </cell>
          <cell r="C195" t="str">
            <v>IWA</v>
          </cell>
          <cell r="D195" t="str">
            <v>BEE</v>
          </cell>
          <cell r="E195" t="str">
            <v>GIN</v>
          </cell>
          <cell r="F195">
            <v>108.75</v>
          </cell>
        </row>
        <row r="196">
          <cell r="A196" t="str">
            <v>GIN0294</v>
          </cell>
          <cell r="B196" t="str">
            <v>GIN TANQUERAY FLOR DE SEVILLA 700ML+COPA</v>
          </cell>
          <cell r="C196" t="str">
            <v>IWA</v>
          </cell>
          <cell r="D196" t="str">
            <v>BEE</v>
          </cell>
          <cell r="E196" t="str">
            <v>GIN</v>
          </cell>
          <cell r="F196">
            <v>100.82</v>
          </cell>
        </row>
        <row r="197">
          <cell r="A197" t="str">
            <v>GIN0220</v>
          </cell>
          <cell r="B197" t="str">
            <v>GIN TANQUERAY FLOR DE SEVILLA 700ML</v>
          </cell>
          <cell r="C197" t="str">
            <v>IWA</v>
          </cell>
          <cell r="D197" t="str">
            <v>BEE</v>
          </cell>
          <cell r="E197" t="str">
            <v>GIN</v>
          </cell>
          <cell r="F197">
            <v>125.24</v>
          </cell>
        </row>
        <row r="198">
          <cell r="A198" t="str">
            <v>403001</v>
          </cell>
          <cell r="B198" t="str">
            <v>GIN BEEFEATER LONDON DRY 700ML X12</v>
          </cell>
          <cell r="C198" t="str">
            <v>IWA</v>
          </cell>
          <cell r="D198" t="str">
            <v>BEE</v>
          </cell>
          <cell r="E198" t="str">
            <v>GIN</v>
          </cell>
          <cell r="F198">
            <v>71.010000000000005</v>
          </cell>
        </row>
        <row r="199">
          <cell r="A199" t="str">
            <v>GIN0222</v>
          </cell>
          <cell r="B199" t="str">
            <v>GIN TANQUERAY LONDON 750ML X 6</v>
          </cell>
          <cell r="C199" t="str">
            <v>IWA</v>
          </cell>
          <cell r="D199" t="str">
            <v>BEE</v>
          </cell>
          <cell r="E199" t="str">
            <v>GIN</v>
          </cell>
          <cell r="F199">
            <v>93.29</v>
          </cell>
        </row>
        <row r="200">
          <cell r="A200" t="str">
            <v>403006</v>
          </cell>
          <cell r="B200" t="str">
            <v>GIN BEEFEATER PINK 700ML X6</v>
          </cell>
          <cell r="C200" t="str">
            <v>IWA</v>
          </cell>
          <cell r="D200" t="str">
            <v>BEE</v>
          </cell>
          <cell r="E200" t="str">
            <v>GIN</v>
          </cell>
          <cell r="F200">
            <v>84.73</v>
          </cell>
        </row>
        <row r="201">
          <cell r="A201" t="str">
            <v>GIN0027</v>
          </cell>
          <cell r="B201" t="str">
            <v>GIN BEEFEATER BLOOD ORANGE 700ML X 6</v>
          </cell>
          <cell r="C201" t="str">
            <v>IWA</v>
          </cell>
          <cell r="D201" t="str">
            <v>BEE</v>
          </cell>
          <cell r="E201" t="str">
            <v>GIN</v>
          </cell>
          <cell r="F201">
            <v>104.68</v>
          </cell>
        </row>
        <row r="202">
          <cell r="A202" t="str">
            <v>VO014</v>
          </cell>
          <cell r="B202" t="str">
            <v>O. VINO F/CAV.CRIAN C/S X750ML X12</v>
          </cell>
          <cell r="C202" t="str">
            <v>OCU</v>
          </cell>
          <cell r="D202" t="str">
            <v>VIN</v>
          </cell>
          <cell r="E202" t="str">
            <v>CRI</v>
          </cell>
          <cell r="F202">
            <v>36</v>
          </cell>
        </row>
        <row r="203">
          <cell r="A203" t="str">
            <v>GF0003</v>
          </cell>
          <cell r="B203" t="str">
            <v>GOLD FUSION VULCANO 750ML X6</v>
          </cell>
          <cell r="C203" t="str">
            <v>EXC</v>
          </cell>
          <cell r="D203" t="str">
            <v>FUS</v>
          </cell>
          <cell r="E203" t="str">
            <v>VUL</v>
          </cell>
          <cell r="F203">
            <v>46.52</v>
          </cell>
        </row>
        <row r="204">
          <cell r="A204" t="str">
            <v>GF0016</v>
          </cell>
          <cell r="B204" t="str">
            <v>GOLD PREMIUM MANGO 750ML X6</v>
          </cell>
          <cell r="C204" t="str">
            <v>EXC</v>
          </cell>
          <cell r="D204" t="str">
            <v>FUS</v>
          </cell>
          <cell r="E204" t="str">
            <v>VUL</v>
          </cell>
          <cell r="F204">
            <v>46.52</v>
          </cell>
        </row>
        <row r="205">
          <cell r="A205" t="str">
            <v>504358</v>
          </cell>
          <cell r="B205" t="str">
            <v>ESTCH ACHOLAD MOS.VER EDICION ESP 500MLX9</v>
          </cell>
          <cell r="C205" t="str">
            <v>VDO</v>
          </cell>
          <cell r="D205" t="str">
            <v>PIS</v>
          </cell>
          <cell r="E205" t="str">
            <v>PIS</v>
          </cell>
          <cell r="F205">
            <v>96.37</v>
          </cell>
        </row>
        <row r="206">
          <cell r="A206" t="str">
            <v>506039</v>
          </cell>
          <cell r="B206" t="str">
            <v>P.MOSCATEL SILVER  700ML X 12</v>
          </cell>
          <cell r="C206" t="str">
            <v>VDO</v>
          </cell>
          <cell r="D206" t="str">
            <v>PIS</v>
          </cell>
          <cell r="E206" t="str">
            <v>PIS</v>
          </cell>
          <cell r="F206">
            <v>80.040000000000006</v>
          </cell>
        </row>
        <row r="207">
          <cell r="A207" t="str">
            <v>506752</v>
          </cell>
          <cell r="B207" t="str">
            <v>P.MOST VERD CHOLADO BLUE 710 ML X 6</v>
          </cell>
          <cell r="C207" t="str">
            <v>VDO</v>
          </cell>
          <cell r="D207" t="str">
            <v>PIS</v>
          </cell>
          <cell r="E207" t="str">
            <v>PIS</v>
          </cell>
          <cell r="F207">
            <v>362.46</v>
          </cell>
        </row>
        <row r="208">
          <cell r="A208" t="str">
            <v>506045</v>
          </cell>
          <cell r="B208" t="str">
            <v>P.MOSCATEL GOLD 700ML X 12</v>
          </cell>
          <cell r="C208" t="str">
            <v>VDO</v>
          </cell>
          <cell r="D208" t="str">
            <v>PIS</v>
          </cell>
          <cell r="E208" t="str">
            <v>PIS</v>
          </cell>
          <cell r="F208">
            <v>102.59</v>
          </cell>
        </row>
        <row r="209">
          <cell r="A209" t="str">
            <v>5048301</v>
          </cell>
          <cell r="B209" t="str">
            <v>DON SANTIAGO MACERADO PASAS 500ML X6</v>
          </cell>
          <cell r="C209" t="str">
            <v>SQL</v>
          </cell>
          <cell r="D209" t="str">
            <v>SQL</v>
          </cell>
          <cell r="E209" t="str">
            <v>VIN</v>
          </cell>
          <cell r="F209">
            <v>42.73</v>
          </cell>
        </row>
        <row r="210">
          <cell r="A210" t="str">
            <v>2024050</v>
          </cell>
          <cell r="B210" t="str">
            <v>PACK LONCHERA VINO BORGOÑA SQL 750ML</v>
          </cell>
          <cell r="C210" t="str">
            <v>SQL</v>
          </cell>
          <cell r="D210" t="str">
            <v>SQL</v>
          </cell>
          <cell r="E210" t="str">
            <v>VIN</v>
          </cell>
          <cell r="F210">
            <v>34.74</v>
          </cell>
        </row>
        <row r="211">
          <cell r="A211" t="str">
            <v>2022001</v>
          </cell>
          <cell r="B211" t="str">
            <v>VINO ROSE SQ 750ML</v>
          </cell>
          <cell r="C211" t="str">
            <v>SQL</v>
          </cell>
          <cell r="D211" t="str">
            <v>SQL</v>
          </cell>
          <cell r="E211" t="str">
            <v>VIN</v>
          </cell>
          <cell r="F211">
            <v>13.06</v>
          </cell>
        </row>
        <row r="212">
          <cell r="A212" t="str">
            <v>7065002</v>
          </cell>
          <cell r="B212" t="str">
            <v>PIS.INTIPALKA QUEBRANTA 750ML X6</v>
          </cell>
          <cell r="C212" t="str">
            <v>SQL</v>
          </cell>
          <cell r="D212" t="str">
            <v>SQL</v>
          </cell>
          <cell r="E212" t="str">
            <v>VIN</v>
          </cell>
          <cell r="F212">
            <v>33.31</v>
          </cell>
        </row>
        <row r="213">
          <cell r="A213" t="str">
            <v>7065001</v>
          </cell>
          <cell r="B213" t="str">
            <v>PIS.INTPK QUEBRANTA MOSTO VERD750ML X6</v>
          </cell>
          <cell r="C213" t="str">
            <v>SQL</v>
          </cell>
          <cell r="D213" t="str">
            <v>SQL</v>
          </cell>
          <cell r="E213" t="str">
            <v>VIN</v>
          </cell>
          <cell r="F213">
            <v>73.569999999999993</v>
          </cell>
        </row>
        <row r="214">
          <cell r="A214" t="str">
            <v>2022050</v>
          </cell>
          <cell r="B214" t="str">
            <v>PACK LONCHERA VINO ROSE SQL 750ML</v>
          </cell>
          <cell r="C214" t="str">
            <v>SQL</v>
          </cell>
          <cell r="D214" t="str">
            <v>SQL</v>
          </cell>
          <cell r="E214" t="str">
            <v>VIN</v>
          </cell>
          <cell r="F214">
            <v>34.74</v>
          </cell>
        </row>
        <row r="215">
          <cell r="A215" t="str">
            <v>2023001</v>
          </cell>
          <cell r="B215" t="str">
            <v>VINO MOSCATO SQ 750ML</v>
          </cell>
          <cell r="C215" t="str">
            <v>SQL</v>
          </cell>
          <cell r="D215" t="str">
            <v>SQL</v>
          </cell>
          <cell r="E215" t="str">
            <v>VIN</v>
          </cell>
          <cell r="F215">
            <v>13.06</v>
          </cell>
        </row>
        <row r="216">
          <cell r="A216" t="str">
            <v>4041001</v>
          </cell>
          <cell r="B216" t="str">
            <v>PISCO SANTIAGO QUEIROLO QUEBRANTA 750ML</v>
          </cell>
          <cell r="C216" t="str">
            <v>SQL</v>
          </cell>
          <cell r="D216" t="str">
            <v>SQL</v>
          </cell>
          <cell r="E216" t="str">
            <v>VIN</v>
          </cell>
          <cell r="F216">
            <v>24.99</v>
          </cell>
        </row>
        <row r="217">
          <cell r="A217" t="str">
            <v>24027</v>
          </cell>
          <cell r="B217" t="str">
            <v>VINO GRAN BORGOÑA 375ML X 24 T ROSCA</v>
          </cell>
          <cell r="C217" t="str">
            <v>SQL</v>
          </cell>
          <cell r="D217" t="str">
            <v>SQL</v>
          </cell>
          <cell r="E217" t="str">
            <v>VIN</v>
          </cell>
          <cell r="F217">
            <v>7.87</v>
          </cell>
        </row>
        <row r="218">
          <cell r="A218" t="str">
            <v>7065102</v>
          </cell>
          <cell r="B218" t="str">
            <v>PIS.PURO INTIPALKA ITALIA 750ML X6</v>
          </cell>
          <cell r="C218" t="str">
            <v>SQL</v>
          </cell>
          <cell r="D218" t="str">
            <v>SQL</v>
          </cell>
          <cell r="E218" t="str">
            <v>VIN</v>
          </cell>
          <cell r="F218">
            <v>33.31</v>
          </cell>
        </row>
        <row r="219">
          <cell r="A219" t="str">
            <v>2022051</v>
          </cell>
          <cell r="B219" t="str">
            <v>PACK LONCHERA MIXTA ROSE/ BORGOÑA</v>
          </cell>
          <cell r="C219" t="str">
            <v>SQL</v>
          </cell>
          <cell r="D219" t="str">
            <v>SQL</v>
          </cell>
          <cell r="E219" t="str">
            <v>VIN</v>
          </cell>
          <cell r="F219">
            <v>34.4</v>
          </cell>
        </row>
        <row r="220">
          <cell r="A220" t="str">
            <v>4045001</v>
          </cell>
          <cell r="B220" t="str">
            <v>S.Q PISCO ACHOLADO 750ML</v>
          </cell>
          <cell r="C220" t="str">
            <v>SQL</v>
          </cell>
          <cell r="D220" t="str">
            <v>SQL</v>
          </cell>
          <cell r="E220" t="str">
            <v>VIN</v>
          </cell>
          <cell r="F220">
            <v>24.99</v>
          </cell>
        </row>
        <row r="221">
          <cell r="A221" t="str">
            <v>5048401</v>
          </cell>
          <cell r="B221" t="str">
            <v>DON SANTIAGO MAC. CIRUELA 500ML X6</v>
          </cell>
          <cell r="C221" t="str">
            <v>SQL</v>
          </cell>
          <cell r="D221" t="str">
            <v>SQL</v>
          </cell>
          <cell r="E221" t="str">
            <v>VIN</v>
          </cell>
          <cell r="F221">
            <v>42.73</v>
          </cell>
        </row>
        <row r="222">
          <cell r="A222" t="str">
            <v>7065101</v>
          </cell>
          <cell r="B222" t="str">
            <v>PIS.INTPK ITALIA MOSTO VERD750ML X6</v>
          </cell>
          <cell r="C222" t="str">
            <v>SQL</v>
          </cell>
          <cell r="D222" t="str">
            <v>SQL</v>
          </cell>
          <cell r="E222" t="str">
            <v>VIN</v>
          </cell>
          <cell r="F222">
            <v>73.569999999999993</v>
          </cell>
        </row>
        <row r="223">
          <cell r="A223" t="str">
            <v>2022027</v>
          </cell>
          <cell r="B223" t="str">
            <v>VINO ROSÉ EN CAJA 2 LTS</v>
          </cell>
          <cell r="C223" t="str">
            <v>SQL</v>
          </cell>
          <cell r="D223" t="str">
            <v>SQL</v>
          </cell>
          <cell r="E223" t="str">
            <v>VIN</v>
          </cell>
          <cell r="F223">
            <v>33.270000000000003</v>
          </cell>
        </row>
        <row r="224">
          <cell r="A224" t="str">
            <v>1104824</v>
          </cell>
          <cell r="B224" t="str">
            <v>INTIPALKA RESERVA MALBEC/MERLOT 750ML</v>
          </cell>
          <cell r="C224" t="str">
            <v>SQL</v>
          </cell>
          <cell r="D224" t="str">
            <v>SQL</v>
          </cell>
          <cell r="E224" t="str">
            <v>VIN</v>
          </cell>
          <cell r="F224">
            <v>36.369999999999997</v>
          </cell>
        </row>
        <row r="225">
          <cell r="A225" t="str">
            <v>5048201</v>
          </cell>
          <cell r="B225" t="str">
            <v>DON SANTIAGO MAC.MANDARINA 500ML X6</v>
          </cell>
          <cell r="C225" t="str">
            <v>SQL</v>
          </cell>
          <cell r="D225" t="str">
            <v>SQL</v>
          </cell>
          <cell r="E225" t="str">
            <v>VIN</v>
          </cell>
          <cell r="F225">
            <v>42.73</v>
          </cell>
        </row>
        <row r="226">
          <cell r="A226" t="str">
            <v>7065202</v>
          </cell>
          <cell r="B226" t="str">
            <v>PIS.INTIPALKA ACHOLADO 750ML X6</v>
          </cell>
          <cell r="C226" t="str">
            <v>SQL</v>
          </cell>
          <cell r="D226" t="str">
            <v>SQL</v>
          </cell>
          <cell r="E226" t="str">
            <v>VIN</v>
          </cell>
          <cell r="F226">
            <v>33.31</v>
          </cell>
        </row>
        <row r="227">
          <cell r="A227" t="str">
            <v>22031</v>
          </cell>
          <cell r="B227" t="str">
            <v>VINO ROSE  375ML X 24 T ROSCA</v>
          </cell>
          <cell r="C227" t="str">
            <v>SQL</v>
          </cell>
          <cell r="D227" t="str">
            <v>SQL</v>
          </cell>
          <cell r="E227" t="str">
            <v>VIN</v>
          </cell>
          <cell r="F227">
            <v>7.87</v>
          </cell>
        </row>
        <row r="228">
          <cell r="A228" t="str">
            <v>7065201</v>
          </cell>
          <cell r="B228" t="str">
            <v>PIS.INTPK ACHOLADO MOSTO VERD750ML X6</v>
          </cell>
          <cell r="C228" t="str">
            <v>SQL</v>
          </cell>
          <cell r="D228" t="str">
            <v>SQL</v>
          </cell>
          <cell r="E228" t="str">
            <v>VIN</v>
          </cell>
          <cell r="F228">
            <v>73.569999999999993</v>
          </cell>
        </row>
        <row r="229">
          <cell r="A229" t="str">
            <v>MC00434</v>
          </cell>
          <cell r="B229" t="str">
            <v>WHIS.JACK DANIELS APPLE  750ML X12</v>
          </cell>
          <cell r="C229" t="str">
            <v>PRE</v>
          </cell>
          <cell r="D229" t="str">
            <v>WHI</v>
          </cell>
          <cell r="E229" t="str">
            <v>JCK</v>
          </cell>
          <cell r="F229">
            <v>94.17</v>
          </cell>
        </row>
        <row r="230">
          <cell r="A230" t="str">
            <v>115013</v>
          </cell>
          <cell r="B230" t="str">
            <v>WHIS.JACK DANIELS HONEY 750ML X12</v>
          </cell>
          <cell r="C230" t="str">
            <v>PRE</v>
          </cell>
          <cell r="D230" t="str">
            <v>WHI</v>
          </cell>
          <cell r="E230" t="str">
            <v>JCK</v>
          </cell>
          <cell r="F230">
            <v>94.17</v>
          </cell>
        </row>
        <row r="231">
          <cell r="A231" t="str">
            <v>PC0257</v>
          </cell>
          <cell r="B231" t="str">
            <v>P-JACK DANIELS APPLE 750ML+COPA VERDE</v>
          </cell>
          <cell r="C231" t="str">
            <v>PRE</v>
          </cell>
          <cell r="D231" t="str">
            <v>WHI</v>
          </cell>
          <cell r="E231" t="str">
            <v>JCK</v>
          </cell>
          <cell r="F231">
            <v>93.12</v>
          </cell>
        </row>
        <row r="232">
          <cell r="A232" t="str">
            <v>0115002</v>
          </cell>
          <cell r="B232" t="str">
            <v>WHIS.JACK DANIELS 750ML X12</v>
          </cell>
          <cell r="C232" t="str">
            <v>PRE</v>
          </cell>
          <cell r="D232" t="str">
            <v>WHI</v>
          </cell>
          <cell r="E232" t="str">
            <v>JCK</v>
          </cell>
          <cell r="F232">
            <v>94.17</v>
          </cell>
        </row>
        <row r="233">
          <cell r="A233" t="str">
            <v>MC000197</v>
          </cell>
          <cell r="B233" t="str">
            <v>WHIS.JACK DANIELS 150ANV.SS 750ML X12</v>
          </cell>
          <cell r="C233" t="str">
            <v>PRE</v>
          </cell>
          <cell r="D233" t="str">
            <v>WHI</v>
          </cell>
          <cell r="E233" t="str">
            <v>JCK</v>
          </cell>
          <cell r="F233">
            <v>157.78</v>
          </cell>
        </row>
        <row r="234">
          <cell r="A234" t="str">
            <v>MC000369</v>
          </cell>
          <cell r="B234" t="str">
            <v>WHIS.JACK DANIELS FIRE 750ML</v>
          </cell>
          <cell r="C234" t="str">
            <v>PRE</v>
          </cell>
          <cell r="D234" t="str">
            <v>WHI</v>
          </cell>
          <cell r="E234" t="str">
            <v>JCK</v>
          </cell>
          <cell r="F234">
            <v>94.17</v>
          </cell>
        </row>
        <row r="235">
          <cell r="A235" t="str">
            <v>MC000196</v>
          </cell>
          <cell r="B235" t="str">
            <v>MINI.WHIS.JACK DANIELS 50ML X10</v>
          </cell>
          <cell r="C235" t="str">
            <v>PRE</v>
          </cell>
          <cell r="D235" t="str">
            <v>WHI</v>
          </cell>
          <cell r="E235" t="str">
            <v>JCK</v>
          </cell>
          <cell r="F235">
            <v>11.58</v>
          </cell>
        </row>
        <row r="236">
          <cell r="A236" t="str">
            <v>197323</v>
          </cell>
          <cell r="B236" t="str">
            <v>ESTUCHE R VIEJO CALDAS 5 AÑOS + SHAKER X 750ML</v>
          </cell>
          <cell r="C236" t="str">
            <v>PFA</v>
          </cell>
          <cell r="D236" t="str">
            <v>OTR</v>
          </cell>
          <cell r="E236" t="str">
            <v>OTR</v>
          </cell>
          <cell r="F236">
            <v>29.69</v>
          </cell>
        </row>
        <row r="237">
          <cell r="A237" t="str">
            <v>197325</v>
          </cell>
          <cell r="B237" t="str">
            <v>ESTUCHE R.VIEJÓ CALDAS  8 AÑOS + VASO X750ML</v>
          </cell>
          <cell r="C237" t="str">
            <v>PFA</v>
          </cell>
          <cell r="D237" t="str">
            <v>OTR</v>
          </cell>
          <cell r="E237" t="str">
            <v>OTR</v>
          </cell>
          <cell r="F237">
            <v>46.02</v>
          </cell>
        </row>
        <row r="238">
          <cell r="A238" t="str">
            <v>197315</v>
          </cell>
          <cell r="B238" t="str">
            <v>RON VIEJO DE CALDAS GRAN RVA ESP. 750ML</v>
          </cell>
          <cell r="C238" t="str">
            <v>PFA</v>
          </cell>
          <cell r="D238" t="str">
            <v>OTR</v>
          </cell>
          <cell r="E238" t="str">
            <v>OTR</v>
          </cell>
          <cell r="F238">
            <v>109.78</v>
          </cell>
        </row>
        <row r="239">
          <cell r="A239" t="str">
            <v>V0160</v>
          </cell>
          <cell r="B239" t="str">
            <v>TEQUILA JIMADOR BLANCOX750ML X12</v>
          </cell>
          <cell r="C239" t="str">
            <v>PRE</v>
          </cell>
          <cell r="D239" t="str">
            <v>TEQ</v>
          </cell>
          <cell r="E239" t="str">
            <v>OTR</v>
          </cell>
          <cell r="F239">
            <v>75.59</v>
          </cell>
        </row>
        <row r="240">
          <cell r="A240" t="str">
            <v>MC000215</v>
          </cell>
          <cell r="B240" t="str">
            <v>TEQUILA HERRADURA REPOSADO 750ML</v>
          </cell>
          <cell r="C240" t="str">
            <v>PRE</v>
          </cell>
          <cell r="D240" t="str">
            <v>TEQ</v>
          </cell>
          <cell r="E240" t="str">
            <v>OTR</v>
          </cell>
          <cell r="F240">
            <v>156.47</v>
          </cell>
        </row>
        <row r="241">
          <cell r="A241" t="str">
            <v>V0161</v>
          </cell>
          <cell r="B241" t="str">
            <v>TEQUILA JIMADOR REPOSADOX750ML X12</v>
          </cell>
          <cell r="C241" t="str">
            <v>PRE</v>
          </cell>
          <cell r="D241" t="str">
            <v>TEQ</v>
          </cell>
          <cell r="E241" t="str">
            <v>OTR</v>
          </cell>
          <cell r="F241">
            <v>75.59</v>
          </cell>
        </row>
        <row r="242">
          <cell r="A242" t="str">
            <v>0107001</v>
          </cell>
          <cell r="B242" t="str">
            <v>WHIS.SOMETHING SPEC.750ML X12</v>
          </cell>
          <cell r="C242" t="str">
            <v>IWA</v>
          </cell>
          <cell r="D242" t="str">
            <v>SSP</v>
          </cell>
          <cell r="E242" t="str">
            <v>WHI</v>
          </cell>
          <cell r="F242">
            <v>46.11</v>
          </cell>
        </row>
        <row r="243">
          <cell r="A243" t="str">
            <v>04998606</v>
          </cell>
          <cell r="B243" t="str">
            <v>INCA KOLA LATA 12 OZ X12</v>
          </cell>
          <cell r="C243" t="str">
            <v>JYA</v>
          </cell>
          <cell r="D243" t="str">
            <v>GAS</v>
          </cell>
          <cell r="E243" t="str">
            <v>GAS</v>
          </cell>
          <cell r="F243">
            <v>4.4000000000000004</v>
          </cell>
        </row>
        <row r="244">
          <cell r="A244" t="str">
            <v>04963406</v>
          </cell>
          <cell r="B244" t="str">
            <v>COCA COLA CLASICA 12OZ X12</v>
          </cell>
          <cell r="C244" t="str">
            <v>JYA</v>
          </cell>
          <cell r="D244" t="str">
            <v>GAS</v>
          </cell>
          <cell r="E244" t="str">
            <v>GAS</v>
          </cell>
          <cell r="F244">
            <v>4.4000000000000004</v>
          </cell>
        </row>
        <row r="245">
          <cell r="A245" t="str">
            <v>07891108</v>
          </cell>
          <cell r="B245" t="str">
            <v>CRUSH NARANJA LATA 12OZ X12</v>
          </cell>
          <cell r="C245" t="str">
            <v>JYA</v>
          </cell>
          <cell r="D245" t="str">
            <v>GAS</v>
          </cell>
          <cell r="E245" t="str">
            <v>GAS</v>
          </cell>
          <cell r="F245">
            <v>4.4000000000000004</v>
          </cell>
        </row>
        <row r="246">
          <cell r="A246" t="str">
            <v>14235</v>
          </cell>
          <cell r="B246" t="str">
            <v>FANTA NARANJA LATA 12OZ X12</v>
          </cell>
          <cell r="C246" t="str">
            <v>JYA</v>
          </cell>
          <cell r="D246" t="str">
            <v>GAS</v>
          </cell>
          <cell r="E246" t="str">
            <v>GAS</v>
          </cell>
          <cell r="F246">
            <v>4.4000000000000004</v>
          </cell>
        </row>
        <row r="247">
          <cell r="A247" t="str">
            <v>ANI0004</v>
          </cell>
          <cell r="B247" t="str">
            <v>ANIS DEL MONO VERDE SECO 1LT X 6</v>
          </cell>
          <cell r="C247" t="str">
            <v>KLS</v>
          </cell>
          <cell r="D247" t="str">
            <v>OTR</v>
          </cell>
          <cell r="E247" t="str">
            <v>OTR</v>
          </cell>
          <cell r="F247">
            <v>95.8</v>
          </cell>
        </row>
        <row r="248">
          <cell r="A248" t="str">
            <v>ANI0001</v>
          </cell>
          <cell r="B248" t="str">
            <v>ANIS DEL MONO ROJO (DULCE) 1LT X 6</v>
          </cell>
          <cell r="C248" t="str">
            <v>KLS</v>
          </cell>
          <cell r="D248" t="str">
            <v>OTR</v>
          </cell>
          <cell r="E248" t="str">
            <v>OTR</v>
          </cell>
          <cell r="F248">
            <v>95.8</v>
          </cell>
        </row>
        <row r="249">
          <cell r="A249" t="str">
            <v>FER089</v>
          </cell>
          <cell r="B249" t="str">
            <v>LICOR FERNET BRANCA 750ML X12</v>
          </cell>
          <cell r="C249" t="str">
            <v>KLS</v>
          </cell>
          <cell r="D249" t="str">
            <v>OTR</v>
          </cell>
          <cell r="E249" t="str">
            <v>OTR</v>
          </cell>
          <cell r="F249">
            <v>81.48</v>
          </cell>
        </row>
        <row r="250">
          <cell r="A250" t="str">
            <v>673</v>
          </cell>
          <cell r="B250" t="str">
            <v>C&amp;C FRUIT PUNCH 355ML X 24</v>
          </cell>
          <cell r="C250" t="str">
            <v>C&amp;C</v>
          </cell>
          <cell r="D250" t="str">
            <v>OTR</v>
          </cell>
          <cell r="E250" t="str">
            <v>OTR</v>
          </cell>
          <cell r="F250">
            <v>2.99</v>
          </cell>
        </row>
        <row r="251">
          <cell r="A251" t="str">
            <v>675</v>
          </cell>
          <cell r="B251" t="str">
            <v>C&amp;C GRAPE LATA 355ML X 24</v>
          </cell>
          <cell r="C251" t="str">
            <v>C&amp;C</v>
          </cell>
          <cell r="D251" t="str">
            <v>OTR</v>
          </cell>
          <cell r="E251" t="str">
            <v>OTR</v>
          </cell>
          <cell r="F251">
            <v>2.99</v>
          </cell>
        </row>
        <row r="252">
          <cell r="A252" t="str">
            <v>705605</v>
          </cell>
          <cell r="B252" t="str">
            <v>RON BAHIA BLACK STAR 750ML X12</v>
          </cell>
          <cell r="C252" t="str">
            <v>AVV</v>
          </cell>
          <cell r="D252" t="str">
            <v>RON</v>
          </cell>
          <cell r="E252" t="str">
            <v>BHI</v>
          </cell>
          <cell r="F252">
            <v>16.510000000000002</v>
          </cell>
        </row>
        <row r="253">
          <cell r="A253" t="str">
            <v>705606</v>
          </cell>
          <cell r="B253" t="str">
            <v>RON BAHIA GOLD 750ML X12</v>
          </cell>
          <cell r="C253" t="str">
            <v>AVV</v>
          </cell>
          <cell r="D253" t="str">
            <v>RON</v>
          </cell>
          <cell r="E253" t="str">
            <v>BHI</v>
          </cell>
          <cell r="F253">
            <v>16.510000000000002</v>
          </cell>
        </row>
        <row r="254">
          <cell r="A254" t="str">
            <v>47181</v>
          </cell>
          <cell r="B254" t="str">
            <v>DIABLO DARK RED 750ML X12</v>
          </cell>
          <cell r="C254" t="str">
            <v>YIC</v>
          </cell>
          <cell r="D254" t="str">
            <v>LIC</v>
          </cell>
          <cell r="E254" t="str">
            <v>DIB</v>
          </cell>
          <cell r="F254">
            <v>61.67</v>
          </cell>
        </row>
        <row r="255">
          <cell r="A255" t="str">
            <v>51811</v>
          </cell>
          <cell r="B255" t="str">
            <v>DIABLO BLACK 750ML X12</v>
          </cell>
          <cell r="C255" t="str">
            <v>YIC</v>
          </cell>
          <cell r="D255" t="str">
            <v>LIC</v>
          </cell>
          <cell r="E255" t="str">
            <v>DIB</v>
          </cell>
          <cell r="F255">
            <v>61.67</v>
          </cell>
        </row>
        <row r="256">
          <cell r="A256" t="str">
            <v>48507</v>
          </cell>
          <cell r="B256" t="str">
            <v>WHIS.MACALLAN 12AÑ 700ML X12</v>
          </cell>
          <cell r="C256" t="str">
            <v>YIC</v>
          </cell>
          <cell r="D256" t="str">
            <v>LIC</v>
          </cell>
          <cell r="E256" t="str">
            <v>WHI</v>
          </cell>
          <cell r="F256">
            <v>468.02</v>
          </cell>
        </row>
        <row r="257">
          <cell r="A257" t="str">
            <v>ABU003</v>
          </cell>
          <cell r="B257" t="str">
            <v>RON ABUELO 12 AÑ 750ML X12</v>
          </cell>
          <cell r="C257" t="str">
            <v>KLS</v>
          </cell>
          <cell r="D257" t="str">
            <v>LIC</v>
          </cell>
          <cell r="E257" t="str">
            <v>RON</v>
          </cell>
          <cell r="F257">
            <v>131.52000000000001</v>
          </cell>
        </row>
        <row r="258">
          <cell r="A258" t="str">
            <v>ABU001</v>
          </cell>
          <cell r="B258" t="str">
            <v>RON ABUELO AÑEJO 750ML X12</v>
          </cell>
          <cell r="C258" t="str">
            <v>KLS</v>
          </cell>
          <cell r="D258" t="str">
            <v>LIC</v>
          </cell>
          <cell r="E258" t="str">
            <v>RON</v>
          </cell>
          <cell r="F258">
            <v>42.29</v>
          </cell>
        </row>
        <row r="259">
          <cell r="A259" t="str">
            <v>ABU002</v>
          </cell>
          <cell r="B259" t="str">
            <v>RON ABUELO 7 AÑ 750ML X12</v>
          </cell>
          <cell r="C259" t="str">
            <v>KLS</v>
          </cell>
          <cell r="D259" t="str">
            <v>LIC</v>
          </cell>
          <cell r="E259" t="str">
            <v>RON</v>
          </cell>
          <cell r="F259">
            <v>88.58</v>
          </cell>
        </row>
        <row r="260">
          <cell r="A260" t="str">
            <v>ABU004</v>
          </cell>
          <cell r="B260" t="str">
            <v>RON ABUELO CENTURIA 750ML X12</v>
          </cell>
          <cell r="C260" t="str">
            <v>KLS</v>
          </cell>
          <cell r="D260" t="str">
            <v>LIC</v>
          </cell>
          <cell r="E260" t="str">
            <v>RON</v>
          </cell>
          <cell r="F260">
            <v>729.54</v>
          </cell>
        </row>
        <row r="261">
          <cell r="A261" t="str">
            <v>ABU015</v>
          </cell>
          <cell r="B261" t="str">
            <v>RON ABUELO XII AÑOS TWO OAKS 750ML X12</v>
          </cell>
          <cell r="C261" t="str">
            <v>KLS</v>
          </cell>
          <cell r="D261" t="str">
            <v>LIC</v>
          </cell>
          <cell r="E261" t="str">
            <v>RON</v>
          </cell>
          <cell r="F261">
            <v>282.92</v>
          </cell>
        </row>
        <row r="262">
          <cell r="A262" t="str">
            <v>ABU014</v>
          </cell>
          <cell r="B262" t="str">
            <v>RON ABUELO AÑEJO 1.75 LT X 6</v>
          </cell>
          <cell r="C262" t="str">
            <v>KLS</v>
          </cell>
          <cell r="D262" t="str">
            <v>LIC</v>
          </cell>
          <cell r="E262" t="str">
            <v>RON</v>
          </cell>
          <cell r="F262">
            <v>85.77</v>
          </cell>
        </row>
        <row r="263">
          <cell r="A263" t="str">
            <v>40001153</v>
          </cell>
          <cell r="B263" t="str">
            <v>R.CARTAVIO GRAN SOLERA 750M6 X 6</v>
          </cell>
          <cell r="C263" t="str">
            <v>CAR</v>
          </cell>
          <cell r="D263" t="str">
            <v>LIC</v>
          </cell>
          <cell r="E263" t="str">
            <v>RON</v>
          </cell>
          <cell r="F263">
            <v>131.34</v>
          </cell>
        </row>
        <row r="264">
          <cell r="A264" t="str">
            <v>40000041</v>
          </cell>
          <cell r="B264" t="str">
            <v>R.CARTAVIO SUPERIOR 750ML X12</v>
          </cell>
          <cell r="C264" t="str">
            <v>CAR</v>
          </cell>
          <cell r="D264" t="str">
            <v>LIC</v>
          </cell>
          <cell r="E264" t="str">
            <v>RON</v>
          </cell>
          <cell r="F264">
            <v>24.51</v>
          </cell>
        </row>
        <row r="265">
          <cell r="A265" t="str">
            <v>5000448</v>
          </cell>
          <cell r="B265" t="str">
            <v>R.KRAKEN BLACK SPICED 750ML X12</v>
          </cell>
          <cell r="C265" t="str">
            <v>CAR</v>
          </cell>
          <cell r="D265" t="str">
            <v>LIC</v>
          </cell>
          <cell r="E265" t="str">
            <v>RON</v>
          </cell>
          <cell r="F265">
            <v>94.52</v>
          </cell>
        </row>
        <row r="266">
          <cell r="A266" t="str">
            <v>40000042</v>
          </cell>
          <cell r="B266" t="str">
            <v>R.CARTAVIO BLACK 750ML X12</v>
          </cell>
          <cell r="C266" t="str">
            <v>CAR</v>
          </cell>
          <cell r="D266" t="str">
            <v>LIC</v>
          </cell>
          <cell r="E266" t="str">
            <v>RON</v>
          </cell>
          <cell r="F266">
            <v>24.52</v>
          </cell>
        </row>
        <row r="267">
          <cell r="A267" t="str">
            <v>40000934</v>
          </cell>
          <cell r="B267" t="str">
            <v>R.CART.SELECTO 5AÑ BLANCO 750ML X12</v>
          </cell>
          <cell r="C267" t="str">
            <v>CAR</v>
          </cell>
          <cell r="D267" t="str">
            <v>LIC</v>
          </cell>
          <cell r="E267" t="str">
            <v>RON</v>
          </cell>
          <cell r="F267">
            <v>28.11</v>
          </cell>
        </row>
        <row r="268">
          <cell r="A268" t="str">
            <v>40000785</v>
          </cell>
          <cell r="B268" t="str">
            <v>R.CARTAVIO RESERVA 750ML X12</v>
          </cell>
          <cell r="C268" t="str">
            <v>CAR</v>
          </cell>
          <cell r="D268" t="str">
            <v>LIC</v>
          </cell>
          <cell r="E268" t="str">
            <v>RON</v>
          </cell>
          <cell r="F268">
            <v>45.97</v>
          </cell>
        </row>
        <row r="269">
          <cell r="A269" t="str">
            <v>40000157</v>
          </cell>
          <cell r="B269" t="str">
            <v>R.CARTAVIO XO 750ML X6</v>
          </cell>
          <cell r="C269" t="str">
            <v>CAR</v>
          </cell>
          <cell r="D269" t="str">
            <v>LIC</v>
          </cell>
          <cell r="E269" t="str">
            <v>RON</v>
          </cell>
          <cell r="F269">
            <v>196.71</v>
          </cell>
        </row>
        <row r="270">
          <cell r="A270" t="str">
            <v>40000055</v>
          </cell>
          <cell r="B270" t="str">
            <v>R.CARTAVIO XO 50ML X120</v>
          </cell>
          <cell r="C270" t="str">
            <v>CAR</v>
          </cell>
          <cell r="D270" t="str">
            <v>LIC</v>
          </cell>
          <cell r="E270" t="str">
            <v>RON</v>
          </cell>
          <cell r="F270">
            <v>17.3</v>
          </cell>
        </row>
        <row r="271">
          <cell r="A271" t="str">
            <v>T200097</v>
          </cell>
          <cell r="B271" t="str">
            <v xml:space="preserve">VINO ORIGEN MALBEC 12 X 750ML </v>
          </cell>
          <cell r="C271" t="str">
            <v>TCM</v>
          </cell>
          <cell r="D271" t="str">
            <v>TCM</v>
          </cell>
          <cell r="E271" t="str">
            <v>VIN</v>
          </cell>
          <cell r="F271">
            <v>68.75</v>
          </cell>
        </row>
        <row r="272">
          <cell r="A272" t="str">
            <v>T200058</v>
          </cell>
          <cell r="B272" t="str">
            <v xml:space="preserve">VINO SELECCION ESPECIAL CARMENERE 12X750ML </v>
          </cell>
          <cell r="C272" t="str">
            <v>TCM</v>
          </cell>
          <cell r="D272" t="str">
            <v>TCM</v>
          </cell>
          <cell r="E272" t="str">
            <v>VIN</v>
          </cell>
          <cell r="F272">
            <v>47.21</v>
          </cell>
        </row>
        <row r="273">
          <cell r="A273" t="str">
            <v>T10030</v>
          </cell>
          <cell r="B273" t="str">
            <v>VINO.ROSE.SEMI.SECO TACAMA 12X750ML</v>
          </cell>
          <cell r="C273" t="str">
            <v>TCM</v>
          </cell>
          <cell r="D273" t="str">
            <v>TCM</v>
          </cell>
          <cell r="E273" t="str">
            <v>VIN</v>
          </cell>
          <cell r="F273">
            <v>15.69</v>
          </cell>
        </row>
        <row r="274">
          <cell r="A274" t="str">
            <v>T10020</v>
          </cell>
          <cell r="B274" t="str">
            <v>VINO.TINTO.SEMI.SECO TACAMA 12X750ML</v>
          </cell>
          <cell r="C274" t="str">
            <v>TCM</v>
          </cell>
          <cell r="D274" t="str">
            <v>TCM</v>
          </cell>
          <cell r="E274" t="str">
            <v>VIN</v>
          </cell>
          <cell r="F274">
            <v>15.69</v>
          </cell>
        </row>
        <row r="275">
          <cell r="A275" t="str">
            <v>T200013</v>
          </cell>
          <cell r="B275" t="str">
            <v xml:space="preserve">VINO DON MNUEL TANNAT 12 X750ML </v>
          </cell>
          <cell r="C275" t="str">
            <v>TCM</v>
          </cell>
          <cell r="D275" t="str">
            <v>TCM</v>
          </cell>
          <cell r="E275" t="str">
            <v>VIN</v>
          </cell>
          <cell r="F275">
            <v>86.9</v>
          </cell>
        </row>
        <row r="276">
          <cell r="A276" t="str">
            <v>T100030</v>
          </cell>
          <cell r="B276" t="str">
            <v xml:space="preserve">VINO BLANCO DE BLANCOS 12X750ML </v>
          </cell>
          <cell r="C276" t="str">
            <v>TCM</v>
          </cell>
          <cell r="D276" t="str">
            <v>TCM</v>
          </cell>
          <cell r="E276" t="str">
            <v>VIN</v>
          </cell>
          <cell r="F276">
            <v>47.21</v>
          </cell>
        </row>
        <row r="277">
          <cell r="A277" t="str">
            <v>T10027</v>
          </cell>
          <cell r="B277" t="str">
            <v>VINO TOÑUZ 12X750ML</v>
          </cell>
          <cell r="C277" t="str">
            <v>TCM</v>
          </cell>
          <cell r="D277" t="str">
            <v>TCM</v>
          </cell>
          <cell r="E277" t="str">
            <v>VIN</v>
          </cell>
          <cell r="F277">
            <v>36.21</v>
          </cell>
        </row>
        <row r="278">
          <cell r="A278" t="str">
            <v>T200006</v>
          </cell>
          <cell r="B278" t="str">
            <v xml:space="preserve">VINO SELECCION ESPECIAL 12X750ML </v>
          </cell>
          <cell r="C278" t="str">
            <v>TCM</v>
          </cell>
          <cell r="D278" t="str">
            <v>TCM</v>
          </cell>
          <cell r="E278" t="str">
            <v>VIN</v>
          </cell>
          <cell r="F278">
            <v>47.21</v>
          </cell>
        </row>
        <row r="279">
          <cell r="A279" t="str">
            <v>T200051</v>
          </cell>
          <cell r="B279" t="str">
            <v>VINO SELECCION ESPECIAL MELBEC 12X750ML</v>
          </cell>
          <cell r="C279" t="str">
            <v>TCM</v>
          </cell>
          <cell r="D279" t="str">
            <v>TCM</v>
          </cell>
          <cell r="E279" t="str">
            <v>VIN</v>
          </cell>
          <cell r="F279">
            <v>42.58</v>
          </cell>
        </row>
        <row r="280">
          <cell r="A280" t="str">
            <v>T200001</v>
          </cell>
          <cell r="B280" t="str">
            <v xml:space="preserve">VINO GRAN TINTO 12X750ML </v>
          </cell>
          <cell r="C280" t="str">
            <v>TCM</v>
          </cell>
          <cell r="D280" t="str">
            <v>TCM</v>
          </cell>
          <cell r="E280" t="str">
            <v>VIN</v>
          </cell>
          <cell r="F280">
            <v>24.96</v>
          </cell>
        </row>
        <row r="281">
          <cell r="A281" t="str">
            <v>AC0482</v>
          </cell>
          <cell r="B281" t="str">
            <v>PIS.4GAL.MOSTO V.QUEBRANTA 700ML X12</v>
          </cell>
          <cell r="C281" t="str">
            <v>COP</v>
          </cell>
          <cell r="D281" t="str">
            <v>BDL</v>
          </cell>
          <cell r="E281" t="str">
            <v>PIS</v>
          </cell>
          <cell r="F281">
            <v>65.23</v>
          </cell>
        </row>
        <row r="282">
          <cell r="A282" t="str">
            <v>AC0488</v>
          </cell>
          <cell r="B282" t="str">
            <v>PIS.4GAL.MOSTO V.ITALIA 700ML X12</v>
          </cell>
          <cell r="C282" t="str">
            <v>COP</v>
          </cell>
          <cell r="D282" t="str">
            <v>BDL</v>
          </cell>
          <cell r="E282" t="str">
            <v>PIS</v>
          </cell>
          <cell r="F282">
            <v>65.23</v>
          </cell>
        </row>
        <row r="283">
          <cell r="A283" t="str">
            <v>AC0468</v>
          </cell>
          <cell r="B283" t="str">
            <v>PIS.P.4GAL.ACHOLADO 2LT X6</v>
          </cell>
          <cell r="C283" t="str">
            <v>COP</v>
          </cell>
          <cell r="D283" t="str">
            <v>BDL</v>
          </cell>
          <cell r="E283" t="str">
            <v>PIS</v>
          </cell>
          <cell r="F283">
            <v>60.73</v>
          </cell>
        </row>
        <row r="284">
          <cell r="A284" t="str">
            <v>AC0462</v>
          </cell>
          <cell r="B284" t="str">
            <v>PIS.MOSTO V.ITALIA C/ART.750ML X6</v>
          </cell>
          <cell r="C284" t="str">
            <v>COP</v>
          </cell>
          <cell r="D284" t="str">
            <v>BDL</v>
          </cell>
          <cell r="E284" t="str">
            <v>PIS</v>
          </cell>
          <cell r="F284">
            <v>78.52</v>
          </cell>
        </row>
        <row r="285">
          <cell r="A285" t="str">
            <v>AC0485</v>
          </cell>
          <cell r="B285" t="str">
            <v>PIS.P.4GAL.QUEBRANTA 700ML X12</v>
          </cell>
          <cell r="C285" t="str">
            <v>COP</v>
          </cell>
          <cell r="D285" t="str">
            <v>BDL</v>
          </cell>
          <cell r="E285" t="str">
            <v>PIS</v>
          </cell>
          <cell r="F285">
            <v>36.79</v>
          </cell>
        </row>
        <row r="286">
          <cell r="A286" t="str">
            <v>AC0483</v>
          </cell>
          <cell r="B286" t="str">
            <v>PIS.P.4GAL.ACHOLADO 700ML X12</v>
          </cell>
          <cell r="C286" t="str">
            <v>COP</v>
          </cell>
          <cell r="D286" t="str">
            <v>BDL</v>
          </cell>
          <cell r="E286" t="str">
            <v>PIS</v>
          </cell>
          <cell r="F286">
            <v>36.79</v>
          </cell>
        </row>
        <row r="287">
          <cell r="A287" t="str">
            <v>AC0459</v>
          </cell>
          <cell r="B287" t="str">
            <v>PIS.MOSTO V.TORONTO C/ART.750ML X6</v>
          </cell>
          <cell r="C287" t="str">
            <v>COP</v>
          </cell>
          <cell r="D287" t="str">
            <v>BDL</v>
          </cell>
          <cell r="E287" t="str">
            <v>PIS</v>
          </cell>
          <cell r="F287">
            <v>78.52</v>
          </cell>
        </row>
        <row r="288">
          <cell r="A288" t="str">
            <v>AC0460</v>
          </cell>
          <cell r="B288" t="str">
            <v>PIS.MOSTO.V.ACHOLADO C/ART.750ML X6</v>
          </cell>
          <cell r="C288" t="str">
            <v>COP</v>
          </cell>
          <cell r="D288" t="str">
            <v>BDL</v>
          </cell>
          <cell r="E288" t="str">
            <v>PIS</v>
          </cell>
          <cell r="F288">
            <v>78.52</v>
          </cell>
        </row>
        <row r="289">
          <cell r="A289" t="str">
            <v>1500100</v>
          </cell>
          <cell r="B289" t="str">
            <v>RON MANDATARIO SOLERA 700ML X12</v>
          </cell>
          <cell r="C289" t="str">
            <v>COP</v>
          </cell>
          <cell r="D289" t="str">
            <v>BDL</v>
          </cell>
          <cell r="E289" t="str">
            <v>PIS</v>
          </cell>
          <cell r="F289">
            <v>66.349999999999994</v>
          </cell>
        </row>
        <row r="290">
          <cell r="A290" t="str">
            <v>AC0461</v>
          </cell>
          <cell r="B290" t="str">
            <v>PIS.MOSTO V.QUEBRANTA C/ART.750ML X6</v>
          </cell>
          <cell r="C290" t="str">
            <v>COP</v>
          </cell>
          <cell r="D290" t="str">
            <v>BDL</v>
          </cell>
          <cell r="E290" t="str">
            <v>PIS</v>
          </cell>
          <cell r="F290">
            <v>78.52</v>
          </cell>
        </row>
        <row r="291">
          <cell r="A291" t="str">
            <v>AC0499</v>
          </cell>
          <cell r="B291" t="str">
            <v>PIS PURO ACHOLADO X700 4GALLOS +2JARR-</v>
          </cell>
          <cell r="C291" t="str">
            <v>COP</v>
          </cell>
          <cell r="D291" t="str">
            <v>BDL</v>
          </cell>
          <cell r="E291" t="str">
            <v>PIS</v>
          </cell>
          <cell r="F291">
            <v>41.5</v>
          </cell>
        </row>
        <row r="292">
          <cell r="A292" t="str">
            <v>AC0484</v>
          </cell>
          <cell r="B292" t="str">
            <v>PIS.P.4GAL.ITALIA 700ML X12</v>
          </cell>
          <cell r="C292" t="str">
            <v>COP</v>
          </cell>
          <cell r="D292" t="str">
            <v>BDL</v>
          </cell>
          <cell r="E292" t="str">
            <v>PIS</v>
          </cell>
          <cell r="F292">
            <v>36.79</v>
          </cell>
        </row>
        <row r="293">
          <cell r="A293" t="str">
            <v>AC0487</v>
          </cell>
          <cell r="B293" t="str">
            <v>PIS.4GAL.MOSTO V.ACHOLADO 700ML X12</v>
          </cell>
          <cell r="C293" t="str">
            <v>COP</v>
          </cell>
          <cell r="D293" t="str">
            <v>BDL</v>
          </cell>
          <cell r="E293" t="str">
            <v>PIS</v>
          </cell>
          <cell r="F293">
            <v>65.23</v>
          </cell>
        </row>
        <row r="294">
          <cell r="A294" t="str">
            <v>CERV05</v>
          </cell>
          <cell r="B294" t="str">
            <v>CERVEZA SAMUEL ADAMS BOT ML X 24</v>
          </cell>
          <cell r="C294" t="str">
            <v>ESM</v>
          </cell>
          <cell r="D294" t="str">
            <v>NUT</v>
          </cell>
          <cell r="E294" t="str">
            <v>CHO</v>
          </cell>
          <cell r="F294">
            <v>16.03</v>
          </cell>
        </row>
        <row r="295">
          <cell r="A295" t="str">
            <v>628892</v>
          </cell>
          <cell r="B295" t="str">
            <v xml:space="preserve">NUTELLA I GO BREADSTICK WITH X 16 UND </v>
          </cell>
          <cell r="C295" t="str">
            <v>ESM</v>
          </cell>
          <cell r="D295" t="str">
            <v>NUT</v>
          </cell>
          <cell r="E295" t="str">
            <v>CHO</v>
          </cell>
          <cell r="F295">
            <v>8.68</v>
          </cell>
        </row>
        <row r="296">
          <cell r="A296" t="str">
            <v>251652</v>
          </cell>
          <cell r="B296" t="str">
            <v>NUTELLA B READY X 36 UNID</v>
          </cell>
          <cell r="C296" t="str">
            <v>ESM</v>
          </cell>
          <cell r="D296" t="str">
            <v>NUT</v>
          </cell>
          <cell r="E296" t="str">
            <v>CHO</v>
          </cell>
          <cell r="F296">
            <v>4.0599999999999996</v>
          </cell>
        </row>
        <row r="297">
          <cell r="A297" t="str">
            <v>11078</v>
          </cell>
          <cell r="B297" t="str">
            <v>LAGUNITAS IPA BOTELLA 354 ML X 12 UN</v>
          </cell>
          <cell r="C297" t="str">
            <v>ESM</v>
          </cell>
          <cell r="D297" t="str">
            <v>NUT</v>
          </cell>
          <cell r="E297" t="str">
            <v>CHO</v>
          </cell>
          <cell r="F297">
            <v>16.03</v>
          </cell>
        </row>
        <row r="298">
          <cell r="A298" t="str">
            <v>FXN687</v>
          </cell>
          <cell r="B298" t="str">
            <v>E/ FREIXT MIA MOSCATO (NARANJA) 750ML X12</v>
          </cell>
          <cell r="C298" t="str">
            <v>KLS</v>
          </cell>
          <cell r="D298" t="str">
            <v>LIC</v>
          </cell>
          <cell r="E298" t="str">
            <v>ESP</v>
          </cell>
          <cell r="F298">
            <v>50.79</v>
          </cell>
        </row>
        <row r="299">
          <cell r="A299" t="str">
            <v>FXN064</v>
          </cell>
          <cell r="B299" t="str">
            <v>E/ FREIXT MIA MOSCATO ROSADO 750ML X12</v>
          </cell>
          <cell r="C299" t="str">
            <v>KLS</v>
          </cell>
          <cell r="D299" t="str">
            <v>LIC</v>
          </cell>
          <cell r="E299" t="str">
            <v>ESP</v>
          </cell>
          <cell r="F299">
            <v>50.79</v>
          </cell>
        </row>
        <row r="300">
          <cell r="A300" t="str">
            <v>FXN046</v>
          </cell>
          <cell r="B300" t="str">
            <v>E/FREIXT C.NEGRO BRUT 750ML+COPA X6</v>
          </cell>
          <cell r="C300" t="str">
            <v>KLS</v>
          </cell>
          <cell r="D300" t="str">
            <v>LIC</v>
          </cell>
          <cell r="E300" t="str">
            <v>ESP</v>
          </cell>
          <cell r="F300">
            <v>50.79</v>
          </cell>
        </row>
        <row r="301">
          <cell r="A301" t="str">
            <v>GUIN01</v>
          </cell>
          <cell r="B301" t="str">
            <v>CERVEZA GUINNESS LATA 440 ML X24 UN</v>
          </cell>
          <cell r="C301" t="str">
            <v>JYA</v>
          </cell>
          <cell r="D301" t="str">
            <v>LIC</v>
          </cell>
          <cell r="E301" t="str">
            <v>OTR</v>
          </cell>
          <cell r="F301">
            <v>16.03</v>
          </cell>
        </row>
        <row r="302">
          <cell r="A302" t="str">
            <v>NMP12</v>
          </cell>
          <cell r="B302" t="str">
            <v>SMIRNOFF ICE PINK LEMONADE BOT X 332ML</v>
          </cell>
          <cell r="C302" t="str">
            <v>JYA</v>
          </cell>
          <cell r="D302" t="str">
            <v>LIC</v>
          </cell>
          <cell r="E302" t="str">
            <v>OTR</v>
          </cell>
          <cell r="F302">
            <v>12.93</v>
          </cell>
        </row>
        <row r="303">
          <cell r="A303" t="str">
            <v>NMP01</v>
          </cell>
          <cell r="B303" t="str">
            <v>JACK DANIEL´S STRAWBERRY PUNCH LATA X 355ML</v>
          </cell>
          <cell r="C303" t="str">
            <v>JYA</v>
          </cell>
          <cell r="D303" t="str">
            <v>LIC</v>
          </cell>
          <cell r="E303" t="str">
            <v>OTR</v>
          </cell>
          <cell r="F303">
            <v>12.93</v>
          </cell>
        </row>
        <row r="304">
          <cell r="A304" t="str">
            <v>CH300617820</v>
          </cell>
          <cell r="B304" t="str">
            <v>MILKA OREO  100G</v>
          </cell>
          <cell r="C304" t="str">
            <v>JYA</v>
          </cell>
          <cell r="D304" t="str">
            <v>LIC</v>
          </cell>
          <cell r="E304" t="str">
            <v>OTR</v>
          </cell>
          <cell r="F304">
            <v>10.27</v>
          </cell>
        </row>
        <row r="305">
          <cell r="A305" t="str">
            <v>CH210262530</v>
          </cell>
          <cell r="B305" t="str">
            <v>MILKA CHIPS AHOY  100G</v>
          </cell>
          <cell r="C305" t="str">
            <v>JYA</v>
          </cell>
          <cell r="D305" t="str">
            <v>LIC</v>
          </cell>
          <cell r="E305" t="str">
            <v>OTR</v>
          </cell>
          <cell r="F305">
            <v>11.9</v>
          </cell>
        </row>
        <row r="306">
          <cell r="A306" t="str">
            <v>NMP16</v>
          </cell>
          <cell r="B306" t="str">
            <v>CERVEZA MODELO ESPECIAL BT 355ML X 12</v>
          </cell>
          <cell r="C306" t="str">
            <v>JYA</v>
          </cell>
          <cell r="D306" t="str">
            <v>LIC</v>
          </cell>
          <cell r="E306" t="str">
            <v>OTR</v>
          </cell>
          <cell r="F306">
            <v>16.03</v>
          </cell>
        </row>
        <row r="307">
          <cell r="A307" t="str">
            <v>CAR001</v>
          </cell>
          <cell r="B307" t="str">
            <v>CARBON FENIX BOLSA X 5 KG</v>
          </cell>
          <cell r="C307" t="str">
            <v>OTR</v>
          </cell>
          <cell r="D307" t="str">
            <v>OTR</v>
          </cell>
          <cell r="E307" t="str">
            <v>OTR</v>
          </cell>
          <cell r="F307">
            <v>26</v>
          </cell>
        </row>
        <row r="308">
          <cell r="A308" t="str">
            <v>CAR002</v>
          </cell>
          <cell r="B308" t="str">
            <v>CARBON FENIX BOLSA X 3 KG</v>
          </cell>
          <cell r="C308" t="str">
            <v>OTR</v>
          </cell>
          <cell r="D308" t="str">
            <v>OTR</v>
          </cell>
          <cell r="E308" t="str">
            <v>OTR</v>
          </cell>
          <cell r="F308">
            <v>19</v>
          </cell>
        </row>
        <row r="309">
          <cell r="A309" t="str">
            <v>SIERR01</v>
          </cell>
          <cell r="B309" t="str">
            <v>SIERRA NEVEDA PALEALE 12BOT X 12OZ</v>
          </cell>
          <cell r="C309" t="str">
            <v>OTR</v>
          </cell>
          <cell r="D309" t="str">
            <v>OTR</v>
          </cell>
          <cell r="E309" t="str">
            <v>OTR</v>
          </cell>
          <cell r="F309">
            <v>16.03</v>
          </cell>
        </row>
        <row r="310">
          <cell r="A310" t="str">
            <v>H100</v>
          </cell>
          <cell r="B310" t="str">
            <v>HIELO 3K AGUA CERO</v>
          </cell>
          <cell r="C310" t="str">
            <v>OTR</v>
          </cell>
          <cell r="D310" t="str">
            <v>OTR</v>
          </cell>
          <cell r="E310" t="str">
            <v>OTR</v>
          </cell>
          <cell r="F310">
            <v>5</v>
          </cell>
        </row>
        <row r="311">
          <cell r="A311" t="str">
            <v>RUT008</v>
          </cell>
          <cell r="B311" t="str">
            <v xml:space="preserve">V/RUTINI  COLECC. MALBEC 750ML X12 </v>
          </cell>
          <cell r="C311" t="str">
            <v>KLS</v>
          </cell>
          <cell r="D311" t="str">
            <v>LIC</v>
          </cell>
          <cell r="E311" t="str">
            <v>VIN</v>
          </cell>
          <cell r="F311">
            <v>168.29</v>
          </cell>
        </row>
        <row r="312">
          <cell r="A312" t="str">
            <v>COU200</v>
          </cell>
          <cell r="B312" t="str">
            <v>V/COUSIÑO MACUL A.RESERV  MERLOT 750ML X12</v>
          </cell>
          <cell r="C312" t="str">
            <v>KLS</v>
          </cell>
          <cell r="D312" t="str">
            <v>LIC</v>
          </cell>
          <cell r="E312" t="str">
            <v>VIN</v>
          </cell>
          <cell r="F312">
            <v>65.77</v>
          </cell>
        </row>
        <row r="313">
          <cell r="A313" t="str">
            <v>NIE797</v>
          </cell>
          <cell r="B313" t="str">
            <v>V.SENETINER CAMILA ROSE DULCE X750ML</v>
          </cell>
          <cell r="C313" t="str">
            <v>KLS</v>
          </cell>
          <cell r="D313" t="str">
            <v>LIC</v>
          </cell>
          <cell r="E313" t="str">
            <v>VIN</v>
          </cell>
          <cell r="F313">
            <v>36.590000000000003</v>
          </cell>
        </row>
        <row r="314">
          <cell r="A314" t="str">
            <v>COU196</v>
          </cell>
          <cell r="B314" t="str">
            <v>V/COUSINO MACUL RESERV.CAB.SAUV 750ML X12</v>
          </cell>
          <cell r="C314" t="str">
            <v>KLS</v>
          </cell>
          <cell r="D314" t="str">
            <v>LIC</v>
          </cell>
          <cell r="E314" t="str">
            <v>VIN</v>
          </cell>
          <cell r="F314">
            <v>65.77</v>
          </cell>
        </row>
        <row r="315">
          <cell r="A315" t="str">
            <v>WIN007</v>
          </cell>
          <cell r="B315" t="str">
            <v>VNO DEMUERTE ONE TINTO 750ML X6</v>
          </cell>
          <cell r="C315" t="str">
            <v>KLS</v>
          </cell>
          <cell r="D315" t="str">
            <v>LIC</v>
          </cell>
          <cell r="E315" t="str">
            <v>VIN</v>
          </cell>
          <cell r="F315">
            <v>56.02</v>
          </cell>
        </row>
        <row r="316">
          <cell r="A316" t="str">
            <v>COU223</v>
          </cell>
          <cell r="B316" t="str">
            <v>V./ COUSIÑO MACUL CAB. SAUVIGN 750ML+ 1 COPA</v>
          </cell>
          <cell r="C316" t="str">
            <v>KLS</v>
          </cell>
          <cell r="D316" t="str">
            <v>LIC</v>
          </cell>
          <cell r="E316" t="str">
            <v>VIN</v>
          </cell>
          <cell r="F316">
            <v>65.77</v>
          </cell>
        </row>
        <row r="317">
          <cell r="A317" t="str">
            <v>NIE766</v>
          </cell>
          <cell r="B317" t="str">
            <v>V/S. D.NICANOR BARREL SELCT MALBC 750ML X12</v>
          </cell>
          <cell r="C317" t="str">
            <v>KLS</v>
          </cell>
          <cell r="D317" t="str">
            <v>LIC</v>
          </cell>
          <cell r="E317" t="str">
            <v>VIN</v>
          </cell>
          <cell r="F317">
            <v>97.63</v>
          </cell>
        </row>
        <row r="318">
          <cell r="A318" t="str">
            <v>COU674</v>
          </cell>
          <cell r="B318" t="str">
            <v>V/COUSIÑO MACUL D.LUIS CARMENERE 750ML X12</v>
          </cell>
          <cell r="C318" t="str">
            <v>KLS</v>
          </cell>
          <cell r="D318" t="str">
            <v>LIC</v>
          </cell>
          <cell r="E318" t="str">
            <v>VIN</v>
          </cell>
          <cell r="F318">
            <v>37.83</v>
          </cell>
        </row>
        <row r="319">
          <cell r="A319" t="str">
            <v>NIE799</v>
          </cell>
          <cell r="B319" t="str">
            <v>V/SENETR CAMILA MALBEC 750ML X12</v>
          </cell>
          <cell r="C319" t="str">
            <v>KLS</v>
          </cell>
          <cell r="D319" t="str">
            <v>LIC</v>
          </cell>
          <cell r="E319" t="str">
            <v>VIN</v>
          </cell>
          <cell r="F319">
            <v>36.590000000000003</v>
          </cell>
        </row>
        <row r="320">
          <cell r="A320" t="str">
            <v>NIE712</v>
          </cell>
          <cell r="B320" t="str">
            <v>V/SENETR DN NICANOR BLEND 750ML X12</v>
          </cell>
          <cell r="C320" t="str">
            <v>KLS</v>
          </cell>
          <cell r="D320" t="str">
            <v>LIC</v>
          </cell>
          <cell r="E320" t="str">
            <v>VIN</v>
          </cell>
          <cell r="F320">
            <v>77.680000000000007</v>
          </cell>
        </row>
        <row r="321">
          <cell r="A321" t="str">
            <v>RUT012</v>
          </cell>
          <cell r="B321" t="str">
            <v>V/RUTINI COLECC.CABERNT SAUVIGN 750ML X12</v>
          </cell>
          <cell r="C321" t="str">
            <v>KLS</v>
          </cell>
          <cell r="D321" t="str">
            <v>LIC</v>
          </cell>
          <cell r="E321" t="str">
            <v>VIN</v>
          </cell>
          <cell r="F321">
            <v>168.29</v>
          </cell>
        </row>
        <row r="322">
          <cell r="A322" t="str">
            <v>40001310</v>
          </cell>
          <cell r="B322" t="str">
            <v>WHISKY OLD TIMES GOLD 750ML X 12</v>
          </cell>
          <cell r="C322" t="str">
            <v>CAR</v>
          </cell>
          <cell r="D322" t="str">
            <v>LIC</v>
          </cell>
          <cell r="E322" t="str">
            <v>WHI</v>
          </cell>
          <cell r="F322">
            <v>23.81</v>
          </cell>
        </row>
        <row r="323">
          <cell r="A323" t="str">
            <v>40000106</v>
          </cell>
          <cell r="B323" t="str">
            <v>WHIS.OLD TIMES BLACK 750ML X12</v>
          </cell>
          <cell r="C323" t="str">
            <v>CAR</v>
          </cell>
          <cell r="D323" t="str">
            <v>LIC</v>
          </cell>
          <cell r="E323" t="str">
            <v>WHI</v>
          </cell>
          <cell r="F323">
            <v>25.24</v>
          </cell>
        </row>
        <row r="324">
          <cell r="A324" t="str">
            <v>40000107</v>
          </cell>
          <cell r="B324" t="str">
            <v>WHIS.OLD TIMES RED 750ML X12</v>
          </cell>
          <cell r="C324" t="str">
            <v>CAR</v>
          </cell>
          <cell r="D324" t="str">
            <v>LIC</v>
          </cell>
          <cell r="E324" t="str">
            <v>WHI</v>
          </cell>
          <cell r="F324">
            <v>22.53</v>
          </cell>
        </row>
        <row r="325">
          <cell r="A325" t="str">
            <v>000123</v>
          </cell>
          <cell r="B325" t="str">
            <v>PISCANO SOUR LIMON 700MLX12</v>
          </cell>
          <cell r="C325" t="str">
            <v>RTD</v>
          </cell>
          <cell r="D325" t="str">
            <v>PIS</v>
          </cell>
          <cell r="E325" t="str">
            <v>PIS</v>
          </cell>
          <cell r="F325">
            <v>18.64</v>
          </cell>
        </row>
        <row r="326">
          <cell r="A326" t="str">
            <v>000150</v>
          </cell>
          <cell r="B326" t="str">
            <v>PISCANO SOUR MANGO 700MLX12</v>
          </cell>
          <cell r="C326" t="str">
            <v>RTD</v>
          </cell>
          <cell r="D326" t="str">
            <v>PIS</v>
          </cell>
          <cell r="E326" t="str">
            <v>PIS</v>
          </cell>
          <cell r="F326">
            <v>18.64</v>
          </cell>
        </row>
        <row r="327">
          <cell r="A327" t="str">
            <v>000154</v>
          </cell>
          <cell r="B327" t="str">
            <v>PISCANO SOUR PIÑA COLADA 700MLX12</v>
          </cell>
          <cell r="C327" t="str">
            <v>RTD</v>
          </cell>
          <cell r="D327" t="str">
            <v>PIS</v>
          </cell>
          <cell r="E327" t="str">
            <v>PIS</v>
          </cell>
          <cell r="F327">
            <v>18.64</v>
          </cell>
        </row>
        <row r="328">
          <cell r="A328" t="str">
            <v>000124</v>
          </cell>
          <cell r="B328" t="str">
            <v>PISCANO SOUR MARACUYA 700MLX12</v>
          </cell>
          <cell r="C328" t="str">
            <v>RTD</v>
          </cell>
          <cell r="D328" t="str">
            <v>PIS</v>
          </cell>
          <cell r="E328" t="str">
            <v>PIS</v>
          </cell>
          <cell r="F328">
            <v>18.64</v>
          </cell>
        </row>
        <row r="329">
          <cell r="A329" t="str">
            <v>V0013</v>
          </cell>
          <cell r="B329" t="str">
            <v>WHIS.GIN HENDRICKS DIV.700ML X6</v>
          </cell>
          <cell r="C329" t="str">
            <v>PRE</v>
          </cell>
          <cell r="D329" t="str">
            <v>HED</v>
          </cell>
          <cell r="E329" t="str">
            <v>WHI</v>
          </cell>
          <cell r="F329">
            <v>135.54</v>
          </cell>
        </row>
        <row r="330">
          <cell r="A330" t="str">
            <v>VIN0114</v>
          </cell>
          <cell r="B330" t="str">
            <v>VINO LUIGI BOSCA MALBEC X 750ML</v>
          </cell>
          <cell r="C330" t="str">
            <v>IWA</v>
          </cell>
          <cell r="D330" t="str">
            <v>LIC</v>
          </cell>
          <cell r="E330" t="str">
            <v>VIN</v>
          </cell>
          <cell r="F330">
            <v>106.14</v>
          </cell>
        </row>
        <row r="331">
          <cell r="A331" t="str">
            <v>VCH0019</v>
          </cell>
          <cell r="B331" t="str">
            <v>CABALLO LOCO GRAN CRU MAIPO ROJO X 750ML</v>
          </cell>
          <cell r="C331" t="str">
            <v>YIC</v>
          </cell>
          <cell r="D331" t="str">
            <v>LIC</v>
          </cell>
          <cell r="E331" t="str">
            <v>VIN</v>
          </cell>
          <cell r="F331">
            <v>208.41</v>
          </cell>
        </row>
        <row r="332">
          <cell r="A332" t="str">
            <v>VCH0018</v>
          </cell>
          <cell r="B332" t="str">
            <v>CABALLO LOCO GRAN CRU SAGRADA FAM. VERDE X 750ML</v>
          </cell>
          <cell r="C332" t="str">
            <v>YIC</v>
          </cell>
          <cell r="D332" t="str">
            <v>LIC</v>
          </cell>
          <cell r="E332" t="str">
            <v>VIN</v>
          </cell>
          <cell r="F332">
            <v>208.41</v>
          </cell>
        </row>
        <row r="333">
          <cell r="A333" t="str">
            <v>VIN0108</v>
          </cell>
          <cell r="B333" t="str">
            <v>VINO LUIGI BOSCA CABERNET SAUVIGNON X 750ML</v>
          </cell>
          <cell r="C333" t="str">
            <v>IWA</v>
          </cell>
          <cell r="D333" t="str">
            <v>LIC</v>
          </cell>
          <cell r="E333" t="str">
            <v>VIN</v>
          </cell>
          <cell r="F333">
            <v>105.8</v>
          </cell>
        </row>
        <row r="334">
          <cell r="A334" t="str">
            <v>VCH0017</v>
          </cell>
          <cell r="B334" t="str">
            <v>CABALLO LOCO GRAN CRU APALTA AZULX 750ML</v>
          </cell>
          <cell r="C334" t="str">
            <v>YIC</v>
          </cell>
          <cell r="D334" t="str">
            <v>LIC</v>
          </cell>
          <cell r="E334" t="str">
            <v>VIN</v>
          </cell>
          <cell r="F334">
            <v>208.41</v>
          </cell>
        </row>
        <row r="335">
          <cell r="A335" t="str">
            <v>LAN001</v>
          </cell>
          <cell r="B335" t="str">
            <v>VINO LAN RESERVA X 750ML</v>
          </cell>
          <cell r="C335" t="str">
            <v>IWA</v>
          </cell>
          <cell r="D335" t="str">
            <v>LIC</v>
          </cell>
          <cell r="E335" t="str">
            <v>VIN</v>
          </cell>
          <cell r="F335">
            <v>113.3</v>
          </cell>
        </row>
        <row r="336">
          <cell r="A336" t="str">
            <v>VIN2536</v>
          </cell>
          <cell r="B336" t="str">
            <v>VINO CABALLO LOCO N19 X 750ML</v>
          </cell>
          <cell r="C336" t="str">
            <v>YIC</v>
          </cell>
          <cell r="D336" t="str">
            <v>LIC</v>
          </cell>
          <cell r="E336" t="str">
            <v>VIN</v>
          </cell>
          <cell r="F336">
            <v>285.02</v>
          </cell>
        </row>
        <row r="337">
          <cell r="A337" t="str">
            <v>VIN2534</v>
          </cell>
          <cell r="B337" t="str">
            <v xml:space="preserve">VINO LUIGI BOSCA DE SANGRE MALBEC X 750ML </v>
          </cell>
          <cell r="C337" t="str">
            <v>IWA</v>
          </cell>
          <cell r="D337" t="str">
            <v>LIC</v>
          </cell>
          <cell r="E337" t="str">
            <v>VIN</v>
          </cell>
          <cell r="F337">
            <v>148.44</v>
          </cell>
        </row>
        <row r="338">
          <cell r="A338" t="str">
            <v>102034</v>
          </cell>
          <cell r="B338" t="str">
            <v>CERV. MODELO LATA 237ML</v>
          </cell>
          <cell r="C338" t="str">
            <v>PBA</v>
          </cell>
          <cell r="D338" t="str">
            <v>CER</v>
          </cell>
          <cell r="E338" t="str">
            <v>LAT</v>
          </cell>
          <cell r="F338">
            <v>10.71</v>
          </cell>
        </row>
        <row r="339">
          <cell r="A339" t="str">
            <v>102031</v>
          </cell>
          <cell r="B339" t="str">
            <v>CERV. PRESIDENTE BOTELLA 355 ML</v>
          </cell>
          <cell r="C339" t="str">
            <v>PBA</v>
          </cell>
          <cell r="D339" t="str">
            <v>CER</v>
          </cell>
          <cell r="E339" t="str">
            <v>LAT</v>
          </cell>
          <cell r="F339">
            <v>16.8</v>
          </cell>
        </row>
        <row r="340">
          <cell r="A340" t="str">
            <v>102033</v>
          </cell>
          <cell r="B340" t="str">
            <v>CERV. MILLER BOTELLA 330 ML</v>
          </cell>
          <cell r="C340" t="str">
            <v>PBA</v>
          </cell>
          <cell r="D340" t="str">
            <v>CER</v>
          </cell>
          <cell r="E340" t="str">
            <v>LAT</v>
          </cell>
          <cell r="F340">
            <v>12.71</v>
          </cell>
        </row>
        <row r="341">
          <cell r="A341" t="str">
            <v>102025</v>
          </cell>
          <cell r="B341" t="str">
            <v>BENEDIKTINER FESTBIER LATA 500 ML</v>
          </cell>
          <cell r="C341" t="str">
            <v>PBA</v>
          </cell>
          <cell r="D341" t="str">
            <v>CER</v>
          </cell>
          <cell r="E341" t="str">
            <v>LAT</v>
          </cell>
          <cell r="F341">
            <v>15.85</v>
          </cell>
        </row>
        <row r="342">
          <cell r="A342" t="str">
            <v>CHA1902</v>
          </cell>
          <cell r="B342" t="str">
            <v>RICCADONNA ESP.MOSCATO 200ML X24</v>
          </cell>
          <cell r="C342" t="str">
            <v>IWA</v>
          </cell>
          <cell r="D342" t="str">
            <v>RIC</v>
          </cell>
          <cell r="E342" t="str">
            <v>PRO</v>
          </cell>
          <cell r="F342">
            <v>22.01</v>
          </cell>
        </row>
        <row r="343">
          <cell r="A343" t="str">
            <v>CHA1901</v>
          </cell>
          <cell r="B343" t="str">
            <v>RICCADONNA ESP.PROSECCO 200ML X24</v>
          </cell>
          <cell r="C343" t="str">
            <v>IWA</v>
          </cell>
          <cell r="D343" t="str">
            <v>RIC</v>
          </cell>
          <cell r="E343" t="str">
            <v>PRO</v>
          </cell>
          <cell r="F343">
            <v>22.01</v>
          </cell>
        </row>
        <row r="344">
          <cell r="A344" t="str">
            <v>0617015</v>
          </cell>
          <cell r="B344" t="str">
            <v>RICCADONNA ESP.PROSECCO 750ML X6</v>
          </cell>
          <cell r="C344" t="str">
            <v>IWA</v>
          </cell>
          <cell r="D344" t="str">
            <v>RIC</v>
          </cell>
          <cell r="E344" t="str">
            <v>PRO</v>
          </cell>
          <cell r="F344">
            <v>63.29</v>
          </cell>
        </row>
        <row r="345">
          <cell r="A345" t="str">
            <v>704656</v>
          </cell>
          <cell r="B345" t="str">
            <v>ESPUMANTE V.VIEJA NAPOLEON MOSCATO ROSE X 750ML</v>
          </cell>
          <cell r="C345" t="str">
            <v>AVV</v>
          </cell>
          <cell r="D345" t="str">
            <v>VIN</v>
          </cell>
          <cell r="E345" t="str">
            <v>VIN</v>
          </cell>
          <cell r="F345">
            <v>10.33</v>
          </cell>
        </row>
        <row r="346">
          <cell r="A346" t="str">
            <v>704422</v>
          </cell>
          <cell r="B346" t="str">
            <v xml:space="preserve">VINO VIÑA VIEJA MALBEC LATA 473ML </v>
          </cell>
          <cell r="C346" t="str">
            <v>AVV</v>
          </cell>
          <cell r="D346" t="str">
            <v>VIN</v>
          </cell>
          <cell r="E346" t="str">
            <v>VIN</v>
          </cell>
          <cell r="F346">
            <v>5.88</v>
          </cell>
        </row>
        <row r="347">
          <cell r="A347" t="str">
            <v>704237</v>
          </cell>
          <cell r="B347" t="str">
            <v xml:space="preserve">VINO VIÑA VIEJA ROSE LATA 473ML </v>
          </cell>
          <cell r="C347" t="str">
            <v>AVV</v>
          </cell>
          <cell r="D347" t="str">
            <v>VIN</v>
          </cell>
          <cell r="E347" t="str">
            <v>VIN</v>
          </cell>
          <cell r="F347">
            <v>5.88</v>
          </cell>
        </row>
        <row r="348">
          <cell r="A348" t="str">
            <v>216001</v>
          </cell>
          <cell r="B348" t="str">
            <v>ESPUMANTE V.VIEJA NAPOLEON MOSCATO BLANCO 750ML</v>
          </cell>
          <cell r="C348" t="str">
            <v>AVV</v>
          </cell>
          <cell r="D348" t="str">
            <v>VIN</v>
          </cell>
          <cell r="E348" t="str">
            <v>VIN</v>
          </cell>
          <cell r="F348">
            <v>10.33</v>
          </cell>
        </row>
        <row r="349">
          <cell r="A349" t="str">
            <v>703444</v>
          </cell>
          <cell r="B349" t="str">
            <v>PACK VIÑA VIEJA ROSE 750ML+ PISCO VARGAS 125ML</v>
          </cell>
          <cell r="C349" t="str">
            <v>AVV</v>
          </cell>
          <cell r="D349" t="str">
            <v>VIN</v>
          </cell>
          <cell r="E349" t="str">
            <v>VIN</v>
          </cell>
          <cell r="F349">
            <v>12.86</v>
          </cell>
        </row>
        <row r="350">
          <cell r="A350" t="str">
            <v>701347</v>
          </cell>
          <cell r="B350" t="str">
            <v>PACK PISCO VARGAS 750ML+ PISCO VARGAS 125ML</v>
          </cell>
          <cell r="C350" t="str">
            <v>AVV</v>
          </cell>
          <cell r="D350" t="str">
            <v>VIN</v>
          </cell>
          <cell r="E350" t="str">
            <v>VIN</v>
          </cell>
          <cell r="F350">
            <v>23.55</v>
          </cell>
        </row>
        <row r="351">
          <cell r="A351" t="str">
            <v>704236</v>
          </cell>
          <cell r="B351" t="str">
            <v>VINO VIÑA VIEJA BORGOÑA LATA 473ML X24</v>
          </cell>
          <cell r="C351" t="str">
            <v>AVV</v>
          </cell>
          <cell r="D351" t="str">
            <v>VIN</v>
          </cell>
          <cell r="E351" t="str">
            <v>VIN</v>
          </cell>
          <cell r="F351">
            <v>5.88</v>
          </cell>
        </row>
        <row r="352">
          <cell r="A352" t="str">
            <v>ENT104</v>
          </cell>
          <cell r="B352" t="str">
            <v>ENTRAÑA FINA ANGUS 0.75KG - 1KG</v>
          </cell>
          <cell r="C352" t="str">
            <v>PRR</v>
          </cell>
          <cell r="D352" t="str">
            <v>SUP</v>
          </cell>
          <cell r="E352" t="str">
            <v>RES</v>
          </cell>
          <cell r="F352">
            <v>115</v>
          </cell>
        </row>
        <row r="353">
          <cell r="A353" t="str">
            <v>403859</v>
          </cell>
          <cell r="B353" t="str">
            <v>BIFE ANGOSTO CHOICE 2U X 300GR</v>
          </cell>
          <cell r="C353" t="str">
            <v>PRR</v>
          </cell>
          <cell r="D353" t="str">
            <v>SUP</v>
          </cell>
          <cell r="E353" t="str">
            <v>RES</v>
          </cell>
          <cell r="F353">
            <v>110</v>
          </cell>
        </row>
        <row r="354">
          <cell r="A354" t="str">
            <v>SUP744</v>
          </cell>
          <cell r="B354" t="str">
            <v xml:space="preserve">TAPA CUADRILCHO AG US 1.9KG 2KG </v>
          </cell>
          <cell r="C354" t="str">
            <v>PRR</v>
          </cell>
          <cell r="D354" t="str">
            <v>SUP</v>
          </cell>
          <cell r="E354" t="str">
            <v>RES</v>
          </cell>
          <cell r="F354">
            <v>285</v>
          </cell>
        </row>
        <row r="355">
          <cell r="A355" t="str">
            <v>COL78</v>
          </cell>
          <cell r="B355" t="str">
            <v>COLITA DE CUADRIL AG US 2.1KG - 2.3KG</v>
          </cell>
          <cell r="C355" t="str">
            <v>PRR</v>
          </cell>
          <cell r="D355" t="str">
            <v>SUP</v>
          </cell>
          <cell r="E355" t="str">
            <v>RES</v>
          </cell>
          <cell r="F355">
            <v>207</v>
          </cell>
        </row>
        <row r="356">
          <cell r="A356" t="str">
            <v>COL76</v>
          </cell>
          <cell r="B356" t="str">
            <v>COLITA DE CUADRIL AG US 1.6KG - 1.8KG</v>
          </cell>
          <cell r="C356" t="str">
            <v>PRR</v>
          </cell>
          <cell r="D356" t="str">
            <v>SUP</v>
          </cell>
          <cell r="E356" t="str">
            <v>RES</v>
          </cell>
          <cell r="F356">
            <v>159</v>
          </cell>
        </row>
        <row r="357">
          <cell r="A357" t="str">
            <v>SUP745</v>
          </cell>
          <cell r="B357" t="str">
            <v>TAPA CUADRILCHO  AG US 2KG - 2.5KG</v>
          </cell>
          <cell r="C357" t="str">
            <v>PRR</v>
          </cell>
          <cell r="D357" t="str">
            <v>SUP</v>
          </cell>
          <cell r="E357" t="str">
            <v>RES</v>
          </cell>
          <cell r="F357">
            <v>305</v>
          </cell>
        </row>
        <row r="358">
          <cell r="A358" t="str">
            <v>COL77</v>
          </cell>
          <cell r="B358" t="str">
            <v>COLITA DE CUADRIL AG US 1.9KG - 2KG</v>
          </cell>
          <cell r="C358" t="str">
            <v>PRR</v>
          </cell>
          <cell r="D358" t="str">
            <v>SUP</v>
          </cell>
          <cell r="E358" t="str">
            <v>RES</v>
          </cell>
          <cell r="F358">
            <v>181</v>
          </cell>
        </row>
        <row r="359">
          <cell r="A359" t="str">
            <v>SUP741</v>
          </cell>
          <cell r="B359" t="str">
            <v xml:space="preserve">TAPA CUADRILCHO AG US 1KG 1.2KG </v>
          </cell>
          <cell r="C359" t="str">
            <v>PRR</v>
          </cell>
          <cell r="D359" t="str">
            <v>SUP</v>
          </cell>
          <cell r="E359" t="str">
            <v>RES</v>
          </cell>
          <cell r="F359">
            <v>169</v>
          </cell>
        </row>
        <row r="360">
          <cell r="A360" t="str">
            <v>SUP743</v>
          </cell>
          <cell r="B360" t="str">
            <v xml:space="preserve">TAPA CUADRILCHO AG US 1.3KG 1.6KG </v>
          </cell>
          <cell r="C360" t="str">
            <v>PRR</v>
          </cell>
          <cell r="D360" t="str">
            <v>SUP</v>
          </cell>
          <cell r="E360" t="str">
            <v>RES</v>
          </cell>
          <cell r="F360">
            <v>215</v>
          </cell>
        </row>
        <row r="361">
          <cell r="A361" t="str">
            <v>404135</v>
          </cell>
          <cell r="B361" t="str">
            <v>ASADO TIRA CHO USA 3U X 750 GR</v>
          </cell>
          <cell r="C361" t="str">
            <v>PRR</v>
          </cell>
          <cell r="D361" t="str">
            <v>SUP</v>
          </cell>
          <cell r="E361" t="str">
            <v>RES</v>
          </cell>
          <cell r="F361">
            <v>158</v>
          </cell>
        </row>
        <row r="362">
          <cell r="A362" t="str">
            <v>COL75</v>
          </cell>
          <cell r="B362" t="str">
            <v>COLITA DE CUADRIL AG US 1.4KG - 1.5KG</v>
          </cell>
          <cell r="C362" t="str">
            <v>PRR</v>
          </cell>
          <cell r="D362" t="str">
            <v>SUP</v>
          </cell>
          <cell r="E362" t="str">
            <v>RES</v>
          </cell>
          <cell r="F362">
            <v>135</v>
          </cell>
        </row>
        <row r="363">
          <cell r="A363" t="str">
            <v>SUP742</v>
          </cell>
          <cell r="B363" t="str">
            <v xml:space="preserve">TAPA CUADRILCHO AG US 1.6KG 1.9KG </v>
          </cell>
          <cell r="C363" t="str">
            <v>PRR</v>
          </cell>
          <cell r="D363" t="str">
            <v>SUP</v>
          </cell>
          <cell r="E363" t="str">
            <v>RES</v>
          </cell>
          <cell r="F363">
            <v>245</v>
          </cell>
        </row>
        <row r="364">
          <cell r="A364" t="str">
            <v>404490P</v>
          </cell>
          <cell r="B364" t="str">
            <v>BIFE ANGOSTO USA CHOICE X900GR 1KG</v>
          </cell>
          <cell r="C364" t="str">
            <v>PRR</v>
          </cell>
          <cell r="D364" t="str">
            <v>SUP</v>
          </cell>
          <cell r="E364" t="str">
            <v>RES</v>
          </cell>
          <cell r="F364">
            <v>175</v>
          </cell>
        </row>
        <row r="365">
          <cell r="A365" t="str">
            <v>PACK08</v>
          </cell>
          <cell r="B365" t="str">
            <v>PACK ENTRÑA F. ANG+CHORIZ MERM RCT+FRONT SWEET SEL</v>
          </cell>
          <cell r="C365" t="str">
            <v>PRR</v>
          </cell>
          <cell r="D365" t="str">
            <v>SUP</v>
          </cell>
          <cell r="E365" t="str">
            <v>RES</v>
          </cell>
          <cell r="F365">
            <v>199.9</v>
          </cell>
        </row>
        <row r="366">
          <cell r="A366" t="str">
            <v>CP002</v>
          </cell>
          <cell r="B366" t="str">
            <v>COCKTAIL DE CAFE PICCOLI 12X750ML</v>
          </cell>
          <cell r="C366" t="str">
            <v>PIC</v>
          </cell>
          <cell r="D366" t="str">
            <v>PIC</v>
          </cell>
          <cell r="E366" t="str">
            <v>CCK</v>
          </cell>
          <cell r="F366">
            <v>24.74</v>
          </cell>
        </row>
        <row r="367">
          <cell r="A367" t="str">
            <v>1203</v>
          </cell>
          <cell r="B367" t="str">
            <v>SAL SALINA PARRILLERA DOYPACK 750GR</v>
          </cell>
          <cell r="C367" t="str">
            <v>K&amp;M</v>
          </cell>
          <cell r="D367" t="str">
            <v>SAL</v>
          </cell>
          <cell r="E367" t="str">
            <v>SAL</v>
          </cell>
          <cell r="F367">
            <v>4.3499999999999996</v>
          </cell>
        </row>
        <row r="368">
          <cell r="A368" t="str">
            <v>26722</v>
          </cell>
          <cell r="B368" t="str">
            <v>RON MEDELLIN 12AÑ 750ML X6</v>
          </cell>
          <cell r="C368" t="str">
            <v>YIC</v>
          </cell>
          <cell r="D368" t="str">
            <v>LIC</v>
          </cell>
          <cell r="E368" t="str">
            <v>MED</v>
          </cell>
          <cell r="F368">
            <v>90.01</v>
          </cell>
        </row>
        <row r="369">
          <cell r="A369" t="str">
            <v>23443</v>
          </cell>
          <cell r="B369" t="str">
            <v>RON MEDELLIN 3AÑ 750ML X12</v>
          </cell>
          <cell r="C369" t="str">
            <v>YIC</v>
          </cell>
          <cell r="D369" t="str">
            <v>LIC</v>
          </cell>
          <cell r="E369" t="str">
            <v>MED</v>
          </cell>
          <cell r="F369">
            <v>29.44</v>
          </cell>
        </row>
        <row r="370">
          <cell r="A370" t="str">
            <v>CHAR04</v>
          </cell>
          <cell r="B370" t="str">
            <v>CHIMICHURRI CLASICO</v>
          </cell>
          <cell r="C370" t="str">
            <v>PRR</v>
          </cell>
          <cell r="D370" t="str">
            <v>CDL</v>
          </cell>
          <cell r="E370" t="str">
            <v>OTR</v>
          </cell>
          <cell r="F370">
            <v>26.9</v>
          </cell>
        </row>
        <row r="371">
          <cell r="A371" t="str">
            <v>CHAR08</v>
          </cell>
          <cell r="B371" t="str">
            <v xml:space="preserve">CH.CERVEZA ARTESANAL </v>
          </cell>
          <cell r="C371" t="str">
            <v>PRR</v>
          </cell>
          <cell r="D371" t="str">
            <v>CDL</v>
          </cell>
          <cell r="E371" t="str">
            <v>OTR</v>
          </cell>
          <cell r="F371">
            <v>42.9</v>
          </cell>
        </row>
        <row r="372">
          <cell r="A372" t="str">
            <v>CHAR07</v>
          </cell>
          <cell r="B372" t="str">
            <v xml:space="preserve">CH. FINAS HIERBAS </v>
          </cell>
          <cell r="C372" t="str">
            <v>PRR</v>
          </cell>
          <cell r="D372" t="str">
            <v>CDL</v>
          </cell>
          <cell r="E372" t="str">
            <v>OTR</v>
          </cell>
          <cell r="F372">
            <v>42.9</v>
          </cell>
        </row>
        <row r="373">
          <cell r="A373" t="str">
            <v>CHAR09</v>
          </cell>
          <cell r="B373" t="str">
            <v>CH.ORIENTAL</v>
          </cell>
          <cell r="C373" t="str">
            <v>PRR</v>
          </cell>
          <cell r="D373" t="str">
            <v>CDL</v>
          </cell>
          <cell r="E373" t="str">
            <v>OTR</v>
          </cell>
          <cell r="F373">
            <v>42.9</v>
          </cell>
        </row>
        <row r="374">
          <cell r="A374" t="str">
            <v>CHAR15</v>
          </cell>
          <cell r="B374" t="str">
            <v>CHORIZO MIEL DE MAPLE</v>
          </cell>
          <cell r="C374" t="str">
            <v>PRR</v>
          </cell>
          <cell r="D374" t="str">
            <v>CDL</v>
          </cell>
          <cell r="E374" t="str">
            <v>OTR</v>
          </cell>
          <cell r="F374">
            <v>42.9</v>
          </cell>
        </row>
        <row r="375">
          <cell r="A375" t="str">
            <v>CHAR01</v>
          </cell>
          <cell r="B375" t="str">
            <v xml:space="preserve">MIX CHARCUTERO </v>
          </cell>
          <cell r="C375" t="str">
            <v>PRR</v>
          </cell>
          <cell r="D375" t="str">
            <v>CDL</v>
          </cell>
          <cell r="E375" t="str">
            <v>OTR</v>
          </cell>
          <cell r="F375">
            <v>58</v>
          </cell>
        </row>
        <row r="376">
          <cell r="A376" t="str">
            <v>CHAR10</v>
          </cell>
          <cell r="B376" t="str">
            <v>CH.ARTESANAL PARRILLERO</v>
          </cell>
          <cell r="C376" t="str">
            <v>PRR</v>
          </cell>
          <cell r="D376" t="str">
            <v>CDL</v>
          </cell>
          <cell r="E376" t="str">
            <v>OTR</v>
          </cell>
          <cell r="F376">
            <v>42.9</v>
          </cell>
        </row>
        <row r="377">
          <cell r="A377" t="str">
            <v>CHAR17</v>
          </cell>
          <cell r="B377" t="str">
            <v xml:space="preserve">CHIMICHUMRRI X 475 GR </v>
          </cell>
          <cell r="C377" t="str">
            <v>PRR</v>
          </cell>
          <cell r="D377" t="str">
            <v>CDL</v>
          </cell>
          <cell r="E377" t="str">
            <v>OTR</v>
          </cell>
          <cell r="F377">
            <v>34.9</v>
          </cell>
        </row>
        <row r="378">
          <cell r="A378" t="str">
            <v>669</v>
          </cell>
          <cell r="B378" t="str">
            <v>PISCO SOL/T QUEBRANTA 4L X 4</v>
          </cell>
          <cell r="C378" t="str">
            <v>EXC</v>
          </cell>
          <cell r="D378" t="str">
            <v>LIC</v>
          </cell>
          <cell r="E378" t="str">
            <v>PIS</v>
          </cell>
          <cell r="F378">
            <v>72.599999999999994</v>
          </cell>
        </row>
        <row r="379">
          <cell r="A379" t="str">
            <v>10033150</v>
          </cell>
          <cell r="B379" t="str">
            <v>GIN GREENALLS BLOOD ORANGE GIN 700ML X 6</v>
          </cell>
          <cell r="C379" t="str">
            <v>RPD</v>
          </cell>
          <cell r="D379" t="str">
            <v>OTR</v>
          </cell>
          <cell r="E379" t="str">
            <v>WHI</v>
          </cell>
          <cell r="F379">
            <v>69.930000000000007</v>
          </cell>
        </row>
        <row r="380">
          <cell r="A380" t="str">
            <v>10039840</v>
          </cell>
          <cell r="B380" t="str">
            <v>PACK GREENALLS LONDON DRY GIN + WILD BERRY GIN</v>
          </cell>
          <cell r="C380" t="str">
            <v>RPD</v>
          </cell>
          <cell r="D380" t="str">
            <v>OTR</v>
          </cell>
          <cell r="E380" t="str">
            <v>WHI</v>
          </cell>
          <cell r="F380">
            <v>143.16999999999999</v>
          </cell>
        </row>
        <row r="381">
          <cell r="A381" t="str">
            <v>L171</v>
          </cell>
          <cell r="B381" t="str">
            <v xml:space="preserve">CAFETERA MOKA ITAL CARMENCITA POP LAVAZZA </v>
          </cell>
          <cell r="C381" t="str">
            <v>PAN</v>
          </cell>
          <cell r="D381" t="str">
            <v>PAN</v>
          </cell>
          <cell r="E381" t="str">
            <v>CAF</v>
          </cell>
          <cell r="F381">
            <v>252.18</v>
          </cell>
        </row>
        <row r="382">
          <cell r="A382" t="str">
            <v>L7006</v>
          </cell>
          <cell r="B382" t="str">
            <v>CAFE ESPRESSO MAESTRO RISTRETO X 10CAPS -LAVAZZA</v>
          </cell>
          <cell r="C382" t="str">
            <v>PAN</v>
          </cell>
          <cell r="D382" t="str">
            <v>PAN</v>
          </cell>
          <cell r="E382" t="str">
            <v>CAF</v>
          </cell>
          <cell r="F382">
            <v>32.520000000000003</v>
          </cell>
        </row>
        <row r="383">
          <cell r="A383" t="str">
            <v>T5011</v>
          </cell>
          <cell r="B383" t="str">
            <v>TEQ.DON JULIO REPOSADO 750ML X 6</v>
          </cell>
          <cell r="C383" t="str">
            <v>IWA</v>
          </cell>
          <cell r="D383" t="str">
            <v>TEQ</v>
          </cell>
          <cell r="E383" t="str">
            <v>RUB</v>
          </cell>
          <cell r="F383">
            <v>464.71</v>
          </cell>
        </row>
        <row r="384">
          <cell r="A384" t="str">
            <v>AC20038</v>
          </cell>
          <cell r="B384" t="str">
            <v>VINO ROSE 2VASOS SEMI SECO 750ML X6</v>
          </cell>
          <cell r="C384" t="str">
            <v>COP</v>
          </cell>
          <cell r="D384" t="str">
            <v>COP</v>
          </cell>
          <cell r="E384" t="str">
            <v>VIN</v>
          </cell>
          <cell r="F384">
            <v>30.47</v>
          </cell>
        </row>
        <row r="385">
          <cell r="A385" t="str">
            <v>AC20036</v>
          </cell>
          <cell r="B385" t="str">
            <v>VINO BORGOÑA PACK 750ML+2V X6</v>
          </cell>
          <cell r="C385" t="str">
            <v>COP</v>
          </cell>
          <cell r="D385" t="str">
            <v>COP</v>
          </cell>
          <cell r="E385" t="str">
            <v>VIN</v>
          </cell>
          <cell r="F385">
            <v>30.48</v>
          </cell>
        </row>
        <row r="386">
          <cell r="A386" t="str">
            <v>AC0353</v>
          </cell>
          <cell r="B386" t="str">
            <v>VINO BORGOÑA ABOCADO 750ML X12</v>
          </cell>
          <cell r="C386" t="str">
            <v>COP</v>
          </cell>
          <cell r="D386" t="str">
            <v>COP</v>
          </cell>
          <cell r="E386" t="str">
            <v>VIN</v>
          </cell>
          <cell r="F386">
            <v>12.06</v>
          </cell>
        </row>
        <row r="387">
          <cell r="A387" t="str">
            <v>010023</v>
          </cell>
          <cell r="B387" t="str">
            <v>VINO PATRONAL CARMENERE X750ML X6</v>
          </cell>
          <cell r="C387" t="str">
            <v>COP</v>
          </cell>
          <cell r="D387" t="str">
            <v>COP</v>
          </cell>
          <cell r="E387" t="str">
            <v>VIN</v>
          </cell>
          <cell r="F387">
            <v>70.19</v>
          </cell>
        </row>
        <row r="388">
          <cell r="A388" t="str">
            <v>AC0354</v>
          </cell>
          <cell r="B388" t="str">
            <v>VINO ROSE SEMI SECO 750ML X12</v>
          </cell>
          <cell r="C388" t="str">
            <v>COP</v>
          </cell>
          <cell r="D388" t="str">
            <v>COP</v>
          </cell>
          <cell r="E388" t="str">
            <v>VIN</v>
          </cell>
          <cell r="F388">
            <v>12.06</v>
          </cell>
        </row>
        <row r="389">
          <cell r="A389" t="str">
            <v>197314</v>
          </cell>
          <cell r="B389" t="str">
            <v>RON VIEJO DE CALDAS 8 AÑOS X750</v>
          </cell>
          <cell r="C389" t="str">
            <v>PFA</v>
          </cell>
          <cell r="D389" t="str">
            <v>LIC</v>
          </cell>
          <cell r="E389" t="str">
            <v>RON</v>
          </cell>
          <cell r="F389">
            <v>46.02</v>
          </cell>
        </row>
        <row r="390">
          <cell r="A390" t="str">
            <v>0617013</v>
          </cell>
          <cell r="B390" t="str">
            <v>RICCADONNA ESP.ASTI 750ML X6</v>
          </cell>
          <cell r="C390" t="str">
            <v>IWA</v>
          </cell>
          <cell r="D390" t="str">
            <v>RIC</v>
          </cell>
          <cell r="E390" t="str">
            <v>AST</v>
          </cell>
          <cell r="F390">
            <v>63.29</v>
          </cell>
        </row>
        <row r="391">
          <cell r="A391" t="str">
            <v>T100020</v>
          </cell>
          <cell r="B391" t="str">
            <v xml:space="preserve">ESPUMOSO SEMI SECO TACAMA 2019 / 12X750ML </v>
          </cell>
          <cell r="C391" t="str">
            <v>TCM</v>
          </cell>
          <cell r="D391" t="str">
            <v>TCM</v>
          </cell>
          <cell r="E391" t="str">
            <v>VIN</v>
          </cell>
          <cell r="F391">
            <v>36.299999999999997</v>
          </cell>
        </row>
        <row r="392">
          <cell r="A392" t="str">
            <v>T30013</v>
          </cell>
          <cell r="B392" t="str">
            <v xml:space="preserve">GRAN DEMONIO QUEBRANTA  6X500ML </v>
          </cell>
          <cell r="C392" t="str">
            <v>TCM</v>
          </cell>
          <cell r="D392" t="str">
            <v>TCM</v>
          </cell>
          <cell r="E392" t="str">
            <v>VIN</v>
          </cell>
          <cell r="F392">
            <v>60.27</v>
          </cell>
        </row>
        <row r="393">
          <cell r="A393" t="str">
            <v>102026</v>
          </cell>
          <cell r="B393" t="str">
            <v>BENEDIKTINER FESTBIER BARRIL 5 L</v>
          </cell>
          <cell r="C393" t="str">
            <v>PBA</v>
          </cell>
          <cell r="D393" t="str">
            <v>CER</v>
          </cell>
          <cell r="E393" t="str">
            <v>BAR</v>
          </cell>
          <cell r="F393">
            <v>166.54</v>
          </cell>
        </row>
        <row r="394">
          <cell r="A394" t="str">
            <v>102028</v>
          </cell>
          <cell r="B394" t="str">
            <v>CERV. BITBURGER BARRIL 5 L</v>
          </cell>
          <cell r="C394" t="str">
            <v>PBA</v>
          </cell>
          <cell r="D394" t="str">
            <v>CER</v>
          </cell>
          <cell r="E394" t="str">
            <v>BAR</v>
          </cell>
          <cell r="F394">
            <v>166.54</v>
          </cell>
        </row>
        <row r="395">
          <cell r="A395" t="str">
            <v>40000108</v>
          </cell>
          <cell r="B395" t="str">
            <v>VODKA RUSSKAYA 750ML X12</v>
          </cell>
          <cell r="C395" t="str">
            <v>CAR</v>
          </cell>
          <cell r="D395" t="str">
            <v>LIC</v>
          </cell>
          <cell r="E395" t="str">
            <v>VDK</v>
          </cell>
          <cell r="F395">
            <v>22.88</v>
          </cell>
        </row>
        <row r="396">
          <cell r="A396" t="str">
            <v>DIS0276</v>
          </cell>
          <cell r="B396" t="str">
            <v>PALMITOS ENTEROS 280GR X12 FCO</v>
          </cell>
          <cell r="C396" t="str">
            <v>GCP</v>
          </cell>
          <cell r="D396" t="str">
            <v>OTR</v>
          </cell>
          <cell r="E396" t="str">
            <v>OTR</v>
          </cell>
          <cell r="F396">
            <v>15.28</v>
          </cell>
        </row>
        <row r="397">
          <cell r="A397" t="str">
            <v>700001</v>
          </cell>
          <cell r="B397" t="str">
            <v>PACK PISCO VARGAS QEBRT 750ML+JAR DE GOMA</v>
          </cell>
          <cell r="C397" t="str">
            <v>AVV</v>
          </cell>
          <cell r="D397" t="str">
            <v>PIS</v>
          </cell>
          <cell r="E397" t="str">
            <v>VRG</v>
          </cell>
          <cell r="F397">
            <v>33.04</v>
          </cell>
        </row>
        <row r="398">
          <cell r="A398" t="str">
            <v>PAR0000014</v>
          </cell>
          <cell r="B398" t="str">
            <v>BRAZA MECHEROS X UND.</v>
          </cell>
          <cell r="C398" t="str">
            <v>GCC</v>
          </cell>
          <cell r="D398" t="str">
            <v>GCC</v>
          </cell>
          <cell r="E398" t="str">
            <v>GCC</v>
          </cell>
          <cell r="F398">
            <v>1.05</v>
          </cell>
        </row>
        <row r="399">
          <cell r="A399" t="str">
            <v>HAMB70</v>
          </cell>
          <cell r="B399" t="str">
            <v>MINI HAMBURGUESA DE RES 600GR X 12</v>
          </cell>
          <cell r="C399" t="str">
            <v>PRR</v>
          </cell>
          <cell r="D399" t="str">
            <v>OFD</v>
          </cell>
          <cell r="E399" t="str">
            <v>OTR</v>
          </cell>
          <cell r="F399">
            <v>34.9</v>
          </cell>
        </row>
        <row r="400">
          <cell r="A400" t="str">
            <v>SQ005</v>
          </cell>
          <cell r="B400" t="str">
            <v>S.Q. CHAMP.PRIMADONNA X750MLX12</v>
          </cell>
          <cell r="C400" t="str">
            <v>SQL</v>
          </cell>
          <cell r="D400" t="str">
            <v>SQL</v>
          </cell>
          <cell r="E400" t="str">
            <v>ESP</v>
          </cell>
          <cell r="F400">
            <v>19.16</v>
          </cell>
        </row>
        <row r="401">
          <cell r="A401" t="str">
            <v>04039</v>
          </cell>
          <cell r="B401" t="str">
            <v>RON PLANTATION ORIGINAL DARK 1LT X6</v>
          </cell>
          <cell r="C401" t="str">
            <v>PAN</v>
          </cell>
          <cell r="D401" t="str">
            <v>PAN</v>
          </cell>
          <cell r="E401" t="str">
            <v>RON</v>
          </cell>
          <cell r="F401">
            <v>97.21</v>
          </cell>
        </row>
        <row r="402">
          <cell r="A402" t="str">
            <v>04019</v>
          </cell>
          <cell r="B402" t="str">
            <v>RON PLANTATION OVERPROOF 69% 1LT X 6</v>
          </cell>
          <cell r="C402" t="str">
            <v>PAN</v>
          </cell>
          <cell r="D402" t="str">
            <v>PAN</v>
          </cell>
          <cell r="E402" t="str">
            <v>RON</v>
          </cell>
          <cell r="F402">
            <v>173.63</v>
          </cell>
        </row>
        <row r="403">
          <cell r="A403" t="str">
            <v>20006</v>
          </cell>
          <cell r="B403" t="str">
            <v>RON MYERS ORIGINAL DARK 750MLX 6</v>
          </cell>
          <cell r="C403" t="str">
            <v>PAN</v>
          </cell>
          <cell r="D403" t="str">
            <v>PAN</v>
          </cell>
          <cell r="E403" t="str">
            <v>RON</v>
          </cell>
          <cell r="F403">
            <v>50.67</v>
          </cell>
        </row>
        <row r="404">
          <cell r="A404" t="str">
            <v>209048</v>
          </cell>
          <cell r="B404" t="str">
            <v xml:space="preserve">JR. FOUR LOKO GOLD LATA 473ML X24 </v>
          </cell>
          <cell r="C404" t="str">
            <v>4LO</v>
          </cell>
          <cell r="D404" t="str">
            <v>FOU</v>
          </cell>
          <cell r="E404" t="str">
            <v>FOU</v>
          </cell>
          <cell r="F404">
            <v>9.1</v>
          </cell>
        </row>
        <row r="405">
          <cell r="A405" t="str">
            <v>269051</v>
          </cell>
          <cell r="B405" t="str">
            <v xml:space="preserve">JR. FOUR LOKO PONCHE DE FRUTAS LATA 473ML X24 </v>
          </cell>
          <cell r="C405" t="str">
            <v>4LO</v>
          </cell>
          <cell r="D405" t="str">
            <v>FOU</v>
          </cell>
          <cell r="E405" t="str">
            <v>FOU</v>
          </cell>
          <cell r="F405">
            <v>9.1</v>
          </cell>
        </row>
        <row r="406">
          <cell r="A406" t="str">
            <v>269049</v>
          </cell>
          <cell r="B406" t="str">
            <v>JR. FOUR LOKO BLUE LATA 473ML X24</v>
          </cell>
          <cell r="C406" t="str">
            <v>4LO</v>
          </cell>
          <cell r="D406" t="str">
            <v>FOU</v>
          </cell>
          <cell r="E406" t="str">
            <v>FOU</v>
          </cell>
          <cell r="F406">
            <v>9.1</v>
          </cell>
        </row>
        <row r="407">
          <cell r="A407" t="str">
            <v>4981612</v>
          </cell>
          <cell r="B407" t="str">
            <v xml:space="preserve">JR. FOUR LOKO WHITE 473ML X24 </v>
          </cell>
          <cell r="C407" t="str">
            <v>4LO</v>
          </cell>
          <cell r="D407" t="str">
            <v>FOU</v>
          </cell>
          <cell r="E407" t="str">
            <v>FOU</v>
          </cell>
          <cell r="F407">
            <v>9.1</v>
          </cell>
        </row>
        <row r="408">
          <cell r="A408" t="str">
            <v>269002</v>
          </cell>
          <cell r="B408" t="str">
            <v>JR. FOUR LOKO SANDIA LATA 473ML X24</v>
          </cell>
          <cell r="C408" t="str">
            <v>4LO</v>
          </cell>
          <cell r="D408" t="str">
            <v>FOU</v>
          </cell>
          <cell r="E408" t="str">
            <v>FOU</v>
          </cell>
          <cell r="F408">
            <v>9.1</v>
          </cell>
        </row>
        <row r="409">
          <cell r="A409" t="str">
            <v>269050</v>
          </cell>
          <cell r="B409" t="str">
            <v>JR. FOUR LOKO GREEN LATA 473ML X24</v>
          </cell>
          <cell r="C409" t="str">
            <v>4LO</v>
          </cell>
          <cell r="D409" t="str">
            <v>FOU</v>
          </cell>
          <cell r="E409" t="str">
            <v>FOU</v>
          </cell>
          <cell r="F409">
            <v>9.1</v>
          </cell>
        </row>
        <row r="410">
          <cell r="A410" t="str">
            <v>4980600</v>
          </cell>
          <cell r="B410" t="str">
            <v>JR. FOUR LOKO MARACUYA LATA 473ML X24</v>
          </cell>
          <cell r="C410" t="str">
            <v>4LO</v>
          </cell>
          <cell r="D410" t="str">
            <v>FOU</v>
          </cell>
          <cell r="E410" t="str">
            <v>FOU</v>
          </cell>
          <cell r="F410">
            <v>9.1</v>
          </cell>
        </row>
        <row r="411">
          <cell r="A411" t="str">
            <v>269026</v>
          </cell>
          <cell r="B411" t="str">
            <v>JR. FOUR LOKO PURPLE LATA 473ML X24</v>
          </cell>
          <cell r="C411" t="str">
            <v>4LO</v>
          </cell>
          <cell r="D411" t="str">
            <v>FOU</v>
          </cell>
          <cell r="E411" t="str">
            <v>FOU</v>
          </cell>
          <cell r="F411">
            <v>9.1</v>
          </cell>
        </row>
        <row r="412">
          <cell r="A412" t="str">
            <v>184359</v>
          </cell>
          <cell r="B412" t="str">
            <v>TRAPICHE BROQUEL MALBEC 750ML X 6</v>
          </cell>
          <cell r="C412" t="str">
            <v>PFA</v>
          </cell>
          <cell r="D412" t="str">
            <v>LIC</v>
          </cell>
          <cell r="E412" t="str">
            <v>NCO</v>
          </cell>
          <cell r="F412">
            <v>58.8</v>
          </cell>
        </row>
        <row r="413">
          <cell r="A413" t="str">
            <v>198910</v>
          </cell>
          <cell r="B413" t="str">
            <v>PF.NC CP CHARDONNAY 750ML X6</v>
          </cell>
          <cell r="C413" t="str">
            <v>PFA</v>
          </cell>
          <cell r="D413" t="str">
            <v>LIC</v>
          </cell>
          <cell r="E413" t="str">
            <v>NCO</v>
          </cell>
          <cell r="F413">
            <v>47.63</v>
          </cell>
        </row>
        <row r="414">
          <cell r="A414" t="str">
            <v>140610</v>
          </cell>
          <cell r="B414" t="str">
            <v>HERED.D.MARQ/RISCAL RESERVA 750ML X12</v>
          </cell>
          <cell r="C414" t="str">
            <v>PFA</v>
          </cell>
          <cell r="D414" t="str">
            <v>LIC</v>
          </cell>
          <cell r="E414" t="str">
            <v>NCO</v>
          </cell>
          <cell r="F414">
            <v>102.97</v>
          </cell>
        </row>
        <row r="415">
          <cell r="A415" t="str">
            <v>177352</v>
          </cell>
          <cell r="B415" t="str">
            <v>PF.NC DULCET SPARKLING 750ML X6</v>
          </cell>
          <cell r="C415" t="str">
            <v>PFA</v>
          </cell>
          <cell r="D415" t="str">
            <v>LIC</v>
          </cell>
          <cell r="E415" t="str">
            <v>NCO</v>
          </cell>
          <cell r="F415">
            <v>46.56</v>
          </cell>
        </row>
        <row r="416">
          <cell r="A416" t="str">
            <v>238501</v>
          </cell>
          <cell r="B416" t="str">
            <v>EVIAN AGUA 330ML S/GAS VIDRIO T/PLOMA</v>
          </cell>
          <cell r="C416" t="str">
            <v>PFA</v>
          </cell>
          <cell r="D416" t="str">
            <v>LIC</v>
          </cell>
          <cell r="E416" t="str">
            <v>NCO</v>
          </cell>
          <cell r="F416">
            <v>6.94</v>
          </cell>
        </row>
        <row r="417">
          <cell r="A417" t="str">
            <v>177303</v>
          </cell>
          <cell r="B417" t="str">
            <v>PF.NC LOS ARBOLES RED BLEND 750ML X6</v>
          </cell>
          <cell r="C417" t="str">
            <v>PFA</v>
          </cell>
          <cell r="D417" t="str">
            <v>LIC</v>
          </cell>
          <cell r="E417" t="str">
            <v>NCO</v>
          </cell>
          <cell r="F417">
            <v>24.9</v>
          </cell>
        </row>
        <row r="418">
          <cell r="A418" t="str">
            <v>140635</v>
          </cell>
          <cell r="B418" t="str">
            <v>HERED.D.MARQ/TEMPRANILLO 750ML X12</v>
          </cell>
          <cell r="C418" t="str">
            <v>PFA</v>
          </cell>
          <cell r="D418" t="str">
            <v>LIC</v>
          </cell>
          <cell r="E418" t="str">
            <v>NCO</v>
          </cell>
          <cell r="F418">
            <v>49.56</v>
          </cell>
        </row>
        <row r="419">
          <cell r="A419" t="str">
            <v>177325</v>
          </cell>
          <cell r="B419" t="str">
            <v>NC LOS ARBOLES CABERN SUAVIGNON 750ML X6</v>
          </cell>
          <cell r="C419" t="str">
            <v>PFA</v>
          </cell>
          <cell r="D419" t="str">
            <v>LIC</v>
          </cell>
          <cell r="E419" t="str">
            <v>NCO</v>
          </cell>
          <cell r="F419">
            <v>26.74</v>
          </cell>
        </row>
        <row r="420">
          <cell r="A420" t="str">
            <v>198870</v>
          </cell>
          <cell r="B420" t="str">
            <v>PF.NC CP MALBEC 750ML X6</v>
          </cell>
          <cell r="C420" t="str">
            <v>PFA</v>
          </cell>
          <cell r="D420" t="str">
            <v>LIC</v>
          </cell>
          <cell r="E420" t="str">
            <v>NCO</v>
          </cell>
          <cell r="F420">
            <v>47.63</v>
          </cell>
        </row>
        <row r="421">
          <cell r="A421" t="str">
            <v>198950</v>
          </cell>
          <cell r="B421" t="str">
            <v>PF.NC CP CABER.SAUVIG 750ML X6</v>
          </cell>
          <cell r="C421" t="str">
            <v>PFA</v>
          </cell>
          <cell r="D421" t="str">
            <v>LIC</v>
          </cell>
          <cell r="E421" t="str">
            <v>NCO</v>
          </cell>
          <cell r="F421">
            <v>47.63</v>
          </cell>
        </row>
        <row r="422">
          <cell r="A422" t="str">
            <v>198960</v>
          </cell>
          <cell r="B422" t="str">
            <v>PF.NC CP MERLOT 750ML X6</v>
          </cell>
          <cell r="C422" t="str">
            <v>PFA</v>
          </cell>
          <cell r="D422" t="str">
            <v>LIC</v>
          </cell>
          <cell r="E422" t="str">
            <v>NCO</v>
          </cell>
          <cell r="F422">
            <v>47.63</v>
          </cell>
        </row>
        <row r="423">
          <cell r="A423" t="str">
            <v>198850</v>
          </cell>
          <cell r="B423" t="str">
            <v>PF.NC CP BLEND 750ML X6</v>
          </cell>
          <cell r="C423" t="str">
            <v>PFA</v>
          </cell>
          <cell r="D423" t="str">
            <v>LIC</v>
          </cell>
          <cell r="E423" t="str">
            <v>NCO</v>
          </cell>
          <cell r="F423">
            <v>47.63</v>
          </cell>
        </row>
        <row r="424">
          <cell r="A424" t="str">
            <v>177305</v>
          </cell>
          <cell r="B424" t="str">
            <v>NC LOS ARBOLES CABERN  MALBEC 750ML X6</v>
          </cell>
          <cell r="C424" t="str">
            <v>PFA</v>
          </cell>
          <cell r="D424" t="str">
            <v>LIC</v>
          </cell>
          <cell r="E424" t="str">
            <v>NCO</v>
          </cell>
          <cell r="F424">
            <v>26.74</v>
          </cell>
        </row>
        <row r="425">
          <cell r="A425" t="str">
            <v>199185</v>
          </cell>
          <cell r="B425" t="str">
            <v>PF.NC CP ROSADO 750ML X6</v>
          </cell>
          <cell r="C425" t="str">
            <v>PFA</v>
          </cell>
          <cell r="D425" t="str">
            <v>LIC</v>
          </cell>
          <cell r="E425" t="str">
            <v>NCO</v>
          </cell>
          <cell r="F425">
            <v>47.63</v>
          </cell>
        </row>
        <row r="426">
          <cell r="A426" t="str">
            <v>198720</v>
          </cell>
          <cell r="B426" t="str">
            <v>PF.NC ALEG.CABERNET SAUVIG.750ML X6</v>
          </cell>
          <cell r="C426" t="str">
            <v>PFA</v>
          </cell>
          <cell r="D426" t="str">
            <v>LIC</v>
          </cell>
          <cell r="E426" t="str">
            <v>NCO</v>
          </cell>
          <cell r="F426">
            <v>99.3</v>
          </cell>
        </row>
        <row r="427">
          <cell r="A427" t="str">
            <v>184360</v>
          </cell>
          <cell r="B427" t="str">
            <v>TRAPICHE BROQUEL CAB.SAUV 750ML X 6</v>
          </cell>
          <cell r="C427" t="str">
            <v>PFA</v>
          </cell>
          <cell r="D427" t="str">
            <v>LIC</v>
          </cell>
          <cell r="E427" t="str">
            <v>NCO</v>
          </cell>
          <cell r="F427">
            <v>58.8</v>
          </cell>
        </row>
        <row r="428">
          <cell r="A428" t="str">
            <v>184361</v>
          </cell>
          <cell r="B428" t="str">
            <v>TRAPICHE BROQUEL CAB.FRANC 750ML X 6</v>
          </cell>
          <cell r="C428" t="str">
            <v>PFA</v>
          </cell>
          <cell r="D428" t="str">
            <v>LIC</v>
          </cell>
          <cell r="E428" t="str">
            <v>NCO</v>
          </cell>
          <cell r="F428">
            <v>58.8</v>
          </cell>
        </row>
        <row r="429">
          <cell r="A429" t="str">
            <v>196840</v>
          </cell>
          <cell r="B429" t="str">
            <v>NC CP PINOT NOIR 750 ML X6</v>
          </cell>
          <cell r="C429" t="str">
            <v>PFA</v>
          </cell>
          <cell r="D429" t="str">
            <v>LIC</v>
          </cell>
          <cell r="E429" t="str">
            <v>NCO</v>
          </cell>
          <cell r="F429">
            <v>47.63</v>
          </cell>
        </row>
        <row r="430">
          <cell r="A430" t="str">
            <v>140620</v>
          </cell>
          <cell r="B430" t="str">
            <v>HERED.D.MARQ/ROSADO 750ML X12</v>
          </cell>
          <cell r="C430" t="str">
            <v>PFA</v>
          </cell>
          <cell r="D430" t="str">
            <v>LIC</v>
          </cell>
          <cell r="E430" t="str">
            <v>NCO</v>
          </cell>
          <cell r="F430">
            <v>49.56</v>
          </cell>
        </row>
        <row r="431">
          <cell r="A431" t="str">
            <v>177335</v>
          </cell>
          <cell r="B431" t="str">
            <v>PF.NC LOS ARBOLES MALBEC 750ML X6</v>
          </cell>
          <cell r="C431" t="str">
            <v>PFA</v>
          </cell>
          <cell r="D431" t="str">
            <v>LIC</v>
          </cell>
          <cell r="E431" t="str">
            <v>NCO</v>
          </cell>
          <cell r="F431">
            <v>26.74</v>
          </cell>
        </row>
        <row r="432">
          <cell r="A432" t="str">
            <v>198940</v>
          </cell>
          <cell r="B432" t="str">
            <v>PF.NC ALEG.MALBEC 750ML X6</v>
          </cell>
          <cell r="C432" t="str">
            <v>PFA</v>
          </cell>
          <cell r="D432" t="str">
            <v>LIC</v>
          </cell>
          <cell r="E432" t="str">
            <v>NCO</v>
          </cell>
          <cell r="F432">
            <v>99.3</v>
          </cell>
        </row>
        <row r="433">
          <cell r="A433" t="str">
            <v>140600</v>
          </cell>
          <cell r="B433" t="str">
            <v>HERED.D.MARQ/RUEDA 750ML X6</v>
          </cell>
          <cell r="C433" t="str">
            <v>PFA</v>
          </cell>
          <cell r="D433" t="str">
            <v>LIC</v>
          </cell>
          <cell r="E433" t="str">
            <v>NCO</v>
          </cell>
          <cell r="F433">
            <v>49.56</v>
          </cell>
        </row>
        <row r="434">
          <cell r="A434" t="str">
            <v>0184557</v>
          </cell>
          <cell r="B434" t="str">
            <v>TRAPICHE RVA CABERNET SAUV 750ML X 6</v>
          </cell>
          <cell r="C434" t="str">
            <v>PFA</v>
          </cell>
          <cell r="D434" t="str">
            <v>LIC</v>
          </cell>
          <cell r="E434" t="str">
            <v>NCO</v>
          </cell>
          <cell r="F434">
            <v>52.18</v>
          </cell>
        </row>
        <row r="435">
          <cell r="A435" t="str">
            <v>140612</v>
          </cell>
          <cell r="B435" t="str">
            <v>HERED.D.MARQ/GRAN RESERVA 750ML X12</v>
          </cell>
          <cell r="C435" t="str">
            <v>PFA</v>
          </cell>
          <cell r="D435" t="str">
            <v>LIC</v>
          </cell>
          <cell r="E435" t="str">
            <v>NCO</v>
          </cell>
          <cell r="F435">
            <v>242.06</v>
          </cell>
        </row>
        <row r="436">
          <cell r="A436" t="str">
            <v>53276</v>
          </cell>
          <cell r="B436" t="str">
            <v>V/T CATENA MALBEC 750ML X 12</v>
          </cell>
          <cell r="C436" t="str">
            <v>YIC</v>
          </cell>
          <cell r="D436" t="str">
            <v>LIC</v>
          </cell>
          <cell r="E436" t="str">
            <v>CAT</v>
          </cell>
          <cell r="F436">
            <v>82.57</v>
          </cell>
        </row>
        <row r="437">
          <cell r="A437" t="str">
            <v>53274</v>
          </cell>
          <cell r="B437" t="str">
            <v>V/T CATENA.CABERNET SAUVIGNON 750ML X12</v>
          </cell>
          <cell r="C437" t="str">
            <v>YIC</v>
          </cell>
          <cell r="D437" t="str">
            <v>LIC</v>
          </cell>
          <cell r="E437" t="str">
            <v>CAT</v>
          </cell>
          <cell r="F437">
            <v>82.57</v>
          </cell>
        </row>
        <row r="438">
          <cell r="A438" t="str">
            <v>53292</v>
          </cell>
          <cell r="B438" t="str">
            <v>CATENA ZAPATA MALBEC ARGENTINO 6 X 750ML</v>
          </cell>
          <cell r="C438" t="str">
            <v>YIC</v>
          </cell>
          <cell r="D438" t="str">
            <v>LIC</v>
          </cell>
          <cell r="E438" t="str">
            <v>CAT</v>
          </cell>
          <cell r="F438">
            <v>430.05</v>
          </cell>
        </row>
        <row r="439">
          <cell r="A439" t="str">
            <v>HAMB05</v>
          </cell>
          <cell r="B439" t="str">
            <v>HAMBURGUESA RES 190GR OSSO</v>
          </cell>
          <cell r="C439" t="str">
            <v>PRR</v>
          </cell>
          <cell r="D439" t="str">
            <v>OFD</v>
          </cell>
          <cell r="E439" t="str">
            <v>HAMB</v>
          </cell>
          <cell r="F439">
            <v>49.9</v>
          </cell>
        </row>
        <row r="440">
          <cell r="A440" t="str">
            <v>HAMB68</v>
          </cell>
          <cell r="B440" t="str">
            <v>HAMBUR.MNIBURGUER 50GR X12 BEST MEATS</v>
          </cell>
          <cell r="C440" t="str">
            <v>PRR</v>
          </cell>
          <cell r="D440" t="str">
            <v>OFD</v>
          </cell>
          <cell r="E440" t="str">
            <v>HAMB</v>
          </cell>
          <cell r="F440">
            <v>56.9</v>
          </cell>
        </row>
        <row r="441">
          <cell r="A441" t="str">
            <v>HAMB03</v>
          </cell>
          <cell r="B441" t="str">
            <v>HAMBUR.D-BIFE 200GR X4 BEST MEATS</v>
          </cell>
          <cell r="C441" t="str">
            <v>PRR</v>
          </cell>
          <cell r="D441" t="str">
            <v>OFD</v>
          </cell>
          <cell r="E441" t="str">
            <v>HAMB</v>
          </cell>
          <cell r="F441">
            <v>63.9</v>
          </cell>
        </row>
        <row r="442">
          <cell r="A442" t="str">
            <v>HAMB01</v>
          </cell>
          <cell r="B442" t="str">
            <v>HAMBUR.ANGUS 200GR X4 BEST MEATS</v>
          </cell>
          <cell r="C442" t="str">
            <v>PRR</v>
          </cell>
          <cell r="D442" t="str">
            <v>OFD</v>
          </cell>
          <cell r="E442" t="str">
            <v>HAMB</v>
          </cell>
          <cell r="F442">
            <v>66.900000000000006</v>
          </cell>
        </row>
        <row r="443">
          <cell r="A443" t="str">
            <v>40001242</v>
          </cell>
          <cell r="B443" t="str">
            <v>PISCO DECANTO ACHOLADO 750ML X 12</v>
          </cell>
          <cell r="C443" t="str">
            <v>CAR</v>
          </cell>
          <cell r="D443" t="str">
            <v>LIC</v>
          </cell>
          <cell r="E443" t="str">
            <v>PIS</v>
          </cell>
          <cell r="F443">
            <v>23.39</v>
          </cell>
        </row>
        <row r="444">
          <cell r="A444" t="str">
            <v>40001241</v>
          </cell>
          <cell r="B444" t="str">
            <v>PISCO DECANTO QUEBRANTA 750ML X 12</v>
          </cell>
          <cell r="C444" t="str">
            <v>CAR</v>
          </cell>
          <cell r="D444" t="str">
            <v>LIC</v>
          </cell>
          <cell r="E444" t="str">
            <v>PIS</v>
          </cell>
          <cell r="F444">
            <v>23.38</v>
          </cell>
        </row>
        <row r="445">
          <cell r="A445" t="str">
            <v>40001243</v>
          </cell>
          <cell r="B445" t="str">
            <v>PISCO DECANTO ITALIA 750ML X 12</v>
          </cell>
          <cell r="C445" t="str">
            <v>CAR</v>
          </cell>
          <cell r="D445" t="str">
            <v>LIC</v>
          </cell>
          <cell r="E445" t="str">
            <v>PIS</v>
          </cell>
          <cell r="F445">
            <v>23.38</v>
          </cell>
        </row>
        <row r="446">
          <cell r="A446" t="str">
            <v>V0018</v>
          </cell>
          <cell r="B446" t="str">
            <v>JAGERMEISTER 700ML X6</v>
          </cell>
          <cell r="C446" t="str">
            <v>PRE</v>
          </cell>
          <cell r="D446" t="str">
            <v>JAG</v>
          </cell>
          <cell r="E446" t="str">
            <v>LIC</v>
          </cell>
          <cell r="F446">
            <v>69.84</v>
          </cell>
        </row>
        <row r="447">
          <cell r="A447" t="str">
            <v>MC000214</v>
          </cell>
          <cell r="B447" t="str">
            <v>JAGERMEISTER 1LT X6</v>
          </cell>
          <cell r="C447" t="str">
            <v>PRE</v>
          </cell>
          <cell r="D447" t="str">
            <v>JAG</v>
          </cell>
          <cell r="E447" t="str">
            <v>LIC</v>
          </cell>
          <cell r="F447">
            <v>82.83</v>
          </cell>
        </row>
        <row r="448">
          <cell r="A448" t="str">
            <v>179900</v>
          </cell>
          <cell r="B448" t="str">
            <v>ANIS NAJAR SECO 750ML X12</v>
          </cell>
          <cell r="C448" t="str">
            <v>PFA</v>
          </cell>
          <cell r="D448" t="str">
            <v>LIC</v>
          </cell>
          <cell r="E448" t="str">
            <v>NAJ</v>
          </cell>
          <cell r="F448">
            <v>35.94</v>
          </cell>
        </row>
        <row r="449">
          <cell r="A449" t="str">
            <v>179942</v>
          </cell>
          <cell r="B449" t="str">
            <v>ANIS NAJAR SECO 125ML X24</v>
          </cell>
          <cell r="C449" t="str">
            <v>PFA</v>
          </cell>
          <cell r="D449" t="str">
            <v>LIC</v>
          </cell>
          <cell r="E449" t="str">
            <v>NAJ</v>
          </cell>
          <cell r="F449">
            <v>12.23</v>
          </cell>
        </row>
        <row r="450">
          <cell r="A450" t="str">
            <v>179914</v>
          </cell>
          <cell r="B450" t="str">
            <v>ANIS NAJAR CREMA 750ML X12</v>
          </cell>
          <cell r="C450" t="str">
            <v>PFA</v>
          </cell>
          <cell r="D450" t="str">
            <v>LIC</v>
          </cell>
          <cell r="E450" t="str">
            <v>NAJ</v>
          </cell>
          <cell r="F450">
            <v>39.270000000000003</v>
          </cell>
        </row>
        <row r="451">
          <cell r="A451" t="str">
            <v>180105</v>
          </cell>
          <cell r="B451" t="str">
            <v>PF.CHAMP.ESP.SEÑ.NAJAR 750ML X12</v>
          </cell>
          <cell r="C451" t="str">
            <v>PFA</v>
          </cell>
          <cell r="D451" t="str">
            <v>LIC</v>
          </cell>
          <cell r="E451" t="str">
            <v>NAJ</v>
          </cell>
          <cell r="F451">
            <v>20.98</v>
          </cell>
        </row>
        <row r="452">
          <cell r="A452" t="str">
            <v>0504009</v>
          </cell>
          <cell r="B452" t="str">
            <v>C/T CAS.DIAB.CABERNET SAUVIG.750MLX12</v>
          </cell>
          <cell r="C452" t="str">
            <v>YIC</v>
          </cell>
          <cell r="D452" t="str">
            <v>LIC</v>
          </cell>
          <cell r="E452" t="str">
            <v>CAS</v>
          </cell>
          <cell r="F452">
            <v>33.72</v>
          </cell>
        </row>
        <row r="453">
          <cell r="A453" t="str">
            <v>390062</v>
          </cell>
          <cell r="B453" t="str">
            <v>C/T CAS.DIAB.MALBEC 750ML X12</v>
          </cell>
          <cell r="C453" t="str">
            <v>YIC</v>
          </cell>
          <cell r="D453" t="str">
            <v>LIC</v>
          </cell>
          <cell r="E453" t="str">
            <v>CAS</v>
          </cell>
          <cell r="F453">
            <v>33.72</v>
          </cell>
        </row>
        <row r="454">
          <cell r="A454" t="str">
            <v>47182</v>
          </cell>
          <cell r="B454" t="str">
            <v xml:space="preserve">C/T CAS.DIAB.RED BLEND 750ML X12 </v>
          </cell>
          <cell r="C454" t="str">
            <v>YIC</v>
          </cell>
          <cell r="D454" t="str">
            <v>LIC</v>
          </cell>
          <cell r="E454" t="str">
            <v>CAS</v>
          </cell>
          <cell r="F454">
            <v>33.72</v>
          </cell>
        </row>
        <row r="455">
          <cell r="A455" t="str">
            <v>390045</v>
          </cell>
          <cell r="B455" t="str">
            <v>C/T CAS.DIAB.SAUVIGNON BLAN.750ML X12</v>
          </cell>
          <cell r="C455" t="str">
            <v>YIC</v>
          </cell>
          <cell r="D455" t="str">
            <v>LIC</v>
          </cell>
          <cell r="E455" t="str">
            <v>CAS</v>
          </cell>
          <cell r="F455">
            <v>31.66</v>
          </cell>
        </row>
        <row r="456">
          <cell r="A456" t="str">
            <v>390060</v>
          </cell>
          <cell r="B456" t="str">
            <v>C/T CAS.DIAB.MERLOT 750ML X12</v>
          </cell>
          <cell r="C456" t="str">
            <v>YIC</v>
          </cell>
          <cell r="D456" t="str">
            <v>LIC</v>
          </cell>
          <cell r="E456" t="str">
            <v>CAS</v>
          </cell>
          <cell r="F456">
            <v>33.72</v>
          </cell>
        </row>
        <row r="457">
          <cell r="A457" t="str">
            <v>109700</v>
          </cell>
          <cell r="B457" t="str">
            <v>RON COLONIAL ARTESANAL 700ML X 6</v>
          </cell>
          <cell r="C457" t="str">
            <v>RPD</v>
          </cell>
          <cell r="D457" t="str">
            <v>OTR</v>
          </cell>
          <cell r="E457" t="str">
            <v>RON</v>
          </cell>
          <cell r="F457">
            <v>134.44999999999999</v>
          </cell>
        </row>
        <row r="458">
          <cell r="A458" t="str">
            <v>JON384</v>
          </cell>
          <cell r="B458" t="str">
            <v>WHISKY JOHN BARR  BLACK 750ML X12</v>
          </cell>
          <cell r="C458" t="str">
            <v>KLS</v>
          </cell>
          <cell r="D458" t="str">
            <v>LIC</v>
          </cell>
          <cell r="E458" t="str">
            <v>WHI</v>
          </cell>
          <cell r="F458">
            <v>24.45</v>
          </cell>
        </row>
        <row r="459">
          <cell r="A459" t="str">
            <v>SQ029</v>
          </cell>
          <cell r="B459" t="str">
            <v>S.Q. PISCO QUEBRANTA 2LT X 6</v>
          </cell>
          <cell r="C459" t="str">
            <v>SQL</v>
          </cell>
          <cell r="D459" t="str">
            <v>SQL</v>
          </cell>
          <cell r="E459" t="str">
            <v>PIS</v>
          </cell>
          <cell r="F459">
            <v>60.58</v>
          </cell>
        </row>
        <row r="460">
          <cell r="A460" t="str">
            <v>SQ041</v>
          </cell>
          <cell r="B460" t="str">
            <v>S.Q. PISCO QUEBRANTA 4LT X4</v>
          </cell>
          <cell r="C460" t="str">
            <v>SQL</v>
          </cell>
          <cell r="D460" t="str">
            <v>SQL</v>
          </cell>
          <cell r="E460" t="str">
            <v>PIS</v>
          </cell>
          <cell r="F460">
            <v>115.41</v>
          </cell>
        </row>
        <row r="461">
          <cell r="A461" t="str">
            <v>MC000370</v>
          </cell>
          <cell r="B461" t="str">
            <v>ESPUMOSO NUVO 700ML</v>
          </cell>
          <cell r="C461" t="str">
            <v>PRE</v>
          </cell>
          <cell r="D461" t="str">
            <v>OTR</v>
          </cell>
          <cell r="E461" t="str">
            <v>OTR</v>
          </cell>
          <cell r="F461">
            <v>111.35</v>
          </cell>
        </row>
        <row r="462">
          <cell r="A462" t="str">
            <v>299129</v>
          </cell>
          <cell r="B462" t="str">
            <v>NP-BRIT-AGUA TONICA LAT 150ML X24</v>
          </cell>
          <cell r="C462" t="str">
            <v>PFA</v>
          </cell>
          <cell r="D462" t="str">
            <v>LIC</v>
          </cell>
          <cell r="E462" t="str">
            <v>BRI</v>
          </cell>
          <cell r="F462">
            <v>4.28</v>
          </cell>
        </row>
        <row r="463">
          <cell r="A463" t="str">
            <v>403947</v>
          </cell>
          <cell r="B463" t="str">
            <v>BIFE ANGOS CONG 2U BLS 500G AP SEGO</v>
          </cell>
          <cell r="C463" t="str">
            <v>SIG</v>
          </cell>
          <cell r="D463" t="str">
            <v>SEG</v>
          </cell>
          <cell r="E463" t="str">
            <v>CHO</v>
          </cell>
          <cell r="F463">
            <v>36</v>
          </cell>
        </row>
        <row r="464">
          <cell r="A464" t="str">
            <v>0104004</v>
          </cell>
          <cell r="B464" t="str">
            <v xml:space="preserve">MINI.WHIS.CHIVAS REGAL 12 AÑOS X 50ML </v>
          </cell>
          <cell r="C464" t="str">
            <v>IWA</v>
          </cell>
          <cell r="D464" t="str">
            <v>LIC</v>
          </cell>
          <cell r="E464" t="str">
            <v>MIN</v>
          </cell>
          <cell r="F464">
            <v>16.600000000000001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orella Supo" refreshedDate="46235.639133912038" createdVersion="8" refreshedVersion="8" minRefreshableVersion="3" recordCount="486" xr:uid="{2EDB1218-4F3B-4E2A-9416-7555EA5D05BE}">
  <cacheSource type="worksheet">
    <worksheetSource ref="E1:K1048576" sheet="tienda"/>
  </cacheSource>
  <cacheFields count="7">
    <cacheField name="Proveedor" numFmtId="0">
      <sharedItems containsBlank="1" count="36">
        <s v="4LO"/>
        <s v="AGC"/>
        <s v="AVV"/>
        <s v="BIM"/>
        <s v="C&amp;C"/>
        <s v="CAR"/>
        <s v="COP"/>
        <s v="ESM"/>
        <s v="EXC"/>
        <s v="FDL"/>
        <s v="GCC"/>
        <s v="GCP"/>
        <s v="GKP"/>
        <s v="ISM"/>
        <s v="IWA"/>
        <s v="JEI"/>
        <s v="JYA"/>
        <s v="K&amp;M"/>
        <s v="KLS"/>
        <s v="OCU"/>
        <s v="OTR"/>
        <s v="PAN"/>
        <s v="PBA"/>
        <s v="PFA"/>
        <s v="PIC"/>
        <s v="PRE"/>
        <s v="PRR"/>
        <s v="RPD"/>
        <s v="RTD"/>
        <s v="SAL"/>
        <s v="SIG"/>
        <s v="SQL"/>
        <s v="TCM"/>
        <s v="VDO"/>
        <s v="YIC"/>
        <m/>
      </sharedItems>
    </cacheField>
    <cacheField name="Saldo" numFmtId="0">
      <sharedItems containsString="0" containsBlank="1" containsNumber="1" containsInteger="1" minValue="0" maxValue="38"/>
    </cacheField>
    <cacheField name="RETORNAR" numFmtId="0">
      <sharedItems containsString="0" containsBlank="1" containsNumber="1" containsInteger="1" minValue="0" maxValue="8"/>
    </cacheField>
    <cacheField name="FACTURAR" numFmtId="0">
      <sharedItems containsString="0" containsBlank="1" containsNumber="1" containsInteger="1" minValue="1" maxValue="15"/>
    </cacheField>
    <cacheField name="queda stock en Tienda" numFmtId="0">
      <sharedItems containsString="0" containsBlank="1" containsNumber="1" containsInteger="1" minValue="0" maxValue="36"/>
    </cacheField>
    <cacheField name="saldo2" numFmtId="0">
      <sharedItems containsString="0" containsBlank="1" containsNumber="1" containsInteger="1" minValue="-1" maxValue="2"/>
    </cacheField>
    <cacheField name="Soles" numFmtId="0">
      <sharedItems containsString="0" containsBlank="1" containsNumber="1" minValue="0" maxValue="320.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x v="0"/>
    <n v="2"/>
    <m/>
    <n v="2"/>
    <n v="0"/>
    <n v="0"/>
    <n v="15.84"/>
  </r>
  <r>
    <x v="0"/>
    <n v="0"/>
    <m/>
    <m/>
    <m/>
    <n v="0"/>
    <m/>
  </r>
  <r>
    <x v="0"/>
    <n v="0"/>
    <m/>
    <m/>
    <m/>
    <n v="0"/>
    <m/>
  </r>
  <r>
    <x v="0"/>
    <n v="2"/>
    <m/>
    <n v="2"/>
    <n v="0"/>
    <n v="0"/>
    <n v="15.84"/>
  </r>
  <r>
    <x v="0"/>
    <n v="1"/>
    <m/>
    <n v="1"/>
    <n v="0"/>
    <n v="0"/>
    <n v="7.92"/>
  </r>
  <r>
    <x v="0"/>
    <n v="3"/>
    <m/>
    <n v="3"/>
    <n v="0"/>
    <n v="0"/>
    <n v="23.759999999999998"/>
  </r>
  <r>
    <x v="0"/>
    <n v="0"/>
    <m/>
    <m/>
    <m/>
    <n v="0"/>
    <m/>
  </r>
  <r>
    <x v="0"/>
    <n v="0"/>
    <m/>
    <m/>
    <m/>
    <n v="0"/>
    <m/>
  </r>
  <r>
    <x v="1"/>
    <n v="4"/>
    <m/>
    <n v="1"/>
    <n v="3"/>
    <n v="0"/>
    <n v="44"/>
  </r>
  <r>
    <x v="1"/>
    <n v="6"/>
    <m/>
    <n v="1"/>
    <n v="5"/>
    <n v="0"/>
    <n v="9.5"/>
  </r>
  <r>
    <x v="1"/>
    <n v="4"/>
    <m/>
    <n v="1"/>
    <n v="3"/>
    <n v="0"/>
    <n v="22"/>
  </r>
  <r>
    <x v="1"/>
    <n v="0"/>
    <n v="0"/>
    <m/>
    <m/>
    <n v="0"/>
    <m/>
  </r>
  <r>
    <x v="1"/>
    <n v="1"/>
    <m/>
    <n v="1"/>
    <n v="0"/>
    <n v="0"/>
    <n v="72.45"/>
  </r>
  <r>
    <x v="1"/>
    <n v="2"/>
    <m/>
    <n v="1"/>
    <n v="1"/>
    <n v="0"/>
    <n v="13"/>
  </r>
  <r>
    <x v="2"/>
    <n v="0"/>
    <n v="0"/>
    <m/>
    <m/>
    <n v="0"/>
    <m/>
  </r>
  <r>
    <x v="2"/>
    <n v="0"/>
    <n v="0"/>
    <m/>
    <m/>
    <n v="0"/>
    <m/>
  </r>
  <r>
    <x v="2"/>
    <n v="2"/>
    <m/>
    <n v="1"/>
    <n v="1"/>
    <n v="0"/>
    <n v="19.3"/>
  </r>
  <r>
    <x v="2"/>
    <n v="1"/>
    <n v="1"/>
    <m/>
    <m/>
    <n v="0"/>
    <n v="0"/>
  </r>
  <r>
    <x v="2"/>
    <n v="3"/>
    <m/>
    <n v="2"/>
    <n v="1"/>
    <n v="0"/>
    <n v="9.5"/>
  </r>
  <r>
    <x v="2"/>
    <n v="2"/>
    <m/>
    <n v="2"/>
    <n v="0"/>
    <n v="0"/>
    <n v="9.5"/>
  </r>
  <r>
    <x v="2"/>
    <n v="14"/>
    <m/>
    <n v="2"/>
    <n v="12"/>
    <n v="0"/>
    <n v="9.5"/>
  </r>
  <r>
    <x v="2"/>
    <n v="2"/>
    <n v="2"/>
    <m/>
    <m/>
    <n v="0"/>
    <n v="0"/>
  </r>
  <r>
    <x v="2"/>
    <n v="2"/>
    <n v="2"/>
    <m/>
    <m/>
    <n v="0"/>
    <n v="0"/>
  </r>
  <r>
    <x v="2"/>
    <n v="2"/>
    <n v="2"/>
    <m/>
    <m/>
    <n v="0"/>
    <n v="0"/>
  </r>
  <r>
    <x v="3"/>
    <n v="3"/>
    <m/>
    <n v="3"/>
    <n v="0"/>
    <n v="0"/>
    <n v="5.0999999999999996"/>
  </r>
  <r>
    <x v="3"/>
    <n v="4"/>
    <m/>
    <n v="4"/>
    <n v="0"/>
    <n v="0"/>
    <n v="6.8"/>
  </r>
  <r>
    <x v="3"/>
    <n v="2"/>
    <m/>
    <n v="2"/>
    <n v="0"/>
    <n v="0"/>
    <n v="3.4"/>
  </r>
  <r>
    <x v="4"/>
    <n v="4"/>
    <m/>
    <n v="3"/>
    <n v="1"/>
    <n v="0"/>
    <n v="7.5"/>
  </r>
  <r>
    <x v="4"/>
    <n v="1"/>
    <m/>
    <n v="1"/>
    <n v="0"/>
    <n v="0"/>
    <n v="2.5"/>
  </r>
  <r>
    <x v="5"/>
    <n v="1"/>
    <n v="1"/>
    <m/>
    <m/>
    <n v="0"/>
    <n v="0"/>
  </r>
  <r>
    <x v="5"/>
    <n v="2"/>
    <n v="2"/>
    <m/>
    <m/>
    <n v="0"/>
    <n v="0"/>
  </r>
  <r>
    <x v="5"/>
    <n v="0"/>
    <n v="0"/>
    <m/>
    <m/>
    <n v="0"/>
    <m/>
  </r>
  <r>
    <x v="5"/>
    <n v="0"/>
    <n v="0"/>
    <m/>
    <m/>
    <n v="0"/>
    <m/>
  </r>
  <r>
    <x v="5"/>
    <n v="0"/>
    <m/>
    <m/>
    <m/>
    <n v="0"/>
    <m/>
  </r>
  <r>
    <x v="5"/>
    <n v="0"/>
    <n v="0"/>
    <m/>
    <m/>
    <n v="0"/>
    <m/>
  </r>
  <r>
    <x v="5"/>
    <n v="0"/>
    <n v="0"/>
    <m/>
    <m/>
    <n v="0"/>
    <m/>
  </r>
  <r>
    <x v="5"/>
    <n v="0"/>
    <n v="0"/>
    <m/>
    <m/>
    <n v="0"/>
    <m/>
  </r>
  <r>
    <x v="5"/>
    <n v="2"/>
    <m/>
    <m/>
    <n v="2"/>
    <n v="0"/>
    <n v="0"/>
  </r>
  <r>
    <x v="5"/>
    <n v="1"/>
    <m/>
    <n v="1"/>
    <n v="0"/>
    <n v="0"/>
    <n v="37.26"/>
  </r>
  <r>
    <x v="5"/>
    <n v="0"/>
    <n v="0"/>
    <m/>
    <m/>
    <n v="0"/>
    <m/>
  </r>
  <r>
    <x v="5"/>
    <n v="3"/>
    <n v="3"/>
    <m/>
    <m/>
    <n v="0"/>
    <n v="0"/>
  </r>
  <r>
    <x v="5"/>
    <n v="2"/>
    <m/>
    <n v="1"/>
    <n v="1"/>
    <n v="0"/>
    <n v="21.26"/>
  </r>
  <r>
    <x v="5"/>
    <n v="1"/>
    <n v="1"/>
    <m/>
    <m/>
    <n v="0"/>
    <n v="0"/>
  </r>
  <r>
    <x v="5"/>
    <n v="2"/>
    <m/>
    <n v="1"/>
    <n v="1"/>
    <n v="0"/>
    <n v="21.26"/>
  </r>
  <r>
    <x v="5"/>
    <n v="2"/>
    <m/>
    <n v="1"/>
    <n v="1"/>
    <n v="0"/>
    <n v="20.18"/>
  </r>
  <r>
    <x v="5"/>
    <n v="1"/>
    <n v="1"/>
    <m/>
    <m/>
    <n v="0"/>
    <n v="0"/>
  </r>
  <r>
    <x v="5"/>
    <n v="2"/>
    <m/>
    <n v="1"/>
    <n v="1"/>
    <n v="0"/>
    <n v="94.56"/>
  </r>
  <r>
    <x v="5"/>
    <n v="2"/>
    <n v="2"/>
    <m/>
    <m/>
    <n v="0"/>
    <n v="0"/>
  </r>
  <r>
    <x v="5"/>
    <n v="3"/>
    <m/>
    <n v="1"/>
    <n v="2"/>
    <n v="0"/>
    <n v="73.63"/>
  </r>
  <r>
    <x v="5"/>
    <n v="1"/>
    <n v="1"/>
    <m/>
    <m/>
    <n v="0"/>
    <n v="0"/>
  </r>
  <r>
    <x v="6"/>
    <n v="2"/>
    <n v="2"/>
    <m/>
    <m/>
    <n v="0"/>
    <n v="0"/>
  </r>
  <r>
    <x v="6"/>
    <n v="0"/>
    <m/>
    <m/>
    <m/>
    <n v="0"/>
    <m/>
  </r>
  <r>
    <x v="6"/>
    <n v="0"/>
    <m/>
    <m/>
    <m/>
    <n v="0"/>
    <m/>
  </r>
  <r>
    <x v="6"/>
    <n v="1"/>
    <n v="1"/>
    <m/>
    <m/>
    <n v="0"/>
    <n v="0"/>
  </r>
  <r>
    <x v="6"/>
    <n v="2"/>
    <n v="2"/>
    <m/>
    <m/>
    <n v="0"/>
    <n v="0"/>
  </r>
  <r>
    <x v="6"/>
    <n v="0"/>
    <m/>
    <m/>
    <m/>
    <n v="0"/>
    <m/>
  </r>
  <r>
    <x v="6"/>
    <n v="1"/>
    <n v="1"/>
    <m/>
    <m/>
    <n v="0"/>
    <n v="0"/>
  </r>
  <r>
    <x v="6"/>
    <n v="1"/>
    <n v="1"/>
    <m/>
    <m/>
    <n v="0"/>
    <n v="0"/>
  </r>
  <r>
    <x v="6"/>
    <n v="1"/>
    <n v="1"/>
    <m/>
    <m/>
    <n v="0"/>
    <n v="0"/>
  </r>
  <r>
    <x v="6"/>
    <n v="2"/>
    <m/>
    <n v="1"/>
    <n v="1"/>
    <n v="0"/>
    <n v="64.989999999999995"/>
  </r>
  <r>
    <x v="6"/>
    <n v="2"/>
    <m/>
    <n v="1"/>
    <n v="1"/>
    <n v="0"/>
    <n v="55.56"/>
  </r>
  <r>
    <x v="6"/>
    <n v="2"/>
    <m/>
    <n v="1"/>
    <n v="1"/>
    <n v="0"/>
    <n v="30.7"/>
  </r>
  <r>
    <x v="6"/>
    <n v="8"/>
    <n v="8"/>
    <m/>
    <m/>
    <n v="0"/>
    <n v="0"/>
  </r>
  <r>
    <x v="6"/>
    <n v="0"/>
    <m/>
    <m/>
    <m/>
    <n v="0"/>
    <m/>
  </r>
  <r>
    <x v="6"/>
    <n v="1"/>
    <n v="1"/>
    <m/>
    <m/>
    <n v="0"/>
    <n v="0"/>
  </r>
  <r>
    <x v="6"/>
    <n v="3"/>
    <n v="3"/>
    <m/>
    <m/>
    <n v="0"/>
    <n v="0"/>
  </r>
  <r>
    <x v="6"/>
    <n v="1"/>
    <n v="1"/>
    <m/>
    <m/>
    <n v="0"/>
    <n v="0"/>
  </r>
  <r>
    <x v="6"/>
    <n v="0"/>
    <m/>
    <m/>
    <m/>
    <n v="0"/>
    <m/>
  </r>
  <r>
    <x v="6"/>
    <n v="0"/>
    <m/>
    <m/>
    <m/>
    <n v="0"/>
    <m/>
  </r>
  <r>
    <x v="7"/>
    <n v="1"/>
    <m/>
    <n v="1"/>
    <n v="1"/>
    <n v="-1"/>
    <n v="13"/>
  </r>
  <r>
    <x v="7"/>
    <n v="0"/>
    <m/>
    <m/>
    <m/>
    <n v="0"/>
    <m/>
  </r>
  <r>
    <x v="7"/>
    <n v="0"/>
    <m/>
    <m/>
    <m/>
    <n v="0"/>
    <m/>
  </r>
  <r>
    <x v="7"/>
    <n v="1"/>
    <m/>
    <n v="1"/>
    <n v="1"/>
    <n v="-1"/>
    <n v="13"/>
  </r>
  <r>
    <x v="8"/>
    <n v="2"/>
    <n v="2"/>
    <m/>
    <m/>
    <n v="0"/>
    <n v="0"/>
  </r>
  <r>
    <x v="8"/>
    <n v="0"/>
    <m/>
    <m/>
    <m/>
    <n v="0"/>
    <m/>
  </r>
  <r>
    <x v="8"/>
    <n v="1"/>
    <n v="1"/>
    <m/>
    <m/>
    <n v="0"/>
    <n v="0"/>
  </r>
  <r>
    <x v="8"/>
    <n v="0"/>
    <m/>
    <m/>
    <m/>
    <n v="0"/>
    <m/>
  </r>
  <r>
    <x v="8"/>
    <n v="2"/>
    <n v="2"/>
    <m/>
    <m/>
    <n v="0"/>
    <n v="0"/>
  </r>
  <r>
    <x v="8"/>
    <n v="2"/>
    <n v="2"/>
    <m/>
    <m/>
    <n v="0"/>
    <n v="0"/>
  </r>
  <r>
    <x v="8"/>
    <n v="1"/>
    <n v="1"/>
    <m/>
    <m/>
    <n v="0"/>
    <n v="0"/>
  </r>
  <r>
    <x v="8"/>
    <n v="1"/>
    <n v="1"/>
    <m/>
    <m/>
    <n v="0"/>
    <n v="0"/>
  </r>
  <r>
    <x v="8"/>
    <n v="0"/>
    <m/>
    <m/>
    <m/>
    <n v="0"/>
    <m/>
  </r>
  <r>
    <x v="8"/>
    <n v="2"/>
    <n v="2"/>
    <m/>
    <m/>
    <n v="0"/>
    <n v="0"/>
  </r>
  <r>
    <x v="8"/>
    <n v="1"/>
    <n v="1"/>
    <m/>
    <m/>
    <n v="0"/>
    <n v="0"/>
  </r>
  <r>
    <x v="8"/>
    <n v="0"/>
    <m/>
    <m/>
    <m/>
    <n v="0"/>
    <m/>
  </r>
  <r>
    <x v="9"/>
    <n v="0"/>
    <m/>
    <m/>
    <m/>
    <n v="0"/>
    <m/>
  </r>
  <r>
    <x v="9"/>
    <n v="3"/>
    <n v="3"/>
    <m/>
    <m/>
    <n v="0"/>
    <n v="0"/>
  </r>
  <r>
    <x v="9"/>
    <n v="20"/>
    <m/>
    <n v="15"/>
    <n v="5"/>
    <n v="0"/>
    <n v="0"/>
  </r>
  <r>
    <x v="10"/>
    <n v="0"/>
    <m/>
    <m/>
    <m/>
    <n v="0"/>
    <m/>
  </r>
  <r>
    <x v="10"/>
    <n v="0"/>
    <m/>
    <m/>
    <m/>
    <n v="0"/>
    <m/>
  </r>
  <r>
    <x v="10"/>
    <n v="0"/>
    <m/>
    <m/>
    <m/>
    <n v="0"/>
    <m/>
  </r>
  <r>
    <x v="10"/>
    <n v="6"/>
    <m/>
    <n v="6"/>
    <n v="0"/>
    <n v="0"/>
    <n v="4.8000000000000007"/>
  </r>
  <r>
    <x v="11"/>
    <n v="1"/>
    <m/>
    <n v="1"/>
    <n v="0"/>
    <n v="0"/>
    <n v="11.65"/>
  </r>
  <r>
    <x v="12"/>
    <n v="4"/>
    <n v="4"/>
    <m/>
    <m/>
    <n v="0"/>
    <m/>
  </r>
  <r>
    <x v="12"/>
    <n v="2"/>
    <m/>
    <n v="1"/>
    <n v="1"/>
    <n v="0"/>
    <n v="52"/>
  </r>
  <r>
    <x v="13"/>
    <n v="0"/>
    <m/>
    <m/>
    <m/>
    <n v="0"/>
    <m/>
  </r>
  <r>
    <x v="13"/>
    <n v="0"/>
    <m/>
    <m/>
    <m/>
    <n v="0"/>
    <m/>
  </r>
  <r>
    <x v="14"/>
    <n v="0"/>
    <m/>
    <m/>
    <m/>
    <n v="0"/>
    <m/>
  </r>
  <r>
    <x v="14"/>
    <n v="0"/>
    <m/>
    <m/>
    <m/>
    <n v="0"/>
    <m/>
  </r>
  <r>
    <x v="14"/>
    <n v="3"/>
    <n v="3"/>
    <m/>
    <m/>
    <n v="0"/>
    <n v="0"/>
  </r>
  <r>
    <x v="14"/>
    <n v="2"/>
    <m/>
    <n v="1"/>
    <n v="1"/>
    <n v="0"/>
    <n v="11.6"/>
  </r>
  <r>
    <x v="14"/>
    <n v="0"/>
    <m/>
    <m/>
    <m/>
    <n v="0"/>
    <m/>
  </r>
  <r>
    <x v="14"/>
    <n v="0"/>
    <m/>
    <m/>
    <m/>
    <n v="0"/>
    <m/>
  </r>
  <r>
    <x v="14"/>
    <n v="0"/>
    <m/>
    <m/>
    <m/>
    <n v="0"/>
    <m/>
  </r>
  <r>
    <x v="14"/>
    <n v="0"/>
    <m/>
    <m/>
    <m/>
    <n v="0"/>
    <m/>
  </r>
  <r>
    <x v="14"/>
    <n v="4"/>
    <m/>
    <n v="1"/>
    <n v="3"/>
    <n v="0"/>
    <n v="43.8"/>
  </r>
  <r>
    <x v="14"/>
    <n v="3"/>
    <m/>
    <n v="1"/>
    <n v="2"/>
    <n v="0"/>
    <n v="43.8"/>
  </r>
  <r>
    <x v="14"/>
    <n v="3"/>
    <m/>
    <n v="1"/>
    <n v="2"/>
    <n v="0"/>
    <n v="43.8"/>
  </r>
  <r>
    <x v="14"/>
    <n v="2"/>
    <m/>
    <n v="1"/>
    <n v="1"/>
    <n v="0"/>
    <n v="42.65"/>
  </r>
  <r>
    <x v="14"/>
    <n v="1"/>
    <m/>
    <n v="1"/>
    <n v="0"/>
    <n v="0"/>
    <n v="15.18"/>
  </r>
  <r>
    <x v="14"/>
    <n v="0"/>
    <m/>
    <m/>
    <m/>
    <n v="0"/>
    <m/>
  </r>
  <r>
    <x v="14"/>
    <n v="0"/>
    <m/>
    <m/>
    <m/>
    <n v="0"/>
    <m/>
  </r>
  <r>
    <x v="14"/>
    <n v="0"/>
    <m/>
    <m/>
    <m/>
    <n v="0"/>
    <m/>
  </r>
  <r>
    <x v="14"/>
    <n v="0"/>
    <m/>
    <m/>
    <m/>
    <n v="0"/>
    <m/>
  </r>
  <r>
    <x v="14"/>
    <n v="2"/>
    <n v="2"/>
    <m/>
    <m/>
    <n v="0"/>
    <n v="0"/>
  </r>
  <r>
    <x v="14"/>
    <n v="5"/>
    <n v="5"/>
    <m/>
    <m/>
    <n v="0"/>
    <n v="0"/>
  </r>
  <r>
    <x v="14"/>
    <n v="0"/>
    <m/>
    <m/>
    <m/>
    <n v="0"/>
    <m/>
  </r>
  <r>
    <x v="14"/>
    <n v="2"/>
    <n v="2"/>
    <m/>
    <m/>
    <n v="0"/>
    <n v="0"/>
  </r>
  <r>
    <x v="14"/>
    <n v="3"/>
    <n v="3"/>
    <m/>
    <m/>
    <n v="0"/>
    <n v="0"/>
  </r>
  <r>
    <x v="14"/>
    <n v="2"/>
    <n v="2"/>
    <m/>
    <m/>
    <n v="0"/>
    <n v="0"/>
  </r>
  <r>
    <x v="14"/>
    <n v="3"/>
    <n v="3"/>
    <m/>
    <m/>
    <n v="0"/>
    <n v="0"/>
  </r>
  <r>
    <x v="14"/>
    <n v="4"/>
    <n v="4"/>
    <m/>
    <m/>
    <n v="0"/>
    <m/>
  </r>
  <r>
    <x v="14"/>
    <n v="2"/>
    <n v="2"/>
    <m/>
    <m/>
    <n v="0"/>
    <n v="0"/>
  </r>
  <r>
    <x v="14"/>
    <n v="3"/>
    <n v="3"/>
    <m/>
    <m/>
    <n v="0"/>
    <n v="0"/>
  </r>
  <r>
    <x v="14"/>
    <n v="1"/>
    <n v="1"/>
    <m/>
    <m/>
    <n v="0"/>
    <n v="0"/>
  </r>
  <r>
    <x v="14"/>
    <n v="1"/>
    <n v="1"/>
    <m/>
    <m/>
    <n v="0"/>
    <n v="0"/>
  </r>
  <r>
    <x v="14"/>
    <n v="1"/>
    <n v="1"/>
    <m/>
    <m/>
    <n v="0"/>
    <n v="0"/>
  </r>
  <r>
    <x v="14"/>
    <n v="0"/>
    <m/>
    <m/>
    <m/>
    <n v="0"/>
    <m/>
  </r>
  <r>
    <x v="14"/>
    <n v="1"/>
    <n v="1"/>
    <m/>
    <m/>
    <n v="0"/>
    <n v="0"/>
  </r>
  <r>
    <x v="14"/>
    <n v="16"/>
    <m/>
    <n v="8"/>
    <n v="8"/>
    <n v="0"/>
    <n v="19.84"/>
  </r>
  <r>
    <x v="14"/>
    <n v="5"/>
    <n v="5"/>
    <m/>
    <m/>
    <n v="0"/>
    <n v="0"/>
  </r>
  <r>
    <x v="14"/>
    <n v="2"/>
    <n v="2"/>
    <m/>
    <m/>
    <n v="0"/>
    <n v="0"/>
  </r>
  <r>
    <x v="14"/>
    <n v="1"/>
    <n v="1"/>
    <m/>
    <m/>
    <n v="0"/>
    <n v="0"/>
  </r>
  <r>
    <x v="14"/>
    <n v="1"/>
    <n v="1"/>
    <m/>
    <m/>
    <n v="0"/>
    <n v="0"/>
  </r>
  <r>
    <x v="14"/>
    <n v="3"/>
    <n v="3"/>
    <m/>
    <m/>
    <n v="0"/>
    <n v="0"/>
  </r>
  <r>
    <x v="14"/>
    <n v="3"/>
    <n v="3"/>
    <m/>
    <m/>
    <n v="0"/>
    <n v="0"/>
  </r>
  <r>
    <x v="14"/>
    <n v="1"/>
    <n v="1"/>
    <m/>
    <m/>
    <n v="0"/>
    <n v="0"/>
  </r>
  <r>
    <x v="14"/>
    <n v="0"/>
    <m/>
    <m/>
    <m/>
    <n v="0"/>
    <m/>
  </r>
  <r>
    <x v="14"/>
    <n v="0"/>
    <m/>
    <m/>
    <m/>
    <n v="0"/>
    <m/>
  </r>
  <r>
    <x v="14"/>
    <n v="1"/>
    <n v="1"/>
    <m/>
    <m/>
    <n v="0"/>
    <n v="0"/>
  </r>
  <r>
    <x v="14"/>
    <n v="3"/>
    <n v="3"/>
    <m/>
    <m/>
    <n v="0"/>
    <n v="0"/>
  </r>
  <r>
    <x v="14"/>
    <n v="2"/>
    <n v="2"/>
    <m/>
    <m/>
    <n v="0"/>
    <n v="0"/>
  </r>
  <r>
    <x v="14"/>
    <n v="1"/>
    <n v="1"/>
    <m/>
    <m/>
    <n v="0"/>
    <n v="0"/>
  </r>
  <r>
    <x v="14"/>
    <n v="3"/>
    <n v="3"/>
    <m/>
    <m/>
    <n v="0"/>
    <n v="0"/>
  </r>
  <r>
    <x v="14"/>
    <n v="0"/>
    <m/>
    <m/>
    <m/>
    <n v="0"/>
    <m/>
  </r>
  <r>
    <x v="14"/>
    <n v="1"/>
    <m/>
    <m/>
    <n v="1"/>
    <n v="0"/>
    <n v="0"/>
  </r>
  <r>
    <x v="14"/>
    <n v="3"/>
    <m/>
    <m/>
    <n v="3"/>
    <n v="0"/>
    <n v="0"/>
  </r>
  <r>
    <x v="14"/>
    <n v="2"/>
    <n v="2"/>
    <m/>
    <m/>
    <n v="0"/>
    <n v="0"/>
  </r>
  <r>
    <x v="14"/>
    <n v="3"/>
    <n v="3"/>
    <m/>
    <m/>
    <n v="0"/>
    <n v="0"/>
  </r>
  <r>
    <x v="14"/>
    <n v="3"/>
    <n v="3"/>
    <m/>
    <m/>
    <n v="0"/>
    <n v="0"/>
  </r>
  <r>
    <x v="14"/>
    <n v="2"/>
    <n v="2"/>
    <m/>
    <m/>
    <n v="0"/>
    <n v="0"/>
  </r>
  <r>
    <x v="14"/>
    <n v="1"/>
    <n v="1"/>
    <m/>
    <m/>
    <n v="0"/>
    <n v="0"/>
  </r>
  <r>
    <x v="14"/>
    <n v="2"/>
    <n v="2"/>
    <m/>
    <m/>
    <n v="0"/>
    <n v="0"/>
  </r>
  <r>
    <x v="14"/>
    <n v="1"/>
    <n v="1"/>
    <m/>
    <m/>
    <n v="0"/>
    <n v="0"/>
  </r>
  <r>
    <x v="14"/>
    <n v="2"/>
    <n v="2"/>
    <m/>
    <m/>
    <n v="0"/>
    <n v="0"/>
  </r>
  <r>
    <x v="14"/>
    <n v="1"/>
    <n v="1"/>
    <m/>
    <m/>
    <n v="0"/>
    <n v="0"/>
  </r>
  <r>
    <x v="14"/>
    <n v="1"/>
    <n v="1"/>
    <m/>
    <m/>
    <n v="0"/>
    <n v="0"/>
  </r>
  <r>
    <x v="14"/>
    <n v="3"/>
    <n v="3"/>
    <m/>
    <m/>
    <n v="0"/>
    <n v="0"/>
  </r>
  <r>
    <x v="14"/>
    <n v="2"/>
    <n v="2"/>
    <m/>
    <m/>
    <n v="0"/>
    <n v="0"/>
  </r>
  <r>
    <x v="14"/>
    <n v="1"/>
    <n v="1"/>
    <m/>
    <m/>
    <n v="0"/>
    <n v="0"/>
  </r>
  <r>
    <x v="14"/>
    <n v="5"/>
    <n v="5"/>
    <m/>
    <m/>
    <n v="0"/>
    <n v="0"/>
  </r>
  <r>
    <x v="14"/>
    <n v="1"/>
    <m/>
    <m/>
    <n v="1"/>
    <n v="0"/>
    <n v="0"/>
  </r>
  <r>
    <x v="14"/>
    <n v="2"/>
    <n v="2"/>
    <m/>
    <m/>
    <n v="0"/>
    <n v="0"/>
  </r>
  <r>
    <x v="14"/>
    <n v="1"/>
    <m/>
    <m/>
    <n v="1"/>
    <n v="0"/>
    <n v="0"/>
  </r>
  <r>
    <x v="14"/>
    <n v="3"/>
    <n v="3"/>
    <m/>
    <m/>
    <n v="0"/>
    <n v="0"/>
  </r>
  <r>
    <x v="14"/>
    <n v="2"/>
    <n v="2"/>
    <m/>
    <m/>
    <n v="0"/>
    <n v="0"/>
  </r>
  <r>
    <x v="14"/>
    <n v="1"/>
    <n v="1"/>
    <m/>
    <m/>
    <n v="0"/>
    <n v="0"/>
  </r>
  <r>
    <x v="14"/>
    <n v="2"/>
    <n v="2"/>
    <m/>
    <m/>
    <n v="0"/>
    <n v="0"/>
  </r>
  <r>
    <x v="14"/>
    <n v="3"/>
    <n v="3"/>
    <m/>
    <m/>
    <n v="0"/>
    <n v="0"/>
  </r>
  <r>
    <x v="14"/>
    <n v="2"/>
    <n v="2"/>
    <m/>
    <m/>
    <n v="0"/>
    <n v="0"/>
  </r>
  <r>
    <x v="14"/>
    <n v="2"/>
    <n v="2"/>
    <m/>
    <m/>
    <n v="0"/>
    <n v="0"/>
  </r>
  <r>
    <x v="14"/>
    <n v="2"/>
    <n v="2"/>
    <m/>
    <m/>
    <n v="0"/>
    <n v="0"/>
  </r>
  <r>
    <x v="14"/>
    <n v="1"/>
    <m/>
    <n v="1"/>
    <n v="0"/>
    <n v="0"/>
    <n v="58.8"/>
  </r>
  <r>
    <x v="14"/>
    <n v="2"/>
    <n v="2"/>
    <m/>
    <m/>
    <n v="0"/>
    <n v="0"/>
  </r>
  <r>
    <x v="14"/>
    <n v="4"/>
    <m/>
    <n v="4"/>
    <n v="0"/>
    <n v="0"/>
    <n v="26"/>
  </r>
  <r>
    <x v="14"/>
    <n v="3"/>
    <m/>
    <m/>
    <n v="3"/>
    <n v="0"/>
    <n v="0"/>
  </r>
  <r>
    <x v="14"/>
    <n v="4"/>
    <m/>
    <n v="1"/>
    <n v="3"/>
    <n v="0"/>
    <n v="34.5"/>
  </r>
  <r>
    <x v="14"/>
    <n v="4"/>
    <n v="4"/>
    <m/>
    <m/>
    <n v="0"/>
    <m/>
  </r>
  <r>
    <x v="14"/>
    <n v="2"/>
    <n v="2"/>
    <m/>
    <m/>
    <n v="0"/>
    <n v="0"/>
  </r>
  <r>
    <x v="14"/>
    <n v="6"/>
    <n v="6"/>
    <m/>
    <m/>
    <n v="0"/>
    <n v="0"/>
  </r>
  <r>
    <x v="14"/>
    <n v="0"/>
    <m/>
    <m/>
    <m/>
    <n v="0"/>
    <m/>
  </r>
  <r>
    <x v="14"/>
    <n v="2"/>
    <n v="2"/>
    <m/>
    <m/>
    <n v="0"/>
    <n v="0"/>
  </r>
  <r>
    <x v="14"/>
    <n v="3"/>
    <m/>
    <m/>
    <n v="3"/>
    <n v="0"/>
    <n v="0"/>
  </r>
  <r>
    <x v="14"/>
    <n v="2"/>
    <m/>
    <n v="1"/>
    <n v="1"/>
    <n v="0"/>
    <n v="67"/>
  </r>
  <r>
    <x v="14"/>
    <n v="3"/>
    <n v="3"/>
    <m/>
    <m/>
    <n v="0"/>
    <n v="0"/>
  </r>
  <r>
    <x v="14"/>
    <n v="0"/>
    <m/>
    <m/>
    <m/>
    <n v="0"/>
    <m/>
  </r>
  <r>
    <x v="14"/>
    <n v="0"/>
    <m/>
    <m/>
    <m/>
    <n v="0"/>
    <m/>
  </r>
  <r>
    <x v="14"/>
    <n v="0"/>
    <m/>
    <m/>
    <m/>
    <n v="0"/>
    <m/>
  </r>
  <r>
    <x v="15"/>
    <n v="1"/>
    <n v="1"/>
    <m/>
    <m/>
    <n v="0"/>
    <n v="0"/>
  </r>
  <r>
    <x v="16"/>
    <n v="0"/>
    <m/>
    <m/>
    <m/>
    <n v="0"/>
    <m/>
  </r>
  <r>
    <x v="16"/>
    <n v="0"/>
    <m/>
    <m/>
    <m/>
    <n v="0"/>
    <m/>
  </r>
  <r>
    <x v="16"/>
    <n v="0"/>
    <m/>
    <m/>
    <m/>
    <n v="0"/>
    <m/>
  </r>
  <r>
    <x v="16"/>
    <n v="0"/>
    <m/>
    <m/>
    <m/>
    <n v="0"/>
    <m/>
  </r>
  <r>
    <x v="16"/>
    <n v="38"/>
    <m/>
    <n v="2"/>
    <n v="36"/>
    <n v="0"/>
    <n v="20"/>
  </r>
  <r>
    <x v="16"/>
    <n v="34"/>
    <m/>
    <n v="2"/>
    <n v="32"/>
    <n v="0"/>
    <n v="20"/>
  </r>
  <r>
    <x v="16"/>
    <n v="16"/>
    <m/>
    <n v="8"/>
    <n v="8"/>
    <n v="0"/>
    <n v="104"/>
  </r>
  <r>
    <x v="16"/>
    <n v="5"/>
    <m/>
    <n v="5"/>
    <n v="0"/>
    <n v="0"/>
    <n v="50"/>
  </r>
  <r>
    <x v="16"/>
    <n v="6"/>
    <m/>
    <n v="6"/>
    <n v="0"/>
    <n v="0"/>
    <n v="60"/>
  </r>
  <r>
    <x v="16"/>
    <n v="5"/>
    <m/>
    <n v="5"/>
    <m/>
    <n v="0"/>
    <n v="60"/>
  </r>
  <r>
    <x v="17"/>
    <n v="3"/>
    <m/>
    <n v="3"/>
    <n v="0"/>
    <n v="0"/>
    <n v="10.5"/>
  </r>
  <r>
    <x v="18"/>
    <n v="2"/>
    <n v="2"/>
    <m/>
    <m/>
    <n v="0"/>
    <n v="0"/>
  </r>
  <r>
    <x v="18"/>
    <n v="4"/>
    <n v="4"/>
    <m/>
    <m/>
    <n v="0"/>
    <m/>
  </r>
  <r>
    <x v="18"/>
    <n v="2"/>
    <n v="2"/>
    <m/>
    <m/>
    <n v="0"/>
    <n v="0"/>
  </r>
  <r>
    <x v="18"/>
    <n v="1"/>
    <m/>
    <m/>
    <n v="1"/>
    <n v="0"/>
    <n v="0"/>
  </r>
  <r>
    <x v="18"/>
    <n v="0"/>
    <m/>
    <m/>
    <m/>
    <n v="0"/>
    <m/>
  </r>
  <r>
    <x v="18"/>
    <n v="0"/>
    <m/>
    <m/>
    <m/>
    <n v="0"/>
    <m/>
  </r>
  <r>
    <x v="18"/>
    <n v="2"/>
    <n v="2"/>
    <m/>
    <m/>
    <n v="0"/>
    <n v="0"/>
  </r>
  <r>
    <x v="18"/>
    <n v="1"/>
    <n v="1"/>
    <m/>
    <m/>
    <n v="0"/>
    <n v="0"/>
  </r>
  <r>
    <x v="18"/>
    <n v="1"/>
    <n v="1"/>
    <m/>
    <m/>
    <n v="0"/>
    <n v="0"/>
  </r>
  <r>
    <x v="18"/>
    <n v="2"/>
    <n v="2"/>
    <m/>
    <m/>
    <n v="0"/>
    <n v="0"/>
  </r>
  <r>
    <x v="18"/>
    <n v="1"/>
    <n v="1"/>
    <m/>
    <m/>
    <n v="0"/>
    <n v="0"/>
  </r>
  <r>
    <x v="18"/>
    <n v="0"/>
    <m/>
    <m/>
    <m/>
    <n v="0"/>
    <m/>
  </r>
  <r>
    <x v="18"/>
    <n v="4"/>
    <n v="4"/>
    <m/>
    <m/>
    <n v="0"/>
    <m/>
  </r>
  <r>
    <x v="18"/>
    <n v="0"/>
    <m/>
    <m/>
    <m/>
    <n v="0"/>
    <m/>
  </r>
  <r>
    <x v="18"/>
    <n v="2"/>
    <n v="2"/>
    <m/>
    <m/>
    <n v="0"/>
    <n v="0"/>
  </r>
  <r>
    <x v="18"/>
    <n v="5"/>
    <n v="5"/>
    <m/>
    <m/>
    <n v="0"/>
    <n v="0"/>
  </r>
  <r>
    <x v="18"/>
    <n v="1"/>
    <n v="1"/>
    <m/>
    <m/>
    <n v="0"/>
    <n v="0"/>
  </r>
  <r>
    <x v="18"/>
    <n v="1"/>
    <n v="1"/>
    <m/>
    <m/>
    <n v="0"/>
    <n v="0"/>
  </r>
  <r>
    <x v="18"/>
    <n v="1"/>
    <n v="1"/>
    <m/>
    <m/>
    <n v="0"/>
    <n v="0"/>
  </r>
  <r>
    <x v="18"/>
    <n v="2"/>
    <m/>
    <n v="1"/>
    <n v="1"/>
    <n v="0"/>
    <n v="20.5"/>
  </r>
  <r>
    <x v="18"/>
    <n v="2"/>
    <n v="2"/>
    <m/>
    <m/>
    <n v="0"/>
    <n v="0"/>
  </r>
  <r>
    <x v="18"/>
    <n v="1"/>
    <m/>
    <n v="1"/>
    <n v="0"/>
    <n v="0"/>
    <n v="82.62"/>
  </r>
  <r>
    <x v="18"/>
    <n v="2"/>
    <m/>
    <n v="1"/>
    <n v="1"/>
    <n v="0"/>
    <n v="30.81"/>
  </r>
  <r>
    <x v="18"/>
    <n v="3"/>
    <n v="3"/>
    <m/>
    <m/>
    <n v="0"/>
    <n v="0"/>
  </r>
  <r>
    <x v="18"/>
    <n v="2"/>
    <n v="2"/>
    <m/>
    <m/>
    <n v="0"/>
    <n v="0"/>
  </r>
  <r>
    <x v="18"/>
    <n v="2"/>
    <n v="2"/>
    <m/>
    <m/>
    <n v="0"/>
    <n v="0"/>
  </r>
  <r>
    <x v="18"/>
    <n v="0"/>
    <m/>
    <m/>
    <m/>
    <n v="0"/>
    <m/>
  </r>
  <r>
    <x v="19"/>
    <n v="1"/>
    <n v="1"/>
    <m/>
    <m/>
    <n v="0"/>
    <n v="0"/>
  </r>
  <r>
    <x v="20"/>
    <n v="2"/>
    <m/>
    <n v="2"/>
    <n v="0"/>
    <n v="0"/>
    <n v="35.979999999999997"/>
  </r>
  <r>
    <x v="20"/>
    <n v="9"/>
    <m/>
    <n v="9"/>
    <n v="0"/>
    <n v="0"/>
    <n v="117"/>
  </r>
  <r>
    <x v="20"/>
    <n v="10"/>
    <m/>
    <n v="10"/>
    <m/>
    <n v="0"/>
    <m/>
  </r>
  <r>
    <x v="20"/>
    <n v="0"/>
    <m/>
    <m/>
    <m/>
    <n v="0"/>
    <m/>
  </r>
  <r>
    <x v="21"/>
    <n v="0"/>
    <m/>
    <m/>
    <m/>
    <n v="0"/>
    <m/>
  </r>
  <r>
    <x v="21"/>
    <n v="0"/>
    <m/>
    <m/>
    <m/>
    <n v="0"/>
    <m/>
  </r>
  <r>
    <x v="21"/>
    <n v="0"/>
    <m/>
    <m/>
    <m/>
    <n v="0"/>
    <m/>
  </r>
  <r>
    <x v="21"/>
    <n v="1"/>
    <n v="1"/>
    <m/>
    <m/>
    <n v="0"/>
    <n v="0"/>
  </r>
  <r>
    <x v="21"/>
    <n v="1"/>
    <n v="1"/>
    <m/>
    <m/>
    <n v="0"/>
    <n v="0"/>
  </r>
  <r>
    <x v="21"/>
    <n v="0"/>
    <m/>
    <m/>
    <m/>
    <n v="0"/>
    <m/>
  </r>
  <r>
    <x v="21"/>
    <n v="1"/>
    <m/>
    <m/>
    <n v="1"/>
    <n v="0"/>
    <n v="0"/>
  </r>
  <r>
    <x v="21"/>
    <n v="1"/>
    <m/>
    <n v="1"/>
    <n v="0"/>
    <n v="0"/>
    <n v="26.9"/>
  </r>
  <r>
    <x v="22"/>
    <n v="0"/>
    <m/>
    <m/>
    <m/>
    <n v="0"/>
    <m/>
  </r>
  <r>
    <x v="22"/>
    <n v="2"/>
    <m/>
    <n v="1"/>
    <n v="1"/>
    <n v="0"/>
    <n v="137.33000000000001"/>
  </r>
  <r>
    <x v="22"/>
    <n v="2"/>
    <m/>
    <n v="1"/>
    <n v="1"/>
    <n v="0"/>
    <n v="133.29"/>
  </r>
  <r>
    <x v="22"/>
    <n v="2"/>
    <m/>
    <n v="2"/>
    <n v="0"/>
    <n v="0"/>
    <n v="18.84"/>
  </r>
  <r>
    <x v="22"/>
    <n v="2"/>
    <m/>
    <n v="2"/>
    <n v="0"/>
    <n v="0"/>
    <n v="20.2"/>
  </r>
  <r>
    <x v="22"/>
    <n v="4"/>
    <m/>
    <n v="4"/>
    <n v="0"/>
    <n v="0"/>
    <n v="25.24"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2"/>
    <n v="2"/>
    <m/>
    <m/>
    <n v="0"/>
    <n v="0"/>
  </r>
  <r>
    <x v="23"/>
    <n v="2"/>
    <n v="2"/>
    <m/>
    <m/>
    <n v="0"/>
    <n v="0"/>
  </r>
  <r>
    <x v="23"/>
    <n v="2"/>
    <m/>
    <n v="1"/>
    <n v="1"/>
    <n v="0"/>
    <n v="43.66"/>
  </r>
  <r>
    <x v="23"/>
    <n v="3"/>
    <n v="3"/>
    <m/>
    <m/>
    <n v="0"/>
    <n v="0"/>
  </r>
  <r>
    <x v="23"/>
    <n v="2"/>
    <n v="2"/>
    <m/>
    <m/>
    <n v="0"/>
    <n v="0"/>
  </r>
  <r>
    <x v="23"/>
    <n v="0"/>
    <m/>
    <m/>
    <m/>
    <n v="0"/>
    <m/>
  </r>
  <r>
    <x v="23"/>
    <n v="0"/>
    <m/>
    <m/>
    <m/>
    <n v="0"/>
    <m/>
  </r>
  <r>
    <x v="23"/>
    <n v="4"/>
    <m/>
    <n v="1"/>
    <n v="3"/>
    <n v="0"/>
    <n v="18.96"/>
  </r>
  <r>
    <x v="23"/>
    <n v="3"/>
    <m/>
    <n v="1"/>
    <n v="2"/>
    <n v="0"/>
    <n v="24.51"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3"/>
    <n v="3"/>
    <m/>
    <m/>
    <n v="0"/>
    <n v="0"/>
  </r>
  <r>
    <x v="23"/>
    <n v="2"/>
    <m/>
    <n v="1"/>
    <n v="1"/>
    <n v="0"/>
    <n v="30.89"/>
  </r>
  <r>
    <x v="23"/>
    <n v="1"/>
    <m/>
    <n v="1"/>
    <n v="0"/>
    <n v="0"/>
    <n v="9.23"/>
  </r>
  <r>
    <x v="23"/>
    <n v="1"/>
    <m/>
    <n v="1"/>
    <n v="0"/>
    <n v="0"/>
    <n v="14.5"/>
  </r>
  <r>
    <x v="23"/>
    <n v="0"/>
    <m/>
    <m/>
    <m/>
    <n v="0"/>
    <m/>
  </r>
  <r>
    <x v="23"/>
    <n v="1"/>
    <n v="1"/>
    <m/>
    <m/>
    <n v="0"/>
    <n v="0"/>
  </r>
  <r>
    <x v="23"/>
    <n v="2"/>
    <m/>
    <n v="1"/>
    <n v="1"/>
    <n v="0"/>
    <n v="47"/>
  </r>
  <r>
    <x v="23"/>
    <n v="3"/>
    <n v="3"/>
    <m/>
    <m/>
    <n v="0"/>
    <n v="0"/>
  </r>
  <r>
    <x v="23"/>
    <n v="1"/>
    <n v="1"/>
    <m/>
    <m/>
    <n v="0"/>
    <n v="0"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3"/>
    <n v="3"/>
    <m/>
    <m/>
    <n v="0"/>
    <n v="0"/>
  </r>
  <r>
    <x v="23"/>
    <n v="1"/>
    <m/>
    <n v="1"/>
    <n v="0"/>
    <n v="0"/>
    <n v="34.1"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0"/>
    <m/>
    <m/>
    <m/>
    <n v="0"/>
    <m/>
  </r>
  <r>
    <x v="23"/>
    <n v="6"/>
    <m/>
    <n v="6"/>
    <m/>
    <n v="0"/>
    <n v="32.82"/>
  </r>
  <r>
    <x v="23"/>
    <n v="5"/>
    <m/>
    <n v="5"/>
    <m/>
    <n v="0"/>
    <n v="27.349999999999998"/>
  </r>
  <r>
    <x v="23"/>
    <n v="0"/>
    <m/>
    <m/>
    <m/>
    <n v="0"/>
    <m/>
  </r>
  <r>
    <x v="23"/>
    <n v="4"/>
    <m/>
    <n v="4"/>
    <m/>
    <n v="0"/>
    <n v="21.88"/>
  </r>
  <r>
    <x v="23"/>
    <n v="0"/>
    <m/>
    <m/>
    <m/>
    <n v="0"/>
    <m/>
  </r>
  <r>
    <x v="23"/>
    <n v="6"/>
    <m/>
    <n v="6"/>
    <m/>
    <n v="0"/>
    <n v="32.82"/>
  </r>
  <r>
    <x v="23"/>
    <n v="0"/>
    <m/>
    <m/>
    <m/>
    <n v="0"/>
    <m/>
  </r>
  <r>
    <x v="23"/>
    <n v="0"/>
    <m/>
    <m/>
    <m/>
    <n v="0"/>
    <m/>
  </r>
  <r>
    <x v="23"/>
    <n v="2"/>
    <m/>
    <n v="2"/>
    <n v="0"/>
    <n v="0"/>
    <n v="12.76"/>
  </r>
  <r>
    <x v="23"/>
    <n v="2"/>
    <n v="2"/>
    <m/>
    <m/>
    <n v="0"/>
    <n v="0"/>
  </r>
  <r>
    <x v="23"/>
    <n v="1"/>
    <n v="1"/>
    <m/>
    <m/>
    <n v="0"/>
    <n v="0"/>
  </r>
  <r>
    <x v="23"/>
    <n v="1"/>
    <m/>
    <n v="1"/>
    <n v="0"/>
    <n v="0"/>
    <n v="40.340000000000003"/>
  </r>
  <r>
    <x v="23"/>
    <n v="2"/>
    <m/>
    <n v="1"/>
    <n v="1"/>
    <n v="0"/>
    <n v="32.54"/>
  </r>
  <r>
    <x v="23"/>
    <n v="2"/>
    <m/>
    <n v="1"/>
    <n v="1"/>
    <n v="0"/>
    <n v="44.14"/>
  </r>
  <r>
    <x v="23"/>
    <n v="2"/>
    <m/>
    <m/>
    <n v="2"/>
    <n v="0"/>
    <n v="0"/>
  </r>
  <r>
    <x v="23"/>
    <n v="3"/>
    <m/>
    <n v="1"/>
    <n v="2"/>
    <n v="0"/>
    <n v="50.4"/>
  </r>
  <r>
    <x v="23"/>
    <n v="2"/>
    <m/>
    <n v="1"/>
    <n v="1"/>
    <n v="0"/>
    <n v="34.409999999999997"/>
  </r>
  <r>
    <x v="23"/>
    <n v="1"/>
    <m/>
    <n v="1"/>
    <n v="0"/>
    <n v="0"/>
    <n v="58.74"/>
  </r>
  <r>
    <x v="23"/>
    <n v="4"/>
    <n v="4"/>
    <m/>
    <m/>
    <n v="0"/>
    <n v="0"/>
  </r>
  <r>
    <x v="23"/>
    <n v="0"/>
    <m/>
    <m/>
    <m/>
    <n v="0"/>
    <m/>
  </r>
  <r>
    <x v="23"/>
    <n v="3"/>
    <n v="3"/>
    <m/>
    <m/>
    <n v="0"/>
    <n v="0"/>
  </r>
  <r>
    <x v="23"/>
    <n v="0"/>
    <m/>
    <m/>
    <m/>
    <n v="0"/>
    <m/>
  </r>
  <r>
    <x v="23"/>
    <n v="2"/>
    <n v="2"/>
    <m/>
    <m/>
    <n v="0"/>
    <n v="0"/>
  </r>
  <r>
    <x v="24"/>
    <n v="0"/>
    <m/>
    <m/>
    <m/>
    <n v="0"/>
    <m/>
  </r>
  <r>
    <x v="25"/>
    <n v="3"/>
    <n v="3"/>
    <m/>
    <m/>
    <n v="0"/>
    <n v="0"/>
  </r>
  <r>
    <x v="25"/>
    <n v="3"/>
    <m/>
    <n v="1"/>
    <n v="2"/>
    <n v="0"/>
    <n v="82.88"/>
  </r>
  <r>
    <x v="25"/>
    <n v="1"/>
    <n v="1"/>
    <m/>
    <m/>
    <n v="0"/>
    <n v="0"/>
  </r>
  <r>
    <x v="25"/>
    <n v="2"/>
    <m/>
    <m/>
    <n v="2"/>
    <n v="0"/>
    <n v="0"/>
  </r>
  <r>
    <x v="25"/>
    <n v="1"/>
    <m/>
    <m/>
    <n v="1"/>
    <n v="0"/>
    <n v="0"/>
  </r>
  <r>
    <x v="25"/>
    <n v="1"/>
    <m/>
    <m/>
    <n v="1"/>
    <n v="0"/>
    <n v="0"/>
  </r>
  <r>
    <x v="25"/>
    <n v="0"/>
    <m/>
    <m/>
    <m/>
    <n v="0"/>
    <m/>
  </r>
  <r>
    <x v="25"/>
    <n v="2"/>
    <n v="2"/>
    <m/>
    <m/>
    <n v="0"/>
    <n v="0"/>
  </r>
  <r>
    <x v="25"/>
    <n v="1"/>
    <n v="1"/>
    <m/>
    <m/>
    <n v="0"/>
    <n v="0"/>
  </r>
  <r>
    <x v="25"/>
    <n v="1"/>
    <n v="1"/>
    <m/>
    <m/>
    <n v="0"/>
    <n v="0"/>
  </r>
  <r>
    <x v="25"/>
    <n v="2"/>
    <n v="2"/>
    <m/>
    <m/>
    <n v="0"/>
    <n v="0"/>
  </r>
  <r>
    <x v="25"/>
    <n v="1"/>
    <n v="1"/>
    <m/>
    <m/>
    <n v="0"/>
    <n v="0"/>
  </r>
  <r>
    <x v="25"/>
    <n v="2"/>
    <n v="2"/>
    <m/>
    <m/>
    <n v="0"/>
    <n v="0"/>
  </r>
  <r>
    <x v="25"/>
    <n v="2"/>
    <n v="2"/>
    <m/>
    <m/>
    <n v="0"/>
    <n v="0"/>
  </r>
  <r>
    <x v="25"/>
    <n v="2"/>
    <n v="2"/>
    <m/>
    <m/>
    <n v="0"/>
    <n v="0"/>
  </r>
  <r>
    <x v="25"/>
    <n v="3"/>
    <n v="3"/>
    <m/>
    <m/>
    <n v="0"/>
    <n v="0"/>
  </r>
  <r>
    <x v="25"/>
    <n v="2"/>
    <n v="2"/>
    <m/>
    <m/>
    <n v="0"/>
    <n v="0"/>
  </r>
  <r>
    <x v="25"/>
    <n v="2"/>
    <n v="2"/>
    <m/>
    <m/>
    <n v="0"/>
    <n v="0"/>
  </r>
  <r>
    <x v="26"/>
    <n v="0"/>
    <m/>
    <m/>
    <m/>
    <n v="0"/>
    <m/>
  </r>
  <r>
    <x v="26"/>
    <n v="5"/>
    <m/>
    <n v="3"/>
    <n v="2"/>
    <n v="0"/>
    <n v="320.94"/>
  </r>
  <r>
    <x v="26"/>
    <n v="0"/>
    <m/>
    <m/>
    <m/>
    <n v="0"/>
    <m/>
  </r>
  <r>
    <x v="26"/>
    <n v="0"/>
    <m/>
    <m/>
    <m/>
    <n v="0"/>
    <m/>
  </r>
  <r>
    <x v="26"/>
    <n v="0"/>
    <m/>
    <m/>
    <m/>
    <n v="0"/>
    <m/>
  </r>
  <r>
    <x v="26"/>
    <n v="0"/>
    <m/>
    <m/>
    <m/>
    <n v="0"/>
    <m/>
  </r>
  <r>
    <x v="26"/>
    <n v="0"/>
    <m/>
    <m/>
    <m/>
    <n v="0"/>
    <m/>
  </r>
  <r>
    <x v="26"/>
    <n v="10"/>
    <m/>
    <n v="2"/>
    <n v="8"/>
    <n v="0"/>
    <m/>
  </r>
  <r>
    <x v="26"/>
    <n v="10"/>
    <m/>
    <n v="2"/>
    <n v="8"/>
    <n v="0"/>
    <m/>
  </r>
  <r>
    <x v="26"/>
    <n v="3"/>
    <m/>
    <n v="3"/>
    <n v="0"/>
    <n v="0"/>
    <n v="82.92"/>
  </r>
  <r>
    <x v="26"/>
    <n v="2"/>
    <m/>
    <n v="2"/>
    <n v="0"/>
    <n v="0"/>
    <n v="55.28"/>
  </r>
  <r>
    <x v="26"/>
    <n v="7"/>
    <m/>
    <n v="1"/>
    <n v="6"/>
    <n v="0"/>
    <n v="27.64"/>
  </r>
  <r>
    <x v="26"/>
    <n v="4"/>
    <m/>
    <n v="1"/>
    <n v="3"/>
    <n v="0"/>
    <m/>
  </r>
  <r>
    <x v="26"/>
    <n v="0"/>
    <m/>
    <m/>
    <m/>
    <n v="0"/>
    <m/>
  </r>
  <r>
    <x v="26"/>
    <n v="0"/>
    <m/>
    <m/>
    <m/>
    <n v="0"/>
    <m/>
  </r>
  <r>
    <x v="26"/>
    <n v="3"/>
    <m/>
    <n v="1"/>
    <n v="2"/>
    <n v="0"/>
    <n v="115.69"/>
  </r>
  <r>
    <x v="26"/>
    <n v="1"/>
    <m/>
    <n v="1"/>
    <n v="0"/>
    <n v="0"/>
    <n v="130.66999999999999"/>
  </r>
  <r>
    <x v="26"/>
    <n v="0"/>
    <m/>
    <m/>
    <m/>
    <n v="0"/>
    <m/>
  </r>
  <r>
    <x v="26"/>
    <n v="1"/>
    <m/>
    <n v="1"/>
    <n v="0"/>
    <n v="0"/>
    <n v="168.43"/>
  </r>
  <r>
    <x v="26"/>
    <n v="4"/>
    <m/>
    <n v="2"/>
    <n v="2"/>
    <n v="0"/>
    <n v="218.76"/>
  </r>
  <r>
    <x v="26"/>
    <n v="2"/>
    <m/>
    <n v="1"/>
    <n v="1"/>
    <n v="0"/>
    <n v="117.1"/>
  </r>
  <r>
    <x v="26"/>
    <n v="0"/>
    <m/>
    <m/>
    <m/>
    <n v="0"/>
    <m/>
  </r>
  <r>
    <x v="26"/>
    <n v="2"/>
    <m/>
    <n v="1"/>
    <n v="1"/>
    <n v="0"/>
    <n v="151.9"/>
  </r>
  <r>
    <x v="26"/>
    <n v="4"/>
    <m/>
    <n v="1"/>
    <n v="3"/>
    <n v="0"/>
    <n v="167.03"/>
  </r>
  <r>
    <x v="26"/>
    <n v="2"/>
    <m/>
    <n v="1"/>
    <n v="1"/>
    <n v="0"/>
    <n v="145.44"/>
  </r>
  <r>
    <x v="26"/>
    <n v="0"/>
    <m/>
    <m/>
    <m/>
    <n v="0"/>
    <m/>
  </r>
  <r>
    <x v="26"/>
    <n v="0"/>
    <m/>
    <m/>
    <m/>
    <n v="0"/>
    <m/>
  </r>
  <r>
    <x v="26"/>
    <n v="2"/>
    <m/>
    <n v="1"/>
    <n v="1"/>
    <n v="0"/>
    <n v="29.9"/>
  </r>
  <r>
    <x v="26"/>
    <n v="4"/>
    <m/>
    <n v="1"/>
    <n v="3"/>
    <n v="0"/>
    <m/>
  </r>
  <r>
    <x v="26"/>
    <n v="1"/>
    <m/>
    <n v="1"/>
    <m/>
    <n v="0"/>
    <n v="36.9"/>
  </r>
  <r>
    <x v="26"/>
    <n v="6"/>
    <m/>
    <n v="1"/>
    <n v="5"/>
    <n v="0"/>
    <n v="163.81"/>
  </r>
  <r>
    <x v="26"/>
    <n v="0"/>
    <m/>
    <m/>
    <m/>
    <n v="0"/>
    <m/>
  </r>
  <r>
    <x v="26"/>
    <n v="0"/>
    <m/>
    <m/>
    <m/>
    <n v="0"/>
    <m/>
  </r>
  <r>
    <x v="26"/>
    <n v="4"/>
    <m/>
    <n v="1"/>
    <n v="3"/>
    <n v="0"/>
    <n v="46.9"/>
  </r>
  <r>
    <x v="26"/>
    <n v="3"/>
    <m/>
    <n v="1"/>
    <n v="2"/>
    <n v="0"/>
    <n v="44.67"/>
  </r>
  <r>
    <x v="26"/>
    <n v="1"/>
    <m/>
    <n v="1"/>
    <n v="0"/>
    <n v="0"/>
    <n v="34.83"/>
  </r>
  <r>
    <x v="26"/>
    <n v="1"/>
    <m/>
    <n v="1"/>
    <m/>
    <n v="0"/>
    <n v="39.83"/>
  </r>
  <r>
    <x v="26"/>
    <n v="2"/>
    <m/>
    <n v="1"/>
    <n v="1"/>
    <n v="0"/>
    <n v="19.670000000000002"/>
  </r>
  <r>
    <x v="26"/>
    <n v="3"/>
    <m/>
    <n v="1"/>
    <n v="2"/>
    <n v="0"/>
    <n v="126.49"/>
  </r>
  <r>
    <x v="26"/>
    <n v="2"/>
    <m/>
    <m/>
    <m/>
    <n v="2"/>
    <n v="0"/>
  </r>
  <r>
    <x v="26"/>
    <n v="0"/>
    <m/>
    <m/>
    <m/>
    <n v="0"/>
    <m/>
  </r>
  <r>
    <x v="26"/>
    <n v="0"/>
    <m/>
    <m/>
    <m/>
    <n v="0"/>
    <m/>
  </r>
  <r>
    <x v="26"/>
    <n v="1"/>
    <m/>
    <m/>
    <m/>
    <n v="1"/>
    <n v="0"/>
  </r>
  <r>
    <x v="26"/>
    <n v="3"/>
    <m/>
    <n v="1"/>
    <n v="2"/>
    <n v="0"/>
    <n v="167.06"/>
  </r>
  <r>
    <x v="26"/>
    <n v="3"/>
    <m/>
    <n v="1"/>
    <n v="2"/>
    <n v="0"/>
    <n v="131.07"/>
  </r>
  <r>
    <x v="26"/>
    <n v="0"/>
    <m/>
    <m/>
    <m/>
    <n v="0"/>
    <m/>
  </r>
  <r>
    <x v="26"/>
    <n v="0"/>
    <m/>
    <m/>
    <m/>
    <n v="0"/>
    <m/>
  </r>
  <r>
    <x v="27"/>
    <n v="2"/>
    <m/>
    <n v="1"/>
    <n v="1"/>
    <n v="0"/>
    <n v="57.6"/>
  </r>
  <r>
    <x v="27"/>
    <n v="2"/>
    <n v="2"/>
    <m/>
    <m/>
    <n v="0"/>
    <n v="0"/>
  </r>
  <r>
    <x v="27"/>
    <n v="0"/>
    <m/>
    <m/>
    <m/>
    <n v="0"/>
    <m/>
  </r>
  <r>
    <x v="27"/>
    <n v="0"/>
    <m/>
    <m/>
    <m/>
    <n v="0"/>
    <m/>
  </r>
  <r>
    <x v="27"/>
    <n v="0"/>
    <m/>
    <m/>
    <m/>
    <n v="0"/>
    <m/>
  </r>
  <r>
    <x v="27"/>
    <n v="0"/>
    <m/>
    <m/>
    <m/>
    <n v="0"/>
    <m/>
  </r>
  <r>
    <x v="27"/>
    <n v="3"/>
    <m/>
    <n v="1"/>
    <n v="2"/>
    <n v="0"/>
    <n v="31.05"/>
  </r>
  <r>
    <x v="27"/>
    <n v="1"/>
    <m/>
    <n v="1"/>
    <n v="0"/>
    <n v="0"/>
    <n v="48.14"/>
  </r>
  <r>
    <x v="27"/>
    <n v="3"/>
    <m/>
    <n v="1"/>
    <n v="2"/>
    <n v="0"/>
    <n v="57.9"/>
  </r>
  <r>
    <x v="27"/>
    <n v="0"/>
    <m/>
    <m/>
    <m/>
    <n v="0"/>
    <m/>
  </r>
  <r>
    <x v="27"/>
    <n v="3"/>
    <n v="3"/>
    <m/>
    <m/>
    <n v="0"/>
    <n v="0"/>
  </r>
  <r>
    <x v="27"/>
    <n v="2"/>
    <n v="2"/>
    <m/>
    <m/>
    <n v="0"/>
    <n v="0"/>
  </r>
  <r>
    <x v="27"/>
    <n v="7"/>
    <m/>
    <n v="1"/>
    <n v="6"/>
    <n v="0"/>
    <n v="37.42"/>
  </r>
  <r>
    <x v="27"/>
    <n v="0"/>
    <m/>
    <m/>
    <m/>
    <n v="0"/>
    <m/>
  </r>
  <r>
    <x v="27"/>
    <n v="0"/>
    <m/>
    <m/>
    <m/>
    <n v="0"/>
    <m/>
  </r>
  <r>
    <x v="27"/>
    <n v="1"/>
    <n v="1"/>
    <m/>
    <m/>
    <n v="0"/>
    <n v="0"/>
  </r>
  <r>
    <x v="27"/>
    <n v="0"/>
    <m/>
    <m/>
    <m/>
    <n v="0"/>
    <m/>
  </r>
  <r>
    <x v="27"/>
    <n v="6"/>
    <m/>
    <n v="1"/>
    <n v="5"/>
    <n v="0"/>
    <n v="22.35"/>
  </r>
  <r>
    <x v="27"/>
    <n v="2"/>
    <n v="2"/>
    <m/>
    <m/>
    <n v="0"/>
    <n v="0"/>
  </r>
  <r>
    <x v="27"/>
    <n v="3"/>
    <n v="3"/>
    <m/>
    <m/>
    <n v="0"/>
    <n v="0"/>
  </r>
  <r>
    <x v="27"/>
    <n v="2"/>
    <n v="2"/>
    <m/>
    <m/>
    <n v="0"/>
    <n v="0"/>
  </r>
  <r>
    <x v="27"/>
    <n v="1"/>
    <n v="1"/>
    <m/>
    <m/>
    <n v="0"/>
    <n v="0"/>
  </r>
  <r>
    <x v="28"/>
    <n v="0"/>
    <m/>
    <m/>
    <m/>
    <n v="0"/>
    <m/>
  </r>
  <r>
    <x v="28"/>
    <n v="0"/>
    <m/>
    <m/>
    <m/>
    <n v="0"/>
    <m/>
  </r>
  <r>
    <x v="28"/>
    <n v="0"/>
    <m/>
    <m/>
    <m/>
    <n v="0"/>
    <m/>
  </r>
  <r>
    <x v="28"/>
    <n v="0"/>
    <m/>
    <m/>
    <m/>
    <n v="0"/>
    <m/>
  </r>
  <r>
    <x v="29"/>
    <n v="0"/>
    <m/>
    <m/>
    <m/>
    <n v="0"/>
    <m/>
  </r>
  <r>
    <x v="29"/>
    <n v="5"/>
    <n v="5"/>
    <m/>
    <m/>
    <n v="0"/>
    <n v="0"/>
  </r>
  <r>
    <x v="30"/>
    <n v="0"/>
    <m/>
    <m/>
    <m/>
    <n v="0"/>
    <m/>
  </r>
  <r>
    <x v="31"/>
    <n v="0"/>
    <m/>
    <m/>
    <m/>
    <n v="0"/>
    <m/>
  </r>
  <r>
    <x v="31"/>
    <n v="0"/>
    <m/>
    <m/>
    <m/>
    <n v="0"/>
    <m/>
  </r>
  <r>
    <x v="31"/>
    <n v="0"/>
    <m/>
    <m/>
    <m/>
    <n v="0"/>
    <m/>
  </r>
  <r>
    <x v="31"/>
    <n v="0"/>
    <m/>
    <m/>
    <m/>
    <n v="0"/>
    <m/>
  </r>
  <r>
    <x v="31"/>
    <n v="0"/>
    <m/>
    <m/>
    <m/>
    <n v="0"/>
    <m/>
  </r>
  <r>
    <x v="31"/>
    <n v="1"/>
    <n v="1"/>
    <m/>
    <m/>
    <n v="0"/>
    <n v="0"/>
  </r>
  <r>
    <x v="31"/>
    <n v="0"/>
    <m/>
    <m/>
    <m/>
    <n v="0"/>
    <m/>
  </r>
  <r>
    <x v="31"/>
    <n v="0"/>
    <m/>
    <m/>
    <m/>
    <n v="0"/>
    <m/>
  </r>
  <r>
    <x v="31"/>
    <n v="0"/>
    <m/>
    <m/>
    <m/>
    <n v="0"/>
    <m/>
  </r>
  <r>
    <x v="31"/>
    <n v="0"/>
    <m/>
    <m/>
    <m/>
    <n v="0"/>
    <m/>
  </r>
  <r>
    <x v="31"/>
    <n v="1"/>
    <m/>
    <n v="1"/>
    <n v="0"/>
    <n v="0"/>
    <n v="21.52"/>
  </r>
  <r>
    <x v="31"/>
    <n v="4"/>
    <m/>
    <n v="1"/>
    <n v="3"/>
    <n v="0"/>
    <n v="22.46"/>
  </r>
  <r>
    <x v="31"/>
    <n v="1"/>
    <n v="1"/>
    <m/>
    <m/>
    <n v="0"/>
    <n v="0"/>
  </r>
  <r>
    <x v="31"/>
    <n v="1"/>
    <n v="1"/>
    <m/>
    <m/>
    <n v="0"/>
    <n v="0"/>
  </r>
  <r>
    <x v="31"/>
    <n v="1"/>
    <n v="1"/>
    <m/>
    <m/>
    <n v="0"/>
    <n v="0"/>
  </r>
  <r>
    <x v="31"/>
    <n v="2"/>
    <n v="2"/>
    <m/>
    <m/>
    <n v="0"/>
    <n v="0"/>
  </r>
  <r>
    <x v="31"/>
    <n v="4"/>
    <m/>
    <n v="1"/>
    <n v="3"/>
    <n v="0"/>
    <n v="28.42"/>
  </r>
  <r>
    <x v="31"/>
    <n v="4"/>
    <n v="4"/>
    <m/>
    <m/>
    <n v="0"/>
    <m/>
  </r>
  <r>
    <x v="31"/>
    <n v="3"/>
    <n v="3"/>
    <m/>
    <m/>
    <n v="0"/>
    <n v="0"/>
  </r>
  <r>
    <x v="31"/>
    <n v="6"/>
    <n v="6"/>
    <m/>
    <m/>
    <n v="0"/>
    <n v="0"/>
  </r>
  <r>
    <x v="31"/>
    <n v="1"/>
    <m/>
    <n v="1"/>
    <n v="0"/>
    <n v="0"/>
    <n v="28.42"/>
  </r>
  <r>
    <x v="31"/>
    <n v="1"/>
    <n v="1"/>
    <m/>
    <m/>
    <n v="0"/>
    <n v="0"/>
  </r>
  <r>
    <x v="31"/>
    <n v="1"/>
    <m/>
    <n v="1"/>
    <n v="0"/>
    <n v="0"/>
    <n v="52.26"/>
  </r>
  <r>
    <x v="31"/>
    <n v="1"/>
    <n v="1"/>
    <m/>
    <m/>
    <n v="0"/>
    <n v="0"/>
  </r>
  <r>
    <x v="32"/>
    <n v="2"/>
    <n v="2"/>
    <m/>
    <m/>
    <n v="0"/>
    <n v="0"/>
  </r>
  <r>
    <x v="32"/>
    <n v="2"/>
    <n v="2"/>
    <m/>
    <m/>
    <n v="0"/>
    <n v="0"/>
  </r>
  <r>
    <x v="32"/>
    <n v="0"/>
    <m/>
    <m/>
    <m/>
    <n v="0"/>
    <m/>
  </r>
  <r>
    <x v="32"/>
    <n v="1"/>
    <n v="1"/>
    <m/>
    <m/>
    <n v="0"/>
    <n v="0"/>
  </r>
  <r>
    <x v="32"/>
    <n v="0"/>
    <m/>
    <m/>
    <m/>
    <n v="0"/>
    <m/>
  </r>
  <r>
    <x v="32"/>
    <n v="0"/>
    <m/>
    <m/>
    <m/>
    <n v="0"/>
    <m/>
  </r>
  <r>
    <x v="32"/>
    <n v="4"/>
    <n v="4"/>
    <m/>
    <m/>
    <n v="0"/>
    <m/>
  </r>
  <r>
    <x v="32"/>
    <n v="5"/>
    <n v="5"/>
    <m/>
    <m/>
    <n v="0"/>
    <n v="0"/>
  </r>
  <r>
    <x v="32"/>
    <n v="3"/>
    <n v="3"/>
    <m/>
    <m/>
    <n v="0"/>
    <n v="0"/>
  </r>
  <r>
    <x v="32"/>
    <n v="1"/>
    <n v="1"/>
    <m/>
    <m/>
    <n v="0"/>
    <n v="0"/>
  </r>
  <r>
    <x v="32"/>
    <n v="2"/>
    <n v="2"/>
    <m/>
    <m/>
    <n v="0"/>
    <n v="0"/>
  </r>
  <r>
    <x v="32"/>
    <n v="1"/>
    <n v="1"/>
    <m/>
    <m/>
    <n v="0"/>
    <n v="0"/>
  </r>
  <r>
    <x v="32"/>
    <n v="2"/>
    <m/>
    <n v="1"/>
    <n v="1"/>
    <n v="0"/>
    <n v="66.17"/>
  </r>
  <r>
    <x v="33"/>
    <n v="2"/>
    <n v="2"/>
    <m/>
    <m/>
    <n v="0"/>
    <n v="0"/>
  </r>
  <r>
    <x v="33"/>
    <n v="2"/>
    <n v="2"/>
    <m/>
    <m/>
    <n v="0"/>
    <n v="0"/>
  </r>
  <r>
    <x v="33"/>
    <n v="2"/>
    <n v="2"/>
    <m/>
    <m/>
    <n v="0"/>
    <n v="0"/>
  </r>
  <r>
    <x v="33"/>
    <n v="2"/>
    <m/>
    <m/>
    <n v="2"/>
    <n v="0"/>
    <n v="0"/>
  </r>
  <r>
    <x v="34"/>
    <n v="1"/>
    <m/>
    <n v="1"/>
    <n v="0"/>
    <n v="0"/>
    <n v="11.07"/>
  </r>
  <r>
    <x v="34"/>
    <n v="0"/>
    <m/>
    <m/>
    <m/>
    <n v="0"/>
    <m/>
  </r>
  <r>
    <x v="34"/>
    <n v="7"/>
    <m/>
    <n v="1"/>
    <n v="6"/>
    <n v="0"/>
    <n v="24.76"/>
  </r>
  <r>
    <x v="34"/>
    <n v="0"/>
    <m/>
    <m/>
    <m/>
    <n v="0"/>
    <m/>
  </r>
  <r>
    <x v="34"/>
    <n v="0"/>
    <m/>
    <m/>
    <m/>
    <n v="0"/>
    <m/>
  </r>
  <r>
    <x v="34"/>
    <n v="1"/>
    <m/>
    <n v="1"/>
    <n v="0"/>
    <n v="0"/>
    <n v="30.29"/>
  </r>
  <r>
    <x v="34"/>
    <n v="6"/>
    <n v="6"/>
    <m/>
    <m/>
    <n v="0"/>
    <n v="0"/>
  </r>
  <r>
    <x v="34"/>
    <n v="2"/>
    <m/>
    <n v="1"/>
    <n v="1"/>
    <n v="0"/>
    <n v="24.76"/>
  </r>
  <r>
    <x v="34"/>
    <n v="1"/>
    <n v="1"/>
    <m/>
    <m/>
    <n v="0"/>
    <n v="0"/>
  </r>
  <r>
    <x v="34"/>
    <n v="3"/>
    <n v="3"/>
    <m/>
    <m/>
    <n v="0"/>
    <n v="0"/>
  </r>
  <r>
    <x v="34"/>
    <n v="1"/>
    <m/>
    <m/>
    <n v="1"/>
    <n v="0"/>
    <n v="0"/>
  </r>
  <r>
    <x v="34"/>
    <n v="3"/>
    <n v="3"/>
    <m/>
    <m/>
    <n v="0"/>
    <n v="0"/>
  </r>
  <r>
    <x v="34"/>
    <n v="6"/>
    <m/>
    <n v="1"/>
    <n v="5"/>
    <n v="0"/>
    <n v="16.559999999999999"/>
  </r>
  <r>
    <x v="34"/>
    <n v="3"/>
    <m/>
    <n v="1"/>
    <n v="2"/>
    <n v="0"/>
    <n v="38.17"/>
  </r>
  <r>
    <x v="34"/>
    <n v="0"/>
    <m/>
    <m/>
    <m/>
    <n v="0"/>
    <m/>
  </r>
  <r>
    <x v="34"/>
    <n v="2"/>
    <n v="2"/>
    <m/>
    <m/>
    <n v="0"/>
    <n v="0"/>
  </r>
  <r>
    <x v="34"/>
    <n v="1"/>
    <n v="1"/>
    <m/>
    <m/>
    <n v="0"/>
    <n v="0"/>
  </r>
  <r>
    <x v="34"/>
    <n v="1"/>
    <n v="1"/>
    <m/>
    <m/>
    <n v="0"/>
    <n v="0"/>
  </r>
  <r>
    <x v="34"/>
    <n v="5"/>
    <n v="5"/>
    <m/>
    <m/>
    <n v="0"/>
    <n v="0"/>
  </r>
  <r>
    <x v="34"/>
    <n v="0"/>
    <m/>
    <m/>
    <m/>
    <n v="0"/>
    <m/>
  </r>
  <r>
    <x v="34"/>
    <n v="2"/>
    <n v="2"/>
    <m/>
    <m/>
    <n v="0"/>
    <n v="0"/>
  </r>
  <r>
    <x v="34"/>
    <n v="0"/>
    <m/>
    <m/>
    <m/>
    <n v="0"/>
    <m/>
  </r>
  <r>
    <x v="34"/>
    <n v="3"/>
    <n v="3"/>
    <m/>
    <m/>
    <n v="0"/>
    <n v="0"/>
  </r>
  <r>
    <x v="34"/>
    <n v="2"/>
    <m/>
    <n v="1"/>
    <n v="0"/>
    <n v="1"/>
    <n v="15.22"/>
  </r>
  <r>
    <x v="34"/>
    <n v="0"/>
    <m/>
    <m/>
    <m/>
    <n v="0"/>
    <m/>
  </r>
  <r>
    <x v="34"/>
    <n v="2"/>
    <m/>
    <n v="1"/>
    <n v="1"/>
    <n v="0"/>
    <n v="14.58"/>
  </r>
  <r>
    <x v="34"/>
    <n v="0"/>
    <m/>
    <m/>
    <m/>
    <n v="0"/>
    <m/>
  </r>
  <r>
    <x v="34"/>
    <n v="2"/>
    <n v="2"/>
    <m/>
    <m/>
    <n v="0"/>
    <n v="0"/>
  </r>
  <r>
    <x v="34"/>
    <n v="2"/>
    <n v="2"/>
    <m/>
    <m/>
    <n v="0"/>
    <n v="0"/>
  </r>
  <r>
    <x v="34"/>
    <n v="2"/>
    <n v="2"/>
    <m/>
    <m/>
    <n v="0"/>
    <n v="0"/>
  </r>
  <r>
    <x v="34"/>
    <n v="2"/>
    <m/>
    <m/>
    <n v="2"/>
    <n v="0"/>
    <n v="0"/>
  </r>
  <r>
    <x v="3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12B15-4213-4420-B71B-5FE593EA155D}" name="TablaDinámica5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3:P40" firstHeaderRow="1" firstDataRow="1" firstDataCol="1"/>
  <pivotFields count="7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a de So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1AE3-F196-431D-A799-F7F734EF81AA}">
  <sheetPr filterMode="1"/>
  <dimension ref="A1:F493"/>
  <sheetViews>
    <sheetView topLeftCell="A174" workbookViewId="0">
      <selection activeCell="B22" sqref="B22"/>
    </sheetView>
  </sheetViews>
  <sheetFormatPr baseColWidth="10" defaultRowHeight="15" x14ac:dyDescent="0.25"/>
  <cols>
    <col min="1" max="1" width="11.140625" customWidth="1"/>
    <col min="2" max="2" width="44.28515625" customWidth="1"/>
    <col min="3" max="3" width="7.7109375" bestFit="1" customWidth="1"/>
    <col min="4" max="4" width="13" customWidth="1"/>
  </cols>
  <sheetData>
    <row r="1" spans="1:6" ht="15.75" thickBot="1" x14ac:dyDescent="0.3"/>
    <row r="2" spans="1:6" ht="15.75" thickBot="1" x14ac:dyDescent="0.3">
      <c r="A2" s="4" t="s">
        <v>146</v>
      </c>
      <c r="B2" s="4" t="s">
        <v>566</v>
      </c>
      <c r="C2" s="4" t="s">
        <v>565</v>
      </c>
    </row>
    <row r="3" spans="1:6" x14ac:dyDescent="0.25">
      <c r="A3" s="5" t="s">
        <v>147</v>
      </c>
      <c r="B3" s="5" t="s">
        <v>567</v>
      </c>
      <c r="C3" s="7">
        <v>2</v>
      </c>
      <c r="D3" t="e">
        <f>VLOOKUP(A3,Ranking!A:F,6,0)</f>
        <v>#N/A</v>
      </c>
    </row>
    <row r="4" spans="1:6" hidden="1" x14ac:dyDescent="0.25">
      <c r="A4" s="5" t="s">
        <v>109</v>
      </c>
      <c r="B4" s="5" t="s">
        <v>110</v>
      </c>
      <c r="C4" s="7">
        <v>0</v>
      </c>
      <c r="D4">
        <f>VLOOKUP(A4,Ranking!A:F,6,0)</f>
        <v>1</v>
      </c>
    </row>
    <row r="5" spans="1:6" hidden="1" x14ac:dyDescent="0.25">
      <c r="A5" s="5" t="s">
        <v>148</v>
      </c>
      <c r="B5" s="5" t="s">
        <v>568</v>
      </c>
      <c r="C5" s="7">
        <v>0</v>
      </c>
      <c r="D5" t="e">
        <f>VLOOKUP(A5,Ranking!A:F,6,0)</f>
        <v>#N/A</v>
      </c>
    </row>
    <row r="6" spans="1:6" x14ac:dyDescent="0.25">
      <c r="A6" s="5" t="s">
        <v>149</v>
      </c>
      <c r="B6" s="5" t="s">
        <v>569</v>
      </c>
      <c r="C6" s="7">
        <v>2</v>
      </c>
      <c r="D6" t="e">
        <f>VLOOKUP(A6,Ranking!A:F,6,0)</f>
        <v>#N/A</v>
      </c>
    </row>
    <row r="7" spans="1:6" hidden="1" x14ac:dyDescent="0.25">
      <c r="A7" s="5" t="s">
        <v>111</v>
      </c>
      <c r="B7" s="5" t="s">
        <v>112</v>
      </c>
      <c r="C7" s="7">
        <v>2</v>
      </c>
      <c r="D7">
        <f>VLOOKUP(A7,Ranking!A:F,6,0)</f>
        <v>1</v>
      </c>
      <c r="E7">
        <f>VLOOKUP(A7,[1]Sheet!$C:$G,5,0)</f>
        <v>7.92</v>
      </c>
      <c r="F7" s="1">
        <f>+E7*C7</f>
        <v>15.84</v>
      </c>
    </row>
    <row r="8" spans="1:6" x14ac:dyDescent="0.25">
      <c r="A8" s="5" t="s">
        <v>150</v>
      </c>
      <c r="B8" s="5" t="s">
        <v>570</v>
      </c>
      <c r="C8" s="7">
        <v>3</v>
      </c>
      <c r="D8" t="e">
        <f>VLOOKUP(A8,Ranking!A:F,6,0)</f>
        <v>#N/A</v>
      </c>
    </row>
    <row r="9" spans="1:6" hidden="1" x14ac:dyDescent="0.25">
      <c r="A9" s="5" t="s">
        <v>151</v>
      </c>
      <c r="B9" s="5" t="s">
        <v>571</v>
      </c>
      <c r="C9" s="7">
        <v>0</v>
      </c>
      <c r="D9" t="e">
        <f>VLOOKUP(A9,Ranking!A:F,6,0)</f>
        <v>#N/A</v>
      </c>
    </row>
    <row r="10" spans="1:6" hidden="1" x14ac:dyDescent="0.25">
      <c r="A10" s="5" t="s">
        <v>152</v>
      </c>
      <c r="B10" s="5" t="s">
        <v>572</v>
      </c>
      <c r="C10" s="7">
        <v>0</v>
      </c>
      <c r="D10" t="e">
        <f>VLOOKUP(A10,Ranking!A:F,6,0)</f>
        <v>#N/A</v>
      </c>
    </row>
    <row r="11" spans="1:6" hidden="1" x14ac:dyDescent="0.25">
      <c r="A11" s="5" t="s">
        <v>89</v>
      </c>
      <c r="B11" s="5" t="s">
        <v>90</v>
      </c>
      <c r="C11" s="7">
        <v>4</v>
      </c>
      <c r="D11">
        <f>VLOOKUP(A11,Ranking!A:F,6,0)</f>
        <v>1</v>
      </c>
      <c r="E11">
        <f>VLOOKUP(A11,[1]Sheet!$C:$G,5,0)</f>
        <v>44</v>
      </c>
      <c r="F11" s="1">
        <f t="shared" ref="F11:F13" si="0">+E11*C11</f>
        <v>176</v>
      </c>
    </row>
    <row r="12" spans="1:6" hidden="1" x14ac:dyDescent="0.25">
      <c r="A12" s="5" t="s">
        <v>72</v>
      </c>
      <c r="B12" s="5" t="s">
        <v>73</v>
      </c>
      <c r="C12" s="7">
        <v>6</v>
      </c>
      <c r="D12">
        <f>VLOOKUP(A12,Ranking!A:F,6,0)</f>
        <v>2</v>
      </c>
      <c r="E12">
        <f>VLOOKUP(A12,[1]Sheet!$C:$G,5,0)</f>
        <v>9.5</v>
      </c>
      <c r="F12" s="1">
        <f t="shared" si="0"/>
        <v>57</v>
      </c>
    </row>
    <row r="13" spans="1:6" hidden="1" x14ac:dyDescent="0.25">
      <c r="A13" s="5" t="s">
        <v>68</v>
      </c>
      <c r="B13" s="5" t="s">
        <v>69</v>
      </c>
      <c r="C13" s="7">
        <v>4</v>
      </c>
      <c r="D13">
        <f>VLOOKUP(A13,Ranking!A:F,6,0)</f>
        <v>2</v>
      </c>
      <c r="E13">
        <f>VLOOKUP(A13,[1]Sheet!$C:$G,5,0)</f>
        <v>22</v>
      </c>
      <c r="F13" s="1">
        <f t="shared" si="0"/>
        <v>88</v>
      </c>
    </row>
    <row r="14" spans="1:6" hidden="1" x14ac:dyDescent="0.25">
      <c r="A14" s="5" t="s">
        <v>153</v>
      </c>
      <c r="B14" s="5" t="s">
        <v>573</v>
      </c>
      <c r="C14" s="7">
        <v>0</v>
      </c>
      <c r="D14" t="e">
        <f>VLOOKUP(A14,Ranking!A:F,6,0)</f>
        <v>#N/A</v>
      </c>
    </row>
    <row r="15" spans="1:6" x14ac:dyDescent="0.25">
      <c r="A15" s="5" t="s">
        <v>154</v>
      </c>
      <c r="B15" s="5" t="s">
        <v>574</v>
      </c>
      <c r="C15" s="7">
        <v>1</v>
      </c>
      <c r="D15" t="e">
        <f>VLOOKUP(A15,Ranking!A:F,6,0)</f>
        <v>#N/A</v>
      </c>
    </row>
    <row r="16" spans="1:6" hidden="1" x14ac:dyDescent="0.25">
      <c r="A16" s="5" t="s">
        <v>66</v>
      </c>
      <c r="B16" s="5" t="s">
        <v>67</v>
      </c>
      <c r="C16" s="7">
        <v>2</v>
      </c>
      <c r="D16">
        <f>VLOOKUP(A16,Ranking!A:F,6,0)</f>
        <v>2</v>
      </c>
      <c r="E16">
        <f>VLOOKUP(A16,[1]Sheet!$C:$G,5,0)</f>
        <v>13</v>
      </c>
      <c r="F16" s="1">
        <f>+E16*C16</f>
        <v>26</v>
      </c>
    </row>
    <row r="17" spans="1:6" hidden="1" x14ac:dyDescent="0.25">
      <c r="A17" s="5" t="s">
        <v>155</v>
      </c>
      <c r="B17" s="5" t="s">
        <v>575</v>
      </c>
      <c r="C17" s="7">
        <v>0</v>
      </c>
      <c r="D17" t="e">
        <f>VLOOKUP(A17,Ranking!A:F,6,0)</f>
        <v>#N/A</v>
      </c>
    </row>
    <row r="18" spans="1:6" hidden="1" x14ac:dyDescent="0.25">
      <c r="A18" s="5" t="s">
        <v>156</v>
      </c>
      <c r="B18" s="5" t="s">
        <v>576</v>
      </c>
      <c r="C18" s="7">
        <v>0</v>
      </c>
      <c r="D18" t="e">
        <f>VLOOKUP(A18,Ranking!A:F,6,0)</f>
        <v>#N/A</v>
      </c>
    </row>
    <row r="19" spans="1:6" x14ac:dyDescent="0.25">
      <c r="A19" s="5" t="s">
        <v>157</v>
      </c>
      <c r="B19" s="5" t="s">
        <v>577</v>
      </c>
      <c r="C19" s="7">
        <v>2</v>
      </c>
      <c r="D19" t="e">
        <f>VLOOKUP(A19,Ranking!A:F,6,0)</f>
        <v>#N/A</v>
      </c>
    </row>
    <row r="20" spans="1:6" x14ac:dyDescent="0.25">
      <c r="A20" s="5" t="s">
        <v>158</v>
      </c>
      <c r="B20" s="5" t="s">
        <v>578</v>
      </c>
      <c r="C20" s="7">
        <v>1</v>
      </c>
      <c r="D20" t="e">
        <f>VLOOKUP(A20,Ranking!A:F,6,0)</f>
        <v>#N/A</v>
      </c>
    </row>
    <row r="21" spans="1:6" x14ac:dyDescent="0.25">
      <c r="A21" s="5" t="s">
        <v>159</v>
      </c>
      <c r="B21" s="5" t="s">
        <v>579</v>
      </c>
      <c r="C21" s="7">
        <v>3</v>
      </c>
      <c r="D21" t="e">
        <f>VLOOKUP(A21,Ranking!A:F,6,0)</f>
        <v>#N/A</v>
      </c>
    </row>
    <row r="22" spans="1:6" x14ac:dyDescent="0.25">
      <c r="A22" s="5" t="s">
        <v>160</v>
      </c>
      <c r="B22" s="5" t="s">
        <v>580</v>
      </c>
      <c r="C22" s="7">
        <v>2</v>
      </c>
      <c r="D22" t="e">
        <f>VLOOKUP(A22,Ranking!A:F,6,0)</f>
        <v>#N/A</v>
      </c>
    </row>
    <row r="23" spans="1:6" hidden="1" x14ac:dyDescent="0.25">
      <c r="A23" s="5" t="s">
        <v>161</v>
      </c>
      <c r="B23" s="5" t="s">
        <v>581</v>
      </c>
      <c r="C23" s="7">
        <v>14</v>
      </c>
      <c r="D23" t="e">
        <f>VLOOKUP(A23,Ranking!A:F,6,0)</f>
        <v>#N/A</v>
      </c>
    </row>
    <row r="24" spans="1:6" x14ac:dyDescent="0.25">
      <c r="A24" s="5" t="s">
        <v>162</v>
      </c>
      <c r="B24" s="5" t="s">
        <v>582</v>
      </c>
      <c r="C24" s="7">
        <v>2</v>
      </c>
      <c r="D24" t="e">
        <f>VLOOKUP(A24,Ranking!A:F,6,0)</f>
        <v>#N/A</v>
      </c>
    </row>
    <row r="25" spans="1:6" x14ac:dyDescent="0.25">
      <c r="A25" s="5" t="s">
        <v>163</v>
      </c>
      <c r="B25" s="5" t="s">
        <v>583</v>
      </c>
      <c r="C25" s="7">
        <v>2</v>
      </c>
      <c r="D25" t="e">
        <f>VLOOKUP(A25,Ranking!A:F,6,0)</f>
        <v>#N/A</v>
      </c>
    </row>
    <row r="26" spans="1:6" x14ac:dyDescent="0.25">
      <c r="A26" s="5" t="s">
        <v>164</v>
      </c>
      <c r="B26" s="5" t="s">
        <v>584</v>
      </c>
      <c r="C26" s="7">
        <v>2</v>
      </c>
      <c r="D26" t="e">
        <f>VLOOKUP(A26,Ranking!A:F,6,0)</f>
        <v>#N/A</v>
      </c>
    </row>
    <row r="27" spans="1:6" hidden="1" x14ac:dyDescent="0.25">
      <c r="A27" s="5" t="s">
        <v>115</v>
      </c>
      <c r="B27" s="5" t="s">
        <v>116</v>
      </c>
      <c r="C27" s="7">
        <v>3</v>
      </c>
      <c r="D27">
        <f>VLOOKUP(A27,Ranking!A:F,6,0)</f>
        <v>1</v>
      </c>
      <c r="E27">
        <f>VLOOKUP(A27,[1]Sheet!$C:$G,5,0)</f>
        <v>1.7</v>
      </c>
      <c r="F27" s="1">
        <f>+E27*C27</f>
        <v>5.0999999999999996</v>
      </c>
    </row>
    <row r="28" spans="1:6" x14ac:dyDescent="0.25">
      <c r="A28" s="5" t="s">
        <v>165</v>
      </c>
      <c r="B28" s="5" t="s">
        <v>585</v>
      </c>
      <c r="C28" s="7">
        <v>4</v>
      </c>
      <c r="D28" t="e">
        <f>VLOOKUP(A28,Ranking!A:F,6,0)</f>
        <v>#N/A</v>
      </c>
    </row>
    <row r="29" spans="1:6" x14ac:dyDescent="0.25">
      <c r="A29" s="5" t="s">
        <v>166</v>
      </c>
      <c r="B29" s="5" t="s">
        <v>586</v>
      </c>
      <c r="C29" s="7">
        <v>2</v>
      </c>
      <c r="D29" t="e">
        <f>VLOOKUP(A29,Ranking!A:F,6,0)</f>
        <v>#N/A</v>
      </c>
    </row>
    <row r="30" spans="1:6" hidden="1" x14ac:dyDescent="0.25">
      <c r="A30" s="5" t="s">
        <v>93</v>
      </c>
      <c r="B30" s="5" t="s">
        <v>94</v>
      </c>
      <c r="C30" s="7">
        <v>4</v>
      </c>
      <c r="D30">
        <f>VLOOKUP(A30,Ranking!A:F,6,0)</f>
        <v>1</v>
      </c>
      <c r="E30">
        <f>VLOOKUP(A30,[1]Sheet!$C:$G,5,0)</f>
        <v>2.5</v>
      </c>
      <c r="F30" s="1">
        <f t="shared" ref="F30:F31" si="1">+E30*C30</f>
        <v>10</v>
      </c>
    </row>
    <row r="31" spans="1:6" hidden="1" x14ac:dyDescent="0.25">
      <c r="A31" s="5" t="s">
        <v>85</v>
      </c>
      <c r="B31" s="5" t="s">
        <v>86</v>
      </c>
      <c r="C31" s="7">
        <v>1</v>
      </c>
      <c r="D31">
        <f>VLOOKUP(A31,Ranking!A:F,6,0)</f>
        <v>1</v>
      </c>
      <c r="E31">
        <f>VLOOKUP(A31,[1]Sheet!$C:$G,5,0)</f>
        <v>2.5</v>
      </c>
      <c r="F31" s="1">
        <f t="shared" si="1"/>
        <v>2.5</v>
      </c>
    </row>
    <row r="32" spans="1:6" x14ac:dyDescent="0.25">
      <c r="A32" s="5" t="s">
        <v>167</v>
      </c>
      <c r="B32" s="5" t="s">
        <v>587</v>
      </c>
      <c r="C32" s="7">
        <v>1</v>
      </c>
      <c r="D32" t="e">
        <f>VLOOKUP(A32,Ranking!A:F,6,0)</f>
        <v>#N/A</v>
      </c>
    </row>
    <row r="33" spans="1:4" x14ac:dyDescent="0.25">
      <c r="A33" s="5" t="s">
        <v>168</v>
      </c>
      <c r="B33" s="5" t="s">
        <v>588</v>
      </c>
      <c r="C33" s="7">
        <v>2</v>
      </c>
      <c r="D33" t="e">
        <f>VLOOKUP(A33,Ranking!A:F,6,0)</f>
        <v>#N/A</v>
      </c>
    </row>
    <row r="34" spans="1:4" hidden="1" x14ac:dyDescent="0.25">
      <c r="A34" s="5" t="s">
        <v>169</v>
      </c>
      <c r="B34" s="5" t="s">
        <v>589</v>
      </c>
      <c r="C34" s="7">
        <v>0</v>
      </c>
      <c r="D34" t="e">
        <f>VLOOKUP(A34,Ranking!A:F,6,0)</f>
        <v>#N/A</v>
      </c>
    </row>
    <row r="35" spans="1:4" hidden="1" x14ac:dyDescent="0.25">
      <c r="A35" s="5" t="s">
        <v>170</v>
      </c>
      <c r="B35" s="5" t="s">
        <v>590</v>
      </c>
      <c r="C35" s="7">
        <v>0</v>
      </c>
      <c r="D35" t="e">
        <f>VLOOKUP(A35,Ranking!A:F,6,0)</f>
        <v>#N/A</v>
      </c>
    </row>
    <row r="36" spans="1:4" hidden="1" x14ac:dyDescent="0.25">
      <c r="A36" s="5" t="s">
        <v>91</v>
      </c>
      <c r="B36" s="5" t="s">
        <v>92</v>
      </c>
      <c r="C36" s="7">
        <v>0</v>
      </c>
      <c r="D36">
        <f>VLOOKUP(A36,Ranking!A:F,6,0)</f>
        <v>1</v>
      </c>
    </row>
    <row r="37" spans="1:4" hidden="1" x14ac:dyDescent="0.25">
      <c r="A37" s="5" t="s">
        <v>171</v>
      </c>
      <c r="B37" s="5" t="s">
        <v>591</v>
      </c>
      <c r="C37" s="7">
        <v>0</v>
      </c>
      <c r="D37" t="e">
        <f>VLOOKUP(A37,Ranking!A:F,6,0)</f>
        <v>#N/A</v>
      </c>
    </row>
    <row r="38" spans="1:4" hidden="1" x14ac:dyDescent="0.25">
      <c r="A38" s="5" t="s">
        <v>172</v>
      </c>
      <c r="B38" s="5" t="s">
        <v>592</v>
      </c>
      <c r="C38" s="7">
        <v>0</v>
      </c>
      <c r="D38" t="e">
        <f>VLOOKUP(A38,Ranking!A:F,6,0)</f>
        <v>#N/A</v>
      </c>
    </row>
    <row r="39" spans="1:4" hidden="1" x14ac:dyDescent="0.25">
      <c r="A39" s="5" t="s">
        <v>173</v>
      </c>
      <c r="B39" s="5" t="s">
        <v>593</v>
      </c>
      <c r="C39" s="7">
        <v>0</v>
      </c>
      <c r="D39" t="e">
        <f>VLOOKUP(A39,Ranking!A:F,6,0)</f>
        <v>#N/A</v>
      </c>
    </row>
    <row r="40" spans="1:4" x14ac:dyDescent="0.25">
      <c r="A40" s="5" t="s">
        <v>174</v>
      </c>
      <c r="B40" s="5" t="s">
        <v>594</v>
      </c>
      <c r="C40" s="7">
        <v>2</v>
      </c>
      <c r="D40" t="e">
        <f>VLOOKUP(A40,Ranking!A:F,6,0)</f>
        <v>#N/A</v>
      </c>
    </row>
    <row r="41" spans="1:4" x14ac:dyDescent="0.25">
      <c r="A41" s="5" t="s">
        <v>175</v>
      </c>
      <c r="B41" s="5" t="s">
        <v>595</v>
      </c>
      <c r="C41" s="7">
        <v>1</v>
      </c>
      <c r="D41" t="e">
        <f>VLOOKUP(A41,Ranking!A:F,6,0)</f>
        <v>#N/A</v>
      </c>
    </row>
    <row r="42" spans="1:4" hidden="1" x14ac:dyDescent="0.25">
      <c r="A42" s="5" t="s">
        <v>176</v>
      </c>
      <c r="B42" s="5" t="s">
        <v>596</v>
      </c>
      <c r="C42" s="7">
        <v>0</v>
      </c>
      <c r="D42" t="e">
        <f>VLOOKUP(A42,Ranking!A:F,6,0)</f>
        <v>#N/A</v>
      </c>
    </row>
    <row r="43" spans="1:4" x14ac:dyDescent="0.25">
      <c r="A43" s="5" t="s">
        <v>177</v>
      </c>
      <c r="B43" s="5" t="s">
        <v>597</v>
      </c>
      <c r="C43" s="7">
        <v>3</v>
      </c>
      <c r="D43" t="e">
        <f>VLOOKUP(A43,Ranking!A:F,6,0)</f>
        <v>#N/A</v>
      </c>
    </row>
    <row r="44" spans="1:4" x14ac:dyDescent="0.25">
      <c r="A44" s="5" t="s">
        <v>178</v>
      </c>
      <c r="B44" s="5" t="s">
        <v>598</v>
      </c>
      <c r="C44" s="7">
        <v>2</v>
      </c>
      <c r="D44" t="e">
        <f>VLOOKUP(A44,Ranking!A:F,6,0)</f>
        <v>#N/A</v>
      </c>
    </row>
    <row r="45" spans="1:4" x14ac:dyDescent="0.25">
      <c r="A45" s="5" t="s">
        <v>179</v>
      </c>
      <c r="B45" s="5" t="s">
        <v>599</v>
      </c>
      <c r="C45" s="7">
        <v>1</v>
      </c>
      <c r="D45" t="e">
        <f>VLOOKUP(A45,Ranking!A:F,6,0)</f>
        <v>#N/A</v>
      </c>
    </row>
    <row r="46" spans="1:4" x14ac:dyDescent="0.25">
      <c r="A46" s="5" t="s">
        <v>180</v>
      </c>
      <c r="B46" s="5" t="s">
        <v>600</v>
      </c>
      <c r="C46" s="7">
        <v>2</v>
      </c>
      <c r="D46" t="e">
        <f>VLOOKUP(A46,Ranking!A:F,6,0)</f>
        <v>#N/A</v>
      </c>
    </row>
    <row r="47" spans="1:4" x14ac:dyDescent="0.25">
      <c r="A47" s="5" t="s">
        <v>181</v>
      </c>
      <c r="B47" s="5" t="s">
        <v>601</v>
      </c>
      <c r="C47" s="7">
        <v>2</v>
      </c>
      <c r="D47" t="e">
        <f>VLOOKUP(A47,Ranking!A:F,6,0)</f>
        <v>#N/A</v>
      </c>
    </row>
    <row r="48" spans="1:4" x14ac:dyDescent="0.25">
      <c r="A48" s="5" t="s">
        <v>182</v>
      </c>
      <c r="B48" s="5" t="s">
        <v>602</v>
      </c>
      <c r="C48" s="7">
        <v>1</v>
      </c>
      <c r="D48" t="e">
        <f>VLOOKUP(A48,Ranking!A:F,6,0)</f>
        <v>#N/A</v>
      </c>
    </row>
    <row r="49" spans="1:4" x14ac:dyDescent="0.25">
      <c r="A49" s="5" t="s">
        <v>183</v>
      </c>
      <c r="B49" s="5" t="s">
        <v>603</v>
      </c>
      <c r="C49" s="7">
        <v>2</v>
      </c>
      <c r="D49" t="e">
        <f>VLOOKUP(A49,Ranking!A:F,6,0)</f>
        <v>#N/A</v>
      </c>
    </row>
    <row r="50" spans="1:4" x14ac:dyDescent="0.25">
      <c r="A50" s="5" t="s">
        <v>184</v>
      </c>
      <c r="B50" s="5" t="s">
        <v>604</v>
      </c>
      <c r="C50" s="7">
        <v>2</v>
      </c>
      <c r="D50" t="e">
        <f>VLOOKUP(A50,Ranking!A:F,6,0)</f>
        <v>#N/A</v>
      </c>
    </row>
    <row r="51" spans="1:4" x14ac:dyDescent="0.25">
      <c r="A51" s="5" t="s">
        <v>185</v>
      </c>
      <c r="B51" s="5" t="s">
        <v>605</v>
      </c>
      <c r="C51" s="7">
        <v>3</v>
      </c>
      <c r="D51" t="e">
        <f>VLOOKUP(A51,Ranking!A:F,6,0)</f>
        <v>#N/A</v>
      </c>
    </row>
    <row r="52" spans="1:4" x14ac:dyDescent="0.25">
      <c r="A52" s="5" t="s">
        <v>186</v>
      </c>
      <c r="B52" s="5" t="s">
        <v>606</v>
      </c>
      <c r="C52" s="7">
        <v>1</v>
      </c>
      <c r="D52" t="e">
        <f>VLOOKUP(A52,Ranking!A:F,6,0)</f>
        <v>#N/A</v>
      </c>
    </row>
    <row r="53" spans="1:4" x14ac:dyDescent="0.25">
      <c r="A53" s="5" t="s">
        <v>187</v>
      </c>
      <c r="B53" s="5" t="s">
        <v>607</v>
      </c>
      <c r="C53" s="7">
        <v>2</v>
      </c>
      <c r="D53" t="e">
        <f>VLOOKUP(A53,Ranking!A:F,6,0)</f>
        <v>#N/A</v>
      </c>
    </row>
    <row r="54" spans="1:4" hidden="1" x14ac:dyDescent="0.25">
      <c r="A54" s="5" t="s">
        <v>188</v>
      </c>
      <c r="B54" s="5" t="s">
        <v>608</v>
      </c>
      <c r="C54" s="7">
        <v>0</v>
      </c>
      <c r="D54" t="e">
        <f>VLOOKUP(A54,Ranking!A:F,6,0)</f>
        <v>#N/A</v>
      </c>
    </row>
    <row r="55" spans="1:4" hidden="1" x14ac:dyDescent="0.25">
      <c r="A55" s="5" t="s">
        <v>189</v>
      </c>
      <c r="B55" s="5" t="s">
        <v>609</v>
      </c>
      <c r="C55" s="7">
        <v>0</v>
      </c>
      <c r="D55" t="e">
        <f>VLOOKUP(A55,Ranking!A:F,6,0)</f>
        <v>#N/A</v>
      </c>
    </row>
    <row r="56" spans="1:4" x14ac:dyDescent="0.25">
      <c r="A56" s="5" t="s">
        <v>190</v>
      </c>
      <c r="B56" s="5" t="s">
        <v>610</v>
      </c>
      <c r="C56" s="7">
        <v>1</v>
      </c>
      <c r="D56" t="e">
        <f>VLOOKUP(A56,Ranking!A:F,6,0)</f>
        <v>#N/A</v>
      </c>
    </row>
    <row r="57" spans="1:4" x14ac:dyDescent="0.25">
      <c r="A57" s="5" t="s">
        <v>191</v>
      </c>
      <c r="B57" s="5" t="s">
        <v>611</v>
      </c>
      <c r="C57" s="7">
        <v>2</v>
      </c>
      <c r="D57" t="e">
        <f>VLOOKUP(A57,Ranking!A:F,6,0)</f>
        <v>#N/A</v>
      </c>
    </row>
    <row r="58" spans="1:4" hidden="1" x14ac:dyDescent="0.25">
      <c r="A58" s="5" t="s">
        <v>192</v>
      </c>
      <c r="B58" s="5" t="s">
        <v>612</v>
      </c>
      <c r="C58" s="7">
        <v>0</v>
      </c>
      <c r="D58" t="e">
        <f>VLOOKUP(A58,Ranking!A:F,6,0)</f>
        <v>#N/A</v>
      </c>
    </row>
    <row r="59" spans="1:4" x14ac:dyDescent="0.25">
      <c r="A59" s="5" t="s">
        <v>193</v>
      </c>
      <c r="B59" s="5" t="s">
        <v>613</v>
      </c>
      <c r="C59" s="7">
        <v>1</v>
      </c>
      <c r="D59" t="e">
        <f>VLOOKUP(A59,Ranking!A:F,6,0)</f>
        <v>#N/A</v>
      </c>
    </row>
    <row r="60" spans="1:4" x14ac:dyDescent="0.25">
      <c r="A60" s="5" t="s">
        <v>194</v>
      </c>
      <c r="B60" s="5" t="s">
        <v>614</v>
      </c>
      <c r="C60" s="7">
        <v>1</v>
      </c>
      <c r="D60" t="e">
        <f>VLOOKUP(A60,Ranking!A:F,6,0)</f>
        <v>#N/A</v>
      </c>
    </row>
    <row r="61" spans="1:4" x14ac:dyDescent="0.25">
      <c r="A61" s="5" t="s">
        <v>195</v>
      </c>
      <c r="B61" s="5" t="s">
        <v>615</v>
      </c>
      <c r="C61" s="7">
        <v>1</v>
      </c>
      <c r="D61" t="e">
        <f>VLOOKUP(A61,Ranking!A:F,6,0)</f>
        <v>#N/A</v>
      </c>
    </row>
    <row r="62" spans="1:4" x14ac:dyDescent="0.25">
      <c r="A62" s="5" t="s">
        <v>196</v>
      </c>
      <c r="B62" s="5" t="s">
        <v>616</v>
      </c>
      <c r="C62" s="7">
        <v>2</v>
      </c>
      <c r="D62" t="e">
        <f>VLOOKUP(A62,Ranking!A:F,6,0)</f>
        <v>#N/A</v>
      </c>
    </row>
    <row r="63" spans="1:4" x14ac:dyDescent="0.25">
      <c r="A63" s="5" t="s">
        <v>197</v>
      </c>
      <c r="B63" s="5" t="s">
        <v>617</v>
      </c>
      <c r="C63" s="7">
        <v>2</v>
      </c>
      <c r="D63" t="e">
        <f>VLOOKUP(A63,Ranking!A:F,6,0)</f>
        <v>#N/A</v>
      </c>
    </row>
    <row r="64" spans="1:4" x14ac:dyDescent="0.25">
      <c r="A64" s="5" t="s">
        <v>198</v>
      </c>
      <c r="B64" s="5" t="s">
        <v>618</v>
      </c>
      <c r="C64" s="7">
        <v>2</v>
      </c>
      <c r="D64" t="e">
        <f>VLOOKUP(A64,Ranking!A:F,6,0)</f>
        <v>#N/A</v>
      </c>
    </row>
    <row r="65" spans="1:6" hidden="1" x14ac:dyDescent="0.25">
      <c r="A65" s="5" t="s">
        <v>199</v>
      </c>
      <c r="B65" s="5" t="s">
        <v>619</v>
      </c>
      <c r="C65" s="7">
        <v>8</v>
      </c>
      <c r="D65" t="e">
        <f>VLOOKUP(A65,Ranking!A:F,6,0)</f>
        <v>#N/A</v>
      </c>
    </row>
    <row r="66" spans="1:6" hidden="1" x14ac:dyDescent="0.25">
      <c r="A66" s="5" t="s">
        <v>200</v>
      </c>
      <c r="B66" s="5" t="s">
        <v>620</v>
      </c>
      <c r="C66" s="7">
        <v>0</v>
      </c>
      <c r="D66" t="e">
        <f>VLOOKUP(A66,Ranking!A:F,6,0)</f>
        <v>#N/A</v>
      </c>
    </row>
    <row r="67" spans="1:6" x14ac:dyDescent="0.25">
      <c r="A67" s="5" t="s">
        <v>201</v>
      </c>
      <c r="B67" s="5" t="s">
        <v>621</v>
      </c>
      <c r="C67" s="7">
        <v>1</v>
      </c>
      <c r="D67" t="e">
        <f>VLOOKUP(A67,Ranking!A:F,6,0)</f>
        <v>#N/A</v>
      </c>
    </row>
    <row r="68" spans="1:6" x14ac:dyDescent="0.25">
      <c r="A68" s="5" t="s">
        <v>202</v>
      </c>
      <c r="B68" s="5" t="s">
        <v>622</v>
      </c>
      <c r="C68" s="7">
        <v>3</v>
      </c>
      <c r="D68" t="e">
        <f>VLOOKUP(A68,Ranking!A:F,6,0)</f>
        <v>#N/A</v>
      </c>
    </row>
    <row r="69" spans="1:6" x14ac:dyDescent="0.25">
      <c r="A69" s="5" t="s">
        <v>203</v>
      </c>
      <c r="B69" s="5" t="s">
        <v>623</v>
      </c>
      <c r="C69" s="7">
        <v>1</v>
      </c>
      <c r="D69" t="e">
        <f>VLOOKUP(A69,Ranking!A:F,6,0)</f>
        <v>#N/A</v>
      </c>
    </row>
    <row r="70" spans="1:6" hidden="1" x14ac:dyDescent="0.25">
      <c r="A70" s="5" t="s">
        <v>204</v>
      </c>
      <c r="B70" s="5" t="s">
        <v>624</v>
      </c>
      <c r="C70" s="7">
        <v>0</v>
      </c>
      <c r="D70" t="e">
        <f>VLOOKUP(A70,Ranking!A:F,6,0)</f>
        <v>#N/A</v>
      </c>
    </row>
    <row r="71" spans="1:6" hidden="1" x14ac:dyDescent="0.25">
      <c r="A71" s="5" t="s">
        <v>119</v>
      </c>
      <c r="B71" s="5" t="s">
        <v>120</v>
      </c>
      <c r="C71" s="7">
        <v>0</v>
      </c>
      <c r="D71">
        <f>VLOOKUP(A71,Ranking!A:F,6,0)</f>
        <v>1</v>
      </c>
    </row>
    <row r="72" spans="1:6" hidden="1" x14ac:dyDescent="0.25">
      <c r="A72" s="5" t="s">
        <v>117</v>
      </c>
      <c r="B72" s="5" t="s">
        <v>118</v>
      </c>
      <c r="C72" s="7">
        <v>1</v>
      </c>
      <c r="D72">
        <f>VLOOKUP(A72,Ranking!A:F,6,0)</f>
        <v>1</v>
      </c>
      <c r="E72">
        <f>VLOOKUP(A72,[1]Sheet!$C:$G,5,0)</f>
        <v>13</v>
      </c>
      <c r="F72" s="1">
        <f>+E72*C72</f>
        <v>13</v>
      </c>
    </row>
    <row r="73" spans="1:6" hidden="1" x14ac:dyDescent="0.25">
      <c r="A73" s="5" t="s">
        <v>205</v>
      </c>
      <c r="B73" s="5" t="s">
        <v>625</v>
      </c>
      <c r="C73" s="7">
        <v>0</v>
      </c>
      <c r="D73" t="e">
        <f>VLOOKUP(A73,Ranking!A:F,6,0)</f>
        <v>#N/A</v>
      </c>
    </row>
    <row r="74" spans="1:6" hidden="1" x14ac:dyDescent="0.25">
      <c r="A74" s="5" t="s">
        <v>206</v>
      </c>
      <c r="B74" s="5" t="s">
        <v>626</v>
      </c>
      <c r="C74" s="7">
        <v>0</v>
      </c>
      <c r="D74" t="e">
        <f>VLOOKUP(A74,Ranking!A:F,6,0)</f>
        <v>#N/A</v>
      </c>
    </row>
    <row r="75" spans="1:6" x14ac:dyDescent="0.25">
      <c r="A75" s="5" t="s">
        <v>207</v>
      </c>
      <c r="B75" s="5" t="s">
        <v>627</v>
      </c>
      <c r="C75" s="7">
        <v>1</v>
      </c>
      <c r="D75" t="e">
        <f>VLOOKUP(A75,Ranking!A:F,6,0)</f>
        <v>#N/A</v>
      </c>
    </row>
    <row r="76" spans="1:6" x14ac:dyDescent="0.25">
      <c r="A76" s="5" t="s">
        <v>208</v>
      </c>
      <c r="B76" s="5" t="s">
        <v>628</v>
      </c>
      <c r="C76" s="7">
        <v>2</v>
      </c>
      <c r="D76" t="e">
        <f>VLOOKUP(A76,Ranking!A:F,6,0)</f>
        <v>#N/A</v>
      </c>
    </row>
    <row r="77" spans="1:6" hidden="1" x14ac:dyDescent="0.25">
      <c r="A77" s="5" t="s">
        <v>209</v>
      </c>
      <c r="B77" s="5" t="s">
        <v>629</v>
      </c>
      <c r="C77" s="7">
        <v>0</v>
      </c>
      <c r="D77" t="e">
        <f>VLOOKUP(A77,Ranking!A:F,6,0)</f>
        <v>#N/A</v>
      </c>
    </row>
    <row r="78" spans="1:6" x14ac:dyDescent="0.25">
      <c r="A78" s="5" t="s">
        <v>210</v>
      </c>
      <c r="B78" s="5" t="s">
        <v>630</v>
      </c>
      <c r="C78" s="7">
        <v>1</v>
      </c>
      <c r="D78" t="e">
        <f>VLOOKUP(A78,Ranking!A:F,6,0)</f>
        <v>#N/A</v>
      </c>
    </row>
    <row r="79" spans="1:6" hidden="1" x14ac:dyDescent="0.25">
      <c r="A79" s="5" t="s">
        <v>211</v>
      </c>
      <c r="B79" s="5" t="s">
        <v>631</v>
      </c>
      <c r="C79" s="7">
        <v>0</v>
      </c>
      <c r="D79" t="e">
        <f>VLOOKUP(A79,Ranking!A:F,6,0)</f>
        <v>#N/A</v>
      </c>
    </row>
    <row r="80" spans="1:6" x14ac:dyDescent="0.25">
      <c r="A80" s="5" t="s">
        <v>212</v>
      </c>
      <c r="B80" s="5" t="s">
        <v>632</v>
      </c>
      <c r="C80" s="7">
        <v>2</v>
      </c>
      <c r="D80" t="e">
        <f>VLOOKUP(A80,Ranking!A:F,6,0)</f>
        <v>#N/A</v>
      </c>
    </row>
    <row r="81" spans="1:4" x14ac:dyDescent="0.25">
      <c r="A81" s="5" t="s">
        <v>213</v>
      </c>
      <c r="B81" s="5" t="s">
        <v>633</v>
      </c>
      <c r="C81" s="7">
        <v>2</v>
      </c>
      <c r="D81" t="e">
        <f>VLOOKUP(A81,Ranking!A:F,6,0)</f>
        <v>#N/A</v>
      </c>
    </row>
    <row r="82" spans="1:4" x14ac:dyDescent="0.25">
      <c r="A82" s="5" t="s">
        <v>214</v>
      </c>
      <c r="B82" s="5" t="s">
        <v>634</v>
      </c>
      <c r="C82" s="7">
        <v>1</v>
      </c>
      <c r="D82" t="e">
        <f>VLOOKUP(A82,Ranking!A:F,6,0)</f>
        <v>#N/A</v>
      </c>
    </row>
    <row r="83" spans="1:4" x14ac:dyDescent="0.25">
      <c r="A83" s="5" t="s">
        <v>215</v>
      </c>
      <c r="B83" s="5" t="s">
        <v>635</v>
      </c>
      <c r="C83" s="7">
        <v>1</v>
      </c>
      <c r="D83" t="e">
        <f>VLOOKUP(A83,Ranking!A:F,6,0)</f>
        <v>#N/A</v>
      </c>
    </row>
    <row r="84" spans="1:4" hidden="1" x14ac:dyDescent="0.25">
      <c r="A84" s="5" t="s">
        <v>216</v>
      </c>
      <c r="B84" s="5" t="s">
        <v>636</v>
      </c>
      <c r="C84" s="7">
        <v>0</v>
      </c>
      <c r="D84" t="e">
        <f>VLOOKUP(A84,Ranking!A:F,6,0)</f>
        <v>#N/A</v>
      </c>
    </row>
    <row r="85" spans="1:4" x14ac:dyDescent="0.25">
      <c r="A85" s="5" t="s">
        <v>217</v>
      </c>
      <c r="B85" s="5" t="s">
        <v>637</v>
      </c>
      <c r="C85" s="7">
        <v>2</v>
      </c>
      <c r="D85" t="e">
        <f>VLOOKUP(A85,Ranking!A:F,6,0)</f>
        <v>#N/A</v>
      </c>
    </row>
    <row r="86" spans="1:4" x14ac:dyDescent="0.25">
      <c r="A86" s="5" t="s">
        <v>218</v>
      </c>
      <c r="B86" s="5" t="s">
        <v>638</v>
      </c>
      <c r="C86" s="7">
        <v>1</v>
      </c>
      <c r="D86" t="e">
        <f>VLOOKUP(A86,Ranking!A:F,6,0)</f>
        <v>#N/A</v>
      </c>
    </row>
    <row r="87" spans="1:4" hidden="1" x14ac:dyDescent="0.25">
      <c r="A87" s="5" t="s">
        <v>219</v>
      </c>
      <c r="B87" s="5" t="s">
        <v>639</v>
      </c>
      <c r="C87" s="7">
        <v>0</v>
      </c>
      <c r="D87" t="e">
        <f>VLOOKUP(A87,Ranking!A:F,6,0)</f>
        <v>#N/A</v>
      </c>
    </row>
    <row r="88" spans="1:4" hidden="1" x14ac:dyDescent="0.25">
      <c r="A88" s="5" t="s">
        <v>220</v>
      </c>
      <c r="B88" s="5" t="s">
        <v>640</v>
      </c>
      <c r="C88" s="7">
        <v>0</v>
      </c>
      <c r="D88" t="e">
        <f>VLOOKUP(A88,Ranking!A:F,6,0)</f>
        <v>#N/A</v>
      </c>
    </row>
    <row r="89" spans="1:4" x14ac:dyDescent="0.25">
      <c r="A89" s="5" t="s">
        <v>221</v>
      </c>
      <c r="B89" s="5" t="s">
        <v>641</v>
      </c>
      <c r="C89" s="7">
        <v>3</v>
      </c>
      <c r="D89" t="e">
        <f>VLOOKUP(A89,Ranking!A:F,6,0)</f>
        <v>#N/A</v>
      </c>
    </row>
    <row r="90" spans="1:4" hidden="1" x14ac:dyDescent="0.25">
      <c r="A90" s="5" t="s">
        <v>222</v>
      </c>
      <c r="B90" s="5" t="s">
        <v>642</v>
      </c>
      <c r="C90" s="7">
        <v>20</v>
      </c>
      <c r="D90" t="e">
        <f>VLOOKUP(A90,Ranking!A:F,6,0)</f>
        <v>#N/A</v>
      </c>
    </row>
    <row r="91" spans="1:4" hidden="1" x14ac:dyDescent="0.25">
      <c r="A91" s="5" t="s">
        <v>223</v>
      </c>
      <c r="B91" s="5" t="s">
        <v>643</v>
      </c>
      <c r="C91" s="7">
        <v>0</v>
      </c>
      <c r="D91" t="e">
        <f>VLOOKUP(A91,Ranking!A:F,6,0)</f>
        <v>#N/A</v>
      </c>
    </row>
    <row r="92" spans="1:4" hidden="1" x14ac:dyDescent="0.25">
      <c r="A92" s="5" t="s">
        <v>224</v>
      </c>
      <c r="B92" s="5" t="s">
        <v>644</v>
      </c>
      <c r="C92" s="7">
        <v>0</v>
      </c>
      <c r="D92" t="e">
        <f>VLOOKUP(A92,Ranking!A:F,6,0)</f>
        <v>#N/A</v>
      </c>
    </row>
    <row r="93" spans="1:4" hidden="1" x14ac:dyDescent="0.25">
      <c r="A93" s="5" t="s">
        <v>225</v>
      </c>
      <c r="B93" s="5" t="s">
        <v>645</v>
      </c>
      <c r="C93" s="7">
        <v>0</v>
      </c>
      <c r="D93" t="e">
        <f>VLOOKUP(A93,Ranking!A:F,6,0)</f>
        <v>#N/A</v>
      </c>
    </row>
    <row r="94" spans="1:4" x14ac:dyDescent="0.25">
      <c r="A94" s="5" t="s">
        <v>226</v>
      </c>
      <c r="B94" s="5" t="s">
        <v>646</v>
      </c>
      <c r="C94" s="7">
        <v>6</v>
      </c>
      <c r="D94" t="e">
        <f>VLOOKUP(A94,Ranking!A:F,6,0)</f>
        <v>#N/A</v>
      </c>
    </row>
    <row r="95" spans="1:4" x14ac:dyDescent="0.25">
      <c r="A95" s="5" t="s">
        <v>227</v>
      </c>
      <c r="B95" s="5" t="s">
        <v>647</v>
      </c>
      <c r="C95" s="7">
        <v>1</v>
      </c>
      <c r="D95" t="e">
        <f>VLOOKUP(A95,Ranking!A:F,6,0)</f>
        <v>#N/A</v>
      </c>
    </row>
    <row r="96" spans="1:4" x14ac:dyDescent="0.25">
      <c r="A96" s="5" t="s">
        <v>228</v>
      </c>
      <c r="B96" s="5" t="s">
        <v>648</v>
      </c>
      <c r="C96" s="7">
        <v>4</v>
      </c>
      <c r="D96" t="e">
        <f>VLOOKUP(A96,Ranking!A:F,6,0)</f>
        <v>#N/A</v>
      </c>
    </row>
    <row r="97" spans="1:6" hidden="1" x14ac:dyDescent="0.25">
      <c r="A97" s="5" t="s">
        <v>78</v>
      </c>
      <c r="B97" s="5" t="s">
        <v>79</v>
      </c>
      <c r="C97" s="7">
        <v>2</v>
      </c>
      <c r="D97">
        <f>VLOOKUP(A97,Ranking!A:F,6,0)</f>
        <v>2</v>
      </c>
      <c r="E97">
        <f>VLOOKUP(A97,[1]Sheet!$C:$G,5,0)</f>
        <v>52</v>
      </c>
      <c r="F97" s="1">
        <f>+E97*C97</f>
        <v>104</v>
      </c>
    </row>
    <row r="98" spans="1:6" hidden="1" x14ac:dyDescent="0.25">
      <c r="A98" s="5" t="s">
        <v>229</v>
      </c>
      <c r="B98" s="5" t="s">
        <v>649</v>
      </c>
      <c r="C98" s="7">
        <v>0</v>
      </c>
      <c r="D98" t="e">
        <f>VLOOKUP(A98,Ranking!A:F,6,0)</f>
        <v>#N/A</v>
      </c>
    </row>
    <row r="99" spans="1:6" hidden="1" x14ac:dyDescent="0.25">
      <c r="A99" s="5" t="s">
        <v>230</v>
      </c>
      <c r="B99" s="5" t="s">
        <v>650</v>
      </c>
      <c r="C99" s="7">
        <v>0</v>
      </c>
      <c r="D99" t="e">
        <f>VLOOKUP(A99,Ranking!A:F,6,0)</f>
        <v>#N/A</v>
      </c>
    </row>
    <row r="100" spans="1:6" hidden="1" x14ac:dyDescent="0.25">
      <c r="A100" s="5" t="s">
        <v>231</v>
      </c>
      <c r="B100" s="5" t="s">
        <v>651</v>
      </c>
      <c r="C100" s="7">
        <v>0</v>
      </c>
      <c r="D100" t="e">
        <f>VLOOKUP(A100,Ranking!A:F,6,0)</f>
        <v>#N/A</v>
      </c>
    </row>
    <row r="101" spans="1:6" hidden="1" x14ac:dyDescent="0.25">
      <c r="A101" s="5" t="s">
        <v>232</v>
      </c>
      <c r="B101" s="5" t="s">
        <v>652</v>
      </c>
      <c r="C101" s="7">
        <v>0</v>
      </c>
      <c r="D101" t="e">
        <f>VLOOKUP(A101,Ranking!A:F,6,0)</f>
        <v>#N/A</v>
      </c>
    </row>
    <row r="102" spans="1:6" x14ac:dyDescent="0.25">
      <c r="A102" s="5" t="s">
        <v>233</v>
      </c>
      <c r="B102" s="5" t="s">
        <v>653</v>
      </c>
      <c r="C102" s="7">
        <v>3</v>
      </c>
      <c r="D102" t="e">
        <f>VLOOKUP(A102,Ranking!A:F,6,0)</f>
        <v>#N/A</v>
      </c>
    </row>
    <row r="103" spans="1:6" hidden="1" x14ac:dyDescent="0.25">
      <c r="A103" s="5" t="s">
        <v>82</v>
      </c>
      <c r="B103" s="5" t="s">
        <v>83</v>
      </c>
      <c r="C103" s="7">
        <v>2</v>
      </c>
      <c r="D103">
        <f>VLOOKUP(A103,Ranking!A:F,6,0)</f>
        <v>1</v>
      </c>
      <c r="E103">
        <f>VLOOKUP(A103,[1]Sheet!$C:$G,5,0)</f>
        <v>11.6</v>
      </c>
      <c r="F103" s="1">
        <f>+E103*C103</f>
        <v>23.2</v>
      </c>
    </row>
    <row r="104" spans="1:6" hidden="1" x14ac:dyDescent="0.25">
      <c r="A104" s="5" t="s">
        <v>234</v>
      </c>
      <c r="B104" s="5" t="s">
        <v>654</v>
      </c>
      <c r="C104" s="7">
        <v>0</v>
      </c>
      <c r="D104" t="e">
        <f>VLOOKUP(A104,Ranking!A:F,6,0)</f>
        <v>#N/A</v>
      </c>
    </row>
    <row r="105" spans="1:6" hidden="1" x14ac:dyDescent="0.25">
      <c r="A105" s="5" t="s">
        <v>235</v>
      </c>
      <c r="B105" s="5" t="s">
        <v>655</v>
      </c>
      <c r="C105" s="7">
        <v>0</v>
      </c>
      <c r="D105" t="e">
        <f>VLOOKUP(A105,Ranking!A:F,6,0)</f>
        <v>#N/A</v>
      </c>
    </row>
    <row r="106" spans="1:6" hidden="1" x14ac:dyDescent="0.25">
      <c r="A106" s="5" t="s">
        <v>236</v>
      </c>
      <c r="B106" s="5" t="s">
        <v>656</v>
      </c>
      <c r="C106" s="7">
        <v>0</v>
      </c>
      <c r="D106" t="e">
        <f>VLOOKUP(A106,Ranking!A:F,6,0)</f>
        <v>#N/A</v>
      </c>
    </row>
    <row r="107" spans="1:6" hidden="1" x14ac:dyDescent="0.25">
      <c r="A107" s="5" t="s">
        <v>237</v>
      </c>
      <c r="B107" s="5" t="s">
        <v>657</v>
      </c>
      <c r="C107" s="7">
        <v>0</v>
      </c>
      <c r="D107" t="e">
        <f>VLOOKUP(A107,Ranking!A:F,6,0)</f>
        <v>#N/A</v>
      </c>
    </row>
    <row r="108" spans="1:6" x14ac:dyDescent="0.25">
      <c r="A108" s="5" t="s">
        <v>238</v>
      </c>
      <c r="B108" s="9" t="s">
        <v>658</v>
      </c>
      <c r="C108" s="7">
        <v>4</v>
      </c>
      <c r="D108" t="e">
        <f>VLOOKUP(A108,Ranking!A:F,6,0)</f>
        <v>#N/A</v>
      </c>
    </row>
    <row r="109" spans="1:6" x14ac:dyDescent="0.25">
      <c r="A109" s="5" t="s">
        <v>239</v>
      </c>
      <c r="B109" s="9" t="s">
        <v>659</v>
      </c>
      <c r="C109" s="7">
        <v>3</v>
      </c>
      <c r="D109" t="e">
        <f>VLOOKUP(A109,Ranking!A:F,6,0)</f>
        <v>#N/A</v>
      </c>
    </row>
    <row r="110" spans="1:6" x14ac:dyDescent="0.25">
      <c r="A110" s="5" t="s">
        <v>240</v>
      </c>
      <c r="B110" s="5" t="s">
        <v>660</v>
      </c>
      <c r="C110" s="7">
        <v>3</v>
      </c>
      <c r="D110" t="e">
        <f>VLOOKUP(A110,Ranking!A:F,6,0)</f>
        <v>#N/A</v>
      </c>
    </row>
    <row r="111" spans="1:6" x14ac:dyDescent="0.25">
      <c r="A111" s="5" t="s">
        <v>241</v>
      </c>
      <c r="B111" s="5" t="s">
        <v>661</v>
      </c>
      <c r="C111" s="7">
        <v>2</v>
      </c>
      <c r="D111" t="e">
        <f>VLOOKUP(A111,Ranking!A:F,6,0)</f>
        <v>#N/A</v>
      </c>
    </row>
    <row r="112" spans="1:6" x14ac:dyDescent="0.25">
      <c r="A112" s="5" t="s">
        <v>242</v>
      </c>
      <c r="B112" s="9" t="s">
        <v>662</v>
      </c>
      <c r="C112" s="7">
        <v>1</v>
      </c>
      <c r="D112" t="e">
        <f>VLOOKUP(A112,Ranking!A:F,6,0)</f>
        <v>#N/A</v>
      </c>
    </row>
    <row r="113" spans="1:6" hidden="1" x14ac:dyDescent="0.25">
      <c r="A113" s="5" t="s">
        <v>243</v>
      </c>
      <c r="B113" s="5" t="s">
        <v>663</v>
      </c>
      <c r="C113" s="7">
        <v>0</v>
      </c>
      <c r="D113" t="e">
        <f>VLOOKUP(A113,Ranking!A:F,6,0)</f>
        <v>#N/A</v>
      </c>
    </row>
    <row r="114" spans="1:6" hidden="1" x14ac:dyDescent="0.25">
      <c r="A114" s="5" t="s">
        <v>244</v>
      </c>
      <c r="B114" s="5" t="s">
        <v>664</v>
      </c>
      <c r="C114" s="7">
        <v>0</v>
      </c>
      <c r="D114" t="e">
        <f>VLOOKUP(A114,Ranking!A:F,6,0)</f>
        <v>#N/A</v>
      </c>
    </row>
    <row r="115" spans="1:6" hidden="1" x14ac:dyDescent="0.25">
      <c r="A115" s="5" t="s">
        <v>245</v>
      </c>
      <c r="B115" s="5" t="s">
        <v>665</v>
      </c>
      <c r="C115" s="7">
        <v>0</v>
      </c>
      <c r="D115" t="e">
        <f>VLOOKUP(A115,Ranking!A:F,6,0)</f>
        <v>#N/A</v>
      </c>
    </row>
    <row r="116" spans="1:6" hidden="1" x14ac:dyDescent="0.25">
      <c r="A116" s="5" t="s">
        <v>246</v>
      </c>
      <c r="B116" s="5" t="s">
        <v>666</v>
      </c>
      <c r="C116" s="7">
        <v>0</v>
      </c>
      <c r="D116" t="e">
        <f>VLOOKUP(A116,Ranking!A:F,6,0)</f>
        <v>#N/A</v>
      </c>
    </row>
    <row r="117" spans="1:6" x14ac:dyDescent="0.25">
      <c r="A117" s="5" t="s">
        <v>247</v>
      </c>
      <c r="B117" s="5" t="s">
        <v>667</v>
      </c>
      <c r="C117" s="7">
        <v>2</v>
      </c>
      <c r="D117" t="e">
        <f>VLOOKUP(A117,Ranking!A:F,6,0)</f>
        <v>#N/A</v>
      </c>
    </row>
    <row r="118" spans="1:6" x14ac:dyDescent="0.25">
      <c r="A118" s="5" t="s">
        <v>248</v>
      </c>
      <c r="B118" s="5" t="s">
        <v>668</v>
      </c>
      <c r="C118" s="7">
        <v>5</v>
      </c>
      <c r="D118" t="e">
        <f>VLOOKUP(A118,Ranking!A:F,6,0)</f>
        <v>#N/A</v>
      </c>
    </row>
    <row r="119" spans="1:6" hidden="1" x14ac:dyDescent="0.25">
      <c r="A119" s="5" t="s">
        <v>249</v>
      </c>
      <c r="B119" s="5" t="s">
        <v>669</v>
      </c>
      <c r="C119" s="7">
        <v>0</v>
      </c>
      <c r="D119" t="e">
        <f>VLOOKUP(A119,Ranking!A:F,6,0)</f>
        <v>#N/A</v>
      </c>
    </row>
    <row r="120" spans="1:6" x14ac:dyDescent="0.25">
      <c r="A120" s="5" t="s">
        <v>250</v>
      </c>
      <c r="B120" s="5" t="s">
        <v>670</v>
      </c>
      <c r="C120" s="7">
        <v>2</v>
      </c>
      <c r="D120" t="e">
        <f>VLOOKUP(A120,Ranking!A:F,6,0)</f>
        <v>#N/A</v>
      </c>
    </row>
    <row r="121" spans="1:6" x14ac:dyDescent="0.25">
      <c r="A121" s="5" t="s">
        <v>251</v>
      </c>
      <c r="B121" s="5" t="s">
        <v>671</v>
      </c>
      <c r="C121" s="7">
        <v>3</v>
      </c>
      <c r="D121" t="e">
        <f>VLOOKUP(A121,Ranking!A:F,6,0)</f>
        <v>#N/A</v>
      </c>
    </row>
    <row r="122" spans="1:6" x14ac:dyDescent="0.25">
      <c r="A122" s="5" t="s">
        <v>252</v>
      </c>
      <c r="B122" s="5" t="s">
        <v>672</v>
      </c>
      <c r="C122" s="7">
        <v>2</v>
      </c>
      <c r="D122" t="e">
        <f>VLOOKUP(A122,Ranking!A:F,6,0)</f>
        <v>#N/A</v>
      </c>
    </row>
    <row r="123" spans="1:6" x14ac:dyDescent="0.25">
      <c r="A123" s="5" t="s">
        <v>253</v>
      </c>
      <c r="B123" s="5" t="s">
        <v>673</v>
      </c>
      <c r="C123" s="7">
        <v>3</v>
      </c>
      <c r="D123" t="e">
        <f>VLOOKUP(A123,Ranking!A:F,6,0)</f>
        <v>#N/A</v>
      </c>
    </row>
    <row r="124" spans="1:6" x14ac:dyDescent="0.25">
      <c r="A124" s="5" t="s">
        <v>254</v>
      </c>
      <c r="B124" s="5" t="s">
        <v>674</v>
      </c>
      <c r="C124" s="7">
        <v>4</v>
      </c>
      <c r="D124" t="e">
        <f>VLOOKUP(A124,Ranking!A:F,6,0)</f>
        <v>#N/A</v>
      </c>
    </row>
    <row r="125" spans="1:6" hidden="1" x14ac:dyDescent="0.25">
      <c r="A125" s="5" t="s">
        <v>48</v>
      </c>
      <c r="B125" s="5" t="s">
        <v>49</v>
      </c>
      <c r="C125" s="7">
        <v>2</v>
      </c>
      <c r="D125">
        <f>VLOOKUP(A125,Ranking!A:F,6,0)</f>
        <v>2</v>
      </c>
      <c r="E125">
        <f>VLOOKUP(A125,[1]Sheet!$C:$G,5,0)</f>
        <v>66.400000000000006</v>
      </c>
      <c r="F125" s="1">
        <f>+E125*C125</f>
        <v>132.80000000000001</v>
      </c>
    </row>
    <row r="126" spans="1:6" x14ac:dyDescent="0.25">
      <c r="A126" s="5" t="s">
        <v>255</v>
      </c>
      <c r="B126" s="5" t="s">
        <v>675</v>
      </c>
      <c r="C126" s="7">
        <v>3</v>
      </c>
      <c r="D126" t="e">
        <f>VLOOKUP(A126,Ranking!A:F,6,0)</f>
        <v>#N/A</v>
      </c>
    </row>
    <row r="127" spans="1:6" hidden="1" x14ac:dyDescent="0.25">
      <c r="A127" s="5" t="s">
        <v>50</v>
      </c>
      <c r="B127" s="5" t="s">
        <v>51</v>
      </c>
      <c r="C127" s="7">
        <v>1</v>
      </c>
      <c r="D127">
        <f>VLOOKUP(A127,Ranking!A:F,6,0)</f>
        <v>2</v>
      </c>
      <c r="E127">
        <f>VLOOKUP(A127,[1]Sheet!$C:$G,5,0)</f>
        <v>43.05</v>
      </c>
      <c r="F127" s="1">
        <f t="shared" ref="F127:F128" si="2">+E127*C127</f>
        <v>43.05</v>
      </c>
    </row>
    <row r="128" spans="1:6" hidden="1" x14ac:dyDescent="0.25">
      <c r="A128" s="5" t="s">
        <v>54</v>
      </c>
      <c r="B128" s="5" t="s">
        <v>55</v>
      </c>
      <c r="C128" s="7">
        <v>1</v>
      </c>
      <c r="D128">
        <f>VLOOKUP(A128,Ranking!A:F,6,0)</f>
        <v>2</v>
      </c>
      <c r="E128">
        <f>VLOOKUP(A128,[1]Sheet!$C:$G,5,0)</f>
        <v>41.29</v>
      </c>
      <c r="F128" s="1">
        <f t="shared" si="2"/>
        <v>41.29</v>
      </c>
    </row>
    <row r="129" spans="1:6" x14ac:dyDescent="0.25">
      <c r="A129" s="5" t="s">
        <v>256</v>
      </c>
      <c r="B129" s="5" t="s">
        <v>676</v>
      </c>
      <c r="C129" s="7">
        <v>1</v>
      </c>
      <c r="D129" t="e">
        <f>VLOOKUP(A129,Ranking!A:F,6,0)</f>
        <v>#N/A</v>
      </c>
    </row>
    <row r="130" spans="1:6" hidden="1" x14ac:dyDescent="0.25">
      <c r="A130" s="5" t="s">
        <v>123</v>
      </c>
      <c r="B130" s="5" t="s">
        <v>124</v>
      </c>
      <c r="C130" s="7">
        <v>0</v>
      </c>
      <c r="D130">
        <f>VLOOKUP(A130,Ranking!A:F,6,0)</f>
        <v>1</v>
      </c>
    </row>
    <row r="131" spans="1:6" x14ac:dyDescent="0.25">
      <c r="A131" s="5" t="s">
        <v>257</v>
      </c>
      <c r="B131" s="5" t="s">
        <v>677</v>
      </c>
      <c r="C131" s="7">
        <v>1</v>
      </c>
      <c r="D131" t="e">
        <f>VLOOKUP(A131,Ranking!A:F,6,0)</f>
        <v>#N/A</v>
      </c>
    </row>
    <row r="132" spans="1:6" hidden="1" x14ac:dyDescent="0.25">
      <c r="A132" s="5" t="s">
        <v>28</v>
      </c>
      <c r="B132" s="5" t="s">
        <v>29</v>
      </c>
      <c r="C132" s="7">
        <v>16</v>
      </c>
      <c r="D132">
        <f>VLOOKUP(A132,Ranking!A:F,6,0)</f>
        <v>4</v>
      </c>
      <c r="E132">
        <f>VLOOKUP(A132,[1]Sheet!$C:$G,5,0)</f>
        <v>2.48</v>
      </c>
      <c r="F132" s="1">
        <f>+E132*C132</f>
        <v>39.68</v>
      </c>
    </row>
    <row r="133" spans="1:6" x14ac:dyDescent="0.25">
      <c r="A133" s="5" t="s">
        <v>258</v>
      </c>
      <c r="B133" s="5" t="s">
        <v>678</v>
      </c>
      <c r="C133" s="7">
        <v>5</v>
      </c>
      <c r="D133" t="e">
        <f>VLOOKUP(A133,Ranking!A:F,6,0)</f>
        <v>#N/A</v>
      </c>
    </row>
    <row r="134" spans="1:6" x14ac:dyDescent="0.25">
      <c r="A134" s="5" t="s">
        <v>259</v>
      </c>
      <c r="B134" s="5" t="s">
        <v>679</v>
      </c>
      <c r="C134" s="7">
        <v>2</v>
      </c>
      <c r="D134" t="e">
        <f>VLOOKUP(A134,Ranking!A:F,6,0)</f>
        <v>#N/A</v>
      </c>
    </row>
    <row r="135" spans="1:6" x14ac:dyDescent="0.25">
      <c r="A135" s="5" t="s">
        <v>260</v>
      </c>
      <c r="B135" s="5" t="s">
        <v>680</v>
      </c>
      <c r="C135" s="7">
        <v>1</v>
      </c>
      <c r="D135" t="e">
        <f>VLOOKUP(A135,Ranking!A:F,6,0)</f>
        <v>#N/A</v>
      </c>
    </row>
    <row r="136" spans="1:6" x14ac:dyDescent="0.25">
      <c r="A136" s="5" t="s">
        <v>261</v>
      </c>
      <c r="B136" s="5" t="s">
        <v>681</v>
      </c>
      <c r="C136" s="7">
        <v>1</v>
      </c>
      <c r="D136" t="e">
        <f>VLOOKUP(A136,Ranking!A:F,6,0)</f>
        <v>#N/A</v>
      </c>
    </row>
    <row r="137" spans="1:6" x14ac:dyDescent="0.25">
      <c r="A137" s="5" t="s">
        <v>262</v>
      </c>
      <c r="B137" s="5" t="s">
        <v>682</v>
      </c>
      <c r="C137" s="7">
        <v>3</v>
      </c>
      <c r="D137" t="e">
        <f>VLOOKUP(A137,Ranking!A:F,6,0)</f>
        <v>#N/A</v>
      </c>
    </row>
    <row r="138" spans="1:6" x14ac:dyDescent="0.25">
      <c r="A138" s="5" t="s">
        <v>263</v>
      </c>
      <c r="B138" s="5" t="s">
        <v>683</v>
      </c>
      <c r="C138" s="7">
        <v>3</v>
      </c>
      <c r="D138" t="e">
        <f>VLOOKUP(A138,Ranking!A:F,6,0)</f>
        <v>#N/A</v>
      </c>
    </row>
    <row r="139" spans="1:6" x14ac:dyDescent="0.25">
      <c r="A139" s="5" t="s">
        <v>264</v>
      </c>
      <c r="B139" s="5" t="s">
        <v>684</v>
      </c>
      <c r="C139" s="7">
        <v>1</v>
      </c>
      <c r="D139" t="e">
        <f>VLOOKUP(A139,Ranking!A:F,6,0)</f>
        <v>#N/A</v>
      </c>
    </row>
    <row r="140" spans="1:6" hidden="1" x14ac:dyDescent="0.25">
      <c r="A140" s="5" t="s">
        <v>265</v>
      </c>
      <c r="B140" s="5" t="s">
        <v>685</v>
      </c>
      <c r="C140" s="7">
        <v>0</v>
      </c>
      <c r="D140" t="e">
        <f>VLOOKUP(A140,Ranking!A:F,6,0)</f>
        <v>#N/A</v>
      </c>
    </row>
    <row r="141" spans="1:6" hidden="1" x14ac:dyDescent="0.25">
      <c r="A141" s="5" t="s">
        <v>266</v>
      </c>
      <c r="B141" s="5" t="s">
        <v>686</v>
      </c>
      <c r="C141" s="7">
        <v>0</v>
      </c>
      <c r="D141" t="e">
        <f>VLOOKUP(A141,Ranking!A:F,6,0)</f>
        <v>#N/A</v>
      </c>
    </row>
    <row r="142" spans="1:6" x14ac:dyDescent="0.25">
      <c r="A142" s="5" t="s">
        <v>267</v>
      </c>
      <c r="B142" s="5" t="s">
        <v>687</v>
      </c>
      <c r="C142" s="7">
        <v>1</v>
      </c>
      <c r="D142" t="e">
        <f>VLOOKUP(A142,Ranking!A:F,6,0)</f>
        <v>#N/A</v>
      </c>
    </row>
    <row r="143" spans="1:6" x14ac:dyDescent="0.25">
      <c r="A143" s="5" t="s">
        <v>268</v>
      </c>
      <c r="B143" s="5" t="s">
        <v>688</v>
      </c>
      <c r="C143" s="7">
        <v>3</v>
      </c>
      <c r="D143" t="e">
        <f>VLOOKUP(A143,Ranking!A:F,6,0)</f>
        <v>#N/A</v>
      </c>
    </row>
    <row r="144" spans="1:6" x14ac:dyDescent="0.25">
      <c r="A144" s="5" t="s">
        <v>269</v>
      </c>
      <c r="B144" s="5" t="s">
        <v>689</v>
      </c>
      <c r="C144" s="7">
        <v>2</v>
      </c>
      <c r="D144" t="e">
        <f>VLOOKUP(A144,Ranking!A:F,6,0)</f>
        <v>#N/A</v>
      </c>
    </row>
    <row r="145" spans="1:4" x14ac:dyDescent="0.25">
      <c r="A145" s="5" t="s">
        <v>270</v>
      </c>
      <c r="B145" s="5" t="s">
        <v>690</v>
      </c>
      <c r="C145" s="7">
        <v>1</v>
      </c>
      <c r="D145" t="e">
        <f>VLOOKUP(A145,Ranking!A:F,6,0)</f>
        <v>#N/A</v>
      </c>
    </row>
    <row r="146" spans="1:4" x14ac:dyDescent="0.25">
      <c r="A146" s="5" t="s">
        <v>271</v>
      </c>
      <c r="B146" s="5" t="s">
        <v>691</v>
      </c>
      <c r="C146" s="7">
        <v>3</v>
      </c>
      <c r="D146" t="e">
        <f>VLOOKUP(A146,Ranking!A:F,6,0)</f>
        <v>#N/A</v>
      </c>
    </row>
    <row r="147" spans="1:4" hidden="1" x14ac:dyDescent="0.25">
      <c r="A147" s="5" t="s">
        <v>272</v>
      </c>
      <c r="B147" s="5" t="s">
        <v>692</v>
      </c>
      <c r="C147" s="7">
        <v>0</v>
      </c>
      <c r="D147" t="e">
        <f>VLOOKUP(A147,Ranking!A:F,6,0)</f>
        <v>#N/A</v>
      </c>
    </row>
    <row r="148" spans="1:4" x14ac:dyDescent="0.25">
      <c r="A148" s="5" t="s">
        <v>273</v>
      </c>
      <c r="B148" s="5" t="s">
        <v>693</v>
      </c>
      <c r="C148" s="7">
        <v>1</v>
      </c>
      <c r="D148" t="e">
        <f>VLOOKUP(A148,Ranking!A:F,6,0)</f>
        <v>#N/A</v>
      </c>
    </row>
    <row r="149" spans="1:4" x14ac:dyDescent="0.25">
      <c r="A149" s="5" t="s">
        <v>274</v>
      </c>
      <c r="B149" s="5" t="s">
        <v>694</v>
      </c>
      <c r="C149" s="7">
        <v>3</v>
      </c>
      <c r="D149" t="e">
        <f>VLOOKUP(A149,Ranking!A:F,6,0)</f>
        <v>#N/A</v>
      </c>
    </row>
    <row r="150" spans="1:4" x14ac:dyDescent="0.25">
      <c r="A150" s="5" t="s">
        <v>275</v>
      </c>
      <c r="B150" s="5" t="s">
        <v>695</v>
      </c>
      <c r="C150" s="7">
        <v>2</v>
      </c>
      <c r="D150" t="e">
        <f>VLOOKUP(A150,Ranking!A:F,6,0)</f>
        <v>#N/A</v>
      </c>
    </row>
    <row r="151" spans="1:4" x14ac:dyDescent="0.25">
      <c r="A151" s="5" t="s">
        <v>276</v>
      </c>
      <c r="B151" s="5" t="s">
        <v>696</v>
      </c>
      <c r="C151" s="7">
        <v>3</v>
      </c>
      <c r="D151" t="e">
        <f>VLOOKUP(A151,Ranking!A:F,6,0)</f>
        <v>#N/A</v>
      </c>
    </row>
    <row r="152" spans="1:4" x14ac:dyDescent="0.25">
      <c r="A152" s="5" t="s">
        <v>277</v>
      </c>
      <c r="B152" s="5" t="s">
        <v>697</v>
      </c>
      <c r="C152" s="7">
        <v>3</v>
      </c>
      <c r="D152" t="e">
        <f>VLOOKUP(A152,Ranking!A:F,6,0)</f>
        <v>#N/A</v>
      </c>
    </row>
    <row r="153" spans="1:4" x14ac:dyDescent="0.25">
      <c r="A153" s="5" t="s">
        <v>278</v>
      </c>
      <c r="B153" s="5" t="s">
        <v>698</v>
      </c>
      <c r="C153" s="7">
        <v>2</v>
      </c>
      <c r="D153" t="e">
        <f>VLOOKUP(A153,Ranking!A:F,6,0)</f>
        <v>#N/A</v>
      </c>
    </row>
    <row r="154" spans="1:4" x14ac:dyDescent="0.25">
      <c r="A154" s="5" t="s">
        <v>279</v>
      </c>
      <c r="B154" s="5" t="s">
        <v>699</v>
      </c>
      <c r="C154" s="7">
        <v>1</v>
      </c>
      <c r="D154" t="e">
        <f>VLOOKUP(A154,Ranking!A:F,6,0)</f>
        <v>#N/A</v>
      </c>
    </row>
    <row r="155" spans="1:4" x14ac:dyDescent="0.25">
      <c r="A155" s="5" t="s">
        <v>280</v>
      </c>
      <c r="B155" s="5" t="s">
        <v>700</v>
      </c>
      <c r="C155" s="7">
        <v>2</v>
      </c>
      <c r="D155" t="e">
        <f>VLOOKUP(A155,Ranking!A:F,6,0)</f>
        <v>#N/A</v>
      </c>
    </row>
    <row r="156" spans="1:4" x14ac:dyDescent="0.25">
      <c r="A156" s="5" t="s">
        <v>281</v>
      </c>
      <c r="B156" s="5" t="s">
        <v>701</v>
      </c>
      <c r="C156" s="7">
        <v>1</v>
      </c>
      <c r="D156" t="e">
        <f>VLOOKUP(A156,Ranking!A:F,6,0)</f>
        <v>#N/A</v>
      </c>
    </row>
    <row r="157" spans="1:4" x14ac:dyDescent="0.25">
      <c r="A157" s="5" t="s">
        <v>282</v>
      </c>
      <c r="B157" s="5" t="s">
        <v>702</v>
      </c>
      <c r="C157" s="7">
        <v>2</v>
      </c>
      <c r="D157" t="e">
        <f>VLOOKUP(A157,Ranking!A:F,6,0)</f>
        <v>#N/A</v>
      </c>
    </row>
    <row r="158" spans="1:4" x14ac:dyDescent="0.25">
      <c r="A158" s="5" t="s">
        <v>283</v>
      </c>
      <c r="B158" s="5" t="s">
        <v>703</v>
      </c>
      <c r="C158" s="7">
        <v>1</v>
      </c>
      <c r="D158" t="e">
        <f>VLOOKUP(A158,Ranking!A:F,6,0)</f>
        <v>#N/A</v>
      </c>
    </row>
    <row r="159" spans="1:4" x14ac:dyDescent="0.25">
      <c r="A159" s="5" t="s">
        <v>284</v>
      </c>
      <c r="B159" s="5" t="s">
        <v>704</v>
      </c>
      <c r="C159" s="7">
        <v>1</v>
      </c>
      <c r="D159" t="e">
        <f>VLOOKUP(A159,Ranking!A:F,6,0)</f>
        <v>#N/A</v>
      </c>
    </row>
    <row r="160" spans="1:4" x14ac:dyDescent="0.25">
      <c r="A160" s="5" t="s">
        <v>285</v>
      </c>
      <c r="B160" s="5" t="s">
        <v>705</v>
      </c>
      <c r="C160" s="7">
        <v>3</v>
      </c>
      <c r="D160" t="e">
        <f>VLOOKUP(A160,Ranking!A:F,6,0)</f>
        <v>#N/A</v>
      </c>
    </row>
    <row r="161" spans="1:6" x14ac:dyDescent="0.25">
      <c r="A161" s="5" t="s">
        <v>286</v>
      </c>
      <c r="B161" s="5" t="s">
        <v>706</v>
      </c>
      <c r="C161" s="7">
        <v>2</v>
      </c>
      <c r="D161" t="e">
        <f>VLOOKUP(A161,Ranking!A:F,6,0)</f>
        <v>#N/A</v>
      </c>
    </row>
    <row r="162" spans="1:6" x14ac:dyDescent="0.25">
      <c r="A162" s="5" t="s">
        <v>287</v>
      </c>
      <c r="B162" s="5" t="s">
        <v>707</v>
      </c>
      <c r="C162" s="7">
        <v>1</v>
      </c>
      <c r="D162" t="e">
        <f>VLOOKUP(A162,Ranking!A:F,6,0)</f>
        <v>#N/A</v>
      </c>
    </row>
    <row r="163" spans="1:6" x14ac:dyDescent="0.25">
      <c r="A163" s="5" t="s">
        <v>288</v>
      </c>
      <c r="B163" s="5" t="s">
        <v>708</v>
      </c>
      <c r="C163" s="7">
        <v>5</v>
      </c>
      <c r="D163" t="e">
        <f>VLOOKUP(A163,Ranking!A:F,6,0)</f>
        <v>#N/A</v>
      </c>
    </row>
    <row r="164" spans="1:6" x14ac:dyDescent="0.25">
      <c r="A164" s="5" t="s">
        <v>289</v>
      </c>
      <c r="B164" s="5" t="s">
        <v>709</v>
      </c>
      <c r="C164" s="7">
        <v>1</v>
      </c>
      <c r="D164" t="e">
        <f>VLOOKUP(A164,Ranking!A:F,6,0)</f>
        <v>#N/A</v>
      </c>
    </row>
    <row r="165" spans="1:6" x14ac:dyDescent="0.25">
      <c r="A165" s="5" t="s">
        <v>290</v>
      </c>
      <c r="B165" s="5" t="s">
        <v>710</v>
      </c>
      <c r="C165" s="7">
        <v>2</v>
      </c>
      <c r="D165" t="e">
        <f>VLOOKUP(A165,Ranking!A:F,6,0)</f>
        <v>#N/A</v>
      </c>
    </row>
    <row r="166" spans="1:6" x14ac:dyDescent="0.25">
      <c r="A166" s="5" t="s">
        <v>291</v>
      </c>
      <c r="B166" s="5" t="s">
        <v>711</v>
      </c>
      <c r="C166" s="7">
        <v>1</v>
      </c>
      <c r="D166" t="e">
        <f>VLOOKUP(A166,Ranking!A:F,6,0)</f>
        <v>#N/A</v>
      </c>
    </row>
    <row r="167" spans="1:6" x14ac:dyDescent="0.25">
      <c r="A167" s="5" t="s">
        <v>292</v>
      </c>
      <c r="B167" s="5" t="s">
        <v>712</v>
      </c>
      <c r="C167" s="7">
        <v>3</v>
      </c>
      <c r="D167" t="e">
        <f>VLOOKUP(A167,Ranking!A:F,6,0)</f>
        <v>#N/A</v>
      </c>
    </row>
    <row r="168" spans="1:6" x14ac:dyDescent="0.25">
      <c r="A168" s="5" t="s">
        <v>293</v>
      </c>
      <c r="B168" s="5" t="s">
        <v>713</v>
      </c>
      <c r="C168" s="7">
        <v>2</v>
      </c>
      <c r="D168" t="e">
        <f>VLOOKUP(A168,Ranking!A:F,6,0)</f>
        <v>#N/A</v>
      </c>
    </row>
    <row r="169" spans="1:6" x14ac:dyDescent="0.25">
      <c r="A169" s="5" t="s">
        <v>294</v>
      </c>
      <c r="B169" s="5" t="s">
        <v>714</v>
      </c>
      <c r="C169" s="7">
        <v>1</v>
      </c>
      <c r="D169" t="e">
        <f>VLOOKUP(A169,Ranking!A:F,6,0)</f>
        <v>#N/A</v>
      </c>
    </row>
    <row r="170" spans="1:6" x14ac:dyDescent="0.25">
      <c r="A170" s="5" t="s">
        <v>295</v>
      </c>
      <c r="B170" s="5" t="s">
        <v>715</v>
      </c>
      <c r="C170" s="7">
        <v>2</v>
      </c>
      <c r="D170" t="e">
        <f>VLOOKUP(A170,Ranking!A:F,6,0)</f>
        <v>#N/A</v>
      </c>
    </row>
    <row r="171" spans="1:6" x14ac:dyDescent="0.25">
      <c r="A171" s="5" t="s">
        <v>296</v>
      </c>
      <c r="B171" s="5" t="s">
        <v>716</v>
      </c>
      <c r="C171" s="7">
        <v>3</v>
      </c>
      <c r="D171" t="e">
        <f>VLOOKUP(A171,Ranking!A:F,6,0)</f>
        <v>#N/A</v>
      </c>
    </row>
    <row r="172" spans="1:6" x14ac:dyDescent="0.25">
      <c r="A172" s="5" t="s">
        <v>297</v>
      </c>
      <c r="B172" s="5" t="s">
        <v>717</v>
      </c>
      <c r="C172" s="7">
        <v>2</v>
      </c>
      <c r="D172" t="e">
        <f>VLOOKUP(A172,Ranking!A:F,6,0)</f>
        <v>#N/A</v>
      </c>
    </row>
    <row r="173" spans="1:6" hidden="1" x14ac:dyDescent="0.25">
      <c r="A173" s="5" t="s">
        <v>142</v>
      </c>
      <c r="B173" s="5" t="s">
        <v>143</v>
      </c>
      <c r="C173" s="7">
        <v>2</v>
      </c>
      <c r="D173">
        <f>VLOOKUP(A173,Ranking!A:F,6,0)</f>
        <v>1</v>
      </c>
      <c r="E173">
        <f>VLOOKUP(A173,[1]Sheet!$C:$G,5,0)</f>
        <v>73.989999999999995</v>
      </c>
      <c r="F173" s="1">
        <f>+E173*C173</f>
        <v>147.97999999999999</v>
      </c>
    </row>
    <row r="174" spans="1:6" x14ac:dyDescent="0.25">
      <c r="A174" s="5" t="s">
        <v>298</v>
      </c>
      <c r="B174" s="5" t="s">
        <v>718</v>
      </c>
      <c r="C174" s="7">
        <v>2</v>
      </c>
      <c r="D174" t="e">
        <f>VLOOKUP(A174,Ranking!A:F,6,0)</f>
        <v>#N/A</v>
      </c>
    </row>
    <row r="175" spans="1:6" x14ac:dyDescent="0.25">
      <c r="A175" s="5" t="s">
        <v>299</v>
      </c>
      <c r="B175" s="5" t="s">
        <v>719</v>
      </c>
      <c r="C175" s="7">
        <v>1</v>
      </c>
      <c r="D175" t="e">
        <f>VLOOKUP(A175,Ranking!A:F,6,0)</f>
        <v>#N/A</v>
      </c>
    </row>
    <row r="176" spans="1:6" x14ac:dyDescent="0.25">
      <c r="A176" s="5" t="s">
        <v>300</v>
      </c>
      <c r="B176" s="5" t="s">
        <v>720</v>
      </c>
      <c r="C176" s="7">
        <v>2</v>
      </c>
      <c r="D176" t="e">
        <f>VLOOKUP(A176,Ranking!A:F,6,0)</f>
        <v>#N/A</v>
      </c>
    </row>
    <row r="177" spans="1:6" x14ac:dyDescent="0.25">
      <c r="A177" s="5" t="s">
        <v>301</v>
      </c>
      <c r="B177" s="5" t="s">
        <v>721</v>
      </c>
      <c r="C177" s="7">
        <v>4</v>
      </c>
      <c r="D177" t="e">
        <f>VLOOKUP(A177,Ranking!A:F,6,0)</f>
        <v>#N/A</v>
      </c>
    </row>
    <row r="178" spans="1:6" x14ac:dyDescent="0.25">
      <c r="A178" s="5" t="s">
        <v>302</v>
      </c>
      <c r="B178" s="5" t="s">
        <v>722</v>
      </c>
      <c r="C178" s="7">
        <v>3</v>
      </c>
      <c r="D178" t="e">
        <f>VLOOKUP(A178,Ranking!A:F,6,0)</f>
        <v>#N/A</v>
      </c>
    </row>
    <row r="179" spans="1:6" hidden="1" x14ac:dyDescent="0.25">
      <c r="A179" s="5" t="s">
        <v>144</v>
      </c>
      <c r="B179" s="5" t="s">
        <v>145</v>
      </c>
      <c r="C179" s="7">
        <v>4</v>
      </c>
      <c r="D179">
        <f>VLOOKUP(A179,Ranking!A:F,6,0)</f>
        <v>1</v>
      </c>
      <c r="E179">
        <f>VLOOKUP(A179,[1]Sheet!$C:$G,5,0)</f>
        <v>34.5</v>
      </c>
      <c r="F179" s="1">
        <f>+E179*C179</f>
        <v>138</v>
      </c>
    </row>
    <row r="180" spans="1:6" x14ac:dyDescent="0.25">
      <c r="A180" s="5" t="s">
        <v>303</v>
      </c>
      <c r="B180" s="5" t="s">
        <v>723</v>
      </c>
      <c r="C180" s="7">
        <v>4</v>
      </c>
      <c r="D180" t="e">
        <f>VLOOKUP(A180,Ranking!A:F,6,0)</f>
        <v>#N/A</v>
      </c>
    </row>
    <row r="181" spans="1:6" x14ac:dyDescent="0.25">
      <c r="A181" s="5" t="s">
        <v>304</v>
      </c>
      <c r="B181" s="5" t="s">
        <v>724</v>
      </c>
      <c r="C181" s="7">
        <v>2</v>
      </c>
      <c r="D181" t="e">
        <f>VLOOKUP(A181,Ranking!A:F,6,0)</f>
        <v>#N/A</v>
      </c>
    </row>
    <row r="182" spans="1:6" x14ac:dyDescent="0.25">
      <c r="A182" s="5" t="s">
        <v>305</v>
      </c>
      <c r="B182" s="5" t="s">
        <v>725</v>
      </c>
      <c r="C182" s="7">
        <v>6</v>
      </c>
      <c r="D182" t="e">
        <f>VLOOKUP(A182,Ranking!A:F,6,0)</f>
        <v>#N/A</v>
      </c>
    </row>
    <row r="183" spans="1:6" hidden="1" x14ac:dyDescent="0.25">
      <c r="A183" s="5" t="s">
        <v>306</v>
      </c>
      <c r="B183" s="5" t="s">
        <v>726</v>
      </c>
      <c r="C183" s="7">
        <v>0</v>
      </c>
      <c r="D183" t="e">
        <f>VLOOKUP(A183,Ranking!A:F,6,0)</f>
        <v>#N/A</v>
      </c>
    </row>
    <row r="184" spans="1:6" x14ac:dyDescent="0.25">
      <c r="A184" s="5" t="s">
        <v>307</v>
      </c>
      <c r="B184" s="5" t="s">
        <v>727</v>
      </c>
      <c r="C184" s="7">
        <v>2</v>
      </c>
      <c r="D184" t="e">
        <f>VLOOKUP(A184,Ranking!A:F,6,0)</f>
        <v>#N/A</v>
      </c>
    </row>
    <row r="185" spans="1:6" x14ac:dyDescent="0.25">
      <c r="A185" s="5" t="s">
        <v>308</v>
      </c>
      <c r="B185" s="5" t="s">
        <v>728</v>
      </c>
      <c r="C185" s="7">
        <v>3</v>
      </c>
      <c r="D185" t="e">
        <f>VLOOKUP(A185,Ranking!A:F,6,0)</f>
        <v>#N/A</v>
      </c>
    </row>
    <row r="186" spans="1:6" x14ac:dyDescent="0.25">
      <c r="A186" s="5" t="s">
        <v>309</v>
      </c>
      <c r="B186" s="5" t="s">
        <v>729</v>
      </c>
      <c r="C186" s="7">
        <v>2</v>
      </c>
      <c r="D186" t="e">
        <f>VLOOKUP(A186,Ranking!A:F,6,0)</f>
        <v>#N/A</v>
      </c>
    </row>
    <row r="187" spans="1:6" x14ac:dyDescent="0.25">
      <c r="A187" s="5" t="s">
        <v>310</v>
      </c>
      <c r="B187" s="5" t="s">
        <v>730</v>
      </c>
      <c r="C187" s="7">
        <v>3</v>
      </c>
      <c r="D187" t="e">
        <f>VLOOKUP(A187,Ranking!A:F,6,0)</f>
        <v>#N/A</v>
      </c>
    </row>
    <row r="188" spans="1:6" hidden="1" x14ac:dyDescent="0.25">
      <c r="A188" s="5" t="s">
        <v>311</v>
      </c>
      <c r="B188" s="5" t="s">
        <v>731</v>
      </c>
      <c r="C188" s="7">
        <v>0</v>
      </c>
      <c r="D188" t="e">
        <f>VLOOKUP(A188,Ranking!A:F,6,0)</f>
        <v>#N/A</v>
      </c>
    </row>
    <row r="189" spans="1:6" hidden="1" x14ac:dyDescent="0.25">
      <c r="A189" s="5" t="s">
        <v>312</v>
      </c>
      <c r="B189" s="5" t="s">
        <v>732</v>
      </c>
      <c r="C189" s="7">
        <v>0</v>
      </c>
      <c r="D189" t="e">
        <f>VLOOKUP(A189,Ranking!A:F,6,0)</f>
        <v>#N/A</v>
      </c>
    </row>
    <row r="190" spans="1:6" hidden="1" x14ac:dyDescent="0.25">
      <c r="A190" s="5" t="s">
        <v>313</v>
      </c>
      <c r="B190" s="5" t="s">
        <v>733</v>
      </c>
      <c r="C190" s="7">
        <v>0</v>
      </c>
      <c r="D190" t="e">
        <f>VLOOKUP(A190,Ranking!A:F,6,0)</f>
        <v>#N/A</v>
      </c>
    </row>
    <row r="191" spans="1:6" x14ac:dyDescent="0.25">
      <c r="A191" s="5" t="s">
        <v>314</v>
      </c>
      <c r="B191" s="5" t="s">
        <v>734</v>
      </c>
      <c r="C191" s="7">
        <v>1</v>
      </c>
      <c r="D191" t="e">
        <f>VLOOKUP(A191,Ranking!A:F,6,0)</f>
        <v>#N/A</v>
      </c>
    </row>
    <row r="192" spans="1:6" hidden="1" x14ac:dyDescent="0.25">
      <c r="A192" s="5" t="s">
        <v>315</v>
      </c>
      <c r="B192" s="5" t="s">
        <v>735</v>
      </c>
      <c r="C192" s="7">
        <v>0</v>
      </c>
      <c r="D192" t="e">
        <f>VLOOKUP(A192,Ranking!A:F,6,0)</f>
        <v>#N/A</v>
      </c>
    </row>
    <row r="193" spans="1:6" hidden="1" x14ac:dyDescent="0.25">
      <c r="A193" s="5" t="s">
        <v>316</v>
      </c>
      <c r="B193" s="5" t="s">
        <v>736</v>
      </c>
      <c r="C193" s="7">
        <v>0</v>
      </c>
      <c r="D193" t="e">
        <f>VLOOKUP(A193,Ranking!A:F,6,0)</f>
        <v>#N/A</v>
      </c>
    </row>
    <row r="194" spans="1:6" hidden="1" x14ac:dyDescent="0.25">
      <c r="A194" s="5" t="s">
        <v>317</v>
      </c>
      <c r="B194" s="5" t="s">
        <v>737</v>
      </c>
      <c r="C194" s="7">
        <v>0</v>
      </c>
      <c r="D194" t="e">
        <f>VLOOKUP(A194,Ranking!A:F,6,0)</f>
        <v>#N/A</v>
      </c>
    </row>
    <row r="195" spans="1:6" hidden="1" x14ac:dyDescent="0.25">
      <c r="A195" s="5" t="s">
        <v>318</v>
      </c>
      <c r="B195" s="5" t="s">
        <v>738</v>
      </c>
      <c r="C195" s="7">
        <v>0</v>
      </c>
      <c r="D195" t="e">
        <f>VLOOKUP(A195,Ranking!A:F,6,0)</f>
        <v>#N/A</v>
      </c>
    </row>
    <row r="196" spans="1:6" hidden="1" x14ac:dyDescent="0.25">
      <c r="A196" s="5" t="s">
        <v>76</v>
      </c>
      <c r="B196" s="5" t="s">
        <v>77</v>
      </c>
      <c r="C196" s="7">
        <v>38</v>
      </c>
      <c r="D196">
        <f>VLOOKUP(A196,Ranking!A:F,6,0)</f>
        <v>2</v>
      </c>
      <c r="E196">
        <f>VLOOKUP(A196,[1]Sheet!$C:$G,5,0)</f>
        <v>10</v>
      </c>
      <c r="F196" s="1">
        <f t="shared" ref="F196:F197" si="3">+E196*C196</f>
        <v>380</v>
      </c>
    </row>
    <row r="197" spans="1:6" hidden="1" x14ac:dyDescent="0.25">
      <c r="A197" s="5" t="s">
        <v>44</v>
      </c>
      <c r="B197" s="5" t="s">
        <v>45</v>
      </c>
      <c r="C197" s="7">
        <v>34</v>
      </c>
      <c r="D197">
        <f>VLOOKUP(A197,Ranking!A:F,6,0)</f>
        <v>2</v>
      </c>
      <c r="E197">
        <f>VLOOKUP(A197,[1]Sheet!$C:$G,5,0)</f>
        <v>10</v>
      </c>
      <c r="F197" s="1">
        <f t="shared" si="3"/>
        <v>340</v>
      </c>
    </row>
    <row r="198" spans="1:6" x14ac:dyDescent="0.25">
      <c r="A198" s="5" t="s">
        <v>319</v>
      </c>
      <c r="B198" s="5" t="s">
        <v>739</v>
      </c>
      <c r="C198" s="7">
        <v>16</v>
      </c>
      <c r="D198" t="e">
        <f>VLOOKUP(A198,Ranking!A:F,6,0)</f>
        <v>#N/A</v>
      </c>
    </row>
    <row r="199" spans="1:6" x14ac:dyDescent="0.25">
      <c r="A199" s="5" t="s">
        <v>320</v>
      </c>
      <c r="B199" s="5" t="s">
        <v>740</v>
      </c>
      <c r="C199" s="7">
        <v>5</v>
      </c>
      <c r="D199" t="e">
        <f>VLOOKUP(A199,Ranking!A:F,6,0)</f>
        <v>#N/A</v>
      </c>
    </row>
    <row r="200" spans="1:6" x14ac:dyDescent="0.25">
      <c r="A200" s="5" t="s">
        <v>321</v>
      </c>
      <c r="B200" s="5" t="s">
        <v>741</v>
      </c>
      <c r="C200" s="7">
        <v>6</v>
      </c>
      <c r="D200" t="e">
        <f>VLOOKUP(A200,Ranking!A:F,6,0)</f>
        <v>#N/A</v>
      </c>
    </row>
    <row r="201" spans="1:6" hidden="1" x14ac:dyDescent="0.25">
      <c r="A201" s="5" t="s">
        <v>32</v>
      </c>
      <c r="B201" s="5" t="s">
        <v>33</v>
      </c>
      <c r="C201" s="7">
        <v>5</v>
      </c>
      <c r="D201">
        <f>VLOOKUP(A201,Ranking!A:F,6,0)</f>
        <v>3</v>
      </c>
      <c r="E201">
        <f>VLOOKUP(A201,[1]Sheet!$C:$G,5,0)</f>
        <v>12</v>
      </c>
      <c r="F201" s="1">
        <f t="shared" ref="F201:F202" si="4">+E201*C201</f>
        <v>60</v>
      </c>
    </row>
    <row r="202" spans="1:6" hidden="1" x14ac:dyDescent="0.25">
      <c r="A202" s="5" t="s">
        <v>113</v>
      </c>
      <c r="B202" s="5" t="s">
        <v>114</v>
      </c>
      <c r="C202" s="7">
        <v>3</v>
      </c>
      <c r="D202">
        <f>VLOOKUP(A202,Ranking!A:F,6,0)</f>
        <v>1</v>
      </c>
      <c r="E202">
        <f>VLOOKUP(A202,[1]Sheet!$C:$G,5,0)</f>
        <v>3.5</v>
      </c>
      <c r="F202" s="1">
        <f t="shared" si="4"/>
        <v>10.5</v>
      </c>
    </row>
    <row r="203" spans="1:6" x14ac:dyDescent="0.25">
      <c r="A203" s="5" t="s">
        <v>322</v>
      </c>
      <c r="B203" s="5" t="s">
        <v>742</v>
      </c>
      <c r="C203" s="7">
        <v>2</v>
      </c>
      <c r="D203" t="e">
        <f>VLOOKUP(A203,Ranking!A:F,6,0)</f>
        <v>#N/A</v>
      </c>
    </row>
    <row r="204" spans="1:6" x14ac:dyDescent="0.25">
      <c r="A204" s="5" t="s">
        <v>323</v>
      </c>
      <c r="B204" s="5" t="s">
        <v>743</v>
      </c>
      <c r="C204" s="7">
        <v>4</v>
      </c>
      <c r="D204" t="e">
        <f>VLOOKUP(A204,Ranking!A:F,6,0)</f>
        <v>#N/A</v>
      </c>
    </row>
    <row r="205" spans="1:6" x14ac:dyDescent="0.25">
      <c r="A205" s="5" t="s">
        <v>324</v>
      </c>
      <c r="B205" s="5" t="s">
        <v>744</v>
      </c>
      <c r="C205" s="7">
        <v>2</v>
      </c>
      <c r="D205" t="e">
        <f>VLOOKUP(A205,Ranking!A:F,6,0)</f>
        <v>#N/A</v>
      </c>
    </row>
    <row r="206" spans="1:6" x14ac:dyDescent="0.25">
      <c r="A206" s="5" t="s">
        <v>325</v>
      </c>
      <c r="B206" s="5" t="s">
        <v>745</v>
      </c>
      <c r="C206" s="7">
        <v>1</v>
      </c>
      <c r="D206" t="e">
        <f>VLOOKUP(A206,Ranking!A:F,6,0)</f>
        <v>#N/A</v>
      </c>
    </row>
    <row r="207" spans="1:6" hidden="1" x14ac:dyDescent="0.25">
      <c r="A207" s="5" t="s">
        <v>326</v>
      </c>
      <c r="B207" s="5" t="s">
        <v>746</v>
      </c>
      <c r="C207" s="7">
        <v>0</v>
      </c>
      <c r="D207" t="e">
        <f>VLOOKUP(A207,Ranking!A:F,6,0)</f>
        <v>#N/A</v>
      </c>
    </row>
    <row r="208" spans="1:6" hidden="1" x14ac:dyDescent="0.25">
      <c r="A208" s="5" t="s">
        <v>327</v>
      </c>
      <c r="B208" s="5" t="s">
        <v>747</v>
      </c>
      <c r="C208" s="7">
        <v>0</v>
      </c>
      <c r="D208" t="e">
        <f>VLOOKUP(A208,Ranking!A:F,6,0)</f>
        <v>#N/A</v>
      </c>
    </row>
    <row r="209" spans="1:6" x14ac:dyDescent="0.25">
      <c r="A209" s="5" t="s">
        <v>328</v>
      </c>
      <c r="B209" s="5" t="s">
        <v>748</v>
      </c>
      <c r="C209" s="7">
        <v>2</v>
      </c>
      <c r="D209" t="e">
        <f>VLOOKUP(A209,Ranking!A:F,6,0)</f>
        <v>#N/A</v>
      </c>
    </row>
    <row r="210" spans="1:6" x14ac:dyDescent="0.25">
      <c r="A210" s="5" t="s">
        <v>329</v>
      </c>
      <c r="B210" s="5" t="s">
        <v>749</v>
      </c>
      <c r="C210" s="7">
        <v>1</v>
      </c>
      <c r="D210" t="e">
        <f>VLOOKUP(A210,Ranking!A:F,6,0)</f>
        <v>#N/A</v>
      </c>
    </row>
    <row r="211" spans="1:6" x14ac:dyDescent="0.25">
      <c r="A211" s="5" t="s">
        <v>330</v>
      </c>
      <c r="B211" s="5" t="s">
        <v>750</v>
      </c>
      <c r="C211" s="7">
        <v>1</v>
      </c>
      <c r="D211" t="e">
        <f>VLOOKUP(A211,Ranking!A:F,6,0)</f>
        <v>#N/A</v>
      </c>
    </row>
    <row r="212" spans="1:6" x14ac:dyDescent="0.25">
      <c r="A212" s="5" t="s">
        <v>331</v>
      </c>
      <c r="B212" s="5" t="s">
        <v>751</v>
      </c>
      <c r="C212" s="7">
        <v>2</v>
      </c>
      <c r="D212" t="e">
        <f>VLOOKUP(A212,Ranking!A:F,6,0)</f>
        <v>#N/A</v>
      </c>
    </row>
    <row r="213" spans="1:6" hidden="1" x14ac:dyDescent="0.25">
      <c r="A213" s="5" t="s">
        <v>127</v>
      </c>
      <c r="B213" s="5" t="s">
        <v>128</v>
      </c>
      <c r="C213" s="7">
        <v>1</v>
      </c>
      <c r="D213">
        <f>VLOOKUP(A213,Ranking!A:F,6,0)</f>
        <v>1</v>
      </c>
      <c r="E213">
        <f>VLOOKUP(A213,[1]Sheet!$C:$G,5,0)</f>
        <v>66.2</v>
      </c>
      <c r="F213" s="1">
        <f>+E213*C213</f>
        <v>66.2</v>
      </c>
    </row>
    <row r="214" spans="1:6" hidden="1" x14ac:dyDescent="0.25">
      <c r="A214" s="5" t="s">
        <v>332</v>
      </c>
      <c r="B214" s="5" t="s">
        <v>752</v>
      </c>
      <c r="C214" s="7">
        <v>0</v>
      </c>
      <c r="D214" t="e">
        <f>VLOOKUP(A214,Ranking!A:F,6,0)</f>
        <v>#N/A</v>
      </c>
    </row>
    <row r="215" spans="1:6" x14ac:dyDescent="0.25">
      <c r="A215" s="5" t="s">
        <v>333</v>
      </c>
      <c r="B215" s="5" t="s">
        <v>753</v>
      </c>
      <c r="C215" s="7">
        <v>4</v>
      </c>
      <c r="D215" t="e">
        <f>VLOOKUP(A215,Ranking!A:F,6,0)</f>
        <v>#N/A</v>
      </c>
    </row>
    <row r="216" spans="1:6" hidden="1" x14ac:dyDescent="0.25">
      <c r="A216" s="5" t="s">
        <v>334</v>
      </c>
      <c r="B216" s="5" t="s">
        <v>754</v>
      </c>
      <c r="C216" s="7">
        <v>0</v>
      </c>
      <c r="D216" t="e">
        <f>VLOOKUP(A216,Ranking!A:F,6,0)</f>
        <v>#N/A</v>
      </c>
    </row>
    <row r="217" spans="1:6" x14ac:dyDescent="0.25">
      <c r="A217" s="5" t="s">
        <v>335</v>
      </c>
      <c r="B217" s="5" t="s">
        <v>755</v>
      </c>
      <c r="C217" s="7">
        <v>2</v>
      </c>
      <c r="D217" t="e">
        <f>VLOOKUP(A217,Ranking!A:F,6,0)</f>
        <v>#N/A</v>
      </c>
    </row>
    <row r="218" spans="1:6" x14ac:dyDescent="0.25">
      <c r="A218" s="5" t="s">
        <v>336</v>
      </c>
      <c r="B218" s="5" t="s">
        <v>756</v>
      </c>
      <c r="C218" s="7">
        <v>5</v>
      </c>
      <c r="D218" t="e">
        <f>VLOOKUP(A218,Ranking!A:F,6,0)</f>
        <v>#N/A</v>
      </c>
    </row>
    <row r="219" spans="1:6" x14ac:dyDescent="0.25">
      <c r="A219" s="5" t="s">
        <v>337</v>
      </c>
      <c r="B219" s="5" t="s">
        <v>757</v>
      </c>
      <c r="C219" s="7">
        <v>1</v>
      </c>
      <c r="D219" t="e">
        <f>VLOOKUP(A219,Ranking!A:F,6,0)</f>
        <v>#N/A</v>
      </c>
    </row>
    <row r="220" spans="1:6" x14ac:dyDescent="0.25">
      <c r="A220" s="5" t="s">
        <v>338</v>
      </c>
      <c r="B220" s="5" t="s">
        <v>758</v>
      </c>
      <c r="C220" s="7">
        <v>1</v>
      </c>
      <c r="D220" t="e">
        <f>VLOOKUP(A220,Ranking!A:F,6,0)</f>
        <v>#N/A</v>
      </c>
    </row>
    <row r="221" spans="1:6" x14ac:dyDescent="0.25">
      <c r="A221" s="5" t="s">
        <v>339</v>
      </c>
      <c r="B221" s="5" t="s">
        <v>759</v>
      </c>
      <c r="C221" s="7">
        <v>1</v>
      </c>
      <c r="D221" t="e">
        <f>VLOOKUP(A221,Ranking!A:F,6,0)</f>
        <v>#N/A</v>
      </c>
    </row>
    <row r="222" spans="1:6" x14ac:dyDescent="0.25">
      <c r="A222" s="5" t="s">
        <v>340</v>
      </c>
      <c r="B222" s="5" t="s">
        <v>760</v>
      </c>
      <c r="C222" s="7">
        <v>2</v>
      </c>
      <c r="D222" t="e">
        <f>VLOOKUP(A222,Ranking!A:F,6,0)</f>
        <v>#N/A</v>
      </c>
    </row>
    <row r="223" spans="1:6" x14ac:dyDescent="0.25">
      <c r="A223" s="5" t="s">
        <v>341</v>
      </c>
      <c r="B223" s="5" t="s">
        <v>761</v>
      </c>
      <c r="C223" s="7">
        <v>2</v>
      </c>
      <c r="D223" t="e">
        <f>VLOOKUP(A223,Ranking!A:F,6,0)</f>
        <v>#N/A</v>
      </c>
    </row>
    <row r="224" spans="1:6" hidden="1" x14ac:dyDescent="0.25">
      <c r="A224" s="5" t="s">
        <v>136</v>
      </c>
      <c r="B224" s="5" t="s">
        <v>137</v>
      </c>
      <c r="C224" s="7">
        <v>1</v>
      </c>
      <c r="D224">
        <f>VLOOKUP(A224,Ranking!A:F,6,0)</f>
        <v>1</v>
      </c>
      <c r="E224">
        <f>VLOOKUP(A224,[1]Sheet!$C:$G,5,0)</f>
        <v>82.62</v>
      </c>
      <c r="F224" s="1">
        <f>+E224*C224</f>
        <v>82.62</v>
      </c>
    </row>
    <row r="225" spans="1:6" x14ac:dyDescent="0.25">
      <c r="A225" s="5" t="s">
        <v>342</v>
      </c>
      <c r="B225" s="5" t="s">
        <v>762</v>
      </c>
      <c r="C225" s="7">
        <v>2</v>
      </c>
      <c r="D225" t="e">
        <f>VLOOKUP(A225,Ranking!A:F,6,0)</f>
        <v>#N/A</v>
      </c>
    </row>
    <row r="226" spans="1:6" x14ac:dyDescent="0.25">
      <c r="A226" s="5" t="s">
        <v>343</v>
      </c>
      <c r="B226" s="5" t="s">
        <v>763</v>
      </c>
      <c r="C226" s="7">
        <v>3</v>
      </c>
      <c r="D226" t="e">
        <f>VLOOKUP(A226,Ranking!A:F,6,0)</f>
        <v>#N/A</v>
      </c>
    </row>
    <row r="227" spans="1:6" x14ac:dyDescent="0.25">
      <c r="A227" s="5" t="s">
        <v>344</v>
      </c>
      <c r="B227" s="5" t="s">
        <v>764</v>
      </c>
      <c r="C227" s="7">
        <v>2</v>
      </c>
      <c r="D227" t="e">
        <f>VLOOKUP(A227,Ranking!A:F,6,0)</f>
        <v>#N/A</v>
      </c>
    </row>
    <row r="228" spans="1:6" x14ac:dyDescent="0.25">
      <c r="A228" s="5" t="s">
        <v>345</v>
      </c>
      <c r="B228" s="5" t="s">
        <v>765</v>
      </c>
      <c r="C228" s="7">
        <v>2</v>
      </c>
      <c r="D228" t="e">
        <f>VLOOKUP(A228,Ranking!A:F,6,0)</f>
        <v>#N/A</v>
      </c>
    </row>
    <row r="229" spans="1:6" hidden="1" x14ac:dyDescent="0.25">
      <c r="A229" s="5" t="s">
        <v>346</v>
      </c>
      <c r="B229" s="5" t="s">
        <v>766</v>
      </c>
      <c r="C229" s="7">
        <v>0</v>
      </c>
      <c r="D229" t="e">
        <f>VLOOKUP(A229,Ranking!A:F,6,0)</f>
        <v>#N/A</v>
      </c>
    </row>
    <row r="230" spans="1:6" x14ac:dyDescent="0.25">
      <c r="A230" s="5" t="s">
        <v>347</v>
      </c>
      <c r="B230" s="5" t="s">
        <v>767</v>
      </c>
      <c r="C230" s="7">
        <v>1</v>
      </c>
      <c r="D230" t="e">
        <f>VLOOKUP(A230,Ranking!A:F,6,0)</f>
        <v>#N/A</v>
      </c>
    </row>
    <row r="231" spans="1:6" x14ac:dyDescent="0.25">
      <c r="A231" s="5" t="s">
        <v>348</v>
      </c>
      <c r="B231" s="5" t="s">
        <v>768</v>
      </c>
      <c r="C231" s="7">
        <v>2</v>
      </c>
      <c r="D231" t="e">
        <f>VLOOKUP(A231,Ranking!A:F,6,0)</f>
        <v>#N/A</v>
      </c>
    </row>
    <row r="232" spans="1:6" hidden="1" x14ac:dyDescent="0.25">
      <c r="A232" s="5" t="s">
        <v>125</v>
      </c>
      <c r="B232" s="5" t="s">
        <v>126</v>
      </c>
      <c r="C232" s="7">
        <v>9</v>
      </c>
      <c r="D232">
        <f>VLOOKUP(A232,Ranking!A:F,6,0)</f>
        <v>1</v>
      </c>
      <c r="E232">
        <f>VLOOKUP(A232,[1]Sheet!$C:$G,5,0)</f>
        <v>13</v>
      </c>
      <c r="F232" s="1">
        <f t="shared" ref="F232:F233" si="5">+E232*C232</f>
        <v>117</v>
      </c>
    </row>
    <row r="233" spans="1:6" hidden="1" x14ac:dyDescent="0.25">
      <c r="A233" s="5" t="s">
        <v>38</v>
      </c>
      <c r="B233" s="5" t="s">
        <v>39</v>
      </c>
      <c r="C233" s="7">
        <v>11</v>
      </c>
      <c r="D233">
        <f>VLOOKUP(A233,Ranking!A:F,6,0)</f>
        <v>3</v>
      </c>
      <c r="E233">
        <f>VLOOKUP(A233,[1]Sheet!$C:$G,5,0)</f>
        <v>3.75</v>
      </c>
      <c r="F233" s="1">
        <f t="shared" si="5"/>
        <v>41.25</v>
      </c>
    </row>
    <row r="234" spans="1:6" hidden="1" x14ac:dyDescent="0.25">
      <c r="A234" s="5" t="s">
        <v>349</v>
      </c>
      <c r="B234" s="5" t="s">
        <v>769</v>
      </c>
      <c r="C234" s="7">
        <v>0</v>
      </c>
      <c r="D234" t="e">
        <f>VLOOKUP(A234,Ranking!A:F,6,0)</f>
        <v>#N/A</v>
      </c>
    </row>
    <row r="235" spans="1:6" hidden="1" x14ac:dyDescent="0.25">
      <c r="A235" s="5" t="s">
        <v>350</v>
      </c>
      <c r="B235" s="5" t="s">
        <v>770</v>
      </c>
      <c r="C235" s="7">
        <v>0</v>
      </c>
      <c r="D235" t="e">
        <f>VLOOKUP(A235,Ranking!A:F,6,0)</f>
        <v>#N/A</v>
      </c>
    </row>
    <row r="236" spans="1:6" hidden="1" x14ac:dyDescent="0.25">
      <c r="A236" s="5" t="s">
        <v>351</v>
      </c>
      <c r="B236" s="5" t="s">
        <v>771</v>
      </c>
      <c r="C236" s="7">
        <v>0</v>
      </c>
      <c r="D236" t="e">
        <f>VLOOKUP(A236,Ranking!A:F,6,0)</f>
        <v>#N/A</v>
      </c>
    </row>
    <row r="237" spans="1:6" hidden="1" x14ac:dyDescent="0.25">
      <c r="A237" s="5" t="s">
        <v>352</v>
      </c>
      <c r="B237" s="5" t="s">
        <v>772</v>
      </c>
      <c r="C237" s="7">
        <v>0</v>
      </c>
      <c r="D237" t="e">
        <f>VLOOKUP(A237,Ranking!A:F,6,0)</f>
        <v>#N/A</v>
      </c>
    </row>
    <row r="238" spans="1:6" x14ac:dyDescent="0.25">
      <c r="A238" s="5" t="s">
        <v>353</v>
      </c>
      <c r="B238" s="5" t="s">
        <v>773</v>
      </c>
      <c r="C238" s="7">
        <v>1</v>
      </c>
      <c r="D238" t="e">
        <f>VLOOKUP(A238,Ranking!A:F,6,0)</f>
        <v>#N/A</v>
      </c>
    </row>
    <row r="239" spans="1:6" x14ac:dyDescent="0.25">
      <c r="A239" s="5" t="s">
        <v>354</v>
      </c>
      <c r="B239" s="5" t="s">
        <v>774</v>
      </c>
      <c r="C239" s="7">
        <v>1</v>
      </c>
      <c r="D239" t="e">
        <f>VLOOKUP(A239,Ranking!A:F,6,0)</f>
        <v>#N/A</v>
      </c>
    </row>
    <row r="240" spans="1:6" hidden="1" x14ac:dyDescent="0.25">
      <c r="A240" s="5" t="s">
        <v>355</v>
      </c>
      <c r="B240" s="5" t="s">
        <v>775</v>
      </c>
      <c r="C240" s="7">
        <v>0</v>
      </c>
      <c r="D240" t="e">
        <f>VLOOKUP(A240,Ranking!A:F,6,0)</f>
        <v>#N/A</v>
      </c>
    </row>
    <row r="241" spans="1:6" x14ac:dyDescent="0.25">
      <c r="A241" s="5" t="s">
        <v>356</v>
      </c>
      <c r="B241" s="5" t="s">
        <v>776</v>
      </c>
      <c r="C241" s="7">
        <v>1</v>
      </c>
      <c r="D241" t="e">
        <f>VLOOKUP(A241,Ranking!A:F,6,0)</f>
        <v>#N/A</v>
      </c>
    </row>
    <row r="242" spans="1:6" x14ac:dyDescent="0.25">
      <c r="A242" s="5" t="s">
        <v>357</v>
      </c>
      <c r="B242" s="5" t="s">
        <v>777</v>
      </c>
      <c r="C242" s="7">
        <v>1</v>
      </c>
      <c r="D242" t="e">
        <f>VLOOKUP(A242,Ranking!A:F,6,0)</f>
        <v>#N/A</v>
      </c>
    </row>
    <row r="243" spans="1:6" hidden="1" x14ac:dyDescent="0.25">
      <c r="A243" s="5" t="s">
        <v>16</v>
      </c>
      <c r="B243" s="5" t="s">
        <v>17</v>
      </c>
      <c r="C243" s="7">
        <v>0</v>
      </c>
      <c r="D243">
        <f>VLOOKUP(A243,Ranking!A:F,6,0)</f>
        <v>6</v>
      </c>
    </row>
    <row r="244" spans="1:6" hidden="1" x14ac:dyDescent="0.25">
      <c r="A244" s="5" t="s">
        <v>95</v>
      </c>
      <c r="B244" s="5" t="s">
        <v>96</v>
      </c>
      <c r="C244" s="7">
        <v>2</v>
      </c>
      <c r="D244">
        <f>VLOOKUP(A244,Ranking!A:F,6,0)</f>
        <v>1</v>
      </c>
      <c r="E244">
        <f>VLOOKUP(A244,[1]Sheet!$C:$G,5,0)</f>
        <v>137.33000000000001</v>
      </c>
      <c r="F244" s="1">
        <f>+E244*C244</f>
        <v>274.66000000000003</v>
      </c>
    </row>
    <row r="245" spans="1:6" x14ac:dyDescent="0.25">
      <c r="A245" s="5" t="s">
        <v>358</v>
      </c>
      <c r="B245" s="5" t="s">
        <v>778</v>
      </c>
      <c r="C245" s="7">
        <v>2</v>
      </c>
      <c r="D245" t="e">
        <f>VLOOKUP(A245,Ranking!A:F,6,0)</f>
        <v>#N/A</v>
      </c>
    </row>
    <row r="246" spans="1:6" hidden="1" x14ac:dyDescent="0.25">
      <c r="A246" s="5" t="s">
        <v>46</v>
      </c>
      <c r="B246" s="5" t="s">
        <v>47</v>
      </c>
      <c r="C246" s="7">
        <v>2</v>
      </c>
      <c r="D246">
        <f>VLOOKUP(A246,Ranking!A:F,6,0)</f>
        <v>2</v>
      </c>
      <c r="E246">
        <f>VLOOKUP(A246,[1]Sheet!$C:$G,5,0)</f>
        <v>9.42</v>
      </c>
      <c r="F246" s="1">
        <f t="shared" ref="F246:F248" si="6">+E246*C246</f>
        <v>18.84</v>
      </c>
    </row>
    <row r="247" spans="1:6" hidden="1" x14ac:dyDescent="0.25">
      <c r="A247" s="5" t="s">
        <v>62</v>
      </c>
      <c r="B247" s="5" t="s">
        <v>63</v>
      </c>
      <c r="C247" s="7">
        <v>2</v>
      </c>
      <c r="D247">
        <f>VLOOKUP(A247,Ranking!A:F,6,0)</f>
        <v>2</v>
      </c>
      <c r="E247">
        <f>VLOOKUP(A247,[1]Sheet!$C:$G,5,0)</f>
        <v>10.1</v>
      </c>
      <c r="F247" s="1">
        <f t="shared" si="6"/>
        <v>20.2</v>
      </c>
    </row>
    <row r="248" spans="1:6" hidden="1" x14ac:dyDescent="0.25">
      <c r="A248" s="5" t="s">
        <v>60</v>
      </c>
      <c r="B248" s="5" t="s">
        <v>61</v>
      </c>
      <c r="C248" s="7">
        <v>4</v>
      </c>
      <c r="D248">
        <f>VLOOKUP(A248,Ranking!A:F,6,0)</f>
        <v>2</v>
      </c>
      <c r="E248">
        <f>VLOOKUP(A248,[1]Sheet!$C:$G,5,0)</f>
        <v>6.31</v>
      </c>
      <c r="F248" s="1">
        <f t="shared" si="6"/>
        <v>25.24</v>
      </c>
    </row>
    <row r="249" spans="1:6" hidden="1" x14ac:dyDescent="0.25">
      <c r="A249" s="5" t="s">
        <v>359</v>
      </c>
      <c r="B249" s="5" t="s">
        <v>779</v>
      </c>
      <c r="C249" s="7">
        <v>0</v>
      </c>
      <c r="D249" t="e">
        <f>VLOOKUP(A249,Ranking!A:F,6,0)</f>
        <v>#N/A</v>
      </c>
    </row>
    <row r="250" spans="1:6" hidden="1" x14ac:dyDescent="0.25">
      <c r="A250" s="5" t="s">
        <v>360</v>
      </c>
      <c r="B250" s="5" t="s">
        <v>780</v>
      </c>
      <c r="C250" s="7">
        <v>0</v>
      </c>
      <c r="D250" t="e">
        <f>VLOOKUP(A250,Ranking!A:F,6,0)</f>
        <v>#N/A</v>
      </c>
    </row>
    <row r="251" spans="1:6" hidden="1" x14ac:dyDescent="0.25">
      <c r="A251" s="5" t="s">
        <v>361</v>
      </c>
      <c r="B251" s="5" t="s">
        <v>781</v>
      </c>
      <c r="C251" s="7">
        <v>0</v>
      </c>
      <c r="D251" t="e">
        <f>VLOOKUP(A251,Ranking!A:F,6,0)</f>
        <v>#N/A</v>
      </c>
    </row>
    <row r="252" spans="1:6" hidden="1" x14ac:dyDescent="0.25">
      <c r="A252" s="5" t="s">
        <v>362</v>
      </c>
      <c r="B252" s="5" t="s">
        <v>782</v>
      </c>
      <c r="C252" s="7">
        <v>0</v>
      </c>
      <c r="D252" t="e">
        <f>VLOOKUP(A252,Ranking!A:F,6,0)</f>
        <v>#N/A</v>
      </c>
    </row>
    <row r="253" spans="1:6" hidden="1" x14ac:dyDescent="0.25">
      <c r="A253" s="5" t="s">
        <v>363</v>
      </c>
      <c r="B253" s="5" t="s">
        <v>783</v>
      </c>
      <c r="C253" s="7">
        <v>0</v>
      </c>
      <c r="D253" t="e">
        <f>VLOOKUP(A253,Ranking!A:F,6,0)</f>
        <v>#N/A</v>
      </c>
    </row>
    <row r="254" spans="1:6" hidden="1" x14ac:dyDescent="0.25">
      <c r="A254" s="5" t="s">
        <v>364</v>
      </c>
      <c r="B254" s="5" t="s">
        <v>784</v>
      </c>
      <c r="C254" s="7">
        <v>0</v>
      </c>
      <c r="D254" t="e">
        <f>VLOOKUP(A254,Ranking!A:F,6,0)</f>
        <v>#N/A</v>
      </c>
    </row>
    <row r="255" spans="1:6" hidden="1" x14ac:dyDescent="0.25">
      <c r="A255" s="5" t="s">
        <v>365</v>
      </c>
      <c r="B255" s="5" t="s">
        <v>785</v>
      </c>
      <c r="C255" s="7">
        <v>0</v>
      </c>
      <c r="D255" t="e">
        <f>VLOOKUP(A255,Ranking!A:F,6,0)</f>
        <v>#N/A</v>
      </c>
    </row>
    <row r="256" spans="1:6" hidden="1" x14ac:dyDescent="0.25">
      <c r="A256" s="5" t="s">
        <v>366</v>
      </c>
      <c r="B256" s="5" t="s">
        <v>786</v>
      </c>
      <c r="C256" s="7">
        <v>0</v>
      </c>
      <c r="D256" t="e">
        <f>VLOOKUP(A256,Ranking!A:F,6,0)</f>
        <v>#N/A</v>
      </c>
    </row>
    <row r="257" spans="1:6" hidden="1" x14ac:dyDescent="0.25">
      <c r="A257" s="5" t="s">
        <v>367</v>
      </c>
      <c r="B257" s="5" t="s">
        <v>787</v>
      </c>
      <c r="C257" s="7">
        <v>0</v>
      </c>
      <c r="D257" t="e">
        <f>VLOOKUP(A257,Ranking!A:F,6,0)</f>
        <v>#N/A</v>
      </c>
    </row>
    <row r="258" spans="1:6" x14ac:dyDescent="0.25">
      <c r="A258" s="5" t="s">
        <v>368</v>
      </c>
      <c r="B258" s="5" t="s">
        <v>788</v>
      </c>
      <c r="C258" s="7">
        <v>2</v>
      </c>
      <c r="D258" t="e">
        <f>VLOOKUP(A258,Ranking!A:F,6,0)</f>
        <v>#N/A</v>
      </c>
    </row>
    <row r="259" spans="1:6" x14ac:dyDescent="0.25">
      <c r="A259" s="5" t="s">
        <v>369</v>
      </c>
      <c r="B259" s="5" t="s">
        <v>789</v>
      </c>
      <c r="C259" s="7">
        <v>2</v>
      </c>
      <c r="D259" t="e">
        <f>VLOOKUP(A259,Ranking!A:F,6,0)</f>
        <v>#N/A</v>
      </c>
    </row>
    <row r="260" spans="1:6" x14ac:dyDescent="0.25">
      <c r="A260" s="5" t="s">
        <v>370</v>
      </c>
      <c r="B260" s="5" t="s">
        <v>790</v>
      </c>
      <c r="C260" s="7">
        <v>2</v>
      </c>
      <c r="D260" t="e">
        <f>VLOOKUP(A260,Ranking!A:F,6,0)</f>
        <v>#N/A</v>
      </c>
    </row>
    <row r="261" spans="1:6" x14ac:dyDescent="0.25">
      <c r="A261" s="5" t="s">
        <v>371</v>
      </c>
      <c r="B261" s="5" t="s">
        <v>791</v>
      </c>
      <c r="C261" s="7">
        <v>3</v>
      </c>
      <c r="D261" t="e">
        <f>VLOOKUP(A261,Ranking!A:F,6,0)</f>
        <v>#N/A</v>
      </c>
    </row>
    <row r="262" spans="1:6" x14ac:dyDescent="0.25">
      <c r="A262" s="5" t="s">
        <v>372</v>
      </c>
      <c r="B262" s="5" t="s">
        <v>792</v>
      </c>
      <c r="C262" s="7">
        <v>2</v>
      </c>
      <c r="D262" t="e">
        <f>VLOOKUP(A262,Ranking!A:F,6,0)</f>
        <v>#N/A</v>
      </c>
    </row>
    <row r="263" spans="1:6" hidden="1" x14ac:dyDescent="0.25">
      <c r="A263" s="5" t="s">
        <v>373</v>
      </c>
      <c r="B263" s="5" t="s">
        <v>793</v>
      </c>
      <c r="C263" s="7">
        <v>0</v>
      </c>
      <c r="D263" t="e">
        <f>VLOOKUP(A263,Ranking!A:F,6,0)</f>
        <v>#N/A</v>
      </c>
    </row>
    <row r="264" spans="1:6" hidden="1" x14ac:dyDescent="0.25">
      <c r="A264" s="5" t="s">
        <v>374</v>
      </c>
      <c r="B264" s="5" t="s">
        <v>794</v>
      </c>
      <c r="C264" s="7">
        <v>0</v>
      </c>
      <c r="D264" t="e">
        <f>VLOOKUP(A264,Ranking!A:F,6,0)</f>
        <v>#N/A</v>
      </c>
    </row>
    <row r="265" spans="1:6" hidden="1" x14ac:dyDescent="0.25">
      <c r="A265" s="5" t="s">
        <v>97</v>
      </c>
      <c r="B265" s="5" t="s">
        <v>98</v>
      </c>
      <c r="C265" s="7">
        <v>4</v>
      </c>
      <c r="D265">
        <f>VLOOKUP(A265,Ranking!A:F,6,0)</f>
        <v>1</v>
      </c>
      <c r="E265">
        <f>VLOOKUP(A265,[1]Sheet!$C:$G,5,0)</f>
        <v>18.96</v>
      </c>
      <c r="F265" s="1">
        <f t="shared" ref="F265:F266" si="7">+E265*C265</f>
        <v>75.84</v>
      </c>
    </row>
    <row r="266" spans="1:6" hidden="1" x14ac:dyDescent="0.25">
      <c r="A266" s="5" t="s">
        <v>99</v>
      </c>
      <c r="B266" s="5" t="s">
        <v>100</v>
      </c>
      <c r="C266" s="7">
        <v>3</v>
      </c>
      <c r="D266">
        <f>VLOOKUP(A266,Ranking!A:F,6,0)</f>
        <v>1</v>
      </c>
      <c r="E266">
        <f>VLOOKUP(A266,[1]Sheet!$C:$G,5,0)</f>
        <v>24.51</v>
      </c>
      <c r="F266" s="1">
        <f t="shared" si="7"/>
        <v>73.53</v>
      </c>
    </row>
    <row r="267" spans="1:6" hidden="1" x14ac:dyDescent="0.25">
      <c r="A267" s="5" t="s">
        <v>375</v>
      </c>
      <c r="B267" s="5" t="s">
        <v>795</v>
      </c>
      <c r="C267" s="7">
        <v>0</v>
      </c>
      <c r="D267" t="e">
        <f>VLOOKUP(A267,Ranking!A:F,6,0)</f>
        <v>#N/A</v>
      </c>
    </row>
    <row r="268" spans="1:6" hidden="1" x14ac:dyDescent="0.25">
      <c r="A268" s="5" t="s">
        <v>376</v>
      </c>
      <c r="B268" s="5" t="s">
        <v>796</v>
      </c>
      <c r="C268" s="7">
        <v>0</v>
      </c>
      <c r="D268" t="e">
        <f>VLOOKUP(A268,Ranking!A:F,6,0)</f>
        <v>#N/A</v>
      </c>
    </row>
    <row r="269" spans="1:6" hidden="1" x14ac:dyDescent="0.25">
      <c r="A269" s="5" t="s">
        <v>377</v>
      </c>
      <c r="B269" s="5" t="s">
        <v>797</v>
      </c>
      <c r="C269" s="7">
        <v>0</v>
      </c>
      <c r="D269" t="e">
        <f>VLOOKUP(A269,Ranking!A:F,6,0)</f>
        <v>#N/A</v>
      </c>
    </row>
    <row r="270" spans="1:6" hidden="1" x14ac:dyDescent="0.25">
      <c r="A270" s="5" t="s">
        <v>378</v>
      </c>
      <c r="B270" s="5" t="s">
        <v>798</v>
      </c>
      <c r="C270" s="7">
        <v>0</v>
      </c>
      <c r="D270" t="e">
        <f>VLOOKUP(A270,Ranking!A:F,6,0)</f>
        <v>#N/A</v>
      </c>
    </row>
    <row r="271" spans="1:6" hidden="1" x14ac:dyDescent="0.25">
      <c r="A271" s="5" t="s">
        <v>379</v>
      </c>
      <c r="B271" s="5" t="s">
        <v>799</v>
      </c>
      <c r="C271" s="7">
        <v>0</v>
      </c>
      <c r="D271" t="e">
        <f>VLOOKUP(A271,Ranking!A:F,6,0)</f>
        <v>#N/A</v>
      </c>
    </row>
    <row r="272" spans="1:6" hidden="1" x14ac:dyDescent="0.25">
      <c r="A272" s="5" t="s">
        <v>380</v>
      </c>
      <c r="B272" s="5" t="s">
        <v>800</v>
      </c>
      <c r="C272" s="7">
        <v>0</v>
      </c>
      <c r="D272" t="e">
        <f>VLOOKUP(A272,Ranking!A:F,6,0)</f>
        <v>#N/A</v>
      </c>
    </row>
    <row r="273" spans="1:4" hidden="1" x14ac:dyDescent="0.25">
      <c r="A273" s="5" t="s">
        <v>381</v>
      </c>
      <c r="B273" s="5" t="s">
        <v>801</v>
      </c>
      <c r="C273" s="7">
        <v>0</v>
      </c>
      <c r="D273" t="e">
        <f>VLOOKUP(A273,Ranking!A:F,6,0)</f>
        <v>#N/A</v>
      </c>
    </row>
    <row r="274" spans="1:4" x14ac:dyDescent="0.25">
      <c r="A274" s="5" t="s">
        <v>382</v>
      </c>
      <c r="B274" s="5" t="s">
        <v>802</v>
      </c>
      <c r="C274" s="7">
        <v>3</v>
      </c>
      <c r="D274" t="e">
        <f>VLOOKUP(A274,Ranking!A:F,6,0)</f>
        <v>#N/A</v>
      </c>
    </row>
    <row r="275" spans="1:4" x14ac:dyDescent="0.25">
      <c r="A275" s="5" t="s">
        <v>383</v>
      </c>
      <c r="B275" s="5" t="s">
        <v>803</v>
      </c>
      <c r="C275" s="7">
        <v>2</v>
      </c>
      <c r="D275" t="e">
        <f>VLOOKUP(A275,Ranking!A:F,6,0)</f>
        <v>#N/A</v>
      </c>
    </row>
    <row r="276" spans="1:4" x14ac:dyDescent="0.25">
      <c r="A276" s="5" t="s">
        <v>384</v>
      </c>
      <c r="B276" s="5" t="s">
        <v>804</v>
      </c>
      <c r="C276" s="7">
        <v>1</v>
      </c>
      <c r="D276" t="e">
        <f>VLOOKUP(A276,Ranking!A:F,6,0)</f>
        <v>#N/A</v>
      </c>
    </row>
    <row r="277" spans="1:4" x14ac:dyDescent="0.25">
      <c r="A277" s="5" t="s">
        <v>385</v>
      </c>
      <c r="B277" s="5" t="s">
        <v>805</v>
      </c>
      <c r="C277" s="7">
        <v>1</v>
      </c>
      <c r="D277" t="e">
        <f>VLOOKUP(A277,Ranking!A:F,6,0)</f>
        <v>#N/A</v>
      </c>
    </row>
    <row r="278" spans="1:4" hidden="1" x14ac:dyDescent="0.25">
      <c r="A278" s="5" t="s">
        <v>386</v>
      </c>
      <c r="B278" s="5" t="s">
        <v>806</v>
      </c>
      <c r="C278" s="7">
        <v>0</v>
      </c>
      <c r="D278" t="e">
        <f>VLOOKUP(A278,Ranking!A:F,6,0)</f>
        <v>#N/A</v>
      </c>
    </row>
    <row r="279" spans="1:4" x14ac:dyDescent="0.25">
      <c r="A279" s="5" t="s">
        <v>387</v>
      </c>
      <c r="B279" s="5" t="s">
        <v>807</v>
      </c>
      <c r="C279" s="7">
        <v>1</v>
      </c>
      <c r="D279" t="e">
        <f>VLOOKUP(A279,Ranking!A:F,6,0)</f>
        <v>#N/A</v>
      </c>
    </row>
    <row r="280" spans="1:4" x14ac:dyDescent="0.25">
      <c r="A280" s="5" t="s">
        <v>388</v>
      </c>
      <c r="B280" s="5" t="s">
        <v>808</v>
      </c>
      <c r="C280" s="7">
        <v>2</v>
      </c>
      <c r="D280" t="e">
        <f>VLOOKUP(A280,Ranking!A:F,6,0)</f>
        <v>#N/A</v>
      </c>
    </row>
    <row r="281" spans="1:4" x14ac:dyDescent="0.25">
      <c r="A281" s="5" t="s">
        <v>389</v>
      </c>
      <c r="B281" s="5" t="s">
        <v>809</v>
      </c>
      <c r="C281" s="7">
        <v>3</v>
      </c>
      <c r="D281" t="e">
        <f>VLOOKUP(A281,Ranking!A:F,6,0)</f>
        <v>#N/A</v>
      </c>
    </row>
    <row r="282" spans="1:4" x14ac:dyDescent="0.25">
      <c r="A282" s="5" t="s">
        <v>390</v>
      </c>
      <c r="B282" s="5" t="s">
        <v>810</v>
      </c>
      <c r="C282" s="7">
        <v>1</v>
      </c>
      <c r="D282" t="e">
        <f>VLOOKUP(A282,Ranking!A:F,6,0)</f>
        <v>#N/A</v>
      </c>
    </row>
    <row r="283" spans="1:4" hidden="1" x14ac:dyDescent="0.25">
      <c r="A283" s="5" t="s">
        <v>391</v>
      </c>
      <c r="B283" s="5" t="s">
        <v>811</v>
      </c>
      <c r="C283" s="7">
        <v>0</v>
      </c>
      <c r="D283" t="e">
        <f>VLOOKUP(A283,Ranking!A:F,6,0)</f>
        <v>#N/A</v>
      </c>
    </row>
    <row r="284" spans="1:4" hidden="1" x14ac:dyDescent="0.25">
      <c r="A284" s="5" t="s">
        <v>392</v>
      </c>
      <c r="B284" s="5" t="s">
        <v>812</v>
      </c>
      <c r="C284" s="7">
        <v>0</v>
      </c>
      <c r="D284" t="e">
        <f>VLOOKUP(A284,Ranking!A:F,6,0)</f>
        <v>#N/A</v>
      </c>
    </row>
    <row r="285" spans="1:4" hidden="1" x14ac:dyDescent="0.25">
      <c r="A285" s="5" t="s">
        <v>393</v>
      </c>
      <c r="B285" s="5" t="s">
        <v>813</v>
      </c>
      <c r="C285" s="7">
        <v>0</v>
      </c>
      <c r="D285" t="e">
        <f>VLOOKUP(A285,Ranking!A:F,6,0)</f>
        <v>#N/A</v>
      </c>
    </row>
    <row r="286" spans="1:4" hidden="1" x14ac:dyDescent="0.25">
      <c r="A286" s="5" t="s">
        <v>394</v>
      </c>
      <c r="B286" s="5" t="s">
        <v>814</v>
      </c>
      <c r="C286" s="7">
        <v>0</v>
      </c>
      <c r="D286" t="e">
        <f>VLOOKUP(A286,Ranking!A:F,6,0)</f>
        <v>#N/A</v>
      </c>
    </row>
    <row r="287" spans="1:4" hidden="1" x14ac:dyDescent="0.25">
      <c r="A287" s="5" t="s">
        <v>395</v>
      </c>
      <c r="B287" s="5" t="s">
        <v>815</v>
      </c>
      <c r="C287" s="7">
        <v>0</v>
      </c>
      <c r="D287" t="e">
        <f>VLOOKUP(A287,Ranking!A:F,6,0)</f>
        <v>#N/A</v>
      </c>
    </row>
    <row r="288" spans="1:4" hidden="1" x14ac:dyDescent="0.25">
      <c r="A288" s="5" t="s">
        <v>396</v>
      </c>
      <c r="B288" s="5" t="s">
        <v>816</v>
      </c>
      <c r="C288" s="7">
        <v>0</v>
      </c>
      <c r="D288" t="e">
        <f>VLOOKUP(A288,Ranking!A:F,6,0)</f>
        <v>#N/A</v>
      </c>
    </row>
    <row r="289" spans="1:4" hidden="1" x14ac:dyDescent="0.25">
      <c r="A289" s="5" t="s">
        <v>397</v>
      </c>
      <c r="B289" s="5" t="s">
        <v>817</v>
      </c>
      <c r="C289" s="7">
        <v>0</v>
      </c>
      <c r="D289" t="e">
        <f>VLOOKUP(A289,Ranking!A:F,6,0)</f>
        <v>#N/A</v>
      </c>
    </row>
    <row r="290" spans="1:4" x14ac:dyDescent="0.25">
      <c r="A290" s="5" t="s">
        <v>398</v>
      </c>
      <c r="B290" s="5" t="s">
        <v>818</v>
      </c>
      <c r="C290" s="7">
        <v>3</v>
      </c>
      <c r="D290" t="e">
        <f>VLOOKUP(A290,Ranking!A:F,6,0)</f>
        <v>#N/A</v>
      </c>
    </row>
    <row r="291" spans="1:4" x14ac:dyDescent="0.25">
      <c r="A291" s="5" t="s">
        <v>399</v>
      </c>
      <c r="B291" s="5" t="s">
        <v>819</v>
      </c>
      <c r="C291" s="7">
        <v>1</v>
      </c>
      <c r="D291" t="e">
        <f>VLOOKUP(A291,Ranking!A:F,6,0)</f>
        <v>#N/A</v>
      </c>
    </row>
    <row r="292" spans="1:4" hidden="1" x14ac:dyDescent="0.25">
      <c r="A292" s="5" t="s">
        <v>101</v>
      </c>
      <c r="B292" s="5" t="s">
        <v>102</v>
      </c>
      <c r="C292" s="7">
        <v>0</v>
      </c>
      <c r="D292">
        <f>VLOOKUP(A292,Ranking!A:F,6,0)</f>
        <v>1</v>
      </c>
    </row>
    <row r="293" spans="1:4" hidden="1" x14ac:dyDescent="0.25">
      <c r="A293" s="5" t="s">
        <v>400</v>
      </c>
      <c r="B293" s="5" t="s">
        <v>820</v>
      </c>
      <c r="C293" s="7">
        <v>0</v>
      </c>
      <c r="D293" t="e">
        <f>VLOOKUP(A293,Ranking!A:F,6,0)</f>
        <v>#N/A</v>
      </c>
    </row>
    <row r="294" spans="1:4" hidden="1" x14ac:dyDescent="0.25">
      <c r="A294" s="5" t="s">
        <v>401</v>
      </c>
      <c r="B294" s="5" t="s">
        <v>821</v>
      </c>
      <c r="C294" s="7">
        <v>0</v>
      </c>
      <c r="D294" t="e">
        <f>VLOOKUP(A294,Ranking!A:F,6,0)</f>
        <v>#N/A</v>
      </c>
    </row>
    <row r="295" spans="1:4" hidden="1" x14ac:dyDescent="0.25">
      <c r="A295" s="5" t="s">
        <v>402</v>
      </c>
      <c r="B295" s="5" t="s">
        <v>822</v>
      </c>
      <c r="C295" s="7">
        <v>0</v>
      </c>
      <c r="D295" t="e">
        <f>VLOOKUP(A295,Ranking!A:F,6,0)</f>
        <v>#N/A</v>
      </c>
    </row>
    <row r="296" spans="1:4" hidden="1" x14ac:dyDescent="0.25">
      <c r="A296" s="5" t="s">
        <v>403</v>
      </c>
      <c r="B296" s="5" t="s">
        <v>823</v>
      </c>
      <c r="C296" s="7">
        <v>0</v>
      </c>
      <c r="D296" t="e">
        <f>VLOOKUP(A296,Ranking!A:F,6,0)</f>
        <v>#N/A</v>
      </c>
    </row>
    <row r="297" spans="1:4" hidden="1" x14ac:dyDescent="0.25">
      <c r="A297" s="5" t="s">
        <v>404</v>
      </c>
      <c r="B297" s="5" t="s">
        <v>824</v>
      </c>
      <c r="C297" s="7">
        <v>0</v>
      </c>
      <c r="D297" t="e">
        <f>VLOOKUP(A297,Ranking!A:F,6,0)</f>
        <v>#N/A</v>
      </c>
    </row>
    <row r="298" spans="1:4" x14ac:dyDescent="0.25">
      <c r="A298" s="5" t="s">
        <v>405</v>
      </c>
      <c r="B298" s="5" t="s">
        <v>825</v>
      </c>
      <c r="C298" s="7">
        <v>6</v>
      </c>
      <c r="D298" t="e">
        <f>VLOOKUP(A298,Ranking!A:F,6,0)</f>
        <v>#N/A</v>
      </c>
    </row>
    <row r="299" spans="1:4" x14ac:dyDescent="0.25">
      <c r="A299" s="5" t="s">
        <v>406</v>
      </c>
      <c r="B299" s="5" t="s">
        <v>826</v>
      </c>
      <c r="C299" s="7">
        <v>5</v>
      </c>
      <c r="D299" t="e">
        <f>VLOOKUP(A299,Ranking!A:F,6,0)</f>
        <v>#N/A</v>
      </c>
    </row>
    <row r="300" spans="1:4" hidden="1" x14ac:dyDescent="0.25">
      <c r="A300" s="5" t="s">
        <v>34</v>
      </c>
      <c r="B300" s="5" t="s">
        <v>35</v>
      </c>
      <c r="C300" s="7">
        <v>0</v>
      </c>
      <c r="D300">
        <f>VLOOKUP(A300,Ranking!A:F,6,0)</f>
        <v>3</v>
      </c>
    </row>
    <row r="301" spans="1:4" x14ac:dyDescent="0.25">
      <c r="A301" s="5" t="s">
        <v>407</v>
      </c>
      <c r="B301" s="5" t="s">
        <v>827</v>
      </c>
      <c r="C301" s="7">
        <v>4</v>
      </c>
      <c r="D301" t="e">
        <f>VLOOKUP(A301,Ranking!A:F,6,0)</f>
        <v>#N/A</v>
      </c>
    </row>
    <row r="302" spans="1:4" hidden="1" x14ac:dyDescent="0.25">
      <c r="A302" s="5" t="s">
        <v>408</v>
      </c>
      <c r="B302" s="5" t="s">
        <v>828</v>
      </c>
      <c r="C302" s="7">
        <v>0</v>
      </c>
      <c r="D302" t="e">
        <f>VLOOKUP(A302,Ranking!A:F,6,0)</f>
        <v>#N/A</v>
      </c>
    </row>
    <row r="303" spans="1:4" x14ac:dyDescent="0.25">
      <c r="A303" s="5" t="s">
        <v>409</v>
      </c>
      <c r="B303" s="5" t="s">
        <v>829</v>
      </c>
      <c r="C303" s="7">
        <v>6</v>
      </c>
      <c r="D303" t="e">
        <f>VLOOKUP(A303,Ranking!A:F,6,0)</f>
        <v>#N/A</v>
      </c>
    </row>
    <row r="304" spans="1:4" hidden="1" x14ac:dyDescent="0.25">
      <c r="A304" s="5" t="s">
        <v>410</v>
      </c>
      <c r="B304" s="5" t="s">
        <v>830</v>
      </c>
      <c r="C304" s="7">
        <v>0</v>
      </c>
      <c r="D304" t="e">
        <f>VLOOKUP(A304,Ranking!A:F,6,0)</f>
        <v>#N/A</v>
      </c>
    </row>
    <row r="305" spans="1:6" hidden="1" x14ac:dyDescent="0.25">
      <c r="A305" s="5" t="s">
        <v>411</v>
      </c>
      <c r="B305" s="5" t="s">
        <v>831</v>
      </c>
      <c r="C305" s="7">
        <v>0</v>
      </c>
      <c r="D305" t="e">
        <f>VLOOKUP(A305,Ranking!A:F,6,0)</f>
        <v>#N/A</v>
      </c>
    </row>
    <row r="306" spans="1:6" hidden="1" x14ac:dyDescent="0.25">
      <c r="A306" s="5" t="s">
        <v>121</v>
      </c>
      <c r="B306" s="5" t="s">
        <v>122</v>
      </c>
      <c r="C306" s="7">
        <v>2</v>
      </c>
      <c r="D306">
        <f>VLOOKUP(A306,Ranking!A:F,6,0)</f>
        <v>1</v>
      </c>
      <c r="E306">
        <f>VLOOKUP(A306,[1]Sheet!$C:$G,5,0)</f>
        <v>6.38</v>
      </c>
      <c r="F306" s="1">
        <f>+E306*C306</f>
        <v>12.76</v>
      </c>
    </row>
    <row r="307" spans="1:6" x14ac:dyDescent="0.25">
      <c r="A307" s="5" t="s">
        <v>412</v>
      </c>
      <c r="B307" s="5" t="s">
        <v>832</v>
      </c>
      <c r="C307" s="7">
        <v>2</v>
      </c>
      <c r="D307" t="e">
        <f>VLOOKUP(A307,Ranking!A:F,6,0)</f>
        <v>#N/A</v>
      </c>
    </row>
    <row r="308" spans="1:6" x14ac:dyDescent="0.25">
      <c r="A308" s="5" t="s">
        <v>413</v>
      </c>
      <c r="B308" s="5" t="s">
        <v>833</v>
      </c>
      <c r="C308" s="7">
        <v>1</v>
      </c>
      <c r="D308" t="e">
        <f>VLOOKUP(A308,Ranking!A:F,6,0)</f>
        <v>#N/A</v>
      </c>
    </row>
    <row r="309" spans="1:6" x14ac:dyDescent="0.25">
      <c r="A309" s="5" t="s">
        <v>414</v>
      </c>
      <c r="B309" s="5" t="s">
        <v>834</v>
      </c>
      <c r="C309" s="7">
        <v>1</v>
      </c>
      <c r="D309" t="e">
        <f>VLOOKUP(A309,Ranking!A:F,6,0)</f>
        <v>#N/A</v>
      </c>
    </row>
    <row r="310" spans="1:6" x14ac:dyDescent="0.25">
      <c r="A310" s="5" t="s">
        <v>415</v>
      </c>
      <c r="B310" s="5" t="s">
        <v>835</v>
      </c>
      <c r="C310" s="7">
        <v>2</v>
      </c>
      <c r="D310" t="e">
        <f>VLOOKUP(A310,Ranking!A:F,6,0)</f>
        <v>#N/A</v>
      </c>
    </row>
    <row r="311" spans="1:6" x14ac:dyDescent="0.25">
      <c r="A311" s="5" t="s">
        <v>416</v>
      </c>
      <c r="B311" s="5" t="s">
        <v>836</v>
      </c>
      <c r="C311" s="7">
        <v>2</v>
      </c>
      <c r="D311" t="e">
        <f>VLOOKUP(A311,Ranking!A:F,6,0)</f>
        <v>#N/A</v>
      </c>
    </row>
    <row r="312" spans="1:6" x14ac:dyDescent="0.25">
      <c r="A312" s="5" t="s">
        <v>417</v>
      </c>
      <c r="B312" s="5" t="s">
        <v>837</v>
      </c>
      <c r="C312" s="7">
        <v>2</v>
      </c>
      <c r="D312" t="e">
        <f>VLOOKUP(A312,Ranking!A:F,6,0)</f>
        <v>#N/A</v>
      </c>
    </row>
    <row r="313" spans="1:6" x14ac:dyDescent="0.25">
      <c r="A313" s="5" t="s">
        <v>418</v>
      </c>
      <c r="B313" s="5" t="s">
        <v>838</v>
      </c>
      <c r="C313" s="7">
        <v>3</v>
      </c>
      <c r="D313" t="e">
        <f>VLOOKUP(A313,Ranking!A:F,6,0)</f>
        <v>#N/A</v>
      </c>
    </row>
    <row r="314" spans="1:6" x14ac:dyDescent="0.25">
      <c r="A314" s="5" t="s">
        <v>419</v>
      </c>
      <c r="B314" s="5" t="s">
        <v>839</v>
      </c>
      <c r="C314" s="7">
        <v>2</v>
      </c>
      <c r="D314" t="e">
        <f>VLOOKUP(A314,Ranking!A:F,6,0)</f>
        <v>#N/A</v>
      </c>
    </row>
    <row r="315" spans="1:6" x14ac:dyDescent="0.25">
      <c r="A315" s="5" t="s">
        <v>420</v>
      </c>
      <c r="B315" s="5" t="s">
        <v>840</v>
      </c>
      <c r="C315" s="7">
        <v>1</v>
      </c>
      <c r="D315" t="e">
        <f>VLOOKUP(A315,Ranking!A:F,6,0)</f>
        <v>#N/A</v>
      </c>
    </row>
    <row r="316" spans="1:6" x14ac:dyDescent="0.25">
      <c r="A316" s="5" t="s">
        <v>421</v>
      </c>
      <c r="B316" s="5" t="s">
        <v>841</v>
      </c>
      <c r="C316" s="7">
        <v>4</v>
      </c>
      <c r="D316" t="e">
        <f>VLOOKUP(A316,Ranking!A:F,6,0)</f>
        <v>#N/A</v>
      </c>
    </row>
    <row r="317" spans="1:6" hidden="1" x14ac:dyDescent="0.25">
      <c r="A317" s="5" t="s">
        <v>422</v>
      </c>
      <c r="B317" s="5" t="s">
        <v>842</v>
      </c>
      <c r="C317" s="7">
        <v>0</v>
      </c>
      <c r="D317" t="e">
        <f>VLOOKUP(A317,Ranking!A:F,6,0)</f>
        <v>#N/A</v>
      </c>
    </row>
    <row r="318" spans="1:6" x14ac:dyDescent="0.25">
      <c r="A318" s="5" t="s">
        <v>423</v>
      </c>
      <c r="B318" s="5" t="s">
        <v>843</v>
      </c>
      <c r="C318" s="7">
        <v>3</v>
      </c>
      <c r="D318" t="e">
        <f>VLOOKUP(A318,Ranking!A:F,6,0)</f>
        <v>#N/A</v>
      </c>
    </row>
    <row r="319" spans="1:6" hidden="1" x14ac:dyDescent="0.25">
      <c r="A319" s="5" t="s">
        <v>424</v>
      </c>
      <c r="B319" s="5" t="s">
        <v>844</v>
      </c>
      <c r="C319" s="7">
        <v>0</v>
      </c>
      <c r="D319" t="e">
        <f>VLOOKUP(A319,Ranking!A:F,6,0)</f>
        <v>#N/A</v>
      </c>
    </row>
    <row r="320" spans="1:6" x14ac:dyDescent="0.25">
      <c r="A320" s="5" t="s">
        <v>425</v>
      </c>
      <c r="B320" s="5" t="s">
        <v>845</v>
      </c>
      <c r="C320" s="7">
        <v>2</v>
      </c>
      <c r="D320" t="e">
        <f>VLOOKUP(A320,Ranking!A:F,6,0)</f>
        <v>#N/A</v>
      </c>
    </row>
    <row r="321" spans="1:4" hidden="1" x14ac:dyDescent="0.25">
      <c r="A321" s="5" t="s">
        <v>426</v>
      </c>
      <c r="B321" s="5" t="s">
        <v>846</v>
      </c>
      <c r="C321" s="7">
        <v>0</v>
      </c>
      <c r="D321" t="e">
        <f>VLOOKUP(A321,Ranking!A:F,6,0)</f>
        <v>#N/A</v>
      </c>
    </row>
    <row r="322" spans="1:4" x14ac:dyDescent="0.25">
      <c r="A322" s="5" t="s">
        <v>427</v>
      </c>
      <c r="B322" s="5" t="s">
        <v>847</v>
      </c>
      <c r="C322" s="7">
        <v>3</v>
      </c>
      <c r="D322" t="e">
        <f>VLOOKUP(A322,Ranking!A:F,6,0)</f>
        <v>#N/A</v>
      </c>
    </row>
    <row r="323" spans="1:4" x14ac:dyDescent="0.25">
      <c r="A323" s="5" t="s">
        <v>428</v>
      </c>
      <c r="B323" s="5" t="s">
        <v>848</v>
      </c>
      <c r="C323" s="7">
        <v>3</v>
      </c>
      <c r="D323" t="e">
        <f>VLOOKUP(A323,Ranking!A:F,6,0)</f>
        <v>#N/A</v>
      </c>
    </row>
    <row r="324" spans="1:4" x14ac:dyDescent="0.25">
      <c r="A324" s="5" t="s">
        <v>429</v>
      </c>
      <c r="B324" s="5" t="s">
        <v>849</v>
      </c>
      <c r="C324" s="7">
        <v>1</v>
      </c>
      <c r="D324" t="e">
        <f>VLOOKUP(A324,Ranking!A:F,6,0)</f>
        <v>#N/A</v>
      </c>
    </row>
    <row r="325" spans="1:4" x14ac:dyDescent="0.25">
      <c r="A325" s="5" t="s">
        <v>430</v>
      </c>
      <c r="B325" s="5" t="s">
        <v>850</v>
      </c>
      <c r="C325" s="7">
        <v>2</v>
      </c>
      <c r="D325" t="e">
        <f>VLOOKUP(A325,Ranking!A:F,6,0)</f>
        <v>#N/A</v>
      </c>
    </row>
    <row r="326" spans="1:4" x14ac:dyDescent="0.25">
      <c r="A326" s="5" t="s">
        <v>431</v>
      </c>
      <c r="B326" s="5" t="s">
        <v>851</v>
      </c>
      <c r="C326" s="7">
        <v>1</v>
      </c>
      <c r="D326" t="e">
        <f>VLOOKUP(A326,Ranking!A:F,6,0)</f>
        <v>#N/A</v>
      </c>
    </row>
    <row r="327" spans="1:4" x14ac:dyDescent="0.25">
      <c r="A327" s="5" t="s">
        <v>432</v>
      </c>
      <c r="B327" s="5" t="s">
        <v>852</v>
      </c>
      <c r="C327" s="7">
        <v>1</v>
      </c>
      <c r="D327" t="e">
        <f>VLOOKUP(A327,Ranking!A:F,6,0)</f>
        <v>#N/A</v>
      </c>
    </row>
    <row r="328" spans="1:4" hidden="1" x14ac:dyDescent="0.25">
      <c r="A328" s="5" t="s">
        <v>433</v>
      </c>
      <c r="B328" s="5" t="s">
        <v>853</v>
      </c>
      <c r="C328" s="7">
        <v>0</v>
      </c>
      <c r="D328" t="e">
        <f>VLOOKUP(A328,Ranking!A:F,6,0)</f>
        <v>#N/A</v>
      </c>
    </row>
    <row r="329" spans="1:4" x14ac:dyDescent="0.25">
      <c r="A329" s="5" t="s">
        <v>434</v>
      </c>
      <c r="B329" s="5" t="s">
        <v>854</v>
      </c>
      <c r="C329" s="7">
        <v>2</v>
      </c>
      <c r="D329" t="e">
        <f>VLOOKUP(A329,Ranking!A:F,6,0)</f>
        <v>#N/A</v>
      </c>
    </row>
    <row r="330" spans="1:4" x14ac:dyDescent="0.25">
      <c r="A330" s="5" t="s">
        <v>435</v>
      </c>
      <c r="B330" s="5" t="s">
        <v>855</v>
      </c>
      <c r="C330" s="7">
        <v>1</v>
      </c>
      <c r="D330" t="e">
        <f>VLOOKUP(A330,Ranking!A:F,6,0)</f>
        <v>#N/A</v>
      </c>
    </row>
    <row r="331" spans="1:4" x14ac:dyDescent="0.25">
      <c r="A331" s="5" t="s">
        <v>436</v>
      </c>
      <c r="B331" s="5" t="s">
        <v>856</v>
      </c>
      <c r="C331" s="7">
        <v>1</v>
      </c>
      <c r="D331" t="e">
        <f>VLOOKUP(A331,Ranking!A:F,6,0)</f>
        <v>#N/A</v>
      </c>
    </row>
    <row r="332" spans="1:4" x14ac:dyDescent="0.25">
      <c r="A332" s="5" t="s">
        <v>437</v>
      </c>
      <c r="B332" s="5" t="s">
        <v>857</v>
      </c>
      <c r="C332" s="7">
        <v>2</v>
      </c>
      <c r="D332" t="e">
        <f>VLOOKUP(A332,Ranking!A:F,6,0)</f>
        <v>#N/A</v>
      </c>
    </row>
    <row r="333" spans="1:4" x14ac:dyDescent="0.25">
      <c r="A333" s="5" t="s">
        <v>438</v>
      </c>
      <c r="B333" s="5" t="s">
        <v>858</v>
      </c>
      <c r="C333" s="7">
        <v>1</v>
      </c>
      <c r="D333" t="e">
        <f>VLOOKUP(A333,Ranking!A:F,6,0)</f>
        <v>#N/A</v>
      </c>
    </row>
    <row r="334" spans="1:4" x14ac:dyDescent="0.25">
      <c r="A334" s="5" t="s">
        <v>439</v>
      </c>
      <c r="B334" s="5" t="s">
        <v>859</v>
      </c>
      <c r="C334" s="7">
        <v>2</v>
      </c>
      <c r="D334" t="e">
        <f>VLOOKUP(A334,Ranking!A:F,6,0)</f>
        <v>#N/A</v>
      </c>
    </row>
    <row r="335" spans="1:4" x14ac:dyDescent="0.25">
      <c r="A335" s="5" t="s">
        <v>440</v>
      </c>
      <c r="B335" s="5" t="s">
        <v>860</v>
      </c>
      <c r="C335" s="7">
        <v>2</v>
      </c>
      <c r="D335" t="e">
        <f>VLOOKUP(A335,Ranking!A:F,6,0)</f>
        <v>#N/A</v>
      </c>
    </row>
    <row r="336" spans="1:4" x14ac:dyDescent="0.25">
      <c r="A336" s="5" t="s">
        <v>441</v>
      </c>
      <c r="B336" s="5" t="s">
        <v>861</v>
      </c>
      <c r="C336" s="7">
        <v>2</v>
      </c>
      <c r="D336" t="e">
        <f>VLOOKUP(A336,Ranking!A:F,6,0)</f>
        <v>#N/A</v>
      </c>
    </row>
    <row r="337" spans="1:6" x14ac:dyDescent="0.25">
      <c r="A337" s="5" t="s">
        <v>442</v>
      </c>
      <c r="B337" s="5" t="s">
        <v>862</v>
      </c>
      <c r="C337" s="7">
        <v>3</v>
      </c>
      <c r="D337" t="e">
        <f>VLOOKUP(A337,Ranking!A:F,6,0)</f>
        <v>#N/A</v>
      </c>
    </row>
    <row r="338" spans="1:6" x14ac:dyDescent="0.25">
      <c r="A338" s="5" t="s">
        <v>443</v>
      </c>
      <c r="B338" s="5" t="s">
        <v>863</v>
      </c>
      <c r="C338" s="7">
        <v>2</v>
      </c>
      <c r="D338" t="e">
        <f>VLOOKUP(A338,Ranking!A:F,6,0)</f>
        <v>#N/A</v>
      </c>
    </row>
    <row r="339" spans="1:6" x14ac:dyDescent="0.25">
      <c r="A339" s="5" t="s">
        <v>444</v>
      </c>
      <c r="B339" s="5" t="s">
        <v>864</v>
      </c>
      <c r="C339" s="7">
        <v>2</v>
      </c>
      <c r="D339" t="e">
        <f>VLOOKUP(A339,Ranking!A:F,6,0)</f>
        <v>#N/A</v>
      </c>
    </row>
    <row r="340" spans="1:6" hidden="1" x14ac:dyDescent="0.25">
      <c r="A340" s="5" t="s">
        <v>10</v>
      </c>
      <c r="B340" s="5" t="s">
        <v>0</v>
      </c>
      <c r="C340" s="7">
        <v>0</v>
      </c>
      <c r="D340">
        <f>VLOOKUP(A340,Ranking!A:F,6,0)</f>
        <v>11</v>
      </c>
    </row>
    <row r="341" spans="1:6" hidden="1" x14ac:dyDescent="0.25">
      <c r="A341" s="5" t="s">
        <v>58</v>
      </c>
      <c r="B341" s="5" t="s">
        <v>59</v>
      </c>
      <c r="C341" s="7">
        <v>5</v>
      </c>
      <c r="D341">
        <f>VLOOKUP(A341,Ranking!A:F,6,0)</f>
        <v>2</v>
      </c>
      <c r="E341">
        <f>VLOOKUP(A341,[1]Sheet!$C:$G,5,0)</f>
        <v>106.98</v>
      </c>
      <c r="F341" s="1">
        <f>+E341*C341</f>
        <v>534.9</v>
      </c>
    </row>
    <row r="342" spans="1:6" hidden="1" x14ac:dyDescent="0.25">
      <c r="A342" s="5" t="s">
        <v>445</v>
      </c>
      <c r="B342" s="5" t="s">
        <v>865</v>
      </c>
      <c r="C342" s="7">
        <v>0</v>
      </c>
      <c r="D342" t="e">
        <f>VLOOKUP(A342,Ranking!A:F,6,0)</f>
        <v>#N/A</v>
      </c>
    </row>
    <row r="343" spans="1:6" hidden="1" x14ac:dyDescent="0.25">
      <c r="A343" s="5" t="s">
        <v>446</v>
      </c>
      <c r="B343" s="5" t="s">
        <v>866</v>
      </c>
      <c r="C343" s="7">
        <v>0</v>
      </c>
      <c r="D343" t="e">
        <f>VLOOKUP(A343,Ranking!A:F,6,0)</f>
        <v>#N/A</v>
      </c>
    </row>
    <row r="344" spans="1:6" hidden="1" x14ac:dyDescent="0.25">
      <c r="A344" s="5" t="s">
        <v>30</v>
      </c>
      <c r="B344" s="5" t="s">
        <v>31</v>
      </c>
      <c r="C344" s="7">
        <v>0</v>
      </c>
      <c r="D344">
        <f>VLOOKUP(A344,Ranking!A:F,6,0)</f>
        <v>3</v>
      </c>
    </row>
    <row r="345" spans="1:6" hidden="1" x14ac:dyDescent="0.25">
      <c r="A345" s="5" t="s">
        <v>447</v>
      </c>
      <c r="B345" s="5" t="s">
        <v>867</v>
      </c>
      <c r="C345" s="7">
        <v>0</v>
      </c>
      <c r="D345" t="e">
        <f>VLOOKUP(A345,Ranking!A:F,6,0)</f>
        <v>#N/A</v>
      </c>
    </row>
    <row r="346" spans="1:6" hidden="1" x14ac:dyDescent="0.25">
      <c r="A346" s="5" t="s">
        <v>448</v>
      </c>
      <c r="B346" s="5" t="s">
        <v>868</v>
      </c>
      <c r="C346" s="7">
        <v>0</v>
      </c>
      <c r="D346" t="e">
        <f>VLOOKUP(A346,Ranking!A:F,6,0)</f>
        <v>#N/A</v>
      </c>
    </row>
    <row r="347" spans="1:6" hidden="1" x14ac:dyDescent="0.25">
      <c r="A347" s="5" t="s">
        <v>20</v>
      </c>
      <c r="B347" s="5" t="s">
        <v>21</v>
      </c>
      <c r="C347" s="7">
        <v>10</v>
      </c>
      <c r="D347">
        <f>VLOOKUP(A347,Ranking!A:F,6,0)</f>
        <v>5</v>
      </c>
      <c r="E347">
        <f>VLOOKUP(A347,[1]Sheet!$C:$G,5,0)</f>
        <v>18.95</v>
      </c>
      <c r="F347" s="1">
        <f t="shared" ref="F347:F348" si="8">+E347*C347</f>
        <v>189.5</v>
      </c>
    </row>
    <row r="348" spans="1:6" hidden="1" x14ac:dyDescent="0.25">
      <c r="A348" s="5" t="s">
        <v>12</v>
      </c>
      <c r="B348" s="5" t="s">
        <v>13</v>
      </c>
      <c r="C348" s="7">
        <v>10</v>
      </c>
      <c r="D348">
        <f>VLOOKUP(A348,Ranking!A:F,6,0)</f>
        <v>9</v>
      </c>
      <c r="E348">
        <f>VLOOKUP(A348,[1]Sheet!$C:$G,5,0)</f>
        <v>27.64</v>
      </c>
      <c r="F348" s="1">
        <f t="shared" si="8"/>
        <v>276.39999999999998</v>
      </c>
    </row>
    <row r="349" spans="1:6" x14ac:dyDescent="0.25">
      <c r="A349" s="5" t="s">
        <v>449</v>
      </c>
      <c r="B349" s="5" t="s">
        <v>869</v>
      </c>
      <c r="C349" s="7">
        <v>3</v>
      </c>
      <c r="D349" t="e">
        <f>VLOOKUP(A349,Ranking!A:F,6,0)</f>
        <v>#N/A</v>
      </c>
    </row>
    <row r="350" spans="1:6" x14ac:dyDescent="0.25">
      <c r="A350" s="5" t="s">
        <v>450</v>
      </c>
      <c r="B350" s="5" t="s">
        <v>870</v>
      </c>
      <c r="C350" s="7">
        <v>2</v>
      </c>
      <c r="D350" t="e">
        <f>VLOOKUP(A350,Ranking!A:F,6,0)</f>
        <v>#N/A</v>
      </c>
    </row>
    <row r="351" spans="1:6" hidden="1" x14ac:dyDescent="0.25">
      <c r="A351" s="5" t="s">
        <v>14</v>
      </c>
      <c r="B351" s="5" t="s">
        <v>15</v>
      </c>
      <c r="C351" s="7">
        <v>7</v>
      </c>
      <c r="D351">
        <f>VLOOKUP(A351,Ranking!A:F,6,0)</f>
        <v>7</v>
      </c>
      <c r="E351">
        <f>VLOOKUP(A351,[1]Sheet!$C:$G,5,0)</f>
        <v>27.64</v>
      </c>
      <c r="F351" s="1">
        <f t="shared" ref="F351:F352" si="9">+E351*C351</f>
        <v>193.48000000000002</v>
      </c>
    </row>
    <row r="352" spans="1:6" hidden="1" x14ac:dyDescent="0.25">
      <c r="A352" s="5" t="s">
        <v>52</v>
      </c>
      <c r="B352" s="5" t="s">
        <v>53</v>
      </c>
      <c r="C352" s="7">
        <v>4</v>
      </c>
      <c r="D352">
        <f>VLOOKUP(A352,Ranking!A:F,6,0)</f>
        <v>2</v>
      </c>
      <c r="E352">
        <f>VLOOKUP(A352,[1]Sheet!$C:$G,5,0)</f>
        <v>27.64</v>
      </c>
      <c r="F352" s="1">
        <f t="shared" si="9"/>
        <v>110.56</v>
      </c>
    </row>
    <row r="353" spans="1:6" hidden="1" x14ac:dyDescent="0.25">
      <c r="A353" s="5" t="s">
        <v>451</v>
      </c>
      <c r="B353" s="5" t="s">
        <v>871</v>
      </c>
      <c r="C353" s="7">
        <v>0</v>
      </c>
      <c r="D353" t="e">
        <f>VLOOKUP(A353,Ranking!A:F,6,0)</f>
        <v>#N/A</v>
      </c>
    </row>
    <row r="354" spans="1:6" hidden="1" x14ac:dyDescent="0.25">
      <c r="A354" s="5" t="s">
        <v>452</v>
      </c>
      <c r="B354" s="5" t="s">
        <v>872</v>
      </c>
      <c r="C354" s="7">
        <v>0</v>
      </c>
      <c r="D354" t="e">
        <f>VLOOKUP(A354,Ranking!A:F,6,0)</f>
        <v>#N/A</v>
      </c>
    </row>
    <row r="355" spans="1:6" hidden="1" x14ac:dyDescent="0.25">
      <c r="A355" s="5" t="s">
        <v>129</v>
      </c>
      <c r="B355" s="5" t="s">
        <v>130</v>
      </c>
      <c r="C355" s="7">
        <v>3</v>
      </c>
      <c r="D355">
        <f>VLOOKUP(A355,Ranking!A:F,6,0)</f>
        <v>1</v>
      </c>
      <c r="E355">
        <f>VLOOKUP(A355,[1]Sheet!$C:$G,5,0)</f>
        <v>115.69</v>
      </c>
      <c r="F355" s="1">
        <f>+E355*C355</f>
        <v>347.07</v>
      </c>
    </row>
    <row r="356" spans="1:6" x14ac:dyDescent="0.25">
      <c r="A356" s="5" t="s">
        <v>453</v>
      </c>
      <c r="B356" s="5" t="s">
        <v>873</v>
      </c>
      <c r="C356" s="7">
        <v>1</v>
      </c>
      <c r="D356" t="e">
        <f>VLOOKUP(A356,Ranking!A:F,6,0)</f>
        <v>#N/A</v>
      </c>
    </row>
    <row r="357" spans="1:6" hidden="1" x14ac:dyDescent="0.25">
      <c r="A357" s="5" t="s">
        <v>454</v>
      </c>
      <c r="B357" s="5" t="s">
        <v>874</v>
      </c>
      <c r="C357" s="7">
        <v>0</v>
      </c>
      <c r="D357" t="e">
        <f>VLOOKUP(A357,Ranking!A:F,6,0)</f>
        <v>#N/A</v>
      </c>
    </row>
    <row r="358" spans="1:6" x14ac:dyDescent="0.25">
      <c r="A358" s="5" t="s">
        <v>455</v>
      </c>
      <c r="B358" s="5" t="s">
        <v>875</v>
      </c>
      <c r="C358" s="7">
        <v>1</v>
      </c>
      <c r="D358" t="e">
        <f>VLOOKUP(A358,Ranking!A:F,6,0)</f>
        <v>#N/A</v>
      </c>
    </row>
    <row r="359" spans="1:6" x14ac:dyDescent="0.25">
      <c r="A359" s="5" t="s">
        <v>456</v>
      </c>
      <c r="B359" s="5" t="s">
        <v>876</v>
      </c>
      <c r="C359" s="7">
        <v>4</v>
      </c>
      <c r="D359" t="e">
        <f>VLOOKUP(A359,Ranking!A:F,6,0)</f>
        <v>#N/A</v>
      </c>
    </row>
    <row r="360" spans="1:6" x14ac:dyDescent="0.25">
      <c r="A360" s="5" t="s">
        <v>457</v>
      </c>
      <c r="B360" s="5" t="s">
        <v>877</v>
      </c>
      <c r="C360" s="7">
        <v>2</v>
      </c>
      <c r="D360" t="e">
        <f>VLOOKUP(A360,Ranking!A:F,6,0)</f>
        <v>#N/A</v>
      </c>
    </row>
    <row r="361" spans="1:6" hidden="1" x14ac:dyDescent="0.25">
      <c r="A361" s="5" t="s">
        <v>458</v>
      </c>
      <c r="B361" s="5" t="s">
        <v>878</v>
      </c>
      <c r="C361" s="7">
        <v>0</v>
      </c>
      <c r="D361" t="e">
        <f>VLOOKUP(A361,Ranking!A:F,6,0)</f>
        <v>#N/A</v>
      </c>
    </row>
    <row r="362" spans="1:6" x14ac:dyDescent="0.25">
      <c r="A362" s="5" t="s">
        <v>459</v>
      </c>
      <c r="B362" s="5" t="s">
        <v>879</v>
      </c>
      <c r="C362" s="7">
        <v>2</v>
      </c>
      <c r="D362" t="e">
        <f>VLOOKUP(A362,Ranking!A:F,6,0)</f>
        <v>#N/A</v>
      </c>
    </row>
    <row r="363" spans="1:6" x14ac:dyDescent="0.25">
      <c r="A363" s="5" t="s">
        <v>460</v>
      </c>
      <c r="B363" s="5" t="s">
        <v>880</v>
      </c>
      <c r="C363" s="7">
        <v>4</v>
      </c>
      <c r="D363" t="e">
        <f>VLOOKUP(A363,Ranking!A:F,6,0)</f>
        <v>#N/A</v>
      </c>
    </row>
    <row r="364" spans="1:6" x14ac:dyDescent="0.25">
      <c r="A364" s="5" t="s">
        <v>461</v>
      </c>
      <c r="B364" s="5" t="s">
        <v>881</v>
      </c>
      <c r="C364" s="7">
        <v>2</v>
      </c>
      <c r="D364" t="e">
        <f>VLOOKUP(A364,Ranking!A:F,6,0)</f>
        <v>#N/A</v>
      </c>
    </row>
    <row r="365" spans="1:6" hidden="1" x14ac:dyDescent="0.25">
      <c r="A365" s="5" t="s">
        <v>462</v>
      </c>
      <c r="B365" s="5" t="s">
        <v>882</v>
      </c>
      <c r="C365" s="7">
        <v>0</v>
      </c>
      <c r="D365" t="e">
        <f>VLOOKUP(A365,Ranking!A:F,6,0)</f>
        <v>#N/A</v>
      </c>
    </row>
    <row r="366" spans="1:6" hidden="1" x14ac:dyDescent="0.25">
      <c r="A366" s="5" t="s">
        <v>40</v>
      </c>
      <c r="B366" s="5" t="s">
        <v>41</v>
      </c>
      <c r="C366" s="7">
        <v>0</v>
      </c>
      <c r="D366">
        <f>VLOOKUP(A366,Ranking!A:F,6,0)</f>
        <v>3</v>
      </c>
    </row>
    <row r="367" spans="1:6" hidden="1" x14ac:dyDescent="0.25">
      <c r="A367" s="5" t="s">
        <v>80</v>
      </c>
      <c r="B367" s="5" t="s">
        <v>81</v>
      </c>
      <c r="C367" s="7">
        <v>2</v>
      </c>
      <c r="D367">
        <f>VLOOKUP(A367,Ranking!A:F,6,0)</f>
        <v>2</v>
      </c>
      <c r="E367">
        <f>VLOOKUP(A367,[1]Sheet!$C:$G,5,0)</f>
        <v>29.9</v>
      </c>
      <c r="F367" s="1">
        <f t="shared" ref="F367:F370" si="10">+E367*C367</f>
        <v>59.8</v>
      </c>
    </row>
    <row r="368" spans="1:6" hidden="1" x14ac:dyDescent="0.25">
      <c r="A368" s="5" t="s">
        <v>22</v>
      </c>
      <c r="B368" s="5" t="s">
        <v>23</v>
      </c>
      <c r="C368" s="7">
        <v>4</v>
      </c>
      <c r="D368">
        <f>VLOOKUP(A368,Ranking!A:F,6,0)</f>
        <v>5</v>
      </c>
      <c r="E368">
        <f>VLOOKUP(A368,[1]Sheet!$C:$G,5,0)</f>
        <v>29.9</v>
      </c>
      <c r="F368" s="1">
        <f t="shared" si="10"/>
        <v>119.6</v>
      </c>
    </row>
    <row r="369" spans="1:6" hidden="1" x14ac:dyDescent="0.25">
      <c r="A369" s="5" t="s">
        <v>74</v>
      </c>
      <c r="B369" s="5" t="s">
        <v>75</v>
      </c>
      <c r="C369" s="7">
        <v>1</v>
      </c>
      <c r="D369">
        <f>VLOOKUP(A369,Ranking!A:F,6,0)</f>
        <v>2</v>
      </c>
      <c r="E369">
        <f>VLOOKUP(A369,[1]Sheet!$C:$G,5,0)</f>
        <v>36.9</v>
      </c>
      <c r="F369" s="1">
        <f t="shared" si="10"/>
        <v>36.9</v>
      </c>
    </row>
    <row r="370" spans="1:6" hidden="1" x14ac:dyDescent="0.25">
      <c r="A370" s="5" t="s">
        <v>42</v>
      </c>
      <c r="B370" s="5" t="s">
        <v>43</v>
      </c>
      <c r="C370" s="7">
        <v>6</v>
      </c>
      <c r="D370">
        <f>VLOOKUP(A370,Ranking!A:F,6,0)</f>
        <v>3</v>
      </c>
      <c r="E370">
        <f>VLOOKUP(A370,[1]Sheet!$C:$G,5,0)</f>
        <v>163.81</v>
      </c>
      <c r="F370" s="1">
        <f t="shared" si="10"/>
        <v>982.86</v>
      </c>
    </row>
    <row r="371" spans="1:6" hidden="1" x14ac:dyDescent="0.25">
      <c r="A371" s="5" t="s">
        <v>463</v>
      </c>
      <c r="B371" s="5" t="s">
        <v>883</v>
      </c>
      <c r="C371" s="7">
        <v>0</v>
      </c>
      <c r="D371" t="e">
        <f>VLOOKUP(A371,Ranking!A:F,6,0)</f>
        <v>#N/A</v>
      </c>
    </row>
    <row r="372" spans="1:6" hidden="1" x14ac:dyDescent="0.25">
      <c r="A372" s="5" t="s">
        <v>18</v>
      </c>
      <c r="B372" s="5" t="s">
        <v>19</v>
      </c>
      <c r="C372" s="7">
        <v>0</v>
      </c>
      <c r="D372">
        <f>VLOOKUP(A372,Ranking!A:F,6,0)</f>
        <v>6</v>
      </c>
    </row>
    <row r="373" spans="1:6" x14ac:dyDescent="0.25">
      <c r="A373" s="5" t="s">
        <v>464</v>
      </c>
      <c r="B373" s="5" t="s">
        <v>884</v>
      </c>
      <c r="C373" s="7">
        <v>4</v>
      </c>
      <c r="D373" t="e">
        <f>VLOOKUP(A373,Ranking!A:F,6,0)</f>
        <v>#N/A</v>
      </c>
    </row>
    <row r="374" spans="1:6" x14ac:dyDescent="0.25">
      <c r="A374" s="5" t="s">
        <v>465</v>
      </c>
      <c r="B374" s="5" t="s">
        <v>885</v>
      </c>
      <c r="C374" s="7">
        <v>3</v>
      </c>
      <c r="D374" t="e">
        <f>VLOOKUP(A374,Ranking!A:F,6,0)</f>
        <v>#N/A</v>
      </c>
    </row>
    <row r="375" spans="1:6" x14ac:dyDescent="0.25">
      <c r="A375" s="5" t="s">
        <v>466</v>
      </c>
      <c r="B375" s="5" t="s">
        <v>886</v>
      </c>
      <c r="C375" s="7">
        <v>1</v>
      </c>
      <c r="D375" t="e">
        <f>VLOOKUP(A375,Ranking!A:F,6,0)</f>
        <v>#N/A</v>
      </c>
    </row>
    <row r="376" spans="1:6" hidden="1" x14ac:dyDescent="0.25">
      <c r="A376" s="5" t="s">
        <v>132</v>
      </c>
      <c r="B376" s="5" t="s">
        <v>133</v>
      </c>
      <c r="C376" s="7">
        <v>1</v>
      </c>
      <c r="D376">
        <f>VLOOKUP(A376,Ranking!A:F,6,0)</f>
        <v>1</v>
      </c>
      <c r="E376">
        <f>VLOOKUP(A376,[1]Sheet!$C:$G,5,0)</f>
        <v>39.83</v>
      </c>
      <c r="F376" s="1">
        <f>+E376*C376</f>
        <v>39.83</v>
      </c>
    </row>
    <row r="377" spans="1:6" x14ac:dyDescent="0.25">
      <c r="A377" s="5" t="s">
        <v>467</v>
      </c>
      <c r="B377" s="5" t="s">
        <v>887</v>
      </c>
      <c r="C377" s="7">
        <v>2</v>
      </c>
      <c r="D377" t="e">
        <f>VLOOKUP(A377,Ranking!A:F,6,0)</f>
        <v>#N/A</v>
      </c>
    </row>
    <row r="378" spans="1:6" hidden="1" x14ac:dyDescent="0.25">
      <c r="A378" s="5" t="s">
        <v>134</v>
      </c>
      <c r="B378" s="5" t="s">
        <v>135</v>
      </c>
      <c r="C378" s="7">
        <v>3</v>
      </c>
      <c r="D378">
        <f>VLOOKUP(A378,Ranking!A:F,6,0)</f>
        <v>1</v>
      </c>
      <c r="E378">
        <f>VLOOKUP(A378,[1]Sheet!$C:$G,5,0)</f>
        <v>126.49</v>
      </c>
      <c r="F378" s="1">
        <f t="shared" ref="F378:F379" si="11">+E378*C378</f>
        <v>379.46999999999997</v>
      </c>
    </row>
    <row r="379" spans="1:6" hidden="1" x14ac:dyDescent="0.25">
      <c r="A379" s="5" t="s">
        <v>24</v>
      </c>
      <c r="B379" s="5" t="s">
        <v>25</v>
      </c>
      <c r="C379" s="7">
        <v>2</v>
      </c>
      <c r="D379">
        <f>VLOOKUP(A379,Ranking!A:F,6,0)</f>
        <v>4</v>
      </c>
      <c r="E379">
        <f>VLOOKUP(A379,[1]Sheet!$C:$G,5,0)</f>
        <v>192.23</v>
      </c>
      <c r="F379" s="1">
        <f t="shared" si="11"/>
        <v>384.46</v>
      </c>
    </row>
    <row r="380" spans="1:6" hidden="1" x14ac:dyDescent="0.25">
      <c r="A380" s="5" t="s">
        <v>468</v>
      </c>
      <c r="B380" s="5" t="s">
        <v>888</v>
      </c>
      <c r="C380" s="7">
        <v>0</v>
      </c>
      <c r="D380" t="e">
        <f>VLOOKUP(A380,Ranking!A:F,6,0)</f>
        <v>#N/A</v>
      </c>
    </row>
    <row r="381" spans="1:6" hidden="1" x14ac:dyDescent="0.25">
      <c r="A381" s="5" t="s">
        <v>469</v>
      </c>
      <c r="B381" s="5" t="s">
        <v>889</v>
      </c>
      <c r="C381" s="7">
        <v>0</v>
      </c>
      <c r="D381" t="e">
        <f>VLOOKUP(A381,Ranking!A:F,6,0)</f>
        <v>#N/A</v>
      </c>
    </row>
    <row r="382" spans="1:6" hidden="1" x14ac:dyDescent="0.25">
      <c r="A382" s="5" t="s">
        <v>138</v>
      </c>
      <c r="B382" s="5" t="s">
        <v>139</v>
      </c>
      <c r="C382" s="7">
        <v>1</v>
      </c>
      <c r="D382">
        <f>VLOOKUP(A382,Ranking!A:F,6,0)</f>
        <v>1</v>
      </c>
      <c r="E382">
        <f>VLOOKUP(A382,[1]Sheet!$C:$G,5,0)</f>
        <v>118.23</v>
      </c>
      <c r="F382" s="1">
        <f>+E382*C382</f>
        <v>118.23</v>
      </c>
    </row>
    <row r="383" spans="1:6" x14ac:dyDescent="0.25">
      <c r="A383" s="5" t="s">
        <v>470</v>
      </c>
      <c r="B383" s="5" t="s">
        <v>890</v>
      </c>
      <c r="C383" s="7">
        <v>3</v>
      </c>
      <c r="D383" t="e">
        <f>VLOOKUP(A383,Ranking!A:F,6,0)</f>
        <v>#N/A</v>
      </c>
    </row>
    <row r="384" spans="1:6" x14ac:dyDescent="0.25">
      <c r="A384" s="5" t="s">
        <v>471</v>
      </c>
      <c r="B384" s="5" t="s">
        <v>891</v>
      </c>
      <c r="C384" s="7">
        <v>3</v>
      </c>
      <c r="D384" t="e">
        <f>VLOOKUP(A384,Ranking!A:F,6,0)</f>
        <v>#N/A</v>
      </c>
    </row>
    <row r="385" spans="1:4" hidden="1" x14ac:dyDescent="0.25">
      <c r="A385" s="5" t="s">
        <v>472</v>
      </c>
      <c r="B385" s="5" t="s">
        <v>892</v>
      </c>
      <c r="C385" s="7">
        <v>0</v>
      </c>
      <c r="D385" t="e">
        <f>VLOOKUP(A385,Ranking!A:F,6,0)</f>
        <v>#N/A</v>
      </c>
    </row>
    <row r="386" spans="1:4" hidden="1" x14ac:dyDescent="0.25">
      <c r="A386" s="5" t="s">
        <v>140</v>
      </c>
      <c r="B386" s="5" t="s">
        <v>141</v>
      </c>
      <c r="C386" s="7">
        <v>0</v>
      </c>
      <c r="D386">
        <f>VLOOKUP(A386,Ranking!A:F,6,0)</f>
        <v>1</v>
      </c>
    </row>
    <row r="387" spans="1:4" x14ac:dyDescent="0.25">
      <c r="A387" s="5" t="s">
        <v>473</v>
      </c>
      <c r="B387" s="5" t="s">
        <v>893</v>
      </c>
      <c r="C387" s="7">
        <v>2</v>
      </c>
      <c r="D387" t="e">
        <f>VLOOKUP(A387,Ranking!A:F,6,0)</f>
        <v>#N/A</v>
      </c>
    </row>
    <row r="388" spans="1:4" x14ac:dyDescent="0.25">
      <c r="A388" s="5" t="s">
        <v>474</v>
      </c>
      <c r="B388" s="5" t="s">
        <v>894</v>
      </c>
      <c r="C388" s="7">
        <v>2</v>
      </c>
      <c r="D388" t="e">
        <f>VLOOKUP(A388,Ranking!A:F,6,0)</f>
        <v>#N/A</v>
      </c>
    </row>
    <row r="389" spans="1:4" hidden="1" x14ac:dyDescent="0.25">
      <c r="A389" s="5" t="s">
        <v>475</v>
      </c>
      <c r="B389" s="5" t="s">
        <v>895</v>
      </c>
      <c r="C389" s="7">
        <v>0</v>
      </c>
      <c r="D389" t="e">
        <f>VLOOKUP(A389,Ranking!A:F,6,0)</f>
        <v>#N/A</v>
      </c>
    </row>
    <row r="390" spans="1:4" hidden="1" x14ac:dyDescent="0.25">
      <c r="A390" s="5" t="s">
        <v>476</v>
      </c>
      <c r="B390" s="5" t="s">
        <v>896</v>
      </c>
      <c r="C390" s="7">
        <v>0</v>
      </c>
      <c r="D390" t="e">
        <f>VLOOKUP(A390,Ranking!A:F,6,0)</f>
        <v>#N/A</v>
      </c>
    </row>
    <row r="391" spans="1:4" hidden="1" x14ac:dyDescent="0.25">
      <c r="A391" s="5" t="s">
        <v>477</v>
      </c>
      <c r="B391" s="5" t="s">
        <v>897</v>
      </c>
      <c r="C391" s="7">
        <v>0</v>
      </c>
      <c r="D391" t="e">
        <f>VLOOKUP(A391,Ranking!A:F,6,0)</f>
        <v>#N/A</v>
      </c>
    </row>
    <row r="392" spans="1:4" hidden="1" x14ac:dyDescent="0.25">
      <c r="A392" s="5" t="s">
        <v>478</v>
      </c>
      <c r="B392" s="5" t="s">
        <v>898</v>
      </c>
      <c r="C392" s="7">
        <v>0</v>
      </c>
      <c r="D392" t="e">
        <f>VLOOKUP(A392,Ranking!A:F,6,0)</f>
        <v>#N/A</v>
      </c>
    </row>
    <row r="393" spans="1:4" x14ac:dyDescent="0.25">
      <c r="A393" s="5" t="s">
        <v>479</v>
      </c>
      <c r="B393" s="5" t="s">
        <v>899</v>
      </c>
      <c r="C393" s="7">
        <v>3</v>
      </c>
      <c r="D393" t="e">
        <f>VLOOKUP(A393,Ranking!A:F,6,0)</f>
        <v>#N/A</v>
      </c>
    </row>
    <row r="394" spans="1:4" x14ac:dyDescent="0.25">
      <c r="A394" s="5" t="s">
        <v>480</v>
      </c>
      <c r="B394" s="5" t="s">
        <v>900</v>
      </c>
      <c r="C394" s="7">
        <v>1</v>
      </c>
      <c r="D394" t="e">
        <f>VLOOKUP(A394,Ranking!A:F,6,0)</f>
        <v>#N/A</v>
      </c>
    </row>
    <row r="395" spans="1:4" x14ac:dyDescent="0.25">
      <c r="A395" s="5" t="s">
        <v>481</v>
      </c>
      <c r="B395" s="5" t="s">
        <v>901</v>
      </c>
      <c r="C395" s="7">
        <v>3</v>
      </c>
      <c r="D395" t="e">
        <f>VLOOKUP(A395,Ranking!A:F,6,0)</f>
        <v>#N/A</v>
      </c>
    </row>
    <row r="396" spans="1:4" hidden="1" x14ac:dyDescent="0.25">
      <c r="A396" s="5" t="s">
        <v>482</v>
      </c>
      <c r="B396" s="5" t="s">
        <v>902</v>
      </c>
      <c r="C396" s="7">
        <v>0</v>
      </c>
      <c r="D396" t="e">
        <f>VLOOKUP(A396,Ranking!A:F,6,0)</f>
        <v>#N/A</v>
      </c>
    </row>
    <row r="397" spans="1:4" x14ac:dyDescent="0.25">
      <c r="A397" s="5" t="s">
        <v>483</v>
      </c>
      <c r="B397" s="5" t="s">
        <v>903</v>
      </c>
      <c r="C397" s="7">
        <v>3</v>
      </c>
      <c r="D397" t="e">
        <f>VLOOKUP(A397,Ranking!A:F,6,0)</f>
        <v>#N/A</v>
      </c>
    </row>
    <row r="398" spans="1:4" x14ac:dyDescent="0.25">
      <c r="A398" s="5" t="s">
        <v>484</v>
      </c>
      <c r="B398" s="5" t="s">
        <v>904</v>
      </c>
      <c r="C398" s="7">
        <v>2</v>
      </c>
      <c r="D398" t="e">
        <f>VLOOKUP(A398,Ranking!A:F,6,0)</f>
        <v>#N/A</v>
      </c>
    </row>
    <row r="399" spans="1:4" x14ac:dyDescent="0.25">
      <c r="A399" s="5" t="s">
        <v>485</v>
      </c>
      <c r="B399" s="5" t="s">
        <v>905</v>
      </c>
      <c r="C399" s="7">
        <v>7</v>
      </c>
      <c r="D399" t="e">
        <f>VLOOKUP(A399,Ranking!A:F,6,0)</f>
        <v>#N/A</v>
      </c>
    </row>
    <row r="400" spans="1:4" hidden="1" x14ac:dyDescent="0.25">
      <c r="A400" s="5" t="s">
        <v>486</v>
      </c>
      <c r="B400" s="5" t="s">
        <v>906</v>
      </c>
      <c r="C400" s="7">
        <v>0</v>
      </c>
      <c r="D400" t="e">
        <f>VLOOKUP(A400,Ranking!A:F,6,0)</f>
        <v>#N/A</v>
      </c>
    </row>
    <row r="401" spans="1:4" hidden="1" x14ac:dyDescent="0.25">
      <c r="A401" s="5" t="s">
        <v>487</v>
      </c>
      <c r="B401" s="5" t="s">
        <v>907</v>
      </c>
      <c r="C401" s="7">
        <v>0</v>
      </c>
      <c r="D401" t="e">
        <f>VLOOKUP(A401,Ranking!A:F,6,0)</f>
        <v>#N/A</v>
      </c>
    </row>
    <row r="402" spans="1:4" x14ac:dyDescent="0.25">
      <c r="A402" s="5" t="s">
        <v>488</v>
      </c>
      <c r="B402" s="5" t="s">
        <v>908</v>
      </c>
      <c r="C402" s="7">
        <v>1</v>
      </c>
      <c r="D402" t="e">
        <f>VLOOKUP(A402,Ranking!A:F,6,0)</f>
        <v>#N/A</v>
      </c>
    </row>
    <row r="403" spans="1:4" hidden="1" x14ac:dyDescent="0.25">
      <c r="A403" s="5" t="s">
        <v>489</v>
      </c>
      <c r="B403" s="5" t="s">
        <v>909</v>
      </c>
      <c r="C403" s="7">
        <v>0</v>
      </c>
      <c r="D403" t="e">
        <f>VLOOKUP(A403,Ranking!A:F,6,0)</f>
        <v>#N/A</v>
      </c>
    </row>
    <row r="404" spans="1:4" x14ac:dyDescent="0.25">
      <c r="A404" s="5" t="s">
        <v>490</v>
      </c>
      <c r="B404" s="5" t="s">
        <v>910</v>
      </c>
      <c r="C404" s="7">
        <v>6</v>
      </c>
      <c r="D404" t="e">
        <f>VLOOKUP(A404,Ranking!A:F,6,0)</f>
        <v>#N/A</v>
      </c>
    </row>
    <row r="405" spans="1:4" x14ac:dyDescent="0.25">
      <c r="A405" s="5" t="s">
        <v>491</v>
      </c>
      <c r="B405" s="5" t="s">
        <v>911</v>
      </c>
      <c r="C405" s="7">
        <v>2</v>
      </c>
      <c r="D405" t="e">
        <f>VLOOKUP(A405,Ranking!A:F,6,0)</f>
        <v>#N/A</v>
      </c>
    </row>
    <row r="406" spans="1:4" x14ac:dyDescent="0.25">
      <c r="A406" s="5" t="s">
        <v>492</v>
      </c>
      <c r="B406" s="5" t="s">
        <v>912</v>
      </c>
      <c r="C406" s="7">
        <v>3</v>
      </c>
      <c r="D406" t="e">
        <f>VLOOKUP(A406,Ranking!A:F,6,0)</f>
        <v>#N/A</v>
      </c>
    </row>
    <row r="407" spans="1:4" x14ac:dyDescent="0.25">
      <c r="A407" s="5" t="s">
        <v>493</v>
      </c>
      <c r="B407" s="5" t="s">
        <v>913</v>
      </c>
      <c r="C407" s="7">
        <v>2</v>
      </c>
      <c r="D407" t="e">
        <f>VLOOKUP(A407,Ranking!A:F,6,0)</f>
        <v>#N/A</v>
      </c>
    </row>
    <row r="408" spans="1:4" x14ac:dyDescent="0.25">
      <c r="A408" s="5" t="s">
        <v>494</v>
      </c>
      <c r="B408" s="5" t="s">
        <v>914</v>
      </c>
      <c r="C408" s="7">
        <v>1</v>
      </c>
      <c r="D408" t="e">
        <f>VLOOKUP(A408,Ranking!A:F,6,0)</f>
        <v>#N/A</v>
      </c>
    </row>
    <row r="409" spans="1:4" hidden="1" x14ac:dyDescent="0.25">
      <c r="A409" s="5" t="s">
        <v>495</v>
      </c>
      <c r="B409" s="5" t="s">
        <v>915</v>
      </c>
      <c r="C409" s="7">
        <v>0</v>
      </c>
      <c r="D409" t="e">
        <f>VLOOKUP(A409,Ranking!A:F,6,0)</f>
        <v>#N/A</v>
      </c>
    </row>
    <row r="410" spans="1:4" hidden="1" x14ac:dyDescent="0.25">
      <c r="A410" s="5" t="s">
        <v>496</v>
      </c>
      <c r="B410" s="5" t="s">
        <v>916</v>
      </c>
      <c r="C410" s="7">
        <v>0</v>
      </c>
      <c r="D410" t="e">
        <f>VLOOKUP(A410,Ranking!A:F,6,0)</f>
        <v>#N/A</v>
      </c>
    </row>
    <row r="411" spans="1:4" hidden="1" x14ac:dyDescent="0.25">
      <c r="A411" s="5" t="s">
        <v>497</v>
      </c>
      <c r="B411" s="5" t="s">
        <v>917</v>
      </c>
      <c r="C411" s="7">
        <v>0</v>
      </c>
      <c r="D411" t="e">
        <f>VLOOKUP(A411,Ranking!A:F,6,0)</f>
        <v>#N/A</v>
      </c>
    </row>
    <row r="412" spans="1:4" hidden="1" x14ac:dyDescent="0.25">
      <c r="A412" s="5" t="s">
        <v>498</v>
      </c>
      <c r="B412" s="5" t="s">
        <v>918</v>
      </c>
      <c r="C412" s="7">
        <v>0</v>
      </c>
      <c r="D412" t="e">
        <f>VLOOKUP(A412,Ranking!A:F,6,0)</f>
        <v>#N/A</v>
      </c>
    </row>
    <row r="413" spans="1:4" hidden="1" x14ac:dyDescent="0.25">
      <c r="A413" s="5" t="s">
        <v>36</v>
      </c>
      <c r="B413" s="5" t="s">
        <v>37</v>
      </c>
      <c r="C413" s="7">
        <v>0</v>
      </c>
      <c r="D413">
        <f>VLOOKUP(A413,Ranking!A:F,6,0)</f>
        <v>3</v>
      </c>
    </row>
    <row r="414" spans="1:4" x14ac:dyDescent="0.25">
      <c r="A414" s="5" t="s">
        <v>499</v>
      </c>
      <c r="B414" s="5" t="s">
        <v>919</v>
      </c>
      <c r="C414" s="7">
        <v>5</v>
      </c>
      <c r="D414" t="e">
        <f>VLOOKUP(A414,Ranking!A:F,6,0)</f>
        <v>#N/A</v>
      </c>
    </row>
    <row r="415" spans="1:4" hidden="1" x14ac:dyDescent="0.25">
      <c r="A415" s="5" t="s">
        <v>500</v>
      </c>
      <c r="B415" s="5" t="s">
        <v>920</v>
      </c>
      <c r="C415" s="7">
        <v>0</v>
      </c>
      <c r="D415" t="e">
        <f>VLOOKUP(A415,Ranking!A:F,6,0)</f>
        <v>#N/A</v>
      </c>
    </row>
    <row r="416" spans="1:4" hidden="1" x14ac:dyDescent="0.25">
      <c r="A416" s="5" t="s">
        <v>501</v>
      </c>
      <c r="B416" s="5" t="s">
        <v>921</v>
      </c>
      <c r="C416" s="7">
        <v>0</v>
      </c>
      <c r="D416" t="e">
        <f>VLOOKUP(A416,Ranking!A:F,6,0)</f>
        <v>#N/A</v>
      </c>
    </row>
    <row r="417" spans="1:4" hidden="1" x14ac:dyDescent="0.25">
      <c r="A417" s="5" t="s">
        <v>103</v>
      </c>
      <c r="B417" s="5" t="s">
        <v>104</v>
      </c>
      <c r="C417" s="7">
        <v>0</v>
      </c>
      <c r="D417">
        <f>VLOOKUP(A417,Ranking!A:F,6,0)</f>
        <v>1</v>
      </c>
    </row>
    <row r="418" spans="1:4" hidden="1" x14ac:dyDescent="0.25">
      <c r="A418" s="5" t="s">
        <v>502</v>
      </c>
      <c r="B418" s="5" t="s">
        <v>922</v>
      </c>
      <c r="C418" s="7">
        <v>0</v>
      </c>
      <c r="D418" t="e">
        <f>VLOOKUP(A418,Ranking!A:F,6,0)</f>
        <v>#N/A</v>
      </c>
    </row>
    <row r="419" spans="1:4" hidden="1" x14ac:dyDescent="0.25">
      <c r="A419" s="5" t="s">
        <v>105</v>
      </c>
      <c r="B419" s="5" t="s">
        <v>106</v>
      </c>
      <c r="C419" s="7">
        <v>0</v>
      </c>
      <c r="D419">
        <f>VLOOKUP(A419,Ranking!A:F,6,0)</f>
        <v>1</v>
      </c>
    </row>
    <row r="420" spans="1:4" hidden="1" x14ac:dyDescent="0.25">
      <c r="A420" s="5" t="s">
        <v>503</v>
      </c>
      <c r="B420" s="5" t="s">
        <v>923</v>
      </c>
      <c r="C420" s="7">
        <v>0</v>
      </c>
      <c r="D420" t="e">
        <f>VLOOKUP(A420,Ranking!A:F,6,0)</f>
        <v>#N/A</v>
      </c>
    </row>
    <row r="421" spans="1:4" x14ac:dyDescent="0.25">
      <c r="A421" s="5" t="s">
        <v>504</v>
      </c>
      <c r="B421" s="5" t="s">
        <v>924</v>
      </c>
      <c r="C421" s="7">
        <v>1</v>
      </c>
      <c r="D421" t="e">
        <f>VLOOKUP(A421,Ranking!A:F,6,0)</f>
        <v>#N/A</v>
      </c>
    </row>
    <row r="422" spans="1:4" hidden="1" x14ac:dyDescent="0.25">
      <c r="A422" s="5" t="s">
        <v>107</v>
      </c>
      <c r="B422" s="5" t="s">
        <v>108</v>
      </c>
      <c r="C422" s="7">
        <v>0</v>
      </c>
      <c r="D422">
        <f>VLOOKUP(A422,Ranking!A:F,6,0)</f>
        <v>1</v>
      </c>
    </row>
    <row r="423" spans="1:4" hidden="1" x14ac:dyDescent="0.25">
      <c r="A423" s="5" t="s">
        <v>505</v>
      </c>
      <c r="B423" s="5" t="s">
        <v>925</v>
      </c>
      <c r="C423" s="7">
        <v>0</v>
      </c>
      <c r="D423" t="e">
        <f>VLOOKUP(A423,Ranking!A:F,6,0)</f>
        <v>#N/A</v>
      </c>
    </row>
    <row r="424" spans="1:4" hidden="1" x14ac:dyDescent="0.25">
      <c r="A424" s="5" t="s">
        <v>506</v>
      </c>
      <c r="B424" s="5" t="s">
        <v>926</v>
      </c>
      <c r="C424" s="7">
        <v>0</v>
      </c>
      <c r="D424" t="e">
        <f>VLOOKUP(A424,Ranking!A:F,6,0)</f>
        <v>#N/A</v>
      </c>
    </row>
    <row r="425" spans="1:4" hidden="1" x14ac:dyDescent="0.25">
      <c r="A425" s="5" t="s">
        <v>56</v>
      </c>
      <c r="B425" s="5" t="s">
        <v>57</v>
      </c>
      <c r="C425" s="7">
        <v>0</v>
      </c>
      <c r="D425">
        <f>VLOOKUP(A425,Ranking!A:F,6,0)</f>
        <v>2</v>
      </c>
    </row>
    <row r="426" spans="1:4" x14ac:dyDescent="0.25">
      <c r="A426" s="5" t="s">
        <v>507</v>
      </c>
      <c r="B426" s="5" t="s">
        <v>927</v>
      </c>
      <c r="C426" s="7">
        <v>1</v>
      </c>
      <c r="D426" t="e">
        <f>VLOOKUP(A426,Ranking!A:F,6,0)</f>
        <v>#N/A</v>
      </c>
    </row>
    <row r="427" spans="1:4" x14ac:dyDescent="0.25">
      <c r="A427" s="5" t="s">
        <v>508</v>
      </c>
      <c r="B427" s="5" t="s">
        <v>928</v>
      </c>
      <c r="C427" s="7">
        <v>4</v>
      </c>
      <c r="D427" t="e">
        <f>VLOOKUP(A427,Ranking!A:F,6,0)</f>
        <v>#N/A</v>
      </c>
    </row>
    <row r="428" spans="1:4" x14ac:dyDescent="0.25">
      <c r="A428" s="5" t="s">
        <v>509</v>
      </c>
      <c r="B428" s="5" t="s">
        <v>929</v>
      </c>
      <c r="C428" s="7">
        <v>1</v>
      </c>
      <c r="D428" t="e">
        <f>VLOOKUP(A428,Ranking!A:F,6,0)</f>
        <v>#N/A</v>
      </c>
    </row>
    <row r="429" spans="1:4" x14ac:dyDescent="0.25">
      <c r="A429" s="5" t="s">
        <v>510</v>
      </c>
      <c r="B429" s="5" t="s">
        <v>930</v>
      </c>
      <c r="C429" s="7">
        <v>1</v>
      </c>
      <c r="D429" t="e">
        <f>VLOOKUP(A429,Ranking!A:F,6,0)</f>
        <v>#N/A</v>
      </c>
    </row>
    <row r="430" spans="1:4" x14ac:dyDescent="0.25">
      <c r="A430" s="5" t="s">
        <v>511</v>
      </c>
      <c r="B430" s="5" t="s">
        <v>931</v>
      </c>
      <c r="C430" s="7">
        <v>1</v>
      </c>
      <c r="D430" t="e">
        <f>VLOOKUP(A430,Ranking!A:F,6,0)</f>
        <v>#N/A</v>
      </c>
    </row>
    <row r="431" spans="1:4" x14ac:dyDescent="0.25">
      <c r="A431" s="5" t="s">
        <v>512</v>
      </c>
      <c r="B431" s="5" t="s">
        <v>932</v>
      </c>
      <c r="C431" s="7">
        <v>2</v>
      </c>
      <c r="D431" t="e">
        <f>VLOOKUP(A431,Ranking!A:F,6,0)</f>
        <v>#N/A</v>
      </c>
    </row>
    <row r="432" spans="1:4" x14ac:dyDescent="0.25">
      <c r="A432" s="5" t="s">
        <v>513</v>
      </c>
      <c r="B432" s="5" t="s">
        <v>933</v>
      </c>
      <c r="C432" s="7">
        <v>4</v>
      </c>
      <c r="D432" t="e">
        <f>VLOOKUP(A432,Ranking!A:F,6,0)</f>
        <v>#N/A</v>
      </c>
    </row>
    <row r="433" spans="1:4" x14ac:dyDescent="0.25">
      <c r="A433" s="5" t="s">
        <v>514</v>
      </c>
      <c r="B433" s="5" t="s">
        <v>934</v>
      </c>
      <c r="C433" s="7">
        <v>4</v>
      </c>
      <c r="D433" t="e">
        <f>VLOOKUP(A433,Ranking!A:F,6,0)</f>
        <v>#N/A</v>
      </c>
    </row>
    <row r="434" spans="1:4" x14ac:dyDescent="0.25">
      <c r="A434" s="5" t="s">
        <v>515</v>
      </c>
      <c r="B434" s="5" t="s">
        <v>935</v>
      </c>
      <c r="C434" s="7">
        <v>3</v>
      </c>
      <c r="D434" t="e">
        <f>VLOOKUP(A434,Ranking!A:F,6,0)</f>
        <v>#N/A</v>
      </c>
    </row>
    <row r="435" spans="1:4" x14ac:dyDescent="0.25">
      <c r="A435" s="5" t="s">
        <v>516</v>
      </c>
      <c r="B435" s="5" t="s">
        <v>936</v>
      </c>
      <c r="C435" s="7">
        <v>6</v>
      </c>
      <c r="D435" t="e">
        <f>VLOOKUP(A435,Ranking!A:F,6,0)</f>
        <v>#N/A</v>
      </c>
    </row>
    <row r="436" spans="1:4" x14ac:dyDescent="0.25">
      <c r="A436" s="5" t="s">
        <v>517</v>
      </c>
      <c r="B436" s="5" t="s">
        <v>937</v>
      </c>
      <c r="C436" s="7">
        <v>1</v>
      </c>
      <c r="D436" t="e">
        <f>VLOOKUP(A436,Ranking!A:F,6,0)</f>
        <v>#N/A</v>
      </c>
    </row>
    <row r="437" spans="1:4" x14ac:dyDescent="0.25">
      <c r="A437" s="5" t="s">
        <v>518</v>
      </c>
      <c r="B437" s="5" t="s">
        <v>938</v>
      </c>
      <c r="C437" s="7">
        <v>1</v>
      </c>
      <c r="D437" t="e">
        <f>VLOOKUP(A437,Ranking!A:F,6,0)</f>
        <v>#N/A</v>
      </c>
    </row>
    <row r="438" spans="1:4" x14ac:dyDescent="0.25">
      <c r="A438" s="5" t="s">
        <v>519</v>
      </c>
      <c r="B438" s="5" t="s">
        <v>939</v>
      </c>
      <c r="C438" s="7">
        <v>1</v>
      </c>
      <c r="D438" t="e">
        <f>VLOOKUP(A438,Ranking!A:F,6,0)</f>
        <v>#N/A</v>
      </c>
    </row>
    <row r="439" spans="1:4" x14ac:dyDescent="0.25">
      <c r="A439" s="5" t="s">
        <v>520</v>
      </c>
      <c r="B439" s="5" t="s">
        <v>940</v>
      </c>
      <c r="C439" s="7">
        <v>1</v>
      </c>
      <c r="D439" t="e">
        <f>VLOOKUP(A439,Ranking!A:F,6,0)</f>
        <v>#N/A</v>
      </c>
    </row>
    <row r="440" spans="1:4" x14ac:dyDescent="0.25">
      <c r="A440" s="5" t="s">
        <v>521</v>
      </c>
      <c r="B440" s="5" t="s">
        <v>941</v>
      </c>
      <c r="C440" s="7">
        <v>2</v>
      </c>
      <c r="D440" t="e">
        <f>VLOOKUP(A440,Ranking!A:F,6,0)</f>
        <v>#N/A</v>
      </c>
    </row>
    <row r="441" spans="1:4" x14ac:dyDescent="0.25">
      <c r="A441" s="5" t="s">
        <v>522</v>
      </c>
      <c r="B441" s="5" t="s">
        <v>942</v>
      </c>
      <c r="C441" s="7">
        <v>2</v>
      </c>
      <c r="D441" t="e">
        <f>VLOOKUP(A441,Ranking!A:F,6,0)</f>
        <v>#N/A</v>
      </c>
    </row>
    <row r="442" spans="1:4" hidden="1" x14ac:dyDescent="0.25">
      <c r="A442" s="5" t="s">
        <v>523</v>
      </c>
      <c r="B442" s="5" t="s">
        <v>943</v>
      </c>
      <c r="C442" s="7">
        <v>0</v>
      </c>
      <c r="D442" t="e">
        <f>VLOOKUP(A442,Ranking!A:F,6,0)</f>
        <v>#N/A</v>
      </c>
    </row>
    <row r="443" spans="1:4" x14ac:dyDescent="0.25">
      <c r="A443" s="5" t="s">
        <v>524</v>
      </c>
      <c r="B443" s="5" t="s">
        <v>944</v>
      </c>
      <c r="C443" s="7">
        <v>1</v>
      </c>
      <c r="D443" t="e">
        <f>VLOOKUP(A443,Ranking!A:F,6,0)</f>
        <v>#N/A</v>
      </c>
    </row>
    <row r="444" spans="1:4" hidden="1" x14ac:dyDescent="0.25">
      <c r="A444" s="5" t="s">
        <v>525</v>
      </c>
      <c r="B444" s="5" t="s">
        <v>945</v>
      </c>
      <c r="C444" s="7">
        <v>0</v>
      </c>
      <c r="D444" t="e">
        <f>VLOOKUP(A444,Ranking!A:F,6,0)</f>
        <v>#N/A</v>
      </c>
    </row>
    <row r="445" spans="1:4" hidden="1" x14ac:dyDescent="0.25">
      <c r="A445" s="5" t="s">
        <v>526</v>
      </c>
      <c r="B445" s="5" t="s">
        <v>946</v>
      </c>
      <c r="C445" s="7">
        <v>0</v>
      </c>
      <c r="D445" t="e">
        <f>VLOOKUP(A445,Ranking!A:F,6,0)</f>
        <v>#N/A</v>
      </c>
    </row>
    <row r="446" spans="1:4" x14ac:dyDescent="0.25">
      <c r="A446" s="5" t="s">
        <v>527</v>
      </c>
      <c r="B446" s="5" t="s">
        <v>947</v>
      </c>
      <c r="C446" s="7">
        <v>4</v>
      </c>
      <c r="D446" t="e">
        <f>VLOOKUP(A446,Ranking!A:F,6,0)</f>
        <v>#N/A</v>
      </c>
    </row>
    <row r="447" spans="1:4" x14ac:dyDescent="0.25">
      <c r="A447" s="5" t="s">
        <v>528</v>
      </c>
      <c r="B447" s="5" t="s">
        <v>948</v>
      </c>
      <c r="C447" s="7">
        <v>5</v>
      </c>
      <c r="D447" t="e">
        <f>VLOOKUP(A447,Ranking!A:F,6,0)</f>
        <v>#N/A</v>
      </c>
    </row>
    <row r="448" spans="1:4" x14ac:dyDescent="0.25">
      <c r="A448" s="5" t="s">
        <v>529</v>
      </c>
      <c r="B448" s="5" t="s">
        <v>949</v>
      </c>
      <c r="C448" s="7">
        <v>3</v>
      </c>
      <c r="D448" t="e">
        <f>VLOOKUP(A448,Ranking!A:F,6,0)</f>
        <v>#N/A</v>
      </c>
    </row>
    <row r="449" spans="1:4" x14ac:dyDescent="0.25">
      <c r="A449" s="5" t="s">
        <v>530</v>
      </c>
      <c r="B449" s="5" t="s">
        <v>950</v>
      </c>
      <c r="C449" s="7">
        <v>1</v>
      </c>
      <c r="D449" t="e">
        <f>VLOOKUP(A449,Ranking!A:F,6,0)</f>
        <v>#N/A</v>
      </c>
    </row>
    <row r="450" spans="1:4" x14ac:dyDescent="0.25">
      <c r="A450" s="5" t="s">
        <v>531</v>
      </c>
      <c r="B450" s="5" t="s">
        <v>951</v>
      </c>
      <c r="C450" s="7">
        <v>2</v>
      </c>
      <c r="D450" t="e">
        <f>VLOOKUP(A450,Ranking!A:F,6,0)</f>
        <v>#N/A</v>
      </c>
    </row>
    <row r="451" spans="1:4" x14ac:dyDescent="0.25">
      <c r="A451" s="5" t="s">
        <v>532</v>
      </c>
      <c r="B451" s="5" t="s">
        <v>952</v>
      </c>
      <c r="C451" s="7">
        <v>1</v>
      </c>
      <c r="D451" t="e">
        <f>VLOOKUP(A451,Ranking!A:F,6,0)</f>
        <v>#N/A</v>
      </c>
    </row>
    <row r="452" spans="1:4" x14ac:dyDescent="0.25">
      <c r="A452" s="5" t="s">
        <v>533</v>
      </c>
      <c r="B452" s="5" t="s">
        <v>953</v>
      </c>
      <c r="C452" s="7">
        <v>2</v>
      </c>
      <c r="D452" t="e">
        <f>VLOOKUP(A452,Ranking!A:F,6,0)</f>
        <v>#N/A</v>
      </c>
    </row>
    <row r="453" spans="1:4" x14ac:dyDescent="0.25">
      <c r="A453" s="5" t="s">
        <v>534</v>
      </c>
      <c r="B453" s="5" t="s">
        <v>954</v>
      </c>
      <c r="C453" s="7">
        <v>2</v>
      </c>
      <c r="D453" t="e">
        <f>VLOOKUP(A453,Ranking!A:F,6,0)</f>
        <v>#N/A</v>
      </c>
    </row>
    <row r="454" spans="1:4" x14ac:dyDescent="0.25">
      <c r="A454" s="5" t="s">
        <v>535</v>
      </c>
      <c r="B454" s="5" t="s">
        <v>955</v>
      </c>
      <c r="C454" s="7">
        <v>2</v>
      </c>
      <c r="D454" t="e">
        <f>VLOOKUP(A454,Ranking!A:F,6,0)</f>
        <v>#N/A</v>
      </c>
    </row>
    <row r="455" spans="1:4" x14ac:dyDescent="0.25">
      <c r="A455" s="5" t="s">
        <v>536</v>
      </c>
      <c r="B455" s="5" t="s">
        <v>956</v>
      </c>
      <c r="C455" s="7">
        <v>2</v>
      </c>
      <c r="D455" t="e">
        <f>VLOOKUP(A455,Ranking!A:F,6,0)</f>
        <v>#N/A</v>
      </c>
    </row>
    <row r="456" spans="1:4" x14ac:dyDescent="0.25">
      <c r="A456" s="5" t="s">
        <v>537</v>
      </c>
      <c r="B456" s="5" t="s">
        <v>957</v>
      </c>
      <c r="C456" s="7">
        <v>2</v>
      </c>
      <c r="D456" t="e">
        <f>VLOOKUP(A456,Ranking!A:F,6,0)</f>
        <v>#N/A</v>
      </c>
    </row>
    <row r="457" spans="1:4" x14ac:dyDescent="0.25">
      <c r="A457" s="5" t="s">
        <v>538</v>
      </c>
      <c r="B457" s="5" t="s">
        <v>958</v>
      </c>
      <c r="C457" s="7">
        <v>1</v>
      </c>
      <c r="D457" t="e">
        <f>VLOOKUP(A457,Ranking!A:F,6,0)</f>
        <v>#N/A</v>
      </c>
    </row>
    <row r="458" spans="1:4" hidden="1" x14ac:dyDescent="0.25">
      <c r="A458" s="5" t="s">
        <v>26</v>
      </c>
      <c r="B458" s="5" t="s">
        <v>27</v>
      </c>
      <c r="C458" s="7">
        <v>0</v>
      </c>
      <c r="D458">
        <f>VLOOKUP(A458,Ranking!A:F,6,0)</f>
        <v>4</v>
      </c>
    </row>
    <row r="459" spans="1:4" x14ac:dyDescent="0.25">
      <c r="A459" s="5" t="s">
        <v>539</v>
      </c>
      <c r="B459" s="5" t="s">
        <v>959</v>
      </c>
      <c r="C459" s="7">
        <v>7</v>
      </c>
      <c r="D459" t="e">
        <f>VLOOKUP(A459,Ranking!A:F,6,0)</f>
        <v>#N/A</v>
      </c>
    </row>
    <row r="460" spans="1:4" hidden="1" x14ac:dyDescent="0.25">
      <c r="A460" s="5" t="s">
        <v>540</v>
      </c>
      <c r="B460" s="5" t="s">
        <v>960</v>
      </c>
      <c r="C460" s="7">
        <v>0</v>
      </c>
      <c r="D460" t="e">
        <f>VLOOKUP(A460,Ranking!A:F,6,0)</f>
        <v>#N/A</v>
      </c>
    </row>
    <row r="461" spans="1:4" hidden="1" x14ac:dyDescent="0.25">
      <c r="A461" s="5" t="s">
        <v>541</v>
      </c>
      <c r="B461" s="5" t="s">
        <v>961</v>
      </c>
      <c r="C461" s="7">
        <v>0</v>
      </c>
      <c r="D461" t="e">
        <f>VLOOKUP(A461,Ranking!A:F,6,0)</f>
        <v>#N/A</v>
      </c>
    </row>
    <row r="462" spans="1:4" x14ac:dyDescent="0.25">
      <c r="A462" s="5" t="s">
        <v>542</v>
      </c>
      <c r="B462" s="5" t="s">
        <v>962</v>
      </c>
      <c r="C462" s="7">
        <v>1</v>
      </c>
      <c r="D462" t="e">
        <f>VLOOKUP(A462,Ranking!A:F,6,0)</f>
        <v>#N/A</v>
      </c>
    </row>
    <row r="463" spans="1:4" x14ac:dyDescent="0.25">
      <c r="A463" s="5" t="s">
        <v>543</v>
      </c>
      <c r="B463" s="5" t="s">
        <v>963</v>
      </c>
      <c r="C463" s="7">
        <v>6</v>
      </c>
      <c r="D463" t="e">
        <f>VLOOKUP(A463,Ranking!A:F,6,0)</f>
        <v>#N/A</v>
      </c>
    </row>
    <row r="464" spans="1:4" x14ac:dyDescent="0.25">
      <c r="A464" s="5" t="s">
        <v>544</v>
      </c>
      <c r="B464" s="5" t="s">
        <v>964</v>
      </c>
      <c r="C464" s="7">
        <v>2</v>
      </c>
      <c r="D464" t="e">
        <f>VLOOKUP(A464,Ranking!A:F,6,0)</f>
        <v>#N/A</v>
      </c>
    </row>
    <row r="465" spans="1:6" x14ac:dyDescent="0.25">
      <c r="A465" s="5" t="s">
        <v>545</v>
      </c>
      <c r="B465" s="5" t="s">
        <v>965</v>
      </c>
      <c r="C465" s="7">
        <v>1</v>
      </c>
      <c r="D465" t="e">
        <f>VLOOKUP(A465,Ranking!A:F,6,0)</f>
        <v>#N/A</v>
      </c>
    </row>
    <row r="466" spans="1:6" x14ac:dyDescent="0.25">
      <c r="A466" s="5" t="s">
        <v>546</v>
      </c>
      <c r="B466" s="5" t="s">
        <v>966</v>
      </c>
      <c r="C466" s="7">
        <v>3</v>
      </c>
      <c r="D466" t="e">
        <f>VLOOKUP(A466,Ranking!A:F,6,0)</f>
        <v>#N/A</v>
      </c>
    </row>
    <row r="467" spans="1:6" x14ac:dyDescent="0.25">
      <c r="A467" s="5" t="s">
        <v>547</v>
      </c>
      <c r="B467" s="5" t="s">
        <v>967</v>
      </c>
      <c r="C467" s="7">
        <v>1</v>
      </c>
      <c r="D467" t="e">
        <f>VLOOKUP(A467,Ranking!A:F,6,0)</f>
        <v>#N/A</v>
      </c>
    </row>
    <row r="468" spans="1:6" x14ac:dyDescent="0.25">
      <c r="A468" s="5" t="s">
        <v>548</v>
      </c>
      <c r="B468" s="5" t="s">
        <v>968</v>
      </c>
      <c r="C468" s="7">
        <v>3</v>
      </c>
      <c r="D468" t="e">
        <f>VLOOKUP(A468,Ranking!A:F,6,0)</f>
        <v>#N/A</v>
      </c>
    </row>
    <row r="469" spans="1:6" x14ac:dyDescent="0.25">
      <c r="A469" s="5" t="s">
        <v>549</v>
      </c>
      <c r="B469" s="5" t="s">
        <v>969</v>
      </c>
      <c r="C469" s="7">
        <v>6</v>
      </c>
      <c r="D469" t="e">
        <f>VLOOKUP(A469,Ranking!A:F,6,0)</f>
        <v>#N/A</v>
      </c>
    </row>
    <row r="470" spans="1:6" x14ac:dyDescent="0.25">
      <c r="A470" s="5" t="s">
        <v>550</v>
      </c>
      <c r="B470" s="5" t="s">
        <v>970</v>
      </c>
      <c r="C470" s="7">
        <v>3</v>
      </c>
      <c r="D470" t="e">
        <f>VLOOKUP(A470,Ranking!A:F,6,0)</f>
        <v>#N/A</v>
      </c>
    </row>
    <row r="471" spans="1:6" hidden="1" x14ac:dyDescent="0.25">
      <c r="A471" s="5" t="s">
        <v>551</v>
      </c>
      <c r="B471" s="5" t="s">
        <v>971</v>
      </c>
      <c r="C471" s="7">
        <v>0</v>
      </c>
      <c r="D471" t="e">
        <f>VLOOKUP(A471,Ranking!A:F,6,0)</f>
        <v>#N/A</v>
      </c>
    </row>
    <row r="472" spans="1:6" x14ac:dyDescent="0.25">
      <c r="A472" s="5" t="s">
        <v>552</v>
      </c>
      <c r="B472" s="5" t="s">
        <v>972</v>
      </c>
      <c r="C472" s="7">
        <v>2</v>
      </c>
      <c r="D472" t="e">
        <f>VLOOKUP(A472,Ranking!A:F,6,0)</f>
        <v>#N/A</v>
      </c>
    </row>
    <row r="473" spans="1:6" x14ac:dyDescent="0.25">
      <c r="A473" s="5" t="s">
        <v>553</v>
      </c>
      <c r="B473" s="5" t="s">
        <v>973</v>
      </c>
      <c r="C473" s="7">
        <v>1</v>
      </c>
      <c r="D473" t="e">
        <f>VLOOKUP(A473,Ranking!A:F,6,0)</f>
        <v>#N/A</v>
      </c>
    </row>
    <row r="474" spans="1:6" x14ac:dyDescent="0.25">
      <c r="A474" s="5" t="s">
        <v>554</v>
      </c>
      <c r="B474" s="5" t="s">
        <v>974</v>
      </c>
      <c r="C474" s="7">
        <v>1</v>
      </c>
      <c r="D474" t="e">
        <f>VLOOKUP(A474,Ranking!A:F,6,0)</f>
        <v>#N/A</v>
      </c>
    </row>
    <row r="475" spans="1:6" x14ac:dyDescent="0.25">
      <c r="A475" s="5" t="s">
        <v>555</v>
      </c>
      <c r="B475" s="5" t="s">
        <v>975</v>
      </c>
      <c r="C475" s="7">
        <v>5</v>
      </c>
      <c r="D475" t="e">
        <f>VLOOKUP(A475,Ranking!A:F,6,0)</f>
        <v>#N/A</v>
      </c>
    </row>
    <row r="476" spans="1:6" hidden="1" x14ac:dyDescent="0.25">
      <c r="A476" s="5" t="s">
        <v>556</v>
      </c>
      <c r="B476" s="5" t="s">
        <v>976</v>
      </c>
      <c r="C476" s="7">
        <v>0</v>
      </c>
      <c r="D476" t="e">
        <f>VLOOKUP(A476,Ranking!A:F,6,0)</f>
        <v>#N/A</v>
      </c>
    </row>
    <row r="477" spans="1:6" x14ac:dyDescent="0.25">
      <c r="A477" s="5" t="s">
        <v>557</v>
      </c>
      <c r="B477" s="5" t="s">
        <v>977</v>
      </c>
      <c r="C477" s="7">
        <v>2</v>
      </c>
      <c r="D477" t="e">
        <f>VLOOKUP(A477,Ranking!A:F,6,0)</f>
        <v>#N/A</v>
      </c>
    </row>
    <row r="478" spans="1:6" hidden="1" x14ac:dyDescent="0.25">
      <c r="A478" s="5" t="s">
        <v>558</v>
      </c>
      <c r="B478" s="5" t="s">
        <v>978</v>
      </c>
      <c r="C478" s="7">
        <v>0</v>
      </c>
      <c r="D478" t="e">
        <f>VLOOKUP(A478,Ranking!A:F,6,0)</f>
        <v>#N/A</v>
      </c>
    </row>
    <row r="479" spans="1:6" x14ac:dyDescent="0.25">
      <c r="A479" s="5" t="s">
        <v>559</v>
      </c>
      <c r="B479" s="5" t="s">
        <v>979</v>
      </c>
      <c r="C479" s="7">
        <v>3</v>
      </c>
      <c r="D479" t="e">
        <f>VLOOKUP(A479,Ranking!A:F,6,0)</f>
        <v>#N/A</v>
      </c>
    </row>
    <row r="480" spans="1:6" hidden="1" x14ac:dyDescent="0.25">
      <c r="A480" s="5" t="s">
        <v>70</v>
      </c>
      <c r="B480" s="5" t="s">
        <v>71</v>
      </c>
      <c r="C480" s="7">
        <v>2</v>
      </c>
      <c r="D480">
        <f>VLOOKUP(A480,Ranking!A:F,6,0)</f>
        <v>2</v>
      </c>
      <c r="E480">
        <f>VLOOKUP(A480,[1]Sheet!$C:$G,5,0)</f>
        <v>15.22</v>
      </c>
      <c r="F480" s="1">
        <f>+E480*C480</f>
        <v>30.44</v>
      </c>
    </row>
    <row r="481" spans="1:6" hidden="1" x14ac:dyDescent="0.25">
      <c r="A481" s="5" t="s">
        <v>64</v>
      </c>
      <c r="B481" s="5" t="s">
        <v>65</v>
      </c>
      <c r="C481" s="7">
        <v>0</v>
      </c>
      <c r="D481">
        <f>VLOOKUP(A481,Ranking!A:F,6,0)</f>
        <v>2</v>
      </c>
    </row>
    <row r="482" spans="1:6" hidden="1" x14ac:dyDescent="0.25">
      <c r="A482" s="5" t="s">
        <v>87</v>
      </c>
      <c r="B482" s="5" t="s">
        <v>88</v>
      </c>
      <c r="C482" s="7">
        <v>2</v>
      </c>
      <c r="D482">
        <f>VLOOKUP(A482,Ranking!A:F,6,0)</f>
        <v>1</v>
      </c>
      <c r="E482">
        <f>VLOOKUP(A482,[1]Sheet!$C:$G,5,0)</f>
        <v>14.58</v>
      </c>
      <c r="F482" s="1">
        <f>+E482*C482</f>
        <v>29.16</v>
      </c>
    </row>
    <row r="483" spans="1:6" hidden="1" x14ac:dyDescent="0.25">
      <c r="A483" s="5" t="s">
        <v>560</v>
      </c>
      <c r="B483" s="5" t="s">
        <v>980</v>
      </c>
      <c r="C483" s="7">
        <v>0</v>
      </c>
      <c r="D483" t="e">
        <f>VLOOKUP(A483,Ranking!A:F,6,0)</f>
        <v>#N/A</v>
      </c>
    </row>
    <row r="484" spans="1:6" x14ac:dyDescent="0.25">
      <c r="A484" s="5" t="s">
        <v>561</v>
      </c>
      <c r="B484" s="5" t="s">
        <v>981</v>
      </c>
      <c r="C484" s="7">
        <v>2</v>
      </c>
      <c r="D484" t="e">
        <f>VLOOKUP(A484,Ranking!A:F,6,0)</f>
        <v>#N/A</v>
      </c>
    </row>
    <row r="485" spans="1:6" x14ac:dyDescent="0.25">
      <c r="A485" s="5" t="s">
        <v>562</v>
      </c>
      <c r="B485" s="5" t="s">
        <v>982</v>
      </c>
      <c r="C485" s="7">
        <v>2</v>
      </c>
      <c r="D485" t="e">
        <f>VLOOKUP(A485,Ranking!A:F,6,0)</f>
        <v>#N/A</v>
      </c>
    </row>
    <row r="486" spans="1:6" x14ac:dyDescent="0.25">
      <c r="A486" s="5" t="s">
        <v>563</v>
      </c>
      <c r="B486" s="5" t="s">
        <v>983</v>
      </c>
      <c r="C486" s="7">
        <v>2</v>
      </c>
      <c r="D486" t="e">
        <f>VLOOKUP(A486,Ranking!A:F,6,0)</f>
        <v>#N/A</v>
      </c>
    </row>
    <row r="487" spans="1:6" x14ac:dyDescent="0.25">
      <c r="A487" s="5" t="s">
        <v>564</v>
      </c>
      <c r="B487" s="5" t="s">
        <v>984</v>
      </c>
      <c r="C487" s="7">
        <v>2</v>
      </c>
      <c r="D487" t="e">
        <f>VLOOKUP(A487,Ranking!A:F,6,0)</f>
        <v>#N/A</v>
      </c>
    </row>
    <row r="488" spans="1:6" ht="15.75" hidden="1" thickBot="1" x14ac:dyDescent="0.3">
      <c r="A488" s="6"/>
      <c r="B488" s="4" t="s">
        <v>985</v>
      </c>
      <c r="C488" s="8"/>
    </row>
    <row r="489" spans="1:6" hidden="1" x14ac:dyDescent="0.25">
      <c r="B489" s="5" t="s">
        <v>986</v>
      </c>
    </row>
    <row r="490" spans="1:6" hidden="1" x14ac:dyDescent="0.25">
      <c r="B490" s="5" t="s">
        <v>987</v>
      </c>
    </row>
    <row r="491" spans="1:6" hidden="1" x14ac:dyDescent="0.25">
      <c r="B491" s="5" t="s">
        <v>988</v>
      </c>
    </row>
    <row r="492" spans="1:6" hidden="1" x14ac:dyDescent="0.25">
      <c r="B492" s="5" t="s">
        <v>989</v>
      </c>
    </row>
    <row r="493" spans="1:6" hidden="1" x14ac:dyDescent="0.25">
      <c r="B493" s="5" t="s">
        <v>990</v>
      </c>
    </row>
  </sheetData>
  <autoFilter ref="A2:D493" xr:uid="{DAC01AE3-F196-431D-A799-F7F734EF81AA}">
    <filterColumn colId="2">
      <filters>
        <filter val="1.00"/>
        <filter val="10.00"/>
        <filter val="11.00"/>
        <filter val="16.00"/>
        <filter val="2.00"/>
        <filter val="3.00"/>
        <filter val="34.00"/>
        <filter val="38.00"/>
        <filter val="4.00"/>
        <filter val="5.00"/>
        <filter val="6.00"/>
        <filter val="7.00"/>
        <filter val="9.00"/>
      </filters>
    </filterColumn>
    <filterColumn colId="3">
      <filters>
        <filter val="#N/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7799-EB04-4D72-9BC1-8E058475034F}">
  <dimension ref="A1:R486"/>
  <sheetViews>
    <sheetView tabSelected="1" workbookViewId="0">
      <selection activeCell="B8" sqref="B8"/>
    </sheetView>
  </sheetViews>
  <sheetFormatPr baseColWidth="10" defaultRowHeight="15" x14ac:dyDescent="0.25"/>
  <cols>
    <col min="2" max="2" width="53.42578125" customWidth="1"/>
    <col min="3" max="3" width="8" customWidth="1"/>
    <col min="4" max="4" width="11.42578125" customWidth="1"/>
    <col min="5" max="5" width="5.28515625" customWidth="1"/>
    <col min="6" max="7" width="11.42578125" customWidth="1"/>
    <col min="8" max="8" width="11.42578125" style="11" customWidth="1"/>
    <col min="9" max="9" width="20.85546875" style="11" customWidth="1"/>
    <col min="10" max="10" width="11.42578125" customWidth="1"/>
    <col min="11" max="12" width="11.42578125" style="13" customWidth="1"/>
    <col min="13" max="13" width="11.42578125" style="1" customWidth="1"/>
    <col min="15" max="15" width="17.5703125" hidden="1" customWidth="1"/>
    <col min="16" max="16" width="13.7109375" style="13" hidden="1" customWidth="1"/>
    <col min="17" max="18" width="0" hidden="1" customWidth="1"/>
  </cols>
  <sheetData>
    <row r="1" spans="1:16" ht="15.75" thickBot="1" x14ac:dyDescent="0.3">
      <c r="A1" s="4" t="s">
        <v>146</v>
      </c>
      <c r="B1" s="4" t="s">
        <v>566</v>
      </c>
      <c r="C1" s="4" t="s">
        <v>1028</v>
      </c>
      <c r="D1" s="4" t="s">
        <v>991</v>
      </c>
      <c r="E1" s="4" t="s">
        <v>992</v>
      </c>
      <c r="F1" s="4" t="s">
        <v>565</v>
      </c>
      <c r="G1" s="21" t="s">
        <v>1029</v>
      </c>
      <c r="H1" s="22" t="s">
        <v>1030</v>
      </c>
      <c r="I1" s="22" t="s">
        <v>1036</v>
      </c>
      <c r="J1" s="21" t="s">
        <v>1037</v>
      </c>
      <c r="K1" s="23" t="s">
        <v>1031</v>
      </c>
      <c r="L1" s="12" t="s">
        <v>1044</v>
      </c>
      <c r="M1" s="20"/>
    </row>
    <row r="2" spans="1:16" x14ac:dyDescent="0.25">
      <c r="A2" s="5" t="s">
        <v>147</v>
      </c>
      <c r="B2" s="5" t="s">
        <v>567</v>
      </c>
      <c r="C2" s="5">
        <f>VLOOKUP(A2,[2]Hoja2!$A:$F,6,0)</f>
        <v>9.1</v>
      </c>
      <c r="D2" s="5">
        <v>7.92</v>
      </c>
      <c r="E2" s="5" t="s">
        <v>993</v>
      </c>
      <c r="F2" s="7">
        <v>2</v>
      </c>
      <c r="H2" s="11">
        <v>2</v>
      </c>
      <c r="I2" s="19">
        <f>+F2-G2-H2</f>
        <v>0</v>
      </c>
      <c r="J2" s="10">
        <f>+F2-G2-H2-I2</f>
        <v>0</v>
      </c>
      <c r="K2">
        <f>+H2*D2</f>
        <v>15.84</v>
      </c>
      <c r="L2" t="s">
        <v>1042</v>
      </c>
      <c r="M2" s="1" t="s">
        <v>1038</v>
      </c>
      <c r="N2" s="1"/>
    </row>
    <row r="3" spans="1:16" x14ac:dyDescent="0.25">
      <c r="A3" s="5" t="s">
        <v>109</v>
      </c>
      <c r="B3" s="5" t="s">
        <v>110</v>
      </c>
      <c r="C3" s="5"/>
      <c r="D3" s="5">
        <v>7.92</v>
      </c>
      <c r="E3" s="5" t="s">
        <v>993</v>
      </c>
      <c r="F3" s="7">
        <v>0</v>
      </c>
      <c r="J3" s="10">
        <f t="shared" ref="J3:J66" si="0">+F3-G3-H3-I3</f>
        <v>0</v>
      </c>
      <c r="K3"/>
      <c r="L3"/>
      <c r="N3" s="1"/>
      <c r="O3" s="14" t="s">
        <v>1032</v>
      </c>
      <c r="P3" t="s">
        <v>1035</v>
      </c>
    </row>
    <row r="4" spans="1:16" x14ac:dyDescent="0.25">
      <c r="A4" s="5" t="s">
        <v>148</v>
      </c>
      <c r="B4" s="5" t="s">
        <v>568</v>
      </c>
      <c r="C4" s="5"/>
      <c r="D4" s="5">
        <v>7.92</v>
      </c>
      <c r="E4" s="5" t="s">
        <v>993</v>
      </c>
      <c r="F4" s="7">
        <v>0</v>
      </c>
      <c r="J4" s="10">
        <f t="shared" si="0"/>
        <v>0</v>
      </c>
      <c r="K4"/>
      <c r="L4"/>
      <c r="N4" s="1"/>
      <c r="O4" s="15" t="s">
        <v>993</v>
      </c>
      <c r="P4" s="16">
        <v>63.36</v>
      </c>
    </row>
    <row r="5" spans="1:16" x14ac:dyDescent="0.25">
      <c r="A5" s="5" t="s">
        <v>149</v>
      </c>
      <c r="B5" s="5" t="s">
        <v>569</v>
      </c>
      <c r="C5" s="5">
        <f>VLOOKUP(A5,[2]Hoja2!$A:$F,6,0)</f>
        <v>9.1</v>
      </c>
      <c r="D5" s="5">
        <v>7.92</v>
      </c>
      <c r="E5" s="5" t="s">
        <v>993</v>
      </c>
      <c r="F5" s="7">
        <v>2</v>
      </c>
      <c r="H5" s="11">
        <v>2</v>
      </c>
      <c r="I5" s="19">
        <f t="shared" ref="I5:I7" si="1">+F5-G5-H5</f>
        <v>0</v>
      </c>
      <c r="J5" s="10">
        <f t="shared" si="0"/>
        <v>0</v>
      </c>
      <c r="K5">
        <f t="shared" ref="K5:K7" si="2">+H5*D5</f>
        <v>15.84</v>
      </c>
      <c r="L5" t="s">
        <v>1042</v>
      </c>
      <c r="M5" s="1" t="s">
        <v>1039</v>
      </c>
      <c r="N5" s="1"/>
      <c r="O5" s="15" t="s">
        <v>994</v>
      </c>
      <c r="P5" s="16">
        <v>160.94999999999999</v>
      </c>
    </row>
    <row r="6" spans="1:16" x14ac:dyDescent="0.25">
      <c r="A6" s="5" t="s">
        <v>111</v>
      </c>
      <c r="B6" s="5" t="s">
        <v>112</v>
      </c>
      <c r="C6" s="5">
        <f>VLOOKUP(A6,[2]Hoja2!$A:$F,6,0)</f>
        <v>9.1</v>
      </c>
      <c r="D6" s="5">
        <v>7.92</v>
      </c>
      <c r="E6" s="5" t="s">
        <v>993</v>
      </c>
      <c r="F6" s="7">
        <v>1</v>
      </c>
      <c r="H6" s="11">
        <v>1</v>
      </c>
      <c r="I6" s="19">
        <f t="shared" si="1"/>
        <v>0</v>
      </c>
      <c r="J6" s="10">
        <f t="shared" si="0"/>
        <v>0</v>
      </c>
      <c r="K6">
        <f t="shared" si="2"/>
        <v>7.92</v>
      </c>
      <c r="L6" t="s">
        <v>1042</v>
      </c>
      <c r="M6" s="1" t="s">
        <v>1045</v>
      </c>
      <c r="N6" s="1"/>
      <c r="O6" s="15" t="s">
        <v>995</v>
      </c>
      <c r="P6" s="16">
        <v>47.8</v>
      </c>
    </row>
    <row r="7" spans="1:16" x14ac:dyDescent="0.25">
      <c r="A7" s="5" t="s">
        <v>150</v>
      </c>
      <c r="B7" s="5" t="s">
        <v>570</v>
      </c>
      <c r="C7" s="5">
        <f>VLOOKUP(A7,[2]Hoja2!$A:$F,6,0)</f>
        <v>9.1</v>
      </c>
      <c r="D7" s="5">
        <v>7.92</v>
      </c>
      <c r="E7" s="5" t="s">
        <v>993</v>
      </c>
      <c r="F7" s="7">
        <v>3</v>
      </c>
      <c r="H7" s="11">
        <v>3</v>
      </c>
      <c r="I7" s="19">
        <f t="shared" si="1"/>
        <v>0</v>
      </c>
      <c r="J7" s="10">
        <f t="shared" si="0"/>
        <v>0</v>
      </c>
      <c r="K7">
        <f t="shared" si="2"/>
        <v>23.759999999999998</v>
      </c>
      <c r="L7" t="s">
        <v>1042</v>
      </c>
      <c r="N7" s="1"/>
      <c r="O7" s="15" t="s">
        <v>996</v>
      </c>
      <c r="P7" s="16">
        <v>15.299999999999999</v>
      </c>
    </row>
    <row r="8" spans="1:16" x14ac:dyDescent="0.25">
      <c r="A8" s="5" t="s">
        <v>151</v>
      </c>
      <c r="B8" s="5" t="s">
        <v>571</v>
      </c>
      <c r="C8" s="5"/>
      <c r="D8" s="5">
        <v>7.92</v>
      </c>
      <c r="E8" s="5" t="s">
        <v>993</v>
      </c>
      <c r="F8" s="7">
        <v>0</v>
      </c>
      <c r="J8" s="10">
        <f t="shared" si="0"/>
        <v>0</v>
      </c>
      <c r="K8"/>
      <c r="L8"/>
      <c r="N8" s="1"/>
      <c r="O8" s="15" t="s">
        <v>997</v>
      </c>
      <c r="P8" s="16">
        <v>10</v>
      </c>
    </row>
    <row r="9" spans="1:16" x14ac:dyDescent="0.25">
      <c r="A9" s="5" t="s">
        <v>152</v>
      </c>
      <c r="B9" s="5" t="s">
        <v>572</v>
      </c>
      <c r="C9" s="5"/>
      <c r="D9" s="5">
        <v>7.92</v>
      </c>
      <c r="E9" s="5" t="s">
        <v>993</v>
      </c>
      <c r="F9" s="7">
        <v>0</v>
      </c>
      <c r="J9" s="10">
        <f t="shared" si="0"/>
        <v>0</v>
      </c>
      <c r="K9"/>
      <c r="L9"/>
      <c r="N9" s="1"/>
      <c r="O9" s="15" t="s">
        <v>998</v>
      </c>
      <c r="P9" s="16">
        <v>268.14999999999998</v>
      </c>
    </row>
    <row r="10" spans="1:16" x14ac:dyDescent="0.25">
      <c r="A10" s="5" t="s">
        <v>89</v>
      </c>
      <c r="B10" s="5" t="s">
        <v>90</v>
      </c>
      <c r="C10" s="5">
        <f>VLOOKUP(A10,[2]Hoja3!$D:$P,13,0)</f>
        <v>55.1</v>
      </c>
      <c r="D10" s="5">
        <v>44</v>
      </c>
      <c r="E10" s="5" t="s">
        <v>994</v>
      </c>
      <c r="F10" s="7">
        <v>4</v>
      </c>
      <c r="H10" s="11">
        <v>1</v>
      </c>
      <c r="I10" s="19">
        <f t="shared" ref="I10:I12" si="3">+F10-G10-H10</f>
        <v>3</v>
      </c>
      <c r="J10" s="10">
        <f t="shared" si="0"/>
        <v>0</v>
      </c>
      <c r="K10">
        <f t="shared" ref="K10:K12" si="4">+H10*D10</f>
        <v>44</v>
      </c>
      <c r="L10" t="s">
        <v>1042</v>
      </c>
      <c r="M10" s="1" t="s">
        <v>1040</v>
      </c>
      <c r="N10" s="1"/>
      <c r="O10" s="15" t="s">
        <v>999</v>
      </c>
      <c r="P10" s="16">
        <v>151.25</v>
      </c>
    </row>
    <row r="11" spans="1:16" x14ac:dyDescent="0.25">
      <c r="A11" s="5" t="s">
        <v>72</v>
      </c>
      <c r="B11" s="5" t="s">
        <v>73</v>
      </c>
      <c r="C11" s="5">
        <f>VLOOKUP(A11,[2]Hoja3!$D:$P,13,0)</f>
        <v>12.3</v>
      </c>
      <c r="D11" s="5">
        <v>9.5</v>
      </c>
      <c r="E11" s="5" t="s">
        <v>994</v>
      </c>
      <c r="F11" s="7">
        <v>6</v>
      </c>
      <c r="H11" s="11">
        <v>1</v>
      </c>
      <c r="I11" s="19">
        <f t="shared" si="3"/>
        <v>5</v>
      </c>
      <c r="J11" s="10">
        <f t="shared" si="0"/>
        <v>0</v>
      </c>
      <c r="K11">
        <f t="shared" si="4"/>
        <v>9.5</v>
      </c>
      <c r="L11" t="s">
        <v>1042</v>
      </c>
      <c r="M11" s="1" t="s">
        <v>1040</v>
      </c>
      <c r="N11" s="1"/>
      <c r="O11" s="15" t="s">
        <v>1000</v>
      </c>
      <c r="P11" s="16">
        <v>26</v>
      </c>
    </row>
    <row r="12" spans="1:16" x14ac:dyDescent="0.25">
      <c r="A12" s="5" t="s">
        <v>68</v>
      </c>
      <c r="B12" s="5" t="s">
        <v>69</v>
      </c>
      <c r="C12" s="5">
        <f>VLOOKUP(A12,[2]Hoja3!$D:$P,13,0)</f>
        <v>28.15</v>
      </c>
      <c r="D12" s="5">
        <v>22</v>
      </c>
      <c r="E12" s="5" t="s">
        <v>994</v>
      </c>
      <c r="F12" s="7">
        <v>4</v>
      </c>
      <c r="H12" s="11">
        <v>1</v>
      </c>
      <c r="I12" s="19">
        <f t="shared" si="3"/>
        <v>3</v>
      </c>
      <c r="J12" s="10">
        <f t="shared" si="0"/>
        <v>0</v>
      </c>
      <c r="K12">
        <f t="shared" si="4"/>
        <v>22</v>
      </c>
      <c r="L12" t="s">
        <v>1042</v>
      </c>
      <c r="M12" s="1" t="s">
        <v>1040</v>
      </c>
      <c r="N12" s="1"/>
      <c r="O12" s="15" t="s">
        <v>1001</v>
      </c>
      <c r="P12" s="16">
        <v>0</v>
      </c>
    </row>
    <row r="13" spans="1:16" x14ac:dyDescent="0.25">
      <c r="A13" s="5" t="s">
        <v>153</v>
      </c>
      <c r="B13" s="5" t="s">
        <v>573</v>
      </c>
      <c r="C13" s="5"/>
      <c r="D13" s="5">
        <v>13.5</v>
      </c>
      <c r="E13" s="5" t="s">
        <v>994</v>
      </c>
      <c r="F13" s="7">
        <v>0</v>
      </c>
      <c r="G13">
        <v>0</v>
      </c>
      <c r="I13"/>
      <c r="J13" s="10">
        <f t="shared" si="0"/>
        <v>0</v>
      </c>
      <c r="K13"/>
      <c r="L13"/>
      <c r="N13" s="1"/>
      <c r="O13" s="15" t="s">
        <v>1002</v>
      </c>
      <c r="P13" s="16">
        <v>0</v>
      </c>
    </row>
    <row r="14" spans="1:16" x14ac:dyDescent="0.25">
      <c r="A14" s="5" t="s">
        <v>154</v>
      </c>
      <c r="B14" s="5" t="s">
        <v>574</v>
      </c>
      <c r="C14" s="5">
        <f>VLOOKUP(A14,[2]Hoja3!$D:$P,13,0)</f>
        <v>82.8</v>
      </c>
      <c r="D14" s="5">
        <v>72.45</v>
      </c>
      <c r="E14" s="5" t="s">
        <v>994</v>
      </c>
      <c r="F14" s="7">
        <v>1</v>
      </c>
      <c r="H14" s="11">
        <v>1</v>
      </c>
      <c r="I14" s="19">
        <f t="shared" ref="I14:I15" si="5">+F14-G14-H14</f>
        <v>0</v>
      </c>
      <c r="J14" s="10">
        <f t="shared" si="0"/>
        <v>0</v>
      </c>
      <c r="K14">
        <f t="shared" ref="K14:K15" si="6">+H14*D14</f>
        <v>72.45</v>
      </c>
      <c r="L14" t="s">
        <v>1042</v>
      </c>
      <c r="N14" s="1"/>
      <c r="O14" s="15" t="s">
        <v>1003</v>
      </c>
      <c r="P14" s="16">
        <v>4.8000000000000007</v>
      </c>
    </row>
    <row r="15" spans="1:16" x14ac:dyDescent="0.25">
      <c r="A15" s="5" t="s">
        <v>66</v>
      </c>
      <c r="B15" s="5" t="s">
        <v>67</v>
      </c>
      <c r="C15" s="5">
        <f>VLOOKUP(A15,[2]Hoja3!$D:$P,13,0)</f>
        <v>17</v>
      </c>
      <c r="D15" s="5">
        <v>13</v>
      </c>
      <c r="E15" s="5" t="s">
        <v>994</v>
      </c>
      <c r="F15" s="7">
        <v>2</v>
      </c>
      <c r="H15" s="11">
        <v>1</v>
      </c>
      <c r="I15" s="19">
        <f t="shared" si="5"/>
        <v>1</v>
      </c>
      <c r="J15" s="10">
        <f t="shared" si="0"/>
        <v>0</v>
      </c>
      <c r="K15">
        <f t="shared" si="6"/>
        <v>13</v>
      </c>
      <c r="L15" t="s">
        <v>1042</v>
      </c>
      <c r="M15" s="1" t="s">
        <v>1041</v>
      </c>
      <c r="N15" s="1"/>
      <c r="O15" s="15" t="s">
        <v>1004</v>
      </c>
      <c r="P15" s="16">
        <v>11.65</v>
      </c>
    </row>
    <row r="16" spans="1:16" x14ac:dyDescent="0.25">
      <c r="A16" s="5" t="s">
        <v>155</v>
      </c>
      <c r="B16" s="5" t="s">
        <v>575</v>
      </c>
      <c r="C16" s="5"/>
      <c r="D16" s="5">
        <v>8.73</v>
      </c>
      <c r="E16" s="5" t="s">
        <v>995</v>
      </c>
      <c r="F16" s="7">
        <v>0</v>
      </c>
      <c r="G16">
        <v>0</v>
      </c>
      <c r="I16"/>
      <c r="J16" s="10">
        <f t="shared" si="0"/>
        <v>0</v>
      </c>
      <c r="K16"/>
      <c r="L16"/>
      <c r="N16" s="1"/>
      <c r="O16" s="15" t="s">
        <v>1005</v>
      </c>
      <c r="P16" s="16">
        <v>52</v>
      </c>
    </row>
    <row r="17" spans="1:16" x14ac:dyDescent="0.25">
      <c r="A17" s="5" t="s">
        <v>156</v>
      </c>
      <c r="B17" s="5" t="s">
        <v>576</v>
      </c>
      <c r="C17" s="5"/>
      <c r="D17" s="5">
        <v>27.3</v>
      </c>
      <c r="E17" s="5" t="s">
        <v>995</v>
      </c>
      <c r="F17" s="7">
        <v>0</v>
      </c>
      <c r="G17">
        <v>0</v>
      </c>
      <c r="I17"/>
      <c r="J17" s="10">
        <f t="shared" si="0"/>
        <v>0</v>
      </c>
      <c r="K17"/>
      <c r="L17"/>
      <c r="N17" s="1"/>
      <c r="O17" s="15" t="s">
        <v>1006</v>
      </c>
      <c r="P17" s="16"/>
    </row>
    <row r="18" spans="1:16" x14ac:dyDescent="0.25">
      <c r="A18" s="5" t="s">
        <v>157</v>
      </c>
      <c r="B18" s="5" t="s">
        <v>577</v>
      </c>
      <c r="C18" s="5">
        <f>VLOOKUP(A18,[2]Hoja2!$A:$F,6,0)</f>
        <v>23.55</v>
      </c>
      <c r="D18" s="5">
        <v>19.3</v>
      </c>
      <c r="E18" s="5" t="s">
        <v>995</v>
      </c>
      <c r="F18" s="7">
        <v>2</v>
      </c>
      <c r="H18" s="18">
        <v>1</v>
      </c>
      <c r="I18" s="19">
        <f>+F18-G18-H18</f>
        <v>1</v>
      </c>
      <c r="J18" s="10">
        <f t="shared" si="0"/>
        <v>0</v>
      </c>
      <c r="K18">
        <f>+H18*D18</f>
        <v>19.3</v>
      </c>
      <c r="L18" t="s">
        <v>1042</v>
      </c>
      <c r="N18" s="1"/>
      <c r="O18" s="15" t="s">
        <v>1007</v>
      </c>
      <c r="P18" s="16">
        <v>406.97</v>
      </c>
    </row>
    <row r="19" spans="1:16" x14ac:dyDescent="0.25">
      <c r="A19" s="5" t="s">
        <v>158</v>
      </c>
      <c r="B19" s="5" t="s">
        <v>578</v>
      </c>
      <c r="C19" s="5">
        <f>VLOOKUP(A19,[2]Hoja2!$A:$F,6,0)</f>
        <v>12.86</v>
      </c>
      <c r="D19" s="5">
        <v>11.09</v>
      </c>
      <c r="E19" s="5" t="s">
        <v>995</v>
      </c>
      <c r="F19" s="7">
        <v>1</v>
      </c>
      <c r="G19">
        <v>1</v>
      </c>
      <c r="J19" s="10">
        <f t="shared" si="0"/>
        <v>0</v>
      </c>
      <c r="K19">
        <f t="shared" ref="K19:K22" si="7">+H19*D19</f>
        <v>0</v>
      </c>
      <c r="L19"/>
      <c r="N19" s="1"/>
      <c r="O19" s="15" t="s">
        <v>1008</v>
      </c>
      <c r="P19" s="16">
        <v>0</v>
      </c>
    </row>
    <row r="20" spans="1:16" x14ac:dyDescent="0.25">
      <c r="A20" s="5" t="s">
        <v>159</v>
      </c>
      <c r="B20" s="5" t="s">
        <v>579</v>
      </c>
      <c r="C20" s="5">
        <f>VLOOKUP(A20,[2]Hoja2!$A:$F,6,0)</f>
        <v>5.88</v>
      </c>
      <c r="D20" s="5">
        <v>4.75</v>
      </c>
      <c r="E20" s="5" t="s">
        <v>995</v>
      </c>
      <c r="F20" s="7">
        <v>3</v>
      </c>
      <c r="H20" s="18">
        <v>2</v>
      </c>
      <c r="I20" s="19">
        <f t="shared" ref="I20:I22" si="8">+F20-G20-H20</f>
        <v>1</v>
      </c>
      <c r="J20" s="10">
        <f t="shared" si="0"/>
        <v>0</v>
      </c>
      <c r="K20">
        <f t="shared" si="7"/>
        <v>9.5</v>
      </c>
      <c r="L20" t="s">
        <v>1042</v>
      </c>
      <c r="N20" s="1"/>
      <c r="O20" s="15" t="s">
        <v>1009</v>
      </c>
      <c r="P20" s="16">
        <v>314</v>
      </c>
    </row>
    <row r="21" spans="1:16" x14ac:dyDescent="0.25">
      <c r="A21" s="5" t="s">
        <v>160</v>
      </c>
      <c r="B21" s="5" t="s">
        <v>580</v>
      </c>
      <c r="C21" s="5">
        <f>VLOOKUP(A21,[2]Hoja2!$A:$F,6,0)</f>
        <v>5.88</v>
      </c>
      <c r="D21" s="5">
        <v>4.75</v>
      </c>
      <c r="E21" s="5" t="s">
        <v>995</v>
      </c>
      <c r="F21" s="7">
        <v>2</v>
      </c>
      <c r="H21" s="11">
        <v>2</v>
      </c>
      <c r="I21" s="19">
        <f t="shared" si="8"/>
        <v>0</v>
      </c>
      <c r="J21" s="10">
        <f t="shared" si="0"/>
        <v>0</v>
      </c>
      <c r="K21">
        <f t="shared" si="7"/>
        <v>9.5</v>
      </c>
      <c r="L21" t="s">
        <v>1042</v>
      </c>
      <c r="N21" s="1"/>
      <c r="O21" s="15" t="s">
        <v>1010</v>
      </c>
      <c r="P21" s="16">
        <v>10.5</v>
      </c>
    </row>
    <row r="22" spans="1:16" x14ac:dyDescent="0.25">
      <c r="A22" s="5" t="s">
        <v>161</v>
      </c>
      <c r="B22" s="5" t="s">
        <v>581</v>
      </c>
      <c r="C22" s="5">
        <f>VLOOKUP(A22,[2]Hoja2!$A:$F,6,0)</f>
        <v>5.88</v>
      </c>
      <c r="D22" s="5">
        <v>4.75</v>
      </c>
      <c r="E22" s="5" t="s">
        <v>995</v>
      </c>
      <c r="F22" s="7">
        <v>14</v>
      </c>
      <c r="H22" s="18">
        <v>2</v>
      </c>
      <c r="I22" s="19">
        <f t="shared" si="8"/>
        <v>12</v>
      </c>
      <c r="J22" s="10">
        <f t="shared" si="0"/>
        <v>0</v>
      </c>
      <c r="K22">
        <f t="shared" si="7"/>
        <v>9.5</v>
      </c>
      <c r="L22" t="s">
        <v>1042</v>
      </c>
      <c r="N22" s="1"/>
      <c r="O22" s="15" t="s">
        <v>1011</v>
      </c>
      <c r="P22" s="16">
        <v>133.93</v>
      </c>
    </row>
    <row r="23" spans="1:16" x14ac:dyDescent="0.25">
      <c r="A23" s="5" t="s">
        <v>162</v>
      </c>
      <c r="B23" s="5" t="s">
        <v>582</v>
      </c>
      <c r="C23" s="5">
        <f>VLOOKUP(A23,[2]Hoja2!$A:$F,6,0)</f>
        <v>10.33</v>
      </c>
      <c r="D23" s="5">
        <v>8.73</v>
      </c>
      <c r="E23" s="5" t="s">
        <v>995</v>
      </c>
      <c r="F23" s="7">
        <v>2</v>
      </c>
      <c r="G23">
        <v>2</v>
      </c>
      <c r="J23" s="10">
        <f t="shared" si="0"/>
        <v>0</v>
      </c>
      <c r="K23">
        <f t="shared" ref="K23:K30" si="9">+H23*D23</f>
        <v>0</v>
      </c>
      <c r="L23"/>
      <c r="N23" s="1"/>
      <c r="O23" s="15" t="s">
        <v>1012</v>
      </c>
      <c r="P23" s="16">
        <v>0</v>
      </c>
    </row>
    <row r="24" spans="1:16" x14ac:dyDescent="0.25">
      <c r="A24" s="5" t="s">
        <v>163</v>
      </c>
      <c r="B24" s="5" t="s">
        <v>583</v>
      </c>
      <c r="C24" s="5">
        <f>VLOOKUP(A24,[2]Hoja2!$A:$F,6,0)</f>
        <v>16.510000000000002</v>
      </c>
      <c r="D24" s="5">
        <v>14.11</v>
      </c>
      <c r="E24" s="5" t="s">
        <v>995</v>
      </c>
      <c r="F24" s="7">
        <v>2</v>
      </c>
      <c r="G24">
        <v>2</v>
      </c>
      <c r="J24" s="10">
        <f t="shared" si="0"/>
        <v>0</v>
      </c>
      <c r="K24">
        <f t="shared" si="9"/>
        <v>0</v>
      </c>
      <c r="L24"/>
      <c r="N24" s="1"/>
      <c r="O24" s="15" t="s">
        <v>1013</v>
      </c>
      <c r="P24" s="16">
        <v>152.97999999999999</v>
      </c>
    </row>
    <row r="25" spans="1:16" x14ac:dyDescent="0.25">
      <c r="A25" s="5" t="s">
        <v>164</v>
      </c>
      <c r="B25" s="5" t="s">
        <v>584</v>
      </c>
      <c r="C25" s="5">
        <f>VLOOKUP(A25,[2]Hoja2!$A:$F,6,0)</f>
        <v>16.510000000000002</v>
      </c>
      <c r="D25" s="5">
        <v>14.11</v>
      </c>
      <c r="E25" s="5" t="s">
        <v>995</v>
      </c>
      <c r="F25" s="7">
        <v>2</v>
      </c>
      <c r="G25">
        <v>2</v>
      </c>
      <c r="J25" s="10">
        <f t="shared" si="0"/>
        <v>0</v>
      </c>
      <c r="K25">
        <f t="shared" si="9"/>
        <v>0</v>
      </c>
      <c r="L25"/>
      <c r="N25" s="1"/>
      <c r="O25" s="15" t="s">
        <v>1014</v>
      </c>
      <c r="P25" s="16">
        <v>26.9</v>
      </c>
    </row>
    <row r="26" spans="1:16" x14ac:dyDescent="0.25">
      <c r="A26" s="5" t="s">
        <v>115</v>
      </c>
      <c r="B26" s="5" t="s">
        <v>116</v>
      </c>
      <c r="C26" s="5">
        <f>VLOOKUP(A26,[2]Hoja3!$D:$P,13,0)</f>
        <v>2.5</v>
      </c>
      <c r="D26" s="5">
        <v>1.7</v>
      </c>
      <c r="E26" s="5" t="s">
        <v>996</v>
      </c>
      <c r="F26" s="7">
        <v>3</v>
      </c>
      <c r="H26" s="11">
        <v>3</v>
      </c>
      <c r="I26" s="19">
        <f t="shared" ref="I26:I30" si="10">+F26-G26-H26</f>
        <v>0</v>
      </c>
      <c r="J26" s="10">
        <f t="shared" si="0"/>
        <v>0</v>
      </c>
      <c r="K26">
        <f t="shared" si="9"/>
        <v>5.0999999999999996</v>
      </c>
      <c r="L26" t="s">
        <v>1042</v>
      </c>
      <c r="N26" s="1"/>
      <c r="O26" s="15" t="s">
        <v>1015</v>
      </c>
      <c r="P26" s="16">
        <v>334.9</v>
      </c>
    </row>
    <row r="27" spans="1:16" x14ac:dyDescent="0.25">
      <c r="A27" s="5" t="s">
        <v>165</v>
      </c>
      <c r="B27" s="5" t="s">
        <v>585</v>
      </c>
      <c r="C27" s="5">
        <f>VLOOKUP(A27,[2]Hoja3!$D:$P,13,0)</f>
        <v>2.5</v>
      </c>
      <c r="D27" s="5">
        <v>1.7</v>
      </c>
      <c r="E27" s="5" t="s">
        <v>996</v>
      </c>
      <c r="F27" s="7">
        <v>4</v>
      </c>
      <c r="H27" s="11">
        <v>4</v>
      </c>
      <c r="I27" s="19">
        <f t="shared" si="10"/>
        <v>0</v>
      </c>
      <c r="J27" s="10">
        <f t="shared" si="0"/>
        <v>0</v>
      </c>
      <c r="K27">
        <f t="shared" si="9"/>
        <v>6.8</v>
      </c>
      <c r="L27" t="s">
        <v>1042</v>
      </c>
      <c r="N27" s="1"/>
      <c r="O27" s="15" t="s">
        <v>1016</v>
      </c>
      <c r="P27" s="16">
        <v>611.04999999999995</v>
      </c>
    </row>
    <row r="28" spans="1:16" x14ac:dyDescent="0.25">
      <c r="A28" s="5" t="s">
        <v>166</v>
      </c>
      <c r="B28" s="5" t="s">
        <v>586</v>
      </c>
      <c r="C28" s="5">
        <f>VLOOKUP(A28,[2]Hoja3!$D:$P,13,0)</f>
        <v>2.5</v>
      </c>
      <c r="D28" s="5">
        <v>1.7</v>
      </c>
      <c r="E28" s="5" t="s">
        <v>996</v>
      </c>
      <c r="F28" s="7">
        <v>2</v>
      </c>
      <c r="H28" s="11">
        <v>2</v>
      </c>
      <c r="I28" s="19">
        <f t="shared" si="10"/>
        <v>0</v>
      </c>
      <c r="J28" s="10">
        <f t="shared" si="0"/>
        <v>0</v>
      </c>
      <c r="K28">
        <f t="shared" si="9"/>
        <v>3.4</v>
      </c>
      <c r="L28" t="s">
        <v>1042</v>
      </c>
      <c r="N28" s="1"/>
      <c r="O28" s="15" t="s">
        <v>1017</v>
      </c>
      <c r="P28" s="16"/>
    </row>
    <row r="29" spans="1:16" x14ac:dyDescent="0.25">
      <c r="A29" s="5" t="s">
        <v>93</v>
      </c>
      <c r="B29" s="5" t="s">
        <v>94</v>
      </c>
      <c r="C29" s="5">
        <f>VLOOKUP(A29,[2]Hoja2!$A:$F,6,0)</f>
        <v>2.99</v>
      </c>
      <c r="D29" s="5">
        <v>2.5</v>
      </c>
      <c r="E29" s="9" t="s">
        <v>997</v>
      </c>
      <c r="F29" s="7">
        <v>4</v>
      </c>
      <c r="H29" s="11">
        <v>3</v>
      </c>
      <c r="I29" s="19">
        <f t="shared" si="10"/>
        <v>1</v>
      </c>
      <c r="J29" s="10">
        <f t="shared" si="0"/>
        <v>0</v>
      </c>
      <c r="K29">
        <f t="shared" si="9"/>
        <v>7.5</v>
      </c>
      <c r="L29" t="s">
        <v>1043</v>
      </c>
      <c r="N29" s="1"/>
      <c r="O29" s="15" t="s">
        <v>1018</v>
      </c>
      <c r="P29" s="16">
        <v>82.88</v>
      </c>
    </row>
    <row r="30" spans="1:16" x14ac:dyDescent="0.25">
      <c r="A30" s="5" t="s">
        <v>85</v>
      </c>
      <c r="B30" s="5" t="s">
        <v>86</v>
      </c>
      <c r="C30" s="5">
        <f>VLOOKUP(A30,[2]Hoja2!$A:$F,6,0)</f>
        <v>2.99</v>
      </c>
      <c r="D30" s="5">
        <v>2.5</v>
      </c>
      <c r="E30" s="9" t="s">
        <v>997</v>
      </c>
      <c r="F30" s="7">
        <v>1</v>
      </c>
      <c r="H30" s="11">
        <v>1</v>
      </c>
      <c r="I30" s="19">
        <f t="shared" si="10"/>
        <v>0</v>
      </c>
      <c r="J30" s="10">
        <f t="shared" si="0"/>
        <v>0</v>
      </c>
      <c r="K30">
        <f t="shared" si="9"/>
        <v>2.5</v>
      </c>
      <c r="L30" t="s">
        <v>1043</v>
      </c>
      <c r="N30" s="1"/>
      <c r="O30" s="15" t="s">
        <v>1019</v>
      </c>
      <c r="P30" s="16">
        <v>2542.9300000000003</v>
      </c>
    </row>
    <row r="31" spans="1:16" x14ac:dyDescent="0.25">
      <c r="A31" s="5" t="s">
        <v>167</v>
      </c>
      <c r="B31" s="5" t="s">
        <v>587</v>
      </c>
      <c r="C31" s="5">
        <v>49.98</v>
      </c>
      <c r="D31" s="5">
        <v>48.42</v>
      </c>
      <c r="E31" s="5" t="s">
        <v>998</v>
      </c>
      <c r="F31" s="7">
        <v>1</v>
      </c>
      <c r="G31">
        <v>1</v>
      </c>
      <c r="J31" s="10">
        <f t="shared" si="0"/>
        <v>0</v>
      </c>
      <c r="K31">
        <f t="shared" ref="K31:K32" si="11">+H31*D31</f>
        <v>0</v>
      </c>
      <c r="L31"/>
      <c r="N31" s="1"/>
      <c r="O31" s="15" t="s">
        <v>1020</v>
      </c>
      <c r="P31" s="16">
        <v>254.46</v>
      </c>
    </row>
    <row r="32" spans="1:16" x14ac:dyDescent="0.25">
      <c r="A32" s="5" t="s">
        <v>168</v>
      </c>
      <c r="B32" s="5" t="s">
        <v>588</v>
      </c>
      <c r="C32" s="5">
        <f>VLOOKUP(A32,[2]Hoja2!$A:$F,6,0)</f>
        <v>59.76</v>
      </c>
      <c r="D32" s="5">
        <v>52</v>
      </c>
      <c r="E32" s="5" t="s">
        <v>998</v>
      </c>
      <c r="F32" s="7">
        <v>2</v>
      </c>
      <c r="G32">
        <v>2</v>
      </c>
      <c r="J32" s="10">
        <f t="shared" si="0"/>
        <v>0</v>
      </c>
      <c r="K32">
        <f t="shared" si="11"/>
        <v>0</v>
      </c>
      <c r="L32"/>
      <c r="N32" s="1"/>
      <c r="O32" s="15" t="s">
        <v>1021</v>
      </c>
      <c r="P32" s="16"/>
    </row>
    <row r="33" spans="1:18" x14ac:dyDescent="0.25">
      <c r="A33" s="5" t="s">
        <v>169</v>
      </c>
      <c r="B33" s="5" t="s">
        <v>589</v>
      </c>
      <c r="C33" s="5"/>
      <c r="D33" s="5">
        <v>20.62</v>
      </c>
      <c r="E33" s="5" t="s">
        <v>998</v>
      </c>
      <c r="F33" s="7">
        <v>0</v>
      </c>
      <c r="G33">
        <v>0</v>
      </c>
      <c r="I33"/>
      <c r="J33" s="10">
        <f t="shared" si="0"/>
        <v>0</v>
      </c>
      <c r="K33"/>
      <c r="L33"/>
      <c r="N33" s="1"/>
      <c r="O33" s="15" t="s">
        <v>1022</v>
      </c>
      <c r="P33" s="16">
        <v>0</v>
      </c>
    </row>
    <row r="34" spans="1:18" x14ac:dyDescent="0.25">
      <c r="A34" s="5" t="s">
        <v>170</v>
      </c>
      <c r="B34" s="5" t="s">
        <v>590</v>
      </c>
      <c r="C34" s="5"/>
      <c r="D34" s="5">
        <v>20.61</v>
      </c>
      <c r="E34" s="5" t="s">
        <v>998</v>
      </c>
      <c r="F34" s="7">
        <v>0</v>
      </c>
      <c r="G34">
        <v>0</v>
      </c>
      <c r="I34"/>
      <c r="J34" s="10">
        <f t="shared" si="0"/>
        <v>0</v>
      </c>
      <c r="K34"/>
      <c r="L34"/>
      <c r="N34" s="1"/>
      <c r="O34" s="15" t="s">
        <v>1023</v>
      </c>
      <c r="P34" s="16"/>
    </row>
    <row r="35" spans="1:18" x14ac:dyDescent="0.25">
      <c r="A35" s="5" t="s">
        <v>91</v>
      </c>
      <c r="B35" s="5" t="s">
        <v>92</v>
      </c>
      <c r="C35" s="5"/>
      <c r="D35" s="5">
        <v>13.78</v>
      </c>
      <c r="E35" s="5" t="s">
        <v>998</v>
      </c>
      <c r="F35" s="7">
        <v>0</v>
      </c>
      <c r="I35"/>
      <c r="J35" s="10">
        <f t="shared" si="0"/>
        <v>0</v>
      </c>
      <c r="K35"/>
      <c r="L35"/>
      <c r="N35" s="1"/>
      <c r="O35" s="15" t="s">
        <v>1024</v>
      </c>
      <c r="P35" s="16">
        <v>153.08000000000001</v>
      </c>
    </row>
    <row r="36" spans="1:18" x14ac:dyDescent="0.25">
      <c r="A36" s="5" t="s">
        <v>171</v>
      </c>
      <c r="B36" s="5" t="s">
        <v>591</v>
      </c>
      <c r="C36" s="5"/>
      <c r="D36" s="5">
        <v>20.86</v>
      </c>
      <c r="E36" s="5" t="s">
        <v>998</v>
      </c>
      <c r="F36" s="7">
        <v>0</v>
      </c>
      <c r="G36">
        <v>0</v>
      </c>
      <c r="I36"/>
      <c r="J36" s="10">
        <f t="shared" si="0"/>
        <v>0</v>
      </c>
      <c r="K36"/>
      <c r="L36"/>
      <c r="N36" s="1"/>
      <c r="O36" s="15" t="s">
        <v>1025</v>
      </c>
      <c r="P36" s="16">
        <v>66.17</v>
      </c>
    </row>
    <row r="37" spans="1:18" x14ac:dyDescent="0.25">
      <c r="A37" s="5" t="s">
        <v>172</v>
      </c>
      <c r="B37" s="5" t="s">
        <v>592</v>
      </c>
      <c r="C37" s="5"/>
      <c r="D37" s="5">
        <v>19.36</v>
      </c>
      <c r="E37" s="5" t="s">
        <v>998</v>
      </c>
      <c r="F37" s="7">
        <v>0</v>
      </c>
      <c r="G37">
        <v>0</v>
      </c>
      <c r="I37"/>
      <c r="J37" s="10">
        <f t="shared" si="0"/>
        <v>0</v>
      </c>
      <c r="K37"/>
      <c r="L37"/>
      <c r="N37" s="1"/>
      <c r="O37" s="15" t="s">
        <v>1026</v>
      </c>
      <c r="P37" s="16">
        <v>0</v>
      </c>
    </row>
    <row r="38" spans="1:18" x14ac:dyDescent="0.25">
      <c r="A38" s="5" t="s">
        <v>173</v>
      </c>
      <c r="B38" s="5" t="s">
        <v>593</v>
      </c>
      <c r="C38" s="5"/>
      <c r="D38" s="5">
        <v>18.62</v>
      </c>
      <c r="E38" s="5" t="s">
        <v>998</v>
      </c>
      <c r="F38" s="7">
        <v>0</v>
      </c>
      <c r="G38">
        <v>0</v>
      </c>
      <c r="I38"/>
      <c r="J38" s="10">
        <f t="shared" si="0"/>
        <v>0</v>
      </c>
      <c r="K38"/>
      <c r="L38"/>
      <c r="N38" s="1"/>
      <c r="O38" s="15" t="s">
        <v>1027</v>
      </c>
      <c r="P38" s="16">
        <v>175.41000000000003</v>
      </c>
    </row>
    <row r="39" spans="1:18" x14ac:dyDescent="0.25">
      <c r="A39" s="5" t="s">
        <v>174</v>
      </c>
      <c r="B39" s="5" t="s">
        <v>594</v>
      </c>
      <c r="C39" s="5">
        <f>VLOOKUP(A39,[2]Hoja2!$A:$F,6,0)</f>
        <v>196.71</v>
      </c>
      <c r="D39" s="5">
        <v>163.86</v>
      </c>
      <c r="E39" s="5" t="s">
        <v>998</v>
      </c>
      <c r="F39" s="7">
        <v>2</v>
      </c>
      <c r="I39" s="11">
        <v>2</v>
      </c>
      <c r="J39" s="10">
        <f t="shared" si="0"/>
        <v>0</v>
      </c>
      <c r="K39">
        <f t="shared" ref="K39" si="12">+H39*D39</f>
        <v>0</v>
      </c>
      <c r="L39"/>
      <c r="N39" s="1"/>
      <c r="O39" s="15" t="s">
        <v>1033</v>
      </c>
      <c r="P39" s="16"/>
    </row>
    <row r="40" spans="1:18" x14ac:dyDescent="0.25">
      <c r="A40" s="5" t="s">
        <v>175</v>
      </c>
      <c r="B40" s="5" t="s">
        <v>595</v>
      </c>
      <c r="C40" s="5">
        <f>VLOOKUP(A40,[2]Hoja2!$A:$F,6,0)</f>
        <v>45.97</v>
      </c>
      <c r="D40" s="5">
        <v>37.26</v>
      </c>
      <c r="E40" s="9" t="s">
        <v>998</v>
      </c>
      <c r="F40" s="7">
        <v>1</v>
      </c>
      <c r="H40" s="11">
        <v>1</v>
      </c>
      <c r="I40" s="19">
        <f>+F40-G40-H40</f>
        <v>0</v>
      </c>
      <c r="J40" s="10">
        <f t="shared" si="0"/>
        <v>0</v>
      </c>
      <c r="K40">
        <f>+H40*D40</f>
        <v>37.26</v>
      </c>
      <c r="L40" t="s">
        <v>1043</v>
      </c>
      <c r="N40" s="1"/>
      <c r="O40" s="15" t="s">
        <v>1034</v>
      </c>
      <c r="P40" s="16">
        <v>6077.42</v>
      </c>
      <c r="Q40">
        <f>+GETPIVOTDATA("Soles",$O$3)*5%</f>
        <v>303.87100000000004</v>
      </c>
      <c r="R40">
        <f>+GETPIVOTDATA("Soles",$O$3)+Q40</f>
        <v>6381.2910000000002</v>
      </c>
    </row>
    <row r="41" spans="1:18" x14ac:dyDescent="0.25">
      <c r="A41" s="5" t="s">
        <v>176</v>
      </c>
      <c r="B41" s="5" t="s">
        <v>596</v>
      </c>
      <c r="C41" s="5"/>
      <c r="D41" s="5">
        <v>23.34</v>
      </c>
      <c r="E41" s="5" t="s">
        <v>998</v>
      </c>
      <c r="F41" s="7">
        <v>0</v>
      </c>
      <c r="G41">
        <v>0</v>
      </c>
      <c r="I41"/>
      <c r="J41" s="10">
        <f t="shared" si="0"/>
        <v>0</v>
      </c>
      <c r="K41"/>
      <c r="L41"/>
      <c r="N41" s="1"/>
    </row>
    <row r="42" spans="1:18" x14ac:dyDescent="0.25">
      <c r="A42" s="5" t="s">
        <v>177</v>
      </c>
      <c r="B42" s="5" t="s">
        <v>597</v>
      </c>
      <c r="C42" s="5">
        <f>VLOOKUP(A42,[2]Hoja2!$A:$F,6,0)</f>
        <v>131.34</v>
      </c>
      <c r="D42" s="5">
        <v>108.39</v>
      </c>
      <c r="E42" s="5" t="s">
        <v>998</v>
      </c>
      <c r="F42" s="7">
        <v>3</v>
      </c>
      <c r="G42">
        <v>3</v>
      </c>
      <c r="H42" s="18"/>
      <c r="I42" s="18"/>
      <c r="J42" s="10">
        <f t="shared" si="0"/>
        <v>0</v>
      </c>
      <c r="K42">
        <f t="shared" ref="K42:K43" si="13">+H42*D42</f>
        <v>0</v>
      </c>
      <c r="L42"/>
      <c r="N42" s="1"/>
    </row>
    <row r="43" spans="1:18" x14ac:dyDescent="0.25">
      <c r="A43" s="5" t="s">
        <v>178</v>
      </c>
      <c r="B43" s="5" t="s">
        <v>598</v>
      </c>
      <c r="C43" s="5">
        <f>VLOOKUP(A43,[2]Hoja2!$A:$F,6,0)</f>
        <v>23.38</v>
      </c>
      <c r="D43" s="5">
        <v>21.26</v>
      </c>
      <c r="E43" s="9" t="s">
        <v>998</v>
      </c>
      <c r="F43" s="7">
        <v>2</v>
      </c>
      <c r="H43" s="11">
        <v>1</v>
      </c>
      <c r="I43" s="19">
        <f>+F43-G43-H43</f>
        <v>1</v>
      </c>
      <c r="J43" s="10">
        <f t="shared" si="0"/>
        <v>0</v>
      </c>
      <c r="K43">
        <f t="shared" si="13"/>
        <v>21.26</v>
      </c>
      <c r="L43" t="s">
        <v>1043</v>
      </c>
      <c r="N43" s="1"/>
    </row>
    <row r="44" spans="1:18" x14ac:dyDescent="0.25">
      <c r="A44" s="5" t="s">
        <v>179</v>
      </c>
      <c r="B44" s="5" t="s">
        <v>599</v>
      </c>
      <c r="C44" s="5">
        <f>VLOOKUP(A44,[2]Hoja2!$A:$F,6,0)</f>
        <v>23.39</v>
      </c>
      <c r="D44" s="5">
        <v>21.26</v>
      </c>
      <c r="E44" s="5" t="s">
        <v>998</v>
      </c>
      <c r="F44" s="7">
        <v>1</v>
      </c>
      <c r="G44">
        <v>1</v>
      </c>
      <c r="J44" s="10">
        <f t="shared" si="0"/>
        <v>0</v>
      </c>
      <c r="K44">
        <f t="shared" ref="K44:K52" si="14">+H44*D44</f>
        <v>0</v>
      </c>
      <c r="L44"/>
      <c r="N44" s="1"/>
    </row>
    <row r="45" spans="1:18" x14ac:dyDescent="0.25">
      <c r="A45" s="5" t="s">
        <v>180</v>
      </c>
      <c r="B45" s="5" t="s">
        <v>600</v>
      </c>
      <c r="C45" s="5">
        <f>VLOOKUP(A45,[2]Hoja2!$A:$F,6,0)</f>
        <v>23.38</v>
      </c>
      <c r="D45" s="5">
        <v>21.26</v>
      </c>
      <c r="E45" s="9" t="s">
        <v>998</v>
      </c>
      <c r="F45" s="7">
        <v>2</v>
      </c>
      <c r="H45" s="18">
        <v>1</v>
      </c>
      <c r="I45" s="19">
        <f t="shared" ref="I45:I46" si="15">+F45-G45-H45</f>
        <v>1</v>
      </c>
      <c r="J45" s="10">
        <f t="shared" si="0"/>
        <v>0</v>
      </c>
      <c r="K45">
        <f t="shared" si="14"/>
        <v>21.26</v>
      </c>
      <c r="L45" t="s">
        <v>1043</v>
      </c>
      <c r="N45" s="1"/>
    </row>
    <row r="46" spans="1:18" x14ac:dyDescent="0.25">
      <c r="A46" s="5" t="s">
        <v>181</v>
      </c>
      <c r="B46" s="5" t="s">
        <v>601</v>
      </c>
      <c r="C46" s="5">
        <f>VLOOKUP(A46,[2]Hoja2!$A:$F,6,0)</f>
        <v>23.81</v>
      </c>
      <c r="D46" s="5">
        <v>20.18</v>
      </c>
      <c r="E46" s="9" t="s">
        <v>998</v>
      </c>
      <c r="F46" s="7">
        <v>2</v>
      </c>
      <c r="H46" s="18">
        <v>1</v>
      </c>
      <c r="I46" s="19">
        <f t="shared" si="15"/>
        <v>1</v>
      </c>
      <c r="J46" s="10">
        <f t="shared" si="0"/>
        <v>0</v>
      </c>
      <c r="K46">
        <f t="shared" si="14"/>
        <v>20.18</v>
      </c>
      <c r="L46" t="s">
        <v>1043</v>
      </c>
      <c r="N46" s="1"/>
    </row>
    <row r="47" spans="1:18" x14ac:dyDescent="0.25">
      <c r="A47" s="5" t="s">
        <v>182</v>
      </c>
      <c r="B47" s="5" t="s">
        <v>602</v>
      </c>
      <c r="C47" s="5">
        <f>VLOOKUP(A47,[2]Hoja2!$A:$F,6,0)</f>
        <v>125.79</v>
      </c>
      <c r="D47" s="5">
        <v>105.8</v>
      </c>
      <c r="E47" s="5" t="s">
        <v>998</v>
      </c>
      <c r="F47" s="7">
        <v>1</v>
      </c>
      <c r="G47">
        <v>1</v>
      </c>
      <c r="J47" s="10">
        <f t="shared" si="0"/>
        <v>0</v>
      </c>
      <c r="K47">
        <f t="shared" si="14"/>
        <v>0</v>
      </c>
      <c r="L47"/>
      <c r="N47" s="1"/>
    </row>
    <row r="48" spans="1:18" x14ac:dyDescent="0.25">
      <c r="A48" s="5" t="s">
        <v>183</v>
      </c>
      <c r="B48" s="5" t="s">
        <v>603</v>
      </c>
      <c r="C48" s="5">
        <f>VLOOKUP(A48,[2]Hoja2!$A:$F,6,0)</f>
        <v>105.07</v>
      </c>
      <c r="D48" s="5">
        <v>94.56</v>
      </c>
      <c r="E48" s="9" t="s">
        <v>998</v>
      </c>
      <c r="F48" s="7">
        <v>2</v>
      </c>
      <c r="H48" s="18">
        <v>1</v>
      </c>
      <c r="I48" s="19">
        <f>+F48-G48-H48</f>
        <v>1</v>
      </c>
      <c r="J48" s="10">
        <f t="shared" si="0"/>
        <v>0</v>
      </c>
      <c r="K48">
        <f>+H48*D48</f>
        <v>94.56</v>
      </c>
      <c r="L48" t="s">
        <v>1043</v>
      </c>
      <c r="N48" s="1"/>
    </row>
    <row r="49" spans="1:14" x14ac:dyDescent="0.25">
      <c r="A49" s="5" t="s">
        <v>184</v>
      </c>
      <c r="B49" s="5" t="s">
        <v>604</v>
      </c>
      <c r="C49" s="5">
        <f>VLOOKUP(A49,[2]Hoja2!$A:$F,6,0)</f>
        <v>210.92</v>
      </c>
      <c r="D49" s="5">
        <v>158</v>
      </c>
      <c r="E49" s="5" t="s">
        <v>998</v>
      </c>
      <c r="F49" s="7">
        <v>2</v>
      </c>
      <c r="G49">
        <v>2</v>
      </c>
      <c r="J49" s="10">
        <f t="shared" si="0"/>
        <v>0</v>
      </c>
      <c r="K49">
        <f t="shared" si="14"/>
        <v>0</v>
      </c>
      <c r="L49"/>
      <c r="N49" s="1"/>
    </row>
    <row r="50" spans="1:14" x14ac:dyDescent="0.25">
      <c r="A50" s="5" t="s">
        <v>185</v>
      </c>
      <c r="B50" s="5" t="s">
        <v>605</v>
      </c>
      <c r="C50" s="5">
        <f>VLOOKUP(A50,[2]Hoja2!$A:$F,6,0)</f>
        <v>94.52</v>
      </c>
      <c r="D50" s="5">
        <v>73.63</v>
      </c>
      <c r="E50" s="9" t="s">
        <v>998</v>
      </c>
      <c r="F50" s="7">
        <v>3</v>
      </c>
      <c r="H50" s="18">
        <v>1</v>
      </c>
      <c r="I50" s="19">
        <f>+F50-G50-H50</f>
        <v>2</v>
      </c>
      <c r="J50" s="10">
        <f t="shared" si="0"/>
        <v>0</v>
      </c>
      <c r="K50">
        <f>+H50*D50</f>
        <v>73.63</v>
      </c>
      <c r="L50" t="s">
        <v>1043</v>
      </c>
      <c r="N50" s="1"/>
    </row>
    <row r="51" spans="1:14" x14ac:dyDescent="0.25">
      <c r="A51" s="5" t="s">
        <v>186</v>
      </c>
      <c r="B51" s="5" t="s">
        <v>606</v>
      </c>
      <c r="C51" s="5">
        <f>VLOOKUP(A51,[2]Hoja2!$A:$F,6,0)</f>
        <v>62.9</v>
      </c>
      <c r="D51" s="5">
        <v>56.61</v>
      </c>
      <c r="E51" s="5" t="s">
        <v>998</v>
      </c>
      <c r="F51" s="7">
        <v>1</v>
      </c>
      <c r="G51">
        <v>1</v>
      </c>
      <c r="J51" s="10">
        <f t="shared" si="0"/>
        <v>0</v>
      </c>
      <c r="K51">
        <f t="shared" si="14"/>
        <v>0</v>
      </c>
      <c r="L51"/>
      <c r="N51" s="1"/>
    </row>
    <row r="52" spans="1:14" x14ac:dyDescent="0.25">
      <c r="A52" s="5" t="s">
        <v>187</v>
      </c>
      <c r="B52" s="5" t="s">
        <v>607</v>
      </c>
      <c r="C52" s="5">
        <f>VLOOKUP(A52,[2]Hoja2!$A:$F,6,0)</f>
        <v>70.19</v>
      </c>
      <c r="D52" s="5">
        <v>66.17</v>
      </c>
      <c r="E52" s="5" t="s">
        <v>999</v>
      </c>
      <c r="F52" s="7">
        <v>2</v>
      </c>
      <c r="G52">
        <v>2</v>
      </c>
      <c r="J52" s="10">
        <f t="shared" si="0"/>
        <v>0</v>
      </c>
      <c r="K52">
        <f t="shared" si="14"/>
        <v>0</v>
      </c>
      <c r="L52"/>
      <c r="N52" s="1"/>
    </row>
    <row r="53" spans="1:14" x14ac:dyDescent="0.25">
      <c r="A53" s="5" t="s">
        <v>188</v>
      </c>
      <c r="B53" s="5" t="s">
        <v>608</v>
      </c>
      <c r="C53" s="5"/>
      <c r="D53" s="5">
        <v>57.1</v>
      </c>
      <c r="E53" s="5" t="s">
        <v>999</v>
      </c>
      <c r="F53" s="7">
        <v>0</v>
      </c>
      <c r="I53"/>
      <c r="J53" s="10">
        <f t="shared" si="0"/>
        <v>0</v>
      </c>
      <c r="K53"/>
      <c r="L53"/>
      <c r="N53" s="1"/>
    </row>
    <row r="54" spans="1:14" x14ac:dyDescent="0.25">
      <c r="A54" s="5" t="s">
        <v>189</v>
      </c>
      <c r="B54" s="5" t="s">
        <v>609</v>
      </c>
      <c r="C54" s="5"/>
      <c r="D54" s="5">
        <v>121.41</v>
      </c>
      <c r="E54" s="5" t="s">
        <v>999</v>
      </c>
      <c r="F54" s="7">
        <v>0</v>
      </c>
      <c r="I54"/>
      <c r="J54" s="10">
        <f t="shared" si="0"/>
        <v>0</v>
      </c>
      <c r="K54"/>
      <c r="L54"/>
      <c r="N54" s="1"/>
    </row>
    <row r="55" spans="1:14" x14ac:dyDescent="0.25">
      <c r="A55" s="5" t="s">
        <v>190</v>
      </c>
      <c r="B55" s="5" t="s">
        <v>610</v>
      </c>
      <c r="C55" s="5">
        <f>VLOOKUP(A55,[2]Hoja2!$A:$F,6,0)</f>
        <v>12.06</v>
      </c>
      <c r="D55" s="5">
        <v>10.35</v>
      </c>
      <c r="E55" s="5" t="s">
        <v>999</v>
      </c>
      <c r="F55" s="7">
        <v>1</v>
      </c>
      <c r="G55" s="17">
        <v>1</v>
      </c>
      <c r="J55" s="10">
        <f t="shared" si="0"/>
        <v>0</v>
      </c>
      <c r="K55">
        <f t="shared" ref="K55:K56" si="16">+H55*D55</f>
        <v>0</v>
      </c>
      <c r="L55"/>
      <c r="N55" s="1"/>
    </row>
    <row r="56" spans="1:14" x14ac:dyDescent="0.25">
      <c r="A56" s="5" t="s">
        <v>191</v>
      </c>
      <c r="B56" s="5" t="s">
        <v>611</v>
      </c>
      <c r="C56" s="5">
        <f>VLOOKUP(A56,[2]Hoja2!$A:$F,6,0)</f>
        <v>12.06</v>
      </c>
      <c r="D56" s="5">
        <v>10.35</v>
      </c>
      <c r="E56" s="5" t="s">
        <v>999</v>
      </c>
      <c r="F56" s="7">
        <v>2</v>
      </c>
      <c r="G56" s="17">
        <v>2</v>
      </c>
      <c r="J56" s="10">
        <f t="shared" si="0"/>
        <v>0</v>
      </c>
      <c r="K56">
        <f t="shared" si="16"/>
        <v>0</v>
      </c>
      <c r="L56"/>
      <c r="N56" s="1"/>
    </row>
    <row r="57" spans="1:14" x14ac:dyDescent="0.25">
      <c r="A57" s="5" t="s">
        <v>192</v>
      </c>
      <c r="B57" s="5" t="s">
        <v>612</v>
      </c>
      <c r="C57" s="5"/>
      <c r="D57" s="5">
        <v>0</v>
      </c>
      <c r="E57" s="5" t="s">
        <v>999</v>
      </c>
      <c r="F57" s="7">
        <v>0</v>
      </c>
      <c r="I57"/>
      <c r="J57" s="10">
        <f t="shared" si="0"/>
        <v>0</v>
      </c>
      <c r="K57"/>
      <c r="L57"/>
      <c r="N57" s="1"/>
    </row>
    <row r="58" spans="1:14" x14ac:dyDescent="0.25">
      <c r="A58" s="5" t="s">
        <v>193</v>
      </c>
      <c r="B58" s="5" t="s">
        <v>613</v>
      </c>
      <c r="C58" s="5">
        <f>VLOOKUP(A58,[2]Hoja2!$A:$F,6,0)</f>
        <v>78.52</v>
      </c>
      <c r="D58" s="5">
        <v>64.989999999999995</v>
      </c>
      <c r="E58" s="5" t="s">
        <v>999</v>
      </c>
      <c r="F58" s="7">
        <v>1</v>
      </c>
      <c r="G58">
        <v>1</v>
      </c>
      <c r="J58" s="10">
        <f t="shared" si="0"/>
        <v>0</v>
      </c>
      <c r="K58">
        <f t="shared" ref="K58:K64" si="17">+H58*D58</f>
        <v>0</v>
      </c>
      <c r="L58"/>
      <c r="N58" s="1"/>
    </row>
    <row r="59" spans="1:14" x14ac:dyDescent="0.25">
      <c r="A59" s="5" t="s">
        <v>194</v>
      </c>
      <c r="B59" s="5" t="s">
        <v>614</v>
      </c>
      <c r="C59" s="5">
        <f>VLOOKUP(A59,[2]Hoja2!$A:$F,6,0)</f>
        <v>78.52</v>
      </c>
      <c r="D59" s="5">
        <v>64.989999999999995</v>
      </c>
      <c r="E59" s="5" t="s">
        <v>999</v>
      </c>
      <c r="F59" s="7">
        <v>1</v>
      </c>
      <c r="G59">
        <v>1</v>
      </c>
      <c r="J59" s="10">
        <f t="shared" si="0"/>
        <v>0</v>
      </c>
      <c r="K59">
        <f t="shared" si="17"/>
        <v>0</v>
      </c>
      <c r="L59"/>
      <c r="N59" s="1"/>
    </row>
    <row r="60" spans="1:14" x14ac:dyDescent="0.25">
      <c r="A60" s="5" t="s">
        <v>195</v>
      </c>
      <c r="B60" s="5" t="s">
        <v>615</v>
      </c>
      <c r="C60" s="5">
        <f>VLOOKUP(A60,[2]Hoja2!$A:$F,6,0)</f>
        <v>78.52</v>
      </c>
      <c r="D60" s="5">
        <v>64.989999999999995</v>
      </c>
      <c r="E60" s="5" t="s">
        <v>999</v>
      </c>
      <c r="F60" s="7">
        <v>1</v>
      </c>
      <c r="G60">
        <v>1</v>
      </c>
      <c r="J60" s="10">
        <f t="shared" si="0"/>
        <v>0</v>
      </c>
      <c r="K60">
        <f t="shared" si="17"/>
        <v>0</v>
      </c>
      <c r="L60"/>
      <c r="N60" s="1"/>
    </row>
    <row r="61" spans="1:14" x14ac:dyDescent="0.25">
      <c r="A61" s="5" t="s">
        <v>196</v>
      </c>
      <c r="B61" s="5" t="s">
        <v>616</v>
      </c>
      <c r="C61" s="5">
        <f>VLOOKUP(A61,[2]Hoja2!$A:$F,6,0)</f>
        <v>60.73</v>
      </c>
      <c r="D61" s="5">
        <v>64.989999999999995</v>
      </c>
      <c r="E61" s="5" t="s">
        <v>999</v>
      </c>
      <c r="F61" s="7">
        <v>2</v>
      </c>
      <c r="H61" s="18">
        <v>1</v>
      </c>
      <c r="I61" s="19">
        <f t="shared" ref="I61:I63" si="18">+F61-G61-H61</f>
        <v>1</v>
      </c>
      <c r="J61" s="10">
        <f t="shared" si="0"/>
        <v>0</v>
      </c>
      <c r="K61">
        <f t="shared" si="17"/>
        <v>64.989999999999995</v>
      </c>
      <c r="L61" t="s">
        <v>1042</v>
      </c>
      <c r="M61" s="1" t="s">
        <v>1046</v>
      </c>
      <c r="N61" s="1"/>
    </row>
    <row r="62" spans="1:14" x14ac:dyDescent="0.25">
      <c r="A62" s="5" t="s">
        <v>197</v>
      </c>
      <c r="B62" s="5" t="s">
        <v>617</v>
      </c>
      <c r="C62" s="5">
        <f>VLOOKUP(A62,[2]Hoja2!$A:$F,6,0)</f>
        <v>65.23</v>
      </c>
      <c r="D62" s="5">
        <v>55.56</v>
      </c>
      <c r="E62" s="5" t="s">
        <v>999</v>
      </c>
      <c r="F62" s="7">
        <v>2</v>
      </c>
      <c r="H62" s="18">
        <v>1</v>
      </c>
      <c r="I62" s="19">
        <f t="shared" si="18"/>
        <v>1</v>
      </c>
      <c r="J62" s="10">
        <f t="shared" si="0"/>
        <v>0</v>
      </c>
      <c r="K62">
        <f t="shared" si="17"/>
        <v>55.56</v>
      </c>
      <c r="L62" t="s">
        <v>1042</v>
      </c>
      <c r="M62" s="1" t="s">
        <v>1047</v>
      </c>
      <c r="N62" s="1"/>
    </row>
    <row r="63" spans="1:14" x14ac:dyDescent="0.25">
      <c r="A63" s="5" t="s">
        <v>198</v>
      </c>
      <c r="B63" s="5" t="s">
        <v>618</v>
      </c>
      <c r="C63" s="5">
        <f>VLOOKUP(A63,[2]Hoja2!$A:$F,6,0)</f>
        <v>36.79</v>
      </c>
      <c r="D63" s="5">
        <v>30.7</v>
      </c>
      <c r="E63" s="5" t="s">
        <v>999</v>
      </c>
      <c r="F63" s="7">
        <v>2</v>
      </c>
      <c r="H63" s="18">
        <v>1</v>
      </c>
      <c r="I63" s="19">
        <f t="shared" si="18"/>
        <v>1</v>
      </c>
      <c r="J63" s="10">
        <f t="shared" si="0"/>
        <v>0</v>
      </c>
      <c r="K63">
        <f t="shared" si="17"/>
        <v>30.7</v>
      </c>
      <c r="L63" t="s">
        <v>1042</v>
      </c>
      <c r="M63" s="1" t="s">
        <v>1048</v>
      </c>
      <c r="N63" s="1"/>
    </row>
    <row r="64" spans="1:14" x14ac:dyDescent="0.25">
      <c r="A64" s="5" t="s">
        <v>199</v>
      </c>
      <c r="B64" s="5" t="s">
        <v>619</v>
      </c>
      <c r="C64" s="5">
        <f>VLOOKUP(A64,[2]Hoja2!$A:$F,6,0)</f>
        <v>36.79</v>
      </c>
      <c r="D64" s="5">
        <v>30.7</v>
      </c>
      <c r="E64" s="5" t="s">
        <v>999</v>
      </c>
      <c r="F64" s="7">
        <v>8</v>
      </c>
      <c r="G64" s="17">
        <v>8</v>
      </c>
      <c r="H64" s="18"/>
      <c r="I64" s="18"/>
      <c r="J64" s="10">
        <f t="shared" si="0"/>
        <v>0</v>
      </c>
      <c r="K64">
        <f t="shared" si="17"/>
        <v>0</v>
      </c>
      <c r="L64"/>
      <c r="N64" s="1"/>
    </row>
    <row r="65" spans="1:14" x14ac:dyDescent="0.25">
      <c r="A65" s="5" t="s">
        <v>200</v>
      </c>
      <c r="B65" s="5" t="s">
        <v>620</v>
      </c>
      <c r="C65" s="5"/>
      <c r="D65" s="5">
        <v>0</v>
      </c>
      <c r="E65" s="5" t="s">
        <v>999</v>
      </c>
      <c r="F65" s="7">
        <v>0</v>
      </c>
      <c r="I65"/>
      <c r="J65" s="10">
        <f t="shared" si="0"/>
        <v>0</v>
      </c>
      <c r="K65"/>
      <c r="L65"/>
      <c r="N65" s="1"/>
    </row>
    <row r="66" spans="1:14" x14ac:dyDescent="0.25">
      <c r="A66" s="5" t="s">
        <v>201</v>
      </c>
      <c r="B66" s="5" t="s">
        <v>621</v>
      </c>
      <c r="C66" s="5">
        <f>VLOOKUP(A66,[2]Hoja2!$A:$F,6,0)</f>
        <v>65.23</v>
      </c>
      <c r="D66" s="5">
        <v>58.34</v>
      </c>
      <c r="E66" s="5" t="s">
        <v>999</v>
      </c>
      <c r="F66" s="7">
        <v>1</v>
      </c>
      <c r="G66">
        <v>1</v>
      </c>
      <c r="J66" s="10">
        <f t="shared" si="0"/>
        <v>0</v>
      </c>
      <c r="K66">
        <f t="shared" ref="K66:K67" si="19">+H66*D66</f>
        <v>0</v>
      </c>
      <c r="L66"/>
      <c r="N66" s="1"/>
    </row>
    <row r="67" spans="1:14" x14ac:dyDescent="0.25">
      <c r="A67" s="5" t="s">
        <v>202</v>
      </c>
      <c r="B67" s="5" t="s">
        <v>622</v>
      </c>
      <c r="C67" s="5">
        <f>VLOOKUP(A67,[2]Hoja2!$A:$F,6,0)</f>
        <v>65.23</v>
      </c>
      <c r="D67" s="5">
        <v>55.56</v>
      </c>
      <c r="E67" s="5" t="s">
        <v>999</v>
      </c>
      <c r="F67" s="7">
        <v>3</v>
      </c>
      <c r="G67" s="17">
        <v>3</v>
      </c>
      <c r="J67" s="10">
        <f t="shared" ref="J67:J130" si="20">+F67-G67-H67-I67</f>
        <v>0</v>
      </c>
      <c r="K67">
        <f t="shared" si="19"/>
        <v>0</v>
      </c>
      <c r="L67"/>
      <c r="N67" s="1"/>
    </row>
    <row r="68" spans="1:14" x14ac:dyDescent="0.25">
      <c r="A68" s="5" t="s">
        <v>203</v>
      </c>
      <c r="B68" s="5" t="s">
        <v>623</v>
      </c>
      <c r="C68" s="5">
        <f>VLOOKUP(A68,[2]Hoja2!$A:$F,6,0)</f>
        <v>41.5</v>
      </c>
      <c r="D68" s="5">
        <v>35.5</v>
      </c>
      <c r="E68" s="5" t="s">
        <v>999</v>
      </c>
      <c r="F68" s="7">
        <v>1</v>
      </c>
      <c r="G68" s="17">
        <v>1</v>
      </c>
      <c r="J68" s="10">
        <f t="shared" si="20"/>
        <v>0</v>
      </c>
      <c r="K68">
        <f>+H68*D68</f>
        <v>0</v>
      </c>
      <c r="L68"/>
      <c r="N68" s="1"/>
    </row>
    <row r="69" spans="1:14" x14ac:dyDescent="0.25">
      <c r="A69" s="5" t="s">
        <v>204</v>
      </c>
      <c r="B69" s="5" t="s">
        <v>624</v>
      </c>
      <c r="C69" s="5"/>
      <c r="D69" s="5">
        <v>26.04</v>
      </c>
      <c r="E69" s="5" t="s">
        <v>999</v>
      </c>
      <c r="F69" s="7">
        <v>0</v>
      </c>
      <c r="I69"/>
      <c r="J69" s="10">
        <f t="shared" si="20"/>
        <v>0</v>
      </c>
      <c r="K69"/>
      <c r="L69"/>
      <c r="N69" s="1"/>
    </row>
    <row r="70" spans="1:14" x14ac:dyDescent="0.25">
      <c r="A70" s="5" t="s">
        <v>119</v>
      </c>
      <c r="B70" s="5" t="s">
        <v>120</v>
      </c>
      <c r="C70" s="5"/>
      <c r="D70" s="5">
        <v>26.04</v>
      </c>
      <c r="E70" s="5" t="s">
        <v>999</v>
      </c>
      <c r="F70" s="7">
        <v>0</v>
      </c>
      <c r="I70"/>
      <c r="J70" s="10">
        <f t="shared" si="20"/>
        <v>0</v>
      </c>
      <c r="K70"/>
      <c r="L70"/>
      <c r="N70" s="1"/>
    </row>
    <row r="71" spans="1:14" x14ac:dyDescent="0.25">
      <c r="A71" s="5" t="s">
        <v>117</v>
      </c>
      <c r="B71" s="5" t="s">
        <v>118</v>
      </c>
      <c r="C71" s="5">
        <f>VLOOKUP(A71,[2]Hoja2!$A:$F,6,0)</f>
        <v>16.03</v>
      </c>
      <c r="D71" s="5">
        <v>13</v>
      </c>
      <c r="E71" s="24" t="s">
        <v>1000</v>
      </c>
      <c r="F71" s="7">
        <v>1</v>
      </c>
      <c r="H71" s="11">
        <v>1</v>
      </c>
      <c r="I71" s="19"/>
      <c r="J71" s="10">
        <f t="shared" si="20"/>
        <v>0</v>
      </c>
      <c r="K71">
        <f>+H71*D71</f>
        <v>13</v>
      </c>
      <c r="L71" t="s">
        <v>1042</v>
      </c>
      <c r="N71" s="1"/>
    </row>
    <row r="72" spans="1:14" x14ac:dyDescent="0.25">
      <c r="A72" s="5" t="s">
        <v>205</v>
      </c>
      <c r="B72" s="5" t="s">
        <v>625</v>
      </c>
      <c r="C72" s="5"/>
      <c r="D72" s="5">
        <v>2.94</v>
      </c>
      <c r="E72" s="5" t="s">
        <v>1000</v>
      </c>
      <c r="F72" s="7">
        <v>0</v>
      </c>
      <c r="I72"/>
      <c r="J72" s="10">
        <f t="shared" si="20"/>
        <v>0</v>
      </c>
      <c r="K72"/>
      <c r="L72"/>
      <c r="N72" s="1"/>
    </row>
    <row r="73" spans="1:14" x14ac:dyDescent="0.25">
      <c r="A73" s="5" t="s">
        <v>206</v>
      </c>
      <c r="B73" s="5" t="s">
        <v>626</v>
      </c>
      <c r="C73" s="5"/>
      <c r="D73" s="5">
        <v>6.56</v>
      </c>
      <c r="E73" s="5" t="s">
        <v>1000</v>
      </c>
      <c r="F73" s="7">
        <v>0</v>
      </c>
      <c r="I73"/>
      <c r="J73" s="10">
        <f t="shared" si="20"/>
        <v>0</v>
      </c>
      <c r="K73"/>
      <c r="L73"/>
      <c r="N73" s="1"/>
    </row>
    <row r="74" spans="1:14" x14ac:dyDescent="0.25">
      <c r="A74" s="5" t="s">
        <v>207</v>
      </c>
      <c r="B74" s="5" t="s">
        <v>627</v>
      </c>
      <c r="C74" s="5">
        <f>VLOOKUP(A74,[2]Hoja2!$A:$F,6,0)</f>
        <v>16.03</v>
      </c>
      <c r="D74" s="5">
        <v>13</v>
      </c>
      <c r="E74" s="24" t="s">
        <v>1000</v>
      </c>
      <c r="F74" s="7">
        <v>1</v>
      </c>
      <c r="H74" s="11">
        <v>1</v>
      </c>
      <c r="I74" s="19"/>
      <c r="J74" s="10">
        <f t="shared" si="20"/>
        <v>0</v>
      </c>
      <c r="K74">
        <f>+H74*D74</f>
        <v>13</v>
      </c>
      <c r="L74" t="s">
        <v>1042</v>
      </c>
      <c r="N74" s="1"/>
    </row>
    <row r="75" spans="1:14" x14ac:dyDescent="0.25">
      <c r="A75" s="5" t="s">
        <v>208</v>
      </c>
      <c r="B75" s="5" t="s">
        <v>628</v>
      </c>
      <c r="C75" s="5">
        <f>VLOOKUP(A75,[2]Hoja2!$A:$F,6,0)</f>
        <v>61.53</v>
      </c>
      <c r="D75" s="5">
        <v>53</v>
      </c>
      <c r="E75" s="5" t="s">
        <v>1001</v>
      </c>
      <c r="F75" s="7">
        <v>2</v>
      </c>
      <c r="G75">
        <v>2</v>
      </c>
      <c r="J75" s="10">
        <f t="shared" si="20"/>
        <v>0</v>
      </c>
      <c r="K75">
        <f t="shared" ref="K75" si="21">+H75*D75</f>
        <v>0</v>
      </c>
      <c r="L75"/>
      <c r="N75" s="1"/>
    </row>
    <row r="76" spans="1:14" x14ac:dyDescent="0.25">
      <c r="A76" s="5" t="s">
        <v>209</v>
      </c>
      <c r="B76" s="5" t="s">
        <v>629</v>
      </c>
      <c r="C76" s="5"/>
      <c r="D76" s="5">
        <v>53</v>
      </c>
      <c r="E76" s="5" t="s">
        <v>1001</v>
      </c>
      <c r="F76" s="7">
        <v>0</v>
      </c>
      <c r="I76"/>
      <c r="J76" s="10">
        <f t="shared" si="20"/>
        <v>0</v>
      </c>
      <c r="K76"/>
      <c r="L76"/>
      <c r="N76" s="1"/>
    </row>
    <row r="77" spans="1:14" x14ac:dyDescent="0.25">
      <c r="A77" s="5" t="s">
        <v>210</v>
      </c>
      <c r="B77" s="5" t="s">
        <v>630</v>
      </c>
      <c r="C77" s="5">
        <f>VLOOKUP(A77,[2]Hoja2!$A:$F,6,0)</f>
        <v>72.599999999999994</v>
      </c>
      <c r="D77" s="5">
        <v>61.25</v>
      </c>
      <c r="E77" s="5" t="s">
        <v>1001</v>
      </c>
      <c r="F77" s="7">
        <v>1</v>
      </c>
      <c r="G77">
        <v>1</v>
      </c>
      <c r="J77" s="10">
        <f t="shared" si="20"/>
        <v>0</v>
      </c>
      <c r="K77">
        <f>+H77*D77</f>
        <v>0</v>
      </c>
      <c r="L77"/>
      <c r="N77" s="1"/>
    </row>
    <row r="78" spans="1:14" x14ac:dyDescent="0.25">
      <c r="A78" s="5" t="s">
        <v>211</v>
      </c>
      <c r="B78" s="5" t="s">
        <v>631</v>
      </c>
      <c r="C78" s="5"/>
      <c r="D78" s="5">
        <v>35.090000000000003</v>
      </c>
      <c r="E78" s="5" t="s">
        <v>1001</v>
      </c>
      <c r="F78" s="7">
        <v>0</v>
      </c>
      <c r="I78"/>
      <c r="J78" s="10">
        <f t="shared" si="20"/>
        <v>0</v>
      </c>
      <c r="K78"/>
      <c r="L78"/>
      <c r="N78" s="1"/>
    </row>
    <row r="79" spans="1:14" x14ac:dyDescent="0.25">
      <c r="A79" s="5" t="s">
        <v>212</v>
      </c>
      <c r="B79" s="5" t="s">
        <v>632</v>
      </c>
      <c r="C79" s="5">
        <f>VLOOKUP(A79,[2]Hoja2!$A:$F,6,0)</f>
        <v>46.52</v>
      </c>
      <c r="D79" s="5">
        <v>35.090000000000003</v>
      </c>
      <c r="E79" s="5" t="s">
        <v>1001</v>
      </c>
      <c r="F79" s="7">
        <v>2</v>
      </c>
      <c r="G79">
        <v>2</v>
      </c>
      <c r="J79" s="10">
        <f t="shared" si="20"/>
        <v>0</v>
      </c>
      <c r="K79">
        <f t="shared" ref="K79:K82" si="22">+H79*D79</f>
        <v>0</v>
      </c>
      <c r="L79"/>
      <c r="N79" s="1"/>
    </row>
    <row r="80" spans="1:14" x14ac:dyDescent="0.25">
      <c r="A80" s="5" t="s">
        <v>213</v>
      </c>
      <c r="B80" s="5" t="s">
        <v>633</v>
      </c>
      <c r="C80" s="5">
        <f>VLOOKUP(A80,[2]Hoja2!$A:$F,6,0)</f>
        <v>46.52</v>
      </c>
      <c r="D80" s="5">
        <v>35.049999999999997</v>
      </c>
      <c r="E80" s="5" t="s">
        <v>1001</v>
      </c>
      <c r="F80" s="7">
        <v>2</v>
      </c>
      <c r="G80">
        <v>2</v>
      </c>
      <c r="J80" s="10">
        <f t="shared" si="20"/>
        <v>0</v>
      </c>
      <c r="K80">
        <f t="shared" si="22"/>
        <v>0</v>
      </c>
      <c r="L80"/>
      <c r="N80" s="1"/>
    </row>
    <row r="81" spans="1:14" x14ac:dyDescent="0.25">
      <c r="A81" s="5" t="s">
        <v>214</v>
      </c>
      <c r="B81" s="5" t="s">
        <v>634</v>
      </c>
      <c r="C81" s="5">
        <f>VLOOKUP(A81,[2]Hoja2!$A:$F,6,0)</f>
        <v>46.52</v>
      </c>
      <c r="D81" s="5">
        <v>37.5</v>
      </c>
      <c r="E81" s="5" t="s">
        <v>1001</v>
      </c>
      <c r="F81" s="7">
        <v>1</v>
      </c>
      <c r="G81">
        <v>1</v>
      </c>
      <c r="J81" s="10">
        <f t="shared" si="20"/>
        <v>0</v>
      </c>
      <c r="K81">
        <f t="shared" si="22"/>
        <v>0</v>
      </c>
      <c r="L81"/>
      <c r="N81" s="1"/>
    </row>
    <row r="82" spans="1:14" x14ac:dyDescent="0.25">
      <c r="A82" s="5" t="s">
        <v>215</v>
      </c>
      <c r="B82" s="5" t="s">
        <v>635</v>
      </c>
      <c r="C82" s="5">
        <f>VLOOKUP(A82,[2]Hoja2!$A:$F,6,0)</f>
        <v>46.52</v>
      </c>
      <c r="D82" s="5">
        <v>37.5</v>
      </c>
      <c r="E82" s="5" t="s">
        <v>1001</v>
      </c>
      <c r="F82" s="7">
        <v>1</v>
      </c>
      <c r="G82">
        <v>1</v>
      </c>
      <c r="J82" s="10">
        <f t="shared" si="20"/>
        <v>0</v>
      </c>
      <c r="K82">
        <f t="shared" si="22"/>
        <v>0</v>
      </c>
      <c r="L82"/>
      <c r="N82" s="1"/>
    </row>
    <row r="83" spans="1:14" x14ac:dyDescent="0.25">
      <c r="A83" s="5" t="s">
        <v>216</v>
      </c>
      <c r="B83" s="5" t="s">
        <v>636</v>
      </c>
      <c r="C83" s="5"/>
      <c r="D83" s="5">
        <v>37.5</v>
      </c>
      <c r="E83" s="5" t="s">
        <v>1001</v>
      </c>
      <c r="F83" s="7">
        <v>0</v>
      </c>
      <c r="I83"/>
      <c r="J83" s="10">
        <f t="shared" si="20"/>
        <v>0</v>
      </c>
      <c r="K83"/>
      <c r="L83"/>
      <c r="N83" s="1"/>
    </row>
    <row r="84" spans="1:14" x14ac:dyDescent="0.25">
      <c r="A84" s="5" t="s">
        <v>217</v>
      </c>
      <c r="B84" s="5" t="s">
        <v>637</v>
      </c>
      <c r="C84" s="5">
        <f>VLOOKUP(A84,[2]Hoja2!$A:$F,6,0)</f>
        <v>46.52</v>
      </c>
      <c r="D84" s="5">
        <v>37.5</v>
      </c>
      <c r="E84" s="5" t="s">
        <v>1001</v>
      </c>
      <c r="F84" s="7">
        <v>2</v>
      </c>
      <c r="G84">
        <v>2</v>
      </c>
      <c r="J84" s="10">
        <f t="shared" si="20"/>
        <v>0</v>
      </c>
      <c r="K84">
        <f t="shared" ref="K84:K85" si="23">+H84*D84</f>
        <v>0</v>
      </c>
      <c r="L84"/>
      <c r="N84" s="1"/>
    </row>
    <row r="85" spans="1:14" x14ac:dyDescent="0.25">
      <c r="A85" s="5" t="s">
        <v>218</v>
      </c>
      <c r="B85" s="5" t="s">
        <v>638</v>
      </c>
      <c r="C85" s="5">
        <v>0</v>
      </c>
      <c r="D85" s="5">
        <v>0</v>
      </c>
      <c r="E85" s="5" t="s">
        <v>1001</v>
      </c>
      <c r="F85" s="7">
        <v>1</v>
      </c>
      <c r="G85" s="5">
        <v>1</v>
      </c>
      <c r="J85" s="10">
        <f t="shared" si="20"/>
        <v>0</v>
      </c>
      <c r="K85">
        <f t="shared" si="23"/>
        <v>0</v>
      </c>
      <c r="L85"/>
      <c r="N85" s="1"/>
    </row>
    <row r="86" spans="1:14" x14ac:dyDescent="0.25">
      <c r="A86" s="5" t="s">
        <v>219</v>
      </c>
      <c r="B86" s="5" t="s">
        <v>639</v>
      </c>
      <c r="C86" s="5"/>
      <c r="D86" s="5">
        <v>34.15</v>
      </c>
      <c r="E86" s="5" t="s">
        <v>1001</v>
      </c>
      <c r="F86" s="7">
        <v>0</v>
      </c>
      <c r="I86"/>
      <c r="J86" s="10">
        <f t="shared" si="20"/>
        <v>0</v>
      </c>
      <c r="K86"/>
      <c r="L86"/>
      <c r="N86" s="1"/>
    </row>
    <row r="87" spans="1:14" x14ac:dyDescent="0.25">
      <c r="A87" s="5" t="s">
        <v>220</v>
      </c>
      <c r="B87" s="5" t="s">
        <v>640</v>
      </c>
      <c r="C87" s="5"/>
      <c r="D87" s="5">
        <v>6.5</v>
      </c>
      <c r="E87" s="5" t="s">
        <v>1002</v>
      </c>
      <c r="F87" s="7">
        <v>0</v>
      </c>
      <c r="I87"/>
      <c r="J87" s="10">
        <f t="shared" si="20"/>
        <v>0</v>
      </c>
      <c r="K87"/>
      <c r="L87"/>
      <c r="N87" s="1"/>
    </row>
    <row r="88" spans="1:14" x14ac:dyDescent="0.25">
      <c r="A88" s="5" t="s">
        <v>221</v>
      </c>
      <c r="B88" s="5" t="s">
        <v>641</v>
      </c>
      <c r="C88" s="5">
        <v>0</v>
      </c>
      <c r="D88" s="5">
        <v>0</v>
      </c>
      <c r="E88" s="5" t="s">
        <v>1002</v>
      </c>
      <c r="F88" s="7">
        <v>3</v>
      </c>
      <c r="G88" s="5">
        <v>3</v>
      </c>
      <c r="J88" s="10">
        <f t="shared" si="20"/>
        <v>0</v>
      </c>
      <c r="K88">
        <f>+H88*D88</f>
        <v>0</v>
      </c>
      <c r="L88"/>
      <c r="N88" s="1"/>
    </row>
    <row r="89" spans="1:14" x14ac:dyDescent="0.25">
      <c r="A89" s="5" t="s">
        <v>222</v>
      </c>
      <c r="B89" s="5" t="s">
        <v>642</v>
      </c>
      <c r="C89" s="5">
        <v>0</v>
      </c>
      <c r="D89" s="5">
        <v>0</v>
      </c>
      <c r="E89" s="5" t="s">
        <v>1002</v>
      </c>
      <c r="F89" s="7">
        <v>20</v>
      </c>
      <c r="H89" s="18">
        <v>15</v>
      </c>
      <c r="I89" s="19">
        <v>5</v>
      </c>
      <c r="J89" s="10">
        <f t="shared" si="20"/>
        <v>0</v>
      </c>
      <c r="K89">
        <f>+H89*D89</f>
        <v>0</v>
      </c>
      <c r="L89" t="s">
        <v>1042</v>
      </c>
      <c r="N89" s="1"/>
    </row>
    <row r="90" spans="1:14" x14ac:dyDescent="0.25">
      <c r="A90" s="5" t="s">
        <v>223</v>
      </c>
      <c r="B90" s="5" t="s">
        <v>643</v>
      </c>
      <c r="C90" s="5"/>
      <c r="D90" s="5">
        <v>0</v>
      </c>
      <c r="E90" s="5" t="s">
        <v>1003</v>
      </c>
      <c r="F90" s="7">
        <v>0</v>
      </c>
      <c r="I90"/>
      <c r="J90" s="10">
        <f t="shared" si="20"/>
        <v>0</v>
      </c>
      <c r="K90"/>
      <c r="L90"/>
      <c r="N90" s="1"/>
    </row>
    <row r="91" spans="1:14" x14ac:dyDescent="0.25">
      <c r="A91" s="5" t="s">
        <v>224</v>
      </c>
      <c r="B91" s="5" t="s">
        <v>644</v>
      </c>
      <c r="C91" s="5"/>
      <c r="D91" s="5">
        <v>0</v>
      </c>
      <c r="E91" s="5" t="s">
        <v>1003</v>
      </c>
      <c r="F91" s="7">
        <v>0</v>
      </c>
      <c r="I91"/>
      <c r="J91" s="10">
        <f t="shared" si="20"/>
        <v>0</v>
      </c>
      <c r="K91"/>
      <c r="L91"/>
      <c r="N91" s="1"/>
    </row>
    <row r="92" spans="1:14" x14ac:dyDescent="0.25">
      <c r="A92" s="5" t="s">
        <v>225</v>
      </c>
      <c r="B92" s="5" t="s">
        <v>645</v>
      </c>
      <c r="C92" s="5"/>
      <c r="D92" s="5">
        <v>0</v>
      </c>
      <c r="E92" s="5" t="s">
        <v>1003</v>
      </c>
      <c r="F92" s="7">
        <v>0</v>
      </c>
      <c r="I92"/>
      <c r="J92" s="10">
        <f t="shared" si="20"/>
        <v>0</v>
      </c>
      <c r="K92"/>
      <c r="L92"/>
      <c r="N92" s="1"/>
    </row>
    <row r="93" spans="1:14" x14ac:dyDescent="0.25">
      <c r="A93" s="5" t="s">
        <v>226</v>
      </c>
      <c r="B93" s="5" t="s">
        <v>646</v>
      </c>
      <c r="C93" s="5">
        <f>VLOOKUP(A93,[2]Hoja2!$A:$F,6,0)</f>
        <v>1.05</v>
      </c>
      <c r="D93" s="5">
        <v>0.8</v>
      </c>
      <c r="E93" s="24" t="s">
        <v>1003</v>
      </c>
      <c r="F93" s="7">
        <v>6</v>
      </c>
      <c r="H93" s="11">
        <v>6</v>
      </c>
      <c r="I93" s="19">
        <f t="shared" ref="I93:I94" si="24">+F93-G93-H93</f>
        <v>0</v>
      </c>
      <c r="J93" s="10">
        <f t="shared" si="20"/>
        <v>0</v>
      </c>
      <c r="K93">
        <f t="shared" ref="K93:K94" si="25">+H93*D93</f>
        <v>4.8000000000000007</v>
      </c>
      <c r="L93" t="s">
        <v>1042</v>
      </c>
      <c r="N93" s="1"/>
    </row>
    <row r="94" spans="1:14" x14ac:dyDescent="0.25">
      <c r="A94" s="5" t="s">
        <v>227</v>
      </c>
      <c r="B94" s="5" t="s">
        <v>647</v>
      </c>
      <c r="C94" s="5">
        <f>VLOOKUP(A94,[2]Hoja2!$A:$F,6,0)</f>
        <v>15.28</v>
      </c>
      <c r="D94" s="5">
        <v>11.65</v>
      </c>
      <c r="E94" s="24" t="s">
        <v>1004</v>
      </c>
      <c r="F94" s="7">
        <v>1</v>
      </c>
      <c r="H94" s="11">
        <v>1</v>
      </c>
      <c r="I94" s="19">
        <f t="shared" si="24"/>
        <v>0</v>
      </c>
      <c r="J94" s="10">
        <f t="shared" si="20"/>
        <v>0</v>
      </c>
      <c r="K94">
        <f t="shared" si="25"/>
        <v>11.65</v>
      </c>
      <c r="L94" t="s">
        <v>1042</v>
      </c>
      <c r="N94" s="1"/>
    </row>
    <row r="95" spans="1:14" x14ac:dyDescent="0.25">
      <c r="A95" s="5" t="s">
        <v>228</v>
      </c>
      <c r="B95" s="5" t="s">
        <v>648</v>
      </c>
      <c r="C95" s="5">
        <f>VLOOKUP(A95,[2]Hoja2!$A:$F,6,0)</f>
        <v>45.63</v>
      </c>
      <c r="D95" s="5">
        <v>36</v>
      </c>
      <c r="E95" s="5" t="s">
        <v>1005</v>
      </c>
      <c r="F95" s="7">
        <v>4</v>
      </c>
      <c r="G95">
        <v>4</v>
      </c>
      <c r="J95" s="10">
        <f t="shared" si="20"/>
        <v>0</v>
      </c>
      <c r="K95"/>
      <c r="L95"/>
      <c r="N95" s="1"/>
    </row>
    <row r="96" spans="1:14" x14ac:dyDescent="0.25">
      <c r="A96" s="5" t="s">
        <v>78</v>
      </c>
      <c r="B96" s="5" t="s">
        <v>79</v>
      </c>
      <c r="C96" s="5">
        <f>VLOOKUP(A96,[2]Hoja2!$A:$F,6,0)</f>
        <v>65.73</v>
      </c>
      <c r="D96" s="5">
        <v>52</v>
      </c>
      <c r="E96" s="24" t="s">
        <v>1005</v>
      </c>
      <c r="F96" s="7">
        <v>2</v>
      </c>
      <c r="H96" s="18">
        <v>1</v>
      </c>
      <c r="I96" s="19">
        <f>+F96-G96-H96</f>
        <v>1</v>
      </c>
      <c r="J96" s="10">
        <f t="shared" si="20"/>
        <v>0</v>
      </c>
      <c r="K96">
        <f>+H96*D96</f>
        <v>52</v>
      </c>
      <c r="L96" t="s">
        <v>1042</v>
      </c>
      <c r="N96" s="1"/>
    </row>
    <row r="97" spans="1:14" x14ac:dyDescent="0.25">
      <c r="A97" s="5" t="s">
        <v>229</v>
      </c>
      <c r="B97" s="5" t="s">
        <v>649</v>
      </c>
      <c r="C97" s="5"/>
      <c r="D97" s="5">
        <v>10.78</v>
      </c>
      <c r="E97" s="5" t="s">
        <v>1006</v>
      </c>
      <c r="F97" s="7">
        <v>0</v>
      </c>
      <c r="I97"/>
      <c r="J97" s="10">
        <f t="shared" si="20"/>
        <v>0</v>
      </c>
      <c r="K97"/>
      <c r="L97"/>
      <c r="N97" s="1"/>
    </row>
    <row r="98" spans="1:14" x14ac:dyDescent="0.25">
      <c r="A98" s="5" t="s">
        <v>230</v>
      </c>
      <c r="B98" s="5" t="s">
        <v>650</v>
      </c>
      <c r="C98" s="5"/>
      <c r="D98" s="5">
        <v>0</v>
      </c>
      <c r="E98" s="5" t="s">
        <v>1006</v>
      </c>
      <c r="F98" s="7">
        <v>0</v>
      </c>
      <c r="I98"/>
      <c r="J98" s="10">
        <f t="shared" si="20"/>
        <v>0</v>
      </c>
      <c r="K98"/>
      <c r="L98"/>
      <c r="N98" s="1"/>
    </row>
    <row r="99" spans="1:14" x14ac:dyDescent="0.25">
      <c r="A99" s="5" t="s">
        <v>231</v>
      </c>
      <c r="B99" s="5" t="s">
        <v>651</v>
      </c>
      <c r="C99" s="5"/>
      <c r="D99" s="5">
        <v>32</v>
      </c>
      <c r="E99" s="5" t="s">
        <v>1007</v>
      </c>
      <c r="F99" s="7">
        <v>0</v>
      </c>
      <c r="I99"/>
      <c r="J99" s="10">
        <f t="shared" si="20"/>
        <v>0</v>
      </c>
      <c r="K99"/>
      <c r="L99"/>
      <c r="N99" s="1"/>
    </row>
    <row r="100" spans="1:14" x14ac:dyDescent="0.25">
      <c r="A100" s="5" t="s">
        <v>232</v>
      </c>
      <c r="B100" s="5" t="s">
        <v>652</v>
      </c>
      <c r="C100" s="5"/>
      <c r="D100" s="5">
        <v>63</v>
      </c>
      <c r="E100" s="5" t="s">
        <v>1007</v>
      </c>
      <c r="F100" s="7">
        <v>0</v>
      </c>
      <c r="I100"/>
      <c r="J100" s="10">
        <f t="shared" si="20"/>
        <v>0</v>
      </c>
      <c r="K100"/>
      <c r="L100"/>
      <c r="N100" s="1"/>
    </row>
    <row r="101" spans="1:14" x14ac:dyDescent="0.25">
      <c r="A101" s="5" t="s">
        <v>233</v>
      </c>
      <c r="B101" s="5" t="s">
        <v>653</v>
      </c>
      <c r="C101" s="5">
        <f>VLOOKUP(A101,[2]Hoja2!$A:$F,6,0)</f>
        <v>111</v>
      </c>
      <c r="D101" s="5">
        <v>78</v>
      </c>
      <c r="E101" s="5" t="s">
        <v>1007</v>
      </c>
      <c r="F101" s="7">
        <v>3</v>
      </c>
      <c r="G101">
        <v>3</v>
      </c>
      <c r="J101" s="10">
        <f t="shared" si="20"/>
        <v>0</v>
      </c>
      <c r="K101">
        <f t="shared" ref="K101" si="26">+H101*D101</f>
        <v>0</v>
      </c>
      <c r="L101"/>
      <c r="N101" s="1"/>
    </row>
    <row r="102" spans="1:14" x14ac:dyDescent="0.25">
      <c r="A102" s="5" t="s">
        <v>82</v>
      </c>
      <c r="B102" s="5" t="s">
        <v>83</v>
      </c>
      <c r="C102" s="5">
        <f>VLOOKUP(A102,[2]Hoja2!$A:$F,6,0)</f>
        <v>16.600000000000001</v>
      </c>
      <c r="D102" s="5">
        <v>11.6</v>
      </c>
      <c r="E102" s="9" t="s">
        <v>1007</v>
      </c>
      <c r="F102" s="7">
        <v>2</v>
      </c>
      <c r="H102" s="11">
        <v>1</v>
      </c>
      <c r="I102" s="19">
        <f>+F102-G102-H102</f>
        <v>1</v>
      </c>
      <c r="J102" s="10">
        <f t="shared" si="20"/>
        <v>0</v>
      </c>
      <c r="K102">
        <f>+H102*D102</f>
        <v>11.6</v>
      </c>
      <c r="L102" t="s">
        <v>1043</v>
      </c>
      <c r="N102" s="1"/>
    </row>
    <row r="103" spans="1:14" x14ac:dyDescent="0.25">
      <c r="A103" s="5" t="s">
        <v>234</v>
      </c>
      <c r="B103" s="5" t="s">
        <v>654</v>
      </c>
      <c r="C103" s="5"/>
      <c r="D103" s="5">
        <v>32</v>
      </c>
      <c r="E103" s="5" t="s">
        <v>1007</v>
      </c>
      <c r="F103" s="7">
        <v>0</v>
      </c>
      <c r="I103"/>
      <c r="J103" s="10">
        <f t="shared" si="20"/>
        <v>0</v>
      </c>
      <c r="K103"/>
      <c r="L103"/>
      <c r="N103" s="1"/>
    </row>
    <row r="104" spans="1:14" x14ac:dyDescent="0.25">
      <c r="A104" s="5" t="s">
        <v>235</v>
      </c>
      <c r="B104" s="5" t="s">
        <v>655</v>
      </c>
      <c r="C104" s="5"/>
      <c r="D104" s="5">
        <v>30.5</v>
      </c>
      <c r="E104" s="5" t="s">
        <v>1007</v>
      </c>
      <c r="F104" s="7">
        <v>0</v>
      </c>
      <c r="I104"/>
      <c r="J104" s="10">
        <f t="shared" si="20"/>
        <v>0</v>
      </c>
      <c r="K104"/>
      <c r="L104"/>
      <c r="N104" s="1"/>
    </row>
    <row r="105" spans="1:14" x14ac:dyDescent="0.25">
      <c r="A105" s="5" t="s">
        <v>236</v>
      </c>
      <c r="B105" s="5" t="s">
        <v>656</v>
      </c>
      <c r="C105" s="5"/>
      <c r="D105" s="5">
        <v>57</v>
      </c>
      <c r="E105" s="5" t="s">
        <v>1007</v>
      </c>
      <c r="F105" s="7">
        <v>0</v>
      </c>
      <c r="I105"/>
      <c r="J105" s="10">
        <f t="shared" si="20"/>
        <v>0</v>
      </c>
      <c r="K105"/>
      <c r="L105"/>
      <c r="N105" s="1"/>
    </row>
    <row r="106" spans="1:14" x14ac:dyDescent="0.25">
      <c r="A106" s="5" t="s">
        <v>237</v>
      </c>
      <c r="B106" s="5" t="s">
        <v>657</v>
      </c>
      <c r="C106" s="5"/>
      <c r="D106" s="5">
        <v>35</v>
      </c>
      <c r="E106" s="5" t="s">
        <v>1007</v>
      </c>
      <c r="F106" s="7">
        <v>0</v>
      </c>
      <c r="I106"/>
      <c r="J106" s="10">
        <f t="shared" si="20"/>
        <v>0</v>
      </c>
      <c r="K106"/>
      <c r="L106"/>
      <c r="N106" s="1"/>
    </row>
    <row r="107" spans="1:14" x14ac:dyDescent="0.25">
      <c r="A107" s="9" t="s">
        <v>238</v>
      </c>
      <c r="B107" s="5" t="s">
        <v>658</v>
      </c>
      <c r="C107" s="5">
        <v>48.01</v>
      </c>
      <c r="D107" s="5">
        <v>43.8</v>
      </c>
      <c r="E107" s="9" t="s">
        <v>1007</v>
      </c>
      <c r="F107" s="7">
        <v>4</v>
      </c>
      <c r="G107" s="5"/>
      <c r="H107" s="18">
        <v>1</v>
      </c>
      <c r="I107" s="19">
        <f t="shared" ref="I107:I111" si="27">+F107-G107-H107</f>
        <v>3</v>
      </c>
      <c r="J107" s="10">
        <f t="shared" si="20"/>
        <v>0</v>
      </c>
      <c r="K107">
        <f t="shared" ref="K107:K111" si="28">+H107*D107</f>
        <v>43.8</v>
      </c>
      <c r="L107" t="s">
        <v>1043</v>
      </c>
      <c r="N107" s="1"/>
    </row>
    <row r="108" spans="1:14" x14ac:dyDescent="0.25">
      <c r="A108" s="5" t="s">
        <v>239</v>
      </c>
      <c r="B108" s="5" t="s">
        <v>659</v>
      </c>
      <c r="C108" s="5">
        <f>VLOOKUP(A108,[2]Hoja2!$A:$F,6,0)</f>
        <v>63.29</v>
      </c>
      <c r="D108" s="5">
        <v>43.8</v>
      </c>
      <c r="E108" s="9" t="s">
        <v>1007</v>
      </c>
      <c r="F108" s="7">
        <v>3</v>
      </c>
      <c r="H108" s="11">
        <v>1</v>
      </c>
      <c r="I108" s="19">
        <f t="shared" si="27"/>
        <v>2</v>
      </c>
      <c r="J108" s="10">
        <f t="shared" si="20"/>
        <v>0</v>
      </c>
      <c r="K108">
        <f t="shared" si="28"/>
        <v>43.8</v>
      </c>
      <c r="L108" t="s">
        <v>1043</v>
      </c>
      <c r="N108" s="1"/>
    </row>
    <row r="109" spans="1:14" x14ac:dyDescent="0.25">
      <c r="A109" s="5" t="s">
        <v>240</v>
      </c>
      <c r="B109" s="5" t="s">
        <v>660</v>
      </c>
      <c r="C109" s="5">
        <f>VLOOKUP(A109,[2]Hoja2!$A:$F,6,0)</f>
        <v>63.29</v>
      </c>
      <c r="D109" s="5">
        <v>43.8</v>
      </c>
      <c r="E109" s="9" t="s">
        <v>1007</v>
      </c>
      <c r="F109" s="7">
        <v>3</v>
      </c>
      <c r="H109" s="18">
        <v>1</v>
      </c>
      <c r="I109" s="19">
        <f t="shared" si="27"/>
        <v>2</v>
      </c>
      <c r="J109" s="10">
        <f t="shared" si="20"/>
        <v>0</v>
      </c>
      <c r="K109">
        <f t="shared" si="28"/>
        <v>43.8</v>
      </c>
      <c r="L109" t="s">
        <v>1043</v>
      </c>
      <c r="N109" s="1"/>
    </row>
    <row r="110" spans="1:14" x14ac:dyDescent="0.25">
      <c r="A110" s="5" t="s">
        <v>241</v>
      </c>
      <c r="B110" s="5" t="s">
        <v>661</v>
      </c>
      <c r="C110" s="5">
        <f>VLOOKUP(A110,[2]Hoja2!$A:$F,6,0)</f>
        <v>63.29</v>
      </c>
      <c r="D110" s="5">
        <v>42.65</v>
      </c>
      <c r="E110" s="9" t="s">
        <v>1007</v>
      </c>
      <c r="F110" s="7">
        <v>2</v>
      </c>
      <c r="H110" s="18">
        <v>1</v>
      </c>
      <c r="I110" s="19">
        <f t="shared" si="27"/>
        <v>1</v>
      </c>
      <c r="J110" s="10">
        <f t="shared" si="20"/>
        <v>0</v>
      </c>
      <c r="K110">
        <f t="shared" si="28"/>
        <v>42.65</v>
      </c>
      <c r="L110" t="s">
        <v>1043</v>
      </c>
      <c r="N110" s="1"/>
    </row>
    <row r="111" spans="1:14" x14ac:dyDescent="0.25">
      <c r="A111" s="5" t="s">
        <v>242</v>
      </c>
      <c r="B111" s="5" t="s">
        <v>662</v>
      </c>
      <c r="C111" s="5">
        <f>VLOOKUP(A111,[2]Hoja2!$A:$F,6,0)</f>
        <v>22.01</v>
      </c>
      <c r="D111" s="5">
        <v>15.18</v>
      </c>
      <c r="E111" s="9" t="s">
        <v>1007</v>
      </c>
      <c r="F111" s="7">
        <v>1</v>
      </c>
      <c r="H111" s="18">
        <v>1</v>
      </c>
      <c r="I111" s="19">
        <f t="shared" si="27"/>
        <v>0</v>
      </c>
      <c r="J111" s="10">
        <f t="shared" si="20"/>
        <v>0</v>
      </c>
      <c r="K111">
        <f t="shared" si="28"/>
        <v>15.18</v>
      </c>
      <c r="L111" t="s">
        <v>1043</v>
      </c>
      <c r="N111" s="1"/>
    </row>
    <row r="112" spans="1:14" x14ac:dyDescent="0.25">
      <c r="A112" s="5" t="s">
        <v>243</v>
      </c>
      <c r="B112" s="5" t="s">
        <v>663</v>
      </c>
      <c r="C112" s="5"/>
      <c r="D112" s="5">
        <v>15.21</v>
      </c>
      <c r="E112" s="5" t="s">
        <v>1007</v>
      </c>
      <c r="F112" s="7">
        <v>0</v>
      </c>
      <c r="I112"/>
      <c r="J112" s="10">
        <f t="shared" si="20"/>
        <v>0</v>
      </c>
      <c r="K112"/>
      <c r="L112"/>
      <c r="N112" s="1"/>
    </row>
    <row r="113" spans="1:14" x14ac:dyDescent="0.25">
      <c r="A113" s="5" t="s">
        <v>244</v>
      </c>
      <c r="B113" s="5" t="s">
        <v>664</v>
      </c>
      <c r="C113" s="5"/>
      <c r="D113" s="5">
        <v>169</v>
      </c>
      <c r="E113" s="5" t="s">
        <v>1007</v>
      </c>
      <c r="F113" s="7">
        <v>0</v>
      </c>
      <c r="I113"/>
      <c r="J113" s="10">
        <f t="shared" si="20"/>
        <v>0</v>
      </c>
      <c r="K113"/>
      <c r="L113"/>
      <c r="N113" s="1"/>
    </row>
    <row r="114" spans="1:14" x14ac:dyDescent="0.25">
      <c r="A114" s="5" t="s">
        <v>245</v>
      </c>
      <c r="B114" s="5" t="s">
        <v>665</v>
      </c>
      <c r="C114" s="5"/>
      <c r="D114" s="5">
        <v>0</v>
      </c>
      <c r="E114" s="5" t="s">
        <v>1007</v>
      </c>
      <c r="F114" s="7">
        <v>0</v>
      </c>
      <c r="I114"/>
      <c r="J114" s="10">
        <f t="shared" si="20"/>
        <v>0</v>
      </c>
      <c r="K114"/>
      <c r="L114"/>
      <c r="N114" s="1"/>
    </row>
    <row r="115" spans="1:14" x14ac:dyDescent="0.25">
      <c r="A115" s="5" t="s">
        <v>246</v>
      </c>
      <c r="B115" s="5" t="s">
        <v>666</v>
      </c>
      <c r="C115" s="5"/>
      <c r="D115" s="5">
        <v>0</v>
      </c>
      <c r="E115" s="5" t="s">
        <v>1007</v>
      </c>
      <c r="F115" s="7">
        <v>0</v>
      </c>
      <c r="I115"/>
      <c r="J115" s="10">
        <f t="shared" si="20"/>
        <v>0</v>
      </c>
      <c r="K115"/>
      <c r="L115"/>
      <c r="N115" s="1"/>
    </row>
    <row r="116" spans="1:14" x14ac:dyDescent="0.25">
      <c r="A116" s="5" t="s">
        <v>247</v>
      </c>
      <c r="B116" s="5" t="s">
        <v>667</v>
      </c>
      <c r="C116" s="5">
        <f>VLOOKUP(A116,[2]Hoja2!$A:$F,6,0)</f>
        <v>144.33000000000001</v>
      </c>
      <c r="D116" s="5">
        <v>129</v>
      </c>
      <c r="E116" s="5" t="s">
        <v>1007</v>
      </c>
      <c r="F116" s="7">
        <v>2</v>
      </c>
      <c r="G116">
        <v>2</v>
      </c>
      <c r="J116" s="10">
        <f t="shared" si="20"/>
        <v>0</v>
      </c>
      <c r="K116">
        <f t="shared" ref="K116:K117" si="29">+H116*D116</f>
        <v>0</v>
      </c>
      <c r="L116"/>
      <c r="N116" s="1"/>
    </row>
    <row r="117" spans="1:14" x14ac:dyDescent="0.25">
      <c r="A117" s="5" t="s">
        <v>248</v>
      </c>
      <c r="B117" s="5" t="s">
        <v>668</v>
      </c>
      <c r="C117" s="5">
        <f>VLOOKUP(A117,[2]Hoja2!$A:$F,6,0)</f>
        <v>4.4800000000000004</v>
      </c>
      <c r="D117" s="5">
        <v>4.58</v>
      </c>
      <c r="E117" s="5" t="s">
        <v>1007</v>
      </c>
      <c r="F117" s="7">
        <v>5</v>
      </c>
      <c r="G117">
        <v>5</v>
      </c>
      <c r="J117" s="10">
        <f t="shared" si="20"/>
        <v>0</v>
      </c>
      <c r="K117">
        <f t="shared" si="29"/>
        <v>0</v>
      </c>
      <c r="L117"/>
      <c r="N117" s="1"/>
    </row>
    <row r="118" spans="1:14" x14ac:dyDescent="0.25">
      <c r="A118" s="5" t="s">
        <v>249</v>
      </c>
      <c r="B118" s="5" t="s">
        <v>669</v>
      </c>
      <c r="C118" s="5"/>
      <c r="D118" s="5">
        <v>0</v>
      </c>
      <c r="E118" s="5" t="s">
        <v>1007</v>
      </c>
      <c r="F118" s="7">
        <v>0</v>
      </c>
      <c r="I118"/>
      <c r="J118" s="10">
        <f t="shared" si="20"/>
        <v>0</v>
      </c>
      <c r="K118"/>
      <c r="L118"/>
      <c r="N118" s="1"/>
    </row>
    <row r="119" spans="1:14" x14ac:dyDescent="0.25">
      <c r="A119" s="5" t="s">
        <v>250</v>
      </c>
      <c r="B119" s="5" t="s">
        <v>670</v>
      </c>
      <c r="C119" s="5">
        <f>VLOOKUP(A119,[2]Hoja2!$A:$F,6,0)</f>
        <v>229.29</v>
      </c>
      <c r="D119" s="5">
        <v>160</v>
      </c>
      <c r="E119" s="5" t="s">
        <v>1007</v>
      </c>
      <c r="F119" s="7">
        <v>2</v>
      </c>
      <c r="G119">
        <v>2</v>
      </c>
      <c r="J119" s="10">
        <f t="shared" si="20"/>
        <v>0</v>
      </c>
      <c r="K119">
        <f t="shared" ref="K119:K122" si="30">+H119*D119</f>
        <v>0</v>
      </c>
      <c r="L119"/>
      <c r="N119" s="1"/>
    </row>
    <row r="120" spans="1:14" x14ac:dyDescent="0.25">
      <c r="A120" s="5" t="s">
        <v>251</v>
      </c>
      <c r="B120" s="5" t="s">
        <v>671</v>
      </c>
      <c r="C120" s="5">
        <f>VLOOKUP(A120,[2]Hoja2!$A:$F,6,0)</f>
        <v>122.71</v>
      </c>
      <c r="D120" s="5">
        <v>99</v>
      </c>
      <c r="E120" s="5" t="s">
        <v>1007</v>
      </c>
      <c r="F120" s="7">
        <v>3</v>
      </c>
      <c r="G120">
        <v>3</v>
      </c>
      <c r="J120" s="10">
        <f t="shared" si="20"/>
        <v>0</v>
      </c>
      <c r="K120">
        <f t="shared" si="30"/>
        <v>0</v>
      </c>
      <c r="L120"/>
      <c r="N120" s="1"/>
    </row>
    <row r="121" spans="1:14" x14ac:dyDescent="0.25">
      <c r="A121" s="5" t="s">
        <v>252</v>
      </c>
      <c r="B121" s="5" t="s">
        <v>672</v>
      </c>
      <c r="C121" s="5">
        <f>VLOOKUP(A121,[2]Hoja2!$A:$F,6,0)</f>
        <v>49.33</v>
      </c>
      <c r="D121" s="5">
        <v>35.83</v>
      </c>
      <c r="E121" s="5" t="s">
        <v>1007</v>
      </c>
      <c r="F121" s="7">
        <v>2</v>
      </c>
      <c r="G121">
        <v>2</v>
      </c>
      <c r="J121" s="10">
        <f t="shared" si="20"/>
        <v>0</v>
      </c>
      <c r="K121">
        <f t="shared" si="30"/>
        <v>0</v>
      </c>
      <c r="L121"/>
      <c r="N121" s="1"/>
    </row>
    <row r="122" spans="1:14" x14ac:dyDescent="0.25">
      <c r="A122" s="5" t="s">
        <v>253</v>
      </c>
      <c r="B122" s="5" t="s">
        <v>673</v>
      </c>
      <c r="C122" s="5">
        <f>VLOOKUP(A122,[2]Hoja2!$A:$F,6,0)</f>
        <v>71.010000000000005</v>
      </c>
      <c r="D122" s="5">
        <v>47.03</v>
      </c>
      <c r="E122" s="5" t="s">
        <v>1007</v>
      </c>
      <c r="F122" s="7">
        <v>3</v>
      </c>
      <c r="G122">
        <v>3</v>
      </c>
      <c r="J122" s="10">
        <f t="shared" si="20"/>
        <v>0</v>
      </c>
      <c r="K122">
        <f t="shared" si="30"/>
        <v>0</v>
      </c>
      <c r="L122"/>
      <c r="N122" s="1"/>
    </row>
    <row r="123" spans="1:14" x14ac:dyDescent="0.25">
      <c r="A123" s="5" t="s">
        <v>254</v>
      </c>
      <c r="B123" s="5" t="s">
        <v>674</v>
      </c>
      <c r="C123" s="5">
        <f>VLOOKUP(A123,[2]Hoja2!$A:$F,6,0)</f>
        <v>84.73</v>
      </c>
      <c r="D123" s="5">
        <v>57.5</v>
      </c>
      <c r="E123" s="5" t="s">
        <v>1007</v>
      </c>
      <c r="F123" s="7">
        <v>4</v>
      </c>
      <c r="G123">
        <v>4</v>
      </c>
      <c r="J123" s="10">
        <f t="shared" si="20"/>
        <v>0</v>
      </c>
      <c r="K123"/>
      <c r="L123"/>
      <c r="N123" s="1"/>
    </row>
    <row r="124" spans="1:14" x14ac:dyDescent="0.25">
      <c r="A124" s="5" t="s">
        <v>48</v>
      </c>
      <c r="B124" s="5" t="s">
        <v>49</v>
      </c>
      <c r="C124" s="5">
        <f>VLOOKUP(A124,[2]Hoja2!$A:$F,6,0)</f>
        <v>95.07</v>
      </c>
      <c r="D124" s="5">
        <v>66.400000000000006</v>
      </c>
      <c r="E124" s="5" t="s">
        <v>1007</v>
      </c>
      <c r="F124" s="7">
        <v>2</v>
      </c>
      <c r="G124">
        <v>2</v>
      </c>
      <c r="J124" s="10">
        <f t="shared" si="20"/>
        <v>0</v>
      </c>
      <c r="K124">
        <f>+H124*D124</f>
        <v>0</v>
      </c>
      <c r="L124"/>
      <c r="N124" s="1"/>
    </row>
    <row r="125" spans="1:14" x14ac:dyDescent="0.25">
      <c r="A125" s="5" t="s">
        <v>255</v>
      </c>
      <c r="B125" s="5" t="s">
        <v>675</v>
      </c>
      <c r="C125" s="5">
        <f>VLOOKUP(A125,[2]Hoja2!$A:$F,6,0)</f>
        <v>65.73</v>
      </c>
      <c r="D125" s="5">
        <v>44.1</v>
      </c>
      <c r="E125" s="5" t="s">
        <v>1007</v>
      </c>
      <c r="F125" s="7">
        <v>3</v>
      </c>
      <c r="G125">
        <v>3</v>
      </c>
      <c r="J125" s="10">
        <f t="shared" si="20"/>
        <v>0</v>
      </c>
      <c r="K125">
        <f t="shared" ref="K125:K128" si="31">+H125*D125</f>
        <v>0</v>
      </c>
      <c r="L125"/>
      <c r="N125" s="1"/>
    </row>
    <row r="126" spans="1:14" x14ac:dyDescent="0.25">
      <c r="A126" s="5" t="s">
        <v>50</v>
      </c>
      <c r="B126" s="5" t="s">
        <v>51</v>
      </c>
      <c r="C126" s="5">
        <f>VLOOKUP(A126,[2]Hoja2!$A:$F,6,0)</f>
        <v>61.71</v>
      </c>
      <c r="D126" s="5">
        <v>43.05</v>
      </c>
      <c r="E126" s="5" t="s">
        <v>1007</v>
      </c>
      <c r="F126" s="7">
        <v>1</v>
      </c>
      <c r="G126">
        <v>1</v>
      </c>
      <c r="H126" s="18"/>
      <c r="I126" s="18"/>
      <c r="J126" s="10">
        <f t="shared" si="20"/>
        <v>0</v>
      </c>
      <c r="K126">
        <f t="shared" si="31"/>
        <v>0</v>
      </c>
      <c r="L126"/>
      <c r="N126" s="1"/>
    </row>
    <row r="127" spans="1:14" x14ac:dyDescent="0.25">
      <c r="A127" s="5" t="s">
        <v>54</v>
      </c>
      <c r="B127" s="5" t="s">
        <v>55</v>
      </c>
      <c r="C127" s="5">
        <f>VLOOKUP(A127,[2]Hoja2!$A:$F,6,0)</f>
        <v>59.2</v>
      </c>
      <c r="D127" s="5">
        <v>41.29</v>
      </c>
      <c r="E127" s="5" t="s">
        <v>1007</v>
      </c>
      <c r="F127" s="7">
        <v>1</v>
      </c>
      <c r="G127">
        <v>1</v>
      </c>
      <c r="H127" s="18"/>
      <c r="I127" s="18"/>
      <c r="J127" s="10">
        <f t="shared" si="20"/>
        <v>0</v>
      </c>
      <c r="K127">
        <f t="shared" si="31"/>
        <v>0</v>
      </c>
      <c r="L127"/>
      <c r="N127" s="1"/>
    </row>
    <row r="128" spans="1:14" x14ac:dyDescent="0.25">
      <c r="A128" s="5" t="s">
        <v>256</v>
      </c>
      <c r="B128" s="5" t="s">
        <v>676</v>
      </c>
      <c r="C128" s="5">
        <f>VLOOKUP(A128,[2]Hoja2!$A:$F,6,0)</f>
        <v>12.77</v>
      </c>
      <c r="D128" s="5">
        <v>8.84</v>
      </c>
      <c r="E128" s="5" t="s">
        <v>1007</v>
      </c>
      <c r="F128" s="7">
        <v>1</v>
      </c>
      <c r="G128">
        <v>1</v>
      </c>
      <c r="J128" s="10">
        <f t="shared" si="20"/>
        <v>0</v>
      </c>
      <c r="K128">
        <f t="shared" si="31"/>
        <v>0</v>
      </c>
      <c r="L128"/>
      <c r="N128" s="1"/>
    </row>
    <row r="129" spans="1:14" x14ac:dyDescent="0.25">
      <c r="A129" s="5" t="s">
        <v>123</v>
      </c>
      <c r="B129" s="5" t="s">
        <v>124</v>
      </c>
      <c r="C129" s="5"/>
      <c r="D129" s="5">
        <v>15.2</v>
      </c>
      <c r="E129" s="5" t="s">
        <v>1007</v>
      </c>
      <c r="F129" s="7">
        <v>0</v>
      </c>
      <c r="I129"/>
      <c r="J129" s="10">
        <f t="shared" si="20"/>
        <v>0</v>
      </c>
      <c r="K129"/>
      <c r="L129"/>
      <c r="N129" s="1"/>
    </row>
    <row r="130" spans="1:14" x14ac:dyDescent="0.25">
      <c r="A130" s="5" t="s">
        <v>257</v>
      </c>
      <c r="B130" s="5" t="s">
        <v>677</v>
      </c>
      <c r="C130" s="5">
        <f>VLOOKUP(A130,[2]Hoja2!$A:$F,6,0)</f>
        <v>22.01</v>
      </c>
      <c r="D130" s="5">
        <v>15.2</v>
      </c>
      <c r="E130" s="5" t="s">
        <v>1007</v>
      </c>
      <c r="F130" s="7">
        <v>1</v>
      </c>
      <c r="G130">
        <v>1</v>
      </c>
      <c r="J130" s="10">
        <f t="shared" si="20"/>
        <v>0</v>
      </c>
      <c r="K130">
        <f>+H130*D130</f>
        <v>0</v>
      </c>
      <c r="L130"/>
      <c r="N130" s="1"/>
    </row>
    <row r="131" spans="1:14" x14ac:dyDescent="0.25">
      <c r="A131" s="5" t="s">
        <v>28</v>
      </c>
      <c r="B131" s="5" t="s">
        <v>29</v>
      </c>
      <c r="C131" s="5">
        <f>VLOOKUP(A131,[2]Hoja2!$A:$F,6,0)</f>
        <v>3.54</v>
      </c>
      <c r="D131" s="5">
        <v>2.48</v>
      </c>
      <c r="E131" s="9" t="s">
        <v>1007</v>
      </c>
      <c r="F131" s="7">
        <v>16</v>
      </c>
      <c r="H131" s="11">
        <v>8</v>
      </c>
      <c r="I131" s="19">
        <f>+F131-G131-H131</f>
        <v>8</v>
      </c>
      <c r="J131" s="10">
        <f t="shared" ref="J131:J194" si="32">+F131-G131-H131-I131</f>
        <v>0</v>
      </c>
      <c r="K131">
        <f t="shared" ref="K131:K132" si="33">+H131*D131</f>
        <v>19.84</v>
      </c>
      <c r="L131" t="s">
        <v>1043</v>
      </c>
      <c r="N131" s="1"/>
    </row>
    <row r="132" spans="1:14" x14ac:dyDescent="0.25">
      <c r="A132" s="5" t="s">
        <v>258</v>
      </c>
      <c r="B132" s="5" t="s">
        <v>678</v>
      </c>
      <c r="C132" s="5">
        <f>VLOOKUP(A132,[2]Hoja2!$A:$F,6,0)</f>
        <v>67.86</v>
      </c>
      <c r="D132" s="5">
        <v>47.25</v>
      </c>
      <c r="E132" s="5" t="s">
        <v>1007</v>
      </c>
      <c r="F132" s="7">
        <v>5</v>
      </c>
      <c r="G132">
        <v>5</v>
      </c>
      <c r="H132" s="18"/>
      <c r="I132" s="18"/>
      <c r="J132" s="10">
        <f t="shared" si="32"/>
        <v>0</v>
      </c>
      <c r="K132">
        <f t="shared" si="33"/>
        <v>0</v>
      </c>
      <c r="L132"/>
      <c r="N132" s="1"/>
    </row>
    <row r="133" spans="1:14" x14ac:dyDescent="0.25">
      <c r="A133" s="5" t="s">
        <v>259</v>
      </c>
      <c r="B133" s="5" t="s">
        <v>679</v>
      </c>
      <c r="C133" s="5">
        <f>VLOOKUP(A133,[2]Hoja2!$A:$F,6,0)</f>
        <v>46.14</v>
      </c>
      <c r="D133" s="5">
        <v>32</v>
      </c>
      <c r="E133" s="5" t="s">
        <v>1007</v>
      </c>
      <c r="F133" s="7">
        <v>2</v>
      </c>
      <c r="G133">
        <v>2</v>
      </c>
      <c r="J133" s="10">
        <f t="shared" si="32"/>
        <v>0</v>
      </c>
      <c r="K133">
        <f t="shared" ref="K133:K138" si="34">+H133*D133</f>
        <v>0</v>
      </c>
      <c r="L133"/>
      <c r="N133" s="1"/>
    </row>
    <row r="134" spans="1:14" x14ac:dyDescent="0.25">
      <c r="A134" s="5" t="s">
        <v>260</v>
      </c>
      <c r="B134" s="5" t="s">
        <v>680</v>
      </c>
      <c r="C134" s="5">
        <f>VLOOKUP(A134,[2]Hoja2!$A:$F,6,0)</f>
        <v>142.61000000000001</v>
      </c>
      <c r="D134" s="5">
        <v>99.58</v>
      </c>
      <c r="E134" s="5" t="s">
        <v>1007</v>
      </c>
      <c r="F134" s="7">
        <v>1</v>
      </c>
      <c r="G134" s="17">
        <v>1</v>
      </c>
      <c r="J134" s="10">
        <f t="shared" si="32"/>
        <v>0</v>
      </c>
      <c r="K134">
        <f t="shared" si="34"/>
        <v>0</v>
      </c>
      <c r="L134"/>
      <c r="N134" s="1"/>
    </row>
    <row r="135" spans="1:14" x14ac:dyDescent="0.25">
      <c r="A135" s="5" t="s">
        <v>261</v>
      </c>
      <c r="B135" s="5" t="s">
        <v>681</v>
      </c>
      <c r="C135" s="5">
        <f>VLOOKUP(A135,[2]Hoja2!$A:$F,6,0)</f>
        <v>104.68</v>
      </c>
      <c r="D135" s="5">
        <v>73</v>
      </c>
      <c r="E135" s="5" t="s">
        <v>1007</v>
      </c>
      <c r="F135" s="7">
        <v>1</v>
      </c>
      <c r="G135" s="17">
        <v>1</v>
      </c>
      <c r="J135" s="10">
        <f t="shared" si="32"/>
        <v>0</v>
      </c>
      <c r="K135">
        <f t="shared" si="34"/>
        <v>0</v>
      </c>
      <c r="L135"/>
      <c r="N135" s="1"/>
    </row>
    <row r="136" spans="1:14" x14ac:dyDescent="0.25">
      <c r="A136" s="5" t="s">
        <v>262</v>
      </c>
      <c r="B136" s="5" t="s">
        <v>682</v>
      </c>
      <c r="C136" s="5">
        <f>VLOOKUP(A136,[2]Hoja2!$A:$F,6,0)</f>
        <v>125.24</v>
      </c>
      <c r="D136" s="5">
        <v>89</v>
      </c>
      <c r="E136" s="5" t="s">
        <v>1007</v>
      </c>
      <c r="F136" s="7">
        <v>3</v>
      </c>
      <c r="G136" s="17">
        <v>3</v>
      </c>
      <c r="J136" s="10">
        <f t="shared" si="32"/>
        <v>0</v>
      </c>
      <c r="K136">
        <f t="shared" si="34"/>
        <v>0</v>
      </c>
      <c r="L136"/>
      <c r="N136" s="1"/>
    </row>
    <row r="137" spans="1:14" x14ac:dyDescent="0.25">
      <c r="A137" s="5" t="s">
        <v>263</v>
      </c>
      <c r="B137" s="5" t="s">
        <v>683</v>
      </c>
      <c r="C137" s="5">
        <f>VLOOKUP(A137,[2]Hoja2!$A:$F,6,0)</f>
        <v>93.29</v>
      </c>
      <c r="D137" s="5">
        <v>65</v>
      </c>
      <c r="E137" s="5" t="s">
        <v>1007</v>
      </c>
      <c r="F137" s="7">
        <v>3</v>
      </c>
      <c r="G137" s="17">
        <v>3</v>
      </c>
      <c r="J137" s="10">
        <f t="shared" si="32"/>
        <v>0</v>
      </c>
      <c r="K137">
        <f t="shared" si="34"/>
        <v>0</v>
      </c>
      <c r="L137"/>
      <c r="N137" s="1"/>
    </row>
    <row r="138" spans="1:14" x14ac:dyDescent="0.25">
      <c r="A138" s="5" t="s">
        <v>264</v>
      </c>
      <c r="B138" s="5" t="s">
        <v>684</v>
      </c>
      <c r="C138" s="5">
        <f>VLOOKUP(A138,[2]Hoja2!$A:$F,6,0)</f>
        <v>100.82</v>
      </c>
      <c r="D138" s="5">
        <v>81.680000000000007</v>
      </c>
      <c r="E138" s="5" t="s">
        <v>1007</v>
      </c>
      <c r="F138" s="7">
        <v>1</v>
      </c>
      <c r="G138" s="17">
        <v>1</v>
      </c>
      <c r="J138" s="10">
        <f t="shared" si="32"/>
        <v>0</v>
      </c>
      <c r="K138">
        <f t="shared" si="34"/>
        <v>0</v>
      </c>
      <c r="L138"/>
      <c r="N138" s="1"/>
    </row>
    <row r="139" spans="1:14" x14ac:dyDescent="0.25">
      <c r="A139" s="5" t="s">
        <v>265</v>
      </c>
      <c r="B139" s="5" t="s">
        <v>685</v>
      </c>
      <c r="C139" s="5"/>
      <c r="D139" s="5">
        <v>60</v>
      </c>
      <c r="E139" s="5" t="s">
        <v>1007</v>
      </c>
      <c r="F139" s="7">
        <v>0</v>
      </c>
      <c r="G139" s="17"/>
      <c r="I139"/>
      <c r="J139" s="10">
        <f t="shared" si="32"/>
        <v>0</v>
      </c>
      <c r="K139"/>
      <c r="L139"/>
      <c r="N139" s="1"/>
    </row>
    <row r="140" spans="1:14" x14ac:dyDescent="0.25">
      <c r="A140" s="5" t="s">
        <v>266</v>
      </c>
      <c r="B140" s="5" t="s">
        <v>686</v>
      </c>
      <c r="C140" s="5"/>
      <c r="D140" s="5">
        <v>76.099999999999994</v>
      </c>
      <c r="E140" s="5" t="s">
        <v>1007</v>
      </c>
      <c r="F140" s="7">
        <v>0</v>
      </c>
      <c r="G140" s="17"/>
      <c r="I140"/>
      <c r="J140" s="10">
        <f t="shared" si="32"/>
        <v>0</v>
      </c>
      <c r="K140"/>
      <c r="L140"/>
      <c r="N140" s="1"/>
    </row>
    <row r="141" spans="1:14" x14ac:dyDescent="0.25">
      <c r="A141" s="5" t="s">
        <v>267</v>
      </c>
      <c r="B141" s="5" t="s">
        <v>687</v>
      </c>
      <c r="C141" s="5">
        <f>VLOOKUP(A141,[2]Hoja2!$A:$F,6,0)</f>
        <v>11.38</v>
      </c>
      <c r="D141" s="5">
        <v>9.8000000000000007</v>
      </c>
      <c r="E141" s="5" t="s">
        <v>1007</v>
      </c>
      <c r="F141" s="7">
        <v>1</v>
      </c>
      <c r="G141">
        <v>1</v>
      </c>
      <c r="J141" s="10">
        <f t="shared" si="32"/>
        <v>0</v>
      </c>
      <c r="K141">
        <f t="shared" ref="K141:K145" si="35">+H141*D141</f>
        <v>0</v>
      </c>
      <c r="L141"/>
      <c r="N141" s="1"/>
    </row>
    <row r="142" spans="1:14" x14ac:dyDescent="0.25">
      <c r="A142" s="5" t="s">
        <v>268</v>
      </c>
      <c r="B142" s="5" t="s">
        <v>688</v>
      </c>
      <c r="C142" s="5">
        <f>VLOOKUP(A142,[2]Hoja2!$A:$F,6,0)</f>
        <v>113.3</v>
      </c>
      <c r="D142" s="5">
        <v>79</v>
      </c>
      <c r="E142" s="5" t="s">
        <v>1007</v>
      </c>
      <c r="F142" s="7">
        <v>3</v>
      </c>
      <c r="G142">
        <v>3</v>
      </c>
      <c r="J142" s="10">
        <f t="shared" si="32"/>
        <v>0</v>
      </c>
      <c r="K142">
        <f t="shared" si="35"/>
        <v>0</v>
      </c>
      <c r="L142"/>
      <c r="N142" s="1"/>
    </row>
    <row r="143" spans="1:14" x14ac:dyDescent="0.25">
      <c r="A143" s="5" t="s">
        <v>269</v>
      </c>
      <c r="B143" s="5" t="s">
        <v>689</v>
      </c>
      <c r="C143" s="5">
        <f>VLOOKUP(A143,[2]Hoja2!$A:$F,6,0)</f>
        <v>68.41</v>
      </c>
      <c r="D143" s="5">
        <v>44.6</v>
      </c>
      <c r="E143" s="5" t="s">
        <v>1007</v>
      </c>
      <c r="F143" s="7">
        <v>2</v>
      </c>
      <c r="G143">
        <v>2</v>
      </c>
      <c r="J143" s="10">
        <f t="shared" si="32"/>
        <v>0</v>
      </c>
      <c r="K143">
        <f t="shared" si="35"/>
        <v>0</v>
      </c>
      <c r="L143"/>
      <c r="N143" s="1"/>
    </row>
    <row r="144" spans="1:14" x14ac:dyDescent="0.25">
      <c r="A144" s="5" t="s">
        <v>270</v>
      </c>
      <c r="B144" s="5" t="s">
        <v>690</v>
      </c>
      <c r="C144" s="5">
        <f>VLOOKUP(A144,[2]Hoja2!$A:$F,6,0)</f>
        <v>53</v>
      </c>
      <c r="D144" s="5">
        <v>34.07</v>
      </c>
      <c r="E144" s="5" t="s">
        <v>1007</v>
      </c>
      <c r="F144" s="7">
        <v>1</v>
      </c>
      <c r="G144">
        <v>1</v>
      </c>
      <c r="J144" s="10">
        <f t="shared" si="32"/>
        <v>0</v>
      </c>
      <c r="K144">
        <f t="shared" si="35"/>
        <v>0</v>
      </c>
      <c r="L144"/>
      <c r="N144" s="1"/>
    </row>
    <row r="145" spans="1:14" x14ac:dyDescent="0.25">
      <c r="A145" s="5" t="s">
        <v>271</v>
      </c>
      <c r="B145" s="5" t="s">
        <v>691</v>
      </c>
      <c r="C145" s="5">
        <f>VLOOKUP(A145,[2]Hoja2!$A:$F,6,0)</f>
        <v>76.06</v>
      </c>
      <c r="D145" s="5">
        <v>50.83</v>
      </c>
      <c r="E145" s="5" t="s">
        <v>1007</v>
      </c>
      <c r="F145" s="7">
        <v>3</v>
      </c>
      <c r="G145">
        <v>3</v>
      </c>
      <c r="J145" s="10">
        <f t="shared" si="32"/>
        <v>0</v>
      </c>
      <c r="K145">
        <f t="shared" si="35"/>
        <v>0</v>
      </c>
      <c r="L145"/>
      <c r="N145" s="1"/>
    </row>
    <row r="146" spans="1:14" x14ac:dyDescent="0.25">
      <c r="A146" s="5" t="s">
        <v>272</v>
      </c>
      <c r="B146" s="5" t="s">
        <v>692</v>
      </c>
      <c r="C146" s="5"/>
      <c r="D146" s="5">
        <v>0</v>
      </c>
      <c r="E146" s="5" t="s">
        <v>1007</v>
      </c>
      <c r="F146" s="7">
        <v>0</v>
      </c>
      <c r="I146"/>
      <c r="J146" s="10">
        <f t="shared" si="32"/>
        <v>0</v>
      </c>
      <c r="K146"/>
      <c r="L146"/>
      <c r="N146" s="1"/>
    </row>
    <row r="147" spans="1:14" x14ac:dyDescent="0.25">
      <c r="A147" s="5" t="s">
        <v>273</v>
      </c>
      <c r="B147" s="5" t="s">
        <v>693</v>
      </c>
      <c r="C147" s="5">
        <f>VLOOKUP(A147,[2]Hoja2!$A:$F,6,0)</f>
        <v>2500.37</v>
      </c>
      <c r="D147" s="5">
        <v>1750</v>
      </c>
      <c r="E147" s="5" t="s">
        <v>1007</v>
      </c>
      <c r="F147" s="7">
        <v>1</v>
      </c>
      <c r="I147" s="11">
        <v>1</v>
      </c>
      <c r="J147" s="10">
        <f t="shared" si="32"/>
        <v>0</v>
      </c>
      <c r="K147">
        <f t="shared" ref="K147:K175" si="36">+H147*D147</f>
        <v>0</v>
      </c>
      <c r="L147"/>
      <c r="N147" s="1"/>
    </row>
    <row r="148" spans="1:14" x14ac:dyDescent="0.25">
      <c r="A148" s="5" t="s">
        <v>274</v>
      </c>
      <c r="B148" s="5" t="s">
        <v>694</v>
      </c>
      <c r="C148" s="5">
        <f>VLOOKUP(A148,[2]Hoja2!$A:$F,6,0)</f>
        <v>636.09</v>
      </c>
      <c r="D148" s="5">
        <v>445</v>
      </c>
      <c r="E148" s="5" t="s">
        <v>1007</v>
      </c>
      <c r="F148" s="7">
        <v>3</v>
      </c>
      <c r="I148" s="11">
        <v>3</v>
      </c>
      <c r="J148" s="10">
        <f t="shared" si="32"/>
        <v>0</v>
      </c>
      <c r="K148">
        <f t="shared" si="36"/>
        <v>0</v>
      </c>
      <c r="L148"/>
      <c r="N148" s="1"/>
    </row>
    <row r="149" spans="1:14" x14ac:dyDescent="0.25">
      <c r="A149" s="5" t="s">
        <v>275</v>
      </c>
      <c r="B149" s="5" t="s">
        <v>695</v>
      </c>
      <c r="C149" s="5">
        <f>VLOOKUP(A149,[2]Hoja2!$A:$F,6,0)</f>
        <v>212.34</v>
      </c>
      <c r="D149" s="5">
        <v>148.31</v>
      </c>
      <c r="E149" s="5" t="s">
        <v>1007</v>
      </c>
      <c r="F149" s="7">
        <v>2</v>
      </c>
      <c r="G149" s="17">
        <v>2</v>
      </c>
      <c r="J149" s="10">
        <f t="shared" si="32"/>
        <v>0</v>
      </c>
      <c r="K149">
        <f t="shared" si="36"/>
        <v>0</v>
      </c>
      <c r="L149"/>
      <c r="N149" s="1"/>
    </row>
    <row r="150" spans="1:14" x14ac:dyDescent="0.25">
      <c r="A150" s="5" t="s">
        <v>276</v>
      </c>
      <c r="B150" s="5" t="s">
        <v>696</v>
      </c>
      <c r="C150" s="5">
        <f>VLOOKUP(A150,[2]Hoja2!$A:$F,6,0)</f>
        <v>117.44</v>
      </c>
      <c r="D150" s="5">
        <v>82</v>
      </c>
      <c r="E150" s="5" t="s">
        <v>1007</v>
      </c>
      <c r="F150" s="7">
        <v>3</v>
      </c>
      <c r="G150" s="17">
        <v>3</v>
      </c>
      <c r="J150" s="10">
        <f t="shared" si="32"/>
        <v>0</v>
      </c>
      <c r="K150">
        <f t="shared" si="36"/>
        <v>0</v>
      </c>
      <c r="L150"/>
      <c r="N150" s="1"/>
    </row>
    <row r="151" spans="1:14" x14ac:dyDescent="0.25">
      <c r="A151" s="5" t="s">
        <v>277</v>
      </c>
      <c r="B151" s="5" t="s">
        <v>697</v>
      </c>
      <c r="C151" s="5">
        <f>VLOOKUP(A151,[2]Hoja2!$A:$F,6,0)</f>
        <v>140.43</v>
      </c>
      <c r="D151" s="5">
        <v>98</v>
      </c>
      <c r="E151" s="5" t="s">
        <v>1007</v>
      </c>
      <c r="F151" s="7">
        <v>3</v>
      </c>
      <c r="G151" s="17">
        <v>3</v>
      </c>
      <c r="J151" s="10">
        <f t="shared" si="32"/>
        <v>0</v>
      </c>
      <c r="K151">
        <f t="shared" si="36"/>
        <v>0</v>
      </c>
      <c r="L151"/>
      <c r="N151" s="1"/>
    </row>
    <row r="152" spans="1:14" x14ac:dyDescent="0.25">
      <c r="A152" s="5" t="s">
        <v>278</v>
      </c>
      <c r="B152" s="5" t="s">
        <v>698</v>
      </c>
      <c r="C152" s="5">
        <f>VLOOKUP(A152,[2]Hoja2!$A:$F,6,0)</f>
        <v>48.87</v>
      </c>
      <c r="D152" s="5">
        <v>34</v>
      </c>
      <c r="E152" s="5" t="s">
        <v>1007</v>
      </c>
      <c r="F152" s="7">
        <v>2</v>
      </c>
      <c r="G152" s="17">
        <v>2</v>
      </c>
      <c r="J152" s="10">
        <f t="shared" si="32"/>
        <v>0</v>
      </c>
      <c r="K152">
        <f t="shared" si="36"/>
        <v>0</v>
      </c>
      <c r="L152"/>
      <c r="N152" s="1"/>
    </row>
    <row r="153" spans="1:14" x14ac:dyDescent="0.25">
      <c r="A153" s="5" t="s">
        <v>279</v>
      </c>
      <c r="B153" s="5" t="s">
        <v>699</v>
      </c>
      <c r="C153" s="5">
        <f>VLOOKUP(A153,[2]Hoja2!$A:$F,6,0)</f>
        <v>92.94</v>
      </c>
      <c r="D153" s="5">
        <v>64.5</v>
      </c>
      <c r="E153" s="5" t="s">
        <v>1007</v>
      </c>
      <c r="F153" s="7">
        <v>1</v>
      </c>
      <c r="G153" s="17">
        <v>1</v>
      </c>
      <c r="J153" s="10">
        <f t="shared" si="32"/>
        <v>0</v>
      </c>
      <c r="K153">
        <f t="shared" si="36"/>
        <v>0</v>
      </c>
      <c r="L153"/>
      <c r="N153" s="1"/>
    </row>
    <row r="154" spans="1:14" x14ac:dyDescent="0.25">
      <c r="A154" s="5" t="s">
        <v>280</v>
      </c>
      <c r="B154" s="5" t="s">
        <v>700</v>
      </c>
      <c r="C154" s="5">
        <f>VLOOKUP(A154,[2]Hoja2!$A:$F,6,0)</f>
        <v>43.3</v>
      </c>
      <c r="D154" s="5">
        <v>30</v>
      </c>
      <c r="E154" s="5" t="s">
        <v>1007</v>
      </c>
      <c r="F154" s="7">
        <v>2</v>
      </c>
      <c r="G154" s="17">
        <v>2</v>
      </c>
      <c r="J154" s="10">
        <f t="shared" si="32"/>
        <v>0</v>
      </c>
      <c r="K154">
        <f t="shared" si="36"/>
        <v>0</v>
      </c>
      <c r="L154"/>
      <c r="N154" s="1"/>
    </row>
    <row r="155" spans="1:14" x14ac:dyDescent="0.25">
      <c r="A155" s="5" t="s">
        <v>281</v>
      </c>
      <c r="B155" s="5" t="s">
        <v>701</v>
      </c>
      <c r="C155" s="5">
        <f>VLOOKUP(A155,[2]Hoja2!$A:$F,6,0)</f>
        <v>61.01</v>
      </c>
      <c r="D155" s="5">
        <v>42.5</v>
      </c>
      <c r="E155" s="5" t="s">
        <v>1007</v>
      </c>
      <c r="F155" s="7">
        <v>1</v>
      </c>
      <c r="G155" s="17">
        <v>1</v>
      </c>
      <c r="J155" s="10">
        <f t="shared" si="32"/>
        <v>0</v>
      </c>
      <c r="K155">
        <f t="shared" si="36"/>
        <v>0</v>
      </c>
      <c r="L155"/>
      <c r="N155" s="1"/>
    </row>
    <row r="156" spans="1:14" x14ac:dyDescent="0.25">
      <c r="A156" s="5" t="s">
        <v>282</v>
      </c>
      <c r="B156" s="5" t="s">
        <v>702</v>
      </c>
      <c r="C156" s="5">
        <f>VLOOKUP(A156,[2]Hoja2!$A:$F,6,0)</f>
        <v>41.16</v>
      </c>
      <c r="D156" s="5">
        <v>28.5</v>
      </c>
      <c r="E156" s="5" t="s">
        <v>1007</v>
      </c>
      <c r="F156" s="7">
        <v>2</v>
      </c>
      <c r="G156" s="17">
        <v>2</v>
      </c>
      <c r="J156" s="10">
        <f t="shared" si="32"/>
        <v>0</v>
      </c>
      <c r="K156">
        <f t="shared" si="36"/>
        <v>0</v>
      </c>
      <c r="L156"/>
      <c r="N156" s="1"/>
    </row>
    <row r="157" spans="1:14" x14ac:dyDescent="0.25">
      <c r="A157" s="5" t="s">
        <v>283</v>
      </c>
      <c r="B157" s="5" t="s">
        <v>703</v>
      </c>
      <c r="C157" s="5">
        <f>VLOOKUP(A157,[2]Hoja2!$A:$F,6,0)</f>
        <v>43.87</v>
      </c>
      <c r="D157" s="5">
        <v>30.5</v>
      </c>
      <c r="E157" s="5" t="s">
        <v>1007</v>
      </c>
      <c r="F157" s="7">
        <v>1</v>
      </c>
      <c r="G157" s="17">
        <v>1</v>
      </c>
      <c r="J157" s="10">
        <f t="shared" si="32"/>
        <v>0</v>
      </c>
      <c r="K157">
        <f t="shared" si="36"/>
        <v>0</v>
      </c>
      <c r="L157"/>
      <c r="N157" s="1"/>
    </row>
    <row r="158" spans="1:14" x14ac:dyDescent="0.25">
      <c r="A158" s="5" t="s">
        <v>284</v>
      </c>
      <c r="B158" s="5" t="s">
        <v>704</v>
      </c>
      <c r="C158" s="5">
        <f>VLOOKUP(A158,[2]Hoja2!$A:$F,6,0)</f>
        <v>91.21</v>
      </c>
      <c r="D158" s="5">
        <v>63.5</v>
      </c>
      <c r="E158" s="5" t="s">
        <v>1007</v>
      </c>
      <c r="F158" s="7">
        <v>1</v>
      </c>
      <c r="G158" s="17">
        <v>1</v>
      </c>
      <c r="J158" s="10">
        <f t="shared" si="32"/>
        <v>0</v>
      </c>
      <c r="K158">
        <f t="shared" si="36"/>
        <v>0</v>
      </c>
      <c r="L158"/>
      <c r="N158" s="1"/>
    </row>
    <row r="159" spans="1:14" x14ac:dyDescent="0.25">
      <c r="A159" s="5" t="s">
        <v>285</v>
      </c>
      <c r="B159" s="5" t="s">
        <v>705</v>
      </c>
      <c r="C159" s="5">
        <f>VLOOKUP(A159,[2]Hoja2!$A:$F,6,0)</f>
        <v>263.25</v>
      </c>
      <c r="D159" s="5">
        <v>184</v>
      </c>
      <c r="E159" s="5" t="s">
        <v>1007</v>
      </c>
      <c r="F159" s="7">
        <v>3</v>
      </c>
      <c r="G159">
        <v>3</v>
      </c>
      <c r="J159" s="10">
        <f t="shared" si="32"/>
        <v>0</v>
      </c>
      <c r="K159">
        <f t="shared" si="36"/>
        <v>0</v>
      </c>
      <c r="L159"/>
      <c r="N159" s="1"/>
    </row>
    <row r="160" spans="1:14" x14ac:dyDescent="0.25">
      <c r="A160" s="5" t="s">
        <v>286</v>
      </c>
      <c r="B160" s="5" t="s">
        <v>706</v>
      </c>
      <c r="C160" s="5">
        <f>VLOOKUP(A160,[2]Hoja2!$A:$F,6,0)</f>
        <v>88.7</v>
      </c>
      <c r="D160" s="5">
        <v>61.94</v>
      </c>
      <c r="E160" s="5" t="s">
        <v>1007</v>
      </c>
      <c r="F160" s="7">
        <v>2</v>
      </c>
      <c r="G160" s="17">
        <v>2</v>
      </c>
      <c r="J160" s="10">
        <f t="shared" si="32"/>
        <v>0</v>
      </c>
      <c r="K160">
        <f t="shared" si="36"/>
        <v>0</v>
      </c>
      <c r="L160"/>
      <c r="N160" s="1"/>
    </row>
    <row r="161" spans="1:14" x14ac:dyDescent="0.25">
      <c r="A161" s="5" t="s">
        <v>287</v>
      </c>
      <c r="B161" s="5" t="s">
        <v>707</v>
      </c>
      <c r="C161" s="5">
        <f>VLOOKUP(A161,[2]Hoja2!$A:$F,6,0)</f>
        <v>182.3</v>
      </c>
      <c r="D161" s="5">
        <v>127.46</v>
      </c>
      <c r="E161" s="5" t="s">
        <v>1007</v>
      </c>
      <c r="F161" s="7">
        <v>1</v>
      </c>
      <c r="G161" s="17">
        <v>1</v>
      </c>
      <c r="J161" s="10">
        <f t="shared" si="32"/>
        <v>0</v>
      </c>
      <c r="K161">
        <f t="shared" si="36"/>
        <v>0</v>
      </c>
      <c r="L161"/>
      <c r="N161" s="1"/>
    </row>
    <row r="162" spans="1:14" x14ac:dyDescent="0.25">
      <c r="A162" s="5" t="s">
        <v>288</v>
      </c>
      <c r="B162" s="5" t="s">
        <v>708</v>
      </c>
      <c r="C162" s="5">
        <f>VLOOKUP(A162,[2]Hoja2!$A:$F,6,0)</f>
        <v>37.5</v>
      </c>
      <c r="D162" s="5">
        <v>35.590000000000003</v>
      </c>
      <c r="E162" s="5" t="s">
        <v>1007</v>
      </c>
      <c r="F162" s="7">
        <v>5</v>
      </c>
      <c r="G162" s="17">
        <v>5</v>
      </c>
      <c r="J162" s="10">
        <f t="shared" si="32"/>
        <v>0</v>
      </c>
      <c r="K162">
        <f>+H162*D162</f>
        <v>0</v>
      </c>
      <c r="L162"/>
      <c r="N162" s="1"/>
    </row>
    <row r="163" spans="1:14" x14ac:dyDescent="0.25">
      <c r="A163" s="5" t="s">
        <v>289</v>
      </c>
      <c r="B163" s="5" t="s">
        <v>709</v>
      </c>
      <c r="C163" s="5">
        <f>VLOOKUP(A163,[2]Hoja2!$A:$F,6,0)</f>
        <v>297.87</v>
      </c>
      <c r="D163" s="5">
        <v>208.26</v>
      </c>
      <c r="E163" s="5" t="s">
        <v>1007</v>
      </c>
      <c r="F163" s="7">
        <v>1</v>
      </c>
      <c r="I163" s="11">
        <v>1</v>
      </c>
      <c r="J163" s="10">
        <f t="shared" si="32"/>
        <v>0</v>
      </c>
      <c r="K163">
        <f t="shared" si="36"/>
        <v>0</v>
      </c>
      <c r="L163"/>
      <c r="N163" s="1"/>
    </row>
    <row r="164" spans="1:14" x14ac:dyDescent="0.25">
      <c r="A164" s="5" t="s">
        <v>290</v>
      </c>
      <c r="B164" s="5" t="s">
        <v>710</v>
      </c>
      <c r="C164" s="5">
        <f>VLOOKUP(A164,[2]Hoja2!$A:$F,6,0)</f>
        <v>122.73</v>
      </c>
      <c r="D164" s="5">
        <v>85.7</v>
      </c>
      <c r="E164" s="5" t="s">
        <v>1007</v>
      </c>
      <c r="F164" s="7">
        <v>2</v>
      </c>
      <c r="G164" s="17">
        <v>2</v>
      </c>
      <c r="J164" s="10">
        <f t="shared" si="32"/>
        <v>0</v>
      </c>
      <c r="K164">
        <f t="shared" si="36"/>
        <v>0</v>
      </c>
      <c r="L164"/>
      <c r="N164" s="1"/>
    </row>
    <row r="165" spans="1:14" x14ac:dyDescent="0.25">
      <c r="A165" s="5" t="s">
        <v>291</v>
      </c>
      <c r="B165" s="5" t="s">
        <v>711</v>
      </c>
      <c r="C165" s="5">
        <f>VLOOKUP(A165,[2]Hoja2!$A:$F,6,0)</f>
        <v>841.57</v>
      </c>
      <c r="D165" s="5">
        <v>588.79999999999995</v>
      </c>
      <c r="E165" s="5" t="s">
        <v>1007</v>
      </c>
      <c r="F165" s="7">
        <v>1</v>
      </c>
      <c r="G165" s="17"/>
      <c r="I165" s="11">
        <v>1</v>
      </c>
      <c r="J165" s="10">
        <f t="shared" si="32"/>
        <v>0</v>
      </c>
      <c r="K165">
        <f t="shared" si="36"/>
        <v>0</v>
      </c>
      <c r="L165"/>
      <c r="N165" s="1"/>
    </row>
    <row r="166" spans="1:14" x14ac:dyDescent="0.25">
      <c r="A166" s="5" t="s">
        <v>292</v>
      </c>
      <c r="B166" s="5" t="s">
        <v>712</v>
      </c>
      <c r="C166" s="5">
        <f>VLOOKUP(A166,[2]Hoja2!$A:$F,6,0)</f>
        <v>35.71</v>
      </c>
      <c r="D166" s="5">
        <v>24.5</v>
      </c>
      <c r="E166" s="5" t="s">
        <v>1007</v>
      </c>
      <c r="F166" s="7">
        <v>3</v>
      </c>
      <c r="G166" s="17">
        <v>3</v>
      </c>
      <c r="J166" s="10">
        <f t="shared" si="32"/>
        <v>0</v>
      </c>
      <c r="K166">
        <f>+H166*D166</f>
        <v>0</v>
      </c>
      <c r="L166"/>
      <c r="N166" s="1"/>
    </row>
    <row r="167" spans="1:14" x14ac:dyDescent="0.25">
      <c r="A167" s="5" t="s">
        <v>293</v>
      </c>
      <c r="B167" s="5" t="s">
        <v>713</v>
      </c>
      <c r="C167" s="5">
        <f>VLOOKUP(A167,[2]Hoja2!$A:$F,6,0)</f>
        <v>32.86</v>
      </c>
      <c r="D167" s="5">
        <v>23</v>
      </c>
      <c r="E167" s="5" t="s">
        <v>1007</v>
      </c>
      <c r="F167" s="7">
        <v>2</v>
      </c>
      <c r="G167" s="17">
        <v>2</v>
      </c>
      <c r="J167" s="10">
        <f t="shared" si="32"/>
        <v>0</v>
      </c>
      <c r="K167">
        <f t="shared" si="36"/>
        <v>0</v>
      </c>
      <c r="L167"/>
      <c r="N167" s="1"/>
    </row>
    <row r="168" spans="1:14" x14ac:dyDescent="0.25">
      <c r="A168" s="5" t="s">
        <v>294</v>
      </c>
      <c r="B168" s="5" t="s">
        <v>714</v>
      </c>
      <c r="C168" s="5">
        <f>VLOOKUP(A168,[2]Hoja2!$A:$F,6,0)</f>
        <v>464.71</v>
      </c>
      <c r="D168" s="5">
        <v>325</v>
      </c>
      <c r="E168" s="5" t="s">
        <v>1007</v>
      </c>
      <c r="F168" s="7">
        <v>1</v>
      </c>
      <c r="G168" s="17">
        <v>1</v>
      </c>
      <c r="J168" s="10">
        <f t="shared" si="32"/>
        <v>0</v>
      </c>
      <c r="K168">
        <f t="shared" si="36"/>
        <v>0</v>
      </c>
      <c r="L168"/>
      <c r="N168" s="1"/>
    </row>
    <row r="169" spans="1:14" x14ac:dyDescent="0.25">
      <c r="A169" s="5" t="s">
        <v>295</v>
      </c>
      <c r="B169" s="5" t="s">
        <v>715</v>
      </c>
      <c r="C169" s="5">
        <f>VLOOKUP(A169,[2]Hoja2!$A:$F,6,0)</f>
        <v>71.709999999999994</v>
      </c>
      <c r="D169" s="5">
        <v>50</v>
      </c>
      <c r="E169" s="5" t="s">
        <v>1007</v>
      </c>
      <c r="F169" s="7">
        <v>2</v>
      </c>
      <c r="G169" s="17">
        <v>2</v>
      </c>
      <c r="J169" s="10">
        <f t="shared" si="32"/>
        <v>0</v>
      </c>
      <c r="K169">
        <f>+H169*D169</f>
        <v>0</v>
      </c>
      <c r="L169"/>
      <c r="N169" s="1"/>
    </row>
    <row r="170" spans="1:14" x14ac:dyDescent="0.25">
      <c r="A170" s="5" t="s">
        <v>296</v>
      </c>
      <c r="B170" s="5" t="s">
        <v>716</v>
      </c>
      <c r="C170" s="5">
        <f>VLOOKUP(A170,[2]Hoja2!$A:$F,6,0)</f>
        <v>59.91</v>
      </c>
      <c r="D170" s="5">
        <v>41.69</v>
      </c>
      <c r="E170" s="5" t="s">
        <v>1007</v>
      </c>
      <c r="F170" s="7">
        <v>3</v>
      </c>
      <c r="G170" s="17">
        <v>3</v>
      </c>
      <c r="J170" s="10">
        <f t="shared" si="32"/>
        <v>0</v>
      </c>
      <c r="K170">
        <f t="shared" si="36"/>
        <v>0</v>
      </c>
      <c r="L170"/>
      <c r="N170" s="1"/>
    </row>
    <row r="171" spans="1:14" x14ac:dyDescent="0.25">
      <c r="A171" s="5" t="s">
        <v>297</v>
      </c>
      <c r="B171" s="5" t="s">
        <v>717</v>
      </c>
      <c r="C171" s="5">
        <f>VLOOKUP(A171,[2]Hoja2!$A:$F,6,0)</f>
        <v>105.8</v>
      </c>
      <c r="D171" s="5">
        <v>73.75</v>
      </c>
      <c r="E171" s="5" t="s">
        <v>1007</v>
      </c>
      <c r="F171" s="7">
        <v>2</v>
      </c>
      <c r="G171" s="17">
        <v>2</v>
      </c>
      <c r="J171" s="10">
        <f t="shared" si="32"/>
        <v>0</v>
      </c>
      <c r="K171">
        <f t="shared" si="36"/>
        <v>0</v>
      </c>
      <c r="L171"/>
      <c r="N171" s="1"/>
    </row>
    <row r="172" spans="1:14" x14ac:dyDescent="0.25">
      <c r="A172" s="5" t="s">
        <v>142</v>
      </c>
      <c r="B172" s="5" t="s">
        <v>143</v>
      </c>
      <c r="C172" s="5">
        <f>VLOOKUP(A172,[2]Hoja2!$A:$F,6,0)</f>
        <v>106.14</v>
      </c>
      <c r="D172" s="5">
        <v>73.989999999999995</v>
      </c>
      <c r="E172" s="5" t="s">
        <v>1007</v>
      </c>
      <c r="F172" s="7">
        <v>2</v>
      </c>
      <c r="G172" s="17">
        <v>2</v>
      </c>
      <c r="J172" s="10">
        <f t="shared" si="32"/>
        <v>0</v>
      </c>
      <c r="K172">
        <f>+H172*D172</f>
        <v>0</v>
      </c>
      <c r="L172"/>
      <c r="N172" s="1"/>
    </row>
    <row r="173" spans="1:14" x14ac:dyDescent="0.25">
      <c r="A173" s="5" t="s">
        <v>298</v>
      </c>
      <c r="B173" s="5" t="s">
        <v>718</v>
      </c>
      <c r="C173" s="5">
        <f>VLOOKUP(A173,[2]Hoja2!$A:$F,6,0)</f>
        <v>148.44</v>
      </c>
      <c r="D173" s="5">
        <v>103.6</v>
      </c>
      <c r="E173" s="5" t="s">
        <v>1007</v>
      </c>
      <c r="F173" s="7">
        <v>2</v>
      </c>
      <c r="G173" s="17">
        <v>2</v>
      </c>
      <c r="J173" s="10">
        <f t="shared" si="32"/>
        <v>0</v>
      </c>
      <c r="K173">
        <f t="shared" si="36"/>
        <v>0</v>
      </c>
      <c r="L173"/>
      <c r="N173" s="1"/>
    </row>
    <row r="174" spans="1:14" x14ac:dyDescent="0.25">
      <c r="A174" s="5" t="s">
        <v>299</v>
      </c>
      <c r="B174" s="5" t="s">
        <v>719</v>
      </c>
      <c r="C174" s="5">
        <f>VLOOKUP(A174,[2]Hoja2!$A:$F,6,0)</f>
        <v>84.2</v>
      </c>
      <c r="D174" s="5">
        <v>58.8</v>
      </c>
      <c r="E174" s="9" t="s">
        <v>1007</v>
      </c>
      <c r="F174" s="7">
        <v>1</v>
      </c>
      <c r="H174" s="11">
        <v>1</v>
      </c>
      <c r="I174" s="19">
        <f>+F174-G174-H174</f>
        <v>0</v>
      </c>
      <c r="J174" s="10">
        <f t="shared" si="32"/>
        <v>0</v>
      </c>
      <c r="K174">
        <f>+H174*D174</f>
        <v>58.8</v>
      </c>
      <c r="L174" t="s">
        <v>1043</v>
      </c>
      <c r="N174" s="1"/>
    </row>
    <row r="175" spans="1:14" x14ac:dyDescent="0.25">
      <c r="A175" s="5" t="s">
        <v>300</v>
      </c>
      <c r="B175" s="5" t="s">
        <v>720</v>
      </c>
      <c r="C175" s="5">
        <f>VLOOKUP(A175,[2]Hoja2!$A:$F,6,0)</f>
        <v>114.68</v>
      </c>
      <c r="D175" s="5">
        <v>80</v>
      </c>
      <c r="E175" s="5" t="s">
        <v>1007</v>
      </c>
      <c r="F175" s="7">
        <v>2</v>
      </c>
      <c r="G175">
        <v>2</v>
      </c>
      <c r="J175" s="10">
        <f t="shared" si="32"/>
        <v>0</v>
      </c>
      <c r="K175">
        <f t="shared" si="36"/>
        <v>0</v>
      </c>
      <c r="L175"/>
      <c r="N175" s="1"/>
    </row>
    <row r="176" spans="1:14" x14ac:dyDescent="0.25">
      <c r="A176" s="5" t="s">
        <v>301</v>
      </c>
      <c r="B176" s="5" t="s">
        <v>721</v>
      </c>
      <c r="C176" s="5">
        <f>VLOOKUP(A176,[2]Hoja2!$A:$F,6,0)</f>
        <v>9.68</v>
      </c>
      <c r="D176" s="5">
        <v>6.5</v>
      </c>
      <c r="E176" s="9" t="s">
        <v>1007</v>
      </c>
      <c r="F176" s="7">
        <v>4</v>
      </c>
      <c r="H176" s="11">
        <v>4</v>
      </c>
      <c r="I176" s="19">
        <f>+F176-G176-H176</f>
        <v>0</v>
      </c>
      <c r="J176" s="10">
        <f t="shared" si="32"/>
        <v>0</v>
      </c>
      <c r="K176">
        <f>+H176*D176</f>
        <v>26</v>
      </c>
      <c r="L176" t="s">
        <v>1043</v>
      </c>
      <c r="N176" s="1"/>
    </row>
    <row r="177" spans="1:14" x14ac:dyDescent="0.25">
      <c r="A177" s="5" t="s">
        <v>302</v>
      </c>
      <c r="B177" s="5" t="s">
        <v>722</v>
      </c>
      <c r="C177" s="5">
        <f>VLOOKUP(A177,[2]Hoja2!$A:$F,6,0)</f>
        <v>1000.64</v>
      </c>
      <c r="D177" s="5">
        <v>700</v>
      </c>
      <c r="E177" s="5" t="s">
        <v>1007</v>
      </c>
      <c r="F177" s="7">
        <v>3</v>
      </c>
      <c r="I177" s="11">
        <v>3</v>
      </c>
      <c r="J177" s="10">
        <f t="shared" si="32"/>
        <v>0</v>
      </c>
      <c r="K177">
        <f>+H177*D177</f>
        <v>0</v>
      </c>
      <c r="L177"/>
      <c r="N177" s="1"/>
    </row>
    <row r="178" spans="1:14" x14ac:dyDescent="0.25">
      <c r="A178" s="5" t="s">
        <v>144</v>
      </c>
      <c r="B178" s="5" t="s">
        <v>145</v>
      </c>
      <c r="C178" s="5">
        <f>VLOOKUP(A178,[2]Hoja2!$A:$F,6,0)</f>
        <v>50</v>
      </c>
      <c r="D178" s="5">
        <v>34.5</v>
      </c>
      <c r="E178" s="9" t="s">
        <v>1007</v>
      </c>
      <c r="F178" s="7">
        <v>4</v>
      </c>
      <c r="H178" s="18">
        <v>1</v>
      </c>
      <c r="I178" s="19">
        <f>+F178-G178-H178</f>
        <v>3</v>
      </c>
      <c r="J178" s="10">
        <f t="shared" si="32"/>
        <v>0</v>
      </c>
      <c r="K178">
        <f>+H178*D178</f>
        <v>34.5</v>
      </c>
      <c r="L178" t="s">
        <v>1043</v>
      </c>
      <c r="N178" s="1"/>
    </row>
    <row r="179" spans="1:14" x14ac:dyDescent="0.25">
      <c r="A179" s="5" t="s">
        <v>303</v>
      </c>
      <c r="B179" s="5" t="s">
        <v>723</v>
      </c>
      <c r="C179" s="5">
        <f>VLOOKUP(A179,[2]Hoja2!$A:$F,6,0)</f>
        <v>116.43</v>
      </c>
      <c r="D179" s="5">
        <v>81</v>
      </c>
      <c r="E179" s="5" t="s">
        <v>1007</v>
      </c>
      <c r="F179" s="7">
        <v>4</v>
      </c>
      <c r="G179">
        <v>4</v>
      </c>
      <c r="J179" s="10">
        <f t="shared" si="32"/>
        <v>0</v>
      </c>
      <c r="K179"/>
      <c r="L179"/>
      <c r="N179" s="1"/>
    </row>
    <row r="180" spans="1:14" x14ac:dyDescent="0.25">
      <c r="A180" s="5" t="s">
        <v>304</v>
      </c>
      <c r="B180" s="5" t="s">
        <v>724</v>
      </c>
      <c r="C180" s="5">
        <f>VLOOKUP(A180,[2]Hoja2!$A:$F,6,0)</f>
        <v>149.29</v>
      </c>
      <c r="D180" s="5">
        <v>102</v>
      </c>
      <c r="E180" s="5" t="s">
        <v>1007</v>
      </c>
      <c r="F180" s="7">
        <v>2</v>
      </c>
      <c r="G180">
        <v>2</v>
      </c>
      <c r="J180" s="10">
        <f t="shared" si="32"/>
        <v>0</v>
      </c>
      <c r="K180">
        <f t="shared" ref="K180:K181" si="37">+H180*D180</f>
        <v>0</v>
      </c>
      <c r="L180"/>
      <c r="N180" s="1"/>
    </row>
    <row r="181" spans="1:14" x14ac:dyDescent="0.25">
      <c r="A181" s="5" t="s">
        <v>305</v>
      </c>
      <c r="B181" s="5" t="s">
        <v>725</v>
      </c>
      <c r="C181" s="5">
        <f>VLOOKUP(A181,[2]Hoja2!$A:$F,6,0)</f>
        <v>233.29</v>
      </c>
      <c r="D181" s="5">
        <v>160</v>
      </c>
      <c r="E181" s="5" t="s">
        <v>1007</v>
      </c>
      <c r="F181" s="7">
        <v>6</v>
      </c>
      <c r="G181">
        <v>6</v>
      </c>
      <c r="J181" s="10">
        <f t="shared" si="32"/>
        <v>0</v>
      </c>
      <c r="K181">
        <f t="shared" si="37"/>
        <v>0</v>
      </c>
      <c r="L181"/>
      <c r="N181" s="1"/>
    </row>
    <row r="182" spans="1:14" x14ac:dyDescent="0.25">
      <c r="A182" s="5" t="s">
        <v>306</v>
      </c>
      <c r="B182" s="5" t="s">
        <v>726</v>
      </c>
      <c r="C182" s="5"/>
      <c r="D182" s="5">
        <v>159</v>
      </c>
      <c r="E182" s="5" t="s">
        <v>1007</v>
      </c>
      <c r="F182" s="7">
        <v>0</v>
      </c>
      <c r="I182"/>
      <c r="J182" s="10">
        <f t="shared" si="32"/>
        <v>0</v>
      </c>
      <c r="K182"/>
      <c r="L182"/>
      <c r="N182" s="1"/>
    </row>
    <row r="183" spans="1:14" x14ac:dyDescent="0.25">
      <c r="A183" s="5" t="s">
        <v>307</v>
      </c>
      <c r="B183" s="5" t="s">
        <v>727</v>
      </c>
      <c r="C183" s="5">
        <f>VLOOKUP(A183,[2]Hoja2!$A:$F,6,0)</f>
        <v>94.32</v>
      </c>
      <c r="D183" s="5">
        <v>66</v>
      </c>
      <c r="E183" s="5" t="s">
        <v>1007</v>
      </c>
      <c r="F183" s="7">
        <v>2</v>
      </c>
      <c r="G183">
        <v>2</v>
      </c>
      <c r="J183" s="10">
        <f t="shared" si="32"/>
        <v>0</v>
      </c>
      <c r="K183">
        <f>+H183*D183</f>
        <v>0</v>
      </c>
      <c r="L183"/>
      <c r="N183" s="1"/>
    </row>
    <row r="184" spans="1:14" x14ac:dyDescent="0.25">
      <c r="A184" s="5" t="s">
        <v>308</v>
      </c>
      <c r="B184" s="5" t="s">
        <v>728</v>
      </c>
      <c r="C184" s="5">
        <f>VLOOKUP(A184,[2]Hoja2!$A:$F,6,0)</f>
        <v>323.29000000000002</v>
      </c>
      <c r="D184" s="5">
        <v>226</v>
      </c>
      <c r="E184" s="5" t="s">
        <v>1007</v>
      </c>
      <c r="F184" s="7">
        <v>3</v>
      </c>
      <c r="I184" s="11">
        <v>3</v>
      </c>
      <c r="J184" s="10">
        <f t="shared" si="32"/>
        <v>0</v>
      </c>
      <c r="K184">
        <f t="shared" ref="K184:K186" si="38">+H184*D184</f>
        <v>0</v>
      </c>
      <c r="L184"/>
      <c r="N184" s="1"/>
    </row>
    <row r="185" spans="1:14" x14ac:dyDescent="0.25">
      <c r="A185" s="5" t="s">
        <v>309</v>
      </c>
      <c r="B185" s="5" t="s">
        <v>729</v>
      </c>
      <c r="C185" s="5">
        <f>VLOOKUP(A185,[2]Hoja2!$A:$F,6,0)</f>
        <v>83.99</v>
      </c>
      <c r="D185" s="5">
        <v>67</v>
      </c>
      <c r="E185" s="9" t="s">
        <v>1007</v>
      </c>
      <c r="F185" s="7">
        <v>2</v>
      </c>
      <c r="H185" s="11">
        <v>1</v>
      </c>
      <c r="I185" s="19">
        <f>+F185-G185-H185</f>
        <v>1</v>
      </c>
      <c r="J185" s="10">
        <f t="shared" si="32"/>
        <v>0</v>
      </c>
      <c r="K185">
        <f>+H185*D185</f>
        <v>67</v>
      </c>
      <c r="L185" t="s">
        <v>1043</v>
      </c>
      <c r="N185" s="1"/>
    </row>
    <row r="186" spans="1:14" x14ac:dyDescent="0.25">
      <c r="A186" s="5" t="s">
        <v>310</v>
      </c>
      <c r="B186" s="5" t="s">
        <v>730</v>
      </c>
      <c r="C186" s="5">
        <f>VLOOKUP(A186,[2]Hoja2!$A:$F,6,0)</f>
        <v>75.94</v>
      </c>
      <c r="D186" s="5">
        <v>60</v>
      </c>
      <c r="E186" s="5" t="s">
        <v>1007</v>
      </c>
      <c r="F186" s="7">
        <v>3</v>
      </c>
      <c r="G186" s="17">
        <v>3</v>
      </c>
      <c r="J186" s="10">
        <f t="shared" si="32"/>
        <v>0</v>
      </c>
      <c r="K186">
        <f t="shared" si="38"/>
        <v>0</v>
      </c>
      <c r="L186"/>
      <c r="N186" s="1"/>
    </row>
    <row r="187" spans="1:14" x14ac:dyDescent="0.25">
      <c r="A187" s="5" t="s">
        <v>311</v>
      </c>
      <c r="B187" s="5" t="s">
        <v>731</v>
      </c>
      <c r="C187" s="5"/>
      <c r="D187" s="5">
        <v>34.5</v>
      </c>
      <c r="E187" s="5" t="s">
        <v>1007</v>
      </c>
      <c r="F187" s="7">
        <v>0</v>
      </c>
      <c r="G187" s="17"/>
      <c r="I187"/>
      <c r="J187" s="10">
        <f t="shared" si="32"/>
        <v>0</v>
      </c>
      <c r="K187"/>
      <c r="L187"/>
      <c r="N187" s="1"/>
    </row>
    <row r="188" spans="1:14" x14ac:dyDescent="0.25">
      <c r="A188" s="5" t="s">
        <v>312</v>
      </c>
      <c r="B188" s="5" t="s">
        <v>732</v>
      </c>
      <c r="C188" s="5"/>
      <c r="D188" s="5">
        <v>100</v>
      </c>
      <c r="E188" s="5" t="s">
        <v>1007</v>
      </c>
      <c r="F188" s="7">
        <v>0</v>
      </c>
      <c r="G188" s="17"/>
      <c r="I188"/>
      <c r="J188" s="10">
        <f t="shared" si="32"/>
        <v>0</v>
      </c>
      <c r="K188"/>
      <c r="L188"/>
      <c r="N188" s="1"/>
    </row>
    <row r="189" spans="1:14" x14ac:dyDescent="0.25">
      <c r="A189" s="5" t="s">
        <v>313</v>
      </c>
      <c r="B189" s="5" t="s">
        <v>733</v>
      </c>
      <c r="C189" s="5"/>
      <c r="D189" s="5">
        <v>0</v>
      </c>
      <c r="E189" s="5" t="s">
        <v>1007</v>
      </c>
      <c r="F189" s="7">
        <v>0</v>
      </c>
      <c r="G189" s="17"/>
      <c r="I189"/>
      <c r="J189" s="10">
        <f t="shared" si="32"/>
        <v>0</v>
      </c>
      <c r="K189"/>
      <c r="L189"/>
      <c r="N189" s="1"/>
    </row>
    <row r="190" spans="1:14" x14ac:dyDescent="0.25">
      <c r="A190" s="5" t="s">
        <v>314</v>
      </c>
      <c r="B190" s="5" t="s">
        <v>734</v>
      </c>
      <c r="C190" s="5">
        <v>137.27000000000001</v>
      </c>
      <c r="D190" s="5">
        <v>0</v>
      </c>
      <c r="E190" s="5" t="s">
        <v>1008</v>
      </c>
      <c r="F190" s="7">
        <v>1</v>
      </c>
      <c r="G190" s="9">
        <v>1</v>
      </c>
      <c r="J190" s="10">
        <f t="shared" si="32"/>
        <v>0</v>
      </c>
      <c r="K190">
        <f>+H190*D190</f>
        <v>0</v>
      </c>
      <c r="L190"/>
      <c r="N190" s="1"/>
    </row>
    <row r="191" spans="1:14" x14ac:dyDescent="0.25">
      <c r="A191" s="5" t="s">
        <v>315</v>
      </c>
      <c r="B191" s="5" t="s">
        <v>735</v>
      </c>
      <c r="C191" s="5"/>
      <c r="D191" s="5">
        <v>3.5</v>
      </c>
      <c r="E191" s="5" t="s">
        <v>1009</v>
      </c>
      <c r="F191" s="7">
        <v>0</v>
      </c>
      <c r="I191"/>
      <c r="J191" s="10">
        <f t="shared" si="32"/>
        <v>0</v>
      </c>
      <c r="K191"/>
      <c r="L191"/>
      <c r="N191" s="1"/>
    </row>
    <row r="192" spans="1:14" x14ac:dyDescent="0.25">
      <c r="A192" s="5" t="s">
        <v>316</v>
      </c>
      <c r="B192" s="5" t="s">
        <v>736</v>
      </c>
      <c r="C192" s="5"/>
      <c r="D192" s="5">
        <v>3.5</v>
      </c>
      <c r="E192" s="5" t="s">
        <v>1009</v>
      </c>
      <c r="F192" s="7">
        <v>0</v>
      </c>
      <c r="I192"/>
      <c r="J192" s="10">
        <f t="shared" si="32"/>
        <v>0</v>
      </c>
      <c r="K192"/>
      <c r="L192"/>
      <c r="N192" s="1"/>
    </row>
    <row r="193" spans="1:14" x14ac:dyDescent="0.25">
      <c r="A193" s="5" t="s">
        <v>317</v>
      </c>
      <c r="B193" s="5" t="s">
        <v>737</v>
      </c>
      <c r="C193" s="5"/>
      <c r="D193" s="5">
        <v>3.5</v>
      </c>
      <c r="E193" s="5" t="s">
        <v>1009</v>
      </c>
      <c r="F193" s="7">
        <v>0</v>
      </c>
      <c r="I193"/>
      <c r="J193" s="10">
        <f t="shared" si="32"/>
        <v>0</v>
      </c>
      <c r="K193"/>
      <c r="L193"/>
      <c r="N193" s="1"/>
    </row>
    <row r="194" spans="1:14" x14ac:dyDescent="0.25">
      <c r="A194" s="5" t="s">
        <v>318</v>
      </c>
      <c r="B194" s="5" t="s">
        <v>738</v>
      </c>
      <c r="C194" s="5"/>
      <c r="D194" s="5">
        <v>3.5</v>
      </c>
      <c r="E194" s="5" t="s">
        <v>1009</v>
      </c>
      <c r="F194" s="7">
        <v>0</v>
      </c>
      <c r="I194"/>
      <c r="J194" s="10">
        <f t="shared" si="32"/>
        <v>0</v>
      </c>
      <c r="K194"/>
      <c r="L194"/>
      <c r="N194" s="1"/>
    </row>
    <row r="195" spans="1:14" x14ac:dyDescent="0.25">
      <c r="A195" s="5" t="s">
        <v>76</v>
      </c>
      <c r="B195" s="5" t="s">
        <v>77</v>
      </c>
      <c r="C195" s="5">
        <f>VLOOKUP(A195,[2]Hoja2!$A:$F,6,0)</f>
        <v>11.9</v>
      </c>
      <c r="D195" s="5">
        <v>10</v>
      </c>
      <c r="E195" s="24" t="s">
        <v>1009</v>
      </c>
      <c r="F195" s="7">
        <v>38</v>
      </c>
      <c r="H195" s="11">
        <v>2</v>
      </c>
      <c r="I195" s="19">
        <f t="shared" ref="I195:I199" si="39">+F195-G195-H195</f>
        <v>36</v>
      </c>
      <c r="J195" s="10">
        <f t="shared" ref="J195:J258" si="40">+F195-G195-H195-I195</f>
        <v>0</v>
      </c>
      <c r="K195">
        <f t="shared" ref="K195:K199" si="41">+H195*D195</f>
        <v>20</v>
      </c>
      <c r="L195" t="s">
        <v>1042</v>
      </c>
      <c r="N195" s="1"/>
    </row>
    <row r="196" spans="1:14" x14ac:dyDescent="0.25">
      <c r="A196" s="5" t="s">
        <v>44</v>
      </c>
      <c r="B196" s="5" t="s">
        <v>45</v>
      </c>
      <c r="C196" s="5">
        <f>VLOOKUP(A196,[2]Hoja2!$A:$F,6,0)</f>
        <v>10.27</v>
      </c>
      <c r="D196" s="5">
        <v>10</v>
      </c>
      <c r="E196" s="24" t="s">
        <v>1009</v>
      </c>
      <c r="F196" s="7">
        <v>34</v>
      </c>
      <c r="H196" s="11">
        <v>2</v>
      </c>
      <c r="I196" s="19">
        <f t="shared" si="39"/>
        <v>32</v>
      </c>
      <c r="J196" s="10">
        <f t="shared" si="40"/>
        <v>0</v>
      </c>
      <c r="K196">
        <f t="shared" si="41"/>
        <v>20</v>
      </c>
      <c r="L196" t="s">
        <v>1042</v>
      </c>
      <c r="N196" s="1"/>
    </row>
    <row r="197" spans="1:14" x14ac:dyDescent="0.25">
      <c r="A197" s="5" t="s">
        <v>319</v>
      </c>
      <c r="B197" s="5" t="s">
        <v>739</v>
      </c>
      <c r="C197" s="5">
        <f>VLOOKUP(A197,[2]Hoja2!$A:$F,6,0)</f>
        <v>16.03</v>
      </c>
      <c r="D197" s="5">
        <v>13</v>
      </c>
      <c r="E197" s="24" t="s">
        <v>1009</v>
      </c>
      <c r="F197" s="7">
        <v>16</v>
      </c>
      <c r="H197" s="11">
        <v>8</v>
      </c>
      <c r="I197" s="19">
        <f t="shared" si="39"/>
        <v>8</v>
      </c>
      <c r="J197" s="10">
        <f t="shared" si="40"/>
        <v>0</v>
      </c>
      <c r="K197">
        <f t="shared" si="41"/>
        <v>104</v>
      </c>
      <c r="L197" t="s">
        <v>1042</v>
      </c>
      <c r="N197" s="1"/>
    </row>
    <row r="198" spans="1:14" x14ac:dyDescent="0.25">
      <c r="A198" s="5" t="s">
        <v>320</v>
      </c>
      <c r="B198" s="5" t="s">
        <v>740</v>
      </c>
      <c r="C198" s="5">
        <f>VLOOKUP(A198,[2]Hoja2!$A:$F,6,0)</f>
        <v>12.93</v>
      </c>
      <c r="D198" s="5">
        <v>10</v>
      </c>
      <c r="E198" s="24" t="s">
        <v>1009</v>
      </c>
      <c r="F198" s="7">
        <v>5</v>
      </c>
      <c r="H198" s="11">
        <v>5</v>
      </c>
      <c r="I198" s="19">
        <f t="shared" si="39"/>
        <v>0</v>
      </c>
      <c r="J198" s="10">
        <f t="shared" si="40"/>
        <v>0</v>
      </c>
      <c r="K198">
        <f t="shared" si="41"/>
        <v>50</v>
      </c>
      <c r="L198" t="s">
        <v>1042</v>
      </c>
      <c r="N198" s="1"/>
    </row>
    <row r="199" spans="1:14" x14ac:dyDescent="0.25">
      <c r="A199" s="5" t="s">
        <v>321</v>
      </c>
      <c r="B199" s="5" t="s">
        <v>741</v>
      </c>
      <c r="C199" s="5">
        <f>VLOOKUP(A199,[2]Hoja2!$A:$F,6,0)</f>
        <v>12.93</v>
      </c>
      <c r="D199" s="5">
        <v>10</v>
      </c>
      <c r="E199" s="24" t="s">
        <v>1009</v>
      </c>
      <c r="F199" s="7">
        <v>6</v>
      </c>
      <c r="H199" s="11">
        <v>6</v>
      </c>
      <c r="I199" s="19">
        <f t="shared" si="39"/>
        <v>0</v>
      </c>
      <c r="J199" s="10">
        <f t="shared" si="40"/>
        <v>0</v>
      </c>
      <c r="K199">
        <f t="shared" si="41"/>
        <v>60</v>
      </c>
      <c r="L199" t="s">
        <v>1042</v>
      </c>
      <c r="N199" s="1"/>
    </row>
    <row r="200" spans="1:14" x14ac:dyDescent="0.25">
      <c r="A200" s="5" t="s">
        <v>32</v>
      </c>
      <c r="B200" s="5" t="s">
        <v>33</v>
      </c>
      <c r="C200" s="5">
        <f>VLOOKUP(A200,[2]Hoja2!$A:$F,6,0)</f>
        <v>16.03</v>
      </c>
      <c r="D200" s="5">
        <v>12</v>
      </c>
      <c r="E200" s="24" t="s">
        <v>1009</v>
      </c>
      <c r="F200" s="7">
        <v>5</v>
      </c>
      <c r="H200" s="11">
        <v>5</v>
      </c>
      <c r="J200" s="10">
        <f t="shared" si="40"/>
        <v>0</v>
      </c>
      <c r="K200">
        <f t="shared" ref="K200:K202" si="42">+H200*D200</f>
        <v>60</v>
      </c>
      <c r="L200" t="s">
        <v>1042</v>
      </c>
      <c r="N200" s="1"/>
    </row>
    <row r="201" spans="1:14" x14ac:dyDescent="0.25">
      <c r="A201" s="5" t="s">
        <v>113</v>
      </c>
      <c r="B201" s="5" t="s">
        <v>114</v>
      </c>
      <c r="C201" s="5">
        <f>VLOOKUP(A201,[2]Hoja2!$A:$F,6,0)</f>
        <v>4.3499999999999996</v>
      </c>
      <c r="D201" s="5">
        <v>3.5</v>
      </c>
      <c r="E201" s="9" t="s">
        <v>1010</v>
      </c>
      <c r="F201" s="7">
        <v>3</v>
      </c>
      <c r="H201" s="11">
        <v>3</v>
      </c>
      <c r="I201" s="19">
        <f>+F201-G201-H201</f>
        <v>0</v>
      </c>
      <c r="J201" s="10">
        <f t="shared" si="40"/>
        <v>0</v>
      </c>
      <c r="K201">
        <f>+H201*D201</f>
        <v>10.5</v>
      </c>
      <c r="L201" t="s">
        <v>1043</v>
      </c>
      <c r="N201" s="1"/>
    </row>
    <row r="202" spans="1:14" x14ac:dyDescent="0.25">
      <c r="A202" s="5" t="s">
        <v>322</v>
      </c>
      <c r="B202" s="5" t="s">
        <v>742</v>
      </c>
      <c r="C202" s="5">
        <f>VLOOKUP(A202,[2]Hoja2!$A:$F,6,0)</f>
        <v>42.29</v>
      </c>
      <c r="D202" s="5">
        <v>34.200000000000003</v>
      </c>
      <c r="E202" s="5" t="s">
        <v>1011</v>
      </c>
      <c r="F202" s="7">
        <v>2</v>
      </c>
      <c r="G202">
        <v>2</v>
      </c>
      <c r="J202" s="10">
        <f t="shared" si="40"/>
        <v>0</v>
      </c>
      <c r="K202">
        <f t="shared" si="42"/>
        <v>0</v>
      </c>
      <c r="L202"/>
      <c r="N202" s="1"/>
    </row>
    <row r="203" spans="1:14" x14ac:dyDescent="0.25">
      <c r="A203" s="5" t="s">
        <v>323</v>
      </c>
      <c r="B203" s="5" t="s">
        <v>743</v>
      </c>
      <c r="C203" s="5">
        <f>VLOOKUP(A203,[2]Hoja2!$A:$F,6,0)</f>
        <v>88.58</v>
      </c>
      <c r="D203" s="5">
        <v>73.599999999999994</v>
      </c>
      <c r="E203" s="5" t="s">
        <v>1011</v>
      </c>
      <c r="F203" s="7">
        <v>4</v>
      </c>
      <c r="G203">
        <v>4</v>
      </c>
      <c r="J203" s="10">
        <f t="shared" si="40"/>
        <v>0</v>
      </c>
      <c r="K203"/>
      <c r="L203"/>
      <c r="N203" s="1"/>
    </row>
    <row r="204" spans="1:14" x14ac:dyDescent="0.25">
      <c r="A204" s="5" t="s">
        <v>324</v>
      </c>
      <c r="B204" s="5" t="s">
        <v>744</v>
      </c>
      <c r="C204" s="5">
        <f>VLOOKUP(A204,[2]Hoja2!$A:$F,6,0)</f>
        <v>131.52000000000001</v>
      </c>
      <c r="D204" s="5">
        <v>105.05</v>
      </c>
      <c r="E204" s="5" t="s">
        <v>1011</v>
      </c>
      <c r="F204" s="7">
        <v>2</v>
      </c>
      <c r="G204">
        <v>2</v>
      </c>
      <c r="J204" s="10">
        <f t="shared" si="40"/>
        <v>0</v>
      </c>
      <c r="K204">
        <f t="shared" ref="K204:K205" si="43">+H204*D204</f>
        <v>0</v>
      </c>
      <c r="L204"/>
      <c r="N204" s="1"/>
    </row>
    <row r="205" spans="1:14" x14ac:dyDescent="0.25">
      <c r="A205" s="5" t="s">
        <v>325</v>
      </c>
      <c r="B205" s="5" t="s">
        <v>745</v>
      </c>
      <c r="C205" s="5">
        <f>VLOOKUP(A205,[2]Hoja2!$A:$F,6,0)</f>
        <v>729.54</v>
      </c>
      <c r="D205" s="5">
        <v>619</v>
      </c>
      <c r="E205" s="5" t="s">
        <v>1011</v>
      </c>
      <c r="F205" s="7">
        <v>1</v>
      </c>
      <c r="I205" s="11">
        <v>1</v>
      </c>
      <c r="J205" s="10">
        <f t="shared" si="40"/>
        <v>0</v>
      </c>
      <c r="K205">
        <f t="shared" si="43"/>
        <v>0</v>
      </c>
      <c r="L205"/>
      <c r="N205" s="1"/>
    </row>
    <row r="206" spans="1:14" x14ac:dyDescent="0.25">
      <c r="A206" s="5" t="s">
        <v>326</v>
      </c>
      <c r="B206" s="5" t="s">
        <v>746</v>
      </c>
      <c r="C206" s="5"/>
      <c r="D206" s="5">
        <v>0</v>
      </c>
      <c r="E206" s="5" t="s">
        <v>1011</v>
      </c>
      <c r="F206" s="7">
        <v>0</v>
      </c>
      <c r="I206"/>
      <c r="J206" s="10">
        <f t="shared" si="40"/>
        <v>0</v>
      </c>
      <c r="K206"/>
      <c r="L206"/>
      <c r="N206" s="1"/>
    </row>
    <row r="207" spans="1:14" x14ac:dyDescent="0.25">
      <c r="A207" s="5" t="s">
        <v>327</v>
      </c>
      <c r="B207" s="5" t="s">
        <v>747</v>
      </c>
      <c r="C207" s="5"/>
      <c r="D207" s="5">
        <v>239.9</v>
      </c>
      <c r="E207" s="5" t="s">
        <v>1011</v>
      </c>
      <c r="F207" s="7">
        <v>0</v>
      </c>
      <c r="I207"/>
      <c r="J207" s="10">
        <f t="shared" si="40"/>
        <v>0</v>
      </c>
      <c r="K207"/>
      <c r="L207"/>
      <c r="N207" s="1"/>
    </row>
    <row r="208" spans="1:14" x14ac:dyDescent="0.25">
      <c r="A208" s="5" t="s">
        <v>328</v>
      </c>
      <c r="B208" s="5" t="s">
        <v>748</v>
      </c>
      <c r="C208" s="5">
        <f>VLOOKUP(A208,[2]Hoja2!$A:$F,6,0)</f>
        <v>95.8</v>
      </c>
      <c r="D208" s="5">
        <v>78.95</v>
      </c>
      <c r="E208" s="5" t="s">
        <v>1011</v>
      </c>
      <c r="F208" s="7">
        <v>2</v>
      </c>
      <c r="G208">
        <v>2</v>
      </c>
      <c r="J208" s="10">
        <f t="shared" si="40"/>
        <v>0</v>
      </c>
      <c r="K208">
        <f t="shared" ref="K208:K211" si="44">+H208*D208</f>
        <v>0</v>
      </c>
      <c r="L208"/>
      <c r="N208" s="1"/>
    </row>
    <row r="209" spans="1:14" x14ac:dyDescent="0.25">
      <c r="A209" s="5" t="s">
        <v>329</v>
      </c>
      <c r="B209" s="5" t="s">
        <v>749</v>
      </c>
      <c r="C209" s="5">
        <f>VLOOKUP(A209,[2]Hoja2!$A:$F,6,0)</f>
        <v>95.8</v>
      </c>
      <c r="D209" s="5">
        <v>78.95</v>
      </c>
      <c r="E209" s="5" t="s">
        <v>1011</v>
      </c>
      <c r="F209" s="7">
        <v>1</v>
      </c>
      <c r="G209">
        <v>1</v>
      </c>
      <c r="J209" s="10">
        <f t="shared" si="40"/>
        <v>0</v>
      </c>
      <c r="K209">
        <f t="shared" si="44"/>
        <v>0</v>
      </c>
      <c r="L209"/>
      <c r="N209" s="1"/>
    </row>
    <row r="210" spans="1:14" x14ac:dyDescent="0.25">
      <c r="A210" s="5" t="s">
        <v>330</v>
      </c>
      <c r="B210" s="5" t="s">
        <v>750</v>
      </c>
      <c r="C210" s="5">
        <f>VLOOKUP(A210,[2]Hoja2!$A:$F,6,0)</f>
        <v>66.739999999999995</v>
      </c>
      <c r="D210" s="5">
        <v>56.4</v>
      </c>
      <c r="E210" s="5" t="s">
        <v>1011</v>
      </c>
      <c r="F210" s="7">
        <v>1</v>
      </c>
      <c r="G210" s="17">
        <v>1</v>
      </c>
      <c r="J210" s="10">
        <f t="shared" si="40"/>
        <v>0</v>
      </c>
      <c r="K210">
        <f t="shared" si="44"/>
        <v>0</v>
      </c>
      <c r="L210"/>
      <c r="N210" s="1"/>
    </row>
    <row r="211" spans="1:14" x14ac:dyDescent="0.25">
      <c r="A211" s="5" t="s">
        <v>331</v>
      </c>
      <c r="B211" s="5" t="s">
        <v>751</v>
      </c>
      <c r="C211" s="5">
        <f>VLOOKUP(A211,[2]Hoja2!$A:$F,6,0)</f>
        <v>51.48</v>
      </c>
      <c r="D211" s="5">
        <v>52.65</v>
      </c>
      <c r="E211" s="5" t="s">
        <v>1011</v>
      </c>
      <c r="F211" s="7">
        <v>2</v>
      </c>
      <c r="G211" s="17">
        <v>2</v>
      </c>
      <c r="J211" s="10">
        <f t="shared" si="40"/>
        <v>0</v>
      </c>
      <c r="K211">
        <f t="shared" si="44"/>
        <v>0</v>
      </c>
      <c r="L211"/>
      <c r="N211" s="1"/>
    </row>
    <row r="212" spans="1:14" x14ac:dyDescent="0.25">
      <c r="A212" s="5" t="s">
        <v>127</v>
      </c>
      <c r="B212" s="5" t="s">
        <v>128</v>
      </c>
      <c r="C212" s="5">
        <f>VLOOKUP(A212,[2]Hoja2!$A:$F,6,0)</f>
        <v>78.28</v>
      </c>
      <c r="D212" s="5">
        <v>66.2</v>
      </c>
      <c r="E212" s="5" t="s">
        <v>1011</v>
      </c>
      <c r="F212" s="7">
        <v>1</v>
      </c>
      <c r="G212" s="17">
        <v>1</v>
      </c>
      <c r="J212" s="10">
        <f t="shared" si="40"/>
        <v>0</v>
      </c>
      <c r="K212">
        <f>+H212*D212</f>
        <v>0</v>
      </c>
      <c r="L212"/>
      <c r="N212" s="1"/>
    </row>
    <row r="213" spans="1:14" x14ac:dyDescent="0.25">
      <c r="A213" s="5" t="s">
        <v>332</v>
      </c>
      <c r="B213" s="5" t="s">
        <v>752</v>
      </c>
      <c r="C213" s="5"/>
      <c r="D213" s="5">
        <v>55.58</v>
      </c>
      <c r="E213" s="5" t="s">
        <v>1011</v>
      </c>
      <c r="F213" s="7">
        <v>0</v>
      </c>
      <c r="I213"/>
      <c r="J213" s="10">
        <f t="shared" si="40"/>
        <v>0</v>
      </c>
      <c r="K213"/>
      <c r="L213"/>
      <c r="N213" s="1"/>
    </row>
    <row r="214" spans="1:14" x14ac:dyDescent="0.25">
      <c r="A214" s="5" t="s">
        <v>333</v>
      </c>
      <c r="B214" s="5" t="s">
        <v>753</v>
      </c>
      <c r="C214" s="5">
        <f>VLOOKUP(A214,[2]Hoja2!$A:$F,6,0)</f>
        <v>65.77</v>
      </c>
      <c r="D214" s="5">
        <v>55.64</v>
      </c>
      <c r="E214" s="5" t="s">
        <v>1011</v>
      </c>
      <c r="F214" s="7">
        <v>4</v>
      </c>
      <c r="G214" s="17">
        <v>4</v>
      </c>
      <c r="J214" s="10">
        <f t="shared" si="40"/>
        <v>0</v>
      </c>
      <c r="K214"/>
      <c r="L214"/>
      <c r="N214" s="1"/>
    </row>
    <row r="215" spans="1:14" x14ac:dyDescent="0.25">
      <c r="A215" s="5" t="s">
        <v>334</v>
      </c>
      <c r="B215" s="5" t="s">
        <v>754</v>
      </c>
      <c r="C215" s="5"/>
      <c r="D215" s="5">
        <v>55.58</v>
      </c>
      <c r="E215" s="5" t="s">
        <v>1011</v>
      </c>
      <c r="F215" s="7">
        <v>0</v>
      </c>
      <c r="I215"/>
      <c r="J215" s="10">
        <f t="shared" si="40"/>
        <v>0</v>
      </c>
      <c r="K215"/>
      <c r="L215"/>
      <c r="N215" s="1"/>
    </row>
    <row r="216" spans="1:14" x14ac:dyDescent="0.25">
      <c r="A216" s="5" t="s">
        <v>335</v>
      </c>
      <c r="B216" s="5" t="s">
        <v>755</v>
      </c>
      <c r="C216" s="5">
        <f>VLOOKUP(A216,[2]Hoja2!$A:$F,6,0)</f>
        <v>37.83</v>
      </c>
      <c r="D216" s="5">
        <v>31.86</v>
      </c>
      <c r="E216" s="5" t="s">
        <v>1011</v>
      </c>
      <c r="F216" s="7">
        <v>2</v>
      </c>
      <c r="G216">
        <v>2</v>
      </c>
      <c r="J216" s="10">
        <f t="shared" si="40"/>
        <v>0</v>
      </c>
      <c r="K216">
        <f t="shared" ref="K216:K227" si="45">+H216*D216</f>
        <v>0</v>
      </c>
      <c r="L216"/>
      <c r="N216" s="1"/>
    </row>
    <row r="217" spans="1:14" x14ac:dyDescent="0.25">
      <c r="A217" s="5" t="s">
        <v>336</v>
      </c>
      <c r="B217" s="5" t="s">
        <v>756</v>
      </c>
      <c r="C217" s="5">
        <f>VLOOKUP(A217,[2]Hoja2!$A:$F,6,0)</f>
        <v>81.48</v>
      </c>
      <c r="D217" s="5">
        <v>73.39</v>
      </c>
      <c r="E217" s="5" t="s">
        <v>1011</v>
      </c>
      <c r="F217" s="7">
        <v>5</v>
      </c>
      <c r="G217">
        <v>5</v>
      </c>
      <c r="J217" s="10">
        <f t="shared" si="40"/>
        <v>0</v>
      </c>
      <c r="K217">
        <f t="shared" si="45"/>
        <v>0</v>
      </c>
      <c r="L217"/>
      <c r="N217" s="1"/>
    </row>
    <row r="218" spans="1:14" x14ac:dyDescent="0.25">
      <c r="A218" s="5" t="s">
        <v>337</v>
      </c>
      <c r="B218" s="5" t="s">
        <v>757</v>
      </c>
      <c r="C218" s="5">
        <f>VLOOKUP(A218,[2]Hoja2!$A:$F,6,0)</f>
        <v>50.79</v>
      </c>
      <c r="D218" s="5">
        <v>42.42</v>
      </c>
      <c r="E218" s="5" t="s">
        <v>1011</v>
      </c>
      <c r="F218" s="7">
        <v>1</v>
      </c>
      <c r="G218" s="17">
        <v>1</v>
      </c>
      <c r="J218" s="10">
        <f t="shared" si="40"/>
        <v>0</v>
      </c>
      <c r="K218">
        <f t="shared" si="45"/>
        <v>0</v>
      </c>
      <c r="L218"/>
      <c r="N218" s="1"/>
    </row>
    <row r="219" spans="1:14" x14ac:dyDescent="0.25">
      <c r="A219" s="5" t="s">
        <v>338</v>
      </c>
      <c r="B219" s="5" t="s">
        <v>758</v>
      </c>
      <c r="C219" s="5">
        <f>VLOOKUP(A219,[2]Hoja2!$A:$F,6,0)</f>
        <v>50.79</v>
      </c>
      <c r="D219" s="5">
        <v>38.119999999999997</v>
      </c>
      <c r="E219" s="5" t="s">
        <v>1011</v>
      </c>
      <c r="F219" s="7">
        <v>1</v>
      </c>
      <c r="G219" s="17">
        <v>1</v>
      </c>
      <c r="J219" s="10">
        <f t="shared" si="40"/>
        <v>0</v>
      </c>
      <c r="K219">
        <f t="shared" si="45"/>
        <v>0</v>
      </c>
      <c r="L219"/>
      <c r="N219" s="1"/>
    </row>
    <row r="220" spans="1:14" x14ac:dyDescent="0.25">
      <c r="A220" s="5" t="s">
        <v>339</v>
      </c>
      <c r="B220" s="5" t="s">
        <v>759</v>
      </c>
      <c r="C220" s="5">
        <f>VLOOKUP(A220,[2]Hoja2!$A:$F,6,0)</f>
        <v>50.79</v>
      </c>
      <c r="D220" s="5">
        <v>42.11</v>
      </c>
      <c r="E220" s="5" t="s">
        <v>1011</v>
      </c>
      <c r="F220" s="7">
        <v>1</v>
      </c>
      <c r="G220" s="17">
        <v>1</v>
      </c>
      <c r="J220" s="10">
        <f t="shared" si="40"/>
        <v>0</v>
      </c>
      <c r="K220">
        <f t="shared" si="45"/>
        <v>0</v>
      </c>
      <c r="L220"/>
      <c r="N220" s="1"/>
    </row>
    <row r="221" spans="1:14" x14ac:dyDescent="0.25">
      <c r="A221" s="5" t="s">
        <v>340</v>
      </c>
      <c r="B221" s="5" t="s">
        <v>760</v>
      </c>
      <c r="C221" s="5">
        <f>VLOOKUP(A221,[2]Hoja2!$A:$F,6,0)</f>
        <v>24.45</v>
      </c>
      <c r="D221" s="5">
        <v>20.5</v>
      </c>
      <c r="E221" s="24" t="s">
        <v>1011</v>
      </c>
      <c r="F221" s="7">
        <v>2</v>
      </c>
      <c r="H221" s="11">
        <v>1</v>
      </c>
      <c r="I221" s="19">
        <f>+F221-G221-H221</f>
        <v>1</v>
      </c>
      <c r="J221" s="10">
        <f t="shared" si="40"/>
        <v>0</v>
      </c>
      <c r="K221">
        <f>+H221*D221</f>
        <v>20.5</v>
      </c>
      <c r="L221" t="s">
        <v>1042</v>
      </c>
      <c r="N221" s="1"/>
    </row>
    <row r="222" spans="1:14" x14ac:dyDescent="0.25">
      <c r="A222" s="5" t="s">
        <v>341</v>
      </c>
      <c r="B222" s="5" t="s">
        <v>761</v>
      </c>
      <c r="C222" s="5">
        <f>VLOOKUP(A222,[2]Hoja2!$A:$F,6,0)</f>
        <v>77.680000000000007</v>
      </c>
      <c r="D222" s="5">
        <v>65.900000000000006</v>
      </c>
      <c r="E222" s="5" t="s">
        <v>1011</v>
      </c>
      <c r="F222" s="7">
        <v>2</v>
      </c>
      <c r="G222">
        <v>2</v>
      </c>
      <c r="J222" s="10">
        <f t="shared" si="40"/>
        <v>0</v>
      </c>
      <c r="K222">
        <f t="shared" si="45"/>
        <v>0</v>
      </c>
      <c r="L222"/>
      <c r="N222" s="1"/>
    </row>
    <row r="223" spans="1:14" x14ac:dyDescent="0.25">
      <c r="A223" s="5" t="s">
        <v>136</v>
      </c>
      <c r="B223" s="5" t="s">
        <v>137</v>
      </c>
      <c r="C223" s="5">
        <f>VLOOKUP(A223,[2]Hoja2!$A:$F,6,0)</f>
        <v>97.63</v>
      </c>
      <c r="D223" s="5">
        <v>82.62</v>
      </c>
      <c r="E223" s="24" t="s">
        <v>1011</v>
      </c>
      <c r="F223" s="7">
        <v>1</v>
      </c>
      <c r="H223" s="11">
        <v>1</v>
      </c>
      <c r="I223" s="19">
        <f t="shared" ref="I223:I224" si="46">+F223-G223-H223</f>
        <v>0</v>
      </c>
      <c r="J223" s="10">
        <f t="shared" si="40"/>
        <v>0</v>
      </c>
      <c r="K223">
        <f t="shared" si="45"/>
        <v>82.62</v>
      </c>
      <c r="L223" t="s">
        <v>1042</v>
      </c>
      <c r="N223" s="1"/>
    </row>
    <row r="224" spans="1:14" x14ac:dyDescent="0.25">
      <c r="A224" s="5" t="s">
        <v>342</v>
      </c>
      <c r="B224" s="5" t="s">
        <v>762</v>
      </c>
      <c r="C224" s="5">
        <f>VLOOKUP(A224,[2]Hoja2!$A:$F,6,0)</f>
        <v>36.590000000000003</v>
      </c>
      <c r="D224" s="5">
        <v>30.81</v>
      </c>
      <c r="E224" s="24" t="s">
        <v>1011</v>
      </c>
      <c r="F224" s="7">
        <v>2</v>
      </c>
      <c r="H224" s="18">
        <v>1</v>
      </c>
      <c r="I224" s="19">
        <f t="shared" si="46"/>
        <v>1</v>
      </c>
      <c r="J224" s="10">
        <f t="shared" si="40"/>
        <v>0</v>
      </c>
      <c r="K224">
        <f t="shared" si="45"/>
        <v>30.81</v>
      </c>
      <c r="L224" t="s">
        <v>1042</v>
      </c>
      <c r="N224" s="1"/>
    </row>
    <row r="225" spans="1:14" x14ac:dyDescent="0.25">
      <c r="A225" s="5" t="s">
        <v>343</v>
      </c>
      <c r="B225" s="5" t="s">
        <v>763</v>
      </c>
      <c r="C225" s="5">
        <f>VLOOKUP(A225,[2]Hoja2!$A:$F,6,0)</f>
        <v>36.590000000000003</v>
      </c>
      <c r="D225" s="5">
        <v>30.8</v>
      </c>
      <c r="E225" s="5" t="s">
        <v>1011</v>
      </c>
      <c r="F225" s="7">
        <v>3</v>
      </c>
      <c r="G225" s="17">
        <v>3</v>
      </c>
      <c r="H225" s="18"/>
      <c r="I225" s="18"/>
      <c r="J225" s="10">
        <f t="shared" si="40"/>
        <v>0</v>
      </c>
      <c r="K225">
        <f t="shared" si="45"/>
        <v>0</v>
      </c>
      <c r="L225"/>
      <c r="N225" s="1"/>
    </row>
    <row r="226" spans="1:14" x14ac:dyDescent="0.25">
      <c r="A226" s="5" t="s">
        <v>344</v>
      </c>
      <c r="B226" s="5" t="s">
        <v>764</v>
      </c>
      <c r="C226" s="5">
        <f>VLOOKUP(A226,[2]Hoja2!$A:$F,6,0)</f>
        <v>168.29</v>
      </c>
      <c r="D226" s="5">
        <v>142.6</v>
      </c>
      <c r="E226" s="5" t="s">
        <v>1011</v>
      </c>
      <c r="F226" s="7">
        <v>2</v>
      </c>
      <c r="G226">
        <v>2</v>
      </c>
      <c r="J226" s="10">
        <f t="shared" si="40"/>
        <v>0</v>
      </c>
      <c r="K226">
        <f t="shared" si="45"/>
        <v>0</v>
      </c>
      <c r="L226"/>
      <c r="N226" s="1"/>
    </row>
    <row r="227" spans="1:14" x14ac:dyDescent="0.25">
      <c r="A227" s="5" t="s">
        <v>345</v>
      </c>
      <c r="B227" s="5" t="s">
        <v>765</v>
      </c>
      <c r="C227" s="5">
        <f>VLOOKUP(A227,[2]Hoja2!$A:$F,6,0)</f>
        <v>168.29</v>
      </c>
      <c r="D227" s="5">
        <v>142.6</v>
      </c>
      <c r="E227" s="5" t="s">
        <v>1011</v>
      </c>
      <c r="F227" s="7">
        <v>2</v>
      </c>
      <c r="G227">
        <v>2</v>
      </c>
      <c r="J227" s="10">
        <f t="shared" si="40"/>
        <v>0</v>
      </c>
      <c r="K227">
        <f t="shared" si="45"/>
        <v>0</v>
      </c>
      <c r="L227"/>
      <c r="N227" s="1"/>
    </row>
    <row r="228" spans="1:14" x14ac:dyDescent="0.25">
      <c r="A228" s="5" t="s">
        <v>346</v>
      </c>
      <c r="B228" s="5" t="s">
        <v>766</v>
      </c>
      <c r="C228" s="5"/>
      <c r="D228" s="5">
        <v>54</v>
      </c>
      <c r="E228" s="5" t="s">
        <v>1011</v>
      </c>
      <c r="F228" s="7">
        <v>0</v>
      </c>
      <c r="I228"/>
      <c r="J228" s="10">
        <f t="shared" si="40"/>
        <v>0</v>
      </c>
      <c r="K228"/>
      <c r="L228"/>
      <c r="N228" s="1"/>
    </row>
    <row r="229" spans="1:14" x14ac:dyDescent="0.25">
      <c r="A229" s="5" t="s">
        <v>347</v>
      </c>
      <c r="B229" s="5" t="s">
        <v>767</v>
      </c>
      <c r="C229" s="5">
        <f>VLOOKUP(A229,[2]Hoja2!$A:$F,6,0)</f>
        <v>36</v>
      </c>
      <c r="D229" s="5">
        <v>22.1</v>
      </c>
      <c r="E229" s="5" t="s">
        <v>1012</v>
      </c>
      <c r="F229" s="7">
        <v>1</v>
      </c>
      <c r="G229">
        <v>1</v>
      </c>
      <c r="J229" s="10">
        <f t="shared" si="40"/>
        <v>0</v>
      </c>
      <c r="K229">
        <f t="shared" ref="K229:K231" si="47">+H229*D229</f>
        <v>0</v>
      </c>
      <c r="L229"/>
      <c r="N229" s="1"/>
    </row>
    <row r="230" spans="1:14" x14ac:dyDescent="0.25">
      <c r="A230" s="5" t="s">
        <v>348</v>
      </c>
      <c r="B230" s="5" t="s">
        <v>768</v>
      </c>
      <c r="C230" s="5">
        <f>VLOOKUP(A230,[2]Hoja2!$A:$F,6,0)</f>
        <v>26</v>
      </c>
      <c r="D230" s="5">
        <v>17.989999999999998</v>
      </c>
      <c r="E230" s="24" t="s">
        <v>1013</v>
      </c>
      <c r="F230" s="7">
        <v>2</v>
      </c>
      <c r="H230" s="11">
        <v>2</v>
      </c>
      <c r="I230" s="19">
        <f t="shared" ref="I230:I231" si="48">+F230-G230-H230</f>
        <v>0</v>
      </c>
      <c r="J230" s="10">
        <f t="shared" si="40"/>
        <v>0</v>
      </c>
      <c r="K230">
        <f t="shared" si="47"/>
        <v>35.979999999999997</v>
      </c>
      <c r="L230" t="s">
        <v>1042</v>
      </c>
      <c r="N230" s="1"/>
    </row>
    <row r="231" spans="1:14" x14ac:dyDescent="0.25">
      <c r="A231" s="5" t="s">
        <v>125</v>
      </c>
      <c r="B231" s="5" t="s">
        <v>126</v>
      </c>
      <c r="C231" s="5">
        <f>VLOOKUP(A231,[2]Hoja2!$A:$F,6,0)</f>
        <v>19</v>
      </c>
      <c r="D231" s="5">
        <v>13</v>
      </c>
      <c r="E231" s="24" t="s">
        <v>1013</v>
      </c>
      <c r="F231" s="7">
        <v>9</v>
      </c>
      <c r="H231" s="11">
        <v>9</v>
      </c>
      <c r="I231" s="19">
        <f t="shared" si="48"/>
        <v>0</v>
      </c>
      <c r="J231" s="10">
        <f t="shared" si="40"/>
        <v>0</v>
      </c>
      <c r="K231">
        <f t="shared" si="47"/>
        <v>117</v>
      </c>
      <c r="L231" t="s">
        <v>1042</v>
      </c>
      <c r="N231" s="1"/>
    </row>
    <row r="232" spans="1:14" x14ac:dyDescent="0.25">
      <c r="A232" s="5" t="s">
        <v>38</v>
      </c>
      <c r="B232" s="5" t="s">
        <v>39</v>
      </c>
      <c r="C232" s="5">
        <f>VLOOKUP(A232,[2]Hoja2!$A:$F,6,0)</f>
        <v>5</v>
      </c>
      <c r="D232" s="5">
        <v>3.75</v>
      </c>
      <c r="E232" s="24" t="s">
        <v>1013</v>
      </c>
      <c r="F232" s="7">
        <v>10</v>
      </c>
      <c r="H232" s="11">
        <v>10</v>
      </c>
      <c r="J232" s="10">
        <f t="shared" si="40"/>
        <v>0</v>
      </c>
      <c r="K232"/>
      <c r="L232" t="s">
        <v>1042</v>
      </c>
      <c r="N232" s="1"/>
    </row>
    <row r="233" spans="1:14" x14ac:dyDescent="0.25">
      <c r="A233" s="5" t="s">
        <v>349</v>
      </c>
      <c r="B233" s="5" t="s">
        <v>769</v>
      </c>
      <c r="C233" s="5"/>
      <c r="D233" s="5">
        <v>13</v>
      </c>
      <c r="E233" s="5" t="s">
        <v>1013</v>
      </c>
      <c r="F233" s="7">
        <v>0</v>
      </c>
      <c r="I233"/>
      <c r="J233" s="10">
        <f t="shared" si="40"/>
        <v>0</v>
      </c>
      <c r="K233"/>
      <c r="L233"/>
      <c r="N233" s="1"/>
    </row>
    <row r="234" spans="1:14" x14ac:dyDescent="0.25">
      <c r="A234" s="5" t="s">
        <v>350</v>
      </c>
      <c r="B234" s="5" t="s">
        <v>770</v>
      </c>
      <c r="C234" s="5"/>
      <c r="D234" s="5">
        <v>84</v>
      </c>
      <c r="E234" s="5" t="s">
        <v>1014</v>
      </c>
      <c r="F234" s="7">
        <v>0</v>
      </c>
      <c r="I234"/>
      <c r="J234" s="10">
        <f t="shared" si="40"/>
        <v>0</v>
      </c>
      <c r="K234"/>
      <c r="L234"/>
      <c r="N234" s="1"/>
    </row>
    <row r="235" spans="1:14" x14ac:dyDescent="0.25">
      <c r="A235" s="5" t="s">
        <v>351</v>
      </c>
      <c r="B235" s="5" t="s">
        <v>771</v>
      </c>
      <c r="C235" s="5"/>
      <c r="D235" s="5">
        <v>29.9</v>
      </c>
      <c r="E235" s="5" t="s">
        <v>1014</v>
      </c>
      <c r="F235" s="7">
        <v>0</v>
      </c>
      <c r="I235"/>
      <c r="J235" s="10">
        <f t="shared" si="40"/>
        <v>0</v>
      </c>
      <c r="K235"/>
      <c r="L235"/>
      <c r="N235" s="1"/>
    </row>
    <row r="236" spans="1:14" x14ac:dyDescent="0.25">
      <c r="A236" s="5" t="s">
        <v>352</v>
      </c>
      <c r="B236" s="5" t="s">
        <v>772</v>
      </c>
      <c r="C236" s="5"/>
      <c r="D236" s="5">
        <v>0</v>
      </c>
      <c r="E236" s="5" t="s">
        <v>1014</v>
      </c>
      <c r="F236" s="7">
        <v>0</v>
      </c>
      <c r="I236"/>
      <c r="J236" s="10">
        <f t="shared" si="40"/>
        <v>0</v>
      </c>
      <c r="K236"/>
      <c r="L236"/>
      <c r="N236" s="1"/>
    </row>
    <row r="237" spans="1:14" x14ac:dyDescent="0.25">
      <c r="A237" s="5" t="s">
        <v>353</v>
      </c>
      <c r="B237" s="5" t="s">
        <v>773</v>
      </c>
      <c r="C237" s="5">
        <f>VLOOKUP(A237,[2]Hoja2!$A:$F,6,0)</f>
        <v>173.63</v>
      </c>
      <c r="D237" s="5">
        <v>149</v>
      </c>
      <c r="E237" s="5" t="s">
        <v>1014</v>
      </c>
      <c r="F237" s="7">
        <v>1</v>
      </c>
      <c r="G237">
        <v>1</v>
      </c>
      <c r="J237" s="10">
        <f t="shared" si="40"/>
        <v>0</v>
      </c>
      <c r="K237">
        <f t="shared" ref="K237:K238" si="49">+H237*D237</f>
        <v>0</v>
      </c>
      <c r="L237"/>
      <c r="N237" s="1"/>
    </row>
    <row r="238" spans="1:14" x14ac:dyDescent="0.25">
      <c r="A238" s="5" t="s">
        <v>354</v>
      </c>
      <c r="B238" s="5" t="s">
        <v>774</v>
      </c>
      <c r="C238" s="5">
        <f>VLOOKUP(A238,[2]Hoja2!$A:$F,6,0)</f>
        <v>97.21</v>
      </c>
      <c r="D238" s="5">
        <v>79.900000000000006</v>
      </c>
      <c r="E238" s="5" t="s">
        <v>1014</v>
      </c>
      <c r="F238" s="7">
        <v>1</v>
      </c>
      <c r="G238">
        <v>1</v>
      </c>
      <c r="J238" s="10">
        <f t="shared" si="40"/>
        <v>0</v>
      </c>
      <c r="K238">
        <f t="shared" si="49"/>
        <v>0</v>
      </c>
      <c r="L238"/>
      <c r="N238" s="1"/>
    </row>
    <row r="239" spans="1:14" x14ac:dyDescent="0.25">
      <c r="A239" s="5" t="s">
        <v>355</v>
      </c>
      <c r="B239" s="5" t="s">
        <v>775</v>
      </c>
      <c r="C239" s="5"/>
      <c r="D239" s="5">
        <v>41.5</v>
      </c>
      <c r="E239" s="5" t="s">
        <v>1014</v>
      </c>
      <c r="F239" s="7">
        <v>0</v>
      </c>
      <c r="I239"/>
      <c r="J239" s="10">
        <f t="shared" si="40"/>
        <v>0</v>
      </c>
      <c r="K239"/>
      <c r="L239"/>
      <c r="N239" s="1"/>
    </row>
    <row r="240" spans="1:14" x14ac:dyDescent="0.25">
      <c r="A240" s="5" t="s">
        <v>356</v>
      </c>
      <c r="B240" s="5" t="s">
        <v>776</v>
      </c>
      <c r="C240" s="5">
        <f>VLOOKUP(A240,[2]Hoja2!$A:$F,6,0)</f>
        <v>252.18</v>
      </c>
      <c r="D240" s="5">
        <v>229</v>
      </c>
      <c r="E240" s="5" t="s">
        <v>1014</v>
      </c>
      <c r="F240" s="7">
        <v>1</v>
      </c>
      <c r="H240" s="18"/>
      <c r="I240" s="18">
        <v>1</v>
      </c>
      <c r="J240" s="10">
        <f t="shared" si="40"/>
        <v>0</v>
      </c>
      <c r="K240">
        <f t="shared" ref="K240" si="50">+H240*D240</f>
        <v>0</v>
      </c>
      <c r="L240"/>
      <c r="N240" s="1"/>
    </row>
    <row r="241" spans="1:14" x14ac:dyDescent="0.25">
      <c r="A241" s="5" t="s">
        <v>357</v>
      </c>
      <c r="B241" s="5" t="s">
        <v>777</v>
      </c>
      <c r="C241" s="5">
        <f>VLOOKUP(A241,[2]Hoja2!$A:$F,6,0)</f>
        <v>32.520000000000003</v>
      </c>
      <c r="D241" s="5">
        <v>26.9</v>
      </c>
      <c r="E241" s="24" t="s">
        <v>1014</v>
      </c>
      <c r="F241" s="7">
        <v>1</v>
      </c>
      <c r="H241" s="11">
        <v>1</v>
      </c>
      <c r="I241" s="19">
        <f>+F241-G241-H241</f>
        <v>0</v>
      </c>
      <c r="J241" s="10">
        <f t="shared" si="40"/>
        <v>0</v>
      </c>
      <c r="K241">
        <f>+H241*D241</f>
        <v>26.9</v>
      </c>
      <c r="L241" t="s">
        <v>1042</v>
      </c>
      <c r="N241" s="1"/>
    </row>
    <row r="242" spans="1:14" x14ac:dyDescent="0.25">
      <c r="A242" s="5" t="s">
        <v>16</v>
      </c>
      <c r="B242" s="5" t="s">
        <v>17</v>
      </c>
      <c r="C242" s="5"/>
      <c r="D242" s="5">
        <v>12.62</v>
      </c>
      <c r="E242" s="5" t="s">
        <v>1015</v>
      </c>
      <c r="F242" s="7">
        <v>0</v>
      </c>
      <c r="I242"/>
      <c r="J242" s="10">
        <f t="shared" si="40"/>
        <v>0</v>
      </c>
      <c r="K242"/>
      <c r="L242"/>
      <c r="N242" s="1"/>
    </row>
    <row r="243" spans="1:14" x14ac:dyDescent="0.25">
      <c r="A243" s="5" t="s">
        <v>95</v>
      </c>
      <c r="B243" s="5" t="s">
        <v>96</v>
      </c>
      <c r="C243" s="5">
        <f>VLOOKUP(A243,[2]Hoja2!$A:$F,6,0)</f>
        <v>166.54</v>
      </c>
      <c r="D243" s="5">
        <v>137.33000000000001</v>
      </c>
      <c r="E243" s="24" t="s">
        <v>1015</v>
      </c>
      <c r="F243" s="7">
        <v>2</v>
      </c>
      <c r="H243" s="11">
        <v>1</v>
      </c>
      <c r="I243" s="19">
        <f t="shared" ref="I243:I247" si="51">+F243-G243-H243</f>
        <v>1</v>
      </c>
      <c r="J243" s="10">
        <f t="shared" si="40"/>
        <v>0</v>
      </c>
      <c r="K243">
        <f t="shared" ref="K243:K247" si="52">+H243*D243</f>
        <v>137.33000000000001</v>
      </c>
      <c r="L243" t="s">
        <v>1042</v>
      </c>
      <c r="N243" s="1"/>
    </row>
    <row r="244" spans="1:14" x14ac:dyDescent="0.25">
      <c r="A244" s="5" t="s">
        <v>358</v>
      </c>
      <c r="B244" s="5" t="s">
        <v>778</v>
      </c>
      <c r="C244" s="5">
        <f>VLOOKUP(A244,[2]Hoja2!$A:$F,6,0)</f>
        <v>166.54</v>
      </c>
      <c r="D244" s="5">
        <v>133.29</v>
      </c>
      <c r="E244" s="24" t="s">
        <v>1015</v>
      </c>
      <c r="F244" s="7">
        <v>2</v>
      </c>
      <c r="H244" s="11">
        <v>1</v>
      </c>
      <c r="I244" s="19">
        <f t="shared" si="51"/>
        <v>1</v>
      </c>
      <c r="J244" s="10">
        <f t="shared" si="40"/>
        <v>0</v>
      </c>
      <c r="K244">
        <f t="shared" si="52"/>
        <v>133.29</v>
      </c>
      <c r="L244" t="s">
        <v>1042</v>
      </c>
      <c r="N244" s="1"/>
    </row>
    <row r="245" spans="1:14" x14ac:dyDescent="0.25">
      <c r="A245" s="5" t="s">
        <v>46</v>
      </c>
      <c r="B245" s="5" t="s">
        <v>47</v>
      </c>
      <c r="C245" s="5">
        <f>VLOOKUP(A245,[2]Hoja2!$A:$F,6,0)</f>
        <v>16.8</v>
      </c>
      <c r="D245" s="5">
        <v>9.42</v>
      </c>
      <c r="E245" s="24" t="s">
        <v>1015</v>
      </c>
      <c r="F245" s="7">
        <v>2</v>
      </c>
      <c r="H245" s="18">
        <v>2</v>
      </c>
      <c r="I245" s="19">
        <f t="shared" si="51"/>
        <v>0</v>
      </c>
      <c r="J245" s="10">
        <f t="shared" si="40"/>
        <v>0</v>
      </c>
      <c r="K245">
        <f t="shared" si="52"/>
        <v>18.84</v>
      </c>
      <c r="L245" t="s">
        <v>1042</v>
      </c>
      <c r="N245" s="1"/>
    </row>
    <row r="246" spans="1:14" x14ac:dyDescent="0.25">
      <c r="A246" s="5" t="s">
        <v>62</v>
      </c>
      <c r="B246" s="5" t="s">
        <v>63</v>
      </c>
      <c r="C246" s="5">
        <f>VLOOKUP(A246,[2]Hoja2!$A:$F,6,0)</f>
        <v>12.71</v>
      </c>
      <c r="D246" s="5">
        <v>10.1</v>
      </c>
      <c r="E246" s="24" t="s">
        <v>1015</v>
      </c>
      <c r="F246" s="7">
        <v>2</v>
      </c>
      <c r="H246" s="18">
        <v>2</v>
      </c>
      <c r="I246" s="19">
        <f t="shared" si="51"/>
        <v>0</v>
      </c>
      <c r="J246" s="10">
        <f t="shared" si="40"/>
        <v>0</v>
      </c>
      <c r="K246">
        <f t="shared" si="52"/>
        <v>20.2</v>
      </c>
      <c r="L246" t="s">
        <v>1042</v>
      </c>
      <c r="N246" s="1"/>
    </row>
    <row r="247" spans="1:14" x14ac:dyDescent="0.25">
      <c r="A247" s="5" t="s">
        <v>60</v>
      </c>
      <c r="B247" s="5" t="s">
        <v>61</v>
      </c>
      <c r="C247" s="5">
        <f>VLOOKUP(A247,[2]Hoja2!$A:$F,6,0)</f>
        <v>10.71</v>
      </c>
      <c r="D247" s="5">
        <v>6.31</v>
      </c>
      <c r="E247" s="24" t="s">
        <v>1015</v>
      </c>
      <c r="F247" s="7">
        <v>4</v>
      </c>
      <c r="H247" s="11">
        <v>4</v>
      </c>
      <c r="I247" s="19">
        <f t="shared" si="51"/>
        <v>0</v>
      </c>
      <c r="J247" s="10">
        <f t="shared" si="40"/>
        <v>0</v>
      </c>
      <c r="K247">
        <f t="shared" si="52"/>
        <v>25.24</v>
      </c>
      <c r="L247" t="s">
        <v>1042</v>
      </c>
      <c r="N247" s="1"/>
    </row>
    <row r="248" spans="1:14" x14ac:dyDescent="0.25">
      <c r="A248" s="5" t="s">
        <v>359</v>
      </c>
      <c r="B248" s="5" t="s">
        <v>779</v>
      </c>
      <c r="C248" s="5"/>
      <c r="D248" s="5">
        <v>33.01</v>
      </c>
      <c r="E248" s="5" t="s">
        <v>1016</v>
      </c>
      <c r="F248" s="7">
        <v>0</v>
      </c>
      <c r="I248"/>
      <c r="J248" s="10">
        <f t="shared" si="40"/>
        <v>0</v>
      </c>
      <c r="K248"/>
      <c r="L248"/>
      <c r="N248" s="1"/>
    </row>
    <row r="249" spans="1:14" x14ac:dyDescent="0.25">
      <c r="A249" s="5" t="s">
        <v>360</v>
      </c>
      <c r="B249" s="5" t="s">
        <v>780</v>
      </c>
      <c r="C249" s="5"/>
      <c r="D249" s="5">
        <v>11.07</v>
      </c>
      <c r="E249" s="5" t="s">
        <v>1016</v>
      </c>
      <c r="F249" s="7">
        <v>0</v>
      </c>
      <c r="I249"/>
      <c r="J249" s="10">
        <f t="shared" si="40"/>
        <v>0</v>
      </c>
      <c r="K249"/>
      <c r="L249"/>
      <c r="N249" s="1"/>
    </row>
    <row r="250" spans="1:14" x14ac:dyDescent="0.25">
      <c r="A250" s="5" t="s">
        <v>361</v>
      </c>
      <c r="B250" s="5" t="s">
        <v>781</v>
      </c>
      <c r="C250" s="5"/>
      <c r="D250" s="5">
        <v>10.25</v>
      </c>
      <c r="E250" s="5" t="s">
        <v>1016</v>
      </c>
      <c r="F250" s="7">
        <v>0</v>
      </c>
      <c r="I250"/>
      <c r="J250" s="10">
        <f t="shared" si="40"/>
        <v>0</v>
      </c>
      <c r="K250"/>
      <c r="L250"/>
      <c r="N250" s="1"/>
    </row>
    <row r="251" spans="1:14" x14ac:dyDescent="0.25">
      <c r="A251" s="5" t="s">
        <v>362</v>
      </c>
      <c r="B251" s="5" t="s">
        <v>782</v>
      </c>
      <c r="C251" s="5"/>
      <c r="D251" s="5">
        <v>0</v>
      </c>
      <c r="E251" s="5" t="s">
        <v>1016</v>
      </c>
      <c r="F251" s="7">
        <v>0</v>
      </c>
      <c r="I251"/>
      <c r="J251" s="10">
        <f t="shared" si="40"/>
        <v>0</v>
      </c>
      <c r="K251"/>
      <c r="L251"/>
      <c r="N251" s="1"/>
    </row>
    <row r="252" spans="1:14" x14ac:dyDescent="0.25">
      <c r="A252" s="5" t="s">
        <v>363</v>
      </c>
      <c r="B252" s="5" t="s">
        <v>783</v>
      </c>
      <c r="C252" s="5"/>
      <c r="D252" s="5">
        <v>41.67</v>
      </c>
      <c r="E252" s="5" t="s">
        <v>1016</v>
      </c>
      <c r="F252" s="7">
        <v>0</v>
      </c>
      <c r="I252"/>
      <c r="J252" s="10">
        <f t="shared" si="40"/>
        <v>0</v>
      </c>
      <c r="K252"/>
      <c r="L252"/>
      <c r="N252" s="1"/>
    </row>
    <row r="253" spans="1:14" x14ac:dyDescent="0.25">
      <c r="A253" s="5" t="s">
        <v>364</v>
      </c>
      <c r="B253" s="5" t="s">
        <v>784</v>
      </c>
      <c r="C253" s="5"/>
      <c r="D253" s="5">
        <v>85.84</v>
      </c>
      <c r="E253" s="5" t="s">
        <v>1016</v>
      </c>
      <c r="F253" s="7">
        <v>0</v>
      </c>
      <c r="I253"/>
      <c r="J253" s="10">
        <f t="shared" si="40"/>
        <v>0</v>
      </c>
      <c r="K253"/>
      <c r="L253"/>
      <c r="N253" s="1"/>
    </row>
    <row r="254" spans="1:14" x14ac:dyDescent="0.25">
      <c r="A254" s="5" t="s">
        <v>365</v>
      </c>
      <c r="B254" s="5" t="s">
        <v>785</v>
      </c>
      <c r="C254" s="5"/>
      <c r="D254" s="5">
        <v>191.77</v>
      </c>
      <c r="E254" s="5" t="s">
        <v>1016</v>
      </c>
      <c r="F254" s="7">
        <v>0</v>
      </c>
      <c r="I254"/>
      <c r="J254" s="10">
        <f t="shared" si="40"/>
        <v>0</v>
      </c>
      <c r="K254"/>
      <c r="L254"/>
      <c r="N254" s="1"/>
    </row>
    <row r="255" spans="1:14" x14ac:dyDescent="0.25">
      <c r="A255" s="5" t="s">
        <v>366</v>
      </c>
      <c r="B255" s="5" t="s">
        <v>786</v>
      </c>
      <c r="C255" s="5"/>
      <c r="D255" s="5">
        <v>40.840000000000003</v>
      </c>
      <c r="E255" s="5" t="s">
        <v>1016</v>
      </c>
      <c r="F255" s="7">
        <v>0</v>
      </c>
      <c r="I255"/>
      <c r="J255" s="10">
        <f t="shared" si="40"/>
        <v>0</v>
      </c>
      <c r="K255"/>
      <c r="L255"/>
      <c r="N255" s="1"/>
    </row>
    <row r="256" spans="1:14" x14ac:dyDescent="0.25">
      <c r="A256" s="5" t="s">
        <v>367</v>
      </c>
      <c r="B256" s="5" t="s">
        <v>787</v>
      </c>
      <c r="C256" s="5"/>
      <c r="D256" s="5">
        <v>40.840000000000003</v>
      </c>
      <c r="E256" s="5" t="s">
        <v>1016</v>
      </c>
      <c r="F256" s="7">
        <v>0</v>
      </c>
      <c r="I256"/>
      <c r="J256" s="10">
        <f t="shared" si="40"/>
        <v>0</v>
      </c>
      <c r="K256"/>
      <c r="L256"/>
      <c r="N256" s="1"/>
    </row>
    <row r="257" spans="1:14" x14ac:dyDescent="0.25">
      <c r="A257" s="5" t="s">
        <v>368</v>
      </c>
      <c r="B257" s="5" t="s">
        <v>788</v>
      </c>
      <c r="C257" s="5">
        <f>VLOOKUP(A257,[2]Hoja2!$A:$F,6,0)</f>
        <v>146.69999999999999</v>
      </c>
      <c r="D257" s="5">
        <v>123.81</v>
      </c>
      <c r="E257" s="5" t="s">
        <v>1016</v>
      </c>
      <c r="F257" s="7">
        <v>2</v>
      </c>
      <c r="G257">
        <v>2</v>
      </c>
      <c r="J257" s="10">
        <f t="shared" si="40"/>
        <v>0</v>
      </c>
      <c r="K257">
        <f t="shared" ref="K257:K261" si="53">+H257*D257</f>
        <v>0</v>
      </c>
      <c r="L257"/>
      <c r="N257" s="1"/>
    </row>
    <row r="258" spans="1:14" x14ac:dyDescent="0.25">
      <c r="A258" s="5" t="s">
        <v>369</v>
      </c>
      <c r="B258" s="5" t="s">
        <v>789</v>
      </c>
      <c r="C258" s="5">
        <f>VLOOKUP(A258,[2]Hoja2!$A:$F,6,0)</f>
        <v>81.95</v>
      </c>
      <c r="D258" s="5">
        <v>61.79</v>
      </c>
      <c r="E258" s="5" t="s">
        <v>1016</v>
      </c>
      <c r="F258" s="7">
        <v>2</v>
      </c>
      <c r="G258">
        <v>2</v>
      </c>
      <c r="J258" s="10">
        <f t="shared" si="40"/>
        <v>0</v>
      </c>
      <c r="K258">
        <f t="shared" si="53"/>
        <v>0</v>
      </c>
      <c r="L258"/>
      <c r="N258" s="1"/>
    </row>
    <row r="259" spans="1:14" x14ac:dyDescent="0.25">
      <c r="A259" s="5" t="s">
        <v>370</v>
      </c>
      <c r="B259" s="5" t="s">
        <v>790</v>
      </c>
      <c r="C259" s="5">
        <f>VLOOKUP(A259,[2]Hoja2!$A:$F,6,0)</f>
        <v>74.83</v>
      </c>
      <c r="D259" s="5">
        <v>43.66</v>
      </c>
      <c r="E259" s="24" t="s">
        <v>1016</v>
      </c>
      <c r="F259" s="7">
        <v>2</v>
      </c>
      <c r="H259" s="18">
        <v>1</v>
      </c>
      <c r="I259" s="19">
        <f>+F259-G259-H259</f>
        <v>1</v>
      </c>
      <c r="J259" s="10">
        <f t="shared" ref="J259:J322" si="54">+F259-G259-H259-I259</f>
        <v>0</v>
      </c>
      <c r="K259">
        <f t="shared" si="53"/>
        <v>43.66</v>
      </c>
      <c r="L259" t="s">
        <v>1042</v>
      </c>
      <c r="N259" s="1"/>
    </row>
    <row r="260" spans="1:14" x14ac:dyDescent="0.25">
      <c r="A260" s="5" t="s">
        <v>371</v>
      </c>
      <c r="B260" s="5" t="s">
        <v>791</v>
      </c>
      <c r="C260" s="5">
        <f>VLOOKUP(A260,[2]Hoja2!$A:$F,6,0)</f>
        <v>74.83</v>
      </c>
      <c r="D260" s="5">
        <v>58.18</v>
      </c>
      <c r="E260" s="5" t="s">
        <v>1016</v>
      </c>
      <c r="F260" s="7">
        <v>3</v>
      </c>
      <c r="G260">
        <v>3</v>
      </c>
      <c r="J260" s="10">
        <f t="shared" si="54"/>
        <v>0</v>
      </c>
      <c r="K260">
        <f t="shared" si="53"/>
        <v>0</v>
      </c>
      <c r="L260"/>
      <c r="N260" s="1"/>
    </row>
    <row r="261" spans="1:14" x14ac:dyDescent="0.25">
      <c r="A261" s="5" t="s">
        <v>372</v>
      </c>
      <c r="B261" s="5" t="s">
        <v>792</v>
      </c>
      <c r="C261" s="5">
        <f>VLOOKUP(A261,[2]Hoja2!$A:$F,6,0)</f>
        <v>74.83</v>
      </c>
      <c r="D261" s="5">
        <v>43.66</v>
      </c>
      <c r="E261" s="5" t="s">
        <v>1016</v>
      </c>
      <c r="F261" s="7">
        <v>2</v>
      </c>
      <c r="G261">
        <v>2</v>
      </c>
      <c r="J261" s="10">
        <f t="shared" si="54"/>
        <v>0</v>
      </c>
      <c r="K261">
        <f t="shared" si="53"/>
        <v>0</v>
      </c>
      <c r="L261"/>
      <c r="N261" s="1"/>
    </row>
    <row r="262" spans="1:14" x14ac:dyDescent="0.25">
      <c r="A262" s="5" t="s">
        <v>373</v>
      </c>
      <c r="B262" s="5" t="s">
        <v>793</v>
      </c>
      <c r="C262" s="5"/>
      <c r="D262" s="5">
        <v>21.63</v>
      </c>
      <c r="E262" s="5" t="s">
        <v>1016</v>
      </c>
      <c r="F262" s="7">
        <v>0</v>
      </c>
      <c r="I262"/>
      <c r="J262" s="10">
        <f t="shared" si="54"/>
        <v>0</v>
      </c>
      <c r="K262"/>
      <c r="L262"/>
      <c r="N262" s="1"/>
    </row>
    <row r="263" spans="1:14" x14ac:dyDescent="0.25">
      <c r="A263" s="5" t="s">
        <v>374</v>
      </c>
      <c r="B263" s="5" t="s">
        <v>794</v>
      </c>
      <c r="C263" s="5"/>
      <c r="D263" s="5">
        <v>0</v>
      </c>
      <c r="E263" s="5" t="s">
        <v>1016</v>
      </c>
      <c r="F263" s="7">
        <v>0</v>
      </c>
      <c r="I263"/>
      <c r="J263" s="10">
        <f t="shared" si="54"/>
        <v>0</v>
      </c>
      <c r="K263"/>
      <c r="L263"/>
      <c r="N263" s="1"/>
    </row>
    <row r="264" spans="1:14" x14ac:dyDescent="0.25">
      <c r="A264" s="5" t="s">
        <v>97</v>
      </c>
      <c r="B264" s="5" t="s">
        <v>98</v>
      </c>
      <c r="C264" s="5">
        <f>VLOOKUP(A264,[2]Hoja2!$A:$F,6,0)</f>
        <v>26.74</v>
      </c>
      <c r="D264" s="5">
        <v>18.96</v>
      </c>
      <c r="E264" s="24" t="s">
        <v>1016</v>
      </c>
      <c r="F264" s="7">
        <v>4</v>
      </c>
      <c r="H264" s="11">
        <v>1</v>
      </c>
      <c r="I264" s="19">
        <f t="shared" ref="I264:I265" si="55">+F264-G264-H264</f>
        <v>3</v>
      </c>
      <c r="J264" s="10">
        <f t="shared" si="54"/>
        <v>0</v>
      </c>
      <c r="K264">
        <f t="shared" ref="K264:K265" si="56">+H264*D264</f>
        <v>18.96</v>
      </c>
      <c r="L264" t="s">
        <v>1042</v>
      </c>
      <c r="N264" s="1"/>
    </row>
    <row r="265" spans="1:14" x14ac:dyDescent="0.25">
      <c r="A265" s="5" t="s">
        <v>99</v>
      </c>
      <c r="B265" s="5" t="s">
        <v>100</v>
      </c>
      <c r="C265" s="5">
        <f>VLOOKUP(A265,[2]Hoja2!$A:$F,6,0)</f>
        <v>26.74</v>
      </c>
      <c r="D265" s="5">
        <v>24.51</v>
      </c>
      <c r="E265" s="24" t="s">
        <v>1016</v>
      </c>
      <c r="F265" s="7">
        <v>3</v>
      </c>
      <c r="H265" s="11">
        <v>1</v>
      </c>
      <c r="I265" s="19">
        <f t="shared" si="55"/>
        <v>2</v>
      </c>
      <c r="J265" s="10">
        <f t="shared" si="54"/>
        <v>0</v>
      </c>
      <c r="K265">
        <f t="shared" si="56"/>
        <v>24.51</v>
      </c>
      <c r="L265" t="s">
        <v>1042</v>
      </c>
      <c r="N265" s="1"/>
    </row>
    <row r="266" spans="1:14" x14ac:dyDescent="0.25">
      <c r="A266" s="5" t="s">
        <v>375</v>
      </c>
      <c r="B266" s="5" t="s">
        <v>795</v>
      </c>
      <c r="C266" s="5"/>
      <c r="D266" s="5">
        <v>36</v>
      </c>
      <c r="E266" s="5" t="s">
        <v>1016</v>
      </c>
      <c r="F266" s="7">
        <v>0</v>
      </c>
      <c r="I266"/>
      <c r="J266" s="10">
        <f t="shared" si="54"/>
        <v>0</v>
      </c>
      <c r="K266"/>
      <c r="L266"/>
      <c r="N266" s="1"/>
    </row>
    <row r="267" spans="1:14" x14ac:dyDescent="0.25">
      <c r="A267" s="5" t="s">
        <v>376</v>
      </c>
      <c r="B267" s="5" t="s">
        <v>796</v>
      </c>
      <c r="C267" s="5"/>
      <c r="D267" s="5">
        <v>111.51</v>
      </c>
      <c r="E267" s="5" t="s">
        <v>1016</v>
      </c>
      <c r="F267" s="7">
        <v>0</v>
      </c>
      <c r="I267"/>
      <c r="J267" s="10">
        <f t="shared" si="54"/>
        <v>0</v>
      </c>
      <c r="K267"/>
      <c r="L267"/>
      <c r="N267" s="1"/>
    </row>
    <row r="268" spans="1:14" x14ac:dyDescent="0.25">
      <c r="A268" s="5" t="s">
        <v>377</v>
      </c>
      <c r="B268" s="5" t="s">
        <v>797</v>
      </c>
      <c r="C268" s="5"/>
      <c r="D268" s="5">
        <v>78.16</v>
      </c>
      <c r="E268" s="5" t="s">
        <v>1016</v>
      </c>
      <c r="F268" s="7">
        <v>0</v>
      </c>
      <c r="I268"/>
      <c r="J268" s="10">
        <f t="shared" si="54"/>
        <v>0</v>
      </c>
      <c r="K268"/>
      <c r="L268"/>
      <c r="N268" s="1"/>
    </row>
    <row r="269" spans="1:14" x14ac:dyDescent="0.25">
      <c r="A269" s="5" t="s">
        <v>378</v>
      </c>
      <c r="B269" s="5" t="s">
        <v>798</v>
      </c>
      <c r="C269" s="5"/>
      <c r="D269" s="5">
        <v>60.08</v>
      </c>
      <c r="E269" s="5" t="s">
        <v>1016</v>
      </c>
      <c r="F269" s="7">
        <v>0</v>
      </c>
      <c r="I269"/>
      <c r="J269" s="10">
        <f t="shared" si="54"/>
        <v>0</v>
      </c>
      <c r="K269"/>
      <c r="L269"/>
      <c r="N269" s="1"/>
    </row>
    <row r="270" spans="1:14" x14ac:dyDescent="0.25">
      <c r="A270" s="5" t="s">
        <v>379</v>
      </c>
      <c r="B270" s="5" t="s">
        <v>799</v>
      </c>
      <c r="C270" s="5"/>
      <c r="D270" s="5">
        <v>60.08</v>
      </c>
      <c r="E270" s="5" t="s">
        <v>1016</v>
      </c>
      <c r="F270" s="7">
        <v>0</v>
      </c>
      <c r="I270"/>
      <c r="J270" s="10">
        <f t="shared" si="54"/>
        <v>0</v>
      </c>
      <c r="K270"/>
      <c r="L270"/>
      <c r="N270" s="1"/>
    </row>
    <row r="271" spans="1:14" x14ac:dyDescent="0.25">
      <c r="A271" s="5" t="s">
        <v>380</v>
      </c>
      <c r="B271" s="5" t="s">
        <v>800</v>
      </c>
      <c r="C271" s="5"/>
      <c r="D271" s="5">
        <v>0</v>
      </c>
      <c r="E271" s="5" t="s">
        <v>1016</v>
      </c>
      <c r="F271" s="7">
        <v>0</v>
      </c>
      <c r="I271"/>
      <c r="J271" s="10">
        <f t="shared" si="54"/>
        <v>0</v>
      </c>
      <c r="K271"/>
      <c r="L271"/>
      <c r="N271" s="1"/>
    </row>
    <row r="272" spans="1:14" x14ac:dyDescent="0.25">
      <c r="A272" s="5" t="s">
        <v>381</v>
      </c>
      <c r="B272" s="5" t="s">
        <v>801</v>
      </c>
      <c r="C272" s="5"/>
      <c r="D272" s="5">
        <v>0</v>
      </c>
      <c r="E272" s="5" t="s">
        <v>1016</v>
      </c>
      <c r="F272" s="7">
        <v>0</v>
      </c>
      <c r="I272"/>
      <c r="J272" s="10">
        <f t="shared" si="54"/>
        <v>0</v>
      </c>
      <c r="K272"/>
      <c r="L272"/>
      <c r="N272" s="1"/>
    </row>
    <row r="273" spans="1:14" x14ac:dyDescent="0.25">
      <c r="A273" s="5" t="s">
        <v>382</v>
      </c>
      <c r="B273" s="5" t="s">
        <v>802</v>
      </c>
      <c r="C273" s="5">
        <f>VLOOKUP(A273,[2]Hoja2!$A:$F,6,0)</f>
        <v>35.94</v>
      </c>
      <c r="D273" s="5">
        <v>28.88</v>
      </c>
      <c r="E273" s="5" t="s">
        <v>1016</v>
      </c>
      <c r="F273" s="7">
        <v>3</v>
      </c>
      <c r="G273">
        <v>3</v>
      </c>
      <c r="J273" s="10">
        <f t="shared" si="54"/>
        <v>0</v>
      </c>
      <c r="K273">
        <f t="shared" ref="K273:K276" si="57">+H273*D273</f>
        <v>0</v>
      </c>
      <c r="L273"/>
      <c r="N273" s="1"/>
    </row>
    <row r="274" spans="1:14" x14ac:dyDescent="0.25">
      <c r="A274" s="5" t="s">
        <v>383</v>
      </c>
      <c r="B274" s="5" t="s">
        <v>803</v>
      </c>
      <c r="C274" s="5">
        <f>VLOOKUP(A274,[2]Hoja2!$A:$F,6,0)</f>
        <v>39.270000000000003</v>
      </c>
      <c r="D274" s="5">
        <v>30.89</v>
      </c>
      <c r="E274" s="24" t="s">
        <v>1016</v>
      </c>
      <c r="F274" s="7">
        <v>2</v>
      </c>
      <c r="H274" s="11">
        <v>1</v>
      </c>
      <c r="I274" s="19">
        <f t="shared" ref="I274:I276" si="58">+F274-G274-H274</f>
        <v>1</v>
      </c>
      <c r="J274" s="10">
        <f t="shared" si="54"/>
        <v>0</v>
      </c>
      <c r="K274">
        <f t="shared" si="57"/>
        <v>30.89</v>
      </c>
      <c r="L274" t="s">
        <v>1042</v>
      </c>
      <c r="N274" s="1"/>
    </row>
    <row r="275" spans="1:14" x14ac:dyDescent="0.25">
      <c r="A275" s="5" t="s">
        <v>384</v>
      </c>
      <c r="B275" s="5" t="s">
        <v>804</v>
      </c>
      <c r="C275" s="5">
        <f>VLOOKUP(A275,[2]Hoja2!$A:$F,6,0)</f>
        <v>12.23</v>
      </c>
      <c r="D275" s="5">
        <v>9.23</v>
      </c>
      <c r="E275" s="24" t="s">
        <v>1016</v>
      </c>
      <c r="F275" s="7">
        <v>1</v>
      </c>
      <c r="H275" s="11">
        <v>1</v>
      </c>
      <c r="I275" s="19">
        <f t="shared" si="58"/>
        <v>0</v>
      </c>
      <c r="J275" s="10">
        <f t="shared" si="54"/>
        <v>0</v>
      </c>
      <c r="K275">
        <f t="shared" si="57"/>
        <v>9.23</v>
      </c>
      <c r="L275" t="s">
        <v>1042</v>
      </c>
      <c r="N275" s="1"/>
    </row>
    <row r="276" spans="1:14" x14ac:dyDescent="0.25">
      <c r="A276" s="5" t="s">
        <v>385</v>
      </c>
      <c r="B276" s="5" t="s">
        <v>805</v>
      </c>
      <c r="C276" s="5">
        <f>VLOOKUP(A276,[2]Hoja2!$A:$F,6,0)</f>
        <v>17.45</v>
      </c>
      <c r="D276" s="5">
        <v>14.5</v>
      </c>
      <c r="E276" s="24" t="s">
        <v>1016</v>
      </c>
      <c r="F276" s="7">
        <v>1</v>
      </c>
      <c r="H276" s="11">
        <v>1</v>
      </c>
      <c r="I276" s="19">
        <f t="shared" si="58"/>
        <v>0</v>
      </c>
      <c r="J276" s="10">
        <f t="shared" si="54"/>
        <v>0</v>
      </c>
      <c r="K276">
        <f t="shared" si="57"/>
        <v>14.5</v>
      </c>
      <c r="L276" t="s">
        <v>1042</v>
      </c>
      <c r="N276" s="1"/>
    </row>
    <row r="277" spans="1:14" x14ac:dyDescent="0.25">
      <c r="A277" s="5" t="s">
        <v>386</v>
      </c>
      <c r="B277" s="5" t="s">
        <v>806</v>
      </c>
      <c r="C277" s="5"/>
      <c r="D277" s="5">
        <v>0</v>
      </c>
      <c r="E277" s="5" t="s">
        <v>1016</v>
      </c>
      <c r="F277" s="7">
        <v>0</v>
      </c>
      <c r="I277"/>
      <c r="J277" s="10">
        <f t="shared" si="54"/>
        <v>0</v>
      </c>
      <c r="K277"/>
      <c r="L277"/>
      <c r="N277" s="1"/>
    </row>
    <row r="278" spans="1:14" x14ac:dyDescent="0.25">
      <c r="A278" s="5" t="s">
        <v>387</v>
      </c>
      <c r="B278" s="5" t="s">
        <v>807</v>
      </c>
      <c r="C278" s="5">
        <f>VLOOKUP(A278,[2]Hoja2!$A:$F,6,0)</f>
        <v>58.8</v>
      </c>
      <c r="D278" s="5">
        <v>47</v>
      </c>
      <c r="E278" s="5" t="s">
        <v>1016</v>
      </c>
      <c r="F278" s="7">
        <v>1</v>
      </c>
      <c r="G278">
        <v>1</v>
      </c>
      <c r="J278" s="10">
        <f t="shared" si="54"/>
        <v>0</v>
      </c>
      <c r="K278">
        <f>+H278*D278</f>
        <v>0</v>
      </c>
      <c r="L278"/>
      <c r="N278" s="1"/>
    </row>
    <row r="279" spans="1:14" x14ac:dyDescent="0.25">
      <c r="A279" s="5" t="s">
        <v>388</v>
      </c>
      <c r="B279" s="5" t="s">
        <v>808</v>
      </c>
      <c r="C279" s="5">
        <f>VLOOKUP(A279,[2]Hoja2!$A:$F,6,0)</f>
        <v>58.8</v>
      </c>
      <c r="D279" s="5">
        <v>47</v>
      </c>
      <c r="E279" s="24" t="s">
        <v>1016</v>
      </c>
      <c r="F279" s="7">
        <v>2</v>
      </c>
      <c r="H279" s="18">
        <v>1</v>
      </c>
      <c r="I279" s="19">
        <f>+F279-G279-H279</f>
        <v>1</v>
      </c>
      <c r="J279" s="10">
        <f t="shared" si="54"/>
        <v>0</v>
      </c>
      <c r="K279">
        <f t="shared" ref="K279:K280" si="59">+H279*D279</f>
        <v>47</v>
      </c>
      <c r="L279" t="s">
        <v>1042</v>
      </c>
      <c r="N279" s="1"/>
    </row>
    <row r="280" spans="1:14" x14ac:dyDescent="0.25">
      <c r="A280" s="5" t="s">
        <v>389</v>
      </c>
      <c r="B280" s="5" t="s">
        <v>809</v>
      </c>
      <c r="C280" s="5">
        <f>VLOOKUP(A280,[2]Hoja2!$A:$F,6,0)</f>
        <v>58.8</v>
      </c>
      <c r="D280" s="5">
        <v>47</v>
      </c>
      <c r="E280" s="5" t="s">
        <v>1016</v>
      </c>
      <c r="F280" s="7">
        <v>3</v>
      </c>
      <c r="G280">
        <v>3</v>
      </c>
      <c r="J280" s="10">
        <f t="shared" si="54"/>
        <v>0</v>
      </c>
      <c r="K280">
        <f t="shared" si="59"/>
        <v>0</v>
      </c>
      <c r="L280"/>
      <c r="N280" s="1"/>
    </row>
    <row r="281" spans="1:14" x14ac:dyDescent="0.25">
      <c r="A281" s="5" t="s">
        <v>390</v>
      </c>
      <c r="B281" s="5" t="s">
        <v>810</v>
      </c>
      <c r="C281" s="5">
        <f>VLOOKUP(A281,[2]Hoja2!$A:$F,6,0)</f>
        <v>47.63</v>
      </c>
      <c r="D281" s="5">
        <v>38.299999999999997</v>
      </c>
      <c r="E281" s="5" t="s">
        <v>1016</v>
      </c>
      <c r="F281" s="7">
        <v>1</v>
      </c>
      <c r="G281">
        <v>1</v>
      </c>
      <c r="J281" s="10">
        <f t="shared" si="54"/>
        <v>0</v>
      </c>
      <c r="K281">
        <f>+H281*D281</f>
        <v>0</v>
      </c>
      <c r="L281"/>
      <c r="N281" s="1"/>
    </row>
    <row r="282" spans="1:14" x14ac:dyDescent="0.25">
      <c r="A282" s="5" t="s">
        <v>391</v>
      </c>
      <c r="B282" s="5" t="s">
        <v>811</v>
      </c>
      <c r="C282" s="5"/>
      <c r="D282" s="5">
        <v>20.14</v>
      </c>
      <c r="E282" s="5" t="s">
        <v>1016</v>
      </c>
      <c r="F282" s="7">
        <v>0</v>
      </c>
      <c r="I282"/>
      <c r="J282" s="10">
        <f t="shared" si="54"/>
        <v>0</v>
      </c>
      <c r="K282"/>
      <c r="L282"/>
      <c r="N282" s="1"/>
    </row>
    <row r="283" spans="1:14" x14ac:dyDescent="0.25">
      <c r="A283" s="5" t="s">
        <v>392</v>
      </c>
      <c r="B283" s="5" t="s">
        <v>812</v>
      </c>
      <c r="C283" s="5"/>
      <c r="D283" s="5">
        <v>0</v>
      </c>
      <c r="E283" s="5" t="s">
        <v>1016</v>
      </c>
      <c r="F283" s="7">
        <v>0</v>
      </c>
      <c r="I283"/>
      <c r="J283" s="10">
        <f t="shared" si="54"/>
        <v>0</v>
      </c>
      <c r="K283"/>
      <c r="L283"/>
      <c r="N283" s="1"/>
    </row>
    <row r="284" spans="1:14" x14ac:dyDescent="0.25">
      <c r="A284" s="5" t="s">
        <v>393</v>
      </c>
      <c r="B284" s="5" t="s">
        <v>813</v>
      </c>
      <c r="C284" s="5"/>
      <c r="D284" s="5">
        <v>0</v>
      </c>
      <c r="E284" s="5" t="s">
        <v>1016</v>
      </c>
      <c r="F284" s="7">
        <v>0</v>
      </c>
      <c r="I284"/>
      <c r="J284" s="10">
        <f t="shared" si="54"/>
        <v>0</v>
      </c>
      <c r="K284"/>
      <c r="L284"/>
      <c r="N284" s="1"/>
    </row>
    <row r="285" spans="1:14" x14ac:dyDescent="0.25">
      <c r="A285" s="5" t="s">
        <v>394</v>
      </c>
      <c r="B285" s="5" t="s">
        <v>814</v>
      </c>
      <c r="C285" s="5"/>
      <c r="D285" s="5">
        <v>95.06</v>
      </c>
      <c r="E285" s="5" t="s">
        <v>1016</v>
      </c>
      <c r="F285" s="7">
        <v>0</v>
      </c>
      <c r="I285"/>
      <c r="J285" s="10">
        <f t="shared" si="54"/>
        <v>0</v>
      </c>
      <c r="K285"/>
      <c r="L285"/>
      <c r="N285" s="1"/>
    </row>
    <row r="286" spans="1:14" x14ac:dyDescent="0.25">
      <c r="A286" s="5" t="s">
        <v>395</v>
      </c>
      <c r="B286" s="5" t="s">
        <v>815</v>
      </c>
      <c r="C286" s="5"/>
      <c r="D286" s="5">
        <v>0</v>
      </c>
      <c r="E286" s="5" t="s">
        <v>1016</v>
      </c>
      <c r="F286" s="7">
        <v>0</v>
      </c>
      <c r="I286"/>
      <c r="J286" s="10">
        <f t="shared" si="54"/>
        <v>0</v>
      </c>
      <c r="K286"/>
      <c r="L286"/>
      <c r="N286" s="1"/>
    </row>
    <row r="287" spans="1:14" x14ac:dyDescent="0.25">
      <c r="A287" s="5" t="s">
        <v>396</v>
      </c>
      <c r="B287" s="5" t="s">
        <v>816</v>
      </c>
      <c r="C287" s="5"/>
      <c r="D287" s="5">
        <v>0</v>
      </c>
      <c r="E287" s="5" t="s">
        <v>1016</v>
      </c>
      <c r="F287" s="7">
        <v>0</v>
      </c>
      <c r="I287"/>
      <c r="J287" s="10">
        <f t="shared" si="54"/>
        <v>0</v>
      </c>
      <c r="K287"/>
      <c r="L287"/>
      <c r="N287" s="1"/>
    </row>
    <row r="288" spans="1:14" x14ac:dyDescent="0.25">
      <c r="A288" s="5" t="s">
        <v>397</v>
      </c>
      <c r="B288" s="5" t="s">
        <v>817</v>
      </c>
      <c r="C288" s="5"/>
      <c r="D288" s="5">
        <v>0</v>
      </c>
      <c r="E288" s="5" t="s">
        <v>1016</v>
      </c>
      <c r="F288" s="7">
        <v>0</v>
      </c>
      <c r="I288"/>
      <c r="J288" s="10">
        <f t="shared" si="54"/>
        <v>0</v>
      </c>
      <c r="K288"/>
      <c r="L288"/>
      <c r="N288" s="1"/>
    </row>
    <row r="289" spans="1:14" x14ac:dyDescent="0.25">
      <c r="A289" s="5" t="s">
        <v>398</v>
      </c>
      <c r="B289" s="5" t="s">
        <v>818</v>
      </c>
      <c r="C289" s="5">
        <f>VLOOKUP(A289,[2]Hoja2!$A:$F,6,0)</f>
        <v>99.3</v>
      </c>
      <c r="D289" s="5">
        <v>72.739999999999995</v>
      </c>
      <c r="E289" s="5" t="s">
        <v>1016</v>
      </c>
      <c r="F289" s="7">
        <v>3</v>
      </c>
      <c r="G289">
        <v>3</v>
      </c>
      <c r="J289" s="10">
        <f t="shared" si="54"/>
        <v>0</v>
      </c>
      <c r="K289">
        <f t="shared" ref="K289" si="60">+H289*D289</f>
        <v>0</v>
      </c>
      <c r="L289"/>
      <c r="N289" s="1"/>
    </row>
    <row r="290" spans="1:14" x14ac:dyDescent="0.25">
      <c r="A290" s="5" t="s">
        <v>399</v>
      </c>
      <c r="B290" s="5" t="s">
        <v>819</v>
      </c>
      <c r="C290" s="5">
        <f>VLOOKUP(A290,[2]Hoja2!$A:$F,6,0)</f>
        <v>47.63</v>
      </c>
      <c r="D290" s="5">
        <v>34.1</v>
      </c>
      <c r="E290" s="24" t="s">
        <v>1016</v>
      </c>
      <c r="F290" s="7">
        <v>1</v>
      </c>
      <c r="H290" s="11">
        <v>1</v>
      </c>
      <c r="I290" s="19">
        <f>+F290-G290-H290</f>
        <v>0</v>
      </c>
      <c r="J290" s="10">
        <f t="shared" si="54"/>
        <v>0</v>
      </c>
      <c r="K290">
        <f>+H290*D290</f>
        <v>34.1</v>
      </c>
      <c r="L290" t="s">
        <v>1042</v>
      </c>
      <c r="N290" s="1"/>
    </row>
    <row r="291" spans="1:14" x14ac:dyDescent="0.25">
      <c r="A291" s="5" t="s">
        <v>101</v>
      </c>
      <c r="B291" s="5" t="s">
        <v>102</v>
      </c>
      <c r="C291" s="5"/>
      <c r="D291" s="5">
        <v>34.11</v>
      </c>
      <c r="E291" s="5" t="s">
        <v>1016</v>
      </c>
      <c r="F291" s="7">
        <v>0</v>
      </c>
      <c r="I291"/>
      <c r="J291" s="10">
        <f t="shared" si="54"/>
        <v>0</v>
      </c>
      <c r="K291"/>
      <c r="L291"/>
      <c r="N291" s="1"/>
    </row>
    <row r="292" spans="1:14" x14ac:dyDescent="0.25">
      <c r="A292" s="5" t="s">
        <v>400</v>
      </c>
      <c r="B292" s="5" t="s">
        <v>820</v>
      </c>
      <c r="C292" s="5"/>
      <c r="D292" s="5">
        <v>38.299999999999997</v>
      </c>
      <c r="E292" s="5" t="s">
        <v>1016</v>
      </c>
      <c r="F292" s="7">
        <v>0</v>
      </c>
      <c r="I292"/>
      <c r="J292" s="10">
        <f t="shared" si="54"/>
        <v>0</v>
      </c>
      <c r="K292"/>
      <c r="L292"/>
      <c r="N292" s="1"/>
    </row>
    <row r="293" spans="1:14" x14ac:dyDescent="0.25">
      <c r="A293" s="5" t="s">
        <v>401</v>
      </c>
      <c r="B293" s="5" t="s">
        <v>821</v>
      </c>
      <c r="C293" s="5"/>
      <c r="D293" s="5">
        <v>0</v>
      </c>
      <c r="E293" s="5" t="s">
        <v>1016</v>
      </c>
      <c r="F293" s="7">
        <v>0</v>
      </c>
      <c r="I293"/>
      <c r="J293" s="10">
        <f t="shared" si="54"/>
        <v>0</v>
      </c>
      <c r="K293"/>
      <c r="L293"/>
      <c r="N293" s="1"/>
    </row>
    <row r="294" spans="1:14" x14ac:dyDescent="0.25">
      <c r="A294" s="5" t="s">
        <v>402</v>
      </c>
      <c r="B294" s="5" t="s">
        <v>822</v>
      </c>
      <c r="C294" s="5"/>
      <c r="D294" s="5">
        <v>34.11</v>
      </c>
      <c r="E294" s="5" t="s">
        <v>1016</v>
      </c>
      <c r="F294" s="7">
        <v>0</v>
      </c>
      <c r="I294"/>
      <c r="J294" s="10">
        <f t="shared" si="54"/>
        <v>0</v>
      </c>
      <c r="K294"/>
      <c r="L294"/>
      <c r="N294" s="1"/>
    </row>
    <row r="295" spans="1:14" x14ac:dyDescent="0.25">
      <c r="A295" s="5" t="s">
        <v>403</v>
      </c>
      <c r="B295" s="5" t="s">
        <v>823</v>
      </c>
      <c r="C295" s="5"/>
      <c r="D295" s="5">
        <v>0</v>
      </c>
      <c r="E295" s="5" t="s">
        <v>1016</v>
      </c>
      <c r="F295" s="7">
        <v>0</v>
      </c>
      <c r="I295"/>
      <c r="J295" s="10">
        <f t="shared" si="54"/>
        <v>0</v>
      </c>
      <c r="K295"/>
      <c r="L295"/>
      <c r="N295" s="1"/>
    </row>
    <row r="296" spans="1:14" x14ac:dyDescent="0.25">
      <c r="A296" s="5" t="s">
        <v>404</v>
      </c>
      <c r="B296" s="5" t="s">
        <v>824</v>
      </c>
      <c r="C296" s="5"/>
      <c r="D296" s="5">
        <v>0</v>
      </c>
      <c r="E296" s="5" t="s">
        <v>1016</v>
      </c>
      <c r="F296" s="7">
        <v>0</v>
      </c>
      <c r="I296"/>
      <c r="J296" s="10">
        <f t="shared" si="54"/>
        <v>0</v>
      </c>
      <c r="K296"/>
      <c r="L296"/>
      <c r="N296" s="1"/>
    </row>
    <row r="297" spans="1:14" x14ac:dyDescent="0.25">
      <c r="A297" s="5" t="s">
        <v>405</v>
      </c>
      <c r="B297" s="5" t="s">
        <v>825</v>
      </c>
      <c r="C297" s="5">
        <f>VLOOKUP(A297,[2]Hoja2!$A:$F,6,0)</f>
        <v>6.73</v>
      </c>
      <c r="D297" s="5">
        <v>5.47</v>
      </c>
      <c r="E297" s="24" t="s">
        <v>1016</v>
      </c>
      <c r="F297" s="7">
        <v>6</v>
      </c>
      <c r="H297" s="11">
        <v>6</v>
      </c>
      <c r="I297" s="19"/>
      <c r="J297" s="10">
        <f t="shared" si="54"/>
        <v>0</v>
      </c>
      <c r="K297">
        <f t="shared" ref="K297:K298" si="61">+H297*D297</f>
        <v>32.82</v>
      </c>
      <c r="L297" t="s">
        <v>1042</v>
      </c>
      <c r="N297" s="1"/>
    </row>
    <row r="298" spans="1:14" x14ac:dyDescent="0.25">
      <c r="A298" s="5" t="s">
        <v>406</v>
      </c>
      <c r="B298" s="5" t="s">
        <v>826</v>
      </c>
      <c r="C298" s="5">
        <f>VLOOKUP(A298,[2]Hoja2!$A:$F,6,0)</f>
        <v>6.73</v>
      </c>
      <c r="D298" s="5">
        <v>5.47</v>
      </c>
      <c r="E298" s="24" t="s">
        <v>1016</v>
      </c>
      <c r="F298" s="7">
        <v>5</v>
      </c>
      <c r="H298" s="11">
        <v>5</v>
      </c>
      <c r="I298" s="19"/>
      <c r="J298" s="10">
        <f t="shared" si="54"/>
        <v>0</v>
      </c>
      <c r="K298">
        <f t="shared" si="61"/>
        <v>27.349999999999998</v>
      </c>
      <c r="L298" t="s">
        <v>1042</v>
      </c>
      <c r="N298" s="1"/>
    </row>
    <row r="299" spans="1:14" x14ac:dyDescent="0.25">
      <c r="A299" s="5" t="s">
        <v>34</v>
      </c>
      <c r="B299" s="5" t="s">
        <v>35</v>
      </c>
      <c r="C299" s="5"/>
      <c r="D299" s="5">
        <v>5.47</v>
      </c>
      <c r="E299" s="5" t="s">
        <v>1016</v>
      </c>
      <c r="F299" s="7">
        <v>0</v>
      </c>
      <c r="I299"/>
      <c r="J299" s="10">
        <f t="shared" si="54"/>
        <v>0</v>
      </c>
      <c r="K299"/>
      <c r="L299"/>
      <c r="N299" s="1"/>
    </row>
    <row r="300" spans="1:14" x14ac:dyDescent="0.25">
      <c r="A300" s="5" t="s">
        <v>407</v>
      </c>
      <c r="B300" s="5" t="s">
        <v>827</v>
      </c>
      <c r="C300" s="5">
        <f>VLOOKUP(A300,[2]Hoja2!$A:$F,6,0)</f>
        <v>6.73</v>
      </c>
      <c r="D300" s="5">
        <v>5.47</v>
      </c>
      <c r="E300" s="24" t="s">
        <v>1016</v>
      </c>
      <c r="F300" s="7">
        <v>4</v>
      </c>
      <c r="H300" s="11">
        <v>4</v>
      </c>
      <c r="I300" s="19"/>
      <c r="J300" s="10">
        <f t="shared" si="54"/>
        <v>0</v>
      </c>
      <c r="K300">
        <f>+H300*D300</f>
        <v>21.88</v>
      </c>
      <c r="L300" t="s">
        <v>1042</v>
      </c>
      <c r="N300" s="1"/>
    </row>
    <row r="301" spans="1:14" x14ac:dyDescent="0.25">
      <c r="A301" s="5" t="s">
        <v>408</v>
      </c>
      <c r="B301" s="5" t="s">
        <v>828</v>
      </c>
      <c r="C301" s="5"/>
      <c r="D301" s="5">
        <v>5.47</v>
      </c>
      <c r="E301" s="5" t="s">
        <v>1016</v>
      </c>
      <c r="F301" s="7">
        <v>0</v>
      </c>
      <c r="I301"/>
      <c r="J301" s="10">
        <f t="shared" si="54"/>
        <v>0</v>
      </c>
      <c r="K301"/>
      <c r="L301"/>
      <c r="N301" s="1"/>
    </row>
    <row r="302" spans="1:14" x14ac:dyDescent="0.25">
      <c r="A302" s="5" t="s">
        <v>409</v>
      </c>
      <c r="B302" s="5" t="s">
        <v>829</v>
      </c>
      <c r="C302" s="5">
        <f>VLOOKUP(A302,[2]Hoja2!$A:$F,6,0)</f>
        <v>6.73</v>
      </c>
      <c r="D302" s="5">
        <v>5.47</v>
      </c>
      <c r="E302" s="24" t="s">
        <v>1016</v>
      </c>
      <c r="F302" s="7">
        <v>6</v>
      </c>
      <c r="H302" s="11">
        <v>6</v>
      </c>
      <c r="I302" s="19"/>
      <c r="J302" s="10">
        <f t="shared" si="54"/>
        <v>0</v>
      </c>
      <c r="K302">
        <f>+H302*D302</f>
        <v>32.82</v>
      </c>
      <c r="L302" t="s">
        <v>1042</v>
      </c>
      <c r="N302" s="1"/>
    </row>
    <row r="303" spans="1:14" x14ac:dyDescent="0.25">
      <c r="A303" s="5" t="s">
        <v>410</v>
      </c>
      <c r="B303" s="5" t="s">
        <v>830</v>
      </c>
      <c r="C303" s="5"/>
      <c r="D303" s="5">
        <v>5.84</v>
      </c>
      <c r="E303" s="5" t="s">
        <v>1016</v>
      </c>
      <c r="F303" s="7">
        <v>0</v>
      </c>
      <c r="I303"/>
      <c r="J303" s="10">
        <f t="shared" si="54"/>
        <v>0</v>
      </c>
      <c r="K303"/>
      <c r="L303"/>
      <c r="N303" s="1"/>
    </row>
    <row r="304" spans="1:14" x14ac:dyDescent="0.25">
      <c r="A304" s="5" t="s">
        <v>411</v>
      </c>
      <c r="B304" s="5" t="s">
        <v>831</v>
      </c>
      <c r="C304" s="5"/>
      <c r="D304" s="5">
        <v>3.65</v>
      </c>
      <c r="E304" s="5" t="s">
        <v>1016</v>
      </c>
      <c r="F304" s="7">
        <v>0</v>
      </c>
      <c r="I304"/>
      <c r="J304" s="10">
        <f t="shared" si="54"/>
        <v>0</v>
      </c>
      <c r="K304"/>
      <c r="L304"/>
      <c r="N304" s="1"/>
    </row>
    <row r="305" spans="1:14" x14ac:dyDescent="0.25">
      <c r="A305" s="9" t="s">
        <v>121</v>
      </c>
      <c r="B305" s="5" t="s">
        <v>122</v>
      </c>
      <c r="C305" s="5">
        <f>VLOOKUP(A305,[2]Hoja2!$A:$F,6,0)</f>
        <v>7.61</v>
      </c>
      <c r="D305" s="5">
        <v>6.38</v>
      </c>
      <c r="E305" s="24" t="s">
        <v>1016</v>
      </c>
      <c r="F305" s="7">
        <v>2</v>
      </c>
      <c r="H305" s="11">
        <v>2</v>
      </c>
      <c r="I305" s="19">
        <f>+F305-G305-H305</f>
        <v>0</v>
      </c>
      <c r="J305" s="10">
        <f t="shared" si="54"/>
        <v>0</v>
      </c>
      <c r="K305">
        <f>+H305*D305</f>
        <v>12.76</v>
      </c>
      <c r="L305" t="s">
        <v>1042</v>
      </c>
      <c r="N305" s="1"/>
    </row>
    <row r="306" spans="1:14" x14ac:dyDescent="0.25">
      <c r="A306" s="5" t="s">
        <v>412</v>
      </c>
      <c r="B306" s="5" t="s">
        <v>832</v>
      </c>
      <c r="C306" s="5">
        <f>VLOOKUP(A306,[2]Hoja2!$A:$F,6,0)</f>
        <v>60.34</v>
      </c>
      <c r="D306" s="5">
        <v>50.57</v>
      </c>
      <c r="E306" s="5" t="s">
        <v>1016</v>
      </c>
      <c r="F306" s="7">
        <v>2</v>
      </c>
      <c r="G306">
        <v>2</v>
      </c>
      <c r="J306" s="10">
        <f t="shared" si="54"/>
        <v>0</v>
      </c>
      <c r="K306">
        <f t="shared" ref="K306:K315" si="62">+H306*D306</f>
        <v>0</v>
      </c>
      <c r="L306"/>
      <c r="N306" s="1"/>
    </row>
    <row r="307" spans="1:14" x14ac:dyDescent="0.25">
      <c r="A307" s="5" t="s">
        <v>413</v>
      </c>
      <c r="B307" s="5" t="s">
        <v>833</v>
      </c>
      <c r="C307" s="5">
        <f>VLOOKUP(A307,[2]Hoja2!$A:$F,6,0)</f>
        <v>102.2</v>
      </c>
      <c r="D307" s="5">
        <v>85.65</v>
      </c>
      <c r="E307" s="5" t="s">
        <v>1016</v>
      </c>
      <c r="F307" s="7">
        <v>1</v>
      </c>
      <c r="G307">
        <v>1</v>
      </c>
      <c r="J307" s="10">
        <f t="shared" si="54"/>
        <v>0</v>
      </c>
      <c r="K307">
        <f t="shared" si="62"/>
        <v>0</v>
      </c>
      <c r="L307"/>
      <c r="N307" s="1"/>
    </row>
    <row r="308" spans="1:14" x14ac:dyDescent="0.25">
      <c r="A308" s="5" t="s">
        <v>414</v>
      </c>
      <c r="B308" s="5" t="s">
        <v>834</v>
      </c>
      <c r="C308" s="5">
        <f>VLOOKUP(A308,[2]Hoja2!$A:$F,6,0)</f>
        <v>48.13</v>
      </c>
      <c r="D308" s="5">
        <v>40.340000000000003</v>
      </c>
      <c r="E308" s="24" t="s">
        <v>1016</v>
      </c>
      <c r="F308" s="7">
        <v>1</v>
      </c>
      <c r="H308" s="11">
        <v>1</v>
      </c>
      <c r="I308" s="19">
        <f t="shared" ref="I308:I310" si="63">+F308-G308-H308</f>
        <v>0</v>
      </c>
      <c r="J308" s="10">
        <f t="shared" si="54"/>
        <v>0</v>
      </c>
      <c r="K308">
        <f t="shared" si="62"/>
        <v>40.340000000000003</v>
      </c>
      <c r="L308" t="s">
        <v>1042</v>
      </c>
      <c r="N308" s="1"/>
    </row>
    <row r="309" spans="1:14" x14ac:dyDescent="0.25">
      <c r="A309" s="5" t="s">
        <v>415</v>
      </c>
      <c r="B309" s="5" t="s">
        <v>835</v>
      </c>
      <c r="C309" s="5">
        <f>VLOOKUP(A309,[2]Hoja2!$A:$F,6,0)</f>
        <v>38.82</v>
      </c>
      <c r="D309" s="5">
        <v>32.54</v>
      </c>
      <c r="E309" s="24" t="s">
        <v>1016</v>
      </c>
      <c r="F309" s="7">
        <v>2</v>
      </c>
      <c r="H309" s="11">
        <v>1</v>
      </c>
      <c r="I309" s="19">
        <f t="shared" si="63"/>
        <v>1</v>
      </c>
      <c r="J309" s="10">
        <f t="shared" si="54"/>
        <v>0</v>
      </c>
      <c r="K309">
        <f t="shared" si="62"/>
        <v>32.54</v>
      </c>
      <c r="L309" t="s">
        <v>1042</v>
      </c>
      <c r="N309" s="1"/>
    </row>
    <row r="310" spans="1:14" x14ac:dyDescent="0.25">
      <c r="A310" s="5" t="s">
        <v>416</v>
      </c>
      <c r="B310" s="5" t="s">
        <v>836</v>
      </c>
      <c r="C310" s="5">
        <f>VLOOKUP(A310,[2]Hoja2!$A:$F,6,0)</f>
        <v>52.65</v>
      </c>
      <c r="D310" s="5">
        <v>44.14</v>
      </c>
      <c r="E310" s="24" t="s">
        <v>1016</v>
      </c>
      <c r="F310" s="7">
        <v>2</v>
      </c>
      <c r="H310" s="11">
        <v>1</v>
      </c>
      <c r="I310" s="19">
        <f t="shared" si="63"/>
        <v>1</v>
      </c>
      <c r="J310" s="10">
        <f t="shared" si="54"/>
        <v>0</v>
      </c>
      <c r="K310">
        <f t="shared" si="62"/>
        <v>44.14</v>
      </c>
      <c r="L310" t="s">
        <v>1042</v>
      </c>
      <c r="N310" s="1"/>
    </row>
    <row r="311" spans="1:14" x14ac:dyDescent="0.25">
      <c r="A311" s="5" t="s">
        <v>417</v>
      </c>
      <c r="B311" s="5" t="s">
        <v>837</v>
      </c>
      <c r="C311" s="5">
        <f>VLOOKUP(A311,[2]Hoja2!$A:$F,6,0)</f>
        <v>659.98</v>
      </c>
      <c r="D311" s="5">
        <v>523.20000000000005</v>
      </c>
      <c r="E311" s="5" t="s">
        <v>1016</v>
      </c>
      <c r="F311" s="7">
        <v>2</v>
      </c>
      <c r="I311" s="11">
        <v>2</v>
      </c>
      <c r="J311" s="10">
        <f t="shared" si="54"/>
        <v>0</v>
      </c>
      <c r="K311">
        <f t="shared" si="62"/>
        <v>0</v>
      </c>
      <c r="L311"/>
      <c r="N311" s="1"/>
    </row>
    <row r="312" spans="1:14" x14ac:dyDescent="0.25">
      <c r="A312" s="5" t="s">
        <v>418</v>
      </c>
      <c r="B312" s="5" t="s">
        <v>838</v>
      </c>
      <c r="C312" s="5">
        <f>VLOOKUP(A312,[2]Hoja2!$A:$F,6,0)</f>
        <v>60.14</v>
      </c>
      <c r="D312" s="5">
        <v>50.4</v>
      </c>
      <c r="E312" s="24" t="s">
        <v>1016</v>
      </c>
      <c r="F312" s="7">
        <v>3</v>
      </c>
      <c r="H312" s="11">
        <v>1</v>
      </c>
      <c r="I312" s="19">
        <f t="shared" ref="I312:I314" si="64">+F312-G312-H312</f>
        <v>2</v>
      </c>
      <c r="J312" s="10">
        <f t="shared" si="54"/>
        <v>0</v>
      </c>
      <c r="K312">
        <f t="shared" si="62"/>
        <v>50.4</v>
      </c>
      <c r="L312" t="s">
        <v>1042</v>
      </c>
      <c r="N312" s="1"/>
    </row>
    <row r="313" spans="1:14" x14ac:dyDescent="0.25">
      <c r="A313" s="5" t="s">
        <v>419</v>
      </c>
      <c r="B313" s="5" t="s">
        <v>839</v>
      </c>
      <c r="C313" s="5">
        <f>VLOOKUP(A313,[2]Hoja2!$A:$F,6,0)</f>
        <v>38.82</v>
      </c>
      <c r="D313" s="5">
        <v>34.409999999999997</v>
      </c>
      <c r="E313" s="24" t="s">
        <v>1016</v>
      </c>
      <c r="F313" s="7">
        <v>2</v>
      </c>
      <c r="H313" s="11">
        <v>1</v>
      </c>
      <c r="I313" s="19">
        <f t="shared" si="64"/>
        <v>1</v>
      </c>
      <c r="J313" s="10">
        <f t="shared" si="54"/>
        <v>0</v>
      </c>
      <c r="K313">
        <f t="shared" si="62"/>
        <v>34.409999999999997</v>
      </c>
      <c r="L313" t="s">
        <v>1042</v>
      </c>
      <c r="N313" s="1"/>
    </row>
    <row r="314" spans="1:14" x14ac:dyDescent="0.25">
      <c r="A314" s="5" t="s">
        <v>420</v>
      </c>
      <c r="B314" s="5" t="s">
        <v>840</v>
      </c>
      <c r="C314" s="5">
        <f>VLOOKUP(A314,[2]Hoja2!$A:$F,6,0)</f>
        <v>76.69</v>
      </c>
      <c r="D314" s="5">
        <v>58.74</v>
      </c>
      <c r="E314" s="24" t="s">
        <v>1016</v>
      </c>
      <c r="F314" s="7">
        <v>1</v>
      </c>
      <c r="H314" s="11">
        <v>1</v>
      </c>
      <c r="I314" s="19">
        <f t="shared" si="64"/>
        <v>0</v>
      </c>
      <c r="J314" s="10">
        <f t="shared" si="54"/>
        <v>0</v>
      </c>
      <c r="K314">
        <f t="shared" si="62"/>
        <v>58.74</v>
      </c>
      <c r="L314" t="s">
        <v>1042</v>
      </c>
      <c r="N314" s="1"/>
    </row>
    <row r="315" spans="1:14" x14ac:dyDescent="0.25">
      <c r="A315" s="5" t="s">
        <v>421</v>
      </c>
      <c r="B315" s="5" t="s">
        <v>841</v>
      </c>
      <c r="C315" s="5">
        <f>VLOOKUP(A315,[2]Hoja2!$A:$F,6,0)</f>
        <v>70.33</v>
      </c>
      <c r="D315" s="5">
        <v>58.94</v>
      </c>
      <c r="E315" s="5" t="s">
        <v>1016</v>
      </c>
      <c r="F315" s="7">
        <v>4</v>
      </c>
      <c r="G315" s="17">
        <v>4</v>
      </c>
      <c r="J315" s="10">
        <f t="shared" si="54"/>
        <v>0</v>
      </c>
      <c r="K315">
        <f t="shared" si="62"/>
        <v>0</v>
      </c>
      <c r="L315"/>
      <c r="N315" s="1"/>
    </row>
    <row r="316" spans="1:14" x14ac:dyDescent="0.25">
      <c r="A316" s="5" t="s">
        <v>422</v>
      </c>
      <c r="B316" s="5" t="s">
        <v>842</v>
      </c>
      <c r="C316" s="5"/>
      <c r="D316" s="5">
        <v>167.81</v>
      </c>
      <c r="E316" s="5" t="s">
        <v>1016</v>
      </c>
      <c r="F316" s="7">
        <v>0</v>
      </c>
      <c r="I316"/>
      <c r="J316" s="10">
        <f t="shared" si="54"/>
        <v>0</v>
      </c>
      <c r="K316"/>
      <c r="L316"/>
      <c r="N316" s="1"/>
    </row>
    <row r="317" spans="1:14" x14ac:dyDescent="0.25">
      <c r="A317" s="5" t="s">
        <v>423</v>
      </c>
      <c r="B317" s="5" t="s">
        <v>843</v>
      </c>
      <c r="C317" s="5">
        <f>VLOOKUP(A317,[2]Hoja2!$A:$F,6,0)</f>
        <v>200.31</v>
      </c>
      <c r="D317" s="5">
        <v>167.89</v>
      </c>
      <c r="E317" s="5" t="s">
        <v>1016</v>
      </c>
      <c r="F317" s="7">
        <v>3</v>
      </c>
      <c r="G317" s="17">
        <v>3</v>
      </c>
      <c r="J317" s="10">
        <f t="shared" si="54"/>
        <v>0</v>
      </c>
      <c r="K317">
        <f>+H317*D317</f>
        <v>0</v>
      </c>
      <c r="L317"/>
      <c r="N317" s="1"/>
    </row>
    <row r="318" spans="1:14" x14ac:dyDescent="0.25">
      <c r="A318" s="5" t="s">
        <v>424</v>
      </c>
      <c r="B318" s="5" t="s">
        <v>844</v>
      </c>
      <c r="C318" s="5"/>
      <c r="D318" s="5">
        <v>72.150000000000006</v>
      </c>
      <c r="E318" s="5" t="s">
        <v>1016</v>
      </c>
      <c r="F318" s="7">
        <v>0</v>
      </c>
      <c r="I318"/>
      <c r="J318" s="10">
        <f t="shared" si="54"/>
        <v>0</v>
      </c>
      <c r="K318"/>
      <c r="L318"/>
      <c r="N318" s="1"/>
    </row>
    <row r="319" spans="1:14" x14ac:dyDescent="0.25">
      <c r="A319" s="5" t="s">
        <v>425</v>
      </c>
      <c r="B319" s="5" t="s">
        <v>845</v>
      </c>
      <c r="C319" s="5">
        <f>VLOOKUP(A319,[2]Hoja2!$A:$F,6,0)</f>
        <v>57.68</v>
      </c>
      <c r="D319" s="5">
        <v>45.5</v>
      </c>
      <c r="E319" s="5" t="s">
        <v>1016</v>
      </c>
      <c r="F319" s="7">
        <v>2</v>
      </c>
      <c r="G319" s="17">
        <v>2</v>
      </c>
      <c r="J319" s="10">
        <f t="shared" si="54"/>
        <v>0</v>
      </c>
      <c r="K319">
        <f>+H319*D319</f>
        <v>0</v>
      </c>
      <c r="L319"/>
      <c r="N319" s="1"/>
    </row>
    <row r="320" spans="1:14" x14ac:dyDescent="0.25">
      <c r="A320" s="5" t="s">
        <v>426</v>
      </c>
      <c r="B320" s="5" t="s">
        <v>846</v>
      </c>
      <c r="C320" s="5"/>
      <c r="D320" s="5">
        <v>19.5</v>
      </c>
      <c r="E320" s="5" t="s">
        <v>1017</v>
      </c>
      <c r="F320" s="7">
        <v>0</v>
      </c>
      <c r="I320"/>
      <c r="J320" s="10">
        <f t="shared" si="54"/>
        <v>0</v>
      </c>
      <c r="K320"/>
      <c r="L320"/>
      <c r="N320" s="1"/>
    </row>
    <row r="321" spans="1:14" x14ac:dyDescent="0.25">
      <c r="A321" s="5" t="s">
        <v>427</v>
      </c>
      <c r="B321" s="5" t="s">
        <v>847</v>
      </c>
      <c r="C321" s="5">
        <f>VLOOKUP(A321,[2]Hoja2!$A:$F,6,0)</f>
        <v>94.17</v>
      </c>
      <c r="D321" s="5">
        <v>73</v>
      </c>
      <c r="E321" s="5" t="s">
        <v>1018</v>
      </c>
      <c r="F321" s="7">
        <v>3</v>
      </c>
      <c r="G321">
        <v>3</v>
      </c>
      <c r="J321" s="10">
        <f t="shared" si="54"/>
        <v>0</v>
      </c>
      <c r="K321">
        <f t="shared" ref="K321:K326" si="65">+H321*D321</f>
        <v>0</v>
      </c>
      <c r="L321"/>
      <c r="N321" s="1"/>
    </row>
    <row r="322" spans="1:14" x14ac:dyDescent="0.25">
      <c r="A322" s="5" t="s">
        <v>428</v>
      </c>
      <c r="B322" s="5" t="s">
        <v>848</v>
      </c>
      <c r="C322" s="5">
        <f>VLOOKUP(A322,[2]Hoja2!$A:$F,6,0)</f>
        <v>94.17</v>
      </c>
      <c r="D322" s="5">
        <v>82.88</v>
      </c>
      <c r="E322" s="24" t="s">
        <v>1018</v>
      </c>
      <c r="F322" s="7">
        <v>3</v>
      </c>
      <c r="H322" s="11">
        <v>1</v>
      </c>
      <c r="I322" s="19">
        <f>+F322-G322-H322</f>
        <v>2</v>
      </c>
      <c r="J322" s="10">
        <f t="shared" si="54"/>
        <v>0</v>
      </c>
      <c r="K322">
        <f>+H322*D322</f>
        <v>82.88</v>
      </c>
      <c r="L322" t="s">
        <v>1042</v>
      </c>
      <c r="N322" s="1"/>
    </row>
    <row r="323" spans="1:14" x14ac:dyDescent="0.25">
      <c r="A323" s="5" t="s">
        <v>429</v>
      </c>
      <c r="B323" s="5" t="s">
        <v>849</v>
      </c>
      <c r="C323" s="5">
        <f>VLOOKUP(A323,[2]Hoja2!$A:$F,6,0)</f>
        <v>147.83000000000001</v>
      </c>
      <c r="D323" s="5">
        <v>117.43</v>
      </c>
      <c r="E323" s="5" t="s">
        <v>1018</v>
      </c>
      <c r="F323" s="7">
        <v>1</v>
      </c>
      <c r="G323">
        <v>1</v>
      </c>
      <c r="J323" s="10">
        <f t="shared" ref="J323:J386" si="66">+F323-G323-H323-I323</f>
        <v>0</v>
      </c>
      <c r="K323">
        <f t="shared" si="65"/>
        <v>0</v>
      </c>
      <c r="L323"/>
      <c r="N323" s="1"/>
    </row>
    <row r="324" spans="1:14" x14ac:dyDescent="0.25">
      <c r="A324" s="5" t="s">
        <v>430</v>
      </c>
      <c r="B324" s="5" t="s">
        <v>850</v>
      </c>
      <c r="C324" s="5">
        <f>VLOOKUP(A324,[2]Hoja2!$A:$F,6,0)</f>
        <v>277.82</v>
      </c>
      <c r="D324" s="5">
        <v>215.1</v>
      </c>
      <c r="E324" s="5" t="s">
        <v>1018</v>
      </c>
      <c r="F324" s="7">
        <v>2</v>
      </c>
      <c r="I324" s="11">
        <v>2</v>
      </c>
      <c r="J324" s="10">
        <f t="shared" si="66"/>
        <v>0</v>
      </c>
      <c r="K324">
        <f t="shared" si="65"/>
        <v>0</v>
      </c>
      <c r="L324"/>
      <c r="N324" s="1"/>
    </row>
    <row r="325" spans="1:14" x14ac:dyDescent="0.25">
      <c r="A325" s="5" t="s">
        <v>431</v>
      </c>
      <c r="B325" s="5" t="s">
        <v>851</v>
      </c>
      <c r="C325" s="5">
        <f>VLOOKUP(A325,[2]Hoja2!$A:$F,6,0)</f>
        <v>574.16</v>
      </c>
      <c r="D325" s="5">
        <v>488.24</v>
      </c>
      <c r="E325" s="5" t="s">
        <v>1018</v>
      </c>
      <c r="F325" s="7">
        <v>1</v>
      </c>
      <c r="I325" s="11">
        <v>1</v>
      </c>
      <c r="J325" s="10">
        <f t="shared" si="66"/>
        <v>0</v>
      </c>
      <c r="K325">
        <f t="shared" si="65"/>
        <v>0</v>
      </c>
      <c r="L325"/>
      <c r="N325" s="1"/>
    </row>
    <row r="326" spans="1:14" x14ac:dyDescent="0.25">
      <c r="A326" s="5" t="s">
        <v>432</v>
      </c>
      <c r="B326" s="5" t="s">
        <v>852</v>
      </c>
      <c r="C326" s="5">
        <f>VLOOKUP(A326,[2]Hoja2!$A:$F,6,0)</f>
        <v>905.01</v>
      </c>
      <c r="D326" s="5">
        <v>701.18</v>
      </c>
      <c r="E326" s="5" t="s">
        <v>1018</v>
      </c>
      <c r="F326" s="7">
        <v>1</v>
      </c>
      <c r="I326" s="11">
        <v>1</v>
      </c>
      <c r="J326" s="10">
        <f t="shared" si="66"/>
        <v>0</v>
      </c>
      <c r="K326">
        <f t="shared" si="65"/>
        <v>0</v>
      </c>
      <c r="L326"/>
      <c r="N326" s="1"/>
    </row>
    <row r="327" spans="1:14" x14ac:dyDescent="0.25">
      <c r="A327" s="5" t="s">
        <v>433</v>
      </c>
      <c r="B327" s="5" t="s">
        <v>853</v>
      </c>
      <c r="C327" s="5"/>
      <c r="D327" s="5">
        <v>0</v>
      </c>
      <c r="E327" s="5" t="s">
        <v>1018</v>
      </c>
      <c r="F327" s="7">
        <v>0</v>
      </c>
      <c r="I327"/>
      <c r="J327" s="10">
        <f t="shared" si="66"/>
        <v>0</v>
      </c>
      <c r="K327"/>
      <c r="L327"/>
      <c r="N327" s="1"/>
    </row>
    <row r="328" spans="1:14" x14ac:dyDescent="0.25">
      <c r="A328" s="5" t="s">
        <v>434</v>
      </c>
      <c r="B328" s="5" t="s">
        <v>854</v>
      </c>
      <c r="C328" s="5">
        <f>VLOOKUP(A328,[2]Hoja2!$A:$F,6,0)</f>
        <v>157.78</v>
      </c>
      <c r="D328" s="5">
        <v>122.07</v>
      </c>
      <c r="E328" s="5" t="s">
        <v>1018</v>
      </c>
      <c r="F328" s="7">
        <v>2</v>
      </c>
      <c r="G328">
        <v>2</v>
      </c>
      <c r="J328" s="10">
        <f t="shared" si="66"/>
        <v>0</v>
      </c>
      <c r="K328">
        <f t="shared" ref="K328:K338" si="67">+H328*D328</f>
        <v>0</v>
      </c>
      <c r="L328"/>
      <c r="N328" s="1"/>
    </row>
    <row r="329" spans="1:14" x14ac:dyDescent="0.25">
      <c r="A329" s="5" t="s">
        <v>435</v>
      </c>
      <c r="B329" s="5" t="s">
        <v>855</v>
      </c>
      <c r="C329" s="5">
        <f>VLOOKUP(A329,[2]Hoja2!$A:$F,6,0)</f>
        <v>82.83</v>
      </c>
      <c r="D329" s="5">
        <v>72.209999999999994</v>
      </c>
      <c r="E329" s="5" t="s">
        <v>1018</v>
      </c>
      <c r="F329" s="7">
        <v>1</v>
      </c>
      <c r="G329">
        <v>1</v>
      </c>
      <c r="J329" s="10">
        <f t="shared" si="66"/>
        <v>0</v>
      </c>
      <c r="K329">
        <f t="shared" si="67"/>
        <v>0</v>
      </c>
      <c r="L329"/>
      <c r="N329" s="1"/>
    </row>
    <row r="330" spans="1:14" x14ac:dyDescent="0.25">
      <c r="A330" s="5" t="s">
        <v>436</v>
      </c>
      <c r="B330" s="5" t="s">
        <v>856</v>
      </c>
      <c r="C330" s="5">
        <f>VLOOKUP(A330,[2]Hoja2!$A:$F,6,0)</f>
        <v>156.47</v>
      </c>
      <c r="D330" s="5">
        <v>132.38</v>
      </c>
      <c r="E330" s="5" t="s">
        <v>1018</v>
      </c>
      <c r="F330" s="7">
        <v>1</v>
      </c>
      <c r="G330">
        <v>1</v>
      </c>
      <c r="J330" s="10">
        <f t="shared" si="66"/>
        <v>0</v>
      </c>
      <c r="K330">
        <f t="shared" si="67"/>
        <v>0</v>
      </c>
      <c r="L330"/>
      <c r="N330" s="1"/>
    </row>
    <row r="331" spans="1:14" x14ac:dyDescent="0.25">
      <c r="A331" s="5" t="s">
        <v>437</v>
      </c>
      <c r="B331" s="5" t="s">
        <v>857</v>
      </c>
      <c r="C331" s="5">
        <f>VLOOKUP(A331,[2]Hoja2!$A:$F,6,0)</f>
        <v>94.17</v>
      </c>
      <c r="D331" s="5">
        <v>82.88</v>
      </c>
      <c r="E331" s="5" t="s">
        <v>1018</v>
      </c>
      <c r="F331" s="7">
        <v>2</v>
      </c>
      <c r="G331">
        <v>2</v>
      </c>
      <c r="J331" s="10">
        <f t="shared" si="66"/>
        <v>0</v>
      </c>
      <c r="K331">
        <f t="shared" si="67"/>
        <v>0</v>
      </c>
      <c r="L331"/>
      <c r="N331" s="1"/>
    </row>
    <row r="332" spans="1:14" x14ac:dyDescent="0.25">
      <c r="A332" s="5" t="s">
        <v>438</v>
      </c>
      <c r="B332" s="5" t="s">
        <v>858</v>
      </c>
      <c r="C332" s="5">
        <f>VLOOKUP(A332,[2]Hoja2!$A:$F,6,0)</f>
        <v>111.35</v>
      </c>
      <c r="D332" s="5">
        <v>95.35</v>
      </c>
      <c r="E332" s="5" t="s">
        <v>1018</v>
      </c>
      <c r="F332" s="7">
        <v>1</v>
      </c>
      <c r="G332">
        <v>1</v>
      </c>
      <c r="J332" s="10">
        <f t="shared" si="66"/>
        <v>0</v>
      </c>
      <c r="K332">
        <f t="shared" si="67"/>
        <v>0</v>
      </c>
      <c r="L332"/>
      <c r="N332" s="1"/>
    </row>
    <row r="333" spans="1:14" x14ac:dyDescent="0.25">
      <c r="A333" s="5" t="s">
        <v>439</v>
      </c>
      <c r="B333" s="5" t="s">
        <v>859</v>
      </c>
      <c r="C333" s="5">
        <f>VLOOKUP(A333,[2]Hoja2!$A:$F,6,0)</f>
        <v>94.17</v>
      </c>
      <c r="D333" s="5">
        <v>78.900000000000006</v>
      </c>
      <c r="E333" s="5" t="s">
        <v>1018</v>
      </c>
      <c r="F333" s="7">
        <v>2</v>
      </c>
      <c r="G333">
        <v>2</v>
      </c>
      <c r="J333" s="10">
        <f t="shared" si="66"/>
        <v>0</v>
      </c>
      <c r="K333">
        <f t="shared" si="67"/>
        <v>0</v>
      </c>
      <c r="L333"/>
      <c r="N333" s="1"/>
    </row>
    <row r="334" spans="1:14" x14ac:dyDescent="0.25">
      <c r="A334" s="5" t="s">
        <v>440</v>
      </c>
      <c r="B334" s="5" t="s">
        <v>860</v>
      </c>
      <c r="C334" s="5">
        <f>VLOOKUP(A334,[2]Hoja2!$A:$F,6,0)</f>
        <v>93.12</v>
      </c>
      <c r="D334" s="5">
        <v>82.88</v>
      </c>
      <c r="E334" s="5" t="s">
        <v>1018</v>
      </c>
      <c r="F334" s="7">
        <v>2</v>
      </c>
      <c r="G334">
        <v>2</v>
      </c>
      <c r="J334" s="10">
        <f t="shared" si="66"/>
        <v>0</v>
      </c>
      <c r="K334">
        <f t="shared" si="67"/>
        <v>0</v>
      </c>
      <c r="L334"/>
      <c r="N334" s="1"/>
    </row>
    <row r="335" spans="1:14" x14ac:dyDescent="0.25">
      <c r="A335" s="5" t="s">
        <v>441</v>
      </c>
      <c r="B335" s="5" t="s">
        <v>861</v>
      </c>
      <c r="C335" s="5">
        <f>VLOOKUP(A335,[2]Hoja2!$A:$F,6,0)</f>
        <v>135.54</v>
      </c>
      <c r="D335" s="5">
        <v>117.01</v>
      </c>
      <c r="E335" s="5" t="s">
        <v>1018</v>
      </c>
      <c r="F335" s="7">
        <v>2</v>
      </c>
      <c r="G335" s="17">
        <v>2</v>
      </c>
      <c r="J335" s="10">
        <f t="shared" si="66"/>
        <v>0</v>
      </c>
      <c r="K335">
        <f t="shared" si="67"/>
        <v>0</v>
      </c>
      <c r="L335"/>
      <c r="N335" s="1"/>
    </row>
    <row r="336" spans="1:14" x14ac:dyDescent="0.25">
      <c r="A336" s="5" t="s">
        <v>442</v>
      </c>
      <c r="B336" s="5" t="s">
        <v>862</v>
      </c>
      <c r="C336" s="5">
        <f>VLOOKUP(A336,[2]Hoja2!$A:$F,6,0)</f>
        <v>69.84</v>
      </c>
      <c r="D336" s="5">
        <v>62.34</v>
      </c>
      <c r="E336" s="5" t="s">
        <v>1018</v>
      </c>
      <c r="F336" s="7">
        <v>3</v>
      </c>
      <c r="G336" s="17">
        <v>3</v>
      </c>
      <c r="H336" s="18"/>
      <c r="I336" s="18"/>
      <c r="J336" s="10">
        <f t="shared" si="66"/>
        <v>0</v>
      </c>
      <c r="K336">
        <f t="shared" si="67"/>
        <v>0</v>
      </c>
      <c r="L336"/>
      <c r="N336" s="1"/>
    </row>
    <row r="337" spans="1:14" x14ac:dyDescent="0.25">
      <c r="A337" s="5" t="s">
        <v>443</v>
      </c>
      <c r="B337" s="5" t="s">
        <v>863</v>
      </c>
      <c r="C337" s="5">
        <f>VLOOKUP(A337,[2]Hoja2!$A:$F,6,0)</f>
        <v>75.59</v>
      </c>
      <c r="D337" s="5">
        <v>67.19</v>
      </c>
      <c r="E337" s="5" t="s">
        <v>1018</v>
      </c>
      <c r="F337" s="7">
        <v>2</v>
      </c>
      <c r="G337" s="17">
        <v>2</v>
      </c>
      <c r="J337" s="10">
        <f t="shared" si="66"/>
        <v>0</v>
      </c>
      <c r="K337">
        <f t="shared" si="67"/>
        <v>0</v>
      </c>
      <c r="L337"/>
      <c r="N337" s="1"/>
    </row>
    <row r="338" spans="1:14" x14ac:dyDescent="0.25">
      <c r="A338" s="5" t="s">
        <v>444</v>
      </c>
      <c r="B338" s="5" t="s">
        <v>864</v>
      </c>
      <c r="C338" s="5">
        <f>VLOOKUP(A338,[2]Hoja2!$A:$F,6,0)</f>
        <v>75.59</v>
      </c>
      <c r="D338" s="5">
        <v>63.99</v>
      </c>
      <c r="E338" s="5" t="s">
        <v>1018</v>
      </c>
      <c r="F338" s="7">
        <v>2</v>
      </c>
      <c r="G338" s="17">
        <v>2</v>
      </c>
      <c r="J338" s="10">
        <f t="shared" si="66"/>
        <v>0</v>
      </c>
      <c r="K338">
        <f t="shared" si="67"/>
        <v>0</v>
      </c>
      <c r="L338"/>
      <c r="N338" s="1"/>
    </row>
    <row r="339" spans="1:14" x14ac:dyDescent="0.25">
      <c r="A339" s="5" t="s">
        <v>10</v>
      </c>
      <c r="B339" s="5" t="s">
        <v>0</v>
      </c>
      <c r="C339" s="5"/>
      <c r="D339" s="5">
        <v>134.19</v>
      </c>
      <c r="E339" s="5" t="s">
        <v>1019</v>
      </c>
      <c r="F339" s="7">
        <v>0</v>
      </c>
      <c r="I339"/>
      <c r="J339" s="10">
        <f t="shared" si="66"/>
        <v>0</v>
      </c>
      <c r="L339"/>
      <c r="N339" s="1"/>
    </row>
    <row r="340" spans="1:14" x14ac:dyDescent="0.25">
      <c r="A340" s="5" t="s">
        <v>58</v>
      </c>
      <c r="B340" s="5" t="s">
        <v>59</v>
      </c>
      <c r="C340" s="5">
        <f>VLOOKUP(A340,[2]Hoja2!$A:$F,6,0)</f>
        <v>158</v>
      </c>
      <c r="D340" s="5">
        <v>106.98</v>
      </c>
      <c r="E340" s="24" t="s">
        <v>1019</v>
      </c>
      <c r="F340" s="7">
        <v>5</v>
      </c>
      <c r="H340" s="11">
        <v>3</v>
      </c>
      <c r="I340" s="19">
        <f>+F340-G340-H340</f>
        <v>2</v>
      </c>
      <c r="J340" s="10">
        <f t="shared" si="66"/>
        <v>0</v>
      </c>
      <c r="K340" s="13">
        <f>+H340*D340</f>
        <v>320.94</v>
      </c>
      <c r="L340" t="s">
        <v>1042</v>
      </c>
      <c r="N340" s="1"/>
    </row>
    <row r="341" spans="1:14" x14ac:dyDescent="0.25">
      <c r="A341" s="5" t="s">
        <v>445</v>
      </c>
      <c r="B341" s="5" t="s">
        <v>865</v>
      </c>
      <c r="C341" s="5"/>
      <c r="D341" s="5">
        <v>0</v>
      </c>
      <c r="E341" s="5" t="s">
        <v>1019</v>
      </c>
      <c r="F341" s="7">
        <v>0</v>
      </c>
      <c r="I341"/>
      <c r="J341" s="10">
        <f t="shared" si="66"/>
        <v>0</v>
      </c>
      <c r="L341"/>
      <c r="N341" s="1"/>
    </row>
    <row r="342" spans="1:14" x14ac:dyDescent="0.25">
      <c r="A342" s="5" t="s">
        <v>446</v>
      </c>
      <c r="B342" s="5" t="s">
        <v>866</v>
      </c>
      <c r="C342" s="5"/>
      <c r="D342" s="5">
        <v>0</v>
      </c>
      <c r="E342" s="5" t="s">
        <v>1019</v>
      </c>
      <c r="F342" s="7">
        <v>0</v>
      </c>
      <c r="I342"/>
      <c r="J342" s="10">
        <f t="shared" si="66"/>
        <v>0</v>
      </c>
      <c r="L342"/>
      <c r="N342" s="1"/>
    </row>
    <row r="343" spans="1:14" x14ac:dyDescent="0.25">
      <c r="A343" s="5" t="s">
        <v>30</v>
      </c>
      <c r="B343" s="5" t="s">
        <v>31</v>
      </c>
      <c r="C343" s="5"/>
      <c r="D343" s="5">
        <v>114.3</v>
      </c>
      <c r="E343" s="5" t="s">
        <v>1019</v>
      </c>
      <c r="F343" s="7">
        <v>0</v>
      </c>
      <c r="I343"/>
      <c r="J343" s="10">
        <f t="shared" si="66"/>
        <v>0</v>
      </c>
      <c r="L343"/>
      <c r="N343" s="1"/>
    </row>
    <row r="344" spans="1:14" x14ac:dyDescent="0.25">
      <c r="A344" s="5" t="s">
        <v>447</v>
      </c>
      <c r="B344" s="5" t="s">
        <v>867</v>
      </c>
      <c r="C344" s="5"/>
      <c r="D344" s="5">
        <v>40.64</v>
      </c>
      <c r="E344" s="5" t="s">
        <v>1019</v>
      </c>
      <c r="F344" s="7">
        <v>0</v>
      </c>
      <c r="I344"/>
      <c r="J344" s="10">
        <f t="shared" si="66"/>
        <v>0</v>
      </c>
      <c r="L344"/>
      <c r="N344" s="1"/>
    </row>
    <row r="345" spans="1:14" x14ac:dyDescent="0.25">
      <c r="A345" s="5" t="s">
        <v>448</v>
      </c>
      <c r="B345" s="5" t="s">
        <v>868</v>
      </c>
      <c r="C345" s="5"/>
      <c r="D345" s="5">
        <v>8.5</v>
      </c>
      <c r="E345" s="5" t="s">
        <v>1019</v>
      </c>
      <c r="F345" s="7">
        <v>0</v>
      </c>
      <c r="I345"/>
      <c r="J345" s="10">
        <f t="shared" si="66"/>
        <v>0</v>
      </c>
      <c r="L345"/>
      <c r="N345" s="1"/>
    </row>
    <row r="346" spans="1:14" x14ac:dyDescent="0.25">
      <c r="A346" s="5" t="s">
        <v>20</v>
      </c>
      <c r="B346" s="5" t="s">
        <v>21</v>
      </c>
      <c r="C346" s="5">
        <f>VLOOKUP(A346,[2]Hoja2!$A:$F,6,0)</f>
        <v>26.9</v>
      </c>
      <c r="D346" s="5">
        <v>18.95</v>
      </c>
      <c r="E346" s="24" t="s">
        <v>1019</v>
      </c>
      <c r="F346" s="7">
        <v>10</v>
      </c>
      <c r="H346" s="11">
        <v>2</v>
      </c>
      <c r="I346" s="19">
        <f t="shared" ref="I346:I350" si="68">+F346-G346-H346</f>
        <v>8</v>
      </c>
      <c r="J346" s="10">
        <f t="shared" si="66"/>
        <v>0</v>
      </c>
      <c r="L346" t="s">
        <v>1042</v>
      </c>
      <c r="N346" s="1"/>
    </row>
    <row r="347" spans="1:14" x14ac:dyDescent="0.25">
      <c r="A347" s="5" t="s">
        <v>12</v>
      </c>
      <c r="B347" s="5" t="s">
        <v>13</v>
      </c>
      <c r="C347" s="5">
        <f>VLOOKUP(A347,[2]Hoja2!$A:$F,6,0)</f>
        <v>42.9</v>
      </c>
      <c r="D347" s="5">
        <v>27.64</v>
      </c>
      <c r="E347" s="24" t="s">
        <v>1019</v>
      </c>
      <c r="F347" s="7">
        <v>10</v>
      </c>
      <c r="H347" s="18">
        <v>2</v>
      </c>
      <c r="I347" s="19">
        <f t="shared" si="68"/>
        <v>8</v>
      </c>
      <c r="J347" s="10">
        <f t="shared" si="66"/>
        <v>0</v>
      </c>
      <c r="L347" t="s">
        <v>1042</v>
      </c>
      <c r="N347" s="1"/>
    </row>
    <row r="348" spans="1:14" x14ac:dyDescent="0.25">
      <c r="A348" s="5" t="s">
        <v>449</v>
      </c>
      <c r="B348" s="5" t="s">
        <v>869</v>
      </c>
      <c r="C348" s="5">
        <f>VLOOKUP(A348,[2]Hoja2!$A:$F,6,0)</f>
        <v>42.9</v>
      </c>
      <c r="D348" s="5">
        <v>27.64</v>
      </c>
      <c r="E348" s="24" t="s">
        <v>1019</v>
      </c>
      <c r="F348" s="7">
        <v>3</v>
      </c>
      <c r="H348" s="11">
        <v>3</v>
      </c>
      <c r="I348" s="19">
        <f t="shared" si="68"/>
        <v>0</v>
      </c>
      <c r="J348" s="10">
        <f t="shared" si="66"/>
        <v>0</v>
      </c>
      <c r="K348" s="13">
        <f t="shared" ref="K348:K349" si="69">+H348*D348</f>
        <v>82.92</v>
      </c>
      <c r="L348" t="s">
        <v>1042</v>
      </c>
      <c r="N348" s="1"/>
    </row>
    <row r="349" spans="1:14" x14ac:dyDescent="0.25">
      <c r="A349" s="5" t="s">
        <v>450</v>
      </c>
      <c r="B349" s="5" t="s">
        <v>870</v>
      </c>
      <c r="C349" s="5">
        <f>VLOOKUP(A349,[2]Hoja2!$A:$F,6,0)</f>
        <v>42.9</v>
      </c>
      <c r="D349" s="5">
        <v>27.64</v>
      </c>
      <c r="E349" s="24" t="s">
        <v>1019</v>
      </c>
      <c r="F349" s="7">
        <v>2</v>
      </c>
      <c r="H349" s="11">
        <v>2</v>
      </c>
      <c r="I349" s="19">
        <f t="shared" si="68"/>
        <v>0</v>
      </c>
      <c r="J349" s="10">
        <f t="shared" si="66"/>
        <v>0</v>
      </c>
      <c r="K349" s="13">
        <f t="shared" si="69"/>
        <v>55.28</v>
      </c>
      <c r="L349" t="s">
        <v>1042</v>
      </c>
      <c r="N349" s="1"/>
    </row>
    <row r="350" spans="1:14" x14ac:dyDescent="0.25">
      <c r="A350" s="5" t="s">
        <v>14</v>
      </c>
      <c r="B350" s="5" t="s">
        <v>15</v>
      </c>
      <c r="C350" s="5">
        <f>VLOOKUP(A350,[2]Hoja2!$A:$F,6,0)</f>
        <v>42.9</v>
      </c>
      <c r="D350" s="5">
        <v>27.64</v>
      </c>
      <c r="E350" s="24" t="s">
        <v>1019</v>
      </c>
      <c r="F350" s="7">
        <v>7</v>
      </c>
      <c r="H350" s="11">
        <v>1</v>
      </c>
      <c r="I350" s="11">
        <f t="shared" si="68"/>
        <v>6</v>
      </c>
      <c r="J350" s="10">
        <f t="shared" si="66"/>
        <v>0</v>
      </c>
      <c r="K350" s="13">
        <f t="shared" ref="K350" si="70">+H350*D350</f>
        <v>27.64</v>
      </c>
      <c r="L350" t="s">
        <v>1042</v>
      </c>
      <c r="N350" s="1"/>
    </row>
    <row r="351" spans="1:14" x14ac:dyDescent="0.25">
      <c r="A351" s="5" t="s">
        <v>52</v>
      </c>
      <c r="B351" s="5" t="s">
        <v>53</v>
      </c>
      <c r="C351" s="5">
        <f>VLOOKUP(A351,[2]Hoja2!$A:$F,6,0)</f>
        <v>42.9</v>
      </c>
      <c r="D351" s="5">
        <v>27.64</v>
      </c>
      <c r="E351" s="24" t="s">
        <v>1019</v>
      </c>
      <c r="F351" s="7">
        <v>4</v>
      </c>
      <c r="H351" s="11">
        <v>1</v>
      </c>
      <c r="I351" s="19">
        <f>+F351-G351-H351</f>
        <v>3</v>
      </c>
      <c r="J351" s="10">
        <f t="shared" si="66"/>
        <v>0</v>
      </c>
      <c r="L351" t="s">
        <v>1042</v>
      </c>
      <c r="N351" s="1"/>
    </row>
    <row r="352" spans="1:14" x14ac:dyDescent="0.25">
      <c r="A352" s="5" t="s">
        <v>451</v>
      </c>
      <c r="B352" s="5" t="s">
        <v>871</v>
      </c>
      <c r="C352" s="5"/>
      <c r="D352" s="5">
        <v>0</v>
      </c>
      <c r="E352" s="5" t="s">
        <v>1019</v>
      </c>
      <c r="F352" s="7">
        <v>0</v>
      </c>
      <c r="I352"/>
      <c r="J352" s="10">
        <f t="shared" si="66"/>
        <v>0</v>
      </c>
      <c r="L352"/>
      <c r="N352" s="1"/>
    </row>
    <row r="353" spans="1:14" x14ac:dyDescent="0.25">
      <c r="A353" s="5" t="s">
        <v>452</v>
      </c>
      <c r="B353" s="5" t="s">
        <v>872</v>
      </c>
      <c r="C353" s="5"/>
      <c r="D353" s="5">
        <v>94.36</v>
      </c>
      <c r="E353" s="5" t="s">
        <v>1019</v>
      </c>
      <c r="F353" s="7">
        <v>0</v>
      </c>
      <c r="I353"/>
      <c r="J353" s="10">
        <f t="shared" si="66"/>
        <v>0</v>
      </c>
      <c r="L353"/>
      <c r="N353" s="1"/>
    </row>
    <row r="354" spans="1:14" x14ac:dyDescent="0.25">
      <c r="A354" s="5" t="s">
        <v>129</v>
      </c>
      <c r="B354" s="5" t="s">
        <v>130</v>
      </c>
      <c r="C354" s="5">
        <f>VLOOKUP(A354,[2]Hoja2!$A:$F,6,0)</f>
        <v>159</v>
      </c>
      <c r="D354" s="5">
        <v>115.69</v>
      </c>
      <c r="E354" s="24" t="s">
        <v>1019</v>
      </c>
      <c r="F354" s="7">
        <v>3</v>
      </c>
      <c r="H354" s="11">
        <v>1</v>
      </c>
      <c r="I354" s="19">
        <f t="shared" ref="I354:I355" si="71">+F354-G354-H354</f>
        <v>2</v>
      </c>
      <c r="J354" s="10">
        <f t="shared" si="66"/>
        <v>0</v>
      </c>
      <c r="K354" s="13">
        <f t="shared" ref="K354" si="72">+H354*D354</f>
        <v>115.69</v>
      </c>
      <c r="L354" t="s">
        <v>1042</v>
      </c>
      <c r="N354" s="1"/>
    </row>
    <row r="355" spans="1:14" x14ac:dyDescent="0.25">
      <c r="A355" s="5" t="s">
        <v>453</v>
      </c>
      <c r="B355" s="5" t="s">
        <v>873</v>
      </c>
      <c r="C355" s="5">
        <f>VLOOKUP(A355,[2]Hoja2!$A:$F,6,0)</f>
        <v>181</v>
      </c>
      <c r="D355" s="5">
        <v>130.66999999999999</v>
      </c>
      <c r="E355" s="24" t="s">
        <v>1019</v>
      </c>
      <c r="F355" s="7">
        <v>1</v>
      </c>
      <c r="H355" s="11">
        <v>1</v>
      </c>
      <c r="I355" s="19">
        <f t="shared" si="71"/>
        <v>0</v>
      </c>
      <c r="J355" s="10">
        <f t="shared" si="66"/>
        <v>0</v>
      </c>
      <c r="K355" s="13">
        <f>+H355*D355</f>
        <v>130.66999999999999</v>
      </c>
      <c r="L355" t="s">
        <v>1042</v>
      </c>
      <c r="N355" s="1"/>
    </row>
    <row r="356" spans="1:14" x14ac:dyDescent="0.25">
      <c r="A356" s="5" t="s">
        <v>454</v>
      </c>
      <c r="B356" s="5" t="s">
        <v>874</v>
      </c>
      <c r="C356" s="5"/>
      <c r="D356" s="5">
        <v>145.41999999999999</v>
      </c>
      <c r="E356" s="5" t="s">
        <v>1019</v>
      </c>
      <c r="F356" s="7">
        <v>0</v>
      </c>
      <c r="I356"/>
      <c r="J356" s="10">
        <f t="shared" si="66"/>
        <v>0</v>
      </c>
      <c r="L356"/>
      <c r="N356" s="1"/>
    </row>
    <row r="357" spans="1:14" x14ac:dyDescent="0.25">
      <c r="A357" s="5" t="s">
        <v>455</v>
      </c>
      <c r="B357" s="5" t="s">
        <v>875</v>
      </c>
      <c r="C357" s="5">
        <f>VLOOKUP(A357,[2]Hoja2!$A:$F,6,0)</f>
        <v>239.9</v>
      </c>
      <c r="D357" s="5">
        <v>168.43</v>
      </c>
      <c r="E357" s="24" t="s">
        <v>1019</v>
      </c>
      <c r="F357" s="7">
        <v>1</v>
      </c>
      <c r="H357" s="11">
        <v>1</v>
      </c>
      <c r="I357" s="19">
        <f t="shared" ref="I357:I359" si="73">+F357-G357-H357</f>
        <v>0</v>
      </c>
      <c r="J357" s="10">
        <f t="shared" si="66"/>
        <v>0</v>
      </c>
      <c r="K357" s="13">
        <f t="shared" ref="K357:K359" si="74">+H357*D357</f>
        <v>168.43</v>
      </c>
      <c r="L357" t="s">
        <v>1042</v>
      </c>
      <c r="N357" s="1"/>
    </row>
    <row r="358" spans="1:14" x14ac:dyDescent="0.25">
      <c r="A358" s="5" t="s">
        <v>456</v>
      </c>
      <c r="B358" s="5" t="s">
        <v>876</v>
      </c>
      <c r="C358" s="5">
        <f>VLOOKUP(A358,[2]Hoja2!$A:$F,6,0)</f>
        <v>155</v>
      </c>
      <c r="D358" s="5">
        <v>109.38</v>
      </c>
      <c r="E358" s="24" t="s">
        <v>1019</v>
      </c>
      <c r="F358" s="7">
        <v>4</v>
      </c>
      <c r="H358" s="11">
        <v>2</v>
      </c>
      <c r="I358" s="19">
        <f t="shared" si="73"/>
        <v>2</v>
      </c>
      <c r="J358" s="10">
        <f t="shared" si="66"/>
        <v>0</v>
      </c>
      <c r="K358" s="13">
        <f t="shared" si="74"/>
        <v>218.76</v>
      </c>
      <c r="L358" t="s">
        <v>1042</v>
      </c>
      <c r="N358" s="1"/>
    </row>
    <row r="359" spans="1:14" x14ac:dyDescent="0.25">
      <c r="A359" s="5" t="s">
        <v>457</v>
      </c>
      <c r="B359" s="5" t="s">
        <v>877</v>
      </c>
      <c r="C359" s="5">
        <f>VLOOKUP(A359,[2]Hoja2!$A:$F,6,0)</f>
        <v>179.9</v>
      </c>
      <c r="D359" s="5">
        <v>117.1</v>
      </c>
      <c r="E359" s="24" t="s">
        <v>1019</v>
      </c>
      <c r="F359" s="7">
        <v>2</v>
      </c>
      <c r="H359" s="11">
        <v>1</v>
      </c>
      <c r="I359" s="19">
        <f t="shared" si="73"/>
        <v>1</v>
      </c>
      <c r="J359" s="10">
        <f t="shared" si="66"/>
        <v>0</v>
      </c>
      <c r="K359" s="13">
        <f t="shared" si="74"/>
        <v>117.1</v>
      </c>
      <c r="L359" t="s">
        <v>1042</v>
      </c>
      <c r="N359" s="1"/>
    </row>
    <row r="360" spans="1:14" x14ac:dyDescent="0.25">
      <c r="A360" s="5" t="s">
        <v>458</v>
      </c>
      <c r="B360" s="5" t="s">
        <v>878</v>
      </c>
      <c r="C360" s="5"/>
      <c r="D360" s="5">
        <v>157.12</v>
      </c>
      <c r="E360" s="5" t="s">
        <v>1019</v>
      </c>
      <c r="F360" s="7">
        <v>0</v>
      </c>
      <c r="I360"/>
      <c r="J360" s="10">
        <f t="shared" si="66"/>
        <v>0</v>
      </c>
      <c r="L360"/>
      <c r="N360" s="1"/>
    </row>
    <row r="361" spans="1:14" x14ac:dyDescent="0.25">
      <c r="A361" s="5" t="s">
        <v>459</v>
      </c>
      <c r="B361" s="5" t="s">
        <v>879</v>
      </c>
      <c r="C361" s="5">
        <f>VLOOKUP(A361,[2]Hoja2!$A:$F,6,0)</f>
        <v>219.9</v>
      </c>
      <c r="D361" s="5">
        <v>151.9</v>
      </c>
      <c r="E361" s="24" t="s">
        <v>1019</v>
      </c>
      <c r="F361" s="7">
        <v>2</v>
      </c>
      <c r="H361" s="11">
        <v>1</v>
      </c>
      <c r="I361" s="19">
        <f t="shared" ref="I361:I363" si="75">+F361-G361-H361</f>
        <v>1</v>
      </c>
      <c r="J361" s="10">
        <f t="shared" si="66"/>
        <v>0</v>
      </c>
      <c r="K361" s="13">
        <f t="shared" ref="K361:K363" si="76">+H361*D361</f>
        <v>151.9</v>
      </c>
      <c r="L361" t="s">
        <v>1042</v>
      </c>
      <c r="N361" s="1"/>
    </row>
    <row r="362" spans="1:14" x14ac:dyDescent="0.25">
      <c r="A362" s="5" t="s">
        <v>460</v>
      </c>
      <c r="B362" s="5" t="s">
        <v>880</v>
      </c>
      <c r="C362" s="5">
        <f>VLOOKUP(A362,[2]Hoja2!$A:$F,6,0)</f>
        <v>239</v>
      </c>
      <c r="D362" s="5">
        <v>167.03</v>
      </c>
      <c r="E362" s="24" t="s">
        <v>1019</v>
      </c>
      <c r="F362" s="7">
        <v>4</v>
      </c>
      <c r="H362" s="11">
        <v>1</v>
      </c>
      <c r="I362" s="19">
        <f t="shared" si="75"/>
        <v>3</v>
      </c>
      <c r="J362" s="10">
        <f t="shared" si="66"/>
        <v>0</v>
      </c>
      <c r="K362" s="13">
        <f t="shared" si="76"/>
        <v>167.03</v>
      </c>
      <c r="L362" t="s">
        <v>1042</v>
      </c>
      <c r="N362" s="1"/>
    </row>
    <row r="363" spans="1:14" x14ac:dyDescent="0.25">
      <c r="A363" s="5" t="s">
        <v>461</v>
      </c>
      <c r="B363" s="5" t="s">
        <v>881</v>
      </c>
      <c r="C363" s="5">
        <f>VLOOKUP(A363,[2]Hoja2!$A:$F,6,0)</f>
        <v>209</v>
      </c>
      <c r="D363" s="5">
        <v>145.44</v>
      </c>
      <c r="E363" s="24" t="s">
        <v>1019</v>
      </c>
      <c r="F363" s="7">
        <v>2</v>
      </c>
      <c r="H363" s="11">
        <v>1</v>
      </c>
      <c r="I363" s="19">
        <f t="shared" si="75"/>
        <v>1</v>
      </c>
      <c r="J363" s="10">
        <f t="shared" si="66"/>
        <v>0</v>
      </c>
      <c r="K363" s="13">
        <f t="shared" si="76"/>
        <v>145.44</v>
      </c>
      <c r="L363" t="s">
        <v>1042</v>
      </c>
      <c r="N363" s="1"/>
    </row>
    <row r="364" spans="1:14" x14ac:dyDescent="0.25">
      <c r="A364" s="5" t="s">
        <v>462</v>
      </c>
      <c r="B364" s="5" t="s">
        <v>882</v>
      </c>
      <c r="C364" s="5"/>
      <c r="D364" s="5">
        <v>0</v>
      </c>
      <c r="E364" s="5" t="s">
        <v>1019</v>
      </c>
      <c r="F364" s="7">
        <v>0</v>
      </c>
      <c r="I364"/>
      <c r="J364" s="10">
        <f t="shared" si="66"/>
        <v>0</v>
      </c>
      <c r="L364"/>
      <c r="N364" s="1"/>
    </row>
    <row r="365" spans="1:14" x14ac:dyDescent="0.25">
      <c r="A365" s="5" t="s">
        <v>40</v>
      </c>
      <c r="B365" s="5" t="s">
        <v>41</v>
      </c>
      <c r="C365" s="5"/>
      <c r="D365" s="5">
        <v>161.83000000000001</v>
      </c>
      <c r="E365" s="5" t="s">
        <v>1019</v>
      </c>
      <c r="F365" s="7">
        <v>0</v>
      </c>
      <c r="I365"/>
      <c r="J365" s="10">
        <f t="shared" si="66"/>
        <v>0</v>
      </c>
      <c r="L365"/>
      <c r="N365" s="1"/>
    </row>
    <row r="366" spans="1:14" x14ac:dyDescent="0.25">
      <c r="A366" s="5" t="s">
        <v>80</v>
      </c>
      <c r="B366" s="5" t="s">
        <v>81</v>
      </c>
      <c r="C366" s="5">
        <f>VLOOKUP(A366,[2]Hoja2!$A:$F,6,0)</f>
        <v>42.9</v>
      </c>
      <c r="D366" s="5">
        <v>29.9</v>
      </c>
      <c r="E366" s="24" t="s">
        <v>1019</v>
      </c>
      <c r="F366" s="7">
        <v>2</v>
      </c>
      <c r="H366" s="18">
        <v>1</v>
      </c>
      <c r="I366" s="19">
        <f t="shared" ref="I366:I367" si="77">+F366-G366-H366</f>
        <v>1</v>
      </c>
      <c r="J366" s="10">
        <f t="shared" si="66"/>
        <v>0</v>
      </c>
      <c r="K366" s="13">
        <f>+H366*D366</f>
        <v>29.9</v>
      </c>
      <c r="L366" t="s">
        <v>1042</v>
      </c>
      <c r="N366" s="1"/>
    </row>
    <row r="367" spans="1:14" x14ac:dyDescent="0.25">
      <c r="A367" s="5" t="s">
        <v>22</v>
      </c>
      <c r="B367" s="5" t="s">
        <v>23</v>
      </c>
      <c r="C367" s="5">
        <f>VLOOKUP(A367,[2]Hoja2!$A:$F,6,0)</f>
        <v>42.9</v>
      </c>
      <c r="D367" s="5">
        <v>29.9</v>
      </c>
      <c r="E367" s="24" t="s">
        <v>1019</v>
      </c>
      <c r="F367" s="7">
        <v>4</v>
      </c>
      <c r="H367" s="18">
        <v>1</v>
      </c>
      <c r="I367" s="19">
        <f t="shared" si="77"/>
        <v>3</v>
      </c>
      <c r="J367" s="10">
        <f t="shared" si="66"/>
        <v>0</v>
      </c>
      <c r="L367" t="s">
        <v>1042</v>
      </c>
      <c r="N367" s="1"/>
    </row>
    <row r="368" spans="1:14" x14ac:dyDescent="0.25">
      <c r="A368" s="5" t="s">
        <v>74</v>
      </c>
      <c r="B368" s="5" t="s">
        <v>75</v>
      </c>
      <c r="C368" s="5">
        <f>VLOOKUP(A368,[2]Hoja2!$A:$F,6,0)</f>
        <v>52.9</v>
      </c>
      <c r="D368" s="5">
        <v>36.9</v>
      </c>
      <c r="E368" s="24" t="s">
        <v>1019</v>
      </c>
      <c r="F368" s="7">
        <v>1</v>
      </c>
      <c r="H368" s="11">
        <v>1</v>
      </c>
      <c r="J368" s="10">
        <f t="shared" si="66"/>
        <v>0</v>
      </c>
      <c r="K368" s="13">
        <f t="shared" ref="K368:K369" si="78">+H368*D368</f>
        <v>36.9</v>
      </c>
      <c r="L368" t="s">
        <v>1042</v>
      </c>
      <c r="N368" s="1"/>
    </row>
    <row r="369" spans="1:14" x14ac:dyDescent="0.25">
      <c r="A369" s="5" t="s">
        <v>42</v>
      </c>
      <c r="B369" s="5" t="s">
        <v>43</v>
      </c>
      <c r="C369" s="5">
        <f>VLOOKUP(A369,[2]Hoja2!$A:$F,6,0)</f>
        <v>239.9</v>
      </c>
      <c r="D369" s="5">
        <v>163.81</v>
      </c>
      <c r="E369" s="24" t="s">
        <v>1019</v>
      </c>
      <c r="F369" s="7">
        <v>6</v>
      </c>
      <c r="H369" s="11">
        <v>1</v>
      </c>
      <c r="I369" s="19">
        <f>+F369-G369-H369</f>
        <v>5</v>
      </c>
      <c r="J369" s="10">
        <f t="shared" si="66"/>
        <v>0</v>
      </c>
      <c r="K369" s="13">
        <f t="shared" si="78"/>
        <v>163.81</v>
      </c>
      <c r="L369" t="s">
        <v>1042</v>
      </c>
      <c r="N369" s="1"/>
    </row>
    <row r="370" spans="1:14" x14ac:dyDescent="0.25">
      <c r="A370" s="5" t="s">
        <v>463</v>
      </c>
      <c r="B370" s="5" t="s">
        <v>883</v>
      </c>
      <c r="C370" s="5"/>
      <c r="D370" s="5">
        <v>54.53</v>
      </c>
      <c r="E370" s="5" t="s">
        <v>1019</v>
      </c>
      <c r="F370" s="7">
        <v>0</v>
      </c>
      <c r="I370"/>
      <c r="J370" s="10">
        <f t="shared" si="66"/>
        <v>0</v>
      </c>
      <c r="L370"/>
      <c r="N370" s="1"/>
    </row>
    <row r="371" spans="1:14" x14ac:dyDescent="0.25">
      <c r="A371" s="5" t="s">
        <v>18</v>
      </c>
      <c r="B371" s="5" t="s">
        <v>19</v>
      </c>
      <c r="C371" s="5"/>
      <c r="D371" s="5">
        <v>78.37</v>
      </c>
      <c r="E371" s="5" t="s">
        <v>1019</v>
      </c>
      <c r="F371" s="7">
        <v>0</v>
      </c>
      <c r="I371"/>
      <c r="J371" s="10">
        <f t="shared" si="66"/>
        <v>0</v>
      </c>
      <c r="L371"/>
      <c r="N371" s="1"/>
    </row>
    <row r="372" spans="1:14" x14ac:dyDescent="0.25">
      <c r="A372" s="5" t="s">
        <v>464</v>
      </c>
      <c r="B372" s="5" t="s">
        <v>884</v>
      </c>
      <c r="C372" s="5">
        <f>VLOOKUP(A372,[2]Hoja2!$A:$F,6,0)</f>
        <v>66.900000000000006</v>
      </c>
      <c r="D372" s="5">
        <v>46.9</v>
      </c>
      <c r="E372" s="24" t="s">
        <v>1019</v>
      </c>
      <c r="F372" s="7">
        <v>4</v>
      </c>
      <c r="H372" s="11">
        <v>1</v>
      </c>
      <c r="I372" s="19">
        <f t="shared" ref="I372:I374" si="79">+F372-G372-H372</f>
        <v>3</v>
      </c>
      <c r="J372" s="10">
        <f t="shared" si="66"/>
        <v>0</v>
      </c>
      <c r="K372" s="13">
        <f t="shared" ref="K372:K374" si="80">+H372*D372</f>
        <v>46.9</v>
      </c>
      <c r="L372" t="s">
        <v>1042</v>
      </c>
      <c r="N372" s="1"/>
    </row>
    <row r="373" spans="1:14" x14ac:dyDescent="0.25">
      <c r="A373" s="5" t="s">
        <v>465</v>
      </c>
      <c r="B373" s="5" t="s">
        <v>885</v>
      </c>
      <c r="C373" s="5">
        <f>VLOOKUP(A373,[2]Hoja2!$A:$F,6,0)</f>
        <v>63.9</v>
      </c>
      <c r="D373" s="5">
        <v>44.67</v>
      </c>
      <c r="E373" s="24" t="s">
        <v>1019</v>
      </c>
      <c r="F373" s="7">
        <v>3</v>
      </c>
      <c r="H373" s="11">
        <v>1</v>
      </c>
      <c r="I373" s="19">
        <f t="shared" si="79"/>
        <v>2</v>
      </c>
      <c r="J373" s="10">
        <f t="shared" si="66"/>
        <v>0</v>
      </c>
      <c r="K373" s="13">
        <f t="shared" si="80"/>
        <v>44.67</v>
      </c>
      <c r="L373" t="s">
        <v>1042</v>
      </c>
      <c r="N373" s="1"/>
    </row>
    <row r="374" spans="1:14" x14ac:dyDescent="0.25">
      <c r="A374" s="5" t="s">
        <v>466</v>
      </c>
      <c r="B374" s="5" t="s">
        <v>886</v>
      </c>
      <c r="C374" s="5">
        <f>VLOOKUP(A374,[2]Hoja2!$A:$F,6,0)</f>
        <v>49.9</v>
      </c>
      <c r="D374" s="5">
        <v>34.83</v>
      </c>
      <c r="E374" s="24" t="s">
        <v>1019</v>
      </c>
      <c r="F374" s="7">
        <v>1</v>
      </c>
      <c r="H374" s="11">
        <v>1</v>
      </c>
      <c r="I374" s="19">
        <f t="shared" si="79"/>
        <v>0</v>
      </c>
      <c r="J374" s="10">
        <f t="shared" si="66"/>
        <v>0</v>
      </c>
      <c r="K374" s="13">
        <f t="shared" si="80"/>
        <v>34.83</v>
      </c>
      <c r="L374" t="s">
        <v>1042</v>
      </c>
      <c r="N374" s="1"/>
    </row>
    <row r="375" spans="1:14" x14ac:dyDescent="0.25">
      <c r="A375" s="5" t="s">
        <v>132</v>
      </c>
      <c r="B375" s="5" t="s">
        <v>133</v>
      </c>
      <c r="C375" s="5">
        <f>VLOOKUP(A375,[2]Hoja2!$A:$F,6,0)</f>
        <v>56.9</v>
      </c>
      <c r="D375" s="5">
        <v>39.83</v>
      </c>
      <c r="E375" s="24" t="s">
        <v>1019</v>
      </c>
      <c r="F375" s="7">
        <v>1</v>
      </c>
      <c r="H375" s="11">
        <v>1</v>
      </c>
      <c r="J375" s="10">
        <f t="shared" si="66"/>
        <v>0</v>
      </c>
      <c r="K375" s="13">
        <f t="shared" ref="K375:K378" si="81">+H375*D375</f>
        <v>39.83</v>
      </c>
      <c r="L375" t="s">
        <v>1042</v>
      </c>
      <c r="N375" s="1"/>
    </row>
    <row r="376" spans="1:14" x14ac:dyDescent="0.25">
      <c r="A376" s="5" t="s">
        <v>467</v>
      </c>
      <c r="B376" s="5" t="s">
        <v>887</v>
      </c>
      <c r="C376" s="5">
        <f>VLOOKUP(A376,[2]Hoja2!$A:$F,6,0)</f>
        <v>34.9</v>
      </c>
      <c r="D376" s="5">
        <v>19.670000000000002</v>
      </c>
      <c r="E376" s="24" t="s">
        <v>1019</v>
      </c>
      <c r="F376" s="7">
        <v>2</v>
      </c>
      <c r="H376" s="11">
        <v>1</v>
      </c>
      <c r="I376" s="19">
        <f t="shared" ref="I376:I377" si="82">+F376-G376-H376</f>
        <v>1</v>
      </c>
      <c r="J376" s="10">
        <f t="shared" si="66"/>
        <v>0</v>
      </c>
      <c r="K376" s="13">
        <f>+H376*D376</f>
        <v>19.670000000000002</v>
      </c>
      <c r="L376" t="s">
        <v>1042</v>
      </c>
      <c r="N376" s="1"/>
    </row>
    <row r="377" spans="1:14" x14ac:dyDescent="0.25">
      <c r="A377" s="5" t="s">
        <v>134</v>
      </c>
      <c r="B377" s="5" t="s">
        <v>135</v>
      </c>
      <c r="C377" s="5">
        <f>VLOOKUP(A377,[2]Hoja2!$A:$F,6,0)</f>
        <v>179.9</v>
      </c>
      <c r="D377" s="5">
        <v>126.49</v>
      </c>
      <c r="E377" s="24" t="s">
        <v>1019</v>
      </c>
      <c r="F377" s="7">
        <v>3</v>
      </c>
      <c r="H377" s="18">
        <v>1</v>
      </c>
      <c r="I377" s="19">
        <f t="shared" si="82"/>
        <v>2</v>
      </c>
      <c r="J377" s="10">
        <f t="shared" si="66"/>
        <v>0</v>
      </c>
      <c r="K377" s="13">
        <f t="shared" si="81"/>
        <v>126.49</v>
      </c>
      <c r="L377" t="s">
        <v>1042</v>
      </c>
      <c r="N377" s="1"/>
    </row>
    <row r="378" spans="1:14" x14ac:dyDescent="0.25">
      <c r="A378" s="5" t="s">
        <v>24</v>
      </c>
      <c r="B378" s="5" t="s">
        <v>25</v>
      </c>
      <c r="C378" s="5">
        <f>VLOOKUP(A378,[2]Hoja2!$A:$F,6,0)</f>
        <v>275</v>
      </c>
      <c r="D378" s="5">
        <v>192.23</v>
      </c>
      <c r="E378" s="5" t="s">
        <v>1019</v>
      </c>
      <c r="F378" s="7">
        <v>2</v>
      </c>
      <c r="J378" s="10">
        <f t="shared" si="66"/>
        <v>2</v>
      </c>
      <c r="K378" s="13">
        <f t="shared" si="81"/>
        <v>0</v>
      </c>
      <c r="L378"/>
      <c r="N378" s="1"/>
    </row>
    <row r="379" spans="1:14" x14ac:dyDescent="0.25">
      <c r="A379" s="5" t="s">
        <v>468</v>
      </c>
      <c r="B379" s="5" t="s">
        <v>888</v>
      </c>
      <c r="C379" s="5"/>
      <c r="D379" s="5">
        <v>0</v>
      </c>
      <c r="E379" s="5" t="s">
        <v>1019</v>
      </c>
      <c r="F379" s="7">
        <v>0</v>
      </c>
      <c r="I379"/>
      <c r="J379" s="10">
        <f t="shared" si="66"/>
        <v>0</v>
      </c>
      <c r="L379"/>
      <c r="N379" s="1"/>
    </row>
    <row r="380" spans="1:14" x14ac:dyDescent="0.25">
      <c r="A380" s="5" t="s">
        <v>469</v>
      </c>
      <c r="B380" s="5" t="s">
        <v>889</v>
      </c>
      <c r="C380" s="5"/>
      <c r="D380" s="5">
        <v>0</v>
      </c>
      <c r="E380" s="5" t="s">
        <v>1019</v>
      </c>
      <c r="F380" s="7">
        <v>0</v>
      </c>
      <c r="I380"/>
      <c r="J380" s="10">
        <f t="shared" si="66"/>
        <v>0</v>
      </c>
      <c r="L380"/>
      <c r="N380" s="1"/>
    </row>
    <row r="381" spans="1:14" x14ac:dyDescent="0.25">
      <c r="A381" s="9" t="s">
        <v>138</v>
      </c>
      <c r="B381" s="9" t="s">
        <v>139</v>
      </c>
      <c r="C381" s="9">
        <f>VLOOKUP(A381,[2]Hoja2!$A:$F,6,0)</f>
        <v>169</v>
      </c>
      <c r="D381" s="9">
        <v>118.23</v>
      </c>
      <c r="E381" s="24" t="s">
        <v>1019</v>
      </c>
      <c r="F381" s="7">
        <v>1</v>
      </c>
      <c r="J381" s="10">
        <f t="shared" si="66"/>
        <v>1</v>
      </c>
      <c r="K381" s="13">
        <f t="shared" ref="K381:K383" si="83">+H381*D381</f>
        <v>0</v>
      </c>
      <c r="L381"/>
      <c r="N381" s="1"/>
    </row>
    <row r="382" spans="1:14" x14ac:dyDescent="0.25">
      <c r="A382" s="5" t="s">
        <v>470</v>
      </c>
      <c r="B382" s="5" t="s">
        <v>890</v>
      </c>
      <c r="C382" s="5">
        <f>VLOOKUP(A382,[2]Hoja2!$A:$F,6,0)</f>
        <v>245</v>
      </c>
      <c r="D382" s="5">
        <v>167.06</v>
      </c>
      <c r="E382" s="24" t="s">
        <v>1019</v>
      </c>
      <c r="F382" s="7">
        <v>3</v>
      </c>
      <c r="H382" s="11">
        <v>1</v>
      </c>
      <c r="I382" s="19">
        <f t="shared" ref="I382:I383" si="84">+F382-G382-H382</f>
        <v>2</v>
      </c>
      <c r="J382" s="10">
        <f t="shared" si="66"/>
        <v>0</v>
      </c>
      <c r="K382" s="13">
        <f t="shared" si="83"/>
        <v>167.06</v>
      </c>
      <c r="L382" t="s">
        <v>1042</v>
      </c>
      <c r="N382" s="1"/>
    </row>
    <row r="383" spans="1:14" x14ac:dyDescent="0.25">
      <c r="A383" s="5" t="s">
        <v>471</v>
      </c>
      <c r="B383" s="5" t="s">
        <v>891</v>
      </c>
      <c r="C383" s="5">
        <f>VLOOKUP(A383,[2]Hoja2!$A:$F,6,0)</f>
        <v>215</v>
      </c>
      <c r="D383" s="5">
        <v>131.07</v>
      </c>
      <c r="E383" s="24" t="s">
        <v>1019</v>
      </c>
      <c r="F383" s="7">
        <v>3</v>
      </c>
      <c r="H383" s="11">
        <v>1</v>
      </c>
      <c r="I383" s="19">
        <f t="shared" si="84"/>
        <v>2</v>
      </c>
      <c r="J383" s="10">
        <f t="shared" si="66"/>
        <v>0</v>
      </c>
      <c r="K383" s="13">
        <f t="shared" si="83"/>
        <v>131.07</v>
      </c>
      <c r="L383" t="s">
        <v>1042</v>
      </c>
      <c r="N383" s="1"/>
    </row>
    <row r="384" spans="1:14" x14ac:dyDescent="0.25">
      <c r="A384" s="5" t="s">
        <v>472</v>
      </c>
      <c r="B384" s="5" t="s">
        <v>892</v>
      </c>
      <c r="C384" s="5"/>
      <c r="D384" s="5">
        <v>201.17</v>
      </c>
      <c r="E384" s="5" t="s">
        <v>1019</v>
      </c>
      <c r="F384" s="7">
        <v>0</v>
      </c>
      <c r="I384"/>
      <c r="J384" s="10">
        <f t="shared" si="66"/>
        <v>0</v>
      </c>
      <c r="L384"/>
      <c r="N384" s="1"/>
    </row>
    <row r="385" spans="1:14" x14ac:dyDescent="0.25">
      <c r="A385" s="5" t="s">
        <v>140</v>
      </c>
      <c r="B385" s="5" t="s">
        <v>141</v>
      </c>
      <c r="C385" s="5"/>
      <c r="D385" s="5">
        <v>236.97</v>
      </c>
      <c r="E385" s="5" t="s">
        <v>1019</v>
      </c>
      <c r="F385" s="7">
        <v>0</v>
      </c>
      <c r="I385"/>
      <c r="J385" s="10">
        <f t="shared" si="66"/>
        <v>0</v>
      </c>
      <c r="L385"/>
      <c r="N385" s="1"/>
    </row>
    <row r="386" spans="1:14" x14ac:dyDescent="0.25">
      <c r="A386" s="5" t="s">
        <v>473</v>
      </c>
      <c r="B386" s="5" t="s">
        <v>893</v>
      </c>
      <c r="C386" s="5">
        <f>VLOOKUP(A386,[2]Hoja2!$A:$F,6,0)</f>
        <v>69.930000000000007</v>
      </c>
      <c r="D386" s="5">
        <v>57.6</v>
      </c>
      <c r="E386" s="5" t="s">
        <v>1020</v>
      </c>
      <c r="F386" s="7">
        <v>2</v>
      </c>
      <c r="H386" s="18">
        <v>1</v>
      </c>
      <c r="I386" s="19">
        <f>+F386-G386-H386</f>
        <v>1</v>
      </c>
      <c r="J386" s="10">
        <f t="shared" si="66"/>
        <v>0</v>
      </c>
      <c r="K386">
        <f>+H386*D386</f>
        <v>57.6</v>
      </c>
      <c r="L386" t="s">
        <v>1042</v>
      </c>
      <c r="N386" s="1"/>
    </row>
    <row r="387" spans="1:14" x14ac:dyDescent="0.25">
      <c r="A387" s="5" t="s">
        <v>474</v>
      </c>
      <c r="B387" s="5" t="s">
        <v>894</v>
      </c>
      <c r="C387" s="5">
        <f>VLOOKUP(A387,[2]Hoja2!$A:$F,6,0)</f>
        <v>62.19</v>
      </c>
      <c r="D387" s="5">
        <v>51.2</v>
      </c>
      <c r="E387" s="5" t="s">
        <v>1020</v>
      </c>
      <c r="F387" s="7">
        <v>2</v>
      </c>
      <c r="G387">
        <v>2</v>
      </c>
      <c r="J387" s="10">
        <f t="shared" ref="J387:J450" si="85">+F387-G387-H387-I387</f>
        <v>0</v>
      </c>
      <c r="K387">
        <f t="shared" ref="K386:K387" si="86">+H387*D387</f>
        <v>0</v>
      </c>
      <c r="L387"/>
      <c r="N387" s="1"/>
    </row>
    <row r="388" spans="1:14" x14ac:dyDescent="0.25">
      <c r="A388" s="5" t="s">
        <v>475</v>
      </c>
      <c r="B388" s="5" t="s">
        <v>895</v>
      </c>
      <c r="C388" s="5"/>
      <c r="D388" s="5">
        <v>73.42</v>
      </c>
      <c r="E388" s="5" t="s">
        <v>1020</v>
      </c>
      <c r="F388" s="7">
        <v>0</v>
      </c>
      <c r="I388"/>
      <c r="J388" s="10">
        <f t="shared" si="85"/>
        <v>0</v>
      </c>
      <c r="K388"/>
      <c r="L388"/>
      <c r="N388" s="1"/>
    </row>
    <row r="389" spans="1:14" x14ac:dyDescent="0.25">
      <c r="A389" s="5" t="s">
        <v>476</v>
      </c>
      <c r="B389" s="5" t="s">
        <v>896</v>
      </c>
      <c r="C389" s="5"/>
      <c r="D389" s="5">
        <v>57.6</v>
      </c>
      <c r="E389" s="5" t="s">
        <v>1020</v>
      </c>
      <c r="F389" s="7">
        <v>0</v>
      </c>
      <c r="I389"/>
      <c r="J389" s="10">
        <f t="shared" si="85"/>
        <v>0</v>
      </c>
      <c r="K389"/>
      <c r="L389"/>
      <c r="N389" s="1"/>
    </row>
    <row r="390" spans="1:14" x14ac:dyDescent="0.25">
      <c r="A390" s="5" t="s">
        <v>477</v>
      </c>
      <c r="B390" s="5" t="s">
        <v>897</v>
      </c>
      <c r="C390" s="5"/>
      <c r="D390" s="5">
        <v>138.74</v>
      </c>
      <c r="E390" s="5" t="s">
        <v>1020</v>
      </c>
      <c r="F390" s="7">
        <v>0</v>
      </c>
      <c r="I390"/>
      <c r="J390" s="10">
        <f t="shared" si="85"/>
        <v>0</v>
      </c>
      <c r="K390"/>
      <c r="L390"/>
      <c r="N390" s="1"/>
    </row>
    <row r="391" spans="1:14" x14ac:dyDescent="0.25">
      <c r="A391" s="5" t="s">
        <v>478</v>
      </c>
      <c r="B391" s="5" t="s">
        <v>898</v>
      </c>
      <c r="C391" s="5"/>
      <c r="D391" s="5">
        <v>160.12</v>
      </c>
      <c r="E391" s="5" t="s">
        <v>1020</v>
      </c>
      <c r="F391" s="7">
        <v>0</v>
      </c>
      <c r="I391"/>
      <c r="J391" s="10">
        <f t="shared" si="85"/>
        <v>0</v>
      </c>
      <c r="K391"/>
      <c r="L391"/>
      <c r="N391" s="1"/>
    </row>
    <row r="392" spans="1:14" x14ac:dyDescent="0.25">
      <c r="A392" s="5" t="s">
        <v>479</v>
      </c>
      <c r="B392" s="5" t="s">
        <v>899</v>
      </c>
      <c r="C392" s="5">
        <f>VLOOKUP(A392,[2]Hoja2!$A:$F,6,0)</f>
        <v>40.1</v>
      </c>
      <c r="D392" s="5">
        <v>31.05</v>
      </c>
      <c r="E392" s="5" t="s">
        <v>1020</v>
      </c>
      <c r="F392" s="7">
        <v>3</v>
      </c>
      <c r="H392" s="18">
        <v>1</v>
      </c>
      <c r="I392" s="19">
        <f t="shared" ref="I392:I394" si="87">+F392-G392-H392</f>
        <v>2</v>
      </c>
      <c r="J392" s="10">
        <f t="shared" si="85"/>
        <v>0</v>
      </c>
      <c r="K392">
        <f t="shared" ref="K392:K394" si="88">+H392*D392</f>
        <v>31.05</v>
      </c>
      <c r="L392" t="s">
        <v>1042</v>
      </c>
      <c r="N392" s="1"/>
    </row>
    <row r="393" spans="1:14" x14ac:dyDescent="0.25">
      <c r="A393" s="5" t="s">
        <v>480</v>
      </c>
      <c r="B393" s="5" t="s">
        <v>900</v>
      </c>
      <c r="C393" s="5">
        <f>VLOOKUP(A393,[2]Hoja2!$A:$F,6,0)</f>
        <v>60.81</v>
      </c>
      <c r="D393" s="5">
        <v>48.14</v>
      </c>
      <c r="E393" s="5" t="s">
        <v>1020</v>
      </c>
      <c r="F393" s="7">
        <v>1</v>
      </c>
      <c r="H393" s="11">
        <v>1</v>
      </c>
      <c r="I393" s="19">
        <f t="shared" si="87"/>
        <v>0</v>
      </c>
      <c r="J393" s="10">
        <f t="shared" si="85"/>
        <v>0</v>
      </c>
      <c r="K393">
        <f t="shared" si="88"/>
        <v>48.14</v>
      </c>
      <c r="L393" t="s">
        <v>1042</v>
      </c>
      <c r="N393" s="1"/>
    </row>
    <row r="394" spans="1:14" x14ac:dyDescent="0.25">
      <c r="A394" s="5" t="s">
        <v>481</v>
      </c>
      <c r="B394" s="5" t="s">
        <v>901</v>
      </c>
      <c r="C394" s="5">
        <f>VLOOKUP(A394,[2]Hoja2!$A:$F,6,0)</f>
        <v>72.349999999999994</v>
      </c>
      <c r="D394" s="5">
        <v>57.9</v>
      </c>
      <c r="E394" s="5" t="s">
        <v>1020</v>
      </c>
      <c r="F394" s="7">
        <v>3</v>
      </c>
      <c r="H394" s="11">
        <v>1</v>
      </c>
      <c r="I394" s="19">
        <f t="shared" si="87"/>
        <v>2</v>
      </c>
      <c r="J394" s="10">
        <f t="shared" si="85"/>
        <v>0</v>
      </c>
      <c r="K394">
        <f t="shared" si="88"/>
        <v>57.9</v>
      </c>
      <c r="L394" t="s">
        <v>1042</v>
      </c>
      <c r="N394" s="1"/>
    </row>
    <row r="395" spans="1:14" x14ac:dyDescent="0.25">
      <c r="A395" s="5" t="s">
        <v>482</v>
      </c>
      <c r="B395" s="5" t="s">
        <v>902</v>
      </c>
      <c r="C395" s="5"/>
      <c r="D395" s="5">
        <v>86.42</v>
      </c>
      <c r="E395" s="5" t="s">
        <v>1020</v>
      </c>
      <c r="F395" s="7">
        <v>0</v>
      </c>
      <c r="I395"/>
      <c r="J395" s="10">
        <f t="shared" si="85"/>
        <v>0</v>
      </c>
      <c r="K395"/>
      <c r="L395"/>
      <c r="N395" s="1"/>
    </row>
    <row r="396" spans="1:14" x14ac:dyDescent="0.25">
      <c r="A396" s="5" t="s">
        <v>483</v>
      </c>
      <c r="B396" s="5" t="s">
        <v>903</v>
      </c>
      <c r="C396" s="5">
        <f>VLOOKUP(A396,[2]Hoja2!$A:$F,6,0)</f>
        <v>164.07</v>
      </c>
      <c r="D396" s="5">
        <v>118.46</v>
      </c>
      <c r="E396" s="5" t="s">
        <v>1020</v>
      </c>
      <c r="F396" s="7">
        <v>3</v>
      </c>
      <c r="G396">
        <v>3</v>
      </c>
      <c r="J396" s="10">
        <f t="shared" si="85"/>
        <v>0</v>
      </c>
      <c r="K396">
        <f t="shared" ref="K396:K398" si="89">+H396*D396</f>
        <v>0</v>
      </c>
      <c r="L396"/>
      <c r="N396" s="1"/>
    </row>
    <row r="397" spans="1:14" x14ac:dyDescent="0.25">
      <c r="A397" s="5" t="s">
        <v>484</v>
      </c>
      <c r="B397" s="5" t="s">
        <v>904</v>
      </c>
      <c r="C397" s="5">
        <f>VLOOKUP(A397,[2]Hoja2!$A:$F,6,0)</f>
        <v>134.44999999999999</v>
      </c>
      <c r="D397" s="5">
        <v>102.44</v>
      </c>
      <c r="E397" s="5" t="s">
        <v>1020</v>
      </c>
      <c r="F397" s="7">
        <v>2</v>
      </c>
      <c r="G397">
        <v>2</v>
      </c>
      <c r="J397" s="10">
        <f t="shared" si="85"/>
        <v>0</v>
      </c>
      <c r="K397">
        <f t="shared" si="89"/>
        <v>0</v>
      </c>
      <c r="L397"/>
      <c r="N397" s="1"/>
    </row>
    <row r="398" spans="1:14" x14ac:dyDescent="0.25">
      <c r="A398" s="5" t="s">
        <v>485</v>
      </c>
      <c r="B398" s="5" t="s">
        <v>905</v>
      </c>
      <c r="C398" s="5">
        <f>VLOOKUP(A398,[2]Hoja2!$A:$F,6,0)</f>
        <v>45.2</v>
      </c>
      <c r="D398" s="5">
        <v>37.42</v>
      </c>
      <c r="E398" s="5" t="s">
        <v>1020</v>
      </c>
      <c r="F398" s="7">
        <v>7</v>
      </c>
      <c r="H398" s="11">
        <v>1</v>
      </c>
      <c r="I398" s="19">
        <f>+F398-G398-H398</f>
        <v>6</v>
      </c>
      <c r="J398" s="10">
        <f t="shared" si="85"/>
        <v>0</v>
      </c>
      <c r="K398">
        <f>+H398*D398</f>
        <v>37.42</v>
      </c>
      <c r="L398" t="s">
        <v>1042</v>
      </c>
      <c r="N398" s="1"/>
    </row>
    <row r="399" spans="1:14" x14ac:dyDescent="0.25">
      <c r="A399" s="5" t="s">
        <v>486</v>
      </c>
      <c r="B399" s="5" t="s">
        <v>906</v>
      </c>
      <c r="C399" s="5"/>
      <c r="D399" s="5">
        <v>37.43</v>
      </c>
      <c r="E399" s="5" t="s">
        <v>1020</v>
      </c>
      <c r="F399" s="7">
        <v>0</v>
      </c>
      <c r="I399"/>
      <c r="J399" s="10">
        <f t="shared" si="85"/>
        <v>0</v>
      </c>
      <c r="K399"/>
      <c r="L399"/>
      <c r="N399" s="1"/>
    </row>
    <row r="400" spans="1:14" x14ac:dyDescent="0.25">
      <c r="A400" s="5" t="s">
        <v>487</v>
      </c>
      <c r="B400" s="5" t="s">
        <v>907</v>
      </c>
      <c r="C400" s="5"/>
      <c r="D400" s="5">
        <v>74.83</v>
      </c>
      <c r="E400" s="5" t="s">
        <v>1020</v>
      </c>
      <c r="F400" s="7">
        <v>0</v>
      </c>
      <c r="I400"/>
      <c r="J400" s="10">
        <f t="shared" si="85"/>
        <v>0</v>
      </c>
      <c r="K400"/>
      <c r="L400"/>
      <c r="N400" s="1"/>
    </row>
    <row r="401" spans="1:14" x14ac:dyDescent="0.25">
      <c r="A401" s="5" t="s">
        <v>488</v>
      </c>
      <c r="B401" s="5" t="s">
        <v>908</v>
      </c>
      <c r="C401" s="5">
        <f>VLOOKUP(A401,[2]Hoja2!$A:$F,6,0)</f>
        <v>29.39</v>
      </c>
      <c r="D401" s="5">
        <v>22.35</v>
      </c>
      <c r="E401" s="5" t="s">
        <v>1020</v>
      </c>
      <c r="F401" s="7">
        <v>1</v>
      </c>
      <c r="G401">
        <v>1</v>
      </c>
      <c r="J401" s="10">
        <f t="shared" si="85"/>
        <v>0</v>
      </c>
      <c r="K401">
        <f>+H401*D401</f>
        <v>0</v>
      </c>
      <c r="L401"/>
      <c r="N401" s="1"/>
    </row>
    <row r="402" spans="1:14" x14ac:dyDescent="0.25">
      <c r="A402" s="5" t="s">
        <v>489</v>
      </c>
      <c r="B402" s="5" t="s">
        <v>909</v>
      </c>
      <c r="C402" s="5"/>
      <c r="D402" s="5">
        <v>22.35</v>
      </c>
      <c r="E402" s="5" t="s">
        <v>1020</v>
      </c>
      <c r="F402" s="7">
        <v>0</v>
      </c>
      <c r="I402"/>
      <c r="J402" s="10">
        <f t="shared" si="85"/>
        <v>0</v>
      </c>
      <c r="K402"/>
      <c r="L402"/>
      <c r="N402" s="1"/>
    </row>
    <row r="403" spans="1:14" x14ac:dyDescent="0.25">
      <c r="A403" s="5" t="s">
        <v>490</v>
      </c>
      <c r="B403" s="5" t="s">
        <v>910</v>
      </c>
      <c r="C403" s="5">
        <f>VLOOKUP(A403,[2]Hoja2!$A:$F,6,0)</f>
        <v>29.39</v>
      </c>
      <c r="D403" s="5">
        <v>22.35</v>
      </c>
      <c r="E403" s="5" t="s">
        <v>1020</v>
      </c>
      <c r="F403" s="7">
        <v>6</v>
      </c>
      <c r="H403" s="18">
        <v>1</v>
      </c>
      <c r="I403" s="19">
        <f>+F403-G403-H403</f>
        <v>5</v>
      </c>
      <c r="J403" s="10">
        <f t="shared" si="85"/>
        <v>0</v>
      </c>
      <c r="K403">
        <f>+H403*D403</f>
        <v>22.35</v>
      </c>
      <c r="L403" t="s">
        <v>1042</v>
      </c>
      <c r="N403" s="1"/>
    </row>
    <row r="404" spans="1:14" x14ac:dyDescent="0.25">
      <c r="A404" s="5" t="s">
        <v>491</v>
      </c>
      <c r="B404" s="5" t="s">
        <v>911</v>
      </c>
      <c r="C404" s="5">
        <f>VLOOKUP(A404,[2]Hoja2!$A:$F,6,0)</f>
        <v>93.15</v>
      </c>
      <c r="D404" s="5">
        <v>76.819999999999993</v>
      </c>
      <c r="E404" s="5" t="s">
        <v>1020</v>
      </c>
      <c r="F404" s="7">
        <v>2</v>
      </c>
      <c r="G404">
        <v>2</v>
      </c>
      <c r="J404" s="10">
        <f t="shared" si="85"/>
        <v>0</v>
      </c>
      <c r="K404">
        <f t="shared" ref="K403:K407" si="90">+H404*D404</f>
        <v>0</v>
      </c>
      <c r="L404"/>
      <c r="N404" s="1"/>
    </row>
    <row r="405" spans="1:14" x14ac:dyDescent="0.25">
      <c r="A405" s="5" t="s">
        <v>492</v>
      </c>
      <c r="B405" s="5" t="s">
        <v>912</v>
      </c>
      <c r="C405" s="5">
        <f>VLOOKUP(A405,[2]Hoja2!$A:$F,6,0)</f>
        <v>93.15</v>
      </c>
      <c r="D405" s="5">
        <v>76.819999999999993</v>
      </c>
      <c r="E405" s="5" t="s">
        <v>1020</v>
      </c>
      <c r="F405" s="7">
        <v>3</v>
      </c>
      <c r="G405">
        <v>3</v>
      </c>
      <c r="J405" s="10">
        <f t="shared" si="85"/>
        <v>0</v>
      </c>
      <c r="K405">
        <f t="shared" si="90"/>
        <v>0</v>
      </c>
      <c r="L405"/>
      <c r="N405" s="1"/>
    </row>
    <row r="406" spans="1:14" x14ac:dyDescent="0.25">
      <c r="A406" s="5" t="s">
        <v>493</v>
      </c>
      <c r="B406" s="5" t="s">
        <v>913</v>
      </c>
      <c r="C406" s="5">
        <f>VLOOKUP(A406,[2]Hoja2!$A:$F,6,0)</f>
        <v>184.26</v>
      </c>
      <c r="D406" s="5">
        <v>153.69999999999999</v>
      </c>
      <c r="E406" s="5" t="s">
        <v>1020</v>
      </c>
      <c r="F406" s="7">
        <v>2</v>
      </c>
      <c r="G406">
        <v>2</v>
      </c>
      <c r="J406" s="10">
        <f t="shared" si="85"/>
        <v>0</v>
      </c>
      <c r="K406">
        <f t="shared" si="90"/>
        <v>0</v>
      </c>
      <c r="L406"/>
      <c r="N406" s="1"/>
    </row>
    <row r="407" spans="1:14" x14ac:dyDescent="0.25">
      <c r="A407" s="5" t="s">
        <v>494</v>
      </c>
      <c r="B407" s="5" t="s">
        <v>914</v>
      </c>
      <c r="C407" s="5">
        <f>VLOOKUP(A407,[2]Hoja2!$A:$F,6,0)</f>
        <v>215.23</v>
      </c>
      <c r="D407" s="5">
        <v>191.56</v>
      </c>
      <c r="E407" s="5" t="s">
        <v>1020</v>
      </c>
      <c r="F407" s="7">
        <v>1</v>
      </c>
      <c r="G407">
        <v>1</v>
      </c>
      <c r="J407" s="10">
        <f t="shared" si="85"/>
        <v>0</v>
      </c>
      <c r="K407">
        <f t="shared" si="90"/>
        <v>0</v>
      </c>
      <c r="L407"/>
      <c r="N407" s="1"/>
    </row>
    <row r="408" spans="1:14" x14ac:dyDescent="0.25">
      <c r="A408" s="5" t="s">
        <v>495</v>
      </c>
      <c r="B408" s="5" t="s">
        <v>915</v>
      </c>
      <c r="C408" s="5"/>
      <c r="D408" s="5">
        <v>12.4</v>
      </c>
      <c r="E408" s="5" t="s">
        <v>1021</v>
      </c>
      <c r="F408" s="7">
        <v>0</v>
      </c>
      <c r="I408"/>
      <c r="J408" s="10">
        <f t="shared" si="85"/>
        <v>0</v>
      </c>
      <c r="K408"/>
      <c r="L408"/>
      <c r="N408" s="1"/>
    </row>
    <row r="409" spans="1:14" x14ac:dyDescent="0.25">
      <c r="A409" s="5" t="s">
        <v>496</v>
      </c>
      <c r="B409" s="5" t="s">
        <v>916</v>
      </c>
      <c r="C409" s="5"/>
      <c r="D409" s="5">
        <v>11.84</v>
      </c>
      <c r="E409" s="5" t="s">
        <v>1021</v>
      </c>
      <c r="F409" s="7">
        <v>0</v>
      </c>
      <c r="I409"/>
      <c r="J409" s="10">
        <f t="shared" si="85"/>
        <v>0</v>
      </c>
      <c r="K409"/>
      <c r="L409"/>
      <c r="N409" s="1"/>
    </row>
    <row r="410" spans="1:14" x14ac:dyDescent="0.25">
      <c r="A410" s="5" t="s">
        <v>497</v>
      </c>
      <c r="B410" s="5" t="s">
        <v>917</v>
      </c>
      <c r="C410" s="5"/>
      <c r="D410" s="5">
        <v>12.32</v>
      </c>
      <c r="E410" s="5" t="s">
        <v>1021</v>
      </c>
      <c r="F410" s="7">
        <v>0</v>
      </c>
      <c r="I410"/>
      <c r="J410" s="10">
        <f t="shared" si="85"/>
        <v>0</v>
      </c>
      <c r="K410"/>
      <c r="L410"/>
      <c r="N410" s="1"/>
    </row>
    <row r="411" spans="1:14" x14ac:dyDescent="0.25">
      <c r="A411" s="5" t="s">
        <v>498</v>
      </c>
      <c r="B411" s="5" t="s">
        <v>918</v>
      </c>
      <c r="C411" s="5"/>
      <c r="D411" s="5">
        <v>11.84</v>
      </c>
      <c r="E411" s="5" t="s">
        <v>1021</v>
      </c>
      <c r="F411" s="7">
        <v>0</v>
      </c>
      <c r="I411"/>
      <c r="J411" s="10">
        <f t="shared" si="85"/>
        <v>0</v>
      </c>
      <c r="K411"/>
      <c r="L411"/>
      <c r="N411" s="1"/>
    </row>
    <row r="412" spans="1:14" x14ac:dyDescent="0.25">
      <c r="A412" s="5" t="s">
        <v>36</v>
      </c>
      <c r="B412" s="5" t="s">
        <v>37</v>
      </c>
      <c r="C412" s="5"/>
      <c r="D412" s="5">
        <v>2.67</v>
      </c>
      <c r="E412" s="5" t="s">
        <v>1022</v>
      </c>
      <c r="F412" s="7">
        <v>0</v>
      </c>
      <c r="I412"/>
      <c r="J412" s="10">
        <f t="shared" si="85"/>
        <v>0</v>
      </c>
      <c r="K412"/>
      <c r="L412"/>
      <c r="N412" s="1"/>
    </row>
    <row r="413" spans="1:14" x14ac:dyDescent="0.25">
      <c r="A413" s="5" t="s">
        <v>499</v>
      </c>
      <c r="B413" s="5" t="s">
        <v>919</v>
      </c>
      <c r="C413" s="5">
        <f>VLOOKUP(A413,[2]Hoja2!$A:$F,6,0)</f>
        <v>2.54</v>
      </c>
      <c r="D413" s="5">
        <v>2.67</v>
      </c>
      <c r="E413" s="5" t="s">
        <v>1022</v>
      </c>
      <c r="F413" s="7">
        <v>5</v>
      </c>
      <c r="G413">
        <v>5</v>
      </c>
      <c r="J413" s="10">
        <f t="shared" si="85"/>
        <v>0</v>
      </c>
      <c r="K413">
        <f>+H413*D413</f>
        <v>0</v>
      </c>
      <c r="L413"/>
      <c r="N413" s="1"/>
    </row>
    <row r="414" spans="1:14" x14ac:dyDescent="0.25">
      <c r="A414" s="5" t="s">
        <v>500</v>
      </c>
      <c r="B414" s="5" t="s">
        <v>920</v>
      </c>
      <c r="C414" s="5"/>
      <c r="D414" s="5">
        <v>0</v>
      </c>
      <c r="E414" s="5" t="s">
        <v>1023</v>
      </c>
      <c r="F414" s="7">
        <v>0</v>
      </c>
      <c r="I414"/>
      <c r="J414" s="10">
        <f t="shared" si="85"/>
        <v>0</v>
      </c>
      <c r="K414"/>
      <c r="L414"/>
      <c r="N414" s="1"/>
    </row>
    <row r="415" spans="1:14" x14ac:dyDescent="0.25">
      <c r="A415" s="5" t="s">
        <v>501</v>
      </c>
      <c r="B415" s="5" t="s">
        <v>921</v>
      </c>
      <c r="C415" s="5"/>
      <c r="D415" s="5">
        <v>31.03</v>
      </c>
      <c r="E415" s="5" t="s">
        <v>1024</v>
      </c>
      <c r="F415" s="7">
        <v>0</v>
      </c>
      <c r="I415"/>
      <c r="J415" s="10">
        <f t="shared" si="85"/>
        <v>0</v>
      </c>
      <c r="K415"/>
      <c r="L415"/>
      <c r="N415" s="1"/>
    </row>
    <row r="416" spans="1:14" x14ac:dyDescent="0.25">
      <c r="A416" s="5" t="s">
        <v>103</v>
      </c>
      <c r="B416" s="5" t="s">
        <v>104</v>
      </c>
      <c r="C416" s="5"/>
      <c r="D416" s="5">
        <v>11.7</v>
      </c>
      <c r="E416" s="5" t="s">
        <v>1024</v>
      </c>
      <c r="F416" s="7">
        <v>0</v>
      </c>
      <c r="I416"/>
      <c r="J416" s="10">
        <f t="shared" si="85"/>
        <v>0</v>
      </c>
      <c r="K416"/>
      <c r="L416"/>
      <c r="N416" s="1"/>
    </row>
    <row r="417" spans="1:14" x14ac:dyDescent="0.25">
      <c r="A417" s="5" t="s">
        <v>502</v>
      </c>
      <c r="B417" s="5" t="s">
        <v>922</v>
      </c>
      <c r="C417" s="5"/>
      <c r="D417" s="5">
        <v>25.83</v>
      </c>
      <c r="E417" s="5" t="s">
        <v>1024</v>
      </c>
      <c r="F417" s="7">
        <v>0</v>
      </c>
      <c r="I417"/>
      <c r="J417" s="10">
        <f t="shared" si="85"/>
        <v>0</v>
      </c>
      <c r="K417"/>
      <c r="L417"/>
      <c r="N417" s="1"/>
    </row>
    <row r="418" spans="1:14" x14ac:dyDescent="0.25">
      <c r="A418" s="5" t="s">
        <v>105</v>
      </c>
      <c r="B418" s="5" t="s">
        <v>106</v>
      </c>
      <c r="C418" s="5"/>
      <c r="D418" s="5">
        <v>29.47</v>
      </c>
      <c r="E418" s="5" t="s">
        <v>1024</v>
      </c>
      <c r="F418" s="7">
        <v>0</v>
      </c>
      <c r="I418"/>
      <c r="J418" s="10">
        <f t="shared" si="85"/>
        <v>0</v>
      </c>
      <c r="K418"/>
      <c r="L418"/>
      <c r="N418" s="1"/>
    </row>
    <row r="419" spans="1:14" x14ac:dyDescent="0.25">
      <c r="A419" s="5" t="s">
        <v>503</v>
      </c>
      <c r="B419" s="5" t="s">
        <v>923</v>
      </c>
      <c r="C419" s="5"/>
      <c r="D419" s="5">
        <v>29.47</v>
      </c>
      <c r="E419" s="5" t="s">
        <v>1024</v>
      </c>
      <c r="F419" s="7">
        <v>0</v>
      </c>
      <c r="I419"/>
      <c r="J419" s="10">
        <f t="shared" si="85"/>
        <v>0</v>
      </c>
      <c r="K419"/>
      <c r="L419"/>
      <c r="N419" s="1"/>
    </row>
    <row r="420" spans="1:14" x14ac:dyDescent="0.25">
      <c r="A420" s="5" t="s">
        <v>504</v>
      </c>
      <c r="B420" s="5" t="s">
        <v>924</v>
      </c>
      <c r="C420" s="5">
        <f>VLOOKUP(A420,[2]Hoja2!$A:$F,6,0)</f>
        <v>13.06</v>
      </c>
      <c r="D420" s="5">
        <v>11.14</v>
      </c>
      <c r="E420" s="5" t="s">
        <v>1024</v>
      </c>
      <c r="F420" s="7">
        <v>1</v>
      </c>
      <c r="G420">
        <v>1</v>
      </c>
      <c r="J420" s="10">
        <f t="shared" si="85"/>
        <v>0</v>
      </c>
      <c r="K420">
        <f>+H420*D420</f>
        <v>0</v>
      </c>
      <c r="L420"/>
      <c r="N420" s="1"/>
    </row>
    <row r="421" spans="1:14" x14ac:dyDescent="0.25">
      <c r="A421" s="5" t="s">
        <v>107</v>
      </c>
      <c r="B421" s="5" t="s">
        <v>108</v>
      </c>
      <c r="C421" s="5"/>
      <c r="D421" s="5">
        <v>29.47</v>
      </c>
      <c r="E421" s="5" t="s">
        <v>1024</v>
      </c>
      <c r="F421" s="7">
        <v>0</v>
      </c>
      <c r="I421"/>
      <c r="J421" s="10">
        <f t="shared" si="85"/>
        <v>0</v>
      </c>
      <c r="K421"/>
      <c r="L421"/>
      <c r="N421" s="1"/>
    </row>
    <row r="422" spans="1:14" x14ac:dyDescent="0.25">
      <c r="A422" s="5" t="s">
        <v>505</v>
      </c>
      <c r="B422" s="5" t="s">
        <v>925</v>
      </c>
      <c r="C422" s="5"/>
      <c r="D422" s="5">
        <v>6.81</v>
      </c>
      <c r="E422" s="5" t="s">
        <v>1024</v>
      </c>
      <c r="F422" s="7">
        <v>0</v>
      </c>
      <c r="I422"/>
      <c r="J422" s="10">
        <f t="shared" si="85"/>
        <v>0</v>
      </c>
      <c r="K422"/>
      <c r="L422"/>
      <c r="N422" s="1"/>
    </row>
    <row r="423" spans="1:14" x14ac:dyDescent="0.25">
      <c r="A423" s="5" t="s">
        <v>506</v>
      </c>
      <c r="B423" s="5" t="s">
        <v>926</v>
      </c>
      <c r="C423" s="5"/>
      <c r="D423" s="5">
        <v>6.81</v>
      </c>
      <c r="E423" s="5" t="s">
        <v>1024</v>
      </c>
      <c r="F423" s="7">
        <v>0</v>
      </c>
      <c r="I423"/>
      <c r="J423" s="10">
        <f t="shared" si="85"/>
        <v>0</v>
      </c>
      <c r="K423"/>
      <c r="L423"/>
      <c r="N423" s="1"/>
    </row>
    <row r="424" spans="1:14" x14ac:dyDescent="0.25">
      <c r="A424" s="5" t="s">
        <v>56</v>
      </c>
      <c r="B424" s="5" t="s">
        <v>57</v>
      </c>
      <c r="C424" s="5"/>
      <c r="D424" s="5">
        <v>21.52</v>
      </c>
      <c r="E424" s="5" t="s">
        <v>1024</v>
      </c>
      <c r="F424" s="7">
        <v>0</v>
      </c>
      <c r="I424"/>
      <c r="J424" s="10">
        <f t="shared" si="85"/>
        <v>0</v>
      </c>
      <c r="K424"/>
      <c r="L424"/>
      <c r="N424" s="1"/>
    </row>
    <row r="425" spans="1:14" x14ac:dyDescent="0.25">
      <c r="A425" s="5" t="s">
        <v>507</v>
      </c>
      <c r="B425" s="5" t="s">
        <v>927</v>
      </c>
      <c r="C425" s="5">
        <f>VLOOKUP(A425,[2]Hoja2!$A:$F,6,0)</f>
        <v>24.99</v>
      </c>
      <c r="D425" s="5">
        <v>21.52</v>
      </c>
      <c r="E425" s="9" t="s">
        <v>1024</v>
      </c>
      <c r="F425" s="7">
        <v>1</v>
      </c>
      <c r="H425" s="11">
        <v>1</v>
      </c>
      <c r="I425" s="19">
        <f t="shared" ref="I425:I426" si="91">+F425-G425-H425</f>
        <v>0</v>
      </c>
      <c r="J425" s="10">
        <f t="shared" si="85"/>
        <v>0</v>
      </c>
      <c r="K425">
        <f t="shared" ref="K425:K426" si="92">+H425*D425</f>
        <v>21.52</v>
      </c>
      <c r="L425" t="s">
        <v>1043</v>
      </c>
      <c r="N425" s="1"/>
    </row>
    <row r="426" spans="1:14" x14ac:dyDescent="0.25">
      <c r="A426" s="9" t="s">
        <v>508</v>
      </c>
      <c r="B426" s="5" t="s">
        <v>928</v>
      </c>
      <c r="C426" s="5">
        <v>25.16</v>
      </c>
      <c r="D426" s="5">
        <v>22.46</v>
      </c>
      <c r="E426" s="9" t="s">
        <v>1024</v>
      </c>
      <c r="F426" s="7">
        <v>4</v>
      </c>
      <c r="G426" s="5"/>
      <c r="H426" s="18">
        <v>1</v>
      </c>
      <c r="I426" s="19">
        <f t="shared" si="91"/>
        <v>3</v>
      </c>
      <c r="J426" s="10">
        <f t="shared" si="85"/>
        <v>0</v>
      </c>
      <c r="K426">
        <f t="shared" si="92"/>
        <v>22.46</v>
      </c>
      <c r="L426" t="s">
        <v>1043</v>
      </c>
      <c r="N426" s="1"/>
    </row>
    <row r="427" spans="1:14" x14ac:dyDescent="0.25">
      <c r="A427" s="5" t="s">
        <v>509</v>
      </c>
      <c r="B427" s="5" t="s">
        <v>929</v>
      </c>
      <c r="C427" s="5">
        <f>VLOOKUP(A427,[2]Hoja2!$A:$F,6,0)</f>
        <v>42.73</v>
      </c>
      <c r="D427" s="5">
        <v>36.46</v>
      </c>
      <c r="E427" s="5" t="s">
        <v>1024</v>
      </c>
      <c r="F427" s="7">
        <v>1</v>
      </c>
      <c r="G427">
        <v>1</v>
      </c>
      <c r="J427" s="10">
        <f t="shared" si="85"/>
        <v>0</v>
      </c>
      <c r="K427">
        <f t="shared" ref="K427:K430" si="93">+H427*D427</f>
        <v>0</v>
      </c>
      <c r="L427"/>
      <c r="N427" s="1"/>
    </row>
    <row r="428" spans="1:14" x14ac:dyDescent="0.25">
      <c r="A428" s="5" t="s">
        <v>510</v>
      </c>
      <c r="B428" s="5" t="s">
        <v>930</v>
      </c>
      <c r="C428" s="5">
        <f>VLOOKUP(A428,[2]Hoja2!$A:$F,6,0)</f>
        <v>42.73</v>
      </c>
      <c r="D428" s="5">
        <v>36.46</v>
      </c>
      <c r="E428" s="5" t="s">
        <v>1024</v>
      </c>
      <c r="F428" s="7">
        <v>1</v>
      </c>
      <c r="G428">
        <v>1</v>
      </c>
      <c r="J428" s="10">
        <f t="shared" si="85"/>
        <v>0</v>
      </c>
      <c r="K428">
        <f t="shared" si="93"/>
        <v>0</v>
      </c>
      <c r="L428"/>
      <c r="N428" s="1"/>
    </row>
    <row r="429" spans="1:14" x14ac:dyDescent="0.25">
      <c r="A429" s="5" t="s">
        <v>511</v>
      </c>
      <c r="B429" s="5" t="s">
        <v>931</v>
      </c>
      <c r="C429" s="5">
        <f>VLOOKUP(A429,[2]Hoja2!$A:$F,6,0)</f>
        <v>42.73</v>
      </c>
      <c r="D429" s="5">
        <v>36.46</v>
      </c>
      <c r="E429" s="5" t="s">
        <v>1024</v>
      </c>
      <c r="F429" s="7">
        <v>1</v>
      </c>
      <c r="G429">
        <v>1</v>
      </c>
      <c r="J429" s="10">
        <f t="shared" si="85"/>
        <v>0</v>
      </c>
      <c r="K429">
        <f t="shared" si="93"/>
        <v>0</v>
      </c>
      <c r="L429"/>
      <c r="N429" s="1"/>
    </row>
    <row r="430" spans="1:14" x14ac:dyDescent="0.25">
      <c r="A430" s="5" t="s">
        <v>512</v>
      </c>
      <c r="B430" s="5" t="s">
        <v>932</v>
      </c>
      <c r="C430" s="5">
        <f>VLOOKUP(A430,[2]Hoja2!$A:$F,6,0)</f>
        <v>73.569999999999993</v>
      </c>
      <c r="D430" s="5">
        <v>62.78</v>
      </c>
      <c r="E430" s="5" t="s">
        <v>1024</v>
      </c>
      <c r="F430" s="7">
        <v>2</v>
      </c>
      <c r="G430">
        <v>2</v>
      </c>
      <c r="J430" s="10">
        <f t="shared" si="85"/>
        <v>0</v>
      </c>
      <c r="K430">
        <f t="shared" si="93"/>
        <v>0</v>
      </c>
      <c r="L430"/>
      <c r="N430" s="1"/>
    </row>
    <row r="431" spans="1:14" x14ac:dyDescent="0.25">
      <c r="A431" s="5" t="s">
        <v>513</v>
      </c>
      <c r="B431" s="5" t="s">
        <v>933</v>
      </c>
      <c r="C431" s="5">
        <f>VLOOKUP(A431,[2]Hoja2!$A:$F,6,0)</f>
        <v>33.31</v>
      </c>
      <c r="D431" s="5">
        <v>28.42</v>
      </c>
      <c r="E431" s="9" t="s">
        <v>1024</v>
      </c>
      <c r="F431" s="7">
        <v>4</v>
      </c>
      <c r="H431" s="18">
        <v>1</v>
      </c>
      <c r="I431" s="19">
        <f>+F431-G431-H431</f>
        <v>3</v>
      </c>
      <c r="J431" s="10">
        <f t="shared" si="85"/>
        <v>0</v>
      </c>
      <c r="K431">
        <f>+H431*D431</f>
        <v>28.42</v>
      </c>
      <c r="L431" t="s">
        <v>1043</v>
      </c>
      <c r="N431" s="1"/>
    </row>
    <row r="432" spans="1:14" x14ac:dyDescent="0.25">
      <c r="A432" s="5" t="s">
        <v>514</v>
      </c>
      <c r="B432" s="5" t="s">
        <v>934</v>
      </c>
      <c r="C432" s="5">
        <f>VLOOKUP(A432,[2]Hoja2!$A:$F,6,0)</f>
        <v>73.569999999999993</v>
      </c>
      <c r="D432" s="5">
        <v>60.01</v>
      </c>
      <c r="E432" s="5" t="s">
        <v>1024</v>
      </c>
      <c r="F432" s="7">
        <v>4</v>
      </c>
      <c r="G432">
        <v>4</v>
      </c>
      <c r="J432" s="10">
        <f t="shared" si="85"/>
        <v>0</v>
      </c>
      <c r="K432"/>
      <c r="L432"/>
      <c r="N432" s="1"/>
    </row>
    <row r="433" spans="1:14" x14ac:dyDescent="0.25">
      <c r="A433" s="5" t="s">
        <v>515</v>
      </c>
      <c r="B433" s="5" t="s">
        <v>935</v>
      </c>
      <c r="C433" s="5">
        <f>VLOOKUP(A433,[2]Hoja2!$A:$F,6,0)</f>
        <v>33.31</v>
      </c>
      <c r="D433" s="5">
        <v>28.42</v>
      </c>
      <c r="E433" s="5" t="s">
        <v>1024</v>
      </c>
      <c r="F433" s="7">
        <v>3</v>
      </c>
      <c r="G433">
        <v>3</v>
      </c>
      <c r="J433" s="10">
        <f t="shared" si="85"/>
        <v>0</v>
      </c>
      <c r="K433">
        <f t="shared" ref="K433:K440" si="94">+H433*D433</f>
        <v>0</v>
      </c>
      <c r="L433"/>
      <c r="N433" s="1"/>
    </row>
    <row r="434" spans="1:14" x14ac:dyDescent="0.25">
      <c r="A434" s="5" t="s">
        <v>516</v>
      </c>
      <c r="B434" s="5" t="s">
        <v>936</v>
      </c>
      <c r="C434" s="5">
        <f>VLOOKUP(A434,[2]Hoja2!$A:$F,6,0)</f>
        <v>73.569999999999993</v>
      </c>
      <c r="D434" s="5">
        <v>60.01</v>
      </c>
      <c r="E434" s="5" t="s">
        <v>1024</v>
      </c>
      <c r="F434" s="7">
        <v>6</v>
      </c>
      <c r="G434">
        <v>6</v>
      </c>
      <c r="J434" s="10">
        <f t="shared" si="85"/>
        <v>0</v>
      </c>
      <c r="K434">
        <f t="shared" si="94"/>
        <v>0</v>
      </c>
      <c r="L434"/>
      <c r="N434" s="1"/>
    </row>
    <row r="435" spans="1:14" x14ac:dyDescent="0.25">
      <c r="A435" s="5" t="s">
        <v>517</v>
      </c>
      <c r="B435" s="5" t="s">
        <v>937</v>
      </c>
      <c r="C435" s="5">
        <f>VLOOKUP(A435,[2]Hoja2!$A:$F,6,0)</f>
        <v>33.31</v>
      </c>
      <c r="D435" s="5">
        <v>28.42</v>
      </c>
      <c r="E435" s="9" t="s">
        <v>1024</v>
      </c>
      <c r="F435" s="7">
        <v>1</v>
      </c>
      <c r="H435" s="11">
        <v>1</v>
      </c>
      <c r="I435" s="19">
        <f>+F435-G435-H435</f>
        <v>0</v>
      </c>
      <c r="J435" s="10">
        <f t="shared" si="85"/>
        <v>0</v>
      </c>
      <c r="K435">
        <f t="shared" si="94"/>
        <v>28.42</v>
      </c>
      <c r="L435" t="s">
        <v>1043</v>
      </c>
      <c r="N435" s="1"/>
    </row>
    <row r="436" spans="1:14" x14ac:dyDescent="0.25">
      <c r="A436" s="5" t="s">
        <v>518</v>
      </c>
      <c r="B436" s="5" t="s">
        <v>938</v>
      </c>
      <c r="C436" s="5">
        <f>VLOOKUP(A436,[2]Hoja2!$A:$F,6,0)</f>
        <v>19.16</v>
      </c>
      <c r="D436" s="5">
        <v>16.5</v>
      </c>
      <c r="E436" s="5" t="s">
        <v>1024</v>
      </c>
      <c r="F436" s="7">
        <v>1</v>
      </c>
      <c r="G436" s="17">
        <v>1</v>
      </c>
      <c r="J436" s="10">
        <f t="shared" si="85"/>
        <v>0</v>
      </c>
      <c r="K436">
        <f t="shared" si="94"/>
        <v>0</v>
      </c>
      <c r="L436"/>
      <c r="N436" s="1"/>
    </row>
    <row r="437" spans="1:14" x14ac:dyDescent="0.25">
      <c r="A437" s="5" t="s">
        <v>519</v>
      </c>
      <c r="B437" s="5" t="s">
        <v>939</v>
      </c>
      <c r="C437" s="5">
        <f>VLOOKUP(A437,[2]Hoja2!$A:$F,6,0)</f>
        <v>60.58</v>
      </c>
      <c r="D437" s="5">
        <v>52.26</v>
      </c>
      <c r="E437" s="9" t="s">
        <v>1024</v>
      </c>
      <c r="F437" s="7">
        <v>1</v>
      </c>
      <c r="H437" s="11">
        <v>1</v>
      </c>
      <c r="I437" s="19">
        <f>+F437-G437-H437</f>
        <v>0</v>
      </c>
      <c r="J437" s="10">
        <f t="shared" si="85"/>
        <v>0</v>
      </c>
      <c r="K437">
        <f t="shared" si="94"/>
        <v>52.26</v>
      </c>
      <c r="L437" t="s">
        <v>1043</v>
      </c>
      <c r="N437" s="1"/>
    </row>
    <row r="438" spans="1:14" x14ac:dyDescent="0.25">
      <c r="A438" s="5" t="s">
        <v>520</v>
      </c>
      <c r="B438" s="5" t="s">
        <v>940</v>
      </c>
      <c r="C438" s="5">
        <f>VLOOKUP(A438,[2]Hoja2!$A:$F,6,0)</f>
        <v>115.41</v>
      </c>
      <c r="D438" s="5">
        <v>99.55</v>
      </c>
      <c r="E438" s="5" t="s">
        <v>1024</v>
      </c>
      <c r="F438" s="7">
        <v>1</v>
      </c>
      <c r="G438">
        <v>1</v>
      </c>
      <c r="J438" s="10">
        <f t="shared" si="85"/>
        <v>0</v>
      </c>
      <c r="K438">
        <f t="shared" si="94"/>
        <v>0</v>
      </c>
      <c r="L438"/>
      <c r="N438" s="1"/>
    </row>
    <row r="439" spans="1:14" x14ac:dyDescent="0.25">
      <c r="A439" s="5" t="s">
        <v>521</v>
      </c>
      <c r="B439" s="5" t="s">
        <v>941</v>
      </c>
      <c r="C439" s="5">
        <f>VLOOKUP(A439,[2]Hoja2!$A:$F,6,0)</f>
        <v>36.299999999999997</v>
      </c>
      <c r="D439" s="5">
        <v>30</v>
      </c>
      <c r="E439" s="5" t="s">
        <v>1025</v>
      </c>
      <c r="F439" s="7">
        <v>2</v>
      </c>
      <c r="G439">
        <v>2</v>
      </c>
      <c r="J439" s="10">
        <f t="shared" si="85"/>
        <v>0</v>
      </c>
      <c r="K439">
        <f>+H439*D439</f>
        <v>0</v>
      </c>
      <c r="L439"/>
      <c r="N439" s="1"/>
    </row>
    <row r="440" spans="1:14" x14ac:dyDescent="0.25">
      <c r="A440" s="5" t="s">
        <v>522</v>
      </c>
      <c r="B440" s="5" t="s">
        <v>942</v>
      </c>
      <c r="C440" s="5">
        <f>VLOOKUP(A440,[2]Hoja2!$A:$F,6,0)</f>
        <v>47.21</v>
      </c>
      <c r="D440" s="5">
        <v>45.54</v>
      </c>
      <c r="E440" s="5" t="s">
        <v>1025</v>
      </c>
      <c r="F440" s="7">
        <v>2</v>
      </c>
      <c r="G440">
        <v>2</v>
      </c>
      <c r="J440" s="10">
        <f t="shared" si="85"/>
        <v>0</v>
      </c>
      <c r="K440">
        <f t="shared" si="94"/>
        <v>0</v>
      </c>
      <c r="L440"/>
      <c r="N440" s="1"/>
    </row>
    <row r="441" spans="1:14" x14ac:dyDescent="0.25">
      <c r="A441" s="5" t="s">
        <v>523</v>
      </c>
      <c r="B441" s="5" t="s">
        <v>943</v>
      </c>
      <c r="C441" s="5"/>
      <c r="D441" s="5">
        <v>12.1</v>
      </c>
      <c r="E441" s="5" t="s">
        <v>1025</v>
      </c>
      <c r="F441" s="7">
        <v>0</v>
      </c>
      <c r="G441" s="17"/>
      <c r="I441"/>
      <c r="J441" s="10">
        <f t="shared" si="85"/>
        <v>0</v>
      </c>
      <c r="K441"/>
      <c r="L441"/>
      <c r="N441" s="1"/>
    </row>
    <row r="442" spans="1:14" x14ac:dyDescent="0.25">
      <c r="A442" s="5" t="s">
        <v>524</v>
      </c>
      <c r="B442" s="5" t="s">
        <v>944</v>
      </c>
      <c r="C442" s="5">
        <f>VLOOKUP(A442,[2]Hoja2!$A:$F,6,0)</f>
        <v>36.21</v>
      </c>
      <c r="D442" s="5">
        <v>33.08</v>
      </c>
      <c r="E442" s="5" t="s">
        <v>1025</v>
      </c>
      <c r="F442" s="7">
        <v>1</v>
      </c>
      <c r="G442" s="17">
        <v>1</v>
      </c>
      <c r="J442" s="10">
        <f t="shared" si="85"/>
        <v>0</v>
      </c>
      <c r="K442">
        <f>+H442*D442</f>
        <v>0</v>
      </c>
      <c r="L442"/>
      <c r="N442" s="1"/>
    </row>
    <row r="443" spans="1:14" x14ac:dyDescent="0.25">
      <c r="A443" s="5" t="s">
        <v>525</v>
      </c>
      <c r="B443" s="5" t="s">
        <v>945</v>
      </c>
      <c r="C443" s="5"/>
      <c r="D443" s="5">
        <v>11.16</v>
      </c>
      <c r="E443" s="5" t="s">
        <v>1025</v>
      </c>
      <c r="F443" s="7">
        <v>0</v>
      </c>
      <c r="G443" s="17"/>
      <c r="I443"/>
      <c r="J443" s="10">
        <f t="shared" si="85"/>
        <v>0</v>
      </c>
      <c r="K443"/>
      <c r="L443"/>
      <c r="N443" s="1"/>
    </row>
    <row r="444" spans="1:14" x14ac:dyDescent="0.25">
      <c r="A444" s="5" t="s">
        <v>526</v>
      </c>
      <c r="B444" s="5" t="s">
        <v>946</v>
      </c>
      <c r="C444" s="5"/>
      <c r="D444" s="5">
        <v>17.8</v>
      </c>
      <c r="E444" s="5" t="s">
        <v>1025</v>
      </c>
      <c r="F444" s="7">
        <v>0</v>
      </c>
      <c r="G444" s="17"/>
      <c r="I444"/>
      <c r="J444" s="10">
        <f t="shared" si="85"/>
        <v>0</v>
      </c>
      <c r="K444"/>
      <c r="L444"/>
      <c r="N444" s="1"/>
    </row>
    <row r="445" spans="1:14" x14ac:dyDescent="0.25">
      <c r="A445" s="5" t="s">
        <v>527</v>
      </c>
      <c r="B445" s="5" t="s">
        <v>947</v>
      </c>
      <c r="C445" s="5">
        <f>VLOOKUP(A445,[2]Hoja2!$A:$F,6,0)</f>
        <v>47.21</v>
      </c>
      <c r="D445" s="5">
        <v>39.700000000000003</v>
      </c>
      <c r="E445" s="5" t="s">
        <v>1025</v>
      </c>
      <c r="F445" s="7">
        <v>4</v>
      </c>
      <c r="G445" s="17">
        <v>4</v>
      </c>
      <c r="J445" s="10">
        <f t="shared" si="85"/>
        <v>0</v>
      </c>
      <c r="K445"/>
      <c r="L445"/>
      <c r="N445" s="1"/>
    </row>
    <row r="446" spans="1:14" x14ac:dyDescent="0.25">
      <c r="A446" s="5" t="s">
        <v>528</v>
      </c>
      <c r="B446" s="5" t="s">
        <v>948</v>
      </c>
      <c r="C446" s="5">
        <f>VLOOKUP(A446,[2]Hoja2!$A:$F,6,0)</f>
        <v>86.9</v>
      </c>
      <c r="D446" s="5">
        <v>71.099999999999994</v>
      </c>
      <c r="E446" s="5" t="s">
        <v>1025</v>
      </c>
      <c r="F446" s="7">
        <v>5</v>
      </c>
      <c r="G446" s="17">
        <v>5</v>
      </c>
      <c r="J446" s="10">
        <f t="shared" si="85"/>
        <v>0</v>
      </c>
      <c r="K446">
        <f t="shared" ref="K446:K456" si="95">+H446*D446</f>
        <v>0</v>
      </c>
      <c r="L446"/>
      <c r="N446" s="1"/>
    </row>
    <row r="447" spans="1:14" x14ac:dyDescent="0.25">
      <c r="A447" s="5" t="s">
        <v>529</v>
      </c>
      <c r="B447" s="5" t="s">
        <v>949</v>
      </c>
      <c r="C447" s="5">
        <f>VLOOKUP(A447,[2]Hoja2!$A:$F,6,0)</f>
        <v>42.58</v>
      </c>
      <c r="D447" s="5">
        <v>45.53</v>
      </c>
      <c r="E447" s="5" t="s">
        <v>1025</v>
      </c>
      <c r="F447" s="7">
        <v>3</v>
      </c>
      <c r="G447" s="17">
        <v>3</v>
      </c>
      <c r="J447" s="10">
        <f t="shared" si="85"/>
        <v>0</v>
      </c>
      <c r="K447">
        <f t="shared" si="95"/>
        <v>0</v>
      </c>
      <c r="L447"/>
      <c r="N447" s="1"/>
    </row>
    <row r="448" spans="1:14" x14ac:dyDescent="0.25">
      <c r="A448" s="5" t="s">
        <v>530</v>
      </c>
      <c r="B448" s="5" t="s">
        <v>950</v>
      </c>
      <c r="C448" s="5">
        <f>VLOOKUP(A448,[2]Hoja2!$A:$F,6,0)</f>
        <v>47.21</v>
      </c>
      <c r="D448" s="5">
        <v>43</v>
      </c>
      <c r="E448" s="5" t="s">
        <v>1025</v>
      </c>
      <c r="F448" s="7">
        <v>1</v>
      </c>
      <c r="G448" s="17">
        <v>1</v>
      </c>
      <c r="J448" s="10">
        <f t="shared" si="85"/>
        <v>0</v>
      </c>
      <c r="K448">
        <f t="shared" si="95"/>
        <v>0</v>
      </c>
      <c r="L448"/>
      <c r="N448" s="1"/>
    </row>
    <row r="449" spans="1:14" x14ac:dyDescent="0.25">
      <c r="A449" s="5" t="s">
        <v>531</v>
      </c>
      <c r="B449" s="5" t="s">
        <v>951</v>
      </c>
      <c r="C449" s="5">
        <f>VLOOKUP(A449,[2]Hoja2!$A:$F,6,0)</f>
        <v>68.75</v>
      </c>
      <c r="D449" s="5">
        <v>62.5</v>
      </c>
      <c r="E449" s="5" t="s">
        <v>1025</v>
      </c>
      <c r="F449" s="7">
        <v>2</v>
      </c>
      <c r="G449">
        <v>2</v>
      </c>
      <c r="J449" s="10">
        <f t="shared" si="85"/>
        <v>0</v>
      </c>
      <c r="K449">
        <f t="shared" si="95"/>
        <v>0</v>
      </c>
      <c r="L449"/>
      <c r="N449" s="1"/>
    </row>
    <row r="450" spans="1:14" x14ac:dyDescent="0.25">
      <c r="A450" s="5" t="s">
        <v>532</v>
      </c>
      <c r="B450" s="5" t="s">
        <v>952</v>
      </c>
      <c r="C450" s="5">
        <f>VLOOKUP(A450,[2]Hoja2!$A:$F,6,0)</f>
        <v>58.75</v>
      </c>
      <c r="D450" s="5">
        <v>87.38</v>
      </c>
      <c r="E450" s="5" t="s">
        <v>1025</v>
      </c>
      <c r="F450" s="7">
        <v>1</v>
      </c>
      <c r="G450" s="17">
        <v>1</v>
      </c>
      <c r="J450" s="10">
        <f t="shared" si="85"/>
        <v>0</v>
      </c>
      <c r="K450">
        <f t="shared" si="95"/>
        <v>0</v>
      </c>
      <c r="L450"/>
      <c r="N450" s="1"/>
    </row>
    <row r="451" spans="1:14" x14ac:dyDescent="0.25">
      <c r="A451" s="5" t="s">
        <v>533</v>
      </c>
      <c r="B451" s="5" t="s">
        <v>953</v>
      </c>
      <c r="C451" s="5">
        <f>VLOOKUP(A451,[2]Hoja2!$A:$F,6,0)</f>
        <v>60.27</v>
      </c>
      <c r="D451" s="5">
        <v>66.17</v>
      </c>
      <c r="E451" s="5" t="s">
        <v>1025</v>
      </c>
      <c r="F451" s="7">
        <v>2</v>
      </c>
      <c r="H451" s="18">
        <v>1</v>
      </c>
      <c r="I451" s="19">
        <f>+F451-G451-H451</f>
        <v>1</v>
      </c>
      <c r="J451" s="10">
        <f t="shared" ref="J451:J486" si="96">+F451-G451-H451-I451</f>
        <v>0</v>
      </c>
      <c r="K451">
        <f>+H451*D451</f>
        <v>66.17</v>
      </c>
      <c r="L451" t="s">
        <v>1042</v>
      </c>
      <c r="N451" s="1"/>
    </row>
    <row r="452" spans="1:14" x14ac:dyDescent="0.25">
      <c r="A452" s="5" t="s">
        <v>534</v>
      </c>
      <c r="B452" s="5" t="s">
        <v>954</v>
      </c>
      <c r="C452" s="5">
        <f>VLOOKUP(A452,[2]Hoja2!$A:$F,6,0)</f>
        <v>96.37</v>
      </c>
      <c r="D452" s="5">
        <v>68.06</v>
      </c>
      <c r="E452" s="5" t="s">
        <v>1026</v>
      </c>
      <c r="F452" s="7">
        <v>2</v>
      </c>
      <c r="G452">
        <v>2</v>
      </c>
      <c r="J452" s="10">
        <f t="shared" si="96"/>
        <v>0</v>
      </c>
      <c r="K452">
        <f t="shared" si="95"/>
        <v>0</v>
      </c>
      <c r="L452"/>
      <c r="N452" s="1"/>
    </row>
    <row r="453" spans="1:14" x14ac:dyDescent="0.25">
      <c r="A453" s="5" t="s">
        <v>535</v>
      </c>
      <c r="B453" s="5" t="s">
        <v>955</v>
      </c>
      <c r="C453" s="5">
        <f>VLOOKUP(A453,[2]Hoja2!$A:$F,6,0)</f>
        <v>80.040000000000006</v>
      </c>
      <c r="D453" s="5">
        <v>103.87</v>
      </c>
      <c r="E453" s="5" t="s">
        <v>1026</v>
      </c>
      <c r="F453" s="7">
        <v>2</v>
      </c>
      <c r="G453">
        <v>2</v>
      </c>
      <c r="J453" s="10">
        <f t="shared" si="96"/>
        <v>0</v>
      </c>
      <c r="K453">
        <f t="shared" si="95"/>
        <v>0</v>
      </c>
      <c r="L453"/>
      <c r="N453" s="1"/>
    </row>
    <row r="454" spans="1:14" x14ac:dyDescent="0.25">
      <c r="A454" s="5" t="s">
        <v>536</v>
      </c>
      <c r="B454" s="5" t="s">
        <v>956</v>
      </c>
      <c r="C454" s="5">
        <f>VLOOKUP(A454,[2]Hoja2!$A:$F,6,0)</f>
        <v>102.59</v>
      </c>
      <c r="D454" s="5">
        <v>72.45</v>
      </c>
      <c r="E454" s="5" t="s">
        <v>1026</v>
      </c>
      <c r="F454" s="7">
        <v>2</v>
      </c>
      <c r="G454">
        <v>2</v>
      </c>
      <c r="J454" s="10">
        <f t="shared" si="96"/>
        <v>0</v>
      </c>
      <c r="K454">
        <f t="shared" si="95"/>
        <v>0</v>
      </c>
      <c r="L454"/>
      <c r="N454" s="1"/>
    </row>
    <row r="455" spans="1:14" x14ac:dyDescent="0.25">
      <c r="A455" s="5" t="s">
        <v>537</v>
      </c>
      <c r="B455" s="5" t="s">
        <v>957</v>
      </c>
      <c r="C455" s="5">
        <f>VLOOKUP(A455,[2]Hoja2!$A:$F,6,0)</f>
        <v>362.46</v>
      </c>
      <c r="D455" s="5">
        <v>269.68</v>
      </c>
      <c r="E455" s="5" t="s">
        <v>1026</v>
      </c>
      <c r="F455" s="7">
        <v>2</v>
      </c>
      <c r="I455" s="11">
        <v>2</v>
      </c>
      <c r="J455" s="10">
        <f t="shared" si="96"/>
        <v>0</v>
      </c>
      <c r="K455">
        <f t="shared" si="95"/>
        <v>0</v>
      </c>
      <c r="L455"/>
      <c r="N455" s="1"/>
    </row>
    <row r="456" spans="1:14" x14ac:dyDescent="0.25">
      <c r="A456" s="5" t="s">
        <v>538</v>
      </c>
      <c r="B456" s="5" t="s">
        <v>958</v>
      </c>
      <c r="C456" s="5">
        <f>VLOOKUP(A456,[2]Hoja2!$A:$F,6,0)</f>
        <v>13.75</v>
      </c>
      <c r="D456" s="5">
        <v>11.07</v>
      </c>
      <c r="E456" s="9" t="s">
        <v>1027</v>
      </c>
      <c r="F456" s="7">
        <v>1</v>
      </c>
      <c r="H456" s="11">
        <v>1</v>
      </c>
      <c r="I456" s="19">
        <f>+F456-G456-H456</f>
        <v>0</v>
      </c>
      <c r="J456" s="10">
        <f t="shared" si="96"/>
        <v>0</v>
      </c>
      <c r="K456">
        <f>+H456*D456</f>
        <v>11.07</v>
      </c>
      <c r="L456" t="s">
        <v>1043</v>
      </c>
      <c r="N456" s="1"/>
    </row>
    <row r="457" spans="1:14" x14ac:dyDescent="0.25">
      <c r="A457" s="5" t="s">
        <v>26</v>
      </c>
      <c r="B457" s="5" t="s">
        <v>27</v>
      </c>
      <c r="C457" s="5"/>
      <c r="D457" s="5">
        <v>15.22</v>
      </c>
      <c r="E457" s="5" t="s">
        <v>1027</v>
      </c>
      <c r="F457" s="7">
        <v>0</v>
      </c>
      <c r="I457"/>
      <c r="J457" s="10">
        <f t="shared" si="96"/>
        <v>0</v>
      </c>
      <c r="K457"/>
      <c r="L457"/>
      <c r="N457" s="1"/>
    </row>
    <row r="458" spans="1:14" x14ac:dyDescent="0.25">
      <c r="A458" s="5" t="s">
        <v>539</v>
      </c>
      <c r="B458" s="5" t="s">
        <v>959</v>
      </c>
      <c r="C458" s="5">
        <f>VLOOKUP(A458,[2]Hoja2!$A:$F,6,0)</f>
        <v>33.72</v>
      </c>
      <c r="D458" s="5">
        <v>24.76</v>
      </c>
      <c r="E458" s="9" t="s">
        <v>1027</v>
      </c>
      <c r="F458" s="7">
        <v>7</v>
      </c>
      <c r="H458" s="11">
        <v>1</v>
      </c>
      <c r="I458" s="19">
        <f>+F458-G458-H458</f>
        <v>6</v>
      </c>
      <c r="J458" s="10">
        <f t="shared" si="96"/>
        <v>0</v>
      </c>
      <c r="K458">
        <f>+H458*D458</f>
        <v>24.76</v>
      </c>
      <c r="L458" t="s">
        <v>1043</v>
      </c>
      <c r="N458" s="1"/>
    </row>
    <row r="459" spans="1:14" x14ac:dyDescent="0.25">
      <c r="A459" s="5" t="s">
        <v>540</v>
      </c>
      <c r="B459" s="5" t="s">
        <v>960</v>
      </c>
      <c r="C459" s="5"/>
      <c r="D459" s="5">
        <v>0</v>
      </c>
      <c r="E459" s="5" t="s">
        <v>1027</v>
      </c>
      <c r="F459" s="7">
        <v>0</v>
      </c>
      <c r="I459"/>
      <c r="J459" s="10">
        <f t="shared" si="96"/>
        <v>0</v>
      </c>
      <c r="K459"/>
      <c r="L459"/>
      <c r="N459" s="1"/>
    </row>
    <row r="460" spans="1:14" x14ac:dyDescent="0.25">
      <c r="A460" s="5" t="s">
        <v>541</v>
      </c>
      <c r="B460" s="5" t="s">
        <v>961</v>
      </c>
      <c r="C460" s="5"/>
      <c r="D460" s="5">
        <v>0</v>
      </c>
      <c r="E460" s="5" t="s">
        <v>1027</v>
      </c>
      <c r="F460" s="7">
        <v>0</v>
      </c>
      <c r="I460"/>
      <c r="J460" s="10">
        <f t="shared" si="96"/>
        <v>0</v>
      </c>
      <c r="K460"/>
      <c r="L460"/>
      <c r="N460" s="1"/>
    </row>
    <row r="461" spans="1:14" x14ac:dyDescent="0.25">
      <c r="A461" s="5" t="s">
        <v>542</v>
      </c>
      <c r="B461" s="5" t="s">
        <v>962</v>
      </c>
      <c r="C461" s="5">
        <f>VLOOKUP(A461,[2]Hoja2!$A:$F,6,0)</f>
        <v>31.66</v>
      </c>
      <c r="D461" s="5">
        <v>30.29</v>
      </c>
      <c r="E461" s="9" t="s">
        <v>1027</v>
      </c>
      <c r="F461" s="7">
        <v>1</v>
      </c>
      <c r="H461" s="11">
        <v>1</v>
      </c>
      <c r="I461" s="19">
        <f>+F461-G461-H461</f>
        <v>0</v>
      </c>
      <c r="J461" s="10">
        <f t="shared" si="96"/>
        <v>0</v>
      </c>
      <c r="K461">
        <f>+H461*D461</f>
        <v>30.29</v>
      </c>
      <c r="L461" t="s">
        <v>1043</v>
      </c>
      <c r="N461" s="1"/>
    </row>
    <row r="462" spans="1:14" x14ac:dyDescent="0.25">
      <c r="A462" s="5" t="s">
        <v>543</v>
      </c>
      <c r="B462" s="5" t="s">
        <v>963</v>
      </c>
      <c r="C462" s="5">
        <f>VLOOKUP(A462,[2]Hoja2!$A:$F,6,0)</f>
        <v>33.72</v>
      </c>
      <c r="D462" s="5">
        <v>24.76</v>
      </c>
      <c r="E462" s="5" t="s">
        <v>1027</v>
      </c>
      <c r="F462" s="7">
        <v>6</v>
      </c>
      <c r="G462">
        <v>6</v>
      </c>
      <c r="J462" s="10">
        <f t="shared" si="96"/>
        <v>0</v>
      </c>
      <c r="K462">
        <f t="shared" ref="K461:K469" si="97">+H462*D462</f>
        <v>0</v>
      </c>
      <c r="L462"/>
      <c r="N462" s="1"/>
    </row>
    <row r="463" spans="1:14" x14ac:dyDescent="0.25">
      <c r="A463" s="5" t="s">
        <v>544</v>
      </c>
      <c r="B463" s="5" t="s">
        <v>964</v>
      </c>
      <c r="C463" s="5">
        <f>VLOOKUP(A463,[2]Hoja2!$A:$F,6,0)</f>
        <v>33.72</v>
      </c>
      <c r="D463" s="5">
        <v>24.76</v>
      </c>
      <c r="E463" s="9" t="s">
        <v>1027</v>
      </c>
      <c r="F463" s="7">
        <v>2</v>
      </c>
      <c r="H463" s="18">
        <v>1</v>
      </c>
      <c r="I463" s="19">
        <f>+F463-G463-H463</f>
        <v>1</v>
      </c>
      <c r="J463" s="10">
        <f t="shared" si="96"/>
        <v>0</v>
      </c>
      <c r="K463">
        <f>+H463*D463</f>
        <v>24.76</v>
      </c>
      <c r="L463" t="s">
        <v>1043</v>
      </c>
      <c r="N463" s="1"/>
    </row>
    <row r="464" spans="1:14" x14ac:dyDescent="0.25">
      <c r="A464" s="5" t="s">
        <v>545</v>
      </c>
      <c r="B464" s="5" t="s">
        <v>965</v>
      </c>
      <c r="C464" s="5">
        <f>VLOOKUP(A464,[2]Hoja2!$A:$F,6,0)</f>
        <v>61.67</v>
      </c>
      <c r="D464" s="5">
        <v>47.7</v>
      </c>
      <c r="E464" s="5" t="s">
        <v>1027</v>
      </c>
      <c r="F464" s="7">
        <v>1</v>
      </c>
      <c r="G464">
        <v>1</v>
      </c>
      <c r="J464" s="10">
        <f t="shared" si="96"/>
        <v>0</v>
      </c>
      <c r="K464">
        <f t="shared" si="97"/>
        <v>0</v>
      </c>
      <c r="L464"/>
      <c r="N464" s="1"/>
    </row>
    <row r="465" spans="1:14" x14ac:dyDescent="0.25">
      <c r="A465" s="5" t="s">
        <v>546</v>
      </c>
      <c r="B465" s="5" t="s">
        <v>966</v>
      </c>
      <c r="C465" s="5">
        <f>VLOOKUP(A465,[2]Hoja2!$A:$F,6,0)</f>
        <v>33.72</v>
      </c>
      <c r="D465" s="5">
        <v>24.76</v>
      </c>
      <c r="E465" s="5" t="s">
        <v>1027</v>
      </c>
      <c r="F465" s="7">
        <v>3</v>
      </c>
      <c r="G465">
        <v>3</v>
      </c>
      <c r="J465" s="10">
        <f t="shared" si="96"/>
        <v>0</v>
      </c>
      <c r="K465">
        <f t="shared" si="97"/>
        <v>0</v>
      </c>
      <c r="L465"/>
      <c r="N465" s="1"/>
    </row>
    <row r="466" spans="1:14" x14ac:dyDescent="0.25">
      <c r="A466" s="5" t="s">
        <v>547</v>
      </c>
      <c r="B466" s="5" t="s">
        <v>967</v>
      </c>
      <c r="C466" s="5">
        <f>VLOOKUP(A466,[2]Hoja2!$A:$F,6,0)</f>
        <v>468.02</v>
      </c>
      <c r="D466" s="5">
        <v>380.31</v>
      </c>
      <c r="E466" s="5" t="s">
        <v>1027</v>
      </c>
      <c r="F466" s="7">
        <v>1</v>
      </c>
      <c r="I466" s="11">
        <v>1</v>
      </c>
      <c r="J466" s="10">
        <f t="shared" si="96"/>
        <v>0</v>
      </c>
      <c r="K466">
        <f t="shared" si="97"/>
        <v>0</v>
      </c>
      <c r="L466"/>
      <c r="N466" s="1"/>
    </row>
    <row r="467" spans="1:14" x14ac:dyDescent="0.25">
      <c r="A467" s="5" t="s">
        <v>548</v>
      </c>
      <c r="B467" s="5" t="s">
        <v>968</v>
      </c>
      <c r="C467" s="5">
        <f>VLOOKUP(A467,[2]Hoja2!$A:$F,6,0)</f>
        <v>61.67</v>
      </c>
      <c r="D467" s="5">
        <v>45.43</v>
      </c>
      <c r="E467" s="5" t="s">
        <v>1027</v>
      </c>
      <c r="F467" s="7">
        <v>3</v>
      </c>
      <c r="G467">
        <v>3</v>
      </c>
      <c r="J467" s="10">
        <f t="shared" si="96"/>
        <v>0</v>
      </c>
      <c r="K467">
        <f t="shared" si="97"/>
        <v>0</v>
      </c>
      <c r="L467"/>
      <c r="N467" s="1"/>
    </row>
    <row r="468" spans="1:14" x14ac:dyDescent="0.25">
      <c r="A468" s="5" t="s">
        <v>549</v>
      </c>
      <c r="B468" s="5" t="s">
        <v>969</v>
      </c>
      <c r="C468" s="5">
        <f>VLOOKUP(A468,[2]Hoja2!$A:$F,6,0)</f>
        <v>20.77</v>
      </c>
      <c r="D468" s="5">
        <v>16.559999999999999</v>
      </c>
      <c r="E468" s="9" t="s">
        <v>1027</v>
      </c>
      <c r="F468" s="7">
        <v>6</v>
      </c>
      <c r="H468" s="18">
        <v>1</v>
      </c>
      <c r="I468" s="19">
        <f t="shared" ref="I468:I469" si="98">+F468-G468-H468</f>
        <v>5</v>
      </c>
      <c r="J468" s="10">
        <f t="shared" si="96"/>
        <v>0</v>
      </c>
      <c r="K468">
        <f t="shared" si="97"/>
        <v>16.559999999999999</v>
      </c>
      <c r="L468" t="s">
        <v>1043</v>
      </c>
      <c r="N468" s="1"/>
    </row>
    <row r="469" spans="1:14" x14ac:dyDescent="0.25">
      <c r="A469" s="5" t="s">
        <v>550</v>
      </c>
      <c r="B469" s="5" t="s">
        <v>970</v>
      </c>
      <c r="C469" s="5">
        <f>VLOOKUP(A469,[2]Hoja2!$A:$F,6,0)</f>
        <v>47.16</v>
      </c>
      <c r="D469" s="5">
        <v>38.17</v>
      </c>
      <c r="E469" s="9" t="s">
        <v>1027</v>
      </c>
      <c r="F469" s="7">
        <v>3</v>
      </c>
      <c r="H469" s="18">
        <v>1</v>
      </c>
      <c r="I469" s="19">
        <f t="shared" si="98"/>
        <v>2</v>
      </c>
      <c r="J469" s="10">
        <f t="shared" si="96"/>
        <v>0</v>
      </c>
      <c r="K469">
        <f t="shared" si="97"/>
        <v>38.17</v>
      </c>
      <c r="L469" t="s">
        <v>1043</v>
      </c>
      <c r="N469" s="1"/>
    </row>
    <row r="470" spans="1:14" x14ac:dyDescent="0.25">
      <c r="A470" s="5" t="s">
        <v>551</v>
      </c>
      <c r="B470" s="5" t="s">
        <v>971</v>
      </c>
      <c r="C470" s="5"/>
      <c r="D470" s="5">
        <v>0</v>
      </c>
      <c r="E470" s="5" t="s">
        <v>1027</v>
      </c>
      <c r="F470" s="7">
        <v>0</v>
      </c>
      <c r="I470"/>
      <c r="J470" s="10">
        <f t="shared" si="96"/>
        <v>0</v>
      </c>
      <c r="K470"/>
      <c r="L470"/>
      <c r="N470" s="1"/>
    </row>
    <row r="471" spans="1:14" x14ac:dyDescent="0.25">
      <c r="A471" s="5" t="s">
        <v>552</v>
      </c>
      <c r="B471" s="5" t="s">
        <v>972</v>
      </c>
      <c r="C471" s="5">
        <f>VLOOKUP(A471,[2]Hoja2!$A:$F,6,0)</f>
        <v>82.57</v>
      </c>
      <c r="D471" s="5">
        <v>64.28</v>
      </c>
      <c r="E471" s="5" t="s">
        <v>1027</v>
      </c>
      <c r="F471" s="7">
        <v>2</v>
      </c>
      <c r="G471">
        <v>2</v>
      </c>
      <c r="J471" s="10">
        <f t="shared" si="96"/>
        <v>0</v>
      </c>
      <c r="K471">
        <f t="shared" ref="K471:K474" si="99">+H471*D471</f>
        <v>0</v>
      </c>
      <c r="L471"/>
      <c r="N471" s="1"/>
    </row>
    <row r="472" spans="1:14" x14ac:dyDescent="0.25">
      <c r="A472" s="5" t="s">
        <v>553</v>
      </c>
      <c r="B472" s="5" t="s">
        <v>973</v>
      </c>
      <c r="C472" s="5">
        <f>VLOOKUP(A472,[2]Hoja2!$A:$F,6,0)</f>
        <v>82.57</v>
      </c>
      <c r="D472" s="5">
        <v>66.17</v>
      </c>
      <c r="E472" s="5" t="s">
        <v>1027</v>
      </c>
      <c r="F472" s="7">
        <v>1</v>
      </c>
      <c r="G472">
        <v>1</v>
      </c>
      <c r="J472" s="10">
        <f t="shared" si="96"/>
        <v>0</v>
      </c>
      <c r="K472">
        <f t="shared" si="99"/>
        <v>0</v>
      </c>
      <c r="L472"/>
      <c r="N472" s="1"/>
    </row>
    <row r="473" spans="1:14" x14ac:dyDescent="0.25">
      <c r="A473" s="5" t="s">
        <v>554</v>
      </c>
      <c r="B473" s="5" t="s">
        <v>974</v>
      </c>
      <c r="C473" s="5">
        <f>VLOOKUP(A473,[2]Hoja2!$A:$F,6,0)</f>
        <v>430.05</v>
      </c>
      <c r="D473" s="5">
        <v>319.41000000000003</v>
      </c>
      <c r="E473" s="5" t="s">
        <v>1027</v>
      </c>
      <c r="F473" s="7">
        <v>1</v>
      </c>
      <c r="G473">
        <v>1</v>
      </c>
      <c r="J473" s="10">
        <f t="shared" si="96"/>
        <v>0</v>
      </c>
      <c r="K473">
        <f t="shared" si="99"/>
        <v>0</v>
      </c>
      <c r="L473"/>
      <c r="N473" s="1"/>
    </row>
    <row r="474" spans="1:14" x14ac:dyDescent="0.25">
      <c r="A474" s="5" t="s">
        <v>555</v>
      </c>
      <c r="B474" s="5" t="s">
        <v>975</v>
      </c>
      <c r="C474" s="5">
        <f>VLOOKUP(A474,[2]Hoja2!$A:$F,6,0)</f>
        <v>103.37</v>
      </c>
      <c r="D474" s="5">
        <v>79.73</v>
      </c>
      <c r="E474" s="5" t="s">
        <v>1027</v>
      </c>
      <c r="F474" s="7">
        <v>5</v>
      </c>
      <c r="G474">
        <v>5</v>
      </c>
      <c r="J474" s="10">
        <f t="shared" si="96"/>
        <v>0</v>
      </c>
      <c r="K474">
        <f t="shared" si="99"/>
        <v>0</v>
      </c>
      <c r="L474"/>
      <c r="N474" s="1"/>
    </row>
    <row r="475" spans="1:14" x14ac:dyDescent="0.25">
      <c r="A475" s="5" t="s">
        <v>556</v>
      </c>
      <c r="B475" s="5" t="s">
        <v>976</v>
      </c>
      <c r="C475" s="5"/>
      <c r="D475" s="5">
        <v>79.73</v>
      </c>
      <c r="E475" s="5" t="s">
        <v>1027</v>
      </c>
      <c r="F475" s="7">
        <v>0</v>
      </c>
      <c r="I475"/>
      <c r="J475" s="10">
        <f t="shared" si="96"/>
        <v>0</v>
      </c>
      <c r="K475"/>
      <c r="L475"/>
      <c r="N475" s="1"/>
    </row>
    <row r="476" spans="1:14" x14ac:dyDescent="0.25">
      <c r="A476" s="5" t="s">
        <v>557</v>
      </c>
      <c r="B476" s="5" t="s">
        <v>977</v>
      </c>
      <c r="C476" s="5">
        <f>VLOOKUP(A476,[2]Hoja2!$A:$F,6,0)</f>
        <v>335.92</v>
      </c>
      <c r="D476" s="5">
        <v>275.94</v>
      </c>
      <c r="E476" s="5" t="s">
        <v>1027</v>
      </c>
      <c r="F476" s="7">
        <v>2</v>
      </c>
      <c r="G476">
        <v>2</v>
      </c>
      <c r="J476" s="10">
        <f t="shared" si="96"/>
        <v>0</v>
      </c>
      <c r="K476">
        <f>+H476*D476</f>
        <v>0</v>
      </c>
      <c r="L476"/>
      <c r="N476" s="1"/>
    </row>
    <row r="477" spans="1:14" x14ac:dyDescent="0.25">
      <c r="A477" s="5" t="s">
        <v>558</v>
      </c>
      <c r="B477" s="5" t="s">
        <v>978</v>
      </c>
      <c r="C477" s="5"/>
      <c r="D477" s="5">
        <v>0</v>
      </c>
      <c r="E477" s="5" t="s">
        <v>1027</v>
      </c>
      <c r="F477" s="7">
        <v>0</v>
      </c>
      <c r="I477"/>
      <c r="J477" s="10">
        <f t="shared" si="96"/>
        <v>0</v>
      </c>
      <c r="K477"/>
      <c r="L477"/>
      <c r="N477" s="1"/>
    </row>
    <row r="478" spans="1:14" x14ac:dyDescent="0.25">
      <c r="A478" s="5" t="s">
        <v>559</v>
      </c>
      <c r="B478" s="5" t="s">
        <v>979</v>
      </c>
      <c r="C478" s="5">
        <f>VLOOKUP(A478,[2]Hoja2!$A:$F,6,0)</f>
        <v>36.32</v>
      </c>
      <c r="D478" s="5">
        <v>28.89</v>
      </c>
      <c r="E478" s="5" t="s">
        <v>1027</v>
      </c>
      <c r="F478" s="7">
        <v>3</v>
      </c>
      <c r="G478">
        <v>3</v>
      </c>
      <c r="J478" s="10">
        <f t="shared" si="96"/>
        <v>0</v>
      </c>
      <c r="K478">
        <f t="shared" ref="K478:K479" si="100">+H478*D478</f>
        <v>0</v>
      </c>
      <c r="L478"/>
      <c r="N478" s="1"/>
    </row>
    <row r="479" spans="1:14" x14ac:dyDescent="0.25">
      <c r="A479" s="5" t="s">
        <v>70</v>
      </c>
      <c r="B479" s="5" t="s">
        <v>71</v>
      </c>
      <c r="C479" s="5">
        <f>VLOOKUP(A479,[2]Hoja2!$A:$F,6,0)</f>
        <v>20.77</v>
      </c>
      <c r="D479" s="5">
        <v>15.22</v>
      </c>
      <c r="E479" s="9" t="s">
        <v>1027</v>
      </c>
      <c r="F479" s="7">
        <v>2</v>
      </c>
      <c r="H479" s="11">
        <v>1</v>
      </c>
      <c r="I479" s="19">
        <v>0</v>
      </c>
      <c r="J479" s="10">
        <f t="shared" si="96"/>
        <v>1</v>
      </c>
      <c r="K479">
        <f>+H479*D479</f>
        <v>15.22</v>
      </c>
      <c r="L479" t="s">
        <v>1043</v>
      </c>
      <c r="N479" s="1"/>
    </row>
    <row r="480" spans="1:14" x14ac:dyDescent="0.25">
      <c r="A480" s="5" t="s">
        <v>64</v>
      </c>
      <c r="B480" s="5" t="s">
        <v>65</v>
      </c>
      <c r="C480" s="5"/>
      <c r="D480" s="5">
        <v>14.58</v>
      </c>
      <c r="E480" s="5" t="s">
        <v>1027</v>
      </c>
      <c r="F480" s="7">
        <v>0</v>
      </c>
      <c r="I480"/>
      <c r="J480" s="10">
        <f t="shared" si="96"/>
        <v>0</v>
      </c>
      <c r="K480"/>
      <c r="L480"/>
      <c r="N480" s="1"/>
    </row>
    <row r="481" spans="1:14" x14ac:dyDescent="0.25">
      <c r="A481" s="5" t="s">
        <v>87</v>
      </c>
      <c r="B481" s="5" t="s">
        <v>88</v>
      </c>
      <c r="C481" s="5">
        <f>VLOOKUP(A481,[2]Hoja2!$A:$F,6,0)</f>
        <v>19.75</v>
      </c>
      <c r="D481" s="5">
        <v>14.58</v>
      </c>
      <c r="E481" s="9" t="s">
        <v>1027</v>
      </c>
      <c r="F481" s="7">
        <v>2</v>
      </c>
      <c r="H481" s="11">
        <v>1</v>
      </c>
      <c r="I481" s="19">
        <f>+F481-G481-H481</f>
        <v>1</v>
      </c>
      <c r="J481" s="10">
        <f t="shared" si="96"/>
        <v>0</v>
      </c>
      <c r="K481">
        <f>+H481*D481</f>
        <v>14.58</v>
      </c>
      <c r="L481" t="s">
        <v>1043</v>
      </c>
      <c r="N481" s="1"/>
    </row>
    <row r="482" spans="1:14" x14ac:dyDescent="0.25">
      <c r="A482" s="5" t="s">
        <v>560</v>
      </c>
      <c r="B482" s="5" t="s">
        <v>980</v>
      </c>
      <c r="C482" s="5"/>
      <c r="D482" s="5">
        <v>14.58</v>
      </c>
      <c r="E482" s="5" t="s">
        <v>1027</v>
      </c>
      <c r="F482" s="7">
        <v>0</v>
      </c>
      <c r="I482"/>
      <c r="J482" s="10">
        <f t="shared" si="96"/>
        <v>0</v>
      </c>
      <c r="K482"/>
      <c r="L482"/>
      <c r="N482" s="1"/>
    </row>
    <row r="483" spans="1:14" x14ac:dyDescent="0.25">
      <c r="A483" s="5" t="s">
        <v>561</v>
      </c>
      <c r="B483" s="5" t="s">
        <v>981</v>
      </c>
      <c r="C483" s="5">
        <f>VLOOKUP(A483,[2]Hoja2!$A:$F,6,0)</f>
        <v>208.41</v>
      </c>
      <c r="D483" s="5">
        <v>171.68</v>
      </c>
      <c r="E483" s="5" t="s">
        <v>1027</v>
      </c>
      <c r="F483" s="7">
        <v>2</v>
      </c>
      <c r="G483">
        <v>2</v>
      </c>
      <c r="J483" s="10">
        <f t="shared" si="96"/>
        <v>0</v>
      </c>
      <c r="K483">
        <f t="shared" ref="K483:K486" si="101">+H483*D483</f>
        <v>0</v>
      </c>
      <c r="L483"/>
      <c r="N483" s="1"/>
    </row>
    <row r="484" spans="1:14" x14ac:dyDescent="0.25">
      <c r="A484" s="5" t="s">
        <v>562</v>
      </c>
      <c r="B484" s="5" t="s">
        <v>982</v>
      </c>
      <c r="C484" s="5">
        <f>VLOOKUP(A484,[2]Hoja2!$A:$F,6,0)</f>
        <v>208.41</v>
      </c>
      <c r="D484" s="5">
        <v>171.68</v>
      </c>
      <c r="E484" s="5" t="s">
        <v>1027</v>
      </c>
      <c r="F484" s="7">
        <v>2</v>
      </c>
      <c r="G484">
        <v>2</v>
      </c>
      <c r="J484" s="10">
        <f t="shared" si="96"/>
        <v>0</v>
      </c>
      <c r="K484">
        <f t="shared" si="101"/>
        <v>0</v>
      </c>
      <c r="L484"/>
      <c r="N484" s="1"/>
    </row>
    <row r="485" spans="1:14" x14ac:dyDescent="0.25">
      <c r="A485" s="5" t="s">
        <v>563</v>
      </c>
      <c r="B485" s="5" t="s">
        <v>983</v>
      </c>
      <c r="C485" s="5">
        <f>VLOOKUP(A485,[2]Hoja2!$A:$F,6,0)</f>
        <v>208.41</v>
      </c>
      <c r="D485" s="5">
        <v>171.68</v>
      </c>
      <c r="E485" s="5" t="s">
        <v>1027</v>
      </c>
      <c r="F485" s="7">
        <v>2</v>
      </c>
      <c r="G485">
        <v>2</v>
      </c>
      <c r="J485" s="10">
        <f t="shared" si="96"/>
        <v>0</v>
      </c>
      <c r="K485">
        <f t="shared" si="101"/>
        <v>0</v>
      </c>
      <c r="L485"/>
      <c r="N485" s="1"/>
    </row>
    <row r="486" spans="1:14" x14ac:dyDescent="0.25">
      <c r="A486" s="5" t="s">
        <v>564</v>
      </c>
      <c r="B486" s="5" t="s">
        <v>984</v>
      </c>
      <c r="C486" s="5">
        <f>VLOOKUP(A486,[2]Hoja2!$A:$F,6,0)</f>
        <v>285.02</v>
      </c>
      <c r="D486" s="5">
        <v>234.9</v>
      </c>
      <c r="E486" s="5" t="s">
        <v>1027</v>
      </c>
      <c r="F486" s="7">
        <v>2</v>
      </c>
      <c r="I486" s="11">
        <v>2</v>
      </c>
      <c r="J486" s="10">
        <f t="shared" si="96"/>
        <v>0</v>
      </c>
      <c r="K486">
        <f t="shared" si="101"/>
        <v>0</v>
      </c>
      <c r="L486"/>
      <c r="N486" s="1"/>
    </row>
  </sheetData>
  <autoFilter ref="A1:K486" xr:uid="{47507799-EB04-4D72-9BC1-8E058475034F}"/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topLeftCell="A52" workbookViewId="0"/>
  </sheetViews>
  <sheetFormatPr baseColWidth="10" defaultColWidth="9.140625"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9</v>
      </c>
    </row>
    <row r="2" spans="1:4" x14ac:dyDescent="0.25">
      <c r="A2" t="s">
        <v>10</v>
      </c>
      <c r="B2" t="s">
        <v>0</v>
      </c>
      <c r="C2">
        <v>11</v>
      </c>
      <c r="D2" t="s">
        <v>11</v>
      </c>
    </row>
    <row r="3" spans="1:4" x14ac:dyDescent="0.25">
      <c r="A3" t="s">
        <v>12</v>
      </c>
      <c r="B3" t="s">
        <v>13</v>
      </c>
      <c r="C3">
        <v>9</v>
      </c>
      <c r="D3" t="s">
        <v>11</v>
      </c>
    </row>
    <row r="4" spans="1:4" x14ac:dyDescent="0.25">
      <c r="A4" t="s">
        <v>14</v>
      </c>
      <c r="B4" t="s">
        <v>15</v>
      </c>
      <c r="C4">
        <v>7</v>
      </c>
      <c r="D4" t="s">
        <v>11</v>
      </c>
    </row>
    <row r="5" spans="1:4" x14ac:dyDescent="0.25">
      <c r="A5" t="s">
        <v>16</v>
      </c>
      <c r="B5" t="s">
        <v>17</v>
      </c>
      <c r="C5">
        <v>6</v>
      </c>
      <c r="D5" t="s">
        <v>11</v>
      </c>
    </row>
    <row r="6" spans="1:4" x14ac:dyDescent="0.25">
      <c r="A6" t="s">
        <v>18</v>
      </c>
      <c r="B6" t="s">
        <v>19</v>
      </c>
      <c r="C6">
        <v>6</v>
      </c>
      <c r="D6" t="s">
        <v>11</v>
      </c>
    </row>
    <row r="7" spans="1:4" x14ac:dyDescent="0.25">
      <c r="A7" t="s">
        <v>20</v>
      </c>
      <c r="B7" t="s">
        <v>21</v>
      </c>
      <c r="C7">
        <v>5</v>
      </c>
      <c r="D7" t="s">
        <v>11</v>
      </c>
    </row>
    <row r="8" spans="1:4" x14ac:dyDescent="0.25">
      <c r="A8" t="s">
        <v>22</v>
      </c>
      <c r="B8" t="s">
        <v>23</v>
      </c>
      <c r="C8">
        <v>5</v>
      </c>
      <c r="D8" t="s">
        <v>11</v>
      </c>
    </row>
    <row r="9" spans="1:4" x14ac:dyDescent="0.25">
      <c r="A9" t="s">
        <v>24</v>
      </c>
      <c r="B9" t="s">
        <v>25</v>
      </c>
      <c r="C9">
        <v>4</v>
      </c>
      <c r="D9" t="s">
        <v>11</v>
      </c>
    </row>
    <row r="10" spans="1:4" x14ac:dyDescent="0.25">
      <c r="A10" t="s">
        <v>26</v>
      </c>
      <c r="B10" t="s">
        <v>27</v>
      </c>
      <c r="C10">
        <v>4</v>
      </c>
      <c r="D10" t="s">
        <v>11</v>
      </c>
    </row>
    <row r="11" spans="1:4" x14ac:dyDescent="0.25">
      <c r="A11" t="s">
        <v>28</v>
      </c>
      <c r="B11" t="s">
        <v>29</v>
      </c>
      <c r="C11">
        <v>4</v>
      </c>
      <c r="D11" t="s">
        <v>11</v>
      </c>
    </row>
    <row r="12" spans="1:4" x14ac:dyDescent="0.25">
      <c r="A12" t="s">
        <v>30</v>
      </c>
      <c r="B12" t="s">
        <v>31</v>
      </c>
      <c r="C12">
        <v>3</v>
      </c>
      <c r="D12" t="s">
        <v>11</v>
      </c>
    </row>
    <row r="13" spans="1:4" x14ac:dyDescent="0.25">
      <c r="A13" t="s">
        <v>32</v>
      </c>
      <c r="B13" t="s">
        <v>33</v>
      </c>
      <c r="C13">
        <v>3</v>
      </c>
      <c r="D13" t="s">
        <v>11</v>
      </c>
    </row>
    <row r="14" spans="1:4" x14ac:dyDescent="0.25">
      <c r="A14" t="s">
        <v>34</v>
      </c>
      <c r="B14" t="s">
        <v>35</v>
      </c>
      <c r="C14">
        <v>3</v>
      </c>
      <c r="D14" t="s">
        <v>11</v>
      </c>
    </row>
    <row r="15" spans="1:4" x14ac:dyDescent="0.25">
      <c r="A15" t="s">
        <v>36</v>
      </c>
      <c r="B15" t="s">
        <v>37</v>
      </c>
      <c r="C15">
        <v>3</v>
      </c>
      <c r="D15" t="s">
        <v>11</v>
      </c>
    </row>
    <row r="16" spans="1:4" x14ac:dyDescent="0.25">
      <c r="A16" t="s">
        <v>38</v>
      </c>
      <c r="B16" t="s">
        <v>39</v>
      </c>
      <c r="C16">
        <v>3</v>
      </c>
      <c r="D16" t="s">
        <v>11</v>
      </c>
    </row>
    <row r="17" spans="1:4" x14ac:dyDescent="0.25">
      <c r="A17" t="s">
        <v>40</v>
      </c>
      <c r="B17" t="s">
        <v>41</v>
      </c>
      <c r="C17">
        <v>3</v>
      </c>
      <c r="D17" t="s">
        <v>11</v>
      </c>
    </row>
    <row r="18" spans="1:4" x14ac:dyDescent="0.25">
      <c r="A18" t="s">
        <v>42</v>
      </c>
      <c r="B18" t="s">
        <v>43</v>
      </c>
      <c r="C18">
        <v>3</v>
      </c>
      <c r="D18" t="s">
        <v>11</v>
      </c>
    </row>
    <row r="19" spans="1:4" x14ac:dyDescent="0.25">
      <c r="A19" t="s">
        <v>44</v>
      </c>
      <c r="B19" t="s">
        <v>45</v>
      </c>
      <c r="C19">
        <v>2</v>
      </c>
      <c r="D19" t="s">
        <v>11</v>
      </c>
    </row>
    <row r="20" spans="1:4" x14ac:dyDescent="0.25">
      <c r="A20" t="s">
        <v>46</v>
      </c>
      <c r="B20" t="s">
        <v>47</v>
      </c>
      <c r="C20">
        <v>2</v>
      </c>
      <c r="D20" t="s">
        <v>11</v>
      </c>
    </row>
    <row r="21" spans="1:4" x14ac:dyDescent="0.25">
      <c r="A21" t="s">
        <v>48</v>
      </c>
      <c r="B21" t="s">
        <v>49</v>
      </c>
      <c r="C21">
        <v>2</v>
      </c>
      <c r="D21" t="s">
        <v>11</v>
      </c>
    </row>
    <row r="22" spans="1:4" x14ac:dyDescent="0.25">
      <c r="A22" t="s">
        <v>50</v>
      </c>
      <c r="B22" t="s">
        <v>51</v>
      </c>
      <c r="C22">
        <v>2</v>
      </c>
      <c r="D22" t="s">
        <v>11</v>
      </c>
    </row>
    <row r="23" spans="1:4" x14ac:dyDescent="0.25">
      <c r="A23" t="s">
        <v>52</v>
      </c>
      <c r="B23" t="s">
        <v>53</v>
      </c>
      <c r="C23">
        <v>2</v>
      </c>
      <c r="D23" t="s">
        <v>11</v>
      </c>
    </row>
    <row r="24" spans="1:4" x14ac:dyDescent="0.25">
      <c r="A24" t="s">
        <v>54</v>
      </c>
      <c r="B24" t="s">
        <v>55</v>
      </c>
      <c r="C24">
        <v>2</v>
      </c>
      <c r="D24" t="s">
        <v>11</v>
      </c>
    </row>
    <row r="25" spans="1:4" x14ac:dyDescent="0.25">
      <c r="A25" t="s">
        <v>56</v>
      </c>
      <c r="B25" t="s">
        <v>57</v>
      </c>
      <c r="C25">
        <v>2</v>
      </c>
      <c r="D25" t="s">
        <v>11</v>
      </c>
    </row>
    <row r="26" spans="1:4" x14ac:dyDescent="0.25">
      <c r="A26" t="s">
        <v>58</v>
      </c>
      <c r="B26" t="s">
        <v>59</v>
      </c>
      <c r="C26">
        <v>2</v>
      </c>
      <c r="D26" t="s">
        <v>11</v>
      </c>
    </row>
    <row r="27" spans="1:4" x14ac:dyDescent="0.25">
      <c r="A27" t="s">
        <v>60</v>
      </c>
      <c r="B27" t="s">
        <v>61</v>
      </c>
      <c r="C27">
        <v>2</v>
      </c>
      <c r="D27" t="s">
        <v>11</v>
      </c>
    </row>
    <row r="28" spans="1:4" x14ac:dyDescent="0.25">
      <c r="A28" t="s">
        <v>62</v>
      </c>
      <c r="B28" t="s">
        <v>63</v>
      </c>
      <c r="C28">
        <v>2</v>
      </c>
      <c r="D28" t="s">
        <v>11</v>
      </c>
    </row>
    <row r="29" spans="1:4" x14ac:dyDescent="0.25">
      <c r="A29" t="s">
        <v>64</v>
      </c>
      <c r="B29" t="s">
        <v>65</v>
      </c>
      <c r="C29">
        <v>2</v>
      </c>
      <c r="D29" t="s">
        <v>11</v>
      </c>
    </row>
    <row r="30" spans="1:4" x14ac:dyDescent="0.25">
      <c r="A30" t="s">
        <v>66</v>
      </c>
      <c r="B30" t="s">
        <v>67</v>
      </c>
      <c r="C30">
        <v>2</v>
      </c>
      <c r="D30" t="s">
        <v>11</v>
      </c>
    </row>
    <row r="31" spans="1:4" x14ac:dyDescent="0.25">
      <c r="A31" t="s">
        <v>68</v>
      </c>
      <c r="B31" t="s">
        <v>69</v>
      </c>
      <c r="C31">
        <v>2</v>
      </c>
      <c r="D31" t="s">
        <v>11</v>
      </c>
    </row>
    <row r="32" spans="1:4" x14ac:dyDescent="0.25">
      <c r="A32" t="s">
        <v>70</v>
      </c>
      <c r="B32" t="s">
        <v>71</v>
      </c>
      <c r="C32">
        <v>2</v>
      </c>
      <c r="D32" t="s">
        <v>11</v>
      </c>
    </row>
    <row r="33" spans="1:4" x14ac:dyDescent="0.25">
      <c r="A33" t="s">
        <v>72</v>
      </c>
      <c r="B33" t="s">
        <v>73</v>
      </c>
      <c r="C33">
        <v>2</v>
      </c>
      <c r="D33" t="s">
        <v>11</v>
      </c>
    </row>
    <row r="34" spans="1:4" x14ac:dyDescent="0.25">
      <c r="A34" t="s">
        <v>74</v>
      </c>
      <c r="B34" t="s">
        <v>75</v>
      </c>
      <c r="C34">
        <v>2</v>
      </c>
      <c r="D34" t="s">
        <v>11</v>
      </c>
    </row>
    <row r="35" spans="1:4" x14ac:dyDescent="0.25">
      <c r="A35" t="s">
        <v>76</v>
      </c>
      <c r="B35" t="s">
        <v>77</v>
      </c>
      <c r="C35">
        <v>2</v>
      </c>
      <c r="D35" t="s">
        <v>11</v>
      </c>
    </row>
    <row r="36" spans="1:4" x14ac:dyDescent="0.25">
      <c r="A36" t="s">
        <v>78</v>
      </c>
      <c r="B36" t="s">
        <v>79</v>
      </c>
      <c r="C36">
        <v>2</v>
      </c>
      <c r="D36" t="s">
        <v>11</v>
      </c>
    </row>
    <row r="37" spans="1:4" x14ac:dyDescent="0.25">
      <c r="A37" t="s">
        <v>80</v>
      </c>
      <c r="B37" t="s">
        <v>81</v>
      </c>
      <c r="C37">
        <v>2</v>
      </c>
      <c r="D37" t="s">
        <v>11</v>
      </c>
    </row>
    <row r="38" spans="1:4" x14ac:dyDescent="0.25">
      <c r="A38" t="s">
        <v>82</v>
      </c>
      <c r="B38" t="s">
        <v>83</v>
      </c>
      <c r="C38">
        <v>1</v>
      </c>
      <c r="D38" t="s">
        <v>84</v>
      </c>
    </row>
    <row r="39" spans="1:4" x14ac:dyDescent="0.25">
      <c r="A39" t="s">
        <v>85</v>
      </c>
      <c r="B39" t="s">
        <v>86</v>
      </c>
      <c r="C39">
        <v>1</v>
      </c>
      <c r="D39" t="s">
        <v>84</v>
      </c>
    </row>
    <row r="40" spans="1:4" x14ac:dyDescent="0.25">
      <c r="A40" t="s">
        <v>87</v>
      </c>
      <c r="B40" t="s">
        <v>88</v>
      </c>
      <c r="C40">
        <v>1</v>
      </c>
      <c r="D40" t="s">
        <v>84</v>
      </c>
    </row>
    <row r="41" spans="1:4" x14ac:dyDescent="0.25">
      <c r="A41" t="s">
        <v>89</v>
      </c>
      <c r="B41" t="s">
        <v>90</v>
      </c>
      <c r="C41">
        <v>1</v>
      </c>
      <c r="D41" t="s">
        <v>84</v>
      </c>
    </row>
    <row r="42" spans="1:4" x14ac:dyDescent="0.25">
      <c r="A42" t="s">
        <v>91</v>
      </c>
      <c r="B42" t="s">
        <v>92</v>
      </c>
      <c r="C42">
        <v>1</v>
      </c>
      <c r="D42" t="s">
        <v>84</v>
      </c>
    </row>
    <row r="43" spans="1:4" x14ac:dyDescent="0.25">
      <c r="A43" t="s">
        <v>93</v>
      </c>
      <c r="B43" t="s">
        <v>94</v>
      </c>
      <c r="C43">
        <v>1</v>
      </c>
      <c r="D43" t="s">
        <v>84</v>
      </c>
    </row>
    <row r="44" spans="1:4" x14ac:dyDescent="0.25">
      <c r="A44" t="s">
        <v>95</v>
      </c>
      <c r="B44" t="s">
        <v>96</v>
      </c>
      <c r="C44">
        <v>1</v>
      </c>
      <c r="D44" t="s">
        <v>84</v>
      </c>
    </row>
    <row r="45" spans="1:4" x14ac:dyDescent="0.25">
      <c r="A45" t="s">
        <v>97</v>
      </c>
      <c r="B45" t="s">
        <v>98</v>
      </c>
      <c r="C45">
        <v>1</v>
      </c>
      <c r="D45" t="s">
        <v>84</v>
      </c>
    </row>
    <row r="46" spans="1:4" x14ac:dyDescent="0.25">
      <c r="A46" t="s">
        <v>99</v>
      </c>
      <c r="B46" t="s">
        <v>100</v>
      </c>
      <c r="C46">
        <v>1</v>
      </c>
      <c r="D46" t="s">
        <v>84</v>
      </c>
    </row>
    <row r="47" spans="1:4" x14ac:dyDescent="0.25">
      <c r="A47" t="s">
        <v>101</v>
      </c>
      <c r="B47" t="s">
        <v>102</v>
      </c>
      <c r="C47">
        <v>1</v>
      </c>
      <c r="D47" t="s">
        <v>84</v>
      </c>
    </row>
    <row r="48" spans="1:4" x14ac:dyDescent="0.25">
      <c r="A48" t="s">
        <v>103</v>
      </c>
      <c r="B48" t="s">
        <v>104</v>
      </c>
      <c r="C48">
        <v>1</v>
      </c>
      <c r="D48" t="s">
        <v>84</v>
      </c>
    </row>
    <row r="49" spans="1:4" x14ac:dyDescent="0.25">
      <c r="A49" t="s">
        <v>105</v>
      </c>
      <c r="B49" t="s">
        <v>106</v>
      </c>
      <c r="C49">
        <v>1</v>
      </c>
      <c r="D49" t="s">
        <v>84</v>
      </c>
    </row>
    <row r="50" spans="1:4" x14ac:dyDescent="0.25">
      <c r="A50" t="s">
        <v>107</v>
      </c>
      <c r="B50" t="s">
        <v>108</v>
      </c>
      <c r="C50">
        <v>1</v>
      </c>
      <c r="D50" t="s">
        <v>84</v>
      </c>
    </row>
    <row r="51" spans="1:4" x14ac:dyDescent="0.25">
      <c r="A51" t="s">
        <v>109</v>
      </c>
      <c r="B51" t="s">
        <v>110</v>
      </c>
      <c r="C51">
        <v>1</v>
      </c>
      <c r="D51" t="s">
        <v>84</v>
      </c>
    </row>
    <row r="52" spans="1:4" x14ac:dyDescent="0.25">
      <c r="A52" t="s">
        <v>111</v>
      </c>
      <c r="B52" t="s">
        <v>112</v>
      </c>
      <c r="C52">
        <v>1</v>
      </c>
      <c r="D52" t="s">
        <v>84</v>
      </c>
    </row>
    <row r="53" spans="1:4" x14ac:dyDescent="0.25">
      <c r="A53" t="s">
        <v>113</v>
      </c>
      <c r="B53" t="s">
        <v>114</v>
      </c>
      <c r="C53">
        <v>1</v>
      </c>
      <c r="D53" t="s">
        <v>84</v>
      </c>
    </row>
    <row r="54" spans="1:4" x14ac:dyDescent="0.25">
      <c r="A54" t="s">
        <v>115</v>
      </c>
      <c r="B54" t="s">
        <v>116</v>
      </c>
      <c r="C54">
        <v>1</v>
      </c>
      <c r="D54" t="s">
        <v>84</v>
      </c>
    </row>
    <row r="55" spans="1:4" x14ac:dyDescent="0.25">
      <c r="A55" t="s">
        <v>117</v>
      </c>
      <c r="B55" t="s">
        <v>118</v>
      </c>
      <c r="C55">
        <v>1</v>
      </c>
      <c r="D55" t="s">
        <v>84</v>
      </c>
    </row>
    <row r="56" spans="1:4" x14ac:dyDescent="0.25">
      <c r="A56" t="s">
        <v>119</v>
      </c>
      <c r="B56" t="s">
        <v>120</v>
      </c>
      <c r="C56">
        <v>1</v>
      </c>
      <c r="D56" t="s">
        <v>84</v>
      </c>
    </row>
    <row r="57" spans="1:4" x14ac:dyDescent="0.25">
      <c r="A57" t="s">
        <v>121</v>
      </c>
      <c r="B57" t="s">
        <v>122</v>
      </c>
      <c r="C57">
        <v>1</v>
      </c>
      <c r="D57" t="s">
        <v>84</v>
      </c>
    </row>
    <row r="58" spans="1:4" x14ac:dyDescent="0.25">
      <c r="A58" t="s">
        <v>123</v>
      </c>
      <c r="B58" t="s">
        <v>124</v>
      </c>
      <c r="C58">
        <v>1</v>
      </c>
      <c r="D58" t="s">
        <v>84</v>
      </c>
    </row>
    <row r="59" spans="1:4" x14ac:dyDescent="0.25">
      <c r="A59" t="s">
        <v>125</v>
      </c>
      <c r="B59" t="s">
        <v>126</v>
      </c>
      <c r="C59">
        <v>1</v>
      </c>
      <c r="D59" t="s">
        <v>84</v>
      </c>
    </row>
    <row r="60" spans="1:4" x14ac:dyDescent="0.25">
      <c r="A60" t="s">
        <v>127</v>
      </c>
      <c r="B60" t="s">
        <v>128</v>
      </c>
      <c r="C60">
        <v>1</v>
      </c>
      <c r="D60" t="s">
        <v>84</v>
      </c>
    </row>
    <row r="61" spans="1:4" x14ac:dyDescent="0.25">
      <c r="A61" t="s">
        <v>129</v>
      </c>
      <c r="B61" t="s">
        <v>130</v>
      </c>
      <c r="C61">
        <v>1</v>
      </c>
      <c r="D61" t="s">
        <v>131</v>
      </c>
    </row>
    <row r="62" spans="1:4" x14ac:dyDescent="0.25">
      <c r="A62" t="s">
        <v>132</v>
      </c>
      <c r="B62" t="s">
        <v>133</v>
      </c>
      <c r="C62">
        <v>1</v>
      </c>
      <c r="D62" t="s">
        <v>131</v>
      </c>
    </row>
    <row r="63" spans="1:4" x14ac:dyDescent="0.25">
      <c r="A63" t="s">
        <v>134</v>
      </c>
      <c r="B63" t="s">
        <v>135</v>
      </c>
      <c r="C63">
        <v>1</v>
      </c>
      <c r="D63" t="s">
        <v>131</v>
      </c>
    </row>
    <row r="64" spans="1:4" x14ac:dyDescent="0.25">
      <c r="A64" t="s">
        <v>136</v>
      </c>
      <c r="B64" t="s">
        <v>137</v>
      </c>
      <c r="C64">
        <v>1</v>
      </c>
      <c r="D64" t="s">
        <v>131</v>
      </c>
    </row>
    <row r="65" spans="1:4" x14ac:dyDescent="0.25">
      <c r="A65" t="s">
        <v>138</v>
      </c>
      <c r="B65" t="s">
        <v>139</v>
      </c>
      <c r="C65">
        <v>1</v>
      </c>
      <c r="D65" t="s">
        <v>131</v>
      </c>
    </row>
    <row r="66" spans="1:4" x14ac:dyDescent="0.25">
      <c r="A66" t="s">
        <v>140</v>
      </c>
      <c r="B66" t="s">
        <v>141</v>
      </c>
      <c r="C66">
        <v>1</v>
      </c>
      <c r="D66" t="s">
        <v>131</v>
      </c>
    </row>
    <row r="67" spans="1:4" x14ac:dyDescent="0.25">
      <c r="A67" t="s">
        <v>142</v>
      </c>
      <c r="B67" t="s">
        <v>143</v>
      </c>
      <c r="C67">
        <v>1</v>
      </c>
      <c r="D67" t="s">
        <v>131</v>
      </c>
    </row>
    <row r="68" spans="1:4" x14ac:dyDescent="0.25">
      <c r="A68" t="s">
        <v>144</v>
      </c>
      <c r="B68" t="s">
        <v>145</v>
      </c>
      <c r="C68">
        <v>1</v>
      </c>
      <c r="D68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workbookViewId="0">
      <selection activeCell="C66" sqref="C66"/>
    </sheetView>
  </sheetViews>
  <sheetFormatPr baseColWidth="10" defaultColWidth="9.140625" defaultRowHeight="15" x14ac:dyDescent="0.25"/>
  <cols>
    <col min="1" max="1" width="17.28515625" bestFit="1" customWidth="1"/>
    <col min="2" max="2" width="54.42578125" bestFit="1" customWidth="1"/>
    <col min="3" max="3" width="16.42578125" bestFit="1" customWidth="1"/>
    <col min="4" max="4" width="8" bestFit="1" customWidth="1"/>
    <col min="5" max="5" width="15" style="1" bestFit="1" customWidth="1"/>
    <col min="6" max="6" width="17.42578125" bestFit="1" customWidth="1"/>
    <col min="7" max="7" width="14" style="1" bestFit="1" customWidth="1"/>
    <col min="8" max="8" width="12" style="1" bestFit="1" customWidth="1"/>
    <col min="9" max="9" width="4.5703125" bestFit="1" customWidth="1"/>
  </cols>
  <sheetData>
    <row r="1" spans="1:9" s="2" customFormat="1" x14ac:dyDescent="0.2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  <c r="G1" s="3" t="s">
        <v>7</v>
      </c>
      <c r="H1" s="3" t="s">
        <v>8</v>
      </c>
      <c r="I1" s="2" t="s">
        <v>9</v>
      </c>
    </row>
    <row r="2" spans="1:9" x14ac:dyDescent="0.25">
      <c r="A2" t="s">
        <v>10</v>
      </c>
      <c r="B2" t="s">
        <v>0</v>
      </c>
      <c r="C2">
        <v>11</v>
      </c>
      <c r="D2">
        <v>1</v>
      </c>
      <c r="E2" s="1">
        <v>0.35483870967741937</v>
      </c>
      <c r="F2">
        <v>11</v>
      </c>
      <c r="G2" s="1">
        <v>7.2847682119205295E-2</v>
      </c>
      <c r="H2" s="1">
        <v>7.2847682119205295E-2</v>
      </c>
      <c r="I2" t="s">
        <v>11</v>
      </c>
    </row>
    <row r="3" spans="1:9" x14ac:dyDescent="0.25">
      <c r="A3" t="s">
        <v>12</v>
      </c>
      <c r="B3" t="s">
        <v>13</v>
      </c>
      <c r="C3">
        <v>9</v>
      </c>
      <c r="D3">
        <v>2</v>
      </c>
      <c r="E3" s="1">
        <v>0.29032258064516131</v>
      </c>
      <c r="F3">
        <v>9</v>
      </c>
      <c r="G3" s="1">
        <v>5.9602649006622523E-2</v>
      </c>
      <c r="H3" s="1">
        <v>0.1324503311258278</v>
      </c>
      <c r="I3" t="s">
        <v>11</v>
      </c>
    </row>
    <row r="4" spans="1:9" x14ac:dyDescent="0.25">
      <c r="A4" t="s">
        <v>14</v>
      </c>
      <c r="B4" t="s">
        <v>15</v>
      </c>
      <c r="C4">
        <v>7</v>
      </c>
      <c r="D4">
        <v>3</v>
      </c>
      <c r="E4" s="1">
        <v>0.22580645161290319</v>
      </c>
      <c r="F4">
        <v>7</v>
      </c>
      <c r="G4" s="1">
        <v>4.6357615894039743E-2</v>
      </c>
      <c r="H4" s="1">
        <v>0.1788079470198676</v>
      </c>
      <c r="I4" t="s">
        <v>11</v>
      </c>
    </row>
    <row r="5" spans="1:9" x14ac:dyDescent="0.25">
      <c r="A5" t="s">
        <v>16</v>
      </c>
      <c r="B5" t="s">
        <v>17</v>
      </c>
      <c r="C5">
        <v>6</v>
      </c>
      <c r="D5">
        <v>4</v>
      </c>
      <c r="E5" s="1">
        <v>0.19354838709677419</v>
      </c>
      <c r="F5">
        <v>6</v>
      </c>
      <c r="G5" s="1">
        <v>3.9735099337748353E-2</v>
      </c>
      <c r="H5" s="1">
        <v>0.2185430463576159</v>
      </c>
      <c r="I5" t="s">
        <v>11</v>
      </c>
    </row>
    <row r="6" spans="1:9" x14ac:dyDescent="0.25">
      <c r="A6" t="s">
        <v>18</v>
      </c>
      <c r="B6" t="s">
        <v>19</v>
      </c>
      <c r="C6">
        <v>6</v>
      </c>
      <c r="D6">
        <v>5</v>
      </c>
      <c r="E6" s="1">
        <v>0.19354838709677419</v>
      </c>
      <c r="F6">
        <v>6</v>
      </c>
      <c r="G6" s="1">
        <v>3.9735099337748353E-2</v>
      </c>
      <c r="H6" s="1">
        <v>0.25827814569536428</v>
      </c>
      <c r="I6" t="s">
        <v>11</v>
      </c>
    </row>
    <row r="7" spans="1:9" x14ac:dyDescent="0.25">
      <c r="A7" t="s">
        <v>20</v>
      </c>
      <c r="B7" t="s">
        <v>21</v>
      </c>
      <c r="C7">
        <v>5</v>
      </c>
      <c r="D7">
        <v>6</v>
      </c>
      <c r="E7" s="1">
        <v>0.16129032258064521</v>
      </c>
      <c r="F7">
        <v>5</v>
      </c>
      <c r="G7" s="1">
        <v>3.3112582781456963E-2</v>
      </c>
      <c r="H7" s="1">
        <v>0.29139072847682118</v>
      </c>
      <c r="I7" t="s">
        <v>11</v>
      </c>
    </row>
    <row r="8" spans="1:9" x14ac:dyDescent="0.25">
      <c r="A8" t="s">
        <v>22</v>
      </c>
      <c r="B8" t="s">
        <v>23</v>
      </c>
      <c r="C8">
        <v>5</v>
      </c>
      <c r="D8">
        <v>7</v>
      </c>
      <c r="E8" s="1">
        <v>0.16129032258064521</v>
      </c>
      <c r="F8">
        <v>5</v>
      </c>
      <c r="G8" s="1">
        <v>3.3112582781456963E-2</v>
      </c>
      <c r="H8" s="1">
        <v>0.32450331125827819</v>
      </c>
      <c r="I8" t="s">
        <v>11</v>
      </c>
    </row>
    <row r="9" spans="1:9" x14ac:dyDescent="0.25">
      <c r="A9" t="s">
        <v>24</v>
      </c>
      <c r="B9" t="s">
        <v>25</v>
      </c>
      <c r="C9">
        <v>4</v>
      </c>
      <c r="D9">
        <v>8</v>
      </c>
      <c r="E9" s="1">
        <v>0.1290322580645161</v>
      </c>
      <c r="F9">
        <v>4</v>
      </c>
      <c r="G9" s="1">
        <v>2.6490066225165559E-2</v>
      </c>
      <c r="H9" s="1">
        <v>0.35099337748344378</v>
      </c>
      <c r="I9" t="s">
        <v>11</v>
      </c>
    </row>
    <row r="10" spans="1:9" x14ac:dyDescent="0.25">
      <c r="A10" t="s">
        <v>26</v>
      </c>
      <c r="B10" t="s">
        <v>27</v>
      </c>
      <c r="C10">
        <v>4</v>
      </c>
      <c r="D10">
        <v>9</v>
      </c>
      <c r="E10" s="1">
        <v>0.1290322580645161</v>
      </c>
      <c r="F10">
        <v>4</v>
      </c>
      <c r="G10" s="1">
        <v>2.6490066225165559E-2</v>
      </c>
      <c r="H10" s="1">
        <v>0.37748344370860942</v>
      </c>
      <c r="I10" t="s">
        <v>11</v>
      </c>
    </row>
    <row r="11" spans="1:9" x14ac:dyDescent="0.25">
      <c r="A11" t="s">
        <v>28</v>
      </c>
      <c r="B11" t="s">
        <v>29</v>
      </c>
      <c r="C11">
        <v>4</v>
      </c>
      <c r="D11">
        <v>10</v>
      </c>
      <c r="E11" s="1">
        <v>0.1290322580645161</v>
      </c>
      <c r="F11">
        <v>4</v>
      </c>
      <c r="G11" s="1">
        <v>2.6490066225165559E-2</v>
      </c>
      <c r="H11" s="1">
        <v>0.40397350993377501</v>
      </c>
      <c r="I11" t="s">
        <v>11</v>
      </c>
    </row>
    <row r="12" spans="1:9" x14ac:dyDescent="0.25">
      <c r="A12" t="s">
        <v>30</v>
      </c>
      <c r="B12" t="s">
        <v>31</v>
      </c>
      <c r="C12">
        <v>3</v>
      </c>
      <c r="D12">
        <v>11</v>
      </c>
      <c r="E12" s="1">
        <v>9.6774193548387094E-2</v>
      </c>
      <c r="F12">
        <v>3</v>
      </c>
      <c r="G12" s="1">
        <v>1.986754966887417E-2</v>
      </c>
      <c r="H12" s="1">
        <v>0.42384105960264912</v>
      </c>
      <c r="I12" t="s">
        <v>11</v>
      </c>
    </row>
    <row r="13" spans="1:9" x14ac:dyDescent="0.25">
      <c r="A13" t="s">
        <v>32</v>
      </c>
      <c r="B13" t="s">
        <v>33</v>
      </c>
      <c r="C13">
        <v>3</v>
      </c>
      <c r="D13">
        <v>12</v>
      </c>
      <c r="E13" s="1">
        <v>9.6774193548387094E-2</v>
      </c>
      <c r="F13">
        <v>3</v>
      </c>
      <c r="G13" s="1">
        <v>1.986754966887417E-2</v>
      </c>
      <c r="H13" s="1">
        <v>0.44370860927152328</v>
      </c>
      <c r="I13" t="s">
        <v>11</v>
      </c>
    </row>
    <row r="14" spans="1:9" x14ac:dyDescent="0.25">
      <c r="A14" t="s">
        <v>34</v>
      </c>
      <c r="B14" t="s">
        <v>35</v>
      </c>
      <c r="C14">
        <v>3</v>
      </c>
      <c r="D14">
        <v>13</v>
      </c>
      <c r="E14" s="1">
        <v>9.6774193548387094E-2</v>
      </c>
      <c r="F14">
        <v>3</v>
      </c>
      <c r="G14" s="1">
        <v>1.986754966887417E-2</v>
      </c>
      <c r="H14" s="1">
        <v>0.46357615894039739</v>
      </c>
      <c r="I14" t="s">
        <v>11</v>
      </c>
    </row>
    <row r="15" spans="1:9" x14ac:dyDescent="0.25">
      <c r="A15" t="s">
        <v>36</v>
      </c>
      <c r="B15" t="s">
        <v>37</v>
      </c>
      <c r="C15">
        <v>3</v>
      </c>
      <c r="D15">
        <v>14</v>
      </c>
      <c r="E15" s="1">
        <v>9.6774193548387094E-2</v>
      </c>
      <c r="F15">
        <v>3</v>
      </c>
      <c r="G15" s="1">
        <v>1.986754966887417E-2</v>
      </c>
      <c r="H15" s="1">
        <v>0.48344370860927161</v>
      </c>
      <c r="I15" t="s">
        <v>11</v>
      </c>
    </row>
    <row r="16" spans="1:9" x14ac:dyDescent="0.25">
      <c r="A16" t="s">
        <v>38</v>
      </c>
      <c r="B16" t="s">
        <v>39</v>
      </c>
      <c r="C16">
        <v>3</v>
      </c>
      <c r="D16">
        <v>15</v>
      </c>
      <c r="E16" s="1">
        <v>9.6774193548387094E-2</v>
      </c>
      <c r="F16">
        <v>3</v>
      </c>
      <c r="G16" s="1">
        <v>1.986754966887417E-2</v>
      </c>
      <c r="H16" s="1">
        <v>0.50331125827814582</v>
      </c>
      <c r="I16" t="s">
        <v>11</v>
      </c>
    </row>
    <row r="17" spans="1:9" x14ac:dyDescent="0.25">
      <c r="A17" t="s">
        <v>40</v>
      </c>
      <c r="B17" t="s">
        <v>41</v>
      </c>
      <c r="C17">
        <v>3</v>
      </c>
      <c r="D17">
        <v>16</v>
      </c>
      <c r="E17" s="1">
        <v>9.6774193548387094E-2</v>
      </c>
      <c r="F17">
        <v>3</v>
      </c>
      <c r="G17" s="1">
        <v>1.986754966887417E-2</v>
      </c>
      <c r="H17" s="1">
        <v>0.52317880794701999</v>
      </c>
      <c r="I17" t="s">
        <v>11</v>
      </c>
    </row>
    <row r="18" spans="1:9" x14ac:dyDescent="0.25">
      <c r="A18" t="s">
        <v>42</v>
      </c>
      <c r="B18" t="s">
        <v>43</v>
      </c>
      <c r="C18">
        <v>3</v>
      </c>
      <c r="D18">
        <v>17</v>
      </c>
      <c r="E18" s="1">
        <v>9.6774193548387094E-2</v>
      </c>
      <c r="F18">
        <v>3</v>
      </c>
      <c r="G18" s="1">
        <v>1.986754966887417E-2</v>
      </c>
      <c r="H18" s="1">
        <v>0.54304635761589415</v>
      </c>
      <c r="I18" t="s">
        <v>11</v>
      </c>
    </row>
    <row r="19" spans="1:9" x14ac:dyDescent="0.25">
      <c r="A19" t="s">
        <v>44</v>
      </c>
      <c r="B19" t="s">
        <v>45</v>
      </c>
      <c r="C19">
        <v>2</v>
      </c>
      <c r="D19">
        <v>18</v>
      </c>
      <c r="E19" s="1">
        <v>6.4516129032258063E-2</v>
      </c>
      <c r="F19">
        <v>2</v>
      </c>
      <c r="G19" s="1">
        <v>1.324503311258278E-2</v>
      </c>
      <c r="H19" s="1">
        <v>0.55629139072847689</v>
      </c>
      <c r="I19" t="s">
        <v>11</v>
      </c>
    </row>
    <row r="20" spans="1:9" x14ac:dyDescent="0.25">
      <c r="A20" t="s">
        <v>46</v>
      </c>
      <c r="B20" t="s">
        <v>47</v>
      </c>
      <c r="C20">
        <v>2</v>
      </c>
      <c r="D20">
        <v>19</v>
      </c>
      <c r="E20" s="1">
        <v>6.4516129032258063E-2</v>
      </c>
      <c r="F20">
        <v>2</v>
      </c>
      <c r="G20" s="1">
        <v>1.324503311258278E-2</v>
      </c>
      <c r="H20" s="1">
        <v>0.56953642384105962</v>
      </c>
      <c r="I20" t="s">
        <v>11</v>
      </c>
    </row>
    <row r="21" spans="1:9" x14ac:dyDescent="0.25">
      <c r="A21" t="s">
        <v>48</v>
      </c>
      <c r="B21" t="s">
        <v>49</v>
      </c>
      <c r="C21">
        <v>2</v>
      </c>
      <c r="D21">
        <v>20</v>
      </c>
      <c r="E21" s="1">
        <v>6.4516129032258063E-2</v>
      </c>
      <c r="F21">
        <v>2</v>
      </c>
      <c r="G21" s="1">
        <v>1.324503311258278E-2</v>
      </c>
      <c r="H21" s="1">
        <v>0.58278145695364236</v>
      </c>
      <c r="I21" t="s">
        <v>11</v>
      </c>
    </row>
    <row r="22" spans="1:9" x14ac:dyDescent="0.25">
      <c r="A22" t="s">
        <v>50</v>
      </c>
      <c r="B22" t="s">
        <v>51</v>
      </c>
      <c r="C22">
        <v>2</v>
      </c>
      <c r="D22">
        <v>21</v>
      </c>
      <c r="E22" s="1">
        <v>6.4516129032258063E-2</v>
      </c>
      <c r="F22">
        <v>2</v>
      </c>
      <c r="G22" s="1">
        <v>1.324503311258278E-2</v>
      </c>
      <c r="H22" s="1">
        <v>0.5960264900662251</v>
      </c>
      <c r="I22" t="s">
        <v>11</v>
      </c>
    </row>
    <row r="23" spans="1:9" x14ac:dyDescent="0.25">
      <c r="A23" t="s">
        <v>52</v>
      </c>
      <c r="B23" t="s">
        <v>53</v>
      </c>
      <c r="C23">
        <v>2</v>
      </c>
      <c r="D23">
        <v>22</v>
      </c>
      <c r="E23" s="1">
        <v>6.4516129032258063E-2</v>
      </c>
      <c r="F23">
        <v>2</v>
      </c>
      <c r="G23" s="1">
        <v>1.324503311258278E-2</v>
      </c>
      <c r="H23" s="1">
        <v>0.60927152317880784</v>
      </c>
      <c r="I23" t="s">
        <v>11</v>
      </c>
    </row>
    <row r="24" spans="1:9" x14ac:dyDescent="0.25">
      <c r="A24" t="s">
        <v>54</v>
      </c>
      <c r="B24" t="s">
        <v>55</v>
      </c>
      <c r="C24">
        <v>2</v>
      </c>
      <c r="D24">
        <v>23</v>
      </c>
      <c r="E24" s="1">
        <v>6.4516129032258063E-2</v>
      </c>
      <c r="F24">
        <v>2</v>
      </c>
      <c r="G24" s="1">
        <v>1.324503311258278E-2</v>
      </c>
      <c r="H24" s="1">
        <v>0.62251655629139058</v>
      </c>
      <c r="I24" t="s">
        <v>11</v>
      </c>
    </row>
    <row r="25" spans="1:9" x14ac:dyDescent="0.25">
      <c r="A25" t="s">
        <v>56</v>
      </c>
      <c r="B25" t="s">
        <v>57</v>
      </c>
      <c r="C25">
        <v>2</v>
      </c>
      <c r="D25">
        <v>24</v>
      </c>
      <c r="E25" s="1">
        <v>6.4516129032258063E-2</v>
      </c>
      <c r="F25">
        <v>2</v>
      </c>
      <c r="G25" s="1">
        <v>1.324503311258278E-2</v>
      </c>
      <c r="H25" s="1">
        <v>0.63576158940397332</v>
      </c>
      <c r="I25" t="s">
        <v>11</v>
      </c>
    </row>
    <row r="26" spans="1:9" x14ac:dyDescent="0.25">
      <c r="A26" t="s">
        <v>58</v>
      </c>
      <c r="B26" t="s">
        <v>59</v>
      </c>
      <c r="C26">
        <v>2</v>
      </c>
      <c r="D26">
        <v>25</v>
      </c>
      <c r="E26" s="1">
        <v>6.4516129032258063E-2</v>
      </c>
      <c r="F26">
        <v>2</v>
      </c>
      <c r="G26" s="1">
        <v>1.324503311258278E-2</v>
      </c>
      <c r="H26" s="1">
        <v>0.64900662251655605</v>
      </c>
      <c r="I26" t="s">
        <v>11</v>
      </c>
    </row>
    <row r="27" spans="1:9" x14ac:dyDescent="0.25">
      <c r="A27" t="s">
        <v>60</v>
      </c>
      <c r="B27" t="s">
        <v>61</v>
      </c>
      <c r="C27">
        <v>2</v>
      </c>
      <c r="D27">
        <v>26</v>
      </c>
      <c r="E27" s="1">
        <v>6.4516129032258063E-2</v>
      </c>
      <c r="F27">
        <v>2</v>
      </c>
      <c r="G27" s="1">
        <v>1.324503311258278E-2</v>
      </c>
      <c r="H27" s="1">
        <v>0.66225165562913879</v>
      </c>
      <c r="I27" t="s">
        <v>11</v>
      </c>
    </row>
    <row r="28" spans="1:9" x14ac:dyDescent="0.25">
      <c r="A28" t="s">
        <v>62</v>
      </c>
      <c r="B28" t="s">
        <v>63</v>
      </c>
      <c r="C28">
        <v>2</v>
      </c>
      <c r="D28">
        <v>27</v>
      </c>
      <c r="E28" s="1">
        <v>6.4516129032258063E-2</v>
      </c>
      <c r="F28">
        <v>2</v>
      </c>
      <c r="G28" s="1">
        <v>1.324503311258278E-2</v>
      </c>
      <c r="H28" s="1">
        <v>0.67549668874172153</v>
      </c>
      <c r="I28" t="s">
        <v>11</v>
      </c>
    </row>
    <row r="29" spans="1:9" x14ac:dyDescent="0.25">
      <c r="A29" t="s">
        <v>64</v>
      </c>
      <c r="B29" t="s">
        <v>65</v>
      </c>
      <c r="C29">
        <v>2</v>
      </c>
      <c r="D29">
        <v>28</v>
      </c>
      <c r="E29" s="1">
        <v>6.4516129032258063E-2</v>
      </c>
      <c r="F29">
        <v>2</v>
      </c>
      <c r="G29" s="1">
        <v>1.324503311258278E-2</v>
      </c>
      <c r="H29" s="1">
        <v>0.68874172185430427</v>
      </c>
      <c r="I29" t="s">
        <v>11</v>
      </c>
    </row>
    <row r="30" spans="1:9" x14ac:dyDescent="0.25">
      <c r="A30" t="s">
        <v>66</v>
      </c>
      <c r="B30" t="s">
        <v>67</v>
      </c>
      <c r="C30">
        <v>2</v>
      </c>
      <c r="D30">
        <v>29</v>
      </c>
      <c r="E30" s="1">
        <v>6.4516129032258063E-2</v>
      </c>
      <c r="F30">
        <v>2</v>
      </c>
      <c r="G30" s="1">
        <v>1.324503311258278E-2</v>
      </c>
      <c r="H30" s="1">
        <v>0.70198675496688701</v>
      </c>
      <c r="I30" t="s">
        <v>11</v>
      </c>
    </row>
    <row r="31" spans="1:9" x14ac:dyDescent="0.25">
      <c r="A31" t="s">
        <v>68</v>
      </c>
      <c r="B31" t="s">
        <v>69</v>
      </c>
      <c r="C31">
        <v>2</v>
      </c>
      <c r="D31">
        <v>30</v>
      </c>
      <c r="E31" s="1">
        <v>6.4516129032258063E-2</v>
      </c>
      <c r="F31">
        <v>2</v>
      </c>
      <c r="G31" s="1">
        <v>1.324503311258278E-2</v>
      </c>
      <c r="H31" s="1">
        <v>0.71523178807946974</v>
      </c>
      <c r="I31" t="s">
        <v>11</v>
      </c>
    </row>
    <row r="32" spans="1:9" x14ac:dyDescent="0.25">
      <c r="A32" t="s">
        <v>70</v>
      </c>
      <c r="B32" t="s">
        <v>71</v>
      </c>
      <c r="C32">
        <v>2</v>
      </c>
      <c r="D32">
        <v>31</v>
      </c>
      <c r="E32" s="1">
        <v>6.4516129032258063E-2</v>
      </c>
      <c r="F32">
        <v>2</v>
      </c>
      <c r="G32" s="1">
        <v>1.324503311258278E-2</v>
      </c>
      <c r="H32" s="1">
        <v>0.72847682119205248</v>
      </c>
      <c r="I32" t="s">
        <v>11</v>
      </c>
    </row>
    <row r="33" spans="1:9" x14ac:dyDescent="0.25">
      <c r="A33" t="s">
        <v>72</v>
      </c>
      <c r="B33" t="s">
        <v>73</v>
      </c>
      <c r="C33">
        <v>2</v>
      </c>
      <c r="D33">
        <v>32</v>
      </c>
      <c r="E33" s="1">
        <v>6.4516129032258063E-2</v>
      </c>
      <c r="F33">
        <v>2</v>
      </c>
      <c r="G33" s="1">
        <v>1.324503311258278E-2</v>
      </c>
      <c r="H33" s="1">
        <v>0.74172185430463522</v>
      </c>
      <c r="I33" t="s">
        <v>11</v>
      </c>
    </row>
    <row r="34" spans="1:9" x14ac:dyDescent="0.25">
      <c r="A34" t="s">
        <v>74</v>
      </c>
      <c r="B34" t="s">
        <v>75</v>
      </c>
      <c r="C34">
        <v>2</v>
      </c>
      <c r="D34">
        <v>33</v>
      </c>
      <c r="E34" s="1">
        <v>6.4516129032258063E-2</v>
      </c>
      <c r="F34">
        <v>2</v>
      </c>
      <c r="G34" s="1">
        <v>1.324503311258278E-2</v>
      </c>
      <c r="H34" s="1">
        <v>0.75496688741721796</v>
      </c>
      <c r="I34" t="s">
        <v>11</v>
      </c>
    </row>
    <row r="35" spans="1:9" x14ac:dyDescent="0.25">
      <c r="A35" t="s">
        <v>76</v>
      </c>
      <c r="B35" t="s">
        <v>77</v>
      </c>
      <c r="C35">
        <v>2</v>
      </c>
      <c r="D35">
        <v>34</v>
      </c>
      <c r="E35" s="1">
        <v>6.4516129032258063E-2</v>
      </c>
      <c r="F35">
        <v>2</v>
      </c>
      <c r="G35" s="1">
        <v>1.324503311258278E-2</v>
      </c>
      <c r="H35" s="1">
        <v>0.7682119205298007</v>
      </c>
      <c r="I35" t="s">
        <v>11</v>
      </c>
    </row>
    <row r="36" spans="1:9" x14ac:dyDescent="0.25">
      <c r="A36" t="s">
        <v>78</v>
      </c>
      <c r="B36" t="s">
        <v>79</v>
      </c>
      <c r="C36">
        <v>2</v>
      </c>
      <c r="D36">
        <v>35</v>
      </c>
      <c r="E36" s="1">
        <v>6.4516129032258063E-2</v>
      </c>
      <c r="F36">
        <v>2</v>
      </c>
      <c r="G36" s="1">
        <v>1.324503311258278E-2</v>
      </c>
      <c r="H36" s="1">
        <v>0.78145695364238343</v>
      </c>
      <c r="I36" t="s">
        <v>11</v>
      </c>
    </row>
    <row r="37" spans="1:9" x14ac:dyDescent="0.25">
      <c r="A37" t="s">
        <v>80</v>
      </c>
      <c r="B37" t="s">
        <v>81</v>
      </c>
      <c r="C37">
        <v>2</v>
      </c>
      <c r="D37">
        <v>36</v>
      </c>
      <c r="E37" s="1">
        <v>6.4516129032258063E-2</v>
      </c>
      <c r="F37">
        <v>2</v>
      </c>
      <c r="G37" s="1">
        <v>1.324503311258278E-2</v>
      </c>
      <c r="H37" s="1">
        <v>0.79470198675496617</v>
      </c>
      <c r="I37" t="s">
        <v>11</v>
      </c>
    </row>
    <row r="38" spans="1:9" x14ac:dyDescent="0.25">
      <c r="A38" t="s">
        <v>82</v>
      </c>
      <c r="B38" t="s">
        <v>83</v>
      </c>
      <c r="C38">
        <v>1</v>
      </c>
      <c r="D38">
        <v>37</v>
      </c>
      <c r="E38" s="1">
        <v>3.2258064516129031E-2</v>
      </c>
      <c r="F38">
        <v>1</v>
      </c>
      <c r="G38" s="1">
        <v>6.6225165562913907E-3</v>
      </c>
      <c r="H38" s="1">
        <v>0.8013245033112576</v>
      </c>
      <c r="I38" t="s">
        <v>84</v>
      </c>
    </row>
    <row r="39" spans="1:9" x14ac:dyDescent="0.25">
      <c r="A39" t="s">
        <v>85</v>
      </c>
      <c r="B39" t="s">
        <v>86</v>
      </c>
      <c r="C39">
        <v>1</v>
      </c>
      <c r="D39">
        <v>38</v>
      </c>
      <c r="E39" s="1">
        <v>3.2258064516129031E-2</v>
      </c>
      <c r="F39">
        <v>1</v>
      </c>
      <c r="G39" s="1">
        <v>6.6225165562913907E-3</v>
      </c>
      <c r="H39" s="1">
        <v>0.80794701986754902</v>
      </c>
      <c r="I39" t="s">
        <v>84</v>
      </c>
    </row>
    <row r="40" spans="1:9" x14ac:dyDescent="0.25">
      <c r="A40" t="s">
        <v>87</v>
      </c>
      <c r="B40" t="s">
        <v>88</v>
      </c>
      <c r="C40">
        <v>1</v>
      </c>
      <c r="D40">
        <v>39</v>
      </c>
      <c r="E40" s="1">
        <v>3.2258064516129031E-2</v>
      </c>
      <c r="F40">
        <v>1</v>
      </c>
      <c r="G40" s="1">
        <v>6.6225165562913907E-3</v>
      </c>
      <c r="H40" s="1">
        <v>0.81456953642384045</v>
      </c>
      <c r="I40" t="s">
        <v>84</v>
      </c>
    </row>
    <row r="41" spans="1:9" x14ac:dyDescent="0.25">
      <c r="A41" t="s">
        <v>89</v>
      </c>
      <c r="B41" t="s">
        <v>90</v>
      </c>
      <c r="C41">
        <v>1</v>
      </c>
      <c r="D41">
        <v>40</v>
      </c>
      <c r="E41" s="1">
        <v>3.2258064516129031E-2</v>
      </c>
      <c r="F41">
        <v>1</v>
      </c>
      <c r="G41" s="1">
        <v>6.6225165562913907E-3</v>
      </c>
      <c r="H41" s="1">
        <v>0.82119205298013187</v>
      </c>
      <c r="I41" t="s">
        <v>84</v>
      </c>
    </row>
    <row r="42" spans="1:9" x14ac:dyDescent="0.25">
      <c r="A42" t="s">
        <v>91</v>
      </c>
      <c r="B42" t="s">
        <v>92</v>
      </c>
      <c r="C42">
        <v>1</v>
      </c>
      <c r="D42">
        <v>41</v>
      </c>
      <c r="E42" s="1">
        <v>3.2258064516129031E-2</v>
      </c>
      <c r="F42">
        <v>1</v>
      </c>
      <c r="G42" s="1">
        <v>6.6225165562913907E-3</v>
      </c>
      <c r="H42" s="1">
        <v>0.82781456953642329</v>
      </c>
      <c r="I42" t="s">
        <v>84</v>
      </c>
    </row>
    <row r="43" spans="1:9" x14ac:dyDescent="0.25">
      <c r="A43" t="s">
        <v>93</v>
      </c>
      <c r="B43" t="s">
        <v>94</v>
      </c>
      <c r="C43">
        <v>1</v>
      </c>
      <c r="D43">
        <v>42</v>
      </c>
      <c r="E43" s="1">
        <v>3.2258064516129031E-2</v>
      </c>
      <c r="F43">
        <v>1</v>
      </c>
      <c r="G43" s="1">
        <v>6.6225165562913907E-3</v>
      </c>
      <c r="H43" s="1">
        <v>0.83443708609271472</v>
      </c>
      <c r="I43" t="s">
        <v>84</v>
      </c>
    </row>
    <row r="44" spans="1:9" x14ac:dyDescent="0.25">
      <c r="A44" t="s">
        <v>95</v>
      </c>
      <c r="B44" t="s">
        <v>96</v>
      </c>
      <c r="C44">
        <v>1</v>
      </c>
      <c r="D44">
        <v>43</v>
      </c>
      <c r="E44" s="1">
        <v>3.2258064516129031E-2</v>
      </c>
      <c r="F44">
        <v>1</v>
      </c>
      <c r="G44" s="1">
        <v>6.6225165562913907E-3</v>
      </c>
      <c r="H44" s="1">
        <v>0.84105960264900614</v>
      </c>
      <c r="I44" t="s">
        <v>84</v>
      </c>
    </row>
    <row r="45" spans="1:9" x14ac:dyDescent="0.25">
      <c r="A45" t="s">
        <v>97</v>
      </c>
      <c r="B45" t="s">
        <v>98</v>
      </c>
      <c r="C45">
        <v>1</v>
      </c>
      <c r="D45">
        <v>44</v>
      </c>
      <c r="E45" s="1">
        <v>3.2258064516129031E-2</v>
      </c>
      <c r="F45">
        <v>1</v>
      </c>
      <c r="G45" s="1">
        <v>6.6225165562913907E-3</v>
      </c>
      <c r="H45" s="1">
        <v>0.84768211920529757</v>
      </c>
      <c r="I45" t="s">
        <v>84</v>
      </c>
    </row>
    <row r="46" spans="1:9" x14ac:dyDescent="0.25">
      <c r="A46" t="s">
        <v>99</v>
      </c>
      <c r="B46" t="s">
        <v>100</v>
      </c>
      <c r="C46">
        <v>1</v>
      </c>
      <c r="D46">
        <v>45</v>
      </c>
      <c r="E46" s="1">
        <v>3.2258064516129031E-2</v>
      </c>
      <c r="F46">
        <v>1</v>
      </c>
      <c r="G46" s="1">
        <v>6.6225165562913907E-3</v>
      </c>
      <c r="H46" s="1">
        <v>0.85430463576158899</v>
      </c>
      <c r="I46" t="s">
        <v>84</v>
      </c>
    </row>
    <row r="47" spans="1:9" x14ac:dyDescent="0.25">
      <c r="A47" t="s">
        <v>101</v>
      </c>
      <c r="B47" t="s">
        <v>102</v>
      </c>
      <c r="C47">
        <v>1</v>
      </c>
      <c r="D47">
        <v>46</v>
      </c>
      <c r="E47" s="1">
        <v>3.2258064516129031E-2</v>
      </c>
      <c r="F47">
        <v>1</v>
      </c>
      <c r="G47" s="1">
        <v>6.6225165562913907E-3</v>
      </c>
      <c r="H47" s="1">
        <v>0.86092715231788042</v>
      </c>
      <c r="I47" t="s">
        <v>84</v>
      </c>
    </row>
    <row r="48" spans="1:9" x14ac:dyDescent="0.25">
      <c r="A48" t="s">
        <v>103</v>
      </c>
      <c r="B48" t="s">
        <v>104</v>
      </c>
      <c r="C48">
        <v>1</v>
      </c>
      <c r="D48">
        <v>47</v>
      </c>
      <c r="E48" s="1">
        <v>3.2258064516129031E-2</v>
      </c>
      <c r="F48">
        <v>1</v>
      </c>
      <c r="G48" s="1">
        <v>6.6225165562913907E-3</v>
      </c>
      <c r="H48" s="1">
        <v>0.86754966887417184</v>
      </c>
      <c r="I48" t="s">
        <v>84</v>
      </c>
    </row>
    <row r="49" spans="1:9" x14ac:dyDescent="0.25">
      <c r="A49" t="s">
        <v>105</v>
      </c>
      <c r="B49" t="s">
        <v>106</v>
      </c>
      <c r="C49">
        <v>1</v>
      </c>
      <c r="D49">
        <v>48</v>
      </c>
      <c r="E49" s="1">
        <v>3.2258064516129031E-2</v>
      </c>
      <c r="F49">
        <v>1</v>
      </c>
      <c r="G49" s="1">
        <v>6.6225165562913907E-3</v>
      </c>
      <c r="H49" s="1">
        <v>0.87417218543046327</v>
      </c>
      <c r="I49" t="s">
        <v>84</v>
      </c>
    </row>
    <row r="50" spans="1:9" x14ac:dyDescent="0.25">
      <c r="A50" t="s">
        <v>107</v>
      </c>
      <c r="B50" t="s">
        <v>108</v>
      </c>
      <c r="C50">
        <v>1</v>
      </c>
      <c r="D50">
        <v>49</v>
      </c>
      <c r="E50" s="1">
        <v>3.2258064516129031E-2</v>
      </c>
      <c r="F50">
        <v>1</v>
      </c>
      <c r="G50" s="1">
        <v>6.6225165562913907E-3</v>
      </c>
      <c r="H50" s="1">
        <v>0.88079470198675469</v>
      </c>
      <c r="I50" t="s">
        <v>84</v>
      </c>
    </row>
    <row r="51" spans="1:9" x14ac:dyDescent="0.25">
      <c r="A51" t="s">
        <v>109</v>
      </c>
      <c r="B51" t="s">
        <v>110</v>
      </c>
      <c r="C51">
        <v>1</v>
      </c>
      <c r="D51">
        <v>50</v>
      </c>
      <c r="E51" s="1">
        <v>3.2258064516129031E-2</v>
      </c>
      <c r="F51">
        <v>1</v>
      </c>
      <c r="G51" s="1">
        <v>6.6225165562913907E-3</v>
      </c>
      <c r="H51" s="1">
        <v>0.88741721854304612</v>
      </c>
      <c r="I51" t="s">
        <v>84</v>
      </c>
    </row>
    <row r="52" spans="1:9" x14ac:dyDescent="0.25">
      <c r="A52" t="s">
        <v>111</v>
      </c>
      <c r="B52" t="s">
        <v>112</v>
      </c>
      <c r="C52">
        <v>1</v>
      </c>
      <c r="D52">
        <v>51</v>
      </c>
      <c r="E52" s="1">
        <v>3.2258064516129031E-2</v>
      </c>
      <c r="F52">
        <v>1</v>
      </c>
      <c r="G52" s="1">
        <v>6.6225165562913907E-3</v>
      </c>
      <c r="H52" s="1">
        <v>0.89403973509933754</v>
      </c>
      <c r="I52" t="s">
        <v>84</v>
      </c>
    </row>
    <row r="53" spans="1:9" x14ac:dyDescent="0.25">
      <c r="A53" t="s">
        <v>113</v>
      </c>
      <c r="B53" t="s">
        <v>114</v>
      </c>
      <c r="C53">
        <v>1</v>
      </c>
      <c r="D53">
        <v>52</v>
      </c>
      <c r="E53" s="1">
        <v>3.2258064516129031E-2</v>
      </c>
      <c r="F53">
        <v>1</v>
      </c>
      <c r="G53" s="1">
        <v>6.6225165562913907E-3</v>
      </c>
      <c r="H53" s="1">
        <v>0.90066225165562896</v>
      </c>
      <c r="I53" t="s">
        <v>84</v>
      </c>
    </row>
    <row r="54" spans="1:9" x14ac:dyDescent="0.25">
      <c r="A54" t="s">
        <v>115</v>
      </c>
      <c r="B54" t="s">
        <v>116</v>
      </c>
      <c r="C54">
        <v>1</v>
      </c>
      <c r="D54">
        <v>53</v>
      </c>
      <c r="E54" s="1">
        <v>3.2258064516129031E-2</v>
      </c>
      <c r="F54">
        <v>1</v>
      </c>
      <c r="G54" s="1">
        <v>6.6225165562913907E-3</v>
      </c>
      <c r="H54" s="1">
        <v>0.90728476821192039</v>
      </c>
      <c r="I54" t="s">
        <v>84</v>
      </c>
    </row>
    <row r="55" spans="1:9" x14ac:dyDescent="0.25">
      <c r="A55" t="s">
        <v>117</v>
      </c>
      <c r="B55" t="s">
        <v>118</v>
      </c>
      <c r="C55">
        <v>1</v>
      </c>
      <c r="D55">
        <v>54</v>
      </c>
      <c r="E55" s="1">
        <v>3.2258064516129031E-2</v>
      </c>
      <c r="F55">
        <v>1</v>
      </c>
      <c r="G55" s="1">
        <v>6.6225165562913907E-3</v>
      </c>
      <c r="H55" s="1">
        <v>0.91390728476821181</v>
      </c>
      <c r="I55" t="s">
        <v>84</v>
      </c>
    </row>
    <row r="56" spans="1:9" x14ac:dyDescent="0.25">
      <c r="A56" t="s">
        <v>119</v>
      </c>
      <c r="B56" t="s">
        <v>120</v>
      </c>
      <c r="C56">
        <v>1</v>
      </c>
      <c r="D56">
        <v>55</v>
      </c>
      <c r="E56" s="1">
        <v>3.2258064516129031E-2</v>
      </c>
      <c r="F56">
        <v>1</v>
      </c>
      <c r="G56" s="1">
        <v>6.6225165562913907E-3</v>
      </c>
      <c r="H56" s="1">
        <v>0.92052980132450324</v>
      </c>
      <c r="I56" t="s">
        <v>84</v>
      </c>
    </row>
    <row r="57" spans="1:9" x14ac:dyDescent="0.25">
      <c r="A57" t="s">
        <v>121</v>
      </c>
      <c r="B57" t="s">
        <v>122</v>
      </c>
      <c r="C57">
        <v>1</v>
      </c>
      <c r="D57">
        <v>56</v>
      </c>
      <c r="E57" s="1">
        <v>3.2258064516129031E-2</v>
      </c>
      <c r="F57">
        <v>1</v>
      </c>
      <c r="G57" s="1">
        <v>6.6225165562913907E-3</v>
      </c>
      <c r="H57" s="1">
        <v>0.92715231788079466</v>
      </c>
      <c r="I57" t="s">
        <v>84</v>
      </c>
    </row>
    <row r="58" spans="1:9" x14ac:dyDescent="0.25">
      <c r="A58" t="s">
        <v>123</v>
      </c>
      <c r="B58" t="s">
        <v>124</v>
      </c>
      <c r="C58">
        <v>1</v>
      </c>
      <c r="D58">
        <v>57</v>
      </c>
      <c r="E58" s="1">
        <v>3.2258064516129031E-2</v>
      </c>
      <c r="F58">
        <v>1</v>
      </c>
      <c r="G58" s="1">
        <v>6.6225165562913907E-3</v>
      </c>
      <c r="H58" s="1">
        <v>0.93377483443708609</v>
      </c>
      <c r="I58" t="s">
        <v>84</v>
      </c>
    </row>
    <row r="59" spans="1:9" x14ac:dyDescent="0.25">
      <c r="A59" t="s">
        <v>125</v>
      </c>
      <c r="B59" t="s">
        <v>126</v>
      </c>
      <c r="C59">
        <v>1</v>
      </c>
      <c r="D59">
        <v>58</v>
      </c>
      <c r="E59" s="1">
        <v>3.2258064516129031E-2</v>
      </c>
      <c r="F59">
        <v>1</v>
      </c>
      <c r="G59" s="1">
        <v>6.6225165562913907E-3</v>
      </c>
      <c r="H59" s="1">
        <v>0.94039735099337751</v>
      </c>
      <c r="I59" t="s">
        <v>84</v>
      </c>
    </row>
    <row r="60" spans="1:9" x14ac:dyDescent="0.25">
      <c r="A60" t="s">
        <v>127</v>
      </c>
      <c r="B60" t="s">
        <v>128</v>
      </c>
      <c r="C60">
        <v>1</v>
      </c>
      <c r="D60">
        <v>59</v>
      </c>
      <c r="E60" s="1">
        <v>3.2258064516129031E-2</v>
      </c>
      <c r="F60">
        <v>1</v>
      </c>
      <c r="G60" s="1">
        <v>6.6225165562913907E-3</v>
      </c>
      <c r="H60" s="1">
        <v>0.94701986754966894</v>
      </c>
      <c r="I60" t="s">
        <v>84</v>
      </c>
    </row>
    <row r="61" spans="1:9" x14ac:dyDescent="0.25">
      <c r="A61" t="s">
        <v>129</v>
      </c>
      <c r="B61" t="s">
        <v>130</v>
      </c>
      <c r="C61">
        <v>1</v>
      </c>
      <c r="D61">
        <v>60</v>
      </c>
      <c r="E61" s="1">
        <v>3.2258064516129031E-2</v>
      </c>
      <c r="F61">
        <v>1</v>
      </c>
      <c r="G61" s="1">
        <v>6.6225165562913907E-3</v>
      </c>
      <c r="H61" s="1">
        <v>0.95364238410596036</v>
      </c>
      <c r="I61" t="s">
        <v>131</v>
      </c>
    </row>
    <row r="62" spans="1:9" x14ac:dyDescent="0.25">
      <c r="A62" t="s">
        <v>132</v>
      </c>
      <c r="B62" t="s">
        <v>133</v>
      </c>
      <c r="C62">
        <v>1</v>
      </c>
      <c r="D62">
        <v>61</v>
      </c>
      <c r="E62" s="1">
        <v>3.2258064516129031E-2</v>
      </c>
      <c r="F62">
        <v>1</v>
      </c>
      <c r="G62" s="1">
        <v>6.6225165562913907E-3</v>
      </c>
      <c r="H62" s="1">
        <v>0.96026490066225179</v>
      </c>
      <c r="I62" t="s">
        <v>131</v>
      </c>
    </row>
    <row r="63" spans="1:9" x14ac:dyDescent="0.25">
      <c r="A63" t="s">
        <v>134</v>
      </c>
      <c r="B63" t="s">
        <v>135</v>
      </c>
      <c r="C63">
        <v>1</v>
      </c>
      <c r="D63">
        <v>62</v>
      </c>
      <c r="E63" s="1">
        <v>3.2258064516129031E-2</v>
      </c>
      <c r="F63">
        <v>1</v>
      </c>
      <c r="G63" s="1">
        <v>6.6225165562913907E-3</v>
      </c>
      <c r="H63" s="1">
        <v>0.96688741721854321</v>
      </c>
      <c r="I63" t="s">
        <v>131</v>
      </c>
    </row>
    <row r="64" spans="1:9" x14ac:dyDescent="0.25">
      <c r="A64" t="s">
        <v>136</v>
      </c>
      <c r="B64" t="s">
        <v>137</v>
      </c>
      <c r="C64">
        <v>1</v>
      </c>
      <c r="D64">
        <v>63</v>
      </c>
      <c r="E64" s="1">
        <v>3.2258064516129031E-2</v>
      </c>
      <c r="F64">
        <v>1</v>
      </c>
      <c r="G64" s="1">
        <v>6.6225165562913907E-3</v>
      </c>
      <c r="H64" s="1">
        <v>0.97350993377483463</v>
      </c>
      <c r="I64" t="s">
        <v>131</v>
      </c>
    </row>
    <row r="65" spans="1:9" x14ac:dyDescent="0.25">
      <c r="A65" t="s">
        <v>138</v>
      </c>
      <c r="B65" t="s">
        <v>139</v>
      </c>
      <c r="C65">
        <v>1</v>
      </c>
      <c r="D65">
        <v>64</v>
      </c>
      <c r="E65" s="1">
        <v>3.2258064516129031E-2</v>
      </c>
      <c r="F65">
        <v>1</v>
      </c>
      <c r="G65" s="1">
        <v>6.6225165562913907E-3</v>
      </c>
      <c r="H65" s="1">
        <v>0.98013245033112606</v>
      </c>
      <c r="I65" t="s">
        <v>131</v>
      </c>
    </row>
    <row r="66" spans="1:9" x14ac:dyDescent="0.25">
      <c r="A66" t="s">
        <v>140</v>
      </c>
      <c r="B66" t="s">
        <v>141</v>
      </c>
      <c r="C66">
        <v>1</v>
      </c>
      <c r="D66">
        <v>65</v>
      </c>
      <c r="E66" s="1">
        <v>3.2258064516129031E-2</v>
      </c>
      <c r="F66">
        <v>1</v>
      </c>
      <c r="G66" s="1">
        <v>6.6225165562913907E-3</v>
      </c>
      <c r="H66" s="1">
        <v>0.98675496688741748</v>
      </c>
      <c r="I66" t="s">
        <v>131</v>
      </c>
    </row>
    <row r="67" spans="1:9" x14ac:dyDescent="0.25">
      <c r="A67" t="s">
        <v>142</v>
      </c>
      <c r="B67" t="s">
        <v>143</v>
      </c>
      <c r="C67">
        <v>1</v>
      </c>
      <c r="D67">
        <v>66</v>
      </c>
      <c r="E67" s="1">
        <v>3.2258064516129031E-2</v>
      </c>
      <c r="F67">
        <v>1</v>
      </c>
      <c r="G67" s="1">
        <v>6.6225165562913907E-3</v>
      </c>
      <c r="H67" s="1">
        <v>0.99337748344370891</v>
      </c>
      <c r="I67" t="s">
        <v>131</v>
      </c>
    </row>
    <row r="68" spans="1:9" x14ac:dyDescent="0.25">
      <c r="A68" t="s">
        <v>144</v>
      </c>
      <c r="B68" t="s">
        <v>145</v>
      </c>
      <c r="C68">
        <v>1</v>
      </c>
      <c r="D68">
        <v>67</v>
      </c>
      <c r="E68" s="1">
        <v>3.2258064516129031E-2</v>
      </c>
      <c r="F68">
        <v>1</v>
      </c>
      <c r="G68" s="1">
        <v>6.6225165562913907E-3</v>
      </c>
      <c r="H68" s="1">
        <v>1</v>
      </c>
      <c r="I68" t="s">
        <v>131</v>
      </c>
    </row>
  </sheetData>
  <autoFilter ref="A1:I68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tienda</vt:lpstr>
      <vt:lpstr>ABC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Fiorella Supo</cp:lastModifiedBy>
  <cp:lastPrinted>2026-08-01T16:58:00Z</cp:lastPrinted>
  <dcterms:created xsi:type="dcterms:W3CDTF">2026-08-01T15:32:05Z</dcterms:created>
  <dcterms:modified xsi:type="dcterms:W3CDTF">2026-08-01T20:50:37Z</dcterms:modified>
</cp:coreProperties>
</file>